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tabRatio="809" firstSheet="1" activeTab="1"/>
  </bookViews>
  <sheets>
    <sheet name="汇总" sheetId="1" r:id="rId1"/>
    <sheet name="SBD1" sheetId="6" r:id="rId2"/>
    <sheet name="GEU5" sheetId="7" r:id="rId3"/>
    <sheet name="LGB8" sheetId="12" r:id="rId4"/>
    <sheet name="PSC2" sheetId="8" r:id="rId5"/>
    <sheet name="DEN8" sheetId="9" r:id="rId6"/>
    <sheet name="STL3" sheetId="10" r:id="rId7"/>
    <sheet name="ACY2" sheetId="11" r:id="rId8"/>
    <sheet name="HSV1" sheetId="18" r:id="rId9"/>
    <sheet name="海外仓" sheetId="19" r:id="rId10"/>
  </sheets>
  <externalReferences>
    <externalReference r:id="rId11"/>
  </externalReferences>
  <definedNames>
    <definedName name="_xlnm._FilterDatabase" localSheetId="0" hidden="1">汇总!$A$1:$R$9</definedName>
    <definedName name="_xlnm._FilterDatabase" localSheetId="3" hidden="1">'LGB8'!$A$1:$R$15</definedName>
    <definedName name="requiredAttributePTDMap">[1]AttributePTDMAP!$A$1:$C$27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K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2.xml><?xml version="1.0" encoding="utf-8"?>
<comments xmlns="http://schemas.openxmlformats.org/spreadsheetml/2006/main">
  <authors>
    <author>86180</author>
  </authors>
  <commentList>
    <comment ref="K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3.xml><?xml version="1.0" encoding="utf-8"?>
<comments xmlns="http://schemas.openxmlformats.org/spreadsheetml/2006/main">
  <authors>
    <author>86180</author>
  </authors>
  <commentList>
    <comment ref="K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4.xml><?xml version="1.0" encoding="utf-8"?>
<comments xmlns="http://schemas.openxmlformats.org/spreadsheetml/2006/main">
  <authors>
    <author>86180</author>
  </authors>
  <commentList>
    <comment ref="K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5.xml><?xml version="1.0" encoding="utf-8"?>
<comments xmlns="http://schemas.openxmlformats.org/spreadsheetml/2006/main">
  <authors>
    <author>86180</author>
  </authors>
  <commentList>
    <comment ref="K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6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7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8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9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10.xml><?xml version="1.0" encoding="utf-8"?>
<comments xmlns="http://schemas.openxmlformats.org/spreadsheetml/2006/main">
  <authors>
    <author>86180</author>
  </authors>
  <commentList>
    <comment ref="K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<sst xmlns="http://schemas.openxmlformats.org/spreadsheetml/2006/main" count="1178" uniqueCount="480">
  <si>
    <t>仓库</t>
  </si>
  <si>
    <t>品名</t>
  </si>
  <si>
    <t>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</si>
  <si>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</si>
  <si>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</si>
  <si>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</si>
  <si>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</si>
  <si>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</si>
  <si>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</si>
  <si>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</si>
  <si>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</si>
  <si>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</si>
  <si>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 xml:space="preserve"> 单箱重量（kg）</t>
  </si>
  <si>
    <t>总重</t>
  </si>
  <si>
    <t>总体积</t>
  </si>
  <si>
    <t>派送仓库</t>
  </si>
  <si>
    <t>FBA ID</t>
  </si>
  <si>
    <t>账号2</t>
  </si>
  <si>
    <t>啤酒瓶</t>
  </si>
  <si>
    <t>Beerbottle-6pack</t>
  </si>
  <si>
    <t>X0046NZ16L</t>
  </si>
  <si>
    <t>B08PL6MC7G</t>
  </si>
  <si>
    <t>42x31x16</t>
  </si>
  <si>
    <t>青岛普通仓</t>
  </si>
  <si>
    <t>方形玻璃储物罐</t>
  </si>
  <si>
    <t>Smalljars-12pack</t>
  </si>
  <si>
    <t>X0046NZX37</t>
  </si>
  <si>
    <t>B07F8VGZQZ</t>
  </si>
  <si>
    <t>49.5*37.5*24</t>
  </si>
  <si>
    <t>琥珀色玻璃罐</t>
  </si>
  <si>
    <t>Amberjar-8oz12pcs</t>
  </si>
  <si>
    <t>X0046NT3ZV</t>
  </si>
  <si>
    <t>B095J5PK57</t>
  </si>
  <si>
    <t>51x33x38</t>
  </si>
  <si>
    <t>Amberjar-8oz6pcs</t>
  </si>
  <si>
    <t>X0046NT405</t>
  </si>
  <si>
    <t>B095J2YDG1</t>
  </si>
  <si>
    <t>50x35x38</t>
  </si>
  <si>
    <t>糖果罐</t>
  </si>
  <si>
    <t>Mason-16oz6pcs</t>
  </si>
  <si>
    <t>X0046QLNID</t>
  </si>
  <si>
    <t>B0938GY8DW</t>
  </si>
  <si>
    <t>61.5x31.5x36</t>
  </si>
  <si>
    <t>一袋里面装
2个生蚝刀+2对手套</t>
  </si>
  <si>
    <t>生蚝刀</t>
  </si>
  <si>
    <t>Oystershucker-2set</t>
  </si>
  <si>
    <t>X0046NZDO1</t>
  </si>
  <si>
    <t>B00VQFE1MQ</t>
  </si>
  <si>
    <t>48x44x36C</t>
  </si>
  <si>
    <t>手套</t>
  </si>
  <si>
    <t xml:space="preserve"> 两个一包</t>
  </si>
  <si>
    <t>厨房排水过滤器</t>
  </si>
  <si>
    <t>Springclip-2pack</t>
  </si>
  <si>
    <t>X0046O1KIN</t>
  </si>
  <si>
    <t>B07BGGXW9W</t>
  </si>
  <si>
    <t>45*33*29</t>
  </si>
  <si>
    <t>充电座</t>
  </si>
  <si>
    <t>ELA-Charging Station</t>
  </si>
  <si>
    <t>X004BPOR4V</t>
  </si>
  <si>
    <t>B07222V19V</t>
  </si>
  <si>
    <t>48x35x33CM</t>
  </si>
  <si>
    <t>枕头-2个装</t>
  </si>
  <si>
    <t>ELA-bed pillow-k2</t>
  </si>
  <si>
    <t>X004BQVH3J</t>
  </si>
  <si>
    <t>B07PYRL8QM</t>
  </si>
  <si>
    <t>56.5x37.5x44.5 CM</t>
  </si>
  <si>
    <t>健身卡</t>
  </si>
  <si>
    <t>ELA-TZ1YL1JSTCZL</t>
  </si>
  <si>
    <t>X004BQT21D</t>
  </si>
  <si>
    <t>B01DJBCN3I</t>
  </si>
  <si>
    <t>副 29.5x28x14CM (箱)</t>
  </si>
  <si>
    <t>B01KUDOLN8</t>
  </si>
  <si>
    <t>防水袋灰色</t>
  </si>
  <si>
    <t>ELA-dry bags-Grey</t>
  </si>
  <si>
    <t>X004I6FLTN</t>
  </si>
  <si>
    <t>B07WNY4V7G</t>
  </si>
  <si>
    <t>43*36*27</t>
  </si>
  <si>
    <t>防水袋红色</t>
  </si>
  <si>
    <t>ELA-dry bags-Red</t>
  </si>
  <si>
    <t>X004I6CTKR</t>
  </si>
  <si>
    <t>B07WX1NCZS</t>
  </si>
  <si>
    <t>账号3</t>
  </si>
  <si>
    <t>小提琴</t>
  </si>
  <si>
    <t>MOS-AViolin-4/4Satin</t>
  </si>
  <si>
    <t>X004CXZMOV</t>
  </si>
  <si>
    <t>B00HJGIJP6</t>
  </si>
  <si>
    <t>84*51*61</t>
  </si>
  <si>
    <t>大提琴</t>
  </si>
  <si>
    <t>MOS-Ecello1-4/4Bk</t>
  </si>
  <si>
    <t>X004CXZTBR</t>
  </si>
  <si>
    <t>B007ESVCR6</t>
  </si>
  <si>
    <t>137*27*48</t>
  </si>
  <si>
    <t>MOS-Ecello4-4/4Bk</t>
  </si>
  <si>
    <t>X004CXVQQJ</t>
  </si>
  <si>
    <t>B0051HNHES</t>
  </si>
  <si>
    <t>MOS-Ecello1-4/4Mh</t>
  </si>
  <si>
    <t>X004CXVSIF</t>
  </si>
  <si>
    <t>B0051HN2PW</t>
  </si>
  <si>
    <t>中提琴</t>
  </si>
  <si>
    <t>MOS-Viola-CVA400-12In</t>
  </si>
  <si>
    <t>X004CY22F7</t>
  </si>
  <si>
    <t>B000FCEIHO</t>
  </si>
  <si>
    <t>75*70*50</t>
  </si>
  <si>
    <t>MOS-Viola-CVA400-14In</t>
  </si>
  <si>
    <t>X004CY54RZ</t>
  </si>
  <si>
    <t>B000GQNPBO</t>
  </si>
  <si>
    <t>79*72*52</t>
  </si>
  <si>
    <t>MOS-ViolaMA250-16In</t>
  </si>
  <si>
    <t>X004CXZRNH</t>
  </si>
  <si>
    <t>B006LCCUTU</t>
  </si>
  <si>
    <t>87x51x54CM</t>
  </si>
  <si>
    <t>MOS-ViolaMA350-16InSt</t>
  </si>
  <si>
    <t>X004CY5HTF</t>
  </si>
  <si>
    <t>B0085C9T70</t>
  </si>
  <si>
    <t>87x51x55CM</t>
  </si>
  <si>
    <t>MOS-ViolaMA-16InBk</t>
  </si>
  <si>
    <t>X004CXPSPJ</t>
  </si>
  <si>
    <t>B006LCCW5M</t>
  </si>
  <si>
    <t>MOS-ViolaMA350-15InSt</t>
  </si>
  <si>
    <t>X004CXOSFF</t>
  </si>
  <si>
    <t>B0085C9TKM</t>
  </si>
  <si>
    <t>MUT-ViolaMA-16InPu</t>
  </si>
  <si>
    <t>X004CY7RJX</t>
  </si>
  <si>
    <t>B006LCCYC8</t>
  </si>
  <si>
    <t>87x51x54</t>
  </si>
  <si>
    <t>MUT-ViolaMA-16InWh</t>
  </si>
  <si>
    <t>X004CY3OU9</t>
  </si>
  <si>
    <t>B006LCCZT0</t>
  </si>
  <si>
    <t>发完</t>
  </si>
  <si>
    <t>MUT-ViolaMA250-12InNt</t>
  </si>
  <si>
    <t>X004CY3PFD</t>
  </si>
  <si>
    <t>B006LCDNF0</t>
  </si>
  <si>
    <t>73x67x44</t>
  </si>
  <si>
    <t>MOS-Bodyweight Vol2</t>
  </si>
  <si>
    <t>X004CXW2PX</t>
  </si>
  <si>
    <t>B07CV2JY4T</t>
  </si>
  <si>
    <t>MOS-Bodyweight Vol3</t>
  </si>
  <si>
    <t>X004CXW5NH</t>
  </si>
  <si>
    <t>B07YH3DXKL</t>
  </si>
  <si>
    <t>泡沫轴</t>
  </si>
  <si>
    <t>MOS-Yoga Roller</t>
  </si>
  <si>
    <t>X004CY7BZD</t>
  </si>
  <si>
    <t>B06Y97NVKZ</t>
  </si>
  <si>
    <t>61x61x46</t>
  </si>
  <si>
    <t>封箱机</t>
  </si>
  <si>
    <t>MOS-Tape Dispenser</t>
  </si>
  <si>
    <t>X004FKPMK5</t>
  </si>
  <si>
    <t>B077GCV6PH</t>
  </si>
  <si>
    <t>55*33*40</t>
  </si>
  <si>
    <t>东莞</t>
  </si>
  <si>
    <t>开瓶器蓝色</t>
  </si>
  <si>
    <t>MOS-bottle opener-BL</t>
  </si>
  <si>
    <t>X004FKRWWV</t>
  </si>
  <si>
    <t>B06WD2942V</t>
  </si>
  <si>
    <t>32*27*22</t>
  </si>
  <si>
    <t>长笛</t>
  </si>
  <si>
    <t>COMP-FluteStnd-SD-FE</t>
  </si>
  <si>
    <t>X004CYB9P1</t>
  </si>
  <si>
    <t>B07V5XBJZK</t>
  </si>
  <si>
    <t>45*31*45</t>
  </si>
  <si>
    <t>16oz玻璃瓶</t>
  </si>
  <si>
    <t>DrinkingBottle-12pack</t>
  </si>
  <si>
    <t>X004CXWJLF</t>
  </si>
  <si>
    <t>B07RLS9ZYK</t>
  </si>
  <si>
    <t>50*32.5*41.9</t>
  </si>
  <si>
    <t>长枕套白色</t>
  </si>
  <si>
    <t>Body-20x60-White</t>
  </si>
  <si>
    <t>X004CY4DY5</t>
  </si>
  <si>
    <t>B077GF6JFR</t>
  </si>
  <si>
    <t>条 40x27x21CM (箱)</t>
  </si>
  <si>
    <t>账号4</t>
  </si>
  <si>
    <t>ECE-Aviolin-4/4CVN-500</t>
  </si>
  <si>
    <t>X004CM2NXP</t>
  </si>
  <si>
    <t>CCO-COMP-Aviolin-4/4CVN-500</t>
  </si>
  <si>
    <t>82*74*50</t>
  </si>
  <si>
    <t>ECE-AViolin-4/4Satin</t>
  </si>
  <si>
    <t>X004CK6PXL</t>
  </si>
  <si>
    <t>ECE-AViolinCVN300-1/2</t>
  </si>
  <si>
    <t>X004CMBJM1</t>
  </si>
  <si>
    <t>B00EOYKHR4</t>
  </si>
  <si>
    <t>ECE-Viola-CVA400-16.5In</t>
  </si>
  <si>
    <t>X004CMP8UP</t>
  </si>
  <si>
    <t>B0051UYM2G</t>
  </si>
  <si>
    <t>88*49*57</t>
  </si>
  <si>
    <t>ECE-Viola-CVA400-12In</t>
  </si>
  <si>
    <t>X004CMP8UF</t>
  </si>
  <si>
    <t>ECE-Viola-CVA400-14In</t>
  </si>
  <si>
    <t>X004CMP8TV</t>
  </si>
  <si>
    <t>ECE-ViolaMA250-16In</t>
  </si>
  <si>
    <t>X004BF2P9Z</t>
  </si>
  <si>
    <t>ECE-ViolaMA350-16InSt</t>
  </si>
  <si>
    <t>X004BF2P9F</t>
  </si>
  <si>
    <t>ECE-ViolaMA350-15InSt</t>
  </si>
  <si>
    <t>X004BF2P8V</t>
  </si>
  <si>
    <t>Cello-4/4CCO100-50inch-Natural</t>
  </si>
  <si>
    <t>X004BESKI1</t>
  </si>
  <si>
    <t>B0070OUZ9G</t>
  </si>
  <si>
    <t>137*34*48</t>
  </si>
  <si>
    <t>Violin-4/4MV500-23inch-Natural</t>
  </si>
  <si>
    <t>X004BESKJ5</t>
  </si>
  <si>
    <t>CCO-COMP-Aviolin-4/4MV500</t>
  </si>
  <si>
    <t>电子小提琴红</t>
  </si>
  <si>
    <t>Eviolin4/4CEVN-32inch-Red</t>
  </si>
  <si>
    <t>X004CMPRPB</t>
  </si>
  <si>
    <t>B003F1TDBS</t>
  </si>
  <si>
    <t>82*45*50</t>
  </si>
  <si>
    <t>电子小提琴白</t>
  </si>
  <si>
    <t>Eviolin4/4CEVN-32inch-White</t>
  </si>
  <si>
    <t>X004CMPRPL</t>
  </si>
  <si>
    <t>B003F2ATV0</t>
  </si>
  <si>
    <t>电子小提琴蓝</t>
  </si>
  <si>
    <t>Eviolin4/4CEVN-32inch-Blue</t>
  </si>
  <si>
    <t>X004CMPRQ5</t>
  </si>
  <si>
    <t>B003F1PRFO</t>
  </si>
  <si>
    <t>电子小提琴黄</t>
  </si>
  <si>
    <t>Eviolin4/4CEVN-32inch-Natural</t>
  </si>
  <si>
    <t>X004CMPRPV</t>
  </si>
  <si>
    <t>B003F274FY</t>
  </si>
  <si>
    <t>中提琴 紫色</t>
  </si>
  <si>
    <t>ViolaMA-16inch-Purple</t>
  </si>
  <si>
    <t>X004BGGRGV</t>
  </si>
  <si>
    <t>87*51*54</t>
  </si>
  <si>
    <t>中提琴 白色</t>
  </si>
  <si>
    <t>ViolaMA-16inch-White</t>
  </si>
  <si>
    <t>X004BGGRGL</t>
  </si>
  <si>
    <t>Violin-4/4CVN300-32inch-Natural</t>
  </si>
  <si>
    <t>X004BESKIV</t>
  </si>
  <si>
    <t>CCO-COMP-Aviolin-4/4CVN-300</t>
  </si>
  <si>
    <t>83*72*48</t>
  </si>
  <si>
    <t>Violin-4/4MV200-32inch</t>
  </si>
  <si>
    <t>X004BGMTRH</t>
  </si>
  <si>
    <t>B01MTV42C9</t>
  </si>
  <si>
    <t>82*67*47</t>
  </si>
  <si>
    <t>Violin-1/4MV200-18inch</t>
  </si>
  <si>
    <t>X004BGMTRR</t>
  </si>
  <si>
    <t>B00202CJBO</t>
  </si>
  <si>
    <t>71*63*43</t>
  </si>
  <si>
    <t>哈贝尔账号</t>
  </si>
  <si>
    <t>东莞云仓</t>
  </si>
  <si>
    <t>睫毛夹子</t>
  </si>
  <si>
    <t>Collgene-EyelashCurler/black</t>
  </si>
  <si>
    <t>X004DBYB7B</t>
  </si>
  <si>
    <t>B01D9EQ9P8</t>
  </si>
  <si>
    <t>34*30*22</t>
  </si>
  <si>
    <t>上海保税</t>
  </si>
  <si>
    <t>紫光手电筒</t>
  </si>
  <si>
    <t>Collgene-Flashlight</t>
  </si>
  <si>
    <t>X004DBMWE5</t>
  </si>
  <si>
    <t>B07W45VJP8</t>
  </si>
  <si>
    <t>42.5x42.5x38</t>
  </si>
  <si>
    <t>漏斗3件装蓝色</t>
  </si>
  <si>
    <t>Collgene-OilFunnel/Blue</t>
  </si>
  <si>
    <t>X004DBHAC9</t>
  </si>
  <si>
    <t>B07RR956HS</t>
  </si>
  <si>
    <t>58x34x41</t>
  </si>
  <si>
    <t>6packBeerbottle-Amber</t>
  </si>
  <si>
    <t>X004DBBANT</t>
  </si>
  <si>
    <t>木质户外橄榄球定位游戏器</t>
  </si>
  <si>
    <t>RingToss-Surfboard</t>
  </si>
  <si>
    <t>X004DBEPSL</t>
  </si>
  <si>
    <t>B01CYOJNPC</t>
  </si>
  <si>
    <t>45x38x40</t>
  </si>
  <si>
    <t>青岛普通</t>
  </si>
  <si>
    <t>保温杯杯绿色（4件）</t>
  </si>
  <si>
    <t>Collgene-Drinking Cup/green</t>
  </si>
  <si>
    <t>X004DAL7J7</t>
  </si>
  <si>
    <t>B09DRG78M6</t>
  </si>
  <si>
    <t>50.4*34.5*24</t>
  </si>
  <si>
    <t>保温杯杯粉色（4件）</t>
  </si>
  <si>
    <t>Collgene-Drinking Cup/pink</t>
  </si>
  <si>
    <t>X004DALDAP</t>
  </si>
  <si>
    <t>B0921HMK28</t>
  </si>
  <si>
    <t>账号6</t>
  </si>
  <si>
    <t>GARUET-Beer Bottle/6pack</t>
  </si>
  <si>
    <t>X004DTQLGR</t>
  </si>
  <si>
    <t>账号5</t>
  </si>
  <si>
    <t>床罩</t>
  </si>
  <si>
    <t>5W-9-Queen</t>
  </si>
  <si>
    <t>X004BL5D75</t>
  </si>
  <si>
    <t>B00C2TRA6Y</t>
  </si>
  <si>
    <t xml:space="preserve">57x30x36CM </t>
  </si>
  <si>
    <t>账号1</t>
  </si>
  <si>
    <t>长枕套灰色</t>
  </si>
  <si>
    <t>Bodypc-Gray</t>
  </si>
  <si>
    <t>X0046ZLHKX</t>
  </si>
  <si>
    <t>B077GFJ3RL</t>
  </si>
  <si>
    <t>长枕套深蓝色</t>
  </si>
  <si>
    <t>Bodypc-Navy</t>
  </si>
  <si>
    <t>X0046ZLHKD</t>
  </si>
  <si>
    <t>B077GDCGZB</t>
  </si>
  <si>
    <t>绿色卡纸</t>
  </si>
  <si>
    <t>床罩四人</t>
  </si>
  <si>
    <t>PME11-12-15-Queen</t>
  </si>
  <si>
    <t>X003Z683JH</t>
  </si>
  <si>
    <t>B004BAEFK6</t>
  </si>
  <si>
    <t>60x34x32CM (箱)</t>
  </si>
  <si>
    <t>PME12-12-15-King</t>
  </si>
  <si>
    <t>X003Z6MOB5</t>
  </si>
  <si>
    <t>B004BACOYU</t>
  </si>
  <si>
    <t>床罩四人卡纸</t>
  </si>
  <si>
    <t>PME13-9-12-Twin</t>
  </si>
  <si>
    <t>X003Z6M94R</t>
  </si>
  <si>
    <t>B01B51NXKQ</t>
  </si>
  <si>
    <t>58x34x32CM (箱)</t>
  </si>
  <si>
    <t>床罩妈妈和女儿</t>
  </si>
  <si>
    <t>ME04-9-CalKingX2</t>
  </si>
  <si>
    <t>X003Z5JUYP</t>
  </si>
  <si>
    <t>B004VMYD6U</t>
  </si>
  <si>
    <t>海外仓</t>
  </si>
  <si>
    <t>ECE-AViolinCVN300-4/4</t>
  </si>
  <si>
    <t>X004CMBJLR</t>
  </si>
  <si>
    <t>B00EOYKGH0</t>
  </si>
  <si>
    <t>FBA ID  从</t>
  </si>
  <si>
    <t>SBD1
共336个
共39箱
FBA18PMS09X1</t>
  </si>
  <si>
    <t>FBA18PMS09X1U000001</t>
  </si>
  <si>
    <t>FBA18PMS09X1U000003</t>
  </si>
  <si>
    <t>FBA18PMS09X1U000004</t>
  </si>
  <si>
    <t>FBA18PMS09X1U000006</t>
  </si>
  <si>
    <t>FBA18PMS09X1U000009</t>
  </si>
  <si>
    <t>FBA18PMS09X1U000023</t>
  </si>
  <si>
    <t>FBA18PMS09X1U000024</t>
  </si>
  <si>
    <t>FBA18PMS09X1U000033</t>
  </si>
  <si>
    <t>FBA18PMS09X1U000034</t>
  </si>
  <si>
    <t>FBA18PMS09X1U000039</t>
  </si>
  <si>
    <t>FBA18PMS09X1U000007</t>
  </si>
  <si>
    <t>FBA18PMS09X1U000008</t>
  </si>
  <si>
    <t>35/托  2托</t>
  </si>
  <si>
    <t>FBA ID 从</t>
  </si>
  <si>
    <t>到</t>
  </si>
  <si>
    <t>GEU5</t>
  </si>
  <si>
    <t>FBA18PMP17W6U000001</t>
  </si>
  <si>
    <t>FBA18PMP17W6U000010</t>
  </si>
  <si>
    <t>FBA18PMR9VPR
箱数：120箱
GEU5</t>
  </si>
  <si>
    <t>FBA18PMR9VPRU000001</t>
  </si>
  <si>
    <t>FBA18PMR9VPRU000120</t>
  </si>
  <si>
    <t>3.1方  2个托 80/托</t>
  </si>
  <si>
    <t>FBA18PMDZ7GM
LGB8
箱子 370
共 2750</t>
  </si>
  <si>
    <t>FBA18PMDZ7GMU000031</t>
  </si>
  <si>
    <t>FBA18PMDZ7GMU000180</t>
  </si>
  <si>
    <t>FBA18PMDZ7GMU000346</t>
  </si>
  <si>
    <t>FBA18PMDZ7GMU000369</t>
  </si>
  <si>
    <t>FBA18PMDZ7GMU000001</t>
  </si>
  <si>
    <t>FBA18PMDZ7GMU000012</t>
  </si>
  <si>
    <t>FBA18PMDZ7GMU000013</t>
  </si>
  <si>
    <t>FBA18PMDZ7GMU000030</t>
  </si>
  <si>
    <t>FBA18PMDZ7GMU000295</t>
  </si>
  <si>
    <t>FBA18PMDZ7GMU000342</t>
  </si>
  <si>
    <t>FBA18PMDZ7GMU000343</t>
  </si>
  <si>
    <t>FBA18PMDZ7GMU000345</t>
  </si>
  <si>
    <t>44*44*27</t>
  </si>
  <si>
    <t>FBA18PMDZ7GMU000370</t>
  </si>
  <si>
    <t>FBA18PMDZ7GMU000181</t>
  </si>
  <si>
    <t>FBA18PMDZ7GMU000200</t>
  </si>
  <si>
    <t>FBA18PMDZ7GMU000231</t>
  </si>
  <si>
    <t>FBA18PMDZ7GMU000280</t>
  </si>
  <si>
    <t>FBA18PMDZ7GMU000201</t>
  </si>
  <si>
    <t>FBA18PMDZ7GMU000230</t>
  </si>
  <si>
    <t>FBA18PMDZ7GMU000281</t>
  </si>
  <si>
    <t>FBA18PMDZ7GMU000290</t>
  </si>
  <si>
    <t>FBA18PMDZ7GMU000291</t>
  </si>
  <si>
    <t>FBA18PMDZ7GMU000294</t>
  </si>
  <si>
    <t>FBA18FBA18PMH5HMX
箱数：151箱</t>
  </si>
  <si>
    <t>FBA18PMH5HMXU000143</t>
  </si>
  <si>
    <t>FBA18PMH5HMXU000144</t>
  </si>
  <si>
    <t>FBA18PMH5HMXU000145</t>
  </si>
  <si>
    <t>FBA18PMH5HMXU000146</t>
  </si>
  <si>
    <t>FBA18PMH5HMXU000147</t>
  </si>
  <si>
    <t>FBA18PMH5HMXU000148</t>
  </si>
  <si>
    <t>FBA18PMH5HMXU000001</t>
  </si>
  <si>
    <t>FBA18PMH5HMXU000120</t>
  </si>
  <si>
    <t>FBA18PMH5HMXU000149</t>
  </si>
  <si>
    <t>FBA18PMH5HMXU000151</t>
  </si>
  <si>
    <t>FBA18PMH5HMXU000121</t>
  </si>
  <si>
    <t>FBA18PMH5HMXU000132</t>
  </si>
  <si>
    <t>FBA18PMH5HMXU000133</t>
  </si>
  <si>
    <t>FBA18PMH5HMXU000142</t>
  </si>
  <si>
    <t>FBA18PJQPXRP
PSC2
箱子 55
共 918</t>
  </si>
  <si>
    <t>FBA18PJQPXRPU000001</t>
  </si>
  <si>
    <t>FBA18PJQPXRPU000024</t>
  </si>
  <si>
    <t>FBA18PJQPXRPU000029</t>
  </si>
  <si>
    <t>FBA18PJQPXRPU000030</t>
  </si>
  <si>
    <t>FBA18PJQPXRPU000032</t>
  </si>
  <si>
    <t>FBA18PJQPXRPU000048</t>
  </si>
  <si>
    <t>FBA18PJQPXRPU000053</t>
  </si>
  <si>
    <t>FBA18PJQPXRPU000033</t>
  </si>
  <si>
    <t>FBA18PJQPXRPU000047</t>
  </si>
  <si>
    <t>FBA18PJQPXRPU000054</t>
  </si>
  <si>
    <t>FBA18PJQPXRPU000055</t>
  </si>
  <si>
    <t>FBA18PJQPXRPU000002</t>
  </si>
  <si>
    <t>FBA18PJQPXRPU000011</t>
  </si>
  <si>
    <t>FBA18PJQPXRPU000012</t>
  </si>
  <si>
    <t>FBA18PJQPXRPU000023</t>
  </si>
  <si>
    <t>备注</t>
  </si>
  <si>
    <t>需拆箱把电池
放进琴包的袋子里面</t>
  </si>
  <si>
    <t>FBA18PM8L9H2
DEN8
箱子 10
共 45</t>
  </si>
  <si>
    <t>FBA18PM8L9H2U000001</t>
  </si>
  <si>
    <t>FBA18PM8L9H2U000003</t>
  </si>
  <si>
    <t>FBA18PM8L9H2U000002</t>
  </si>
  <si>
    <t>FBA18PM8L9H2U000005</t>
  </si>
  <si>
    <t>FBA18PM8L9H2U000007</t>
  </si>
  <si>
    <t>FBA18PM8L9H2U000004</t>
  </si>
  <si>
    <t>FBA18PM8L9H2U000006</t>
  </si>
  <si>
    <t>FBA18PM8L9H2U000008</t>
  </si>
  <si>
    <t>FBA18PM8L9H2U000009</t>
  </si>
  <si>
    <t>FBA18PM8L9H2U000010</t>
  </si>
  <si>
    <t xml:space="preserve">FBA18PM2DT8H
STL3
箱子 30
共 147
</t>
  </si>
  <si>
    <t>FBA18PM2DT8HU000001</t>
  </si>
  <si>
    <t>FBA18PM2DT8HU000002</t>
  </si>
  <si>
    <t>FBA18PM2DT8HU000004</t>
  </si>
  <si>
    <t>FBA18PM2DT8HU000008</t>
  </si>
  <si>
    <t>FBA18PM2DT8HU000010</t>
  </si>
  <si>
    <t>FBA18PM2DT8HU000005</t>
  </si>
  <si>
    <t>FBA18PM2DT8HU000007</t>
  </si>
  <si>
    <t>FBA18PM2DT8HU000011</t>
  </si>
  <si>
    <t>FBA18PM2DT8HU000012</t>
  </si>
  <si>
    <t>FBA18PM2DT8HU000015</t>
  </si>
  <si>
    <t>FBA18PM2DT8HU000017</t>
  </si>
  <si>
    <t>FBA18PM2DT8HU000021</t>
  </si>
  <si>
    <t>FBA18PM2DT8HU000023</t>
  </si>
  <si>
    <t>FBA18PM2DT8HU000013</t>
  </si>
  <si>
    <t>FBA18PM2DT8HU000014</t>
  </si>
  <si>
    <t>FBA18PM2DT8HU000018</t>
  </si>
  <si>
    <t>FBA18PM2DT8HU000020</t>
  </si>
  <si>
    <t>FBA18PM2DT8HU000024</t>
  </si>
  <si>
    <t>FBA18PM2DT8HU000026</t>
  </si>
  <si>
    <t>FBA18PM2DT8HU000027</t>
  </si>
  <si>
    <t>FBA18PM2DT8HU000029</t>
  </si>
  <si>
    <t>FBA18PM2DT8HU000030</t>
  </si>
  <si>
    <t>FBA18PM7BB32
ACY2
箱子 14
共 69</t>
  </si>
  <si>
    <t>FBA18PM7BB32U000001</t>
  </si>
  <si>
    <t>FBA18PM7BB32U000002</t>
  </si>
  <si>
    <t>FBA18PM7BB32U000004</t>
  </si>
  <si>
    <t>FBA18PM7BB32U000003</t>
  </si>
  <si>
    <t>FBA18PM7BB32U000006</t>
  </si>
  <si>
    <t>FBA18PM7BB32U000007</t>
  </si>
  <si>
    <t>FBA18PM7BB32U000010</t>
  </si>
  <si>
    <t>FBA18PM7BB32U000011</t>
  </si>
  <si>
    <t>FBA18PM7BB32U000005</t>
  </si>
  <si>
    <t>FBA18PM7BB32U000008</t>
  </si>
  <si>
    <t>FBA18PM7BB32U000009</t>
  </si>
  <si>
    <t>FBA18PM7BB32U000012</t>
  </si>
  <si>
    <t>FBA18PM7BB32U000013</t>
  </si>
  <si>
    <t>FBA18PM7BB32U000014</t>
  </si>
  <si>
    <t>FBA18PMJQBRP
HSV1
箱子 62
共 399</t>
  </si>
  <si>
    <t>FBA18PMJQBRPU000010</t>
  </si>
  <si>
    <t>FBA18PMJQBRPU000011</t>
  </si>
  <si>
    <t>FBA18PMJQBRPU000006</t>
  </si>
  <si>
    <t>FBA18PMJQBRPU000007</t>
  </si>
  <si>
    <t>FBA18PMJQBRPU000008</t>
  </si>
  <si>
    <t>FBA18PMJQBRPU000009</t>
  </si>
  <si>
    <t>FBA18PMJQBRPU000014</t>
  </si>
  <si>
    <t>FBA18PMJQBRPU000015</t>
  </si>
  <si>
    <t>FBA18PMJQBRPU000012</t>
  </si>
  <si>
    <t>FBA18PMJQBRPU000013</t>
  </si>
  <si>
    <t>FBA18PMJQBRPU000016</t>
  </si>
  <si>
    <t>FBA18PMJQBRPU000020</t>
  </si>
  <si>
    <t>FBA18PMJQBRPU000027</t>
  </si>
  <si>
    <t>FBA18PMJQBRPU000031</t>
  </si>
  <si>
    <t>FBA18PMJQBRPU000021</t>
  </si>
  <si>
    <t>FBA18PMJQBRPU000026</t>
  </si>
  <si>
    <t>FBA18PMJQBRPU000001</t>
  </si>
  <si>
    <t>FBA18PMJQBRPU000005</t>
  </si>
  <si>
    <t>FBA18PMJQBRPU000059</t>
  </si>
  <si>
    <t>FBA18PMJQBRPU000062</t>
  </si>
  <si>
    <t>需拆箱把电池
放进琴包的盒
子里面</t>
  </si>
  <si>
    <t>FBA18PMJQBRPU000040</t>
  </si>
  <si>
    <t>FBA18PMJQBRPU000043</t>
  </si>
  <si>
    <t>FBA18PMJQBRPU000044</t>
  </si>
  <si>
    <t>FBA18PMJQBRPU000047</t>
  </si>
  <si>
    <t>FBA18PMJQBRPU000032</t>
  </si>
  <si>
    <t>FBA18PMJQBRPU000035</t>
  </si>
  <si>
    <t>FBA18PMJQBRPU000036</t>
  </si>
  <si>
    <t>FBA18PMJQBRPU000039</t>
  </si>
  <si>
    <t>FBA18PMJQBRPU000048</t>
  </si>
  <si>
    <t>FBA18PMJQBRPU000051</t>
  </si>
  <si>
    <t>FBA18PMJQBRPU000052</t>
  </si>
  <si>
    <t>FBA18PMJQBRPU000055</t>
  </si>
  <si>
    <t>FBA18PMJQBRPU000057</t>
  </si>
  <si>
    <t>FBA18PMJQBRPU000058</t>
  </si>
  <si>
    <t>FBA18PMJQBRPU000056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</si>
</sst>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000000"/>
      <name val="Calibri"/>
      <charset val="0"/>
    </font>
    <font>
      <sz val="12"/>
      <name val="宋体"/>
      <charset val="134"/>
    </font>
    <font>
      <sz val="9"/>
      <color theme="1"/>
      <name val="宋体"/>
      <charset val="134"/>
      <scheme val="minor"/>
    </font>
    <font>
      <sz val="11"/>
      <name val="Calibri"/>
      <charset val="0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sz val="11"/>
      <color rgb="FF000000"/>
      <name val="宋体"/>
      <charset val="0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</font>
    <font>
      <b/>
      <sz val="11"/>
      <color theme="1"/>
      <name val="宋体"/>
      <charset val="134"/>
      <scheme val="minor"/>
    </font>
    <font>
      <sz val="9"/>
      <color rgb="FF000000"/>
      <name val="Calibri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1" borderId="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2" borderId="4" applyNumberFormat="0" applyAlignment="0" applyProtection="0">
      <alignment vertical="center"/>
    </xf>
    <xf numFmtId="0" fontId="24" fillId="13" borderId="5" applyNumberFormat="0" applyAlignment="0" applyProtection="0">
      <alignment vertical="center"/>
    </xf>
    <xf numFmtId="0" fontId="25" fillId="13" borderId="4" applyNumberFormat="0" applyAlignment="0" applyProtection="0">
      <alignment vertical="center"/>
    </xf>
    <xf numFmtId="0" fontId="26" fillId="14" borderId="6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</cellStyleXfs>
  <cellXfs count="10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3" borderId="0" xfId="0" applyFill="1" applyAlignment="1">
      <alignment vertical="center"/>
    </xf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6" borderId="0" xfId="0" applyFill="1">
      <alignment vertical="center"/>
    </xf>
    <xf numFmtId="0" fontId="3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top"/>
    </xf>
    <xf numFmtId="0" fontId="5" fillId="4" borderId="0" xfId="0" applyFont="1" applyFill="1" applyAlignment="1">
      <alignment horizontal="center" vertical="center"/>
    </xf>
    <xf numFmtId="176" fontId="0" fillId="0" borderId="0" xfId="0" applyNumberFormat="1">
      <alignment vertical="center"/>
    </xf>
    <xf numFmtId="0" fontId="0" fillId="4" borderId="0" xfId="0" applyFill="1" applyAlignment="1">
      <alignment vertical="center"/>
    </xf>
    <xf numFmtId="0" fontId="6" fillId="0" borderId="0" xfId="0" applyFont="1" applyFill="1" applyBorder="1" applyAlignment="1">
      <alignment vertical="top"/>
    </xf>
    <xf numFmtId="0" fontId="3" fillId="7" borderId="0" xfId="0" applyFont="1" applyFill="1" applyBorder="1" applyAlignment="1">
      <alignment vertical="top"/>
    </xf>
    <xf numFmtId="0" fontId="0" fillId="0" borderId="0" xfId="0" applyBorder="1">
      <alignment vertical="center"/>
    </xf>
    <xf numFmtId="0" fontId="0" fillId="0" borderId="0" xfId="0" applyBorder="1" applyAlignment="1">
      <alignment horizontal="left" vertical="center" wrapText="1"/>
    </xf>
    <xf numFmtId="0" fontId="0" fillId="8" borderId="0" xfId="0" applyFill="1" applyBorder="1">
      <alignment vertical="center"/>
    </xf>
    <xf numFmtId="0" fontId="0" fillId="8" borderId="0" xfId="0" applyFill="1" applyAlignment="1">
      <alignment vertical="center" wrapText="1"/>
    </xf>
    <xf numFmtId="0" fontId="0" fillId="8" borderId="0" xfId="0" applyFill="1">
      <alignment vertical="center"/>
    </xf>
    <xf numFmtId="0" fontId="7" fillId="0" borderId="0" xfId="0" applyFont="1">
      <alignment vertical="center"/>
    </xf>
    <xf numFmtId="0" fontId="4" fillId="0" borderId="0" xfId="0" applyFont="1" applyFill="1" applyAlignment="1">
      <alignment vertical="center"/>
    </xf>
    <xf numFmtId="0" fontId="8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176" fontId="0" fillId="0" borderId="0" xfId="0" applyNumberFormat="1" applyFill="1">
      <alignment vertical="center"/>
    </xf>
    <xf numFmtId="0" fontId="0" fillId="0" borderId="0" xfId="0" applyFill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0" xfId="0" applyFont="1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8" borderId="0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9" fillId="0" borderId="0" xfId="0" applyFont="1" applyFill="1" applyBorder="1" applyAlignment="1">
      <alignment vertical="top"/>
    </xf>
    <xf numFmtId="0" fontId="7" fillId="0" borderId="0" xfId="0" applyFont="1" applyBorder="1">
      <alignment vertical="center"/>
    </xf>
    <xf numFmtId="0" fontId="7" fillId="0" borderId="0" xfId="0" applyFont="1" applyFill="1">
      <alignment vertical="center"/>
    </xf>
    <xf numFmtId="0" fontId="7" fillId="0" borderId="0" xfId="0" applyFont="1" applyFill="1" applyBorder="1">
      <alignment vertical="center"/>
    </xf>
    <xf numFmtId="0" fontId="7" fillId="2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" fillId="9" borderId="0" xfId="0" applyFont="1" applyFill="1" applyAlignment="1">
      <alignment vertical="center"/>
    </xf>
    <xf numFmtId="0" fontId="7" fillId="0" borderId="0" xfId="0" applyFont="1" applyFill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0" fillId="9" borderId="0" xfId="0" applyFill="1" applyBorder="1">
      <alignment vertical="center"/>
    </xf>
    <xf numFmtId="0" fontId="7" fillId="2" borderId="0" xfId="0" applyFont="1" applyFill="1" applyAlignment="1">
      <alignment horizontal="right" vertical="center"/>
    </xf>
    <xf numFmtId="0" fontId="7" fillId="0" borderId="0" xfId="0" applyFont="1" applyBorder="1" applyAlignment="1">
      <alignment horizontal="center" vertical="center"/>
    </xf>
    <xf numFmtId="176" fontId="7" fillId="0" borderId="0" xfId="0" applyNumberFormat="1" applyFont="1" applyBorder="1">
      <alignment vertical="center"/>
    </xf>
    <xf numFmtId="0" fontId="7" fillId="0" borderId="0" xfId="0" applyFont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8" borderId="0" xfId="0" applyFill="1" applyBorder="1" applyAlignment="1">
      <alignment horizontal="right" vertical="center"/>
    </xf>
    <xf numFmtId="0" fontId="0" fillId="8" borderId="0" xfId="0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ont="1" applyFill="1" applyBorder="1" applyAlignment="1">
      <alignment horizontal="left" vertical="center"/>
    </xf>
    <xf numFmtId="0" fontId="10" fillId="0" borderId="0" xfId="0" applyFont="1" applyFill="1" applyBorder="1">
      <alignment vertical="center"/>
    </xf>
    <xf numFmtId="0" fontId="11" fillId="0" borderId="0" xfId="0" applyFont="1" applyFill="1" applyBorder="1" applyAlignment="1">
      <alignment horizontal="right" vertical="center"/>
    </xf>
    <xf numFmtId="0" fontId="0" fillId="8" borderId="0" xfId="0" applyFont="1" applyFill="1" applyBorder="1" applyAlignment="1">
      <alignment horizontal="left" vertical="center"/>
    </xf>
    <xf numFmtId="0" fontId="10" fillId="8" borderId="0" xfId="0" applyFont="1" applyFill="1" applyBorder="1">
      <alignment vertical="center"/>
    </xf>
    <xf numFmtId="0" fontId="11" fillId="8" borderId="0" xfId="0" applyFont="1" applyFill="1" applyBorder="1" applyAlignment="1">
      <alignment horizontal="right" vertical="center"/>
    </xf>
    <xf numFmtId="0" fontId="0" fillId="10" borderId="0" xfId="0" applyFont="1" applyFill="1" applyBorder="1" applyAlignment="1">
      <alignment horizontal="left" vertical="center"/>
    </xf>
    <xf numFmtId="0" fontId="0" fillId="10" borderId="0" xfId="0" applyFill="1" applyBorder="1">
      <alignment vertical="center"/>
    </xf>
    <xf numFmtId="0" fontId="7" fillId="10" borderId="0" xfId="0" applyFont="1" applyFill="1">
      <alignment vertical="center"/>
    </xf>
    <xf numFmtId="0" fontId="12" fillId="0" borderId="0" xfId="0" applyFont="1" applyFill="1" applyBorder="1">
      <alignment vertical="center"/>
    </xf>
    <xf numFmtId="0" fontId="0" fillId="7" borderId="0" xfId="0" applyFill="1" applyAlignment="1">
      <alignment vertical="center" wrapText="1"/>
    </xf>
    <xf numFmtId="0" fontId="0" fillId="0" borderId="0" xfId="0" applyFont="1" applyFill="1" applyAlignment="1">
      <alignment horizontal="left" vertical="center"/>
    </xf>
    <xf numFmtId="0" fontId="0" fillId="10" borderId="0" xfId="0" applyFont="1" applyFill="1" applyAlignment="1">
      <alignment horizontal="left" vertical="center"/>
    </xf>
    <xf numFmtId="0" fontId="0" fillId="0" borderId="0" xfId="0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7" borderId="0" xfId="0" applyFill="1">
      <alignment vertical="center"/>
    </xf>
    <xf numFmtId="0" fontId="0" fillId="0" borderId="0" xfId="0" applyFont="1" applyFill="1" applyBorder="1" applyAlignment="1">
      <alignment horizontal="right" vertical="center"/>
    </xf>
    <xf numFmtId="0" fontId="0" fillId="0" borderId="0" xfId="0" applyBorder="1" applyAlignment="1">
      <alignment horizontal="left" vertical="center"/>
    </xf>
    <xf numFmtId="0" fontId="10" fillId="0" borderId="0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/>
    </xf>
    <xf numFmtId="0" fontId="10" fillId="8" borderId="0" xfId="0" applyFont="1" applyFill="1" applyBorder="1" applyAlignment="1">
      <alignment horizontal="right" vertical="center"/>
    </xf>
    <xf numFmtId="0" fontId="0" fillId="8" borderId="0" xfId="0" applyFont="1" applyFill="1" applyBorder="1" applyAlignment="1">
      <alignment vertical="center"/>
    </xf>
    <xf numFmtId="0" fontId="10" fillId="2" borderId="0" xfId="0" applyFont="1" applyFill="1" applyBorder="1">
      <alignment vertical="center"/>
    </xf>
    <xf numFmtId="0" fontId="12" fillId="0" borderId="0" xfId="0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left" vertical="center"/>
    </xf>
    <xf numFmtId="0" fontId="0" fillId="2" borderId="0" xfId="0" applyFont="1" applyFill="1" applyAlignment="1">
      <alignment horizontal="right" vertical="center"/>
    </xf>
    <xf numFmtId="0" fontId="0" fillId="8" borderId="0" xfId="0" applyFont="1" applyFill="1" applyBorder="1" applyAlignment="1">
      <alignment horizontal="righ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7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Fill="1" applyBorder="1" applyAlignment="1">
      <alignment vertical="top"/>
    </xf>
    <xf numFmtId="0" fontId="0" fillId="0" borderId="0" xfId="0" applyAlignment="1">
      <alignment vertical="center"/>
    </xf>
    <xf numFmtId="0" fontId="0" fillId="8" borderId="0" xfId="0" applyFill="1" applyAlignment="1">
      <alignment horizontal="right" vertical="center"/>
    </xf>
    <xf numFmtId="0" fontId="0" fillId="8" borderId="0" xfId="0" applyFill="1" applyAlignment="1">
      <alignment vertical="center"/>
    </xf>
    <xf numFmtId="0" fontId="12" fillId="0" borderId="0" xfId="0" applyFont="1" applyFill="1" applyBorder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8" borderId="0" xfId="0" applyFill="1" applyBorder="1" applyAlignment="1">
      <alignment horizontal="left" vertical="center"/>
    </xf>
    <xf numFmtId="0" fontId="7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3"/>
  <sheetViews>
    <sheetView topLeftCell="C1" workbookViewId="0">
      <pane ySplit="1" topLeftCell="A63" activePane="bottomLeft" state="frozen"/>
      <selection/>
      <selection pane="bottomLeft" activeCell="D97" sqref="D97"/>
    </sheetView>
  </sheetViews>
  <sheetFormatPr defaultColWidth="9" defaultRowHeight="13.5"/>
  <cols>
    <col min="1" max="1" width="15.675" customWidth="1"/>
    <col min="2" max="2" width="19.3333333333333" customWidth="1"/>
    <col min="3" max="3" width="31.7416666666667" customWidth="1"/>
    <col min="4" max="4" width="15.0083333333333" customWidth="1"/>
    <col min="5" max="5" width="16.3833333333333" customWidth="1"/>
    <col min="6" max="6" width="11" customWidth="1"/>
    <col min="7" max="7" width="10.8166666666667" customWidth="1"/>
    <col min="8" max="8" width="12.55" customWidth="1"/>
    <col min="9" max="9" width="11" customWidth="1"/>
    <col min="10" max="10" width="11" style="2" customWidth="1"/>
    <col min="11" max="11" width="17.3166666666667" style="3" customWidth="1"/>
    <col min="12" max="12" width="13.8583333333333" customWidth="1"/>
    <col min="13" max="13" width="15.8666666666667" customWidth="1"/>
    <col min="14" max="14" width="10.8583333333333" customWidth="1"/>
    <col min="15" max="15" width="10.7583333333333" customWidth="1"/>
    <col min="16" max="16" width="12" customWidth="1"/>
    <col min="17" max="17" width="13.5583333333333" customWidth="1"/>
  </cols>
  <sheetData>
    <row r="1" s="1" customFormat="1" ht="14.25" spans="1:17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12" t="s">
        <v>15</v>
      </c>
      <c r="Q1" s="14" t="s">
        <v>16</v>
      </c>
    </row>
    <row r="2" customFormat="1" spans="1:15">
      <c r="A2" s="8" t="s">
        <v>17</v>
      </c>
      <c r="B2" s="17" t="s">
        <v>18</v>
      </c>
      <c r="C2" s="55" t="s">
        <v>19</v>
      </c>
      <c r="D2" s="55" t="s">
        <v>20</v>
      </c>
      <c r="E2" s="55" t="s">
        <v>21</v>
      </c>
      <c r="F2" s="56">
        <v>150</v>
      </c>
      <c r="G2" s="56">
        <v>1</v>
      </c>
      <c r="H2" s="57">
        <f>F2*6</f>
        <v>900</v>
      </c>
      <c r="I2" s="73">
        <v>6</v>
      </c>
      <c r="J2" s="74">
        <f t="shared" ref="J2:J7" si="0">F2/G2</f>
        <v>150</v>
      </c>
      <c r="K2" s="55" t="s">
        <v>22</v>
      </c>
      <c r="L2" s="17">
        <f>(42*31*16)/1000000</f>
        <v>0.020832</v>
      </c>
      <c r="M2" s="27">
        <v>3.15</v>
      </c>
      <c r="N2" s="17">
        <f t="shared" ref="N2:N7" si="1">M2*J2</f>
        <v>472.5</v>
      </c>
      <c r="O2" s="29">
        <f t="shared" ref="O2:O7" si="2">L2*J2</f>
        <v>3.1248</v>
      </c>
    </row>
    <row r="3" spans="1:18">
      <c r="A3" s="21" t="s">
        <v>23</v>
      </c>
      <c r="B3" s="19" t="s">
        <v>24</v>
      </c>
      <c r="C3" s="58" t="s">
        <v>25</v>
      </c>
      <c r="D3" s="58" t="s">
        <v>26</v>
      </c>
      <c r="E3" s="58" t="s">
        <v>27</v>
      </c>
      <c r="F3" s="59">
        <v>192</v>
      </c>
      <c r="G3" s="59">
        <v>8</v>
      </c>
      <c r="H3" s="60">
        <f>F3*12</f>
        <v>2304</v>
      </c>
      <c r="I3" s="75">
        <v>96</v>
      </c>
      <c r="J3" s="75">
        <f t="shared" si="0"/>
        <v>24</v>
      </c>
      <c r="K3" s="58" t="s">
        <v>28</v>
      </c>
      <c r="L3" s="19">
        <v>0.04455</v>
      </c>
      <c r="M3" s="51">
        <v>17.5</v>
      </c>
      <c r="N3" s="19">
        <f t="shared" si="1"/>
        <v>420</v>
      </c>
      <c r="O3" s="76">
        <f t="shared" si="2"/>
        <v>1.0692</v>
      </c>
      <c r="P3" s="21"/>
      <c r="Q3" s="21"/>
      <c r="R3" s="21"/>
    </row>
    <row r="4" spans="2:15">
      <c r="B4" s="17" t="s">
        <v>29</v>
      </c>
      <c r="C4" s="55" t="s">
        <v>30</v>
      </c>
      <c r="D4" s="61" t="s">
        <v>31</v>
      </c>
      <c r="E4" s="55" t="s">
        <v>32</v>
      </c>
      <c r="F4" s="56">
        <v>72</v>
      </c>
      <c r="G4" s="56">
        <v>6</v>
      </c>
      <c r="H4" s="57">
        <f>F4*12</f>
        <v>864</v>
      </c>
      <c r="I4" s="73">
        <v>72</v>
      </c>
      <c r="J4" s="74">
        <f t="shared" si="0"/>
        <v>12</v>
      </c>
      <c r="K4" s="55" t="s">
        <v>33</v>
      </c>
      <c r="L4" s="17">
        <f>(51*33*38)/1000000</f>
        <v>0.063954</v>
      </c>
      <c r="M4" s="17">
        <v>16.8</v>
      </c>
      <c r="N4" s="17">
        <f t="shared" si="1"/>
        <v>201.6</v>
      </c>
      <c r="O4" s="29">
        <f t="shared" si="2"/>
        <v>0.767448</v>
      </c>
    </row>
    <row r="5" spans="2:15">
      <c r="B5" s="17" t="s">
        <v>29</v>
      </c>
      <c r="C5" s="17" t="s">
        <v>34</v>
      </c>
      <c r="D5" s="62" t="s">
        <v>35</v>
      </c>
      <c r="E5" s="17" t="s">
        <v>36</v>
      </c>
      <c r="F5" s="56">
        <v>216</v>
      </c>
      <c r="G5" s="56">
        <v>12</v>
      </c>
      <c r="H5" s="57">
        <f>F5*6</f>
        <v>1296</v>
      </c>
      <c r="I5" s="56">
        <v>72</v>
      </c>
      <c r="J5" s="77">
        <f t="shared" si="0"/>
        <v>18</v>
      </c>
      <c r="K5" s="17" t="s">
        <v>37</v>
      </c>
      <c r="L5" s="17">
        <f>(50*35*38)/1000000</f>
        <v>0.0665</v>
      </c>
      <c r="M5" s="17">
        <v>17</v>
      </c>
      <c r="N5" s="17">
        <f t="shared" si="1"/>
        <v>306</v>
      </c>
      <c r="O5" s="29">
        <f t="shared" si="2"/>
        <v>1.197</v>
      </c>
    </row>
    <row r="6" spans="2:15">
      <c r="B6" s="22" t="s">
        <v>38</v>
      </c>
      <c r="C6" s="22" t="s">
        <v>39</v>
      </c>
      <c r="D6" s="63" t="s">
        <v>40</v>
      </c>
      <c r="E6" s="22" t="s">
        <v>41</v>
      </c>
      <c r="F6" s="37">
        <v>288</v>
      </c>
      <c r="G6" s="64">
        <v>6</v>
      </c>
      <c r="H6" s="64">
        <f>F6*6</f>
        <v>1728</v>
      </c>
      <c r="I6" s="78">
        <v>36</v>
      </c>
      <c r="J6" s="79">
        <f t="shared" si="0"/>
        <v>48</v>
      </c>
      <c r="K6" s="80" t="s">
        <v>42</v>
      </c>
      <c r="L6" s="36">
        <f>(61.5*31.5*36)/1000000</f>
        <v>0.069741</v>
      </c>
      <c r="M6" s="43">
        <v>12.1</v>
      </c>
      <c r="N6" s="36">
        <f t="shared" si="1"/>
        <v>580.8</v>
      </c>
      <c r="O6" s="40">
        <f t="shared" si="2"/>
        <v>3.347568</v>
      </c>
    </row>
    <row r="7" s="3" customFormat="1" spans="1:15">
      <c r="A7" s="65" t="s">
        <v>43</v>
      </c>
      <c r="B7" s="17" t="s">
        <v>44</v>
      </c>
      <c r="C7" s="66" t="s">
        <v>45</v>
      </c>
      <c r="D7" s="67" t="s">
        <v>46</v>
      </c>
      <c r="E7" s="66" t="s">
        <v>47</v>
      </c>
      <c r="F7" s="68">
        <v>108</v>
      </c>
      <c r="G7" s="69">
        <v>36</v>
      </c>
      <c r="H7" s="27">
        <f>F7*2</f>
        <v>216</v>
      </c>
      <c r="I7" s="71">
        <v>72</v>
      </c>
      <c r="J7" s="81">
        <f t="shared" si="0"/>
        <v>3</v>
      </c>
      <c r="K7" s="55" t="s">
        <v>48</v>
      </c>
      <c r="L7" s="17">
        <f>(48*44*36)/1000000</f>
        <v>0.076032</v>
      </c>
      <c r="M7" s="27">
        <v>17</v>
      </c>
      <c r="N7" s="17">
        <f t="shared" si="1"/>
        <v>51</v>
      </c>
      <c r="O7" s="29">
        <f t="shared" si="2"/>
        <v>0.228096</v>
      </c>
    </row>
    <row r="8" s="3" customFormat="1" spans="1:15">
      <c r="A8" s="70"/>
      <c r="B8" s="17" t="s">
        <v>49</v>
      </c>
      <c r="C8" s="66"/>
      <c r="D8" s="67"/>
      <c r="E8" s="66"/>
      <c r="F8" s="68"/>
      <c r="G8" s="69"/>
      <c r="H8" s="27">
        <f>F7*2</f>
        <v>216</v>
      </c>
      <c r="I8" s="71">
        <v>72</v>
      </c>
      <c r="J8" s="81"/>
      <c r="K8" s="55"/>
      <c r="L8" s="17"/>
      <c r="M8" s="27"/>
      <c r="N8" s="17"/>
      <c r="O8" s="29"/>
    </row>
    <row r="9" s="21" customFormat="1" spans="1:15">
      <c r="A9" s="21" t="s">
        <v>50</v>
      </c>
      <c r="B9" s="19" t="s">
        <v>51</v>
      </c>
      <c r="C9" s="58" t="s">
        <v>52</v>
      </c>
      <c r="D9" s="58" t="s">
        <v>53</v>
      </c>
      <c r="E9" s="58" t="s">
        <v>54</v>
      </c>
      <c r="F9" s="19">
        <v>24</v>
      </c>
      <c r="G9" s="19">
        <v>24</v>
      </c>
      <c r="H9" s="51">
        <f>F9*2</f>
        <v>48</v>
      </c>
      <c r="I9" s="82">
        <v>48</v>
      </c>
      <c r="J9" s="82">
        <v>1</v>
      </c>
      <c r="K9" s="58" t="s">
        <v>55</v>
      </c>
      <c r="L9" s="19">
        <f>45*33*29/1000000</f>
        <v>0.043065</v>
      </c>
      <c r="M9" s="51">
        <v>4.27</v>
      </c>
      <c r="N9" s="19">
        <f>M9*J9</f>
        <v>4.27</v>
      </c>
      <c r="O9" s="76">
        <f>L9*J9</f>
        <v>0.043065</v>
      </c>
    </row>
    <row r="10" spans="15:15">
      <c r="O10" s="95"/>
    </row>
    <row r="11" spans="2:15">
      <c r="B11" s="17" t="s">
        <v>56</v>
      </c>
      <c r="C11" s="45" t="s">
        <v>57</v>
      </c>
      <c r="D11" s="17" t="s">
        <v>58</v>
      </c>
      <c r="E11" s="17" t="s">
        <v>59</v>
      </c>
      <c r="F11" s="71">
        <v>400</v>
      </c>
      <c r="G11" s="54">
        <v>20</v>
      </c>
      <c r="H11" s="71">
        <f>F11</f>
        <v>400</v>
      </c>
      <c r="I11" s="54">
        <v>20</v>
      </c>
      <c r="J11" s="27">
        <f t="shared" ref="J11:J13" si="3">F11/G11</f>
        <v>20</v>
      </c>
      <c r="K11" s="83" t="s">
        <v>60</v>
      </c>
      <c r="L11" s="28">
        <v>0.05544</v>
      </c>
      <c r="M11" s="27">
        <v>20.4</v>
      </c>
      <c r="N11" s="27">
        <f t="shared" ref="N11:N16" si="4">M11*J11</f>
        <v>408</v>
      </c>
      <c r="O11" s="50">
        <f t="shared" ref="O11:O16" si="5">L11*J11</f>
        <v>1.1088</v>
      </c>
    </row>
    <row r="12" spans="2:15">
      <c r="B12" s="17" t="s">
        <v>61</v>
      </c>
      <c r="C12" s="45" t="s">
        <v>62</v>
      </c>
      <c r="D12" s="17" t="s">
        <v>63</v>
      </c>
      <c r="E12" s="17" t="s">
        <v>64</v>
      </c>
      <c r="F12" s="71">
        <v>150</v>
      </c>
      <c r="G12" s="54">
        <v>3</v>
      </c>
      <c r="H12" s="71">
        <f>F12</f>
        <v>150</v>
      </c>
      <c r="I12" s="54">
        <v>3</v>
      </c>
      <c r="J12" s="27">
        <f t="shared" si="3"/>
        <v>50</v>
      </c>
      <c r="K12" s="83" t="s">
        <v>65</v>
      </c>
      <c r="L12" s="28">
        <v>0.089255875</v>
      </c>
      <c r="M12" s="28">
        <v>17.3</v>
      </c>
      <c r="N12" s="27">
        <f t="shared" si="4"/>
        <v>865</v>
      </c>
      <c r="O12" s="50">
        <f t="shared" si="5"/>
        <v>4.46279375</v>
      </c>
    </row>
    <row r="13" spans="2:15">
      <c r="B13" t="s">
        <v>66</v>
      </c>
      <c r="C13" s="72" t="s">
        <v>67</v>
      </c>
      <c r="D13" s="72" t="s">
        <v>68</v>
      </c>
      <c r="E13" s="17" t="s">
        <v>69</v>
      </c>
      <c r="F13" s="71">
        <v>450</v>
      </c>
      <c r="G13" s="27">
        <v>15</v>
      </c>
      <c r="H13" s="71">
        <f>F13</f>
        <v>450</v>
      </c>
      <c r="I13" s="27">
        <v>30</v>
      </c>
      <c r="J13" s="27">
        <f t="shared" si="3"/>
        <v>30</v>
      </c>
      <c r="K13" s="72" t="s">
        <v>70</v>
      </c>
      <c r="L13" s="28">
        <v>0.011368</v>
      </c>
      <c r="M13" s="28">
        <v>5.57</v>
      </c>
      <c r="N13" s="28">
        <f>J13*M13</f>
        <v>167.1</v>
      </c>
      <c r="O13" s="84">
        <f>J13*L13</f>
        <v>0.34104</v>
      </c>
    </row>
    <row r="14" spans="3:15">
      <c r="C14" s="72"/>
      <c r="D14" s="72"/>
      <c r="E14" s="17" t="s">
        <v>71</v>
      </c>
      <c r="F14" s="71"/>
      <c r="G14" s="27"/>
      <c r="H14" s="71">
        <f>F13</f>
        <v>450</v>
      </c>
      <c r="I14" s="27"/>
      <c r="J14" s="27"/>
      <c r="K14" s="72" t="s">
        <v>70</v>
      </c>
      <c r="L14" s="28"/>
      <c r="M14" s="28"/>
      <c r="N14" s="28"/>
      <c r="O14" s="84"/>
    </row>
    <row r="15" spans="2:15">
      <c r="B15" s="34" t="s">
        <v>72</v>
      </c>
      <c r="C15" s="34" t="s">
        <v>73</v>
      </c>
      <c r="D15" s="34" t="s">
        <v>74</v>
      </c>
      <c r="E15" s="34" t="s">
        <v>75</v>
      </c>
      <c r="F15" s="34">
        <v>500</v>
      </c>
      <c r="G15" s="34">
        <v>50</v>
      </c>
      <c r="H15" s="34">
        <f t="shared" ref="H15:H39" si="6">F15</f>
        <v>500</v>
      </c>
      <c r="I15" s="34">
        <v>50</v>
      </c>
      <c r="J15" s="34">
        <f t="shared" ref="J15:J39" si="7">F15/G15</f>
        <v>10</v>
      </c>
      <c r="K15" s="85" t="s">
        <v>76</v>
      </c>
      <c r="L15" s="80">
        <f>43*36*27/1000000</f>
        <v>0.041796</v>
      </c>
      <c r="M15" s="86">
        <v>11</v>
      </c>
      <c r="N15" s="27">
        <f t="shared" si="4"/>
        <v>110</v>
      </c>
      <c r="O15" s="29">
        <f t="shared" si="5"/>
        <v>0.41796</v>
      </c>
    </row>
    <row r="16" spans="2:15">
      <c r="B16" s="34" t="s">
        <v>77</v>
      </c>
      <c r="C16" s="34" t="s">
        <v>78</v>
      </c>
      <c r="D16" s="34" t="s">
        <v>79</v>
      </c>
      <c r="E16" s="34" t="s">
        <v>80</v>
      </c>
      <c r="F16" s="34">
        <v>200</v>
      </c>
      <c r="G16" s="34">
        <v>50</v>
      </c>
      <c r="H16" s="34">
        <f t="shared" si="6"/>
        <v>200</v>
      </c>
      <c r="I16" s="34">
        <v>50</v>
      </c>
      <c r="J16" s="34">
        <f t="shared" si="7"/>
        <v>4</v>
      </c>
      <c r="K16" s="85" t="s">
        <v>76</v>
      </c>
      <c r="L16" s="80">
        <f>43*36*27/1000000</f>
        <v>0.041796</v>
      </c>
      <c r="M16" s="86">
        <v>11</v>
      </c>
      <c r="N16" s="27">
        <f t="shared" si="4"/>
        <v>44</v>
      </c>
      <c r="O16" s="29">
        <f t="shared" si="5"/>
        <v>0.167184</v>
      </c>
    </row>
    <row r="17" spans="15:15">
      <c r="O17" s="95"/>
    </row>
    <row r="18" spans="15:15">
      <c r="O18" s="95"/>
    </row>
    <row r="19" ht="15" spans="1:15">
      <c r="A19" s="8" t="s">
        <v>81</v>
      </c>
      <c r="B19" t="s">
        <v>82</v>
      </c>
      <c r="C19" s="3" t="s">
        <v>83</v>
      </c>
      <c r="D19" s="3" t="s">
        <v>84</v>
      </c>
      <c r="E19" s="94" t="s">
        <v>85</v>
      </c>
      <c r="F19" s="10">
        <v>12</v>
      </c>
      <c r="G19" s="11">
        <v>6</v>
      </c>
      <c r="H19" s="10">
        <f t="shared" si="6"/>
        <v>12</v>
      </c>
      <c r="I19" s="11">
        <v>6</v>
      </c>
      <c r="J19">
        <f>F19/G19</f>
        <v>2</v>
      </c>
      <c r="K19" s="3" t="s">
        <v>86</v>
      </c>
      <c r="L19" s="13">
        <v>0.246</v>
      </c>
      <c r="M19" s="13">
        <v>18</v>
      </c>
      <c r="N19" s="3">
        <f t="shared" ref="N19:N39" si="8">M19*J19</f>
        <v>36</v>
      </c>
      <c r="O19" s="1">
        <f t="shared" ref="O19:O39" si="9">L19*J19</f>
        <v>0.492</v>
      </c>
    </row>
    <row r="20" ht="15" spans="2:15">
      <c r="B20" t="s">
        <v>87</v>
      </c>
      <c r="C20" s="3" t="s">
        <v>88</v>
      </c>
      <c r="D20" s="3" t="s">
        <v>89</v>
      </c>
      <c r="E20" s="15" t="s">
        <v>90</v>
      </c>
      <c r="F20" s="10">
        <v>5</v>
      </c>
      <c r="G20" s="11">
        <v>1</v>
      </c>
      <c r="H20" s="10">
        <f t="shared" si="6"/>
        <v>5</v>
      </c>
      <c r="I20" s="11">
        <v>1</v>
      </c>
      <c r="J20">
        <f t="shared" si="7"/>
        <v>5</v>
      </c>
      <c r="K20" s="3" t="s">
        <v>91</v>
      </c>
      <c r="L20" s="13">
        <v>0.178</v>
      </c>
      <c r="M20" s="13">
        <v>8.6</v>
      </c>
      <c r="N20" s="3">
        <f t="shared" si="8"/>
        <v>43</v>
      </c>
      <c r="O20" s="1">
        <f t="shared" si="9"/>
        <v>0.89</v>
      </c>
    </row>
    <row r="21" ht="15" spans="2:15">
      <c r="B21" t="s">
        <v>87</v>
      </c>
      <c r="C21" s="3" t="s">
        <v>92</v>
      </c>
      <c r="D21" s="3" t="s">
        <v>93</v>
      </c>
      <c r="E21" s="15" t="s">
        <v>94</v>
      </c>
      <c r="F21" s="10">
        <v>5</v>
      </c>
      <c r="G21" s="11">
        <v>1</v>
      </c>
      <c r="H21" s="10">
        <f t="shared" si="6"/>
        <v>5</v>
      </c>
      <c r="I21" s="11">
        <v>1</v>
      </c>
      <c r="J21">
        <f t="shared" si="7"/>
        <v>5</v>
      </c>
      <c r="K21" s="3" t="s">
        <v>91</v>
      </c>
      <c r="L21" s="13">
        <v>0.178</v>
      </c>
      <c r="M21" s="13">
        <v>7.7</v>
      </c>
      <c r="N21" s="3">
        <f t="shared" si="8"/>
        <v>38.5</v>
      </c>
      <c r="O21" s="1">
        <f t="shared" si="9"/>
        <v>0.89</v>
      </c>
    </row>
    <row r="22" ht="15" spans="2:15">
      <c r="B22" t="s">
        <v>87</v>
      </c>
      <c r="C22" s="3" t="s">
        <v>95</v>
      </c>
      <c r="D22" s="3" t="s">
        <v>96</v>
      </c>
      <c r="E22" s="15" t="s">
        <v>97</v>
      </c>
      <c r="F22" s="10">
        <v>5</v>
      </c>
      <c r="G22" s="11">
        <v>1</v>
      </c>
      <c r="H22" s="10">
        <f t="shared" si="6"/>
        <v>5</v>
      </c>
      <c r="I22" s="11">
        <v>1</v>
      </c>
      <c r="J22">
        <f t="shared" si="7"/>
        <v>5</v>
      </c>
      <c r="K22" s="3" t="s">
        <v>91</v>
      </c>
      <c r="L22" s="13">
        <v>0.178</v>
      </c>
      <c r="M22" s="13">
        <v>8.6</v>
      </c>
      <c r="N22" s="3">
        <f t="shared" si="8"/>
        <v>43</v>
      </c>
      <c r="O22" s="1">
        <f t="shared" si="9"/>
        <v>0.89</v>
      </c>
    </row>
    <row r="23" ht="15" spans="2:15">
      <c r="B23" t="s">
        <v>98</v>
      </c>
      <c r="C23" s="3" t="s">
        <v>99</v>
      </c>
      <c r="D23" s="3" t="s">
        <v>100</v>
      </c>
      <c r="E23" s="15" t="s">
        <v>101</v>
      </c>
      <c r="F23" s="10">
        <v>10</v>
      </c>
      <c r="G23" s="11">
        <v>10</v>
      </c>
      <c r="H23" s="10">
        <f t="shared" si="6"/>
        <v>10</v>
      </c>
      <c r="I23" s="11">
        <v>10</v>
      </c>
      <c r="J23">
        <f t="shared" si="7"/>
        <v>1</v>
      </c>
      <c r="K23" s="3" t="s">
        <v>102</v>
      </c>
      <c r="L23" s="13">
        <v>0.2625</v>
      </c>
      <c r="M23" s="13">
        <v>20.275</v>
      </c>
      <c r="N23" s="3">
        <f t="shared" si="8"/>
        <v>20.275</v>
      </c>
      <c r="O23" s="1">
        <f t="shared" si="9"/>
        <v>0.2625</v>
      </c>
    </row>
    <row r="24" s="3" customFormat="1" ht="15" spans="1:15">
      <c r="A24" s="3" t="s">
        <v>23</v>
      </c>
      <c r="B24" s="3" t="s">
        <v>98</v>
      </c>
      <c r="C24" s="3" t="s">
        <v>103</v>
      </c>
      <c r="D24" s="3" t="s">
        <v>104</v>
      </c>
      <c r="E24" s="16" t="s">
        <v>105</v>
      </c>
      <c r="F24" s="10">
        <v>10</v>
      </c>
      <c r="G24" s="11">
        <v>10</v>
      </c>
      <c r="H24" s="10">
        <f t="shared" si="6"/>
        <v>10</v>
      </c>
      <c r="I24" s="11">
        <v>10</v>
      </c>
      <c r="J24" s="3">
        <f t="shared" si="7"/>
        <v>1</v>
      </c>
      <c r="K24" s="3" t="s">
        <v>106</v>
      </c>
      <c r="L24" s="26">
        <v>0.303</v>
      </c>
      <c r="M24" s="26">
        <v>22.5</v>
      </c>
      <c r="N24" s="3">
        <f t="shared" si="8"/>
        <v>22.5</v>
      </c>
      <c r="O24" s="1">
        <f t="shared" si="9"/>
        <v>0.303</v>
      </c>
    </row>
    <row r="25" ht="14.25" spans="2:15">
      <c r="B25" t="s">
        <v>98</v>
      </c>
      <c r="C25" s="3" t="s">
        <v>107</v>
      </c>
      <c r="D25" t="s">
        <v>108</v>
      </c>
      <c r="E25" t="s">
        <v>109</v>
      </c>
      <c r="F25">
        <v>36</v>
      </c>
      <c r="G25">
        <v>6</v>
      </c>
      <c r="H25" s="10">
        <f t="shared" si="6"/>
        <v>36</v>
      </c>
      <c r="I25">
        <v>6</v>
      </c>
      <c r="J25">
        <f t="shared" si="7"/>
        <v>6</v>
      </c>
      <c r="K25" s="3" t="s">
        <v>110</v>
      </c>
      <c r="L25">
        <v>0.26</v>
      </c>
      <c r="M25">
        <v>16.02</v>
      </c>
      <c r="N25" s="3">
        <f t="shared" si="8"/>
        <v>96.12</v>
      </c>
      <c r="O25" s="1">
        <f t="shared" si="9"/>
        <v>1.56</v>
      </c>
    </row>
    <row r="26" ht="14.25" spans="2:15">
      <c r="B26" t="s">
        <v>98</v>
      </c>
      <c r="C26" s="3" t="s">
        <v>111</v>
      </c>
      <c r="D26" t="s">
        <v>112</v>
      </c>
      <c r="E26" t="s">
        <v>113</v>
      </c>
      <c r="F26">
        <v>36</v>
      </c>
      <c r="G26">
        <v>6</v>
      </c>
      <c r="H26" s="10">
        <f t="shared" si="6"/>
        <v>36</v>
      </c>
      <c r="I26">
        <v>6</v>
      </c>
      <c r="J26">
        <f t="shared" si="7"/>
        <v>6</v>
      </c>
      <c r="K26" s="3" t="s">
        <v>114</v>
      </c>
      <c r="L26">
        <v>0.26</v>
      </c>
      <c r="M26">
        <v>16.02</v>
      </c>
      <c r="N26" s="3">
        <f t="shared" si="8"/>
        <v>96.12</v>
      </c>
      <c r="O26" s="1">
        <f t="shared" si="9"/>
        <v>1.56</v>
      </c>
    </row>
    <row r="27" ht="14.25" spans="2:15">
      <c r="B27" t="s">
        <v>98</v>
      </c>
      <c r="C27" t="s">
        <v>115</v>
      </c>
      <c r="D27" t="s">
        <v>116</v>
      </c>
      <c r="E27" t="s">
        <v>117</v>
      </c>
      <c r="F27">
        <v>24</v>
      </c>
      <c r="G27">
        <v>6</v>
      </c>
      <c r="H27" s="10">
        <f t="shared" si="6"/>
        <v>24</v>
      </c>
      <c r="I27">
        <v>6</v>
      </c>
      <c r="J27">
        <f t="shared" si="7"/>
        <v>4</v>
      </c>
      <c r="K27" s="3" t="s">
        <v>114</v>
      </c>
      <c r="L27">
        <v>0.26</v>
      </c>
      <c r="M27">
        <v>16.02</v>
      </c>
      <c r="N27" s="3">
        <f t="shared" si="8"/>
        <v>64.08</v>
      </c>
      <c r="O27" s="1">
        <f t="shared" si="9"/>
        <v>1.04</v>
      </c>
    </row>
    <row r="28" ht="14.25" spans="2:15">
      <c r="B28" t="s">
        <v>98</v>
      </c>
      <c r="C28" s="3" t="s">
        <v>118</v>
      </c>
      <c r="D28" s="3" t="s">
        <v>119</v>
      </c>
      <c r="E28" t="s">
        <v>120</v>
      </c>
      <c r="F28">
        <v>36</v>
      </c>
      <c r="G28">
        <v>6</v>
      </c>
      <c r="H28" s="10">
        <f t="shared" si="6"/>
        <v>36</v>
      </c>
      <c r="I28">
        <v>6</v>
      </c>
      <c r="J28">
        <f t="shared" si="7"/>
        <v>6</v>
      </c>
      <c r="K28" s="3" t="s">
        <v>114</v>
      </c>
      <c r="L28">
        <v>0.26</v>
      </c>
      <c r="M28">
        <v>16.02</v>
      </c>
      <c r="N28" s="3">
        <f t="shared" si="8"/>
        <v>96.12</v>
      </c>
      <c r="O28" s="1">
        <f t="shared" si="9"/>
        <v>1.56</v>
      </c>
    </row>
    <row r="29" ht="14.25" spans="2:15">
      <c r="B29" s="22" t="s">
        <v>98</v>
      </c>
      <c r="C29" s="34" t="s">
        <v>121</v>
      </c>
      <c r="D29" s="22" t="s">
        <v>122</v>
      </c>
      <c r="E29" s="35" t="s">
        <v>123</v>
      </c>
      <c r="F29" s="37">
        <v>36</v>
      </c>
      <c r="G29" s="36">
        <v>6</v>
      </c>
      <c r="H29" s="10">
        <f t="shared" si="6"/>
        <v>36</v>
      </c>
      <c r="I29" s="36">
        <v>6</v>
      </c>
      <c r="J29" s="39">
        <f t="shared" si="7"/>
        <v>6</v>
      </c>
      <c r="K29" s="22" t="s">
        <v>124</v>
      </c>
      <c r="L29" s="22">
        <v>0.260409448818898</v>
      </c>
      <c r="M29" s="22">
        <v>16.0251968503937</v>
      </c>
      <c r="N29" s="36">
        <f t="shared" si="8"/>
        <v>96.1511811023622</v>
      </c>
      <c r="O29" s="40">
        <f t="shared" si="9"/>
        <v>1.56245669291339</v>
      </c>
    </row>
    <row r="30" ht="14.25" spans="2:15">
      <c r="B30" s="37" t="s">
        <v>98</v>
      </c>
      <c r="C30" s="34" t="s">
        <v>125</v>
      </c>
      <c r="D30" s="37" t="s">
        <v>126</v>
      </c>
      <c r="E30" s="35" t="s">
        <v>127</v>
      </c>
      <c r="F30" s="37">
        <v>36</v>
      </c>
      <c r="G30" s="38">
        <v>6</v>
      </c>
      <c r="H30" s="10">
        <f t="shared" si="6"/>
        <v>36</v>
      </c>
      <c r="I30" s="38">
        <v>6</v>
      </c>
      <c r="J30" s="39">
        <f t="shared" si="7"/>
        <v>6</v>
      </c>
      <c r="K30" s="37" t="s">
        <v>124</v>
      </c>
      <c r="L30" s="37">
        <v>0.26</v>
      </c>
      <c r="M30" s="37">
        <v>16</v>
      </c>
      <c r="N30" s="38">
        <f t="shared" si="8"/>
        <v>96</v>
      </c>
      <c r="O30" s="40">
        <f t="shared" si="9"/>
        <v>1.56</v>
      </c>
    </row>
    <row r="31" ht="14.25" spans="1:15">
      <c r="A31" t="s">
        <v>128</v>
      </c>
      <c r="B31" s="37" t="s">
        <v>98</v>
      </c>
      <c r="C31" s="34" t="s">
        <v>129</v>
      </c>
      <c r="D31" s="37" t="s">
        <v>130</v>
      </c>
      <c r="E31" s="35" t="s">
        <v>131</v>
      </c>
      <c r="F31" s="37">
        <v>10</v>
      </c>
      <c r="G31" s="37">
        <v>10</v>
      </c>
      <c r="H31" s="10">
        <f t="shared" si="6"/>
        <v>10</v>
      </c>
      <c r="I31" s="37">
        <v>10</v>
      </c>
      <c r="J31" s="39">
        <f t="shared" si="7"/>
        <v>1</v>
      </c>
      <c r="K31" s="37" t="s">
        <v>132</v>
      </c>
      <c r="L31" s="37">
        <v>0.23</v>
      </c>
      <c r="M31" s="37">
        <v>16.5</v>
      </c>
      <c r="N31" s="38">
        <f t="shared" si="8"/>
        <v>16.5</v>
      </c>
      <c r="O31" s="40">
        <f t="shared" si="9"/>
        <v>0.23</v>
      </c>
    </row>
    <row r="32" ht="14.25" spans="2:15">
      <c r="B32" s="17" t="s">
        <v>66</v>
      </c>
      <c r="C32" s="45" t="s">
        <v>133</v>
      </c>
      <c r="D32" s="17" t="s">
        <v>134</v>
      </c>
      <c r="E32" s="45" t="s">
        <v>135</v>
      </c>
      <c r="F32">
        <v>180</v>
      </c>
      <c r="G32">
        <v>30</v>
      </c>
      <c r="H32" s="10">
        <f t="shared" si="6"/>
        <v>180</v>
      </c>
      <c r="I32">
        <v>30</v>
      </c>
      <c r="J32">
        <f t="shared" si="7"/>
        <v>6</v>
      </c>
      <c r="K32" s="28" t="s">
        <v>70</v>
      </c>
      <c r="L32" s="28">
        <v>0.011564</v>
      </c>
      <c r="M32" s="27">
        <v>10.5</v>
      </c>
      <c r="N32" s="27">
        <f t="shared" si="8"/>
        <v>63</v>
      </c>
      <c r="O32" s="50">
        <f t="shared" si="9"/>
        <v>0.069384</v>
      </c>
    </row>
    <row r="33" ht="14.25" spans="2:15">
      <c r="B33" s="17" t="s">
        <v>66</v>
      </c>
      <c r="C33" s="45" t="s">
        <v>136</v>
      </c>
      <c r="D33" s="17" t="s">
        <v>137</v>
      </c>
      <c r="E33" s="45" t="s">
        <v>138</v>
      </c>
      <c r="F33">
        <v>90</v>
      </c>
      <c r="G33">
        <v>30</v>
      </c>
      <c r="H33" s="10">
        <f t="shared" si="6"/>
        <v>90</v>
      </c>
      <c r="I33">
        <v>30</v>
      </c>
      <c r="J33">
        <f t="shared" si="7"/>
        <v>3</v>
      </c>
      <c r="K33" s="28" t="s">
        <v>70</v>
      </c>
      <c r="L33" s="28">
        <v>0.011564</v>
      </c>
      <c r="M33" s="27">
        <v>10.5</v>
      </c>
      <c r="N33" s="27">
        <f t="shared" si="8"/>
        <v>31.5</v>
      </c>
      <c r="O33" s="50">
        <f t="shared" si="9"/>
        <v>0.034692</v>
      </c>
    </row>
    <row r="34" ht="14.25" spans="2:15">
      <c r="B34" s="17" t="s">
        <v>139</v>
      </c>
      <c r="C34" s="17" t="s">
        <v>140</v>
      </c>
      <c r="D34" s="17" t="s">
        <v>141</v>
      </c>
      <c r="E34" s="17" t="s">
        <v>142</v>
      </c>
      <c r="F34" s="17">
        <v>96</v>
      </c>
      <c r="G34" s="17">
        <v>16</v>
      </c>
      <c r="H34" s="10">
        <f t="shared" si="6"/>
        <v>96</v>
      </c>
      <c r="I34" s="17">
        <v>16</v>
      </c>
      <c r="J34">
        <f t="shared" si="7"/>
        <v>6</v>
      </c>
      <c r="K34" s="38" t="s">
        <v>143</v>
      </c>
      <c r="L34" s="38">
        <v>0.17</v>
      </c>
      <c r="M34" s="38">
        <v>6.4</v>
      </c>
      <c r="N34" s="27">
        <f t="shared" si="8"/>
        <v>38.4</v>
      </c>
      <c r="O34" s="50">
        <f t="shared" si="9"/>
        <v>1.02</v>
      </c>
    </row>
    <row r="35" ht="14.25" spans="2:15">
      <c r="B35" t="s">
        <v>144</v>
      </c>
      <c r="C35" t="s">
        <v>145</v>
      </c>
      <c r="D35" t="s">
        <v>146</v>
      </c>
      <c r="E35" t="s">
        <v>147</v>
      </c>
      <c r="F35" s="3">
        <v>180</v>
      </c>
      <c r="G35">
        <v>12</v>
      </c>
      <c r="H35" s="10">
        <f t="shared" si="6"/>
        <v>180</v>
      </c>
      <c r="I35">
        <v>12</v>
      </c>
      <c r="J35">
        <f t="shared" si="7"/>
        <v>15</v>
      </c>
      <c r="K35" t="s">
        <v>148</v>
      </c>
      <c r="L35">
        <v>0.0726</v>
      </c>
      <c r="M35">
        <v>10.89</v>
      </c>
      <c r="N35" s="27">
        <f t="shared" si="8"/>
        <v>163.35</v>
      </c>
      <c r="O35" s="50">
        <f t="shared" si="9"/>
        <v>1.089</v>
      </c>
    </row>
    <row r="36" s="21" customFormat="1" ht="14.25" spans="1:15">
      <c r="A36" s="21" t="s">
        <v>149</v>
      </c>
      <c r="B36" s="21" t="s">
        <v>150</v>
      </c>
      <c r="C36" s="21" t="s">
        <v>151</v>
      </c>
      <c r="D36" s="21" t="s">
        <v>152</v>
      </c>
      <c r="E36" s="21" t="s">
        <v>153</v>
      </c>
      <c r="F36" s="21">
        <v>200</v>
      </c>
      <c r="G36" s="21">
        <v>100</v>
      </c>
      <c r="H36" s="33">
        <f t="shared" si="6"/>
        <v>200</v>
      </c>
      <c r="I36" s="21">
        <v>100</v>
      </c>
      <c r="J36" s="21">
        <f t="shared" si="7"/>
        <v>2</v>
      </c>
      <c r="K36" s="21" t="s">
        <v>154</v>
      </c>
      <c r="L36" s="21">
        <v>0.019</v>
      </c>
      <c r="M36" s="21">
        <v>6.59</v>
      </c>
      <c r="N36" s="51">
        <f t="shared" si="8"/>
        <v>13.18</v>
      </c>
      <c r="O36" s="52">
        <f t="shared" si="9"/>
        <v>0.038</v>
      </c>
    </row>
    <row r="37" ht="14.25" spans="2:15">
      <c r="B37" s="22" t="s">
        <v>155</v>
      </c>
      <c r="C37" s="34" t="s">
        <v>156</v>
      </c>
      <c r="D37" s="22" t="s">
        <v>157</v>
      </c>
      <c r="E37" s="22" t="s">
        <v>158</v>
      </c>
      <c r="F37" s="22">
        <v>100</v>
      </c>
      <c r="G37" s="36">
        <v>10</v>
      </c>
      <c r="H37" s="10">
        <f t="shared" si="6"/>
        <v>100</v>
      </c>
      <c r="I37" s="36">
        <v>10</v>
      </c>
      <c r="J37" s="2">
        <f t="shared" si="7"/>
        <v>10</v>
      </c>
      <c r="K37" s="36" t="s">
        <v>159</v>
      </c>
      <c r="L37" s="36">
        <f>45*31*45/1000000</f>
        <v>0.062775</v>
      </c>
      <c r="M37" s="44">
        <v>9</v>
      </c>
      <c r="N37" s="36">
        <f t="shared" si="8"/>
        <v>90</v>
      </c>
      <c r="O37" s="29">
        <f t="shared" si="9"/>
        <v>0.62775</v>
      </c>
    </row>
    <row r="38" ht="14.25" spans="1:15">
      <c r="A38" s="3"/>
      <c r="B38" s="3" t="s">
        <v>160</v>
      </c>
      <c r="C38" s="1" t="s">
        <v>161</v>
      </c>
      <c r="D38" s="3" t="s">
        <v>162</v>
      </c>
      <c r="E38" s="3" t="s">
        <v>163</v>
      </c>
      <c r="F38" s="3">
        <v>48</v>
      </c>
      <c r="G38" s="3">
        <v>4</v>
      </c>
      <c r="H38" s="10">
        <f t="shared" si="6"/>
        <v>48</v>
      </c>
      <c r="I38" s="3">
        <v>28</v>
      </c>
      <c r="J38" s="3">
        <f t="shared" si="7"/>
        <v>12</v>
      </c>
      <c r="K38" s="3" t="s">
        <v>164</v>
      </c>
      <c r="L38" s="54">
        <f>(50*32.5*41.9)/1000000</f>
        <v>0.0680875</v>
      </c>
      <c r="M38" s="3">
        <v>15</v>
      </c>
      <c r="N38" s="54">
        <f t="shared" si="8"/>
        <v>180</v>
      </c>
      <c r="O38" s="29">
        <f t="shared" si="9"/>
        <v>0.81705</v>
      </c>
    </row>
    <row r="39" customFormat="1" ht="14.25" spans="2:15">
      <c r="B39" s="41" t="s">
        <v>165</v>
      </c>
      <c r="C39" s="34" t="s">
        <v>166</v>
      </c>
      <c r="D39" s="42" t="s">
        <v>167</v>
      </c>
      <c r="E39" s="34" t="s">
        <v>168</v>
      </c>
      <c r="F39" s="43">
        <v>24</v>
      </c>
      <c r="G39" s="44">
        <v>24</v>
      </c>
      <c r="H39" s="10">
        <f t="shared" si="6"/>
        <v>24</v>
      </c>
      <c r="I39" s="44">
        <v>24</v>
      </c>
      <c r="J39" s="46">
        <f t="shared" si="7"/>
        <v>1</v>
      </c>
      <c r="K39" s="36" t="s">
        <v>169</v>
      </c>
      <c r="L39" s="47">
        <f>(40*27*21)/1000000</f>
        <v>0.02268</v>
      </c>
      <c r="M39" s="44">
        <v>12</v>
      </c>
      <c r="N39" s="48">
        <f t="shared" si="8"/>
        <v>12</v>
      </c>
      <c r="O39" s="49">
        <f t="shared" si="9"/>
        <v>0.02268</v>
      </c>
    </row>
    <row r="40" spans="10:15">
      <c r="J40"/>
      <c r="K40"/>
      <c r="O40" s="95"/>
    </row>
    <row r="41" spans="10:15">
      <c r="J41"/>
      <c r="K41"/>
      <c r="O41" s="95"/>
    </row>
    <row r="42" ht="15" spans="1:15">
      <c r="A42" s="3"/>
      <c r="C42" s="3"/>
      <c r="D42" s="3"/>
      <c r="E42" s="9"/>
      <c r="F42" s="10"/>
      <c r="G42" s="11"/>
      <c r="H42" s="10"/>
      <c r="I42" s="11"/>
      <c r="J42" s="3"/>
      <c r="K42" s="1"/>
      <c r="L42" s="13"/>
      <c r="M42" s="13"/>
      <c r="N42" s="3"/>
      <c r="O42" s="1"/>
    </row>
    <row r="43" ht="15" spans="1:15">
      <c r="A43" s="8" t="s">
        <v>170</v>
      </c>
      <c r="B43" t="s">
        <v>82</v>
      </c>
      <c r="C43" s="3" t="s">
        <v>171</v>
      </c>
      <c r="D43" s="3" t="s">
        <v>172</v>
      </c>
      <c r="E43" s="9" t="s">
        <v>173</v>
      </c>
      <c r="F43" s="10">
        <v>20</v>
      </c>
      <c r="G43" s="11">
        <v>10</v>
      </c>
      <c r="H43" s="10">
        <f t="shared" ref="H42:H62" si="10">F43</f>
        <v>20</v>
      </c>
      <c r="I43" s="11">
        <v>10</v>
      </c>
      <c r="J43" s="3">
        <f t="shared" ref="J42:J51" si="11">F43/G43</f>
        <v>2</v>
      </c>
      <c r="K43" s="1" t="s">
        <v>174</v>
      </c>
      <c r="L43" s="13">
        <v>0.3034</v>
      </c>
      <c r="M43" s="13">
        <v>23.2</v>
      </c>
      <c r="N43" s="3">
        <f t="shared" ref="N42:N62" si="12">M43*J43</f>
        <v>46.4</v>
      </c>
      <c r="O43" s="1">
        <f t="shared" ref="O42:O62" si="13">L43*J43</f>
        <v>0.6068</v>
      </c>
    </row>
    <row r="44" ht="15" spans="1:15">
      <c r="A44" s="3"/>
      <c r="B44" s="3" t="s">
        <v>82</v>
      </c>
      <c r="C44" s="3" t="s">
        <v>175</v>
      </c>
      <c r="D44" s="3" t="s">
        <v>176</v>
      </c>
      <c r="E44" s="9" t="s">
        <v>85</v>
      </c>
      <c r="F44" s="10">
        <v>12</v>
      </c>
      <c r="G44" s="11">
        <v>6</v>
      </c>
      <c r="H44" s="10">
        <f t="shared" si="10"/>
        <v>12</v>
      </c>
      <c r="I44" s="11">
        <v>6</v>
      </c>
      <c r="J44" s="3">
        <f t="shared" si="11"/>
        <v>2</v>
      </c>
      <c r="K44" s="1" t="s">
        <v>86</v>
      </c>
      <c r="L44" s="26">
        <v>0.246</v>
      </c>
      <c r="M44" s="26">
        <v>18</v>
      </c>
      <c r="N44" s="3">
        <f t="shared" si="12"/>
        <v>36</v>
      </c>
      <c r="O44" s="1">
        <f t="shared" si="13"/>
        <v>0.492</v>
      </c>
    </row>
    <row r="45" ht="15" spans="1:15">
      <c r="A45" s="3"/>
      <c r="B45" s="3" t="s">
        <v>82</v>
      </c>
      <c r="C45" s="3" t="s">
        <v>177</v>
      </c>
      <c r="D45" s="3" t="s">
        <v>178</v>
      </c>
      <c r="E45" s="9" t="s">
        <v>179</v>
      </c>
      <c r="F45" s="10">
        <v>20</v>
      </c>
      <c r="G45" s="11">
        <v>10</v>
      </c>
      <c r="H45" s="10">
        <f t="shared" si="10"/>
        <v>20</v>
      </c>
      <c r="I45" s="11">
        <v>10</v>
      </c>
      <c r="J45" s="3">
        <f t="shared" si="11"/>
        <v>2</v>
      </c>
      <c r="K45" s="1" t="s">
        <v>102</v>
      </c>
      <c r="L45" s="26">
        <v>0.3034</v>
      </c>
      <c r="M45" s="26">
        <v>23.6</v>
      </c>
      <c r="N45" s="3">
        <f t="shared" si="12"/>
        <v>47.2</v>
      </c>
      <c r="O45" s="1">
        <f t="shared" si="13"/>
        <v>0.6068</v>
      </c>
    </row>
    <row r="46" ht="15" spans="1:15">
      <c r="A46" s="3"/>
      <c r="B46" s="3" t="s">
        <v>98</v>
      </c>
      <c r="C46" s="3" t="s">
        <v>180</v>
      </c>
      <c r="D46" s="3" t="s">
        <v>181</v>
      </c>
      <c r="E46" s="15" t="s">
        <v>182</v>
      </c>
      <c r="F46" s="10">
        <v>12</v>
      </c>
      <c r="G46" s="11">
        <v>6</v>
      </c>
      <c r="H46" s="10">
        <f t="shared" si="10"/>
        <v>12</v>
      </c>
      <c r="I46" s="11">
        <v>6</v>
      </c>
      <c r="J46" s="3">
        <f t="shared" si="11"/>
        <v>2</v>
      </c>
      <c r="K46" s="1" t="s">
        <v>183</v>
      </c>
      <c r="L46" s="26">
        <v>0.245784</v>
      </c>
      <c r="M46" s="26">
        <v>22.7</v>
      </c>
      <c r="N46" s="3">
        <f t="shared" si="12"/>
        <v>45.4</v>
      </c>
      <c r="O46" s="1">
        <f t="shared" si="13"/>
        <v>0.491568</v>
      </c>
    </row>
    <row r="47" ht="15" spans="1:15">
      <c r="A47" s="3"/>
      <c r="B47" s="3" t="s">
        <v>98</v>
      </c>
      <c r="C47" s="3" t="s">
        <v>184</v>
      </c>
      <c r="D47" s="3" t="s">
        <v>185</v>
      </c>
      <c r="E47" s="15" t="s">
        <v>101</v>
      </c>
      <c r="F47" s="10">
        <v>10</v>
      </c>
      <c r="G47" s="11">
        <v>10</v>
      </c>
      <c r="H47" s="10">
        <f t="shared" si="10"/>
        <v>10</v>
      </c>
      <c r="I47" s="11">
        <v>10</v>
      </c>
      <c r="J47" s="3">
        <f t="shared" si="11"/>
        <v>1</v>
      </c>
      <c r="K47" s="1" t="s">
        <v>102</v>
      </c>
      <c r="L47" s="26">
        <v>0.2625</v>
      </c>
      <c r="M47" s="26">
        <v>20.275</v>
      </c>
      <c r="N47" s="3">
        <f t="shared" si="12"/>
        <v>20.275</v>
      </c>
      <c r="O47" s="1">
        <f t="shared" si="13"/>
        <v>0.2625</v>
      </c>
    </row>
    <row r="48" s="3" customFormat="1" ht="15" spans="1:15">
      <c r="A48" s="3" t="s">
        <v>23</v>
      </c>
      <c r="B48" s="3" t="s">
        <v>98</v>
      </c>
      <c r="C48" s="3" t="s">
        <v>186</v>
      </c>
      <c r="D48" s="3" t="s">
        <v>187</v>
      </c>
      <c r="E48" s="16" t="s">
        <v>105</v>
      </c>
      <c r="F48" s="10">
        <v>10</v>
      </c>
      <c r="G48" s="11">
        <v>10</v>
      </c>
      <c r="H48" s="10">
        <f t="shared" si="10"/>
        <v>10</v>
      </c>
      <c r="I48" s="11">
        <v>10</v>
      </c>
      <c r="J48" s="3">
        <f t="shared" si="11"/>
        <v>1</v>
      </c>
      <c r="K48" s="1" t="s">
        <v>106</v>
      </c>
      <c r="L48" s="26">
        <v>0.303</v>
      </c>
      <c r="M48" s="26">
        <v>22.5</v>
      </c>
      <c r="N48" s="3">
        <f t="shared" si="12"/>
        <v>22.5</v>
      </c>
      <c r="O48" s="1">
        <f t="shared" si="13"/>
        <v>0.303</v>
      </c>
    </row>
    <row r="49" ht="14.25" spans="1:15">
      <c r="A49" s="3"/>
      <c r="B49" s="3" t="s">
        <v>98</v>
      </c>
      <c r="C49" s="3" t="s">
        <v>188</v>
      </c>
      <c r="D49" s="3" t="s">
        <v>189</v>
      </c>
      <c r="E49" s="3" t="s">
        <v>109</v>
      </c>
      <c r="F49" s="3">
        <v>30</v>
      </c>
      <c r="G49" s="3">
        <v>6</v>
      </c>
      <c r="H49" s="10">
        <f t="shared" si="10"/>
        <v>30</v>
      </c>
      <c r="I49" s="3">
        <v>6</v>
      </c>
      <c r="J49" s="3">
        <f t="shared" si="11"/>
        <v>5</v>
      </c>
      <c r="K49" s="3" t="s">
        <v>110</v>
      </c>
      <c r="L49" s="3">
        <v>0.26</v>
      </c>
      <c r="M49" s="3">
        <v>16.02</v>
      </c>
      <c r="N49" s="3">
        <f t="shared" si="12"/>
        <v>80.1</v>
      </c>
      <c r="O49" s="1">
        <f t="shared" si="13"/>
        <v>1.3</v>
      </c>
    </row>
    <row r="50" ht="14.25" spans="1:15">
      <c r="A50" s="3"/>
      <c r="B50" s="3" t="s">
        <v>98</v>
      </c>
      <c r="C50" s="3" t="s">
        <v>190</v>
      </c>
      <c r="D50" s="3" t="s">
        <v>191</v>
      </c>
      <c r="E50" s="3" t="s">
        <v>113</v>
      </c>
      <c r="F50" s="3">
        <v>30</v>
      </c>
      <c r="G50" s="3">
        <v>6</v>
      </c>
      <c r="H50" s="10">
        <f t="shared" si="10"/>
        <v>30</v>
      </c>
      <c r="I50" s="3">
        <v>6</v>
      </c>
      <c r="J50" s="3">
        <f t="shared" si="11"/>
        <v>5</v>
      </c>
      <c r="K50" s="3" t="s">
        <v>114</v>
      </c>
      <c r="L50" s="3">
        <v>0.26</v>
      </c>
      <c r="M50" s="3">
        <v>16.02</v>
      </c>
      <c r="N50" s="3">
        <f t="shared" si="12"/>
        <v>80.1</v>
      </c>
      <c r="O50" s="1">
        <f t="shared" si="13"/>
        <v>1.3</v>
      </c>
    </row>
    <row r="51" ht="14.25" spans="1:15">
      <c r="A51" s="3"/>
      <c r="B51" s="3" t="s">
        <v>98</v>
      </c>
      <c r="C51" s="3" t="s">
        <v>192</v>
      </c>
      <c r="D51" s="3" t="s">
        <v>193</v>
      </c>
      <c r="E51" s="3" t="s">
        <v>120</v>
      </c>
      <c r="F51" s="3">
        <v>36</v>
      </c>
      <c r="G51" s="3">
        <v>6</v>
      </c>
      <c r="H51" s="10">
        <f t="shared" si="10"/>
        <v>36</v>
      </c>
      <c r="I51" s="3">
        <v>6</v>
      </c>
      <c r="J51" s="3">
        <f t="shared" si="11"/>
        <v>6</v>
      </c>
      <c r="K51" s="3" t="s">
        <v>114</v>
      </c>
      <c r="L51" s="3">
        <v>0.26</v>
      </c>
      <c r="M51" s="3">
        <v>16.02</v>
      </c>
      <c r="N51" s="3">
        <f t="shared" si="12"/>
        <v>96.12</v>
      </c>
      <c r="O51" s="1">
        <f t="shared" si="13"/>
        <v>1.56</v>
      </c>
    </row>
    <row r="52" ht="14.25" spans="2:15">
      <c r="B52" s="17" t="s">
        <v>87</v>
      </c>
      <c r="C52" s="17" t="s">
        <v>194</v>
      </c>
      <c r="D52" s="18" t="s">
        <v>195</v>
      </c>
      <c r="E52" s="17" t="s">
        <v>196</v>
      </c>
      <c r="F52" s="17">
        <v>5</v>
      </c>
      <c r="G52" s="17">
        <v>1</v>
      </c>
      <c r="H52" s="10">
        <f t="shared" si="10"/>
        <v>5</v>
      </c>
      <c r="I52" s="17">
        <v>1</v>
      </c>
      <c r="J52" s="27">
        <v>5</v>
      </c>
      <c r="K52" s="17" t="s">
        <v>197</v>
      </c>
      <c r="L52" s="28">
        <v>0.223584</v>
      </c>
      <c r="M52" s="28">
        <v>9</v>
      </c>
      <c r="N52" s="17">
        <f t="shared" si="12"/>
        <v>45</v>
      </c>
      <c r="O52" s="29">
        <f t="shared" si="13"/>
        <v>1.11792</v>
      </c>
    </row>
    <row r="53" ht="14.25" spans="2:15">
      <c r="B53" s="17" t="s">
        <v>82</v>
      </c>
      <c r="C53" s="17" t="s">
        <v>198</v>
      </c>
      <c r="D53" s="17" t="s">
        <v>199</v>
      </c>
      <c r="E53" s="17" t="s">
        <v>200</v>
      </c>
      <c r="F53" s="17">
        <v>40</v>
      </c>
      <c r="G53" s="17">
        <v>10</v>
      </c>
      <c r="H53" s="10">
        <f t="shared" si="10"/>
        <v>40</v>
      </c>
      <c r="I53" s="17">
        <v>10</v>
      </c>
      <c r="J53" s="27">
        <f t="shared" ref="J53:J62" si="14">F53/G53</f>
        <v>4</v>
      </c>
      <c r="K53" s="17" t="s">
        <v>174</v>
      </c>
      <c r="L53" s="28">
        <v>0.3034</v>
      </c>
      <c r="M53" s="28">
        <v>18</v>
      </c>
      <c r="N53" s="17">
        <f t="shared" si="12"/>
        <v>72</v>
      </c>
      <c r="O53" s="29">
        <f t="shared" si="13"/>
        <v>1.2136</v>
      </c>
    </row>
    <row r="54" ht="14.25" spans="2:15">
      <c r="B54" s="17" t="s">
        <v>201</v>
      </c>
      <c r="C54" s="17" t="s">
        <v>202</v>
      </c>
      <c r="D54" s="17" t="s">
        <v>203</v>
      </c>
      <c r="E54" s="17" t="s">
        <v>204</v>
      </c>
      <c r="F54" s="17">
        <v>24</v>
      </c>
      <c r="G54" s="17">
        <v>6</v>
      </c>
      <c r="H54" s="10">
        <f t="shared" si="10"/>
        <v>24</v>
      </c>
      <c r="I54" s="17">
        <v>6</v>
      </c>
      <c r="J54" s="27">
        <f t="shared" si="14"/>
        <v>4</v>
      </c>
      <c r="K54" s="17" t="s">
        <v>205</v>
      </c>
      <c r="L54" s="28">
        <v>0.1845</v>
      </c>
      <c r="M54" s="28">
        <v>11.4</v>
      </c>
      <c r="N54" s="17">
        <f t="shared" si="12"/>
        <v>45.6</v>
      </c>
      <c r="O54" s="29">
        <f t="shared" si="13"/>
        <v>0.738</v>
      </c>
    </row>
    <row r="55" ht="14.25" spans="2:15">
      <c r="B55" s="17" t="s">
        <v>206</v>
      </c>
      <c r="C55" s="17" t="s">
        <v>207</v>
      </c>
      <c r="D55" s="17" t="s">
        <v>208</v>
      </c>
      <c r="E55" s="17" t="s">
        <v>209</v>
      </c>
      <c r="F55" s="17">
        <v>24</v>
      </c>
      <c r="G55" s="17">
        <v>6</v>
      </c>
      <c r="H55" s="10">
        <f t="shared" si="10"/>
        <v>24</v>
      </c>
      <c r="I55" s="17">
        <v>6</v>
      </c>
      <c r="J55" s="27">
        <f t="shared" si="14"/>
        <v>4</v>
      </c>
      <c r="K55" s="17" t="s">
        <v>205</v>
      </c>
      <c r="L55" s="28">
        <v>0.1845</v>
      </c>
      <c r="M55" s="28">
        <v>11.4</v>
      </c>
      <c r="N55" s="17">
        <f t="shared" si="12"/>
        <v>45.6</v>
      </c>
      <c r="O55" s="29">
        <f t="shared" si="13"/>
        <v>0.738</v>
      </c>
    </row>
    <row r="56" ht="14.25" spans="2:15">
      <c r="B56" s="17" t="s">
        <v>210</v>
      </c>
      <c r="C56" s="17" t="s">
        <v>211</v>
      </c>
      <c r="D56" s="17" t="s">
        <v>212</v>
      </c>
      <c r="E56" s="17" t="s">
        <v>213</v>
      </c>
      <c r="F56" s="17">
        <v>24</v>
      </c>
      <c r="G56" s="17">
        <v>6</v>
      </c>
      <c r="H56" s="10">
        <f t="shared" si="10"/>
        <v>24</v>
      </c>
      <c r="I56" s="17">
        <v>6</v>
      </c>
      <c r="J56" s="27">
        <f t="shared" si="14"/>
        <v>4</v>
      </c>
      <c r="K56" s="17" t="s">
        <v>205</v>
      </c>
      <c r="L56" s="28">
        <v>0.1845</v>
      </c>
      <c r="M56" s="28">
        <v>11.4</v>
      </c>
      <c r="N56" s="17">
        <f t="shared" si="12"/>
        <v>45.6</v>
      </c>
      <c r="O56" s="29">
        <f t="shared" si="13"/>
        <v>0.738</v>
      </c>
    </row>
    <row r="57" ht="14.25" spans="2:15">
      <c r="B57" s="17" t="s">
        <v>214</v>
      </c>
      <c r="C57" s="17" t="s">
        <v>215</v>
      </c>
      <c r="D57" s="17" t="s">
        <v>216</v>
      </c>
      <c r="E57" s="17" t="s">
        <v>217</v>
      </c>
      <c r="F57" s="17">
        <v>24</v>
      </c>
      <c r="G57" s="17">
        <v>6</v>
      </c>
      <c r="H57" s="10">
        <f t="shared" si="10"/>
        <v>24</v>
      </c>
      <c r="I57" s="17">
        <v>6</v>
      </c>
      <c r="J57" s="27">
        <f t="shared" si="14"/>
        <v>4</v>
      </c>
      <c r="K57" s="17" t="s">
        <v>205</v>
      </c>
      <c r="L57" s="28">
        <v>0.1845</v>
      </c>
      <c r="M57" s="28">
        <v>11.4</v>
      </c>
      <c r="N57" s="17">
        <f t="shared" si="12"/>
        <v>45.6</v>
      </c>
      <c r="O57" s="29">
        <f t="shared" si="13"/>
        <v>0.738</v>
      </c>
    </row>
    <row r="58" ht="14.25" spans="1:15">
      <c r="A58" s="22"/>
      <c r="B58" s="17" t="s">
        <v>218</v>
      </c>
      <c r="C58" s="10" t="s">
        <v>219</v>
      </c>
      <c r="D58" s="10" t="s">
        <v>220</v>
      </c>
      <c r="E58" s="3" t="s">
        <v>123</v>
      </c>
      <c r="F58" s="17">
        <v>24</v>
      </c>
      <c r="G58" s="17">
        <v>6</v>
      </c>
      <c r="H58" s="10">
        <f t="shared" si="10"/>
        <v>24</v>
      </c>
      <c r="I58" s="17">
        <v>6</v>
      </c>
      <c r="J58" s="27">
        <f t="shared" si="14"/>
        <v>4</v>
      </c>
      <c r="K58" s="17" t="s">
        <v>221</v>
      </c>
      <c r="L58" s="10">
        <f>87*51*54/1000000</f>
        <v>0.239598</v>
      </c>
      <c r="M58" s="28">
        <v>16</v>
      </c>
      <c r="N58" s="17">
        <f t="shared" si="12"/>
        <v>64</v>
      </c>
      <c r="O58" s="29">
        <f t="shared" si="13"/>
        <v>0.958392</v>
      </c>
    </row>
    <row r="59" ht="14.25" spans="2:15">
      <c r="B59" s="17" t="s">
        <v>222</v>
      </c>
      <c r="C59" s="10" t="s">
        <v>223</v>
      </c>
      <c r="D59" s="10" t="s">
        <v>224</v>
      </c>
      <c r="E59" s="3" t="s">
        <v>127</v>
      </c>
      <c r="F59" s="17">
        <v>24</v>
      </c>
      <c r="G59" s="17">
        <v>6</v>
      </c>
      <c r="H59" s="10">
        <f t="shared" si="10"/>
        <v>24</v>
      </c>
      <c r="I59" s="17">
        <v>6</v>
      </c>
      <c r="J59" s="27">
        <f t="shared" si="14"/>
        <v>4</v>
      </c>
      <c r="K59" s="17" t="s">
        <v>221</v>
      </c>
      <c r="L59" s="10">
        <f>87*51*54/1000000</f>
        <v>0.239598</v>
      </c>
      <c r="M59" s="28">
        <v>16</v>
      </c>
      <c r="N59" s="17">
        <f t="shared" si="12"/>
        <v>64</v>
      </c>
      <c r="O59" s="29">
        <f t="shared" si="13"/>
        <v>0.958392</v>
      </c>
    </row>
    <row r="60" ht="15" spans="2:15">
      <c r="B60" s="17" t="s">
        <v>82</v>
      </c>
      <c r="C60" s="10" t="s">
        <v>225</v>
      </c>
      <c r="D60" s="10" t="s">
        <v>226</v>
      </c>
      <c r="E60" s="9" t="s">
        <v>227</v>
      </c>
      <c r="F60">
        <v>10</v>
      </c>
      <c r="G60">
        <v>10</v>
      </c>
      <c r="H60" s="10">
        <f t="shared" si="10"/>
        <v>10</v>
      </c>
      <c r="I60">
        <v>10</v>
      </c>
      <c r="J60" s="27">
        <f t="shared" si="14"/>
        <v>1</v>
      </c>
      <c r="K60" s="17" t="s">
        <v>228</v>
      </c>
      <c r="L60" s="10">
        <f>83*72*48/1000000</f>
        <v>0.286848</v>
      </c>
      <c r="M60" s="28">
        <v>18</v>
      </c>
      <c r="N60" s="17">
        <f t="shared" si="12"/>
        <v>18</v>
      </c>
      <c r="O60" s="29">
        <f t="shared" si="13"/>
        <v>0.286848</v>
      </c>
    </row>
    <row r="61" ht="15" spans="2:15">
      <c r="B61" s="17" t="s">
        <v>82</v>
      </c>
      <c r="C61" s="10" t="s">
        <v>229</v>
      </c>
      <c r="D61" s="10" t="s">
        <v>230</v>
      </c>
      <c r="E61" s="9" t="s">
        <v>231</v>
      </c>
      <c r="F61">
        <v>10</v>
      </c>
      <c r="G61">
        <v>10</v>
      </c>
      <c r="H61" s="10">
        <f t="shared" si="10"/>
        <v>10</v>
      </c>
      <c r="I61">
        <v>10</v>
      </c>
      <c r="J61" s="27">
        <f t="shared" si="14"/>
        <v>1</v>
      </c>
      <c r="K61" s="17" t="s">
        <v>232</v>
      </c>
      <c r="L61" s="10">
        <f>71*63*43/1000000</f>
        <v>0.192339</v>
      </c>
      <c r="M61" s="28">
        <v>23.5</v>
      </c>
      <c r="N61" s="17">
        <f t="shared" si="12"/>
        <v>23.5</v>
      </c>
      <c r="O61" s="29">
        <f t="shared" si="13"/>
        <v>0.192339</v>
      </c>
    </row>
    <row r="62" ht="15" spans="2:15">
      <c r="B62" s="17" t="s">
        <v>82</v>
      </c>
      <c r="C62" s="24" t="s">
        <v>233</v>
      </c>
      <c r="D62" s="25" t="s">
        <v>234</v>
      </c>
      <c r="E62" s="9" t="s">
        <v>235</v>
      </c>
      <c r="F62">
        <v>10</v>
      </c>
      <c r="G62">
        <v>10</v>
      </c>
      <c r="H62" s="10">
        <f t="shared" si="10"/>
        <v>10</v>
      </c>
      <c r="I62">
        <v>10</v>
      </c>
      <c r="J62" s="27">
        <f t="shared" si="14"/>
        <v>1</v>
      </c>
      <c r="K62" s="3" t="s">
        <v>236</v>
      </c>
      <c r="L62" s="10">
        <f>82*67*47/1000000</f>
        <v>0.258218</v>
      </c>
      <c r="M62" s="28">
        <v>15</v>
      </c>
      <c r="N62" s="17">
        <f t="shared" si="12"/>
        <v>15</v>
      </c>
      <c r="O62" s="29">
        <f t="shared" si="13"/>
        <v>0.258218</v>
      </c>
    </row>
    <row r="63" spans="9:15">
      <c r="I63" s="3"/>
      <c r="J63" s="3"/>
      <c r="O63" s="95"/>
    </row>
    <row r="64" spans="1:15">
      <c r="A64" s="8" t="s">
        <v>237</v>
      </c>
      <c r="I64" s="3"/>
      <c r="J64" s="3"/>
      <c r="O64" s="95"/>
    </row>
    <row r="65" s="21" customFormat="1" spans="1:17">
      <c r="A65" s="21" t="s">
        <v>238</v>
      </c>
      <c r="B65" s="21" t="s">
        <v>239</v>
      </c>
      <c r="C65" s="21" t="s">
        <v>240</v>
      </c>
      <c r="D65" s="21" t="s">
        <v>241</v>
      </c>
      <c r="E65" s="21" t="s">
        <v>242</v>
      </c>
      <c r="F65" s="96">
        <v>192</v>
      </c>
      <c r="G65" s="96">
        <v>96</v>
      </c>
      <c r="H65" s="96">
        <f t="shared" ref="H65:H67" si="15">F65</f>
        <v>192</v>
      </c>
      <c r="I65" s="96">
        <v>96</v>
      </c>
      <c r="J65" s="51">
        <f t="shared" ref="J65:J71" si="16">F65/G65</f>
        <v>2</v>
      </c>
      <c r="K65" s="99" t="s">
        <v>243</v>
      </c>
      <c r="L65" s="99">
        <v>0.02</v>
      </c>
      <c r="M65" s="99">
        <v>4.3</v>
      </c>
      <c r="N65" s="100">
        <f t="shared" ref="N65:N71" si="17">M65*J65</f>
        <v>8.6</v>
      </c>
      <c r="O65" s="76">
        <f t="shared" ref="O65:O71" si="18">L65*J65</f>
        <v>0.04</v>
      </c>
      <c r="P65" s="99"/>
      <c r="Q65" s="99"/>
    </row>
    <row r="66" spans="1:17">
      <c r="A66" t="s">
        <v>244</v>
      </c>
      <c r="B66" t="s">
        <v>245</v>
      </c>
      <c r="C66" t="s">
        <v>246</v>
      </c>
      <c r="D66" t="s">
        <v>247</v>
      </c>
      <c r="E66" t="s">
        <v>248</v>
      </c>
      <c r="F66" s="89">
        <v>80</v>
      </c>
      <c r="G66" s="89">
        <v>40</v>
      </c>
      <c r="H66" s="89">
        <f t="shared" si="15"/>
        <v>80</v>
      </c>
      <c r="I66" s="68">
        <v>40</v>
      </c>
      <c r="J66" s="27">
        <f t="shared" si="16"/>
        <v>2</v>
      </c>
      <c r="K66" s="88" t="s">
        <v>249</v>
      </c>
      <c r="L66" s="87">
        <v>0.07</v>
      </c>
      <c r="M66" s="87">
        <v>13.8</v>
      </c>
      <c r="N66" s="72">
        <f t="shared" si="17"/>
        <v>27.6</v>
      </c>
      <c r="O66" s="29">
        <f t="shared" si="18"/>
        <v>0.14</v>
      </c>
      <c r="P66" s="87"/>
      <c r="Q66" s="87"/>
    </row>
    <row r="67" spans="1:17">
      <c r="A67" t="s">
        <v>244</v>
      </c>
      <c r="B67" t="s">
        <v>250</v>
      </c>
      <c r="C67" t="s">
        <v>251</v>
      </c>
      <c r="D67" t="s">
        <v>252</v>
      </c>
      <c r="E67" t="s">
        <v>253</v>
      </c>
      <c r="F67" s="89">
        <v>120</v>
      </c>
      <c r="G67" s="89">
        <v>60</v>
      </c>
      <c r="H67" s="89">
        <f t="shared" si="15"/>
        <v>120</v>
      </c>
      <c r="I67" s="68">
        <v>60</v>
      </c>
      <c r="J67" s="27">
        <f t="shared" si="16"/>
        <v>2</v>
      </c>
      <c r="K67" s="88" t="s">
        <v>254</v>
      </c>
      <c r="L67" s="87">
        <v>0.08</v>
      </c>
      <c r="M67" s="87">
        <v>6.6</v>
      </c>
      <c r="N67" s="72">
        <f t="shared" si="17"/>
        <v>13.2</v>
      </c>
      <c r="O67" s="29">
        <f t="shared" si="18"/>
        <v>0.16</v>
      </c>
      <c r="P67" s="87"/>
      <c r="Q67" s="87"/>
    </row>
    <row r="68" spans="1:17">
      <c r="A68" t="s">
        <v>244</v>
      </c>
      <c r="B68" t="s">
        <v>18</v>
      </c>
      <c r="C68" t="s">
        <v>255</v>
      </c>
      <c r="D68" t="s">
        <v>256</v>
      </c>
      <c r="E68" t="s">
        <v>21</v>
      </c>
      <c r="F68" s="89">
        <v>120</v>
      </c>
      <c r="G68" s="89">
        <v>1</v>
      </c>
      <c r="H68" s="78">
        <f>F68*6</f>
        <v>720</v>
      </c>
      <c r="I68" s="68">
        <v>6</v>
      </c>
      <c r="J68" s="27">
        <f t="shared" si="16"/>
        <v>120</v>
      </c>
      <c r="K68" s="88" t="s">
        <v>22</v>
      </c>
      <c r="L68" s="88">
        <v>0.020832</v>
      </c>
      <c r="M68" s="87">
        <v>3.15</v>
      </c>
      <c r="N68" s="72">
        <f t="shared" si="17"/>
        <v>378</v>
      </c>
      <c r="O68" s="29">
        <f t="shared" si="18"/>
        <v>2.49984</v>
      </c>
      <c r="P68" s="87"/>
      <c r="Q68" s="87"/>
    </row>
    <row r="69" ht="27" spans="1:17">
      <c r="A69" t="s">
        <v>244</v>
      </c>
      <c r="B69" s="91" t="s">
        <v>257</v>
      </c>
      <c r="C69" t="s">
        <v>258</v>
      </c>
      <c r="D69" t="s">
        <v>259</v>
      </c>
      <c r="E69" t="s">
        <v>260</v>
      </c>
      <c r="F69" s="89">
        <v>72</v>
      </c>
      <c r="G69" s="89">
        <v>24</v>
      </c>
      <c r="H69" s="89">
        <f>F69</f>
        <v>72</v>
      </c>
      <c r="I69" s="68">
        <v>24</v>
      </c>
      <c r="J69" s="27">
        <f t="shared" si="16"/>
        <v>3</v>
      </c>
      <c r="K69" s="88" t="s">
        <v>261</v>
      </c>
      <c r="L69" s="87">
        <v>0.0684</v>
      </c>
      <c r="M69" s="87">
        <v>0.707986281234689</v>
      </c>
      <c r="N69" s="72">
        <f t="shared" si="17"/>
        <v>2.12395884370407</v>
      </c>
      <c r="O69" s="29">
        <f t="shared" si="18"/>
        <v>0.2052</v>
      </c>
      <c r="P69" s="87"/>
      <c r="Q69" s="87"/>
    </row>
    <row r="70" s="21" customFormat="1" spans="1:17">
      <c r="A70" s="21" t="s">
        <v>262</v>
      </c>
      <c r="B70" s="97" t="s">
        <v>263</v>
      </c>
      <c r="C70" s="21" t="s">
        <v>264</v>
      </c>
      <c r="D70" s="21" t="s">
        <v>265</v>
      </c>
      <c r="E70" s="21" t="s">
        <v>266</v>
      </c>
      <c r="F70" s="96">
        <v>72</v>
      </c>
      <c r="G70" s="96">
        <v>6</v>
      </c>
      <c r="H70" s="96">
        <f>F70*4</f>
        <v>288</v>
      </c>
      <c r="I70" s="96">
        <v>6</v>
      </c>
      <c r="J70" s="51">
        <f t="shared" si="16"/>
        <v>12</v>
      </c>
      <c r="K70" s="99" t="s">
        <v>267</v>
      </c>
      <c r="L70" s="99">
        <v>0.04</v>
      </c>
      <c r="M70" s="99">
        <v>8.7</v>
      </c>
      <c r="N70" s="100">
        <f t="shared" si="17"/>
        <v>104.4</v>
      </c>
      <c r="O70" s="76">
        <f t="shared" si="18"/>
        <v>0.48</v>
      </c>
      <c r="P70" s="99"/>
      <c r="Q70" s="99"/>
    </row>
    <row r="71" s="21" customFormat="1" spans="1:17">
      <c r="A71" s="21" t="s">
        <v>262</v>
      </c>
      <c r="B71" s="97" t="s">
        <v>268</v>
      </c>
      <c r="C71" s="21" t="s">
        <v>269</v>
      </c>
      <c r="D71" s="21" t="s">
        <v>270</v>
      </c>
      <c r="E71" s="21" t="s">
        <v>271</v>
      </c>
      <c r="F71" s="96">
        <v>60</v>
      </c>
      <c r="G71" s="96">
        <v>6</v>
      </c>
      <c r="H71" s="96">
        <f>F71*4</f>
        <v>240</v>
      </c>
      <c r="I71" s="96">
        <v>6</v>
      </c>
      <c r="J71" s="51">
        <f t="shared" si="16"/>
        <v>10</v>
      </c>
      <c r="K71" s="99" t="s">
        <v>267</v>
      </c>
      <c r="L71" s="99">
        <v>0.04</v>
      </c>
      <c r="M71" s="99">
        <v>8.7</v>
      </c>
      <c r="N71" s="100">
        <f t="shared" si="17"/>
        <v>87</v>
      </c>
      <c r="O71" s="76">
        <f t="shared" si="18"/>
        <v>0.4</v>
      </c>
      <c r="P71" s="99"/>
      <c r="Q71" s="99"/>
    </row>
    <row r="72" spans="6:17">
      <c r="F72" s="87"/>
      <c r="G72" s="87"/>
      <c r="H72" s="87"/>
      <c r="I72" s="88"/>
      <c r="J72" s="88"/>
      <c r="K72" s="88"/>
      <c r="L72" s="87"/>
      <c r="M72" s="87"/>
      <c r="N72" s="87"/>
      <c r="O72" s="95"/>
      <c r="P72" s="87"/>
      <c r="Q72" s="87"/>
    </row>
    <row r="73" spans="7:17">
      <c r="G73" s="87"/>
      <c r="H73" s="87"/>
      <c r="I73" s="88"/>
      <c r="J73" s="88"/>
      <c r="K73" s="88"/>
      <c r="L73" s="87"/>
      <c r="M73" s="87"/>
      <c r="N73" s="87"/>
      <c r="O73" s="95"/>
      <c r="P73" s="87"/>
      <c r="Q73" s="87"/>
    </row>
    <row r="74" spans="1:17">
      <c r="A74" s="8" t="s">
        <v>272</v>
      </c>
      <c r="G74" s="87"/>
      <c r="H74" s="87"/>
      <c r="I74" s="88"/>
      <c r="J74" s="88"/>
      <c r="K74" s="88"/>
      <c r="L74" s="87"/>
      <c r="M74" s="87"/>
      <c r="N74" s="87"/>
      <c r="O74" s="95"/>
      <c r="P74" s="87"/>
      <c r="Q74" s="87"/>
    </row>
    <row r="75" spans="1:17">
      <c r="A75" t="s">
        <v>244</v>
      </c>
      <c r="B75" t="s">
        <v>18</v>
      </c>
      <c r="C75" s="3" t="s">
        <v>273</v>
      </c>
      <c r="D75" t="s">
        <v>274</v>
      </c>
      <c r="E75" t="s">
        <v>21</v>
      </c>
      <c r="F75" s="89">
        <v>120</v>
      </c>
      <c r="G75" s="87">
        <v>1</v>
      </c>
      <c r="H75" s="98">
        <f>F75*6</f>
        <v>720</v>
      </c>
      <c r="I75" s="88">
        <v>6</v>
      </c>
      <c r="J75" s="83">
        <f>F75/G75</f>
        <v>120</v>
      </c>
      <c r="K75" s="88" t="s">
        <v>22</v>
      </c>
      <c r="L75" s="88">
        <v>0.020832</v>
      </c>
      <c r="M75" s="87">
        <v>3.15</v>
      </c>
      <c r="N75" s="72">
        <f>M75*J75</f>
        <v>378</v>
      </c>
      <c r="O75" s="29">
        <f>L75*J75</f>
        <v>2.49984</v>
      </c>
      <c r="P75" s="87"/>
      <c r="Q75" s="87"/>
    </row>
    <row r="76" spans="6:17">
      <c r="F76" s="89"/>
      <c r="G76" s="87"/>
      <c r="H76" s="87"/>
      <c r="I76" s="88"/>
      <c r="J76" s="88"/>
      <c r="K76" s="88"/>
      <c r="L76" s="87"/>
      <c r="M76" s="87"/>
      <c r="N76" s="87"/>
      <c r="O76" s="95"/>
      <c r="P76" s="87"/>
      <c r="Q76" s="87"/>
    </row>
    <row r="77" spans="6:17">
      <c r="F77" s="89"/>
      <c r="G77" s="87"/>
      <c r="H77" s="87"/>
      <c r="I77" s="88"/>
      <c r="J77" s="88"/>
      <c r="K77" s="88"/>
      <c r="L77" s="87"/>
      <c r="M77" s="87"/>
      <c r="N77" s="87"/>
      <c r="O77" s="95"/>
      <c r="P77" s="87"/>
      <c r="Q77" s="87"/>
    </row>
    <row r="78" ht="17" customHeight="1" spans="1:15">
      <c r="A78" s="8" t="s">
        <v>275</v>
      </c>
      <c r="F78" s="89"/>
      <c r="I78" s="3"/>
      <c r="J78" s="3"/>
      <c r="O78" s="95"/>
    </row>
    <row r="79" s="87" customFormat="1" spans="1:15">
      <c r="A79" s="87" t="s">
        <v>244</v>
      </c>
      <c r="B79" s="72" t="s">
        <v>276</v>
      </c>
      <c r="C79" s="83" t="s">
        <v>277</v>
      </c>
      <c r="D79" s="88" t="s">
        <v>278</v>
      </c>
      <c r="E79" s="72" t="s">
        <v>279</v>
      </c>
      <c r="F79" s="89">
        <v>80</v>
      </c>
      <c r="G79" s="87">
        <v>8</v>
      </c>
      <c r="H79" s="87">
        <f t="shared" ref="H79:H84" si="19">F79</f>
        <v>80</v>
      </c>
      <c r="I79" s="88">
        <v>8</v>
      </c>
      <c r="J79" s="88">
        <v>10</v>
      </c>
      <c r="K79" s="83" t="s">
        <v>280</v>
      </c>
      <c r="L79" s="72">
        <v>0.062</v>
      </c>
      <c r="M79" s="72">
        <v>12.27</v>
      </c>
      <c r="N79" s="72">
        <f t="shared" ref="N79:N88" si="20">M79*J79</f>
        <v>122.7</v>
      </c>
      <c r="O79" s="84">
        <f>J79*L79</f>
        <v>0.62</v>
      </c>
    </row>
    <row r="80" spans="9:15">
      <c r="I80" s="3"/>
      <c r="J80" s="3"/>
      <c r="O80" s="95"/>
    </row>
    <row r="81" spans="9:15">
      <c r="I81" s="3"/>
      <c r="J81" s="3"/>
      <c r="O81" s="95"/>
    </row>
    <row r="82" spans="1:15">
      <c r="A82" s="8" t="s">
        <v>281</v>
      </c>
      <c r="I82" s="3"/>
      <c r="J82" s="3"/>
      <c r="O82" s="95"/>
    </row>
    <row r="83" spans="2:15">
      <c r="B83" s="41" t="s">
        <v>282</v>
      </c>
      <c r="C83" s="3" t="s">
        <v>283</v>
      </c>
      <c r="D83" t="s">
        <v>284</v>
      </c>
      <c r="E83" s="34" t="s">
        <v>285</v>
      </c>
      <c r="F83" s="64">
        <v>72</v>
      </c>
      <c r="G83" s="36">
        <v>24</v>
      </c>
      <c r="H83" s="22">
        <f t="shared" si="19"/>
        <v>72</v>
      </c>
      <c r="I83" s="36">
        <v>24</v>
      </c>
      <c r="J83" s="101">
        <f t="shared" ref="J83:J86" si="21">F83/G83</f>
        <v>3</v>
      </c>
      <c r="K83" s="36" t="s">
        <v>169</v>
      </c>
      <c r="L83" s="47">
        <f>(40*27*21)/1000000</f>
        <v>0.02268</v>
      </c>
      <c r="M83" s="44">
        <v>12</v>
      </c>
      <c r="N83" s="48">
        <f t="shared" si="20"/>
        <v>36</v>
      </c>
      <c r="O83" s="49">
        <f t="shared" ref="O83:O88" si="22">L83*J83</f>
        <v>0.06804</v>
      </c>
    </row>
    <row r="84" spans="2:15">
      <c r="B84" s="41" t="s">
        <v>286</v>
      </c>
      <c r="C84" s="3" t="s">
        <v>287</v>
      </c>
      <c r="D84" s="91" t="s">
        <v>288</v>
      </c>
      <c r="E84" s="34" t="s">
        <v>289</v>
      </c>
      <c r="F84" s="64">
        <v>72</v>
      </c>
      <c r="G84" s="36">
        <v>24</v>
      </c>
      <c r="H84" s="22">
        <f t="shared" si="19"/>
        <v>72</v>
      </c>
      <c r="I84" s="36">
        <v>24</v>
      </c>
      <c r="J84" s="101">
        <f t="shared" si="21"/>
        <v>3</v>
      </c>
      <c r="K84" s="36" t="s">
        <v>169</v>
      </c>
      <c r="L84" s="47">
        <f>(40*27*21)/1000000</f>
        <v>0.02268</v>
      </c>
      <c r="M84" s="44">
        <v>12</v>
      </c>
      <c r="N84" s="48">
        <f t="shared" si="20"/>
        <v>36</v>
      </c>
      <c r="O84" s="49">
        <f t="shared" si="22"/>
        <v>0.06804</v>
      </c>
    </row>
    <row r="85" spans="1:15">
      <c r="A85" s="32" t="s">
        <v>290</v>
      </c>
      <c r="B85" t="s">
        <v>291</v>
      </c>
      <c r="C85" t="s">
        <v>292</v>
      </c>
      <c r="D85" t="s">
        <v>293</v>
      </c>
      <c r="E85" t="s">
        <v>294</v>
      </c>
      <c r="F85">
        <v>90</v>
      </c>
      <c r="G85">
        <v>6</v>
      </c>
      <c r="H85">
        <v>90</v>
      </c>
      <c r="I85" s="3">
        <v>6</v>
      </c>
      <c r="J85" s="101">
        <f t="shared" si="21"/>
        <v>15</v>
      </c>
      <c r="K85" s="3" t="s">
        <v>295</v>
      </c>
      <c r="L85">
        <v>0.066</v>
      </c>
      <c r="M85">
        <v>12</v>
      </c>
      <c r="N85" s="48">
        <f t="shared" si="20"/>
        <v>180</v>
      </c>
      <c r="O85" s="49">
        <f t="shared" si="22"/>
        <v>0.99</v>
      </c>
    </row>
    <row r="86" spans="1:15">
      <c r="A86" s="32"/>
      <c r="B86" t="s">
        <v>291</v>
      </c>
      <c r="C86" s="91" t="s">
        <v>296</v>
      </c>
      <c r="D86" t="s">
        <v>297</v>
      </c>
      <c r="E86" t="s">
        <v>298</v>
      </c>
      <c r="F86">
        <v>60</v>
      </c>
      <c r="G86">
        <v>6</v>
      </c>
      <c r="H86">
        <v>60</v>
      </c>
      <c r="I86" s="3">
        <v>6</v>
      </c>
      <c r="J86" s="101">
        <f t="shared" si="21"/>
        <v>10</v>
      </c>
      <c r="K86" s="3" t="s">
        <v>295</v>
      </c>
      <c r="L86">
        <v>0.066</v>
      </c>
      <c r="M86">
        <v>12</v>
      </c>
      <c r="N86" s="48">
        <f t="shared" si="20"/>
        <v>120</v>
      </c>
      <c r="O86" s="49">
        <f t="shared" si="22"/>
        <v>0.66</v>
      </c>
    </row>
    <row r="87" spans="1:15">
      <c r="A87" s="32"/>
      <c r="B87" t="s">
        <v>299</v>
      </c>
      <c r="C87" t="s">
        <v>300</v>
      </c>
      <c r="D87" t="s">
        <v>301</v>
      </c>
      <c r="E87" t="s">
        <v>302</v>
      </c>
      <c r="F87">
        <v>60</v>
      </c>
      <c r="G87">
        <v>10</v>
      </c>
      <c r="H87">
        <v>60</v>
      </c>
      <c r="I87" s="3">
        <v>10</v>
      </c>
      <c r="J87" s="3">
        <v>6</v>
      </c>
      <c r="K87" s="3" t="s">
        <v>303</v>
      </c>
      <c r="L87">
        <v>0.066</v>
      </c>
      <c r="M87">
        <v>12</v>
      </c>
      <c r="N87" s="48">
        <f t="shared" si="20"/>
        <v>72</v>
      </c>
      <c r="O87" s="49">
        <f t="shared" si="22"/>
        <v>0.396</v>
      </c>
    </row>
    <row r="88" spans="2:15">
      <c r="B88" t="s">
        <v>304</v>
      </c>
      <c r="C88" s="91" t="s">
        <v>305</v>
      </c>
      <c r="D88" t="s">
        <v>306</v>
      </c>
      <c r="E88" t="s">
        <v>307</v>
      </c>
      <c r="F88">
        <v>12</v>
      </c>
      <c r="G88">
        <v>6</v>
      </c>
      <c r="H88">
        <v>12</v>
      </c>
      <c r="I88" s="3">
        <v>6</v>
      </c>
      <c r="J88" s="3">
        <v>2</v>
      </c>
      <c r="K88" s="3" t="s">
        <v>295</v>
      </c>
      <c r="L88">
        <v>0.066</v>
      </c>
      <c r="M88">
        <v>12</v>
      </c>
      <c r="N88" s="48">
        <f t="shared" si="20"/>
        <v>24</v>
      </c>
      <c r="O88" s="49">
        <f t="shared" si="22"/>
        <v>0.132</v>
      </c>
    </row>
    <row r="91" ht="15" spans="1:15">
      <c r="A91" s="8" t="s">
        <v>308</v>
      </c>
      <c r="B91" t="s">
        <v>82</v>
      </c>
      <c r="C91" s="3" t="s">
        <v>309</v>
      </c>
      <c r="D91" s="3" t="s">
        <v>310</v>
      </c>
      <c r="E91" s="9" t="s">
        <v>311</v>
      </c>
      <c r="F91" s="10">
        <v>50</v>
      </c>
      <c r="G91" s="11">
        <v>10</v>
      </c>
      <c r="H91" s="10">
        <f>F91</f>
        <v>50</v>
      </c>
      <c r="I91" s="11">
        <v>10</v>
      </c>
      <c r="J91" s="3">
        <f>F91/G91</f>
        <v>5</v>
      </c>
      <c r="K91" s="1" t="s">
        <v>174</v>
      </c>
      <c r="L91" s="13">
        <v>0.3034</v>
      </c>
      <c r="M91" s="13">
        <v>23.6</v>
      </c>
      <c r="N91" s="3">
        <f>M91*J91</f>
        <v>118</v>
      </c>
      <c r="O91" s="1">
        <f>L91*J91</f>
        <v>1.517</v>
      </c>
    </row>
    <row r="93" spans="6:15">
      <c r="F93">
        <f>SUM(F2:F92)</f>
        <v>5660</v>
      </c>
      <c r="J93" s="2">
        <f>SUM(J2:J92)</f>
        <v>866</v>
      </c>
      <c r="O93">
        <f>SUM(O2:O92)</f>
        <v>58.5298044429134</v>
      </c>
    </row>
  </sheetData>
  <autoFilter xmlns:etc="http://www.wps.cn/officeDocument/2017/etCustomData" ref="A1:R9" etc:filterBottomFollowUsedRange="0">
    <extLst/>
  </autoFilter>
  <mergeCells count="19">
    <mergeCell ref="A7:A8"/>
    <mergeCell ref="A85:A87"/>
    <mergeCell ref="B13:B14"/>
    <mergeCell ref="C7:C8"/>
    <mergeCell ref="C13:C14"/>
    <mergeCell ref="D7:D8"/>
    <mergeCell ref="D13:D14"/>
    <mergeCell ref="E7:E8"/>
    <mergeCell ref="F7:F8"/>
    <mergeCell ref="F13:F14"/>
    <mergeCell ref="G7:G8"/>
    <mergeCell ref="G13:G14"/>
    <mergeCell ref="I13:I14"/>
    <mergeCell ref="J7:J8"/>
    <mergeCell ref="J13:J14"/>
    <mergeCell ref="L13:L14"/>
    <mergeCell ref="M13:M14"/>
    <mergeCell ref="N13:N14"/>
    <mergeCell ref="O13:O14"/>
  </mergeCell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R9"/>
  <sheetViews>
    <sheetView tabSelected="1" workbookViewId="0">
      <selection activeCell="H16" sqref="H16"/>
    </sheetView>
  </sheetViews>
  <sheetFormatPr defaultColWidth="8.73333333333333" defaultRowHeight="13.5"/>
  <cols>
    <col min="1" max="1" width="9.73333333333333" customWidth="1"/>
    <col min="2" max="2" width="16.6333333333333" customWidth="1"/>
    <col min="3" max="3" width="19" customWidth="1"/>
    <col min="4" max="4" width="14" customWidth="1"/>
    <col min="5" max="5" width="12" customWidth="1"/>
    <col min="7" max="7" width="10.55" customWidth="1"/>
    <col min="8" max="8" width="12.55" customWidth="1"/>
    <col min="16" max="16" width="16.1833333333333" customWidth="1"/>
    <col min="17" max="17" width="25.2666666666667" customWidth="1"/>
    <col min="18" max="18" width="20.0916666666667" customWidth="1"/>
  </cols>
  <sheetData>
    <row r="1" s="1" customFormat="1" ht="14.25" spans="1:17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12" t="s">
        <v>15</v>
      </c>
      <c r="Q1" s="30" t="s">
        <v>312</v>
      </c>
    </row>
    <row r="2" customFormat="1" spans="2:18">
      <c r="B2" s="41" t="s">
        <v>282</v>
      </c>
      <c r="C2" s="3" t="s">
        <v>283</v>
      </c>
      <c r="D2" t="s">
        <v>284</v>
      </c>
      <c r="E2" s="34" t="s">
        <v>285</v>
      </c>
      <c r="F2" s="64">
        <v>72</v>
      </c>
      <c r="G2" s="36">
        <v>24</v>
      </c>
      <c r="H2" s="22">
        <f>F2</f>
        <v>72</v>
      </c>
      <c r="I2" s="36">
        <v>24</v>
      </c>
      <c r="J2" s="37">
        <f>F2/G2</f>
        <v>3</v>
      </c>
      <c r="K2" s="36" t="s">
        <v>169</v>
      </c>
      <c r="L2" s="47">
        <f>(40*27*21)/1000000</f>
        <v>0.02268</v>
      </c>
      <c r="M2" s="44">
        <v>12</v>
      </c>
      <c r="N2" s="48">
        <f t="shared" ref="N2:N7" si="0">M2*J2</f>
        <v>36</v>
      </c>
      <c r="O2" s="49">
        <f t="shared" ref="O2:O7" si="1">L2*J2</f>
        <v>0.06804</v>
      </c>
      <c r="P2" s="92" t="s">
        <v>313</v>
      </c>
      <c r="Q2" t="s">
        <v>314</v>
      </c>
      <c r="R2" t="s">
        <v>315</v>
      </c>
    </row>
    <row r="3" customFormat="1" spans="2:18">
      <c r="B3" s="41" t="s">
        <v>286</v>
      </c>
      <c r="C3" s="3" t="s">
        <v>287</v>
      </c>
      <c r="D3" s="91" t="s">
        <v>288</v>
      </c>
      <c r="E3" s="34" t="s">
        <v>289</v>
      </c>
      <c r="F3" s="64">
        <v>72</v>
      </c>
      <c r="G3" s="36">
        <v>24</v>
      </c>
      <c r="H3" s="22">
        <f>F3</f>
        <v>72</v>
      </c>
      <c r="I3" s="36">
        <v>24</v>
      </c>
      <c r="J3" s="37">
        <f>F3/G3</f>
        <v>3</v>
      </c>
      <c r="K3" s="36" t="s">
        <v>169</v>
      </c>
      <c r="L3" s="47">
        <f>(40*27*21)/1000000</f>
        <v>0.02268</v>
      </c>
      <c r="M3" s="44">
        <v>12</v>
      </c>
      <c r="N3" s="48">
        <f t="shared" si="0"/>
        <v>36</v>
      </c>
      <c r="O3" s="49">
        <f t="shared" si="1"/>
        <v>0.06804</v>
      </c>
      <c r="P3" s="93"/>
      <c r="Q3" t="s">
        <v>316</v>
      </c>
      <c r="R3" t="s">
        <v>317</v>
      </c>
    </row>
    <row r="4" ht="21" customHeight="1" spans="1:18">
      <c r="A4" s="32" t="s">
        <v>290</v>
      </c>
      <c r="B4" t="s">
        <v>291</v>
      </c>
      <c r="C4" t="s">
        <v>292</v>
      </c>
      <c r="D4" t="s">
        <v>293</v>
      </c>
      <c r="E4" t="s">
        <v>294</v>
      </c>
      <c r="F4">
        <v>90</v>
      </c>
      <c r="G4">
        <v>6</v>
      </c>
      <c r="H4">
        <v>90</v>
      </c>
      <c r="I4" s="3">
        <v>6</v>
      </c>
      <c r="J4" s="37">
        <f>F4/G4</f>
        <v>15</v>
      </c>
      <c r="K4" s="3" t="s">
        <v>295</v>
      </c>
      <c r="L4">
        <v>0.066</v>
      </c>
      <c r="M4">
        <v>12</v>
      </c>
      <c r="N4" s="48">
        <f t="shared" si="0"/>
        <v>180</v>
      </c>
      <c r="O4" s="49">
        <f t="shared" si="1"/>
        <v>0.99</v>
      </c>
      <c r="P4" s="93"/>
      <c r="Q4" t="s">
        <v>318</v>
      </c>
      <c r="R4" t="s">
        <v>319</v>
      </c>
    </row>
    <row r="5" spans="1:18">
      <c r="A5" s="32"/>
      <c r="B5" t="s">
        <v>291</v>
      </c>
      <c r="C5" s="91" t="s">
        <v>296</v>
      </c>
      <c r="D5" t="s">
        <v>297</v>
      </c>
      <c r="E5" t="s">
        <v>298</v>
      </c>
      <c r="F5">
        <v>60</v>
      </c>
      <c r="G5">
        <v>6</v>
      </c>
      <c r="H5">
        <v>60</v>
      </c>
      <c r="I5" s="3">
        <v>6</v>
      </c>
      <c r="J5" s="37">
        <f>F5/G5</f>
        <v>10</v>
      </c>
      <c r="K5" s="3" t="s">
        <v>295</v>
      </c>
      <c r="L5">
        <v>0.066</v>
      </c>
      <c r="M5">
        <v>12</v>
      </c>
      <c r="N5" s="48">
        <f t="shared" si="0"/>
        <v>120</v>
      </c>
      <c r="O5" s="49">
        <f t="shared" si="1"/>
        <v>0.66</v>
      </c>
      <c r="P5" s="93"/>
      <c r="Q5" t="s">
        <v>320</v>
      </c>
      <c r="R5" t="s">
        <v>321</v>
      </c>
    </row>
    <row r="6" spans="1:18">
      <c r="A6" s="32"/>
      <c r="B6" t="s">
        <v>299</v>
      </c>
      <c r="C6" t="s">
        <v>300</v>
      </c>
      <c r="D6" t="s">
        <v>301</v>
      </c>
      <c r="E6" t="s">
        <v>302</v>
      </c>
      <c r="F6">
        <v>60</v>
      </c>
      <c r="G6">
        <v>10</v>
      </c>
      <c r="H6">
        <v>60</v>
      </c>
      <c r="I6" s="3">
        <v>10</v>
      </c>
      <c r="J6" s="3">
        <v>6</v>
      </c>
      <c r="K6" s="3" t="s">
        <v>303</v>
      </c>
      <c r="L6">
        <v>0.066</v>
      </c>
      <c r="M6">
        <v>12</v>
      </c>
      <c r="N6" s="48">
        <f t="shared" si="0"/>
        <v>72</v>
      </c>
      <c r="O6" s="49">
        <f t="shared" si="1"/>
        <v>0.396</v>
      </c>
      <c r="P6" s="93"/>
      <c r="Q6" t="s">
        <v>322</v>
      </c>
      <c r="R6" t="s">
        <v>323</v>
      </c>
    </row>
    <row r="7" customFormat="1" spans="2:18">
      <c r="B7" t="s">
        <v>304</v>
      </c>
      <c r="C7" s="91" t="s">
        <v>305</v>
      </c>
      <c r="D7" t="s">
        <v>306</v>
      </c>
      <c r="E7" t="s">
        <v>307</v>
      </c>
      <c r="F7">
        <v>12</v>
      </c>
      <c r="G7">
        <v>6</v>
      </c>
      <c r="H7">
        <v>12</v>
      </c>
      <c r="I7" s="3">
        <v>6</v>
      </c>
      <c r="J7" s="3">
        <v>2</v>
      </c>
      <c r="K7" s="3" t="s">
        <v>295</v>
      </c>
      <c r="L7">
        <v>0.066</v>
      </c>
      <c r="M7">
        <v>12</v>
      </c>
      <c r="N7" s="48">
        <f t="shared" si="0"/>
        <v>24</v>
      </c>
      <c r="O7" s="49">
        <f t="shared" si="1"/>
        <v>0.132</v>
      </c>
      <c r="P7" s="93"/>
      <c r="Q7" t="s">
        <v>324</v>
      </c>
      <c r="R7" t="s">
        <v>325</v>
      </c>
    </row>
    <row r="9" spans="15:15">
      <c r="O9" t="s">
        <v>326</v>
      </c>
    </row>
  </sheetData>
  <mergeCells count="2">
    <mergeCell ref="A4:A6"/>
    <mergeCell ref="P2:P7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R6"/>
  <sheetViews>
    <sheetView workbookViewId="0">
      <selection activeCell="O13" sqref="O13"/>
    </sheetView>
  </sheetViews>
  <sheetFormatPr defaultColWidth="8.73333333333333" defaultRowHeight="13.5" outlineLevelRow="5"/>
  <cols>
    <col min="1" max="1" width="10.8166666666667" customWidth="1"/>
    <col min="3" max="3" width="20.775" customWidth="1"/>
    <col min="4" max="4" width="13.7333333333333" customWidth="1"/>
    <col min="5" max="5" width="12.55" customWidth="1"/>
    <col min="15" max="15" width="16.5" customWidth="1"/>
    <col min="16" max="16" width="17.1166666666667" customWidth="1"/>
    <col min="17" max="17" width="20.55" customWidth="1"/>
    <col min="18" max="18" width="28.8166666666667" customWidth="1"/>
  </cols>
  <sheetData>
    <row r="1" s="1" customFormat="1" ht="14.25" spans="1:18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12" t="s">
        <v>15</v>
      </c>
      <c r="Q1" s="30" t="s">
        <v>327</v>
      </c>
      <c r="R1" s="1" t="s">
        <v>328</v>
      </c>
    </row>
    <row r="2" s="87" customFormat="1" ht="27" customHeight="1" spans="1:18">
      <c r="A2" s="87" t="s">
        <v>244</v>
      </c>
      <c r="B2" s="72" t="s">
        <v>276</v>
      </c>
      <c r="C2" s="83" t="s">
        <v>277</v>
      </c>
      <c r="D2" s="88" t="s">
        <v>278</v>
      </c>
      <c r="E2" s="72" t="s">
        <v>279</v>
      </c>
      <c r="F2" s="89">
        <v>80</v>
      </c>
      <c r="G2" s="87">
        <v>8</v>
      </c>
      <c r="H2" s="87">
        <f>F2</f>
        <v>80</v>
      </c>
      <c r="I2" s="88">
        <v>8</v>
      </c>
      <c r="J2" s="88">
        <v>10</v>
      </c>
      <c r="K2" s="83" t="s">
        <v>280</v>
      </c>
      <c r="L2" s="72">
        <v>0.062</v>
      </c>
      <c r="M2" s="72">
        <v>12.27</v>
      </c>
      <c r="N2" s="72">
        <f>M2*J2</f>
        <v>122.7</v>
      </c>
      <c r="O2" s="84">
        <f>J2*L2</f>
        <v>0.62</v>
      </c>
      <c r="P2" s="32" t="s">
        <v>329</v>
      </c>
      <c r="Q2" s="87" t="s">
        <v>330</v>
      </c>
      <c r="R2" s="87" t="s">
        <v>331</v>
      </c>
    </row>
    <row r="4" s="3" customFormat="1" ht="40.5" spans="1:18">
      <c r="A4" s="8" t="s">
        <v>272</v>
      </c>
      <c r="B4" s="54" t="s">
        <v>18</v>
      </c>
      <c r="C4" s="3" t="s">
        <v>273</v>
      </c>
      <c r="D4" s="54" t="s">
        <v>274</v>
      </c>
      <c r="E4" s="54" t="s">
        <v>21</v>
      </c>
      <c r="F4" s="55">
        <v>120</v>
      </c>
      <c r="G4" s="83">
        <v>1</v>
      </c>
      <c r="H4" s="55">
        <f>F4*6</f>
        <v>720</v>
      </c>
      <c r="I4" s="83">
        <v>6</v>
      </c>
      <c r="J4" s="88">
        <f>F4/G4</f>
        <v>120</v>
      </c>
      <c r="K4" s="83" t="s">
        <v>22</v>
      </c>
      <c r="L4" s="83">
        <v>0.020832</v>
      </c>
      <c r="M4" s="83">
        <v>3.15</v>
      </c>
      <c r="N4" s="72">
        <f>M4*J4</f>
        <v>378</v>
      </c>
      <c r="O4" s="84">
        <f>J4*L4</f>
        <v>2.49984</v>
      </c>
      <c r="P4" s="90" t="s">
        <v>332</v>
      </c>
      <c r="Q4" s="3" t="s">
        <v>333</v>
      </c>
      <c r="R4" s="3" t="s">
        <v>334</v>
      </c>
    </row>
    <row r="6" spans="15:15">
      <c r="O6" t="s">
        <v>335</v>
      </c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R28"/>
  <sheetViews>
    <sheetView workbookViewId="0">
      <pane xSplit="3" ySplit="1" topLeftCell="E2" activePane="bottomRight" state="frozen"/>
      <selection/>
      <selection pane="topRight"/>
      <selection pane="bottomLeft"/>
      <selection pane="bottomRight" activeCell="J37" sqref="J37"/>
    </sheetView>
  </sheetViews>
  <sheetFormatPr defaultColWidth="8.73333333333333" defaultRowHeight="13.5"/>
  <cols>
    <col min="1" max="1" width="30.75" customWidth="1"/>
    <col min="2" max="2" width="15.8833333333333" customWidth="1"/>
    <col min="3" max="3" width="26.1166666666667" customWidth="1"/>
    <col min="4" max="4" width="14.6666666666667" customWidth="1"/>
    <col min="5" max="5" width="12.225" customWidth="1"/>
    <col min="12" max="12" width="12.8166666666667"/>
    <col min="15" max="15" width="12.625"/>
    <col min="16" max="16" width="13.7333333333333" customWidth="1"/>
    <col min="17" max="17" width="24.9083333333333" customWidth="1"/>
    <col min="18" max="18" width="21.9083333333333" customWidth="1"/>
  </cols>
  <sheetData>
    <row r="1" s="1" customFormat="1" ht="14.25" spans="1:18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12" t="s">
        <v>15</v>
      </c>
      <c r="Q1" s="30" t="s">
        <v>327</v>
      </c>
      <c r="R1" s="1" t="s">
        <v>328</v>
      </c>
    </row>
    <row r="2" customFormat="1" spans="1:18">
      <c r="A2" s="8" t="s">
        <v>17</v>
      </c>
      <c r="B2" s="17" t="s">
        <v>18</v>
      </c>
      <c r="C2" s="55" t="s">
        <v>19</v>
      </c>
      <c r="D2" s="55" t="s">
        <v>20</v>
      </c>
      <c r="E2" s="55" t="s">
        <v>21</v>
      </c>
      <c r="F2" s="56">
        <v>150</v>
      </c>
      <c r="G2" s="56">
        <v>1</v>
      </c>
      <c r="H2" s="57">
        <f t="shared" ref="H2:H6" si="0">F2*6</f>
        <v>900</v>
      </c>
      <c r="I2" s="73">
        <v>6</v>
      </c>
      <c r="J2" s="74">
        <f t="shared" ref="J2:J7" si="1">F2/G2</f>
        <v>150</v>
      </c>
      <c r="K2" s="55" t="s">
        <v>22</v>
      </c>
      <c r="L2" s="17">
        <f>(42*31*16)/1000000</f>
        <v>0.020832</v>
      </c>
      <c r="M2" s="27">
        <v>3.15</v>
      </c>
      <c r="N2" s="17">
        <f t="shared" ref="N2:N7" si="2">M2*J2</f>
        <v>472.5</v>
      </c>
      <c r="O2" s="29">
        <f t="shared" ref="O2:O7" si="3">L2*J2</f>
        <v>3.1248</v>
      </c>
      <c r="P2" s="31" t="s">
        <v>336</v>
      </c>
      <c r="Q2" t="s">
        <v>337</v>
      </c>
      <c r="R2" s="3" t="s">
        <v>338</v>
      </c>
    </row>
    <row r="3" spans="1:18">
      <c r="A3" s="21" t="s">
        <v>23</v>
      </c>
      <c r="B3" s="19" t="s">
        <v>24</v>
      </c>
      <c r="C3" s="58" t="s">
        <v>25</v>
      </c>
      <c r="D3" s="58" t="s">
        <v>26</v>
      </c>
      <c r="E3" s="58" t="s">
        <v>27</v>
      </c>
      <c r="F3" s="59">
        <v>192</v>
      </c>
      <c r="G3" s="59">
        <v>8</v>
      </c>
      <c r="H3" s="60">
        <f>F3*12</f>
        <v>2304</v>
      </c>
      <c r="I3" s="75">
        <v>96</v>
      </c>
      <c r="J3" s="75">
        <f t="shared" si="1"/>
        <v>24</v>
      </c>
      <c r="K3" s="58" t="s">
        <v>28</v>
      </c>
      <c r="L3" s="19">
        <v>0.04455</v>
      </c>
      <c r="M3" s="51">
        <v>17.5</v>
      </c>
      <c r="N3" s="19">
        <f t="shared" si="2"/>
        <v>420</v>
      </c>
      <c r="O3" s="76">
        <f t="shared" si="3"/>
        <v>1.0692</v>
      </c>
      <c r="P3" s="53"/>
      <c r="Q3" t="s">
        <v>339</v>
      </c>
      <c r="R3" s="3" t="s">
        <v>340</v>
      </c>
    </row>
    <row r="4" spans="2:18">
      <c r="B4" s="17" t="s">
        <v>29</v>
      </c>
      <c r="C4" s="55" t="s">
        <v>30</v>
      </c>
      <c r="D4" s="61" t="s">
        <v>31</v>
      </c>
      <c r="E4" s="55" t="s">
        <v>32</v>
      </c>
      <c r="F4" s="56">
        <v>72</v>
      </c>
      <c r="G4" s="56">
        <v>6</v>
      </c>
      <c r="H4" s="57">
        <f>F4*12</f>
        <v>864</v>
      </c>
      <c r="I4" s="73">
        <v>72</v>
      </c>
      <c r="J4" s="74">
        <f t="shared" si="1"/>
        <v>12</v>
      </c>
      <c r="K4" s="55" t="s">
        <v>33</v>
      </c>
      <c r="L4" s="17">
        <f>(51*33*38)/1000000</f>
        <v>0.063954</v>
      </c>
      <c r="M4" s="17">
        <v>16.8</v>
      </c>
      <c r="N4" s="17">
        <f t="shared" si="2"/>
        <v>201.6</v>
      </c>
      <c r="O4" s="29">
        <f t="shared" si="3"/>
        <v>0.767448</v>
      </c>
      <c r="P4" s="32"/>
      <c r="Q4" t="s">
        <v>341</v>
      </c>
      <c r="R4" s="3" t="s">
        <v>342</v>
      </c>
    </row>
    <row r="5" spans="2:18">
      <c r="B5" s="17" t="s">
        <v>29</v>
      </c>
      <c r="C5" s="17" t="s">
        <v>34</v>
      </c>
      <c r="D5" s="62" t="s">
        <v>35</v>
      </c>
      <c r="E5" s="17" t="s">
        <v>36</v>
      </c>
      <c r="F5" s="56">
        <v>216</v>
      </c>
      <c r="G5" s="56">
        <v>12</v>
      </c>
      <c r="H5" s="57">
        <f t="shared" si="0"/>
        <v>1296</v>
      </c>
      <c r="I5" s="56">
        <v>72</v>
      </c>
      <c r="J5" s="77">
        <f t="shared" si="1"/>
        <v>18</v>
      </c>
      <c r="K5" s="17" t="s">
        <v>37</v>
      </c>
      <c r="L5" s="17">
        <f>(50*35*38)/1000000</f>
        <v>0.0665</v>
      </c>
      <c r="M5" s="17">
        <v>17</v>
      </c>
      <c r="N5" s="17">
        <f t="shared" si="2"/>
        <v>306</v>
      </c>
      <c r="O5" s="29">
        <f t="shared" si="3"/>
        <v>1.197</v>
      </c>
      <c r="P5" s="32"/>
      <c r="Q5" t="s">
        <v>343</v>
      </c>
      <c r="R5" s="3" t="s">
        <v>344</v>
      </c>
    </row>
    <row r="6" spans="2:18">
      <c r="B6" s="22" t="s">
        <v>38</v>
      </c>
      <c r="C6" s="22" t="s">
        <v>39</v>
      </c>
      <c r="D6" s="63" t="s">
        <v>40</v>
      </c>
      <c r="E6" s="22" t="s">
        <v>41</v>
      </c>
      <c r="F6" s="37">
        <v>288</v>
      </c>
      <c r="G6" s="64">
        <v>6</v>
      </c>
      <c r="H6" s="64">
        <f t="shared" si="0"/>
        <v>1728</v>
      </c>
      <c r="I6" s="78">
        <v>36</v>
      </c>
      <c r="J6" s="79">
        <f t="shared" si="1"/>
        <v>48</v>
      </c>
      <c r="K6" s="80" t="s">
        <v>42</v>
      </c>
      <c r="L6" s="36">
        <f>(61.5*31.5*36)/1000000</f>
        <v>0.069741</v>
      </c>
      <c r="M6" s="43">
        <v>12.1</v>
      </c>
      <c r="N6" s="36">
        <f t="shared" si="2"/>
        <v>580.8</v>
      </c>
      <c r="O6" s="40">
        <f t="shared" si="3"/>
        <v>3.347568</v>
      </c>
      <c r="P6" s="32"/>
      <c r="Q6" t="s">
        <v>345</v>
      </c>
      <c r="R6" s="3" t="s">
        <v>346</v>
      </c>
    </row>
    <row r="7" s="3" customFormat="1" spans="1:18">
      <c r="A7" s="65" t="s">
        <v>43</v>
      </c>
      <c r="B7" s="17" t="s">
        <v>44</v>
      </c>
      <c r="C7" s="66" t="s">
        <v>45</v>
      </c>
      <c r="D7" s="67" t="s">
        <v>46</v>
      </c>
      <c r="E7" s="66" t="s">
        <v>47</v>
      </c>
      <c r="F7" s="68">
        <v>108</v>
      </c>
      <c r="G7" s="69">
        <v>36</v>
      </c>
      <c r="H7" s="27">
        <f>F7*2</f>
        <v>216</v>
      </c>
      <c r="I7" s="71">
        <v>72</v>
      </c>
      <c r="J7" s="81">
        <f t="shared" si="1"/>
        <v>3</v>
      </c>
      <c r="K7" s="55" t="s">
        <v>48</v>
      </c>
      <c r="L7" s="17">
        <f>(48*44*36)/1000000</f>
        <v>0.076032</v>
      </c>
      <c r="M7" s="27">
        <v>17</v>
      </c>
      <c r="N7" s="17">
        <f t="shared" si="2"/>
        <v>51</v>
      </c>
      <c r="O7" s="29">
        <f t="shared" si="3"/>
        <v>0.228096</v>
      </c>
      <c r="P7" s="32"/>
      <c r="Q7" s="87" t="s">
        <v>347</v>
      </c>
      <c r="R7" s="88" t="s">
        <v>348</v>
      </c>
    </row>
    <row r="8" s="3" customFormat="1" spans="1:18">
      <c r="A8" s="70"/>
      <c r="B8" s="17" t="s">
        <v>49</v>
      </c>
      <c r="C8" s="66"/>
      <c r="D8" s="67"/>
      <c r="E8" s="66"/>
      <c r="F8" s="68"/>
      <c r="G8" s="69"/>
      <c r="H8" s="27">
        <f>F7*2</f>
        <v>216</v>
      </c>
      <c r="I8" s="71">
        <v>72</v>
      </c>
      <c r="J8" s="81"/>
      <c r="K8" s="55"/>
      <c r="L8" s="17"/>
      <c r="M8" s="27"/>
      <c r="N8" s="17"/>
      <c r="O8" s="29"/>
      <c r="P8" s="32"/>
      <c r="Q8" s="87"/>
      <c r="R8" s="88"/>
    </row>
    <row r="9" s="21" customFormat="1" spans="1:18">
      <c r="A9" s="21" t="s">
        <v>50</v>
      </c>
      <c r="B9" s="19" t="s">
        <v>51</v>
      </c>
      <c r="C9" s="58" t="s">
        <v>52</v>
      </c>
      <c r="D9" s="58" t="s">
        <v>53</v>
      </c>
      <c r="E9" s="58" t="s">
        <v>54</v>
      </c>
      <c r="F9" s="19">
        <v>24</v>
      </c>
      <c r="G9" s="19">
        <v>24</v>
      </c>
      <c r="H9" s="51">
        <f>F9*2</f>
        <v>48</v>
      </c>
      <c r="I9" s="82">
        <v>48</v>
      </c>
      <c r="J9" s="82">
        <v>1</v>
      </c>
      <c r="K9" s="58" t="s">
        <v>349</v>
      </c>
      <c r="L9" s="19">
        <v>0.052272</v>
      </c>
      <c r="M9" s="51">
        <v>4.6</v>
      </c>
      <c r="N9" s="19">
        <f>M9*J9</f>
        <v>4.6</v>
      </c>
      <c r="O9" s="76">
        <f>L9*J9</f>
        <v>0.052272</v>
      </c>
      <c r="P9" s="53"/>
      <c r="Q9" t="s">
        <v>350</v>
      </c>
      <c r="R9" s="3"/>
    </row>
    <row r="10" spans="2:18">
      <c r="B10" s="17" t="s">
        <v>56</v>
      </c>
      <c r="C10" s="45" t="s">
        <v>57</v>
      </c>
      <c r="D10" s="17" t="s">
        <v>58</v>
      </c>
      <c r="E10" s="17" t="s">
        <v>59</v>
      </c>
      <c r="F10" s="71">
        <v>400</v>
      </c>
      <c r="G10" s="54">
        <v>20</v>
      </c>
      <c r="H10" s="71">
        <f t="shared" ref="H10:H12" si="4">F10</f>
        <v>400</v>
      </c>
      <c r="I10" s="54">
        <v>20</v>
      </c>
      <c r="J10" s="27">
        <f t="shared" ref="J10:J12" si="5">F10/G10</f>
        <v>20</v>
      </c>
      <c r="K10" s="83" t="s">
        <v>60</v>
      </c>
      <c r="L10" s="28">
        <v>0.05544</v>
      </c>
      <c r="M10" s="27">
        <v>20.4</v>
      </c>
      <c r="N10" s="27">
        <f>M10*J10</f>
        <v>408</v>
      </c>
      <c r="O10" s="50">
        <f>L10*J10</f>
        <v>1.1088</v>
      </c>
      <c r="P10" s="32"/>
      <c r="Q10" t="s">
        <v>351</v>
      </c>
      <c r="R10" s="3" t="s">
        <v>352</v>
      </c>
    </row>
    <row r="11" spans="2:18">
      <c r="B11" s="17" t="s">
        <v>61</v>
      </c>
      <c r="C11" s="45" t="s">
        <v>62</v>
      </c>
      <c r="D11" s="17" t="s">
        <v>63</v>
      </c>
      <c r="E11" s="17" t="s">
        <v>64</v>
      </c>
      <c r="F11" s="71">
        <v>150</v>
      </c>
      <c r="G11" s="54">
        <v>3</v>
      </c>
      <c r="H11" s="71">
        <f t="shared" si="4"/>
        <v>150</v>
      </c>
      <c r="I11" s="54">
        <v>3</v>
      </c>
      <c r="J11" s="27">
        <f t="shared" si="5"/>
        <v>50</v>
      </c>
      <c r="K11" s="83" t="s">
        <v>65</v>
      </c>
      <c r="L11" s="28">
        <v>0.089255875</v>
      </c>
      <c r="M11" s="28">
        <v>17.3</v>
      </c>
      <c r="N11" s="27">
        <f>M11*J11</f>
        <v>865</v>
      </c>
      <c r="O11" s="50">
        <f>L11*J11</f>
        <v>4.46279375</v>
      </c>
      <c r="P11" s="32"/>
      <c r="Q11" t="s">
        <v>353</v>
      </c>
      <c r="R11" s="3" t="s">
        <v>354</v>
      </c>
    </row>
    <row r="12" spans="2:18">
      <c r="B12" t="s">
        <v>66</v>
      </c>
      <c r="C12" s="72" t="s">
        <v>67</v>
      </c>
      <c r="D12" s="72" t="s">
        <v>68</v>
      </c>
      <c r="E12" s="17" t="s">
        <v>69</v>
      </c>
      <c r="F12" s="71">
        <v>450</v>
      </c>
      <c r="G12" s="27">
        <v>15</v>
      </c>
      <c r="H12" s="71">
        <f t="shared" si="4"/>
        <v>450</v>
      </c>
      <c r="I12" s="27">
        <v>30</v>
      </c>
      <c r="J12" s="27">
        <f t="shared" si="5"/>
        <v>30</v>
      </c>
      <c r="K12" s="72" t="s">
        <v>70</v>
      </c>
      <c r="L12" s="28">
        <v>0.011368</v>
      </c>
      <c r="M12" s="28">
        <v>5.57</v>
      </c>
      <c r="N12" s="28">
        <f>J12*M12</f>
        <v>167.1</v>
      </c>
      <c r="O12" s="84">
        <f>J12*L12</f>
        <v>0.34104</v>
      </c>
      <c r="P12" s="32"/>
      <c r="Q12" s="87" t="s">
        <v>355</v>
      </c>
      <c r="R12" s="88" t="s">
        <v>356</v>
      </c>
    </row>
    <row r="13" spans="3:18">
      <c r="C13" s="72"/>
      <c r="D13" s="72"/>
      <c r="E13" s="17" t="s">
        <v>71</v>
      </c>
      <c r="F13" s="71"/>
      <c r="G13" s="27"/>
      <c r="H13" s="71">
        <f>F12</f>
        <v>450</v>
      </c>
      <c r="I13" s="27"/>
      <c r="J13" s="27"/>
      <c r="K13" s="72" t="s">
        <v>70</v>
      </c>
      <c r="L13" s="28"/>
      <c r="M13" s="28"/>
      <c r="N13" s="28"/>
      <c r="O13" s="84"/>
      <c r="P13" s="32"/>
      <c r="Q13" s="87"/>
      <c r="R13" s="88"/>
    </row>
    <row r="14" spans="2:18">
      <c r="B14" s="34" t="s">
        <v>72</v>
      </c>
      <c r="C14" s="34" t="s">
        <v>73</v>
      </c>
      <c r="D14" s="34" t="s">
        <v>74</v>
      </c>
      <c r="E14" s="34" t="s">
        <v>75</v>
      </c>
      <c r="F14" s="34">
        <v>500</v>
      </c>
      <c r="G14" s="34">
        <v>50</v>
      </c>
      <c r="H14" s="34">
        <f t="shared" ref="H14:H20" si="6">F14</f>
        <v>500</v>
      </c>
      <c r="I14" s="34">
        <v>50</v>
      </c>
      <c r="J14" s="34">
        <f t="shared" ref="J14:J24" si="7">F14/G14</f>
        <v>10</v>
      </c>
      <c r="K14" s="85" t="s">
        <v>76</v>
      </c>
      <c r="L14" s="80">
        <f>43*36*27/100000</f>
        <v>0.41796</v>
      </c>
      <c r="M14" s="86">
        <v>11</v>
      </c>
      <c r="N14" s="27">
        <f t="shared" ref="N14:N24" si="8">M14*J14</f>
        <v>110</v>
      </c>
      <c r="O14" s="29">
        <f t="shared" ref="O14:O24" si="9">L14*J14</f>
        <v>4.1796</v>
      </c>
      <c r="P14" s="32"/>
      <c r="Q14" t="s">
        <v>357</v>
      </c>
      <c r="R14" s="3" t="s">
        <v>358</v>
      </c>
    </row>
    <row r="15" spans="2:18">
      <c r="B15" s="34" t="s">
        <v>77</v>
      </c>
      <c r="C15" s="34" t="s">
        <v>78</v>
      </c>
      <c r="D15" s="34" t="s">
        <v>79</v>
      </c>
      <c r="E15" s="34" t="s">
        <v>80</v>
      </c>
      <c r="F15" s="34">
        <v>200</v>
      </c>
      <c r="G15" s="34">
        <v>50</v>
      </c>
      <c r="H15" s="34">
        <f t="shared" si="6"/>
        <v>200</v>
      </c>
      <c r="I15" s="34">
        <v>50</v>
      </c>
      <c r="J15" s="34">
        <f t="shared" si="7"/>
        <v>4</v>
      </c>
      <c r="K15" s="85" t="s">
        <v>76</v>
      </c>
      <c r="L15" s="80">
        <f>43*36*27/100000</f>
        <v>0.41796</v>
      </c>
      <c r="M15" s="86">
        <v>11</v>
      </c>
      <c r="N15" s="27">
        <f t="shared" si="8"/>
        <v>44</v>
      </c>
      <c r="O15" s="29">
        <f t="shared" si="9"/>
        <v>1.67184</v>
      </c>
      <c r="P15" s="32"/>
      <c r="Q15" t="s">
        <v>359</v>
      </c>
      <c r="R15" t="s">
        <v>360</v>
      </c>
    </row>
    <row r="18" spans="1:18">
      <c r="A18" s="8" t="s">
        <v>237</v>
      </c>
      <c r="B18" t="s">
        <v>239</v>
      </c>
      <c r="C18" t="s">
        <v>240</v>
      </c>
      <c r="D18" t="s">
        <v>241</v>
      </c>
      <c r="E18" t="s">
        <v>242</v>
      </c>
      <c r="F18">
        <v>192</v>
      </c>
      <c r="G18">
        <v>96</v>
      </c>
      <c r="H18" s="34">
        <f t="shared" si="6"/>
        <v>192</v>
      </c>
      <c r="I18">
        <v>96</v>
      </c>
      <c r="J18" s="27">
        <f t="shared" si="7"/>
        <v>2</v>
      </c>
      <c r="K18" t="s">
        <v>243</v>
      </c>
      <c r="L18">
        <v>0.02</v>
      </c>
      <c r="M18">
        <v>4.3</v>
      </c>
      <c r="N18" s="27">
        <f t="shared" si="8"/>
        <v>8.6</v>
      </c>
      <c r="O18" s="29">
        <f t="shared" si="9"/>
        <v>0.04</v>
      </c>
      <c r="P18" s="31" t="s">
        <v>361</v>
      </c>
      <c r="Q18" t="s">
        <v>362</v>
      </c>
      <c r="R18" t="s">
        <v>363</v>
      </c>
    </row>
    <row r="19" spans="2:18">
      <c r="B19" t="s">
        <v>245</v>
      </c>
      <c r="C19" t="s">
        <v>246</v>
      </c>
      <c r="D19" t="s">
        <v>247</v>
      </c>
      <c r="E19" t="s">
        <v>248</v>
      </c>
      <c r="F19">
        <v>80</v>
      </c>
      <c r="G19">
        <v>40</v>
      </c>
      <c r="H19" s="34">
        <f t="shared" si="6"/>
        <v>80</v>
      </c>
      <c r="I19">
        <v>40</v>
      </c>
      <c r="J19" s="27">
        <f t="shared" si="7"/>
        <v>2</v>
      </c>
      <c r="K19" t="s">
        <v>249</v>
      </c>
      <c r="L19">
        <v>0.07</v>
      </c>
      <c r="M19">
        <v>13.8</v>
      </c>
      <c r="N19" s="27">
        <f t="shared" si="8"/>
        <v>27.6</v>
      </c>
      <c r="O19" s="29">
        <f t="shared" si="9"/>
        <v>0.14</v>
      </c>
      <c r="P19" s="32"/>
      <c r="Q19" t="s">
        <v>364</v>
      </c>
      <c r="R19" t="s">
        <v>365</v>
      </c>
    </row>
    <row r="20" spans="2:18">
      <c r="B20" t="s">
        <v>250</v>
      </c>
      <c r="C20" t="s">
        <v>251</v>
      </c>
      <c r="D20" t="s">
        <v>252</v>
      </c>
      <c r="E20" t="s">
        <v>253</v>
      </c>
      <c r="F20">
        <v>120</v>
      </c>
      <c r="G20">
        <v>60</v>
      </c>
      <c r="H20" s="34">
        <f t="shared" si="6"/>
        <v>120</v>
      </c>
      <c r="I20">
        <v>60</v>
      </c>
      <c r="J20" s="27">
        <f t="shared" si="7"/>
        <v>2</v>
      </c>
      <c r="K20" t="s">
        <v>254</v>
      </c>
      <c r="L20">
        <v>0.08</v>
      </c>
      <c r="M20">
        <v>6.6</v>
      </c>
      <c r="N20" s="27">
        <f t="shared" si="8"/>
        <v>13.2</v>
      </c>
      <c r="O20" s="29">
        <f t="shared" si="9"/>
        <v>0.16</v>
      </c>
      <c r="P20" s="32"/>
      <c r="Q20" t="s">
        <v>366</v>
      </c>
      <c r="R20" t="s">
        <v>367</v>
      </c>
    </row>
    <row r="21" spans="2:18">
      <c r="B21" t="s">
        <v>18</v>
      </c>
      <c r="C21" t="s">
        <v>255</v>
      </c>
      <c r="D21" t="s">
        <v>256</v>
      </c>
      <c r="E21" t="s">
        <v>21</v>
      </c>
      <c r="F21">
        <v>120</v>
      </c>
      <c r="G21">
        <v>1</v>
      </c>
      <c r="H21">
        <f>F21*6</f>
        <v>720</v>
      </c>
      <c r="I21">
        <v>6</v>
      </c>
      <c r="J21" s="27">
        <f t="shared" si="7"/>
        <v>120</v>
      </c>
      <c r="K21" t="s">
        <v>22</v>
      </c>
      <c r="L21">
        <v>0.020832</v>
      </c>
      <c r="M21">
        <v>3.15</v>
      </c>
      <c r="N21" s="27">
        <f t="shared" si="8"/>
        <v>378</v>
      </c>
      <c r="O21" s="29">
        <f t="shared" si="9"/>
        <v>2.49984</v>
      </c>
      <c r="P21" s="32"/>
      <c r="Q21" t="s">
        <v>368</v>
      </c>
      <c r="R21" t="s">
        <v>369</v>
      </c>
    </row>
    <row r="22" spans="2:18">
      <c r="B22" t="s">
        <v>257</v>
      </c>
      <c r="C22" t="s">
        <v>258</v>
      </c>
      <c r="D22" t="s">
        <v>259</v>
      </c>
      <c r="E22" t="s">
        <v>260</v>
      </c>
      <c r="F22">
        <v>72</v>
      </c>
      <c r="G22">
        <v>24</v>
      </c>
      <c r="H22" s="34">
        <f>F22</f>
        <v>72</v>
      </c>
      <c r="I22">
        <v>24</v>
      </c>
      <c r="J22" s="27">
        <f t="shared" si="7"/>
        <v>3</v>
      </c>
      <c r="K22" t="s">
        <v>261</v>
      </c>
      <c r="L22">
        <v>0.0684</v>
      </c>
      <c r="M22">
        <v>0.707986281234689</v>
      </c>
      <c r="N22" s="27">
        <f t="shared" si="8"/>
        <v>2.12395884370407</v>
      </c>
      <c r="O22" s="29">
        <f t="shared" si="9"/>
        <v>0.2052</v>
      </c>
      <c r="P22" s="32"/>
      <c r="Q22" t="s">
        <v>370</v>
      </c>
      <c r="R22" t="s">
        <v>371</v>
      </c>
    </row>
    <row r="23" spans="2:18">
      <c r="B23" t="s">
        <v>263</v>
      </c>
      <c r="C23" t="s">
        <v>264</v>
      </c>
      <c r="D23" t="s">
        <v>265</v>
      </c>
      <c r="E23" t="s">
        <v>266</v>
      </c>
      <c r="F23">
        <v>72</v>
      </c>
      <c r="G23">
        <v>6</v>
      </c>
      <c r="H23">
        <f>F23*4</f>
        <v>288</v>
      </c>
      <c r="I23">
        <v>24</v>
      </c>
      <c r="J23" s="27">
        <f t="shared" si="7"/>
        <v>12</v>
      </c>
      <c r="K23" t="s">
        <v>267</v>
      </c>
      <c r="L23">
        <v>0.04</v>
      </c>
      <c r="M23">
        <v>8.7</v>
      </c>
      <c r="N23" s="27">
        <f t="shared" si="8"/>
        <v>104.4</v>
      </c>
      <c r="O23" s="29">
        <f t="shared" si="9"/>
        <v>0.48</v>
      </c>
      <c r="P23" s="32"/>
      <c r="Q23" t="s">
        <v>372</v>
      </c>
      <c r="R23" t="s">
        <v>373</v>
      </c>
    </row>
    <row r="24" spans="2:18">
      <c r="B24" t="s">
        <v>268</v>
      </c>
      <c r="C24" t="s">
        <v>269</v>
      </c>
      <c r="D24" t="s">
        <v>270</v>
      </c>
      <c r="E24" t="s">
        <v>271</v>
      </c>
      <c r="F24">
        <v>60</v>
      </c>
      <c r="G24">
        <v>6</v>
      </c>
      <c r="H24">
        <f>F24*4</f>
        <v>240</v>
      </c>
      <c r="I24">
        <v>24</v>
      </c>
      <c r="J24" s="27">
        <f t="shared" si="7"/>
        <v>10</v>
      </c>
      <c r="K24" t="s">
        <v>267</v>
      </c>
      <c r="L24">
        <v>0.04</v>
      </c>
      <c r="M24">
        <v>8.7</v>
      </c>
      <c r="N24" s="27">
        <f t="shared" si="8"/>
        <v>87</v>
      </c>
      <c r="O24" s="29">
        <f t="shared" si="9"/>
        <v>0.4</v>
      </c>
      <c r="P24" s="32"/>
      <c r="Q24" t="s">
        <v>374</v>
      </c>
      <c r="R24" t="s">
        <v>375</v>
      </c>
    </row>
    <row r="28" spans="15:15">
      <c r="O28">
        <f>SUM(O2:O27)</f>
        <v>25.47549775</v>
      </c>
    </row>
  </sheetData>
  <autoFilter xmlns:etc="http://www.wps.cn/officeDocument/2017/etCustomData" ref="A1:R15" etc:filterBottomFollowUsedRange="0">
    <extLst/>
  </autoFilter>
  <mergeCells count="24">
    <mergeCell ref="A7:A8"/>
    <mergeCell ref="B12:B13"/>
    <mergeCell ref="C7:C8"/>
    <mergeCell ref="C12:C13"/>
    <mergeCell ref="D7:D8"/>
    <mergeCell ref="D12:D13"/>
    <mergeCell ref="E7:E8"/>
    <mergeCell ref="F7:F8"/>
    <mergeCell ref="F12:F13"/>
    <mergeCell ref="G7:G8"/>
    <mergeCell ref="G12:G13"/>
    <mergeCell ref="I12:I13"/>
    <mergeCell ref="J7:J8"/>
    <mergeCell ref="J12:J13"/>
    <mergeCell ref="L12:L13"/>
    <mergeCell ref="M12:M13"/>
    <mergeCell ref="N12:N13"/>
    <mergeCell ref="O12:O13"/>
    <mergeCell ref="P2:P15"/>
    <mergeCell ref="P18:P24"/>
    <mergeCell ref="Q7:Q8"/>
    <mergeCell ref="Q12:Q13"/>
    <mergeCell ref="R7:R8"/>
    <mergeCell ref="R12:R13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R12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O15" sqref="O15"/>
    </sheetView>
  </sheetViews>
  <sheetFormatPr defaultColWidth="8.73333333333333" defaultRowHeight="13.5"/>
  <cols>
    <col min="2" max="2" width="12.6333333333333" customWidth="1"/>
    <col min="3" max="3" width="18.7333333333333" customWidth="1"/>
    <col min="4" max="4" width="13.2666666666667" customWidth="1"/>
    <col min="5" max="5" width="13.8166666666667" customWidth="1"/>
    <col min="7" max="7" width="12.0916666666667" customWidth="1"/>
    <col min="11" max="11" width="15.55" customWidth="1"/>
    <col min="15" max="15" width="11.3666666666667" customWidth="1"/>
    <col min="16" max="16" width="16" customWidth="1"/>
    <col min="17" max="17" width="21.9083333333333" customWidth="1"/>
    <col min="18" max="18" width="19" customWidth="1"/>
  </cols>
  <sheetData>
    <row r="1" s="1" customFormat="1" ht="14.25" spans="1:18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30" t="s">
        <v>312</v>
      </c>
      <c r="R1" s="1" t="s">
        <v>328</v>
      </c>
    </row>
    <row r="2" customFormat="1" ht="19" customHeight="1" spans="2:17">
      <c r="B2" s="41" t="s">
        <v>165</v>
      </c>
      <c r="C2" s="34" t="s">
        <v>166</v>
      </c>
      <c r="D2" s="42" t="s">
        <v>167</v>
      </c>
      <c r="E2" s="34" t="s">
        <v>168</v>
      </c>
      <c r="F2" s="43">
        <v>24</v>
      </c>
      <c r="G2" s="44">
        <v>24</v>
      </c>
      <c r="H2" s="10">
        <f t="shared" ref="H2:H9" si="0">F2</f>
        <v>24</v>
      </c>
      <c r="I2" s="44">
        <v>24</v>
      </c>
      <c r="J2" s="46">
        <f t="shared" ref="J2:J9" si="1">F2/G2</f>
        <v>1</v>
      </c>
      <c r="K2" s="36" t="s">
        <v>169</v>
      </c>
      <c r="L2" s="47">
        <f>(40*27*21)/1000000</f>
        <v>0.02268</v>
      </c>
      <c r="M2" s="44">
        <v>12</v>
      </c>
      <c r="N2" s="48">
        <f t="shared" ref="N2:N9" si="2">M2*J2</f>
        <v>12</v>
      </c>
      <c r="O2" s="49">
        <f t="shared" ref="O2:O9" si="3">L2*J2</f>
        <v>0.02268</v>
      </c>
      <c r="P2" s="31" t="s">
        <v>376</v>
      </c>
      <c r="Q2" t="s">
        <v>377</v>
      </c>
    </row>
    <row r="3" customFormat="1" ht="14.25" spans="2:18">
      <c r="B3" s="17" t="s">
        <v>66</v>
      </c>
      <c r="C3" s="45" t="s">
        <v>133</v>
      </c>
      <c r="D3" s="17" t="s">
        <v>134</v>
      </c>
      <c r="E3" s="45" t="s">
        <v>135</v>
      </c>
      <c r="F3">
        <v>180</v>
      </c>
      <c r="G3">
        <v>30</v>
      </c>
      <c r="H3" s="10">
        <f t="shared" si="0"/>
        <v>180</v>
      </c>
      <c r="I3">
        <v>30</v>
      </c>
      <c r="J3">
        <f t="shared" si="1"/>
        <v>6</v>
      </c>
      <c r="K3" s="28" t="s">
        <v>70</v>
      </c>
      <c r="L3" s="28">
        <v>0.011564</v>
      </c>
      <c r="M3" s="27">
        <v>10.5</v>
      </c>
      <c r="N3" s="27">
        <f t="shared" si="2"/>
        <v>63</v>
      </c>
      <c r="O3" s="50">
        <f t="shared" si="3"/>
        <v>0.069384</v>
      </c>
      <c r="P3" s="32"/>
      <c r="Q3" t="s">
        <v>378</v>
      </c>
      <c r="R3" t="s">
        <v>379</v>
      </c>
    </row>
    <row r="4" customFormat="1" ht="14.25" spans="2:18">
      <c r="B4" s="17" t="s">
        <v>66</v>
      </c>
      <c r="C4" s="45" t="s">
        <v>136</v>
      </c>
      <c r="D4" s="17" t="s">
        <v>137</v>
      </c>
      <c r="E4" s="45" t="s">
        <v>138</v>
      </c>
      <c r="F4">
        <v>90</v>
      </c>
      <c r="G4">
        <v>30</v>
      </c>
      <c r="H4" s="10">
        <f t="shared" si="0"/>
        <v>90</v>
      </c>
      <c r="I4">
        <v>30</v>
      </c>
      <c r="J4">
        <f t="shared" si="1"/>
        <v>3</v>
      </c>
      <c r="K4" s="28" t="s">
        <v>70</v>
      </c>
      <c r="L4" s="28">
        <v>0.011564</v>
      </c>
      <c r="M4" s="27">
        <v>10.5</v>
      </c>
      <c r="N4" s="27">
        <f t="shared" si="2"/>
        <v>31.5</v>
      </c>
      <c r="O4" s="50">
        <f t="shared" si="3"/>
        <v>0.034692</v>
      </c>
      <c r="P4" s="32"/>
      <c r="Q4" t="s">
        <v>380</v>
      </c>
      <c r="R4" t="s">
        <v>381</v>
      </c>
    </row>
    <row r="5" customFormat="1" ht="14.25" spans="2:18">
      <c r="B5" s="17" t="s">
        <v>139</v>
      </c>
      <c r="C5" s="17" t="s">
        <v>140</v>
      </c>
      <c r="D5" s="17" t="s">
        <v>141</v>
      </c>
      <c r="E5" s="17" t="s">
        <v>142</v>
      </c>
      <c r="F5" s="17">
        <v>96</v>
      </c>
      <c r="G5" s="17">
        <v>16</v>
      </c>
      <c r="H5" s="10">
        <f t="shared" si="0"/>
        <v>96</v>
      </c>
      <c r="I5" s="17">
        <v>16</v>
      </c>
      <c r="J5">
        <f t="shared" si="1"/>
        <v>6</v>
      </c>
      <c r="K5" s="38" t="s">
        <v>143</v>
      </c>
      <c r="L5" s="38">
        <v>0.17</v>
      </c>
      <c r="M5" s="38">
        <v>6.4</v>
      </c>
      <c r="N5" s="27">
        <f t="shared" si="2"/>
        <v>38.4</v>
      </c>
      <c r="O5" s="50">
        <f t="shared" si="3"/>
        <v>1.02</v>
      </c>
      <c r="P5" s="32"/>
      <c r="Q5" t="s">
        <v>382</v>
      </c>
      <c r="R5" t="s">
        <v>383</v>
      </c>
    </row>
    <row r="6" customFormat="1" ht="14.25" spans="2:18">
      <c r="B6" t="s">
        <v>144</v>
      </c>
      <c r="C6" t="s">
        <v>145</v>
      </c>
      <c r="D6" t="s">
        <v>146</v>
      </c>
      <c r="E6" t="s">
        <v>147</v>
      </c>
      <c r="F6" s="3">
        <v>180</v>
      </c>
      <c r="G6">
        <v>12</v>
      </c>
      <c r="H6" s="10">
        <f t="shared" si="0"/>
        <v>180</v>
      </c>
      <c r="I6">
        <v>12</v>
      </c>
      <c r="J6">
        <f t="shared" si="1"/>
        <v>15</v>
      </c>
      <c r="K6" t="s">
        <v>148</v>
      </c>
      <c r="L6">
        <v>0.0726</v>
      </c>
      <c r="M6">
        <v>10.89</v>
      </c>
      <c r="N6" s="27">
        <f t="shared" si="2"/>
        <v>163.35</v>
      </c>
      <c r="O6" s="50">
        <f t="shared" si="3"/>
        <v>1.089</v>
      </c>
      <c r="P6" s="32"/>
      <c r="Q6" t="s">
        <v>384</v>
      </c>
      <c r="R6" t="s">
        <v>385</v>
      </c>
    </row>
    <row r="7" s="21" customFormat="1" ht="14.25" spans="1:18">
      <c r="A7" s="21" t="s">
        <v>149</v>
      </c>
      <c r="B7" s="21" t="s">
        <v>150</v>
      </c>
      <c r="C7" s="21" t="s">
        <v>151</v>
      </c>
      <c r="D7" s="21" t="s">
        <v>152</v>
      </c>
      <c r="E7" s="21" t="s">
        <v>153</v>
      </c>
      <c r="F7" s="21">
        <v>200</v>
      </c>
      <c r="G7" s="21">
        <v>100</v>
      </c>
      <c r="H7" s="33">
        <f t="shared" si="0"/>
        <v>200</v>
      </c>
      <c r="I7" s="21">
        <v>100</v>
      </c>
      <c r="J7" s="21">
        <f t="shared" si="1"/>
        <v>2</v>
      </c>
      <c r="K7" s="21" t="s">
        <v>154</v>
      </c>
      <c r="L7" s="21">
        <v>0.019</v>
      </c>
      <c r="M7" s="21">
        <v>6.59</v>
      </c>
      <c r="N7" s="51">
        <f t="shared" si="2"/>
        <v>13.18</v>
      </c>
      <c r="O7" s="52">
        <f t="shared" si="3"/>
        <v>0.038</v>
      </c>
      <c r="P7" s="53"/>
      <c r="Q7" t="s">
        <v>386</v>
      </c>
      <c r="R7" s="3" t="s">
        <v>387</v>
      </c>
    </row>
    <row r="8" customFormat="1" ht="14.25" spans="2:18">
      <c r="B8" s="22" t="s">
        <v>155</v>
      </c>
      <c r="C8" s="34" t="s">
        <v>156</v>
      </c>
      <c r="D8" s="22" t="s">
        <v>157</v>
      </c>
      <c r="E8" s="22" t="s">
        <v>158</v>
      </c>
      <c r="F8" s="22">
        <v>100</v>
      </c>
      <c r="G8" s="36">
        <v>10</v>
      </c>
      <c r="H8" s="10">
        <f t="shared" si="0"/>
        <v>100</v>
      </c>
      <c r="I8" s="36">
        <v>10</v>
      </c>
      <c r="J8" s="2">
        <f t="shared" si="1"/>
        <v>10</v>
      </c>
      <c r="K8" s="36" t="s">
        <v>159</v>
      </c>
      <c r="L8" s="36">
        <f>45*31*45/1000000</f>
        <v>0.062775</v>
      </c>
      <c r="M8" s="44">
        <v>9</v>
      </c>
      <c r="N8" s="36">
        <f t="shared" si="2"/>
        <v>90</v>
      </c>
      <c r="O8" s="29">
        <f t="shared" si="3"/>
        <v>0.62775</v>
      </c>
      <c r="P8" s="32"/>
      <c r="Q8" t="s">
        <v>388</v>
      </c>
      <c r="R8" t="s">
        <v>389</v>
      </c>
    </row>
    <row r="9" customFormat="1" ht="14.25" spans="1:18">
      <c r="A9" s="3"/>
      <c r="B9" s="3" t="s">
        <v>160</v>
      </c>
      <c r="C9" s="1" t="s">
        <v>161</v>
      </c>
      <c r="D9" s="3" t="s">
        <v>162</v>
      </c>
      <c r="E9" s="3" t="s">
        <v>163</v>
      </c>
      <c r="F9" s="3">
        <v>48</v>
      </c>
      <c r="G9" s="3">
        <v>4</v>
      </c>
      <c r="H9" s="10">
        <f t="shared" si="0"/>
        <v>48</v>
      </c>
      <c r="I9" s="3">
        <v>28</v>
      </c>
      <c r="J9" s="3">
        <f t="shared" si="1"/>
        <v>12</v>
      </c>
      <c r="K9" s="3" t="s">
        <v>164</v>
      </c>
      <c r="L9" s="54">
        <f>(50*32.5*41.9)/1000000</f>
        <v>0.0680875</v>
      </c>
      <c r="M9" s="3">
        <v>15</v>
      </c>
      <c r="N9" s="54">
        <f t="shared" si="2"/>
        <v>180</v>
      </c>
      <c r="O9" s="29">
        <f t="shared" si="3"/>
        <v>0.81705</v>
      </c>
      <c r="P9" s="32"/>
      <c r="Q9" t="s">
        <v>390</v>
      </c>
      <c r="R9" t="s">
        <v>391</v>
      </c>
    </row>
    <row r="12" spans="15:15">
      <c r="O12">
        <f>SUM(O2:O11)</f>
        <v>3.718556</v>
      </c>
    </row>
  </sheetData>
  <mergeCells count="1">
    <mergeCell ref="P2:P9"/>
  </mergeCells>
  <pageMargins left="0.75" right="0.75" top="1" bottom="1" header="0.5" footer="0.5"/>
  <pageSetup paperSize="256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S12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P12" sqref="P12"/>
    </sheetView>
  </sheetViews>
  <sheetFormatPr defaultColWidth="8.73333333333333" defaultRowHeight="13.5"/>
  <cols>
    <col min="3" max="3" width="22.55" customWidth="1"/>
    <col min="4" max="5" width="12.55" customWidth="1"/>
    <col min="6" max="6" width="11.7333333333333" customWidth="1"/>
    <col min="16" max="16" width="12.625"/>
    <col min="17" max="17" width="13" customWidth="1"/>
    <col min="18" max="18" width="20.7333333333333" customWidth="1"/>
  </cols>
  <sheetData>
    <row r="1" s="1" customFormat="1" ht="14.25" spans="1:19">
      <c r="A1" s="4" t="s">
        <v>0</v>
      </c>
      <c r="B1" s="4" t="s">
        <v>1</v>
      </c>
      <c r="C1" s="5" t="s">
        <v>2</v>
      </c>
      <c r="D1" s="6" t="s">
        <v>3</v>
      </c>
      <c r="E1" s="6" t="s">
        <v>392</v>
      </c>
      <c r="F1" s="6" t="s">
        <v>4</v>
      </c>
      <c r="G1" s="6" t="s">
        <v>5</v>
      </c>
      <c r="H1" s="6" t="s">
        <v>6</v>
      </c>
      <c r="I1" s="7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12" t="s">
        <v>15</v>
      </c>
      <c r="R1" s="30" t="s">
        <v>312</v>
      </c>
      <c r="S1" s="1" t="s">
        <v>328</v>
      </c>
    </row>
    <row r="2" ht="15" spans="1:18">
      <c r="A2" t="s">
        <v>81</v>
      </c>
      <c r="B2" t="s">
        <v>87</v>
      </c>
      <c r="C2" s="3" t="s">
        <v>88</v>
      </c>
      <c r="D2" s="21" t="s">
        <v>89</v>
      </c>
      <c r="E2" s="20" t="s">
        <v>393</v>
      </c>
      <c r="F2" s="15" t="s">
        <v>90</v>
      </c>
      <c r="G2" s="33">
        <v>1</v>
      </c>
      <c r="H2" s="11">
        <v>1</v>
      </c>
      <c r="I2" s="10">
        <f>G2</f>
        <v>1</v>
      </c>
      <c r="J2" s="11">
        <v>1</v>
      </c>
      <c r="K2">
        <f>G2/H2</f>
        <v>1</v>
      </c>
      <c r="L2" s="3" t="s">
        <v>91</v>
      </c>
      <c r="M2" s="13">
        <v>0.178</v>
      </c>
      <c r="N2" s="13">
        <v>8.6</v>
      </c>
      <c r="O2" s="3">
        <f>N2*K2</f>
        <v>8.6</v>
      </c>
      <c r="P2" s="1">
        <f>M2*K2</f>
        <v>0.178</v>
      </c>
      <c r="Q2" s="31" t="s">
        <v>394</v>
      </c>
      <c r="R2" t="s">
        <v>395</v>
      </c>
    </row>
    <row r="3" ht="15" spans="2:18">
      <c r="B3" t="s">
        <v>87</v>
      </c>
      <c r="C3" s="3" t="s">
        <v>92</v>
      </c>
      <c r="D3" s="21" t="s">
        <v>93</v>
      </c>
      <c r="E3" s="21"/>
      <c r="F3" s="15" t="s">
        <v>94</v>
      </c>
      <c r="G3" s="33">
        <v>1</v>
      </c>
      <c r="H3" s="11">
        <v>1</v>
      </c>
      <c r="I3" s="10">
        <f>G3</f>
        <v>1</v>
      </c>
      <c r="J3" s="11">
        <v>1</v>
      </c>
      <c r="K3">
        <f>G3/H3</f>
        <v>1</v>
      </c>
      <c r="L3" s="3" t="s">
        <v>91</v>
      </c>
      <c r="M3" s="13">
        <v>0.178</v>
      </c>
      <c r="N3" s="13">
        <v>7.7</v>
      </c>
      <c r="O3" s="3">
        <f>N3*K3</f>
        <v>7.7</v>
      </c>
      <c r="P3" s="1">
        <f>M3*K3</f>
        <v>0.178</v>
      </c>
      <c r="Q3" s="32"/>
      <c r="R3" t="s">
        <v>396</v>
      </c>
    </row>
    <row r="4" ht="15" spans="2:18">
      <c r="B4" t="s">
        <v>87</v>
      </c>
      <c r="C4" s="3" t="s">
        <v>95</v>
      </c>
      <c r="D4" s="21" t="s">
        <v>96</v>
      </c>
      <c r="E4" s="21"/>
      <c r="F4" s="15" t="s">
        <v>97</v>
      </c>
      <c r="G4" s="33">
        <v>1</v>
      </c>
      <c r="H4" s="11">
        <v>1</v>
      </c>
      <c r="I4" s="10">
        <f>G4</f>
        <v>1</v>
      </c>
      <c r="J4" s="11">
        <v>1</v>
      </c>
      <c r="K4">
        <f>G4/H4</f>
        <v>1</v>
      </c>
      <c r="L4" s="3" t="s">
        <v>91</v>
      </c>
      <c r="M4" s="13">
        <v>0.178</v>
      </c>
      <c r="N4" s="13">
        <v>8.6</v>
      </c>
      <c r="O4" s="3">
        <f>N4*K4</f>
        <v>8.6</v>
      </c>
      <c r="P4" s="1">
        <f>M4*K4</f>
        <v>0.178</v>
      </c>
      <c r="Q4" s="32"/>
      <c r="R4" t="s">
        <v>397</v>
      </c>
    </row>
    <row r="5" ht="14.25" spans="2:18">
      <c r="B5" t="s">
        <v>98</v>
      </c>
      <c r="C5" s="3" t="s">
        <v>107</v>
      </c>
      <c r="D5" t="s">
        <v>108</v>
      </c>
      <c r="F5" t="s">
        <v>109</v>
      </c>
      <c r="G5" s="10">
        <v>6</v>
      </c>
      <c r="H5">
        <v>6</v>
      </c>
      <c r="I5" s="10">
        <f t="shared" ref="I5:I11" si="0">G5</f>
        <v>6</v>
      </c>
      <c r="J5">
        <v>6</v>
      </c>
      <c r="K5">
        <f t="shared" ref="K5:K11" si="1">G5/H5</f>
        <v>1</v>
      </c>
      <c r="L5" s="3" t="s">
        <v>110</v>
      </c>
      <c r="M5">
        <v>0.26</v>
      </c>
      <c r="N5">
        <v>16.02</v>
      </c>
      <c r="O5" s="3">
        <f t="shared" ref="O5:O11" si="2">N5*K5</f>
        <v>16.02</v>
      </c>
      <c r="P5" s="1">
        <f t="shared" ref="P5:P11" si="3">M5*K5</f>
        <v>0.26</v>
      </c>
      <c r="Q5" s="32"/>
      <c r="R5" t="s">
        <v>398</v>
      </c>
    </row>
    <row r="6" ht="14.25" spans="2:18">
      <c r="B6" t="s">
        <v>98</v>
      </c>
      <c r="C6" s="3" t="s">
        <v>111</v>
      </c>
      <c r="D6" t="s">
        <v>112</v>
      </c>
      <c r="F6" t="s">
        <v>113</v>
      </c>
      <c r="G6" s="10">
        <v>6</v>
      </c>
      <c r="H6">
        <v>6</v>
      </c>
      <c r="I6" s="10">
        <f t="shared" si="0"/>
        <v>6</v>
      </c>
      <c r="J6">
        <v>6</v>
      </c>
      <c r="K6">
        <f t="shared" si="1"/>
        <v>1</v>
      </c>
      <c r="L6" s="3" t="s">
        <v>114</v>
      </c>
      <c r="M6">
        <v>0.26</v>
      </c>
      <c r="N6">
        <v>16.02</v>
      </c>
      <c r="O6" s="3">
        <f t="shared" si="2"/>
        <v>16.02</v>
      </c>
      <c r="P6" s="1">
        <f t="shared" si="3"/>
        <v>0.26</v>
      </c>
      <c r="Q6" s="32"/>
      <c r="R6" t="s">
        <v>399</v>
      </c>
    </row>
    <row r="7" ht="14.25" spans="2:18">
      <c r="B7" t="s">
        <v>98</v>
      </c>
      <c r="C7" t="s">
        <v>115</v>
      </c>
      <c r="D7" t="s">
        <v>116</v>
      </c>
      <c r="F7" t="s">
        <v>117</v>
      </c>
      <c r="G7" s="10">
        <v>6</v>
      </c>
      <c r="H7">
        <v>6</v>
      </c>
      <c r="I7" s="10">
        <f t="shared" si="0"/>
        <v>6</v>
      </c>
      <c r="J7">
        <v>6</v>
      </c>
      <c r="K7">
        <f t="shared" si="1"/>
        <v>1</v>
      </c>
      <c r="L7" s="3" t="s">
        <v>114</v>
      </c>
      <c r="M7">
        <v>0.26</v>
      </c>
      <c r="N7">
        <v>16.02</v>
      </c>
      <c r="O7" s="3">
        <f t="shared" si="2"/>
        <v>16.02</v>
      </c>
      <c r="P7" s="1">
        <f t="shared" si="3"/>
        <v>0.26</v>
      </c>
      <c r="Q7" s="32"/>
      <c r="R7" t="s">
        <v>400</v>
      </c>
    </row>
    <row r="8" ht="14.25" spans="2:18">
      <c r="B8" t="s">
        <v>98</v>
      </c>
      <c r="C8" s="3" t="s">
        <v>118</v>
      </c>
      <c r="D8" s="3" t="s">
        <v>119</v>
      </c>
      <c r="E8" s="3"/>
      <c r="F8" t="s">
        <v>120</v>
      </c>
      <c r="G8" s="10">
        <v>6</v>
      </c>
      <c r="H8">
        <v>6</v>
      </c>
      <c r="I8" s="10">
        <f t="shared" si="0"/>
        <v>6</v>
      </c>
      <c r="J8">
        <v>6</v>
      </c>
      <c r="K8">
        <f t="shared" si="1"/>
        <v>1</v>
      </c>
      <c r="L8" s="3" t="s">
        <v>114</v>
      </c>
      <c r="M8">
        <v>0.26</v>
      </c>
      <c r="N8">
        <v>16.02</v>
      </c>
      <c r="O8" s="3">
        <f t="shared" si="2"/>
        <v>16.02</v>
      </c>
      <c r="P8" s="1">
        <f t="shared" si="3"/>
        <v>0.26</v>
      </c>
      <c r="Q8" s="32"/>
      <c r="R8" t="s">
        <v>401</v>
      </c>
    </row>
    <row r="9" ht="14.25" spans="2:19">
      <c r="B9" s="22" t="s">
        <v>98</v>
      </c>
      <c r="C9" s="34" t="s">
        <v>121</v>
      </c>
      <c r="D9" s="22" t="s">
        <v>122</v>
      </c>
      <c r="E9" s="22"/>
      <c r="F9" s="35" t="s">
        <v>123</v>
      </c>
      <c r="G9" s="10">
        <v>12</v>
      </c>
      <c r="H9" s="36">
        <v>6</v>
      </c>
      <c r="I9" s="10">
        <f t="shared" si="0"/>
        <v>12</v>
      </c>
      <c r="J9" s="36">
        <v>6</v>
      </c>
      <c r="K9" s="39">
        <f t="shared" si="1"/>
        <v>2</v>
      </c>
      <c r="L9" s="22" t="s">
        <v>124</v>
      </c>
      <c r="M9" s="22">
        <v>0.260409448818898</v>
      </c>
      <c r="N9" s="22">
        <v>16.0251968503937</v>
      </c>
      <c r="O9" s="36">
        <f t="shared" si="2"/>
        <v>32.0503937007874</v>
      </c>
      <c r="P9" s="40">
        <f t="shared" si="3"/>
        <v>0.520818897637796</v>
      </c>
      <c r="Q9" s="32"/>
      <c r="R9" t="s">
        <v>402</v>
      </c>
      <c r="S9" t="s">
        <v>403</v>
      </c>
    </row>
    <row r="10" ht="14.25" spans="2:18">
      <c r="B10" s="37" t="s">
        <v>98</v>
      </c>
      <c r="C10" s="34" t="s">
        <v>125</v>
      </c>
      <c r="D10" s="37" t="s">
        <v>126</v>
      </c>
      <c r="E10" s="37"/>
      <c r="F10" s="35" t="s">
        <v>127</v>
      </c>
      <c r="G10" s="10">
        <v>6</v>
      </c>
      <c r="H10" s="38">
        <v>6</v>
      </c>
      <c r="I10" s="10">
        <f t="shared" si="0"/>
        <v>6</v>
      </c>
      <c r="J10" s="38">
        <v>6</v>
      </c>
      <c r="K10" s="39">
        <f t="shared" si="1"/>
        <v>1</v>
      </c>
      <c r="L10" s="37" t="s">
        <v>124</v>
      </c>
      <c r="M10" s="37">
        <v>0.26</v>
      </c>
      <c r="N10" s="37">
        <v>16</v>
      </c>
      <c r="O10" s="38">
        <f t="shared" si="2"/>
        <v>16</v>
      </c>
      <c r="P10" s="40">
        <f t="shared" si="3"/>
        <v>0.26</v>
      </c>
      <c r="Q10" s="32"/>
      <c r="R10" t="s">
        <v>404</v>
      </c>
    </row>
    <row r="12" spans="16:16">
      <c r="P12">
        <f>SUM(P2:P11)</f>
        <v>2.3548188976378</v>
      </c>
    </row>
  </sheetData>
  <mergeCells count="2">
    <mergeCell ref="E2:E4"/>
    <mergeCell ref="Q2:Q10"/>
  </mergeCells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S14"/>
  <sheetViews>
    <sheetView workbookViewId="0">
      <selection activeCell="G36" sqref="G36"/>
    </sheetView>
  </sheetViews>
  <sheetFormatPr defaultColWidth="8.73333333333333" defaultRowHeight="13.5"/>
  <cols>
    <col min="4" max="5" width="14.2833333333333" customWidth="1"/>
    <col min="6" max="6" width="14.875" customWidth="1"/>
    <col min="17" max="17" width="13.8166666666667" customWidth="1"/>
    <col min="18" max="18" width="20" customWidth="1"/>
    <col min="19" max="19" width="15.7333333333333" customWidth="1"/>
  </cols>
  <sheetData>
    <row r="1" s="1" customFormat="1" ht="14.25" spans="1:19">
      <c r="A1" s="4" t="s">
        <v>0</v>
      </c>
      <c r="B1" s="4" t="s">
        <v>1</v>
      </c>
      <c r="C1" s="5" t="s">
        <v>2</v>
      </c>
      <c r="D1" s="6" t="s">
        <v>3</v>
      </c>
      <c r="E1" s="6"/>
      <c r="F1" s="6" t="s">
        <v>4</v>
      </c>
      <c r="G1" s="6" t="s">
        <v>5</v>
      </c>
      <c r="H1" s="6" t="s">
        <v>6</v>
      </c>
      <c r="I1" s="7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12" t="s">
        <v>15</v>
      </c>
      <c r="R1" s="30" t="s">
        <v>312</v>
      </c>
      <c r="S1" s="1" t="s">
        <v>328</v>
      </c>
    </row>
    <row r="2" customFormat="1" ht="15" spans="1:18">
      <c r="A2" s="8" t="s">
        <v>81</v>
      </c>
      <c r="B2" t="s">
        <v>82</v>
      </c>
      <c r="C2" s="3" t="s">
        <v>83</v>
      </c>
      <c r="D2" s="3" t="s">
        <v>84</v>
      </c>
      <c r="E2" s="3"/>
      <c r="F2" s="9" t="s">
        <v>85</v>
      </c>
      <c r="G2" s="10">
        <v>6</v>
      </c>
      <c r="H2" s="11">
        <v>6</v>
      </c>
      <c r="I2" s="10">
        <f t="shared" ref="I2:I14" si="0">G2</f>
        <v>6</v>
      </c>
      <c r="J2" s="11">
        <v>6</v>
      </c>
      <c r="K2">
        <f t="shared" ref="K2:K14" si="1">G2/H2</f>
        <v>1</v>
      </c>
      <c r="L2" s="3" t="s">
        <v>86</v>
      </c>
      <c r="M2" s="13">
        <v>0.246</v>
      </c>
      <c r="N2" s="13">
        <v>18</v>
      </c>
      <c r="O2" s="3">
        <f t="shared" ref="O2:O14" si="2">N2*K2</f>
        <v>18</v>
      </c>
      <c r="P2" s="1">
        <f t="shared" ref="P2:P14" si="3">M2*K2</f>
        <v>0.246</v>
      </c>
      <c r="Q2" s="31" t="s">
        <v>405</v>
      </c>
      <c r="R2" t="s">
        <v>406</v>
      </c>
    </row>
    <row r="3" customFormat="1" ht="15" spans="2:19">
      <c r="B3" t="s">
        <v>87</v>
      </c>
      <c r="C3" s="3" t="s">
        <v>88</v>
      </c>
      <c r="D3" s="21" t="s">
        <v>89</v>
      </c>
      <c r="E3" s="20" t="s">
        <v>393</v>
      </c>
      <c r="F3" s="15" t="s">
        <v>90</v>
      </c>
      <c r="G3" s="33">
        <v>3</v>
      </c>
      <c r="H3" s="11">
        <v>1</v>
      </c>
      <c r="I3" s="10">
        <f t="shared" si="0"/>
        <v>3</v>
      </c>
      <c r="J3" s="11">
        <v>1</v>
      </c>
      <c r="K3">
        <f t="shared" si="1"/>
        <v>3</v>
      </c>
      <c r="L3" s="3" t="s">
        <v>91</v>
      </c>
      <c r="M3" s="13">
        <v>0.178</v>
      </c>
      <c r="N3" s="13">
        <v>8.6</v>
      </c>
      <c r="O3" s="3">
        <f t="shared" si="2"/>
        <v>25.8</v>
      </c>
      <c r="P3" s="1">
        <f t="shared" si="3"/>
        <v>0.534</v>
      </c>
      <c r="Q3" s="32"/>
      <c r="R3" t="s">
        <v>407</v>
      </c>
      <c r="S3" t="s">
        <v>408</v>
      </c>
    </row>
    <row r="4" customFormat="1" ht="15" spans="2:19">
      <c r="B4" t="s">
        <v>87</v>
      </c>
      <c r="C4" s="3" t="s">
        <v>92</v>
      </c>
      <c r="D4" s="21" t="s">
        <v>93</v>
      </c>
      <c r="E4" s="21"/>
      <c r="F4" s="15" t="s">
        <v>94</v>
      </c>
      <c r="G4" s="33">
        <v>3</v>
      </c>
      <c r="H4" s="11">
        <v>1</v>
      </c>
      <c r="I4" s="10">
        <f t="shared" si="0"/>
        <v>3</v>
      </c>
      <c r="J4" s="11">
        <v>1</v>
      </c>
      <c r="K4">
        <f t="shared" si="1"/>
        <v>3</v>
      </c>
      <c r="L4" s="3" t="s">
        <v>91</v>
      </c>
      <c r="M4" s="13">
        <v>0.178</v>
      </c>
      <c r="N4" s="13">
        <v>7.7</v>
      </c>
      <c r="O4" s="3">
        <f t="shared" si="2"/>
        <v>23.1</v>
      </c>
      <c r="P4" s="1">
        <f t="shared" si="3"/>
        <v>0.534</v>
      </c>
      <c r="Q4" s="32"/>
      <c r="R4" t="s">
        <v>409</v>
      </c>
      <c r="S4" t="s">
        <v>410</v>
      </c>
    </row>
    <row r="5" customFormat="1" ht="15" spans="2:19">
      <c r="B5" t="s">
        <v>87</v>
      </c>
      <c r="C5" s="3" t="s">
        <v>95</v>
      </c>
      <c r="D5" s="21" t="s">
        <v>96</v>
      </c>
      <c r="E5" s="21"/>
      <c r="F5" s="15" t="s">
        <v>97</v>
      </c>
      <c r="G5" s="33">
        <v>3</v>
      </c>
      <c r="H5" s="11">
        <v>1</v>
      </c>
      <c r="I5" s="10">
        <f t="shared" si="0"/>
        <v>3</v>
      </c>
      <c r="J5" s="11">
        <v>1</v>
      </c>
      <c r="K5">
        <f t="shared" si="1"/>
        <v>3</v>
      </c>
      <c r="L5" s="3" t="s">
        <v>91</v>
      </c>
      <c r="M5" s="13">
        <v>0.178</v>
      </c>
      <c r="N5" s="13">
        <v>8.6</v>
      </c>
      <c r="O5" s="3">
        <f t="shared" si="2"/>
        <v>25.8</v>
      </c>
      <c r="P5" s="1">
        <f t="shared" si="3"/>
        <v>0.534</v>
      </c>
      <c r="Q5" s="32"/>
      <c r="R5" t="s">
        <v>411</v>
      </c>
      <c r="S5" t="s">
        <v>412</v>
      </c>
    </row>
    <row r="6" customFormat="1" ht="15" spans="2:18">
      <c r="B6" t="s">
        <v>98</v>
      </c>
      <c r="C6" s="3" t="s">
        <v>99</v>
      </c>
      <c r="D6" s="3" t="s">
        <v>100</v>
      </c>
      <c r="E6" s="3"/>
      <c r="F6" s="15" t="s">
        <v>101</v>
      </c>
      <c r="G6" s="10">
        <v>10</v>
      </c>
      <c r="H6" s="11">
        <v>10</v>
      </c>
      <c r="I6" s="10">
        <f t="shared" si="0"/>
        <v>10</v>
      </c>
      <c r="J6" s="11">
        <v>10</v>
      </c>
      <c r="K6">
        <f t="shared" si="1"/>
        <v>1</v>
      </c>
      <c r="L6" s="3" t="s">
        <v>102</v>
      </c>
      <c r="M6" s="13">
        <v>0.2625</v>
      </c>
      <c r="N6" s="13">
        <v>20.275</v>
      </c>
      <c r="O6" s="3">
        <f t="shared" si="2"/>
        <v>20.275</v>
      </c>
      <c r="P6" s="1">
        <f t="shared" si="3"/>
        <v>0.2625</v>
      </c>
      <c r="Q6" s="32"/>
      <c r="R6" t="s">
        <v>413</v>
      </c>
    </row>
    <row r="7" s="3" customFormat="1" ht="15" spans="1:18">
      <c r="A7" s="3" t="s">
        <v>23</v>
      </c>
      <c r="B7" s="3" t="s">
        <v>98</v>
      </c>
      <c r="C7" s="3" t="s">
        <v>103</v>
      </c>
      <c r="D7" s="3" t="s">
        <v>104</v>
      </c>
      <c r="F7" s="16" t="s">
        <v>105</v>
      </c>
      <c r="G7" s="10">
        <v>10</v>
      </c>
      <c r="H7" s="11">
        <v>10</v>
      </c>
      <c r="I7" s="10">
        <f t="shared" si="0"/>
        <v>10</v>
      </c>
      <c r="J7" s="11">
        <v>10</v>
      </c>
      <c r="K7" s="3">
        <f t="shared" si="1"/>
        <v>1</v>
      </c>
      <c r="L7" s="3" t="s">
        <v>106</v>
      </c>
      <c r="M7" s="26">
        <v>0.303</v>
      </c>
      <c r="N7" s="26">
        <v>22.5</v>
      </c>
      <c r="O7" s="3">
        <f t="shared" si="2"/>
        <v>22.5</v>
      </c>
      <c r="P7" s="1">
        <f t="shared" si="3"/>
        <v>0.303</v>
      </c>
      <c r="Q7" s="32"/>
      <c r="R7" t="s">
        <v>414</v>
      </c>
    </row>
    <row r="8" customFormat="1" ht="14.25" spans="2:19">
      <c r="B8" t="s">
        <v>98</v>
      </c>
      <c r="C8" s="3" t="s">
        <v>107</v>
      </c>
      <c r="D8" t="s">
        <v>108</v>
      </c>
      <c r="F8" t="s">
        <v>109</v>
      </c>
      <c r="G8" s="10">
        <v>18</v>
      </c>
      <c r="H8">
        <v>6</v>
      </c>
      <c r="I8" s="10">
        <f t="shared" si="0"/>
        <v>18</v>
      </c>
      <c r="J8">
        <v>6</v>
      </c>
      <c r="K8">
        <f t="shared" si="1"/>
        <v>3</v>
      </c>
      <c r="L8" s="3" t="s">
        <v>110</v>
      </c>
      <c r="M8">
        <v>0.26</v>
      </c>
      <c r="N8">
        <v>16.02</v>
      </c>
      <c r="O8" s="3">
        <f t="shared" si="2"/>
        <v>48.06</v>
      </c>
      <c r="P8" s="1">
        <f t="shared" si="3"/>
        <v>0.78</v>
      </c>
      <c r="Q8" s="32"/>
      <c r="R8" t="s">
        <v>415</v>
      </c>
      <c r="S8" t="s">
        <v>416</v>
      </c>
    </row>
    <row r="9" customFormat="1" ht="14.25" spans="2:19">
      <c r="B9" t="s">
        <v>98</v>
      </c>
      <c r="C9" s="3" t="s">
        <v>111</v>
      </c>
      <c r="D9" t="s">
        <v>112</v>
      </c>
      <c r="F9" t="s">
        <v>113</v>
      </c>
      <c r="G9" s="10">
        <v>18</v>
      </c>
      <c r="H9">
        <v>6</v>
      </c>
      <c r="I9" s="10">
        <f t="shared" si="0"/>
        <v>18</v>
      </c>
      <c r="J9">
        <v>6</v>
      </c>
      <c r="K9">
        <f t="shared" si="1"/>
        <v>3</v>
      </c>
      <c r="L9" s="3" t="s">
        <v>114</v>
      </c>
      <c r="M9">
        <v>0.26</v>
      </c>
      <c r="N9">
        <v>16.02</v>
      </c>
      <c r="O9" s="3">
        <f t="shared" si="2"/>
        <v>48.06</v>
      </c>
      <c r="P9" s="1">
        <f t="shared" si="3"/>
        <v>0.78</v>
      </c>
      <c r="Q9" s="32"/>
      <c r="R9" t="s">
        <v>417</v>
      </c>
      <c r="S9" t="s">
        <v>418</v>
      </c>
    </row>
    <row r="10" customFormat="1" ht="14.25" spans="2:19">
      <c r="B10" t="s">
        <v>98</v>
      </c>
      <c r="C10" t="s">
        <v>115</v>
      </c>
      <c r="D10" t="s">
        <v>116</v>
      </c>
      <c r="F10" t="s">
        <v>117</v>
      </c>
      <c r="G10" s="10">
        <v>12</v>
      </c>
      <c r="H10">
        <v>6</v>
      </c>
      <c r="I10" s="10">
        <f t="shared" si="0"/>
        <v>12</v>
      </c>
      <c r="J10">
        <v>6</v>
      </c>
      <c r="K10">
        <f t="shared" si="1"/>
        <v>2</v>
      </c>
      <c r="L10" s="3" t="s">
        <v>114</v>
      </c>
      <c r="M10">
        <v>0.26</v>
      </c>
      <c r="N10">
        <v>16.02</v>
      </c>
      <c r="O10" s="3">
        <f t="shared" si="2"/>
        <v>32.04</v>
      </c>
      <c r="P10" s="1">
        <f t="shared" si="3"/>
        <v>0.52</v>
      </c>
      <c r="Q10" s="32"/>
      <c r="R10" t="s">
        <v>419</v>
      </c>
      <c r="S10" t="s">
        <v>420</v>
      </c>
    </row>
    <row r="11" customFormat="1" ht="14.25" spans="2:19">
      <c r="B11" t="s">
        <v>98</v>
      </c>
      <c r="C11" s="3" t="s">
        <v>118</v>
      </c>
      <c r="D11" s="3" t="s">
        <v>119</v>
      </c>
      <c r="E11" s="3"/>
      <c r="F11" t="s">
        <v>120</v>
      </c>
      <c r="G11" s="10">
        <v>18</v>
      </c>
      <c r="H11">
        <v>6</v>
      </c>
      <c r="I11" s="10">
        <f t="shared" si="0"/>
        <v>18</v>
      </c>
      <c r="J11">
        <v>6</v>
      </c>
      <c r="K11">
        <f t="shared" si="1"/>
        <v>3</v>
      </c>
      <c r="L11" s="3" t="s">
        <v>114</v>
      </c>
      <c r="M11">
        <v>0.26</v>
      </c>
      <c r="N11">
        <v>16.02</v>
      </c>
      <c r="O11" s="3">
        <f t="shared" si="2"/>
        <v>48.06</v>
      </c>
      <c r="P11" s="1">
        <f t="shared" si="3"/>
        <v>0.78</v>
      </c>
      <c r="Q11" s="32"/>
      <c r="R11" t="s">
        <v>421</v>
      </c>
      <c r="S11" t="s">
        <v>422</v>
      </c>
    </row>
    <row r="12" customFormat="1" ht="14.25" spans="2:19">
      <c r="B12" s="22" t="s">
        <v>98</v>
      </c>
      <c r="C12" s="34" t="s">
        <v>121</v>
      </c>
      <c r="D12" s="22" t="s">
        <v>122</v>
      </c>
      <c r="E12" s="22"/>
      <c r="F12" s="35" t="s">
        <v>123</v>
      </c>
      <c r="G12" s="10">
        <v>18</v>
      </c>
      <c r="H12" s="36">
        <v>6</v>
      </c>
      <c r="I12" s="10">
        <f t="shared" si="0"/>
        <v>18</v>
      </c>
      <c r="J12" s="36">
        <v>6</v>
      </c>
      <c r="K12" s="39">
        <f t="shared" si="1"/>
        <v>3</v>
      </c>
      <c r="L12" s="22" t="s">
        <v>124</v>
      </c>
      <c r="M12" s="22">
        <v>0.260409448818898</v>
      </c>
      <c r="N12" s="22">
        <v>16.0251968503937</v>
      </c>
      <c r="O12" s="36">
        <f t="shared" si="2"/>
        <v>48.0755905511811</v>
      </c>
      <c r="P12" s="40">
        <f t="shared" si="3"/>
        <v>0.781228346456694</v>
      </c>
      <c r="Q12" s="32"/>
      <c r="R12" t="s">
        <v>423</v>
      </c>
      <c r="S12" t="s">
        <v>424</v>
      </c>
    </row>
    <row r="13" customFormat="1" ht="14.25" spans="2:19">
      <c r="B13" s="37" t="s">
        <v>98</v>
      </c>
      <c r="C13" s="34" t="s">
        <v>125</v>
      </c>
      <c r="D13" s="37" t="s">
        <v>126</v>
      </c>
      <c r="E13" s="37"/>
      <c r="F13" s="35" t="s">
        <v>127</v>
      </c>
      <c r="G13" s="10">
        <v>18</v>
      </c>
      <c r="H13" s="38">
        <v>6</v>
      </c>
      <c r="I13" s="10">
        <f t="shared" si="0"/>
        <v>18</v>
      </c>
      <c r="J13" s="38">
        <v>6</v>
      </c>
      <c r="K13" s="39">
        <f t="shared" si="1"/>
        <v>3</v>
      </c>
      <c r="L13" s="37" t="s">
        <v>124</v>
      </c>
      <c r="M13" s="37">
        <v>0.26</v>
      </c>
      <c r="N13" s="37">
        <v>16</v>
      </c>
      <c r="O13" s="38">
        <f t="shared" si="2"/>
        <v>48</v>
      </c>
      <c r="P13" s="40">
        <f t="shared" si="3"/>
        <v>0.78</v>
      </c>
      <c r="Q13" s="32"/>
      <c r="R13" t="s">
        <v>425</v>
      </c>
      <c r="S13" t="s">
        <v>426</v>
      </c>
    </row>
    <row r="14" customFormat="1" ht="14.25" spans="1:18">
      <c r="A14" t="s">
        <v>128</v>
      </c>
      <c r="B14" s="37" t="s">
        <v>98</v>
      </c>
      <c r="C14" s="34" t="s">
        <v>129</v>
      </c>
      <c r="D14" s="37" t="s">
        <v>130</v>
      </c>
      <c r="E14" s="37"/>
      <c r="F14" s="35" t="s">
        <v>131</v>
      </c>
      <c r="G14" s="10">
        <v>10</v>
      </c>
      <c r="H14" s="37">
        <v>10</v>
      </c>
      <c r="I14" s="10">
        <f t="shared" si="0"/>
        <v>10</v>
      </c>
      <c r="J14" s="37">
        <v>10</v>
      </c>
      <c r="K14" s="39">
        <f t="shared" si="1"/>
        <v>1</v>
      </c>
      <c r="L14" s="37" t="s">
        <v>132</v>
      </c>
      <c r="M14" s="37">
        <v>0.23</v>
      </c>
      <c r="N14" s="37">
        <v>16.5</v>
      </c>
      <c r="O14" s="38">
        <f t="shared" si="2"/>
        <v>16.5</v>
      </c>
      <c r="P14" s="40">
        <f t="shared" si="3"/>
        <v>0.23</v>
      </c>
      <c r="Q14" s="32"/>
      <c r="R14" t="s">
        <v>427</v>
      </c>
    </row>
  </sheetData>
  <mergeCells count="2">
    <mergeCell ref="E3:E5"/>
    <mergeCell ref="Q2:Q14"/>
  </mergeCells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S13"/>
  <sheetViews>
    <sheetView workbookViewId="0">
      <selection activeCell="P16" sqref="P16"/>
    </sheetView>
  </sheetViews>
  <sheetFormatPr defaultColWidth="8.73333333333333" defaultRowHeight="13.5"/>
  <cols>
    <col min="3" max="3" width="19.45" customWidth="1"/>
    <col min="4" max="4" width="12.6833333333333" customWidth="1"/>
    <col min="5" max="5" width="18.9166666666667" customWidth="1"/>
    <col min="6" max="6" width="15.0083333333333" customWidth="1"/>
    <col min="7" max="7" width="9.56666666666667" customWidth="1"/>
    <col min="9" max="9" width="9.63333333333333" customWidth="1"/>
    <col min="12" max="12" width="12.6166666666667" customWidth="1"/>
    <col min="14" max="14" width="14.5416666666667" customWidth="1"/>
    <col min="16" max="16" width="12.625"/>
    <col min="17" max="17" width="13.1833333333333" customWidth="1"/>
    <col min="18" max="18" width="20.0916666666667" customWidth="1"/>
    <col min="19" max="19" width="21.2666666666667" customWidth="1"/>
  </cols>
  <sheetData>
    <row r="1" s="1" customFormat="1" ht="14.25" spans="1:19">
      <c r="A1" s="4" t="s">
        <v>0</v>
      </c>
      <c r="B1" s="4" t="s">
        <v>1</v>
      </c>
      <c r="C1" s="5" t="s">
        <v>2</v>
      </c>
      <c r="D1" s="6" t="s">
        <v>3</v>
      </c>
      <c r="E1" s="6" t="s">
        <v>392</v>
      </c>
      <c r="F1" s="6" t="s">
        <v>4</v>
      </c>
      <c r="G1" s="6" t="s">
        <v>5</v>
      </c>
      <c r="H1" s="6" t="s">
        <v>6</v>
      </c>
      <c r="I1" s="7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12" t="s">
        <v>15</v>
      </c>
      <c r="R1" s="30" t="s">
        <v>312</v>
      </c>
      <c r="S1" s="1" t="s">
        <v>328</v>
      </c>
    </row>
    <row r="2" ht="15" spans="1:18">
      <c r="A2" s="8" t="s">
        <v>81</v>
      </c>
      <c r="B2" t="s">
        <v>82</v>
      </c>
      <c r="C2" s="3" t="s">
        <v>83</v>
      </c>
      <c r="D2" s="3" t="s">
        <v>84</v>
      </c>
      <c r="E2" s="3"/>
      <c r="F2" s="9" t="s">
        <v>85</v>
      </c>
      <c r="G2" s="10">
        <v>6</v>
      </c>
      <c r="H2" s="11">
        <v>6</v>
      </c>
      <c r="I2" s="10">
        <f>G2</f>
        <v>6</v>
      </c>
      <c r="J2" s="11">
        <v>6</v>
      </c>
      <c r="K2">
        <f>G2/H2</f>
        <v>1</v>
      </c>
      <c r="L2" s="3" t="s">
        <v>86</v>
      </c>
      <c r="M2" s="13">
        <v>0.246</v>
      </c>
      <c r="N2" s="13">
        <v>18</v>
      </c>
      <c r="O2" s="3">
        <f>N2*K2</f>
        <v>18</v>
      </c>
      <c r="P2" s="1">
        <f>M2*K2</f>
        <v>0.246</v>
      </c>
      <c r="Q2" s="31" t="s">
        <v>428</v>
      </c>
      <c r="R2" t="s">
        <v>429</v>
      </c>
    </row>
    <row r="3" customFormat="1" ht="15" spans="2:18">
      <c r="B3" t="s">
        <v>87</v>
      </c>
      <c r="C3" s="3" t="s">
        <v>88</v>
      </c>
      <c r="D3" s="21" t="s">
        <v>89</v>
      </c>
      <c r="E3" s="20" t="s">
        <v>393</v>
      </c>
      <c r="F3" s="15" t="s">
        <v>90</v>
      </c>
      <c r="G3" s="33">
        <v>1</v>
      </c>
      <c r="H3" s="11">
        <v>1</v>
      </c>
      <c r="I3" s="10">
        <f>G3</f>
        <v>1</v>
      </c>
      <c r="J3" s="11">
        <v>1</v>
      </c>
      <c r="K3">
        <f>G3/H3</f>
        <v>1</v>
      </c>
      <c r="L3" s="3" t="s">
        <v>91</v>
      </c>
      <c r="M3" s="13">
        <v>0.178</v>
      </c>
      <c r="N3" s="13">
        <v>8.6</v>
      </c>
      <c r="O3" s="3">
        <f>N3*K3</f>
        <v>8.6</v>
      </c>
      <c r="P3" s="1">
        <f>M3*K3</f>
        <v>0.178</v>
      </c>
      <c r="Q3" s="32"/>
      <c r="R3" t="s">
        <v>430</v>
      </c>
    </row>
    <row r="4" customFormat="1" ht="15" spans="2:18">
      <c r="B4" t="s">
        <v>87</v>
      </c>
      <c r="C4" s="3" t="s">
        <v>92</v>
      </c>
      <c r="D4" s="21" t="s">
        <v>93</v>
      </c>
      <c r="E4" s="21"/>
      <c r="F4" s="15" t="s">
        <v>94</v>
      </c>
      <c r="G4" s="33">
        <v>1</v>
      </c>
      <c r="H4" s="11">
        <v>1</v>
      </c>
      <c r="I4" s="10">
        <f>G4</f>
        <v>1</v>
      </c>
      <c r="J4" s="11">
        <v>1</v>
      </c>
      <c r="K4">
        <f>G4/H4</f>
        <v>1</v>
      </c>
      <c r="L4" s="3" t="s">
        <v>91</v>
      </c>
      <c r="M4" s="13">
        <v>0.178</v>
      </c>
      <c r="N4" s="13">
        <v>7.7</v>
      </c>
      <c r="O4" s="3">
        <f>N4*K4</f>
        <v>7.7</v>
      </c>
      <c r="P4" s="1">
        <f>M4*K4</f>
        <v>0.178</v>
      </c>
      <c r="Q4" s="32"/>
      <c r="R4" t="s">
        <v>431</v>
      </c>
    </row>
    <row r="5" customFormat="1" ht="15" spans="2:18">
      <c r="B5" t="s">
        <v>87</v>
      </c>
      <c r="C5" s="3" t="s">
        <v>95</v>
      </c>
      <c r="D5" s="21" t="s">
        <v>96</v>
      </c>
      <c r="E5" s="21"/>
      <c r="F5" s="15" t="s">
        <v>97</v>
      </c>
      <c r="G5" s="33">
        <v>1</v>
      </c>
      <c r="H5" s="11">
        <v>1</v>
      </c>
      <c r="I5" s="10">
        <f>G5</f>
        <v>1</v>
      </c>
      <c r="J5" s="11">
        <v>1</v>
      </c>
      <c r="K5">
        <f>G5/H5</f>
        <v>1</v>
      </c>
      <c r="L5" s="3" t="s">
        <v>91</v>
      </c>
      <c r="M5" s="13">
        <v>0.178</v>
      </c>
      <c r="N5" s="13">
        <v>8.6</v>
      </c>
      <c r="O5" s="3">
        <f>N5*K5</f>
        <v>8.6</v>
      </c>
      <c r="P5" s="1">
        <f>M5*K5</f>
        <v>0.178</v>
      </c>
      <c r="Q5" s="32"/>
      <c r="R5" t="s">
        <v>432</v>
      </c>
    </row>
    <row r="6" customFormat="1" ht="14.25" spans="2:19">
      <c r="B6" t="s">
        <v>98</v>
      </c>
      <c r="C6" s="3" t="s">
        <v>107</v>
      </c>
      <c r="D6" t="s">
        <v>108</v>
      </c>
      <c r="F6" t="s">
        <v>109</v>
      </c>
      <c r="G6" s="10">
        <v>12</v>
      </c>
      <c r="H6">
        <v>6</v>
      </c>
      <c r="I6" s="10">
        <f t="shared" ref="I6:I12" si="0">G6</f>
        <v>12</v>
      </c>
      <c r="J6">
        <v>6</v>
      </c>
      <c r="K6">
        <f t="shared" ref="K6:K12" si="1">G6/H6</f>
        <v>2</v>
      </c>
      <c r="L6" s="3" t="s">
        <v>110</v>
      </c>
      <c r="M6">
        <v>0.26</v>
      </c>
      <c r="N6">
        <v>16.02</v>
      </c>
      <c r="O6" s="3">
        <f t="shared" ref="O6:O12" si="2">N6*K6</f>
        <v>32.04</v>
      </c>
      <c r="P6" s="1">
        <f t="shared" ref="P6:P12" si="3">M6*K6</f>
        <v>0.52</v>
      </c>
      <c r="Q6" s="32"/>
      <c r="R6" t="s">
        <v>433</v>
      </c>
      <c r="S6" t="s">
        <v>434</v>
      </c>
    </row>
    <row r="7" customFormat="1" ht="14.25" spans="2:19">
      <c r="B7" t="s">
        <v>98</v>
      </c>
      <c r="C7" s="3" t="s">
        <v>111</v>
      </c>
      <c r="D7" t="s">
        <v>112</v>
      </c>
      <c r="F7" t="s">
        <v>113</v>
      </c>
      <c r="G7" s="10">
        <v>12</v>
      </c>
      <c r="H7">
        <v>6</v>
      </c>
      <c r="I7" s="10">
        <f t="shared" si="0"/>
        <v>12</v>
      </c>
      <c r="J7">
        <v>6</v>
      </c>
      <c r="K7">
        <f t="shared" si="1"/>
        <v>2</v>
      </c>
      <c r="L7" s="3" t="s">
        <v>114</v>
      </c>
      <c r="M7">
        <v>0.26</v>
      </c>
      <c r="N7">
        <v>16.02</v>
      </c>
      <c r="O7" s="3">
        <f t="shared" si="2"/>
        <v>32.04</v>
      </c>
      <c r="P7" s="1">
        <f t="shared" si="3"/>
        <v>0.52</v>
      </c>
      <c r="Q7" s="32"/>
      <c r="R7" t="s">
        <v>435</v>
      </c>
      <c r="S7" t="s">
        <v>436</v>
      </c>
    </row>
    <row r="8" customFormat="1" ht="14.25" spans="2:18">
      <c r="B8" t="s">
        <v>98</v>
      </c>
      <c r="C8" t="s">
        <v>115</v>
      </c>
      <c r="D8" t="s">
        <v>116</v>
      </c>
      <c r="F8" t="s">
        <v>117</v>
      </c>
      <c r="G8" s="10">
        <v>6</v>
      </c>
      <c r="H8">
        <v>6</v>
      </c>
      <c r="I8" s="10">
        <f t="shared" si="0"/>
        <v>6</v>
      </c>
      <c r="J8">
        <v>6</v>
      </c>
      <c r="K8">
        <f t="shared" si="1"/>
        <v>1</v>
      </c>
      <c r="L8" s="3" t="s">
        <v>114</v>
      </c>
      <c r="M8">
        <v>0.26</v>
      </c>
      <c r="N8">
        <v>16.02</v>
      </c>
      <c r="O8" s="3">
        <f t="shared" si="2"/>
        <v>16.02</v>
      </c>
      <c r="P8" s="1">
        <f t="shared" si="3"/>
        <v>0.26</v>
      </c>
      <c r="Q8" s="32"/>
      <c r="R8" t="s">
        <v>437</v>
      </c>
    </row>
    <row r="9" customFormat="1" ht="14.25" spans="2:19">
      <c r="B9" t="s">
        <v>98</v>
      </c>
      <c r="C9" s="3" t="s">
        <v>118</v>
      </c>
      <c r="D9" s="3" t="s">
        <v>119</v>
      </c>
      <c r="E9" s="3"/>
      <c r="F9" t="s">
        <v>120</v>
      </c>
      <c r="G9" s="10">
        <v>12</v>
      </c>
      <c r="H9">
        <v>6</v>
      </c>
      <c r="I9" s="10">
        <f t="shared" si="0"/>
        <v>12</v>
      </c>
      <c r="J9">
        <v>6</v>
      </c>
      <c r="K9">
        <f t="shared" si="1"/>
        <v>2</v>
      </c>
      <c r="L9" s="3" t="s">
        <v>114</v>
      </c>
      <c r="M9">
        <v>0.26</v>
      </c>
      <c r="N9">
        <v>16.02</v>
      </c>
      <c r="O9" s="3">
        <f t="shared" si="2"/>
        <v>32.04</v>
      </c>
      <c r="P9" s="1">
        <f t="shared" si="3"/>
        <v>0.52</v>
      </c>
      <c r="Q9" s="32"/>
      <c r="R9" t="s">
        <v>438</v>
      </c>
      <c r="S9" t="s">
        <v>439</v>
      </c>
    </row>
    <row r="10" customFormat="1" ht="14.25" spans="2:18">
      <c r="B10" s="22" t="s">
        <v>98</v>
      </c>
      <c r="C10" s="34" t="s">
        <v>121</v>
      </c>
      <c r="D10" s="22" t="s">
        <v>122</v>
      </c>
      <c r="E10" s="22"/>
      <c r="F10" s="35" t="s">
        <v>123</v>
      </c>
      <c r="G10" s="10">
        <v>6</v>
      </c>
      <c r="H10" s="36">
        <v>6</v>
      </c>
      <c r="I10" s="10">
        <f t="shared" si="0"/>
        <v>6</v>
      </c>
      <c r="J10" s="36">
        <v>6</v>
      </c>
      <c r="K10" s="39">
        <f t="shared" si="1"/>
        <v>1</v>
      </c>
      <c r="L10" s="22" t="s">
        <v>124</v>
      </c>
      <c r="M10" s="22">
        <v>0.260409448818898</v>
      </c>
      <c r="N10" s="22">
        <v>16.0251968503937</v>
      </c>
      <c r="O10" s="36">
        <f t="shared" si="2"/>
        <v>16.0251968503937</v>
      </c>
      <c r="P10" s="40">
        <f t="shared" si="3"/>
        <v>0.260409448818898</v>
      </c>
      <c r="Q10" s="32"/>
      <c r="R10" t="s">
        <v>440</v>
      </c>
    </row>
    <row r="11" customFormat="1" ht="14.25" spans="2:19">
      <c r="B11" s="37" t="s">
        <v>98</v>
      </c>
      <c r="C11" s="34" t="s">
        <v>125</v>
      </c>
      <c r="D11" s="37" t="s">
        <v>126</v>
      </c>
      <c r="E11" s="37"/>
      <c r="F11" s="35" t="s">
        <v>127</v>
      </c>
      <c r="G11" s="10">
        <v>12</v>
      </c>
      <c r="H11" s="38">
        <v>6</v>
      </c>
      <c r="I11" s="10">
        <f t="shared" si="0"/>
        <v>12</v>
      </c>
      <c r="J11" s="38">
        <v>6</v>
      </c>
      <c r="K11" s="39">
        <f t="shared" si="1"/>
        <v>2</v>
      </c>
      <c r="L11" s="37" t="s">
        <v>124</v>
      </c>
      <c r="M11" s="37">
        <v>0.26</v>
      </c>
      <c r="N11" s="37">
        <v>16</v>
      </c>
      <c r="O11" s="38">
        <f t="shared" si="2"/>
        <v>32</v>
      </c>
      <c r="P11" s="40">
        <f t="shared" si="3"/>
        <v>0.52</v>
      </c>
      <c r="Q11" s="32"/>
      <c r="R11" t="s">
        <v>441</v>
      </c>
      <c r="S11" t="s">
        <v>442</v>
      </c>
    </row>
    <row r="13" spans="16:16">
      <c r="P13">
        <f>SUM(P2:P12)</f>
        <v>3.3804094488189</v>
      </c>
    </row>
  </sheetData>
  <mergeCells count="2">
    <mergeCell ref="E3:E5"/>
    <mergeCell ref="Q2:Q11"/>
  </mergeCells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S23"/>
  <sheetViews>
    <sheetView topLeftCell="B1" workbookViewId="0">
      <pane xSplit="2" ySplit="1" topLeftCell="D2" activePane="bottomRight" state="frozen"/>
      <selection/>
      <selection pane="topRight"/>
      <selection pane="bottomLeft"/>
      <selection pane="bottomRight" activeCell="P26" sqref="P26"/>
    </sheetView>
  </sheetViews>
  <sheetFormatPr defaultColWidth="8.73333333333333" defaultRowHeight="13.5"/>
  <cols>
    <col min="2" max="2" width="16.8666666666667" customWidth="1"/>
    <col min="3" max="3" width="17.55" customWidth="1"/>
    <col min="4" max="4" width="13.15" customWidth="1"/>
    <col min="5" max="5" width="12.75" customWidth="1"/>
    <col min="16" max="16" width="10.375"/>
    <col min="17" max="17" width="12.8166666666667" customWidth="1"/>
    <col min="18" max="18" width="22.6333333333333" customWidth="1"/>
    <col min="19" max="19" width="22.0916666666667" customWidth="1"/>
  </cols>
  <sheetData>
    <row r="1" s="1" customFormat="1" ht="14.25" spans="1:19">
      <c r="A1" s="4" t="s">
        <v>0</v>
      </c>
      <c r="B1" s="4" t="s">
        <v>1</v>
      </c>
      <c r="C1" s="5" t="s">
        <v>2</v>
      </c>
      <c r="D1" s="6" t="s">
        <v>3</v>
      </c>
      <c r="E1" s="6" t="s">
        <v>392</v>
      </c>
      <c r="F1" s="6" t="s">
        <v>4</v>
      </c>
      <c r="G1" s="6" t="s">
        <v>5</v>
      </c>
      <c r="H1" s="6" t="s">
        <v>6</v>
      </c>
      <c r="I1" s="7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12" t="s">
        <v>15</v>
      </c>
      <c r="R1" s="30" t="s">
        <v>312</v>
      </c>
      <c r="S1" s="1" t="s">
        <v>328</v>
      </c>
    </row>
    <row r="2" ht="15" spans="1:19">
      <c r="A2" s="8" t="s">
        <v>170</v>
      </c>
      <c r="B2" t="s">
        <v>82</v>
      </c>
      <c r="C2" s="3" t="s">
        <v>171</v>
      </c>
      <c r="D2" s="3" t="s">
        <v>172</v>
      </c>
      <c r="E2" s="3"/>
      <c r="F2" s="9" t="s">
        <v>173</v>
      </c>
      <c r="G2" s="10">
        <v>20</v>
      </c>
      <c r="H2" s="11">
        <v>10</v>
      </c>
      <c r="I2" s="10">
        <f t="shared" ref="I2:I21" si="0">G2</f>
        <v>20</v>
      </c>
      <c r="J2" s="11">
        <v>10</v>
      </c>
      <c r="K2" s="3">
        <f t="shared" ref="K2:K10" si="1">G2/H2</f>
        <v>2</v>
      </c>
      <c r="L2" s="1" t="s">
        <v>174</v>
      </c>
      <c r="M2" s="13">
        <v>0.3034</v>
      </c>
      <c r="N2" s="13">
        <v>23.2</v>
      </c>
      <c r="O2" s="3">
        <f t="shared" ref="O2:O21" si="2">N2*K2</f>
        <v>46.4</v>
      </c>
      <c r="P2" s="1">
        <f t="shared" ref="P2:P21" si="3">M2*K2</f>
        <v>0.6068</v>
      </c>
      <c r="Q2" s="31" t="s">
        <v>443</v>
      </c>
      <c r="R2" t="s">
        <v>444</v>
      </c>
      <c r="S2" t="s">
        <v>445</v>
      </c>
    </row>
    <row r="3" ht="15" spans="1:19">
      <c r="A3" s="3"/>
      <c r="B3" s="3" t="s">
        <v>82</v>
      </c>
      <c r="C3" s="3" t="s">
        <v>175</v>
      </c>
      <c r="D3" s="3" t="s">
        <v>176</v>
      </c>
      <c r="E3" s="3"/>
      <c r="F3" s="9" t="s">
        <v>85</v>
      </c>
      <c r="G3" s="10">
        <v>12</v>
      </c>
      <c r="H3" s="11">
        <v>6</v>
      </c>
      <c r="I3" s="10">
        <f t="shared" si="0"/>
        <v>12</v>
      </c>
      <c r="J3" s="11">
        <v>6</v>
      </c>
      <c r="K3" s="3">
        <f t="shared" si="1"/>
        <v>2</v>
      </c>
      <c r="L3" s="1" t="s">
        <v>86</v>
      </c>
      <c r="M3" s="26">
        <v>0.246</v>
      </c>
      <c r="N3" s="26">
        <v>18</v>
      </c>
      <c r="O3" s="3">
        <f t="shared" si="2"/>
        <v>36</v>
      </c>
      <c r="P3" s="1">
        <f t="shared" si="3"/>
        <v>0.492</v>
      </c>
      <c r="Q3" s="32"/>
      <c r="R3" t="s">
        <v>446</v>
      </c>
      <c r="S3" t="s">
        <v>447</v>
      </c>
    </row>
    <row r="4" ht="15" spans="1:19">
      <c r="A4" s="3"/>
      <c r="B4" s="3" t="s">
        <v>82</v>
      </c>
      <c r="C4" s="3" t="s">
        <v>177</v>
      </c>
      <c r="D4" s="3" t="s">
        <v>178</v>
      </c>
      <c r="E4" s="3"/>
      <c r="F4" s="9" t="s">
        <v>179</v>
      </c>
      <c r="G4" s="10">
        <v>20</v>
      </c>
      <c r="H4" s="11">
        <v>10</v>
      </c>
      <c r="I4" s="10">
        <f t="shared" si="0"/>
        <v>20</v>
      </c>
      <c r="J4" s="11">
        <v>10</v>
      </c>
      <c r="K4" s="3">
        <f t="shared" si="1"/>
        <v>2</v>
      </c>
      <c r="L4" s="1" t="s">
        <v>102</v>
      </c>
      <c r="M4" s="26">
        <v>0.3034</v>
      </c>
      <c r="N4" s="26">
        <v>23.6</v>
      </c>
      <c r="O4" s="3">
        <f t="shared" si="2"/>
        <v>47.2</v>
      </c>
      <c r="P4" s="1">
        <f t="shared" si="3"/>
        <v>0.6068</v>
      </c>
      <c r="Q4" s="32"/>
      <c r="R4" t="s">
        <v>448</v>
      </c>
      <c r="S4" t="s">
        <v>449</v>
      </c>
    </row>
    <row r="5" ht="15" spans="1:19">
      <c r="A5" s="3"/>
      <c r="B5" s="3" t="s">
        <v>98</v>
      </c>
      <c r="C5" s="3" t="s">
        <v>180</v>
      </c>
      <c r="D5" s="3" t="s">
        <v>181</v>
      </c>
      <c r="E5" s="3"/>
      <c r="F5" s="15" t="s">
        <v>182</v>
      </c>
      <c r="G5" s="10">
        <v>12</v>
      </c>
      <c r="H5" s="11">
        <v>6</v>
      </c>
      <c r="I5" s="10">
        <f t="shared" si="0"/>
        <v>12</v>
      </c>
      <c r="J5" s="11">
        <v>6</v>
      </c>
      <c r="K5" s="3">
        <f t="shared" si="1"/>
        <v>2</v>
      </c>
      <c r="L5" s="1" t="s">
        <v>183</v>
      </c>
      <c r="M5" s="26">
        <v>0.245784</v>
      </c>
      <c r="N5" s="26">
        <v>22.7</v>
      </c>
      <c r="O5" s="3">
        <f t="shared" si="2"/>
        <v>45.4</v>
      </c>
      <c r="P5" s="1">
        <f t="shared" si="3"/>
        <v>0.491568</v>
      </c>
      <c r="Q5" s="32"/>
      <c r="R5" t="s">
        <v>450</v>
      </c>
      <c r="S5" t="s">
        <v>451</v>
      </c>
    </row>
    <row r="6" ht="15" spans="1:18">
      <c r="A6" s="3"/>
      <c r="B6" s="3" t="s">
        <v>98</v>
      </c>
      <c r="C6" s="3" t="s">
        <v>184</v>
      </c>
      <c r="D6" s="3" t="s">
        <v>185</v>
      </c>
      <c r="E6" s="3"/>
      <c r="F6" s="15" t="s">
        <v>101</v>
      </c>
      <c r="G6" s="10">
        <v>10</v>
      </c>
      <c r="H6" s="11">
        <v>10</v>
      </c>
      <c r="I6" s="10">
        <f t="shared" si="0"/>
        <v>10</v>
      </c>
      <c r="J6" s="11">
        <v>10</v>
      </c>
      <c r="K6" s="3">
        <f t="shared" si="1"/>
        <v>1</v>
      </c>
      <c r="L6" s="1" t="s">
        <v>102</v>
      </c>
      <c r="M6" s="26">
        <v>0.2625</v>
      </c>
      <c r="N6" s="26">
        <v>20.275</v>
      </c>
      <c r="O6" s="3">
        <f t="shared" si="2"/>
        <v>20.275</v>
      </c>
      <c r="P6" s="1">
        <f t="shared" si="3"/>
        <v>0.2625</v>
      </c>
      <c r="Q6" s="32"/>
      <c r="R6" t="s">
        <v>452</v>
      </c>
    </row>
    <row r="7" s="3" customFormat="1" ht="15" spans="1:18">
      <c r="A7" s="3" t="s">
        <v>23</v>
      </c>
      <c r="B7" s="3" t="s">
        <v>98</v>
      </c>
      <c r="C7" s="3" t="s">
        <v>186</v>
      </c>
      <c r="D7" s="3" t="s">
        <v>187</v>
      </c>
      <c r="F7" s="16" t="s">
        <v>105</v>
      </c>
      <c r="G7" s="10">
        <v>10</v>
      </c>
      <c r="H7" s="11">
        <v>10</v>
      </c>
      <c r="I7" s="10">
        <f t="shared" si="0"/>
        <v>10</v>
      </c>
      <c r="J7" s="11">
        <v>10</v>
      </c>
      <c r="K7" s="3">
        <f t="shared" si="1"/>
        <v>1</v>
      </c>
      <c r="L7" s="1" t="s">
        <v>106</v>
      </c>
      <c r="M7" s="26">
        <v>0.303</v>
      </c>
      <c r="N7" s="26">
        <v>22.5</v>
      </c>
      <c r="O7" s="3">
        <f t="shared" si="2"/>
        <v>22.5</v>
      </c>
      <c r="P7" s="1">
        <f t="shared" si="3"/>
        <v>0.303</v>
      </c>
      <c r="Q7" s="32"/>
      <c r="R7" t="s">
        <v>453</v>
      </c>
    </row>
    <row r="8" ht="14.25" spans="1:19">
      <c r="A8" s="3"/>
      <c r="B8" s="3" t="s">
        <v>98</v>
      </c>
      <c r="C8" s="3" t="s">
        <v>188</v>
      </c>
      <c r="D8" s="3" t="s">
        <v>189</v>
      </c>
      <c r="E8" s="3"/>
      <c r="F8" s="3" t="s">
        <v>109</v>
      </c>
      <c r="G8" s="3">
        <v>30</v>
      </c>
      <c r="H8" s="3">
        <v>6</v>
      </c>
      <c r="I8" s="10">
        <f t="shared" si="0"/>
        <v>30</v>
      </c>
      <c r="J8" s="3">
        <v>6</v>
      </c>
      <c r="K8" s="3">
        <f t="shared" si="1"/>
        <v>5</v>
      </c>
      <c r="L8" s="3" t="s">
        <v>110</v>
      </c>
      <c r="M8" s="3">
        <v>0.26</v>
      </c>
      <c r="N8" s="3">
        <v>16.02</v>
      </c>
      <c r="O8" s="3">
        <f t="shared" si="2"/>
        <v>80.1</v>
      </c>
      <c r="P8" s="1">
        <f t="shared" si="3"/>
        <v>1.3</v>
      </c>
      <c r="Q8" s="32"/>
      <c r="R8" t="s">
        <v>454</v>
      </c>
      <c r="S8" t="s">
        <v>455</v>
      </c>
    </row>
    <row r="9" ht="14.25" spans="1:19">
      <c r="A9" s="3"/>
      <c r="B9" s="3" t="s">
        <v>98</v>
      </c>
      <c r="C9" s="3" t="s">
        <v>190</v>
      </c>
      <c r="D9" s="3" t="s">
        <v>191</v>
      </c>
      <c r="E9" s="3"/>
      <c r="F9" s="3" t="s">
        <v>113</v>
      </c>
      <c r="G9" s="3">
        <v>30</v>
      </c>
      <c r="H9" s="3">
        <v>6</v>
      </c>
      <c r="I9" s="10">
        <f t="shared" si="0"/>
        <v>30</v>
      </c>
      <c r="J9" s="3">
        <v>6</v>
      </c>
      <c r="K9" s="3">
        <f t="shared" si="1"/>
        <v>5</v>
      </c>
      <c r="L9" s="3" t="s">
        <v>114</v>
      </c>
      <c r="M9" s="3">
        <v>0.26</v>
      </c>
      <c r="N9" s="3">
        <v>16.02</v>
      </c>
      <c r="O9" s="3">
        <f t="shared" si="2"/>
        <v>80.1</v>
      </c>
      <c r="P9" s="1">
        <f t="shared" si="3"/>
        <v>1.3</v>
      </c>
      <c r="Q9" s="32"/>
      <c r="R9" t="s">
        <v>456</v>
      </c>
      <c r="S9" t="s">
        <v>457</v>
      </c>
    </row>
    <row r="10" ht="14.25" spans="1:19">
      <c r="A10" s="3"/>
      <c r="B10" s="3" t="s">
        <v>98</v>
      </c>
      <c r="C10" s="3" t="s">
        <v>192</v>
      </c>
      <c r="D10" s="3" t="s">
        <v>193</v>
      </c>
      <c r="E10" s="3"/>
      <c r="F10" s="3" t="s">
        <v>120</v>
      </c>
      <c r="G10" s="3">
        <v>36</v>
      </c>
      <c r="H10" s="3">
        <v>6</v>
      </c>
      <c r="I10" s="10">
        <f t="shared" si="0"/>
        <v>36</v>
      </c>
      <c r="J10" s="3">
        <v>6</v>
      </c>
      <c r="K10" s="3">
        <f t="shared" si="1"/>
        <v>6</v>
      </c>
      <c r="L10" s="3" t="s">
        <v>114</v>
      </c>
      <c r="M10" s="3">
        <v>0.26</v>
      </c>
      <c r="N10" s="3">
        <v>16.02</v>
      </c>
      <c r="O10" s="3">
        <f t="shared" si="2"/>
        <v>96.12</v>
      </c>
      <c r="P10" s="1">
        <f t="shared" si="3"/>
        <v>1.56</v>
      </c>
      <c r="Q10" s="32"/>
      <c r="R10" t="s">
        <v>458</v>
      </c>
      <c r="S10" t="s">
        <v>459</v>
      </c>
    </row>
    <row r="11" ht="14.25" spans="2:19">
      <c r="B11" s="17" t="s">
        <v>87</v>
      </c>
      <c r="C11" s="17" t="s">
        <v>194</v>
      </c>
      <c r="D11" s="18" t="s">
        <v>195</v>
      </c>
      <c r="E11" s="18"/>
      <c r="F11" s="17" t="s">
        <v>196</v>
      </c>
      <c r="G11" s="17">
        <v>5</v>
      </c>
      <c r="H11" s="17">
        <v>1</v>
      </c>
      <c r="I11" s="10">
        <f t="shared" si="0"/>
        <v>5</v>
      </c>
      <c r="J11" s="17">
        <v>1</v>
      </c>
      <c r="K11" s="27">
        <v>5</v>
      </c>
      <c r="L11" s="17" t="s">
        <v>197</v>
      </c>
      <c r="M11" s="28">
        <v>0.223584</v>
      </c>
      <c r="N11" s="28">
        <v>9</v>
      </c>
      <c r="O11" s="17">
        <f t="shared" si="2"/>
        <v>45</v>
      </c>
      <c r="P11" s="29">
        <f t="shared" si="3"/>
        <v>1.11792</v>
      </c>
      <c r="Q11" s="32"/>
      <c r="R11" t="s">
        <v>460</v>
      </c>
      <c r="S11" t="s">
        <v>461</v>
      </c>
    </row>
    <row r="12" ht="14.25" spans="2:19">
      <c r="B12" s="17" t="s">
        <v>82</v>
      </c>
      <c r="C12" s="17" t="s">
        <v>198</v>
      </c>
      <c r="D12" s="17" t="s">
        <v>199</v>
      </c>
      <c r="E12" s="17"/>
      <c r="F12" s="17" t="s">
        <v>200</v>
      </c>
      <c r="G12" s="17">
        <v>40</v>
      </c>
      <c r="H12" s="17">
        <v>10</v>
      </c>
      <c r="I12" s="10">
        <f t="shared" si="0"/>
        <v>40</v>
      </c>
      <c r="J12" s="17">
        <v>10</v>
      </c>
      <c r="K12" s="27">
        <f t="shared" ref="K12:K21" si="4">G12/H12</f>
        <v>4</v>
      </c>
      <c r="L12" s="17" t="s">
        <v>174</v>
      </c>
      <c r="M12" s="28">
        <v>0.3034</v>
      </c>
      <c r="N12" s="28">
        <v>18</v>
      </c>
      <c r="O12" s="17">
        <f t="shared" si="2"/>
        <v>72</v>
      </c>
      <c r="P12" s="29">
        <f t="shared" si="3"/>
        <v>1.2136</v>
      </c>
      <c r="Q12" s="32"/>
      <c r="R12" t="s">
        <v>462</v>
      </c>
      <c r="S12" t="s">
        <v>463</v>
      </c>
    </row>
    <row r="13" ht="14.25" spans="2:19">
      <c r="B13" s="17" t="s">
        <v>201</v>
      </c>
      <c r="C13" s="17" t="s">
        <v>202</v>
      </c>
      <c r="D13" s="19" t="s">
        <v>203</v>
      </c>
      <c r="E13" s="20" t="s">
        <v>464</v>
      </c>
      <c r="F13" s="17" t="s">
        <v>204</v>
      </c>
      <c r="G13" s="19">
        <v>24</v>
      </c>
      <c r="H13" s="17">
        <v>6</v>
      </c>
      <c r="I13" s="10">
        <f t="shared" si="0"/>
        <v>24</v>
      </c>
      <c r="J13" s="17">
        <v>6</v>
      </c>
      <c r="K13" s="27">
        <f t="shared" si="4"/>
        <v>4</v>
      </c>
      <c r="L13" s="17" t="s">
        <v>205</v>
      </c>
      <c r="M13" s="28">
        <v>0.1845</v>
      </c>
      <c r="N13" s="28">
        <v>11.4</v>
      </c>
      <c r="O13" s="17">
        <f t="shared" si="2"/>
        <v>45.6</v>
      </c>
      <c r="P13" s="29">
        <f t="shared" si="3"/>
        <v>0.738</v>
      </c>
      <c r="Q13" s="32"/>
      <c r="R13" t="s">
        <v>465</v>
      </c>
      <c r="S13" t="s">
        <v>466</v>
      </c>
    </row>
    <row r="14" ht="14.25" spans="2:19">
      <c r="B14" s="17" t="s">
        <v>206</v>
      </c>
      <c r="C14" s="17" t="s">
        <v>207</v>
      </c>
      <c r="D14" s="19" t="s">
        <v>208</v>
      </c>
      <c r="E14" s="21"/>
      <c r="F14" s="17" t="s">
        <v>209</v>
      </c>
      <c r="G14" s="19">
        <v>24</v>
      </c>
      <c r="H14" s="17">
        <v>6</v>
      </c>
      <c r="I14" s="10">
        <f t="shared" si="0"/>
        <v>24</v>
      </c>
      <c r="J14" s="17">
        <v>6</v>
      </c>
      <c r="K14" s="27">
        <f t="shared" si="4"/>
        <v>4</v>
      </c>
      <c r="L14" s="17" t="s">
        <v>205</v>
      </c>
      <c r="M14" s="28">
        <v>0.1845</v>
      </c>
      <c r="N14" s="28">
        <v>11.4</v>
      </c>
      <c r="O14" s="17">
        <f t="shared" si="2"/>
        <v>45.6</v>
      </c>
      <c r="P14" s="29">
        <f t="shared" si="3"/>
        <v>0.738</v>
      </c>
      <c r="Q14" s="32"/>
      <c r="R14" t="s">
        <v>467</v>
      </c>
      <c r="S14" t="s">
        <v>468</v>
      </c>
    </row>
    <row r="15" ht="14.25" spans="2:19">
      <c r="B15" s="17" t="s">
        <v>210</v>
      </c>
      <c r="C15" s="17" t="s">
        <v>211</v>
      </c>
      <c r="D15" s="19" t="s">
        <v>212</v>
      </c>
      <c r="E15" s="21"/>
      <c r="F15" s="17" t="s">
        <v>213</v>
      </c>
      <c r="G15" s="19">
        <v>24</v>
      </c>
      <c r="H15" s="17">
        <v>6</v>
      </c>
      <c r="I15" s="10">
        <f t="shared" si="0"/>
        <v>24</v>
      </c>
      <c r="J15" s="17">
        <v>6</v>
      </c>
      <c r="K15" s="27">
        <f t="shared" si="4"/>
        <v>4</v>
      </c>
      <c r="L15" s="17" t="s">
        <v>205</v>
      </c>
      <c r="M15" s="28">
        <v>0.1845</v>
      </c>
      <c r="N15" s="28">
        <v>11.4</v>
      </c>
      <c r="O15" s="17">
        <f t="shared" si="2"/>
        <v>45.6</v>
      </c>
      <c r="P15" s="29">
        <f t="shared" si="3"/>
        <v>0.738</v>
      </c>
      <c r="Q15" s="32"/>
      <c r="R15" t="s">
        <v>469</v>
      </c>
      <c r="S15" t="s">
        <v>470</v>
      </c>
    </row>
    <row r="16" ht="14.25" spans="2:19">
      <c r="B16" s="17" t="s">
        <v>214</v>
      </c>
      <c r="C16" s="17" t="s">
        <v>215</v>
      </c>
      <c r="D16" s="19" t="s">
        <v>216</v>
      </c>
      <c r="E16" s="21"/>
      <c r="F16" s="17" t="s">
        <v>217</v>
      </c>
      <c r="G16" s="19">
        <v>24</v>
      </c>
      <c r="H16" s="17">
        <v>6</v>
      </c>
      <c r="I16" s="10">
        <f t="shared" si="0"/>
        <v>24</v>
      </c>
      <c r="J16" s="17">
        <v>6</v>
      </c>
      <c r="K16" s="27">
        <f t="shared" si="4"/>
        <v>4</v>
      </c>
      <c r="L16" s="17" t="s">
        <v>205</v>
      </c>
      <c r="M16" s="28">
        <v>0.1845</v>
      </c>
      <c r="N16" s="28">
        <v>11.4</v>
      </c>
      <c r="O16" s="17">
        <f t="shared" si="2"/>
        <v>45.6</v>
      </c>
      <c r="P16" s="29">
        <f t="shared" si="3"/>
        <v>0.738</v>
      </c>
      <c r="Q16" s="32"/>
      <c r="R16" t="s">
        <v>471</v>
      </c>
      <c r="S16" t="s">
        <v>472</v>
      </c>
    </row>
    <row r="17" ht="14.25" spans="1:19">
      <c r="A17" s="22"/>
      <c r="B17" s="17" t="s">
        <v>218</v>
      </c>
      <c r="C17" s="10" t="s">
        <v>219</v>
      </c>
      <c r="D17" s="10" t="s">
        <v>220</v>
      </c>
      <c r="E17" s="23"/>
      <c r="F17" s="3" t="s">
        <v>123</v>
      </c>
      <c r="G17" s="17">
        <v>24</v>
      </c>
      <c r="H17" s="17">
        <v>6</v>
      </c>
      <c r="I17" s="10">
        <f t="shared" si="0"/>
        <v>24</v>
      </c>
      <c r="J17" s="17">
        <v>6</v>
      </c>
      <c r="K17" s="27">
        <f t="shared" si="4"/>
        <v>4</v>
      </c>
      <c r="L17" s="17" t="s">
        <v>221</v>
      </c>
      <c r="M17" s="10">
        <f>87*51*54/1000000</f>
        <v>0.239598</v>
      </c>
      <c r="N17" s="28">
        <v>16</v>
      </c>
      <c r="O17" s="17">
        <f t="shared" si="2"/>
        <v>64</v>
      </c>
      <c r="P17" s="29">
        <f t="shared" si="3"/>
        <v>0.958392</v>
      </c>
      <c r="Q17" s="32"/>
      <c r="R17" t="s">
        <v>473</v>
      </c>
      <c r="S17" t="s">
        <v>474</v>
      </c>
    </row>
    <row r="18" ht="14.25" spans="2:19">
      <c r="B18" s="17" t="s">
        <v>222</v>
      </c>
      <c r="C18" s="10" t="s">
        <v>223</v>
      </c>
      <c r="D18" s="10" t="s">
        <v>224</v>
      </c>
      <c r="E18" s="23"/>
      <c r="F18" s="3" t="s">
        <v>127</v>
      </c>
      <c r="G18" s="17">
        <v>24</v>
      </c>
      <c r="H18" s="17">
        <v>6</v>
      </c>
      <c r="I18" s="10">
        <f t="shared" si="0"/>
        <v>24</v>
      </c>
      <c r="J18" s="17">
        <v>6</v>
      </c>
      <c r="K18" s="27">
        <f t="shared" si="4"/>
        <v>4</v>
      </c>
      <c r="L18" s="17" t="s">
        <v>221</v>
      </c>
      <c r="M18" s="10">
        <f>87*51*54/1000000</f>
        <v>0.239598</v>
      </c>
      <c r="N18" s="28">
        <v>16</v>
      </c>
      <c r="O18" s="17">
        <f t="shared" si="2"/>
        <v>64</v>
      </c>
      <c r="P18" s="29">
        <f t="shared" si="3"/>
        <v>0.958392</v>
      </c>
      <c r="Q18" s="32"/>
      <c r="R18" t="s">
        <v>475</v>
      </c>
      <c r="S18" t="s">
        <v>476</v>
      </c>
    </row>
    <row r="19" ht="15" spans="2:18">
      <c r="B19" s="17" t="s">
        <v>82</v>
      </c>
      <c r="C19" s="10" t="s">
        <v>225</v>
      </c>
      <c r="D19" s="10" t="s">
        <v>226</v>
      </c>
      <c r="E19" s="10"/>
      <c r="F19" s="9" t="s">
        <v>227</v>
      </c>
      <c r="G19">
        <v>10</v>
      </c>
      <c r="H19">
        <v>10</v>
      </c>
      <c r="I19" s="10">
        <f t="shared" si="0"/>
        <v>10</v>
      </c>
      <c r="J19">
        <v>10</v>
      </c>
      <c r="K19" s="27">
        <f t="shared" si="4"/>
        <v>1</v>
      </c>
      <c r="L19" s="17" t="s">
        <v>228</v>
      </c>
      <c r="M19" s="10">
        <f>83*72*48/1000000</f>
        <v>0.286848</v>
      </c>
      <c r="N19" s="28">
        <v>18</v>
      </c>
      <c r="O19" s="17">
        <f t="shared" si="2"/>
        <v>18</v>
      </c>
      <c r="P19" s="29">
        <f t="shared" si="3"/>
        <v>0.286848</v>
      </c>
      <c r="Q19" s="32"/>
      <c r="R19" t="s">
        <v>477</v>
      </c>
    </row>
    <row r="20" ht="15" spans="2:18">
      <c r="B20" s="17" t="s">
        <v>82</v>
      </c>
      <c r="C20" s="10" t="s">
        <v>229</v>
      </c>
      <c r="D20" s="10" t="s">
        <v>230</v>
      </c>
      <c r="E20" s="10"/>
      <c r="F20" s="9" t="s">
        <v>231</v>
      </c>
      <c r="G20">
        <v>10</v>
      </c>
      <c r="H20">
        <v>10</v>
      </c>
      <c r="I20" s="10">
        <f t="shared" si="0"/>
        <v>10</v>
      </c>
      <c r="J20">
        <v>10</v>
      </c>
      <c r="K20" s="27">
        <f t="shared" si="4"/>
        <v>1</v>
      </c>
      <c r="L20" s="17" t="s">
        <v>232</v>
      </c>
      <c r="M20" s="10">
        <f>71*63*43/1000000</f>
        <v>0.192339</v>
      </c>
      <c r="N20" s="28">
        <v>23.5</v>
      </c>
      <c r="O20" s="17">
        <f t="shared" si="2"/>
        <v>23.5</v>
      </c>
      <c r="P20" s="29">
        <f t="shared" si="3"/>
        <v>0.192339</v>
      </c>
      <c r="Q20" s="32"/>
      <c r="R20" t="s">
        <v>478</v>
      </c>
    </row>
    <row r="21" ht="28.5" spans="2:18">
      <c r="B21" s="17" t="s">
        <v>82</v>
      </c>
      <c r="C21" s="24" t="s">
        <v>233</v>
      </c>
      <c r="D21" s="25" t="s">
        <v>234</v>
      </c>
      <c r="E21" s="25"/>
      <c r="F21" s="9" t="s">
        <v>235</v>
      </c>
      <c r="G21">
        <v>10</v>
      </c>
      <c r="H21">
        <v>10</v>
      </c>
      <c r="I21" s="10">
        <f t="shared" si="0"/>
        <v>10</v>
      </c>
      <c r="J21">
        <v>10</v>
      </c>
      <c r="K21" s="27">
        <f t="shared" si="4"/>
        <v>1</v>
      </c>
      <c r="L21" s="3" t="s">
        <v>236</v>
      </c>
      <c r="M21" s="10">
        <f>82*67*47/1000000</f>
        <v>0.258218</v>
      </c>
      <c r="N21" s="28">
        <v>15</v>
      </c>
      <c r="O21" s="17">
        <f t="shared" si="2"/>
        <v>15</v>
      </c>
      <c r="P21" s="29">
        <f t="shared" si="3"/>
        <v>0.258218</v>
      </c>
      <c r="Q21" s="32"/>
      <c r="R21" t="s">
        <v>479</v>
      </c>
    </row>
    <row r="23" spans="16:16">
      <c r="P23">
        <f>SUM(P2:P22)</f>
        <v>14.860377</v>
      </c>
    </row>
  </sheetData>
  <mergeCells count="2">
    <mergeCell ref="E13:E16"/>
    <mergeCell ref="Q2:Q21"/>
  </mergeCells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workbookViewId="0">
      <selection activeCell="G35" sqref="G35"/>
    </sheetView>
  </sheetViews>
  <sheetFormatPr defaultColWidth="9" defaultRowHeight="13.5" outlineLevelRow="3"/>
  <cols>
    <col min="1" max="1" width="15.675" customWidth="1"/>
    <col min="2" max="2" width="19.3333333333333" customWidth="1"/>
    <col min="3" max="3" width="31.7416666666667" customWidth="1"/>
    <col min="4" max="4" width="15.0083333333333" customWidth="1"/>
    <col min="5" max="5" width="16.3833333333333" customWidth="1"/>
    <col min="6" max="6" width="11" customWidth="1"/>
    <col min="7" max="7" width="10.8166666666667" customWidth="1"/>
    <col min="8" max="8" width="12.55" customWidth="1"/>
    <col min="9" max="9" width="11" customWidth="1"/>
    <col min="10" max="10" width="11" style="2" customWidth="1"/>
    <col min="11" max="11" width="17.3166666666667" style="3" customWidth="1"/>
    <col min="12" max="12" width="13.8583333333333" customWidth="1"/>
    <col min="13" max="13" width="15.8666666666667" customWidth="1"/>
    <col min="14" max="14" width="10.8583333333333" customWidth="1"/>
    <col min="15" max="15" width="10.7583333333333" customWidth="1"/>
    <col min="16" max="16" width="12" customWidth="1"/>
    <col min="17" max="17" width="13.5583333333333" customWidth="1"/>
  </cols>
  <sheetData>
    <row r="1" s="1" customFormat="1" ht="14.25" spans="1:17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12" t="s">
        <v>15</v>
      </c>
      <c r="Q1" s="14" t="s">
        <v>16</v>
      </c>
    </row>
    <row r="2" customFormat="1" ht="15" spans="1:15">
      <c r="A2" s="8" t="s">
        <v>308</v>
      </c>
      <c r="B2" t="s">
        <v>82</v>
      </c>
      <c r="C2" s="3" t="s">
        <v>309</v>
      </c>
      <c r="D2" s="3" t="s">
        <v>310</v>
      </c>
      <c r="E2" s="9" t="s">
        <v>311</v>
      </c>
      <c r="F2" s="10">
        <v>50</v>
      </c>
      <c r="G2" s="11">
        <v>10</v>
      </c>
      <c r="H2" s="10">
        <f>F2</f>
        <v>50</v>
      </c>
      <c r="I2" s="11">
        <v>10</v>
      </c>
      <c r="J2" s="3">
        <f>F2/G2</f>
        <v>5</v>
      </c>
      <c r="K2" s="1" t="s">
        <v>174</v>
      </c>
      <c r="L2" s="13">
        <v>0.3034</v>
      </c>
      <c r="M2" s="13">
        <v>23.6</v>
      </c>
      <c r="N2" s="3">
        <f>M2*J2</f>
        <v>118</v>
      </c>
      <c r="O2" s="1">
        <f>L2*J2</f>
        <v>1.517</v>
      </c>
    </row>
    <row r="4" customFormat="1" spans="10:15">
      <c r="J4" s="2"/>
      <c r="K4" s="3"/>
      <c r="O4">
        <f>SUM(O2:O3)</f>
        <v>1.517</v>
      </c>
    </row>
  </sheetData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汇总</vt:lpstr>
      <vt:lpstr>SBD1</vt:lpstr>
      <vt:lpstr>GEU5</vt:lpstr>
      <vt:lpstr>LGB8</vt:lpstr>
      <vt:lpstr>PSC2</vt:lpstr>
      <vt:lpstr>DEN8</vt:lpstr>
      <vt:lpstr>STL3</vt:lpstr>
      <vt:lpstr>ACY2</vt:lpstr>
      <vt:lpstr>HSV1</vt:lpstr>
      <vt:lpstr>海外仓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86180</dc:creator>
  <cp:lastModifiedBy>蓓蓓</cp:lastModifiedBy>
  <dcterms:created xsi:type="dcterms:W3CDTF">2024-02-27T04:05:00Z</dcterms:created>
  <dcterms:modified xsi:type="dcterms:W3CDTF">2025-03-27T09:34:45Z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133A837345E84B2982EC0E0E4762D7AE_13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true</vt:bool>
  </property>
</Properties>
</file>