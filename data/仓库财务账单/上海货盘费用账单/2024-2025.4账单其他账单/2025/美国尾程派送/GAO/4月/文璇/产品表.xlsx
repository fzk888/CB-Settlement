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<sst xmlns="http://schemas.openxmlformats.org/spreadsheetml/2006/main" count="26" uniqueCount="26">
  <si>
    <t>仓库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</si>
  <si>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</si>
  <si>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</si>
  <si>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</si>
  <si>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</si>
  <si>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</si>
  <si>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</si>
  <si>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</si>
  <si>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</si>
  <si>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</si>
  <si>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</si>
  <si>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</si>
  <si>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 xml:space="preserve"> 单箱重量（kg）</t>
  </si>
  <si>
    <t>总重</t>
  </si>
  <si>
    <t>总体积</t>
  </si>
  <si>
    <t>派送仓库</t>
  </si>
  <si>
    <t>FBA ID</t>
  </si>
  <si>
    <t>海外仓</t>
  </si>
  <si>
    <t>小提琴</t>
  </si>
  <si>
    <t>ECE-AViolinCVN300-4/4</t>
  </si>
  <si>
    <t>X004CMBJLR</t>
  </si>
  <si>
    <t>B00EOYKGH0</t>
  </si>
  <si>
    <t>82*74*50</t>
  </si>
  <si>
    <t>SCK8</t>
  </si>
  <si>
    <t>FBA18VWT2ZPPU000001</t>
  </si>
  <si>
    <t>FBA18VWT2ZPPU000005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</si>
</sst>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000000"/>
      <name val="Calibri"/>
      <charset val="0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3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top"/>
    </xf>
    <xf numFmtId="0" fontId="5" fillId="4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pane xSplit="5" ySplit="1" topLeftCell="K2" activePane="bottomRight" state="frozen"/>
      <selection/>
      <selection pane="topRight"/>
      <selection pane="bottomLeft"/>
      <selection pane="bottomRight" activeCell="E18" sqref="E18"/>
    </sheetView>
  </sheetViews>
  <sheetFormatPr defaultColWidth="9" defaultRowHeight="13.5" outlineLevelRow="1"/>
  <cols>
    <col min="1" max="1" width="15.675" customWidth="1"/>
    <col min="2" max="2" width="19.3333333333333" customWidth="1"/>
    <col min="3" max="3" width="31.7416666666667" customWidth="1"/>
    <col min="4" max="4" width="15.0083333333333" customWidth="1"/>
    <col min="5" max="5" width="16.3833333333333" customWidth="1"/>
    <col min="6" max="6" width="11" customWidth="1"/>
    <col min="7" max="7" width="10.8166666666667" customWidth="1"/>
    <col min="8" max="8" width="12.5416666666667" customWidth="1"/>
    <col min="9" max="9" width="11" customWidth="1"/>
    <col min="10" max="10" width="11" style="2" customWidth="1"/>
    <col min="11" max="11" width="17.3166666666667" style="3" customWidth="1"/>
    <col min="12" max="12" width="13.8583333333333" customWidth="1"/>
    <col min="13" max="13" width="15.8666666666667" customWidth="1"/>
    <col min="14" max="14" width="10.8583333333333" customWidth="1"/>
    <col min="15" max="15" width="10.7666666666667" customWidth="1"/>
    <col min="16" max="16" width="12" customWidth="1"/>
    <col min="17" max="17" width="22.275" customWidth="1"/>
    <col min="18" max="18" width="20.8166666666667" customWidth="1"/>
  </cols>
  <sheetData>
    <row r="1" s="1" customFormat="1" ht="14.25" spans="1:17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2" t="s">
        <v>15</v>
      </c>
      <c r="Q1" s="14" t="s">
        <v>16</v>
      </c>
    </row>
    <row r="2" customFormat="1" ht="15" spans="1:18">
      <c r="A2" s="8" t="s">
        <v>17</v>
      </c>
      <c r="B2" t="s">
        <v>18</v>
      </c>
      <c r="C2" s="3" t="s">
        <v>19</v>
      </c>
      <c r="D2" s="3" t="s">
        <v>20</v>
      </c>
      <c r="E2" s="9" t="s">
        <v>21</v>
      </c>
      <c r="F2" s="10">
        <v>50</v>
      </c>
      <c r="G2" s="11">
        <v>10</v>
      </c>
      <c r="H2" s="10">
        <f>F2</f>
        <v>50</v>
      </c>
      <c r="I2" s="11">
        <v>10</v>
      </c>
      <c r="J2" s="3">
        <f>F2/G2</f>
        <v>5</v>
      </c>
      <c r="K2" s="1" t="s">
        <v>22</v>
      </c>
      <c r="L2" s="13">
        <v>0.3034</v>
      </c>
      <c r="M2" s="13">
        <v>23.6</v>
      </c>
      <c r="N2" s="3">
        <f>M2*J2</f>
        <v>118</v>
      </c>
      <c r="O2" s="1">
        <f>L2*J2</f>
        <v>1.517</v>
      </c>
      <c r="P2" t="s">
        <v>23</v>
      </c>
      <c r="Q2" s="15" t="s">
        <v>24</v>
      </c>
      <c r="R2" s="15" t="s">
        <v>25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2025-05-14T02:37:33Z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208C9CAA82AA4D1A9FC1BAE623F26373_13</vt:lpwstr>
  </property>
</Properties>
</file>