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<sst xmlns="http://schemas.openxmlformats.org/spreadsheetml/2006/main" count="26" uniqueCount="26">
  <si>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</si>
  <si>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</si>
  <si>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</si>
  <si>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</si>
  <si>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</si>
  <si>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</si>
  <si>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</si>
  <si>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</si>
  <si>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</si>
  <si>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</si>
  <si>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</si>
  <si>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</si>
  <si>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</si>
  <si>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</si>
  <si>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</si>
  <si>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</si>
  <si>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</si>
  <si>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要贴产品标</t>
  </si>
  <si>
    <t>抱枕</t>
  </si>
  <si>
    <t>ELA-Body pillow</t>
  </si>
  <si>
    <t>X004BR195J</t>
  </si>
  <si>
    <t>B07RGKP59J</t>
  </si>
  <si>
    <t>60.5x44.5x45 CM</t>
  </si>
  <si>
    <t>GEU3</t>
  </si>
  <si>
    <t>FBA18ZS3L8WDU000001</t>
  </si>
  <si>
    <t>FBA18ZS3L8WDU000029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</si>
</sst>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4" fillId="3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H9" sqref="H9"/>
    </sheetView>
  </sheetViews>
  <sheetFormatPr defaultColWidth="9" defaultRowHeight="13.5" outlineLevelRow="1"/>
  <cols>
    <col min="1" max="1" width="12.1858407079646" customWidth="1"/>
    <col min="3" max="3" width="15.9115044247788" customWidth="1"/>
    <col min="4" max="4" width="11.9115044247788" customWidth="1"/>
    <col min="5" max="5" width="13.1858407079646" customWidth="1"/>
    <col min="11" max="11" width="15.8053097345133" customWidth="1"/>
    <col min="15" max="15" width="12.6194690265487" customWidth="1"/>
    <col min="17" max="17" width="21.3628318584071" customWidth="1"/>
    <col min="18" max="18" width="22.9115044247788" customWidth="1"/>
  </cols>
  <sheetData>
    <row r="1" s="1" customFormat="1" ht="25" customHeight="1" spans="1:17">
      <c r="A1" s="1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0" t="s">
        <v>8</v>
      </c>
      <c r="J1" s="5" t="s">
        <v>9</v>
      </c>
      <c r="K1" s="11" t="s">
        <v>10</v>
      </c>
      <c r="L1" s="5" t="s">
        <v>11</v>
      </c>
      <c r="M1" s="5" t="s">
        <v>12</v>
      </c>
      <c r="N1" s="12" t="s">
        <v>13</v>
      </c>
      <c r="O1" s="5" t="s">
        <v>14</v>
      </c>
      <c r="P1" s="5" t="s">
        <v>15</v>
      </c>
      <c r="Q1" s="3" t="s">
        <v>16</v>
      </c>
    </row>
    <row r="2" s="2" customFormat="1" spans="1:18">
      <c r="A2" s="2" t="s">
        <v>17</v>
      </c>
      <c r="B2" s="7" t="s">
        <v>18</v>
      </c>
      <c r="C2" s="8" t="s">
        <v>19</v>
      </c>
      <c r="D2" s="9" t="s">
        <v>20</v>
      </c>
      <c r="E2" s="7" t="s">
        <v>21</v>
      </c>
      <c r="F2" s="2">
        <v>174</v>
      </c>
      <c r="G2" s="2">
        <v>6</v>
      </c>
      <c r="H2" s="2">
        <v>174</v>
      </c>
      <c r="I2" s="2">
        <v>6</v>
      </c>
      <c r="J2" s="2">
        <f>F2/G2</f>
        <v>29</v>
      </c>
      <c r="K2" s="13" t="s">
        <v>22</v>
      </c>
      <c r="L2" s="14">
        <v>0.12115125</v>
      </c>
      <c r="M2" s="13">
        <v>10.97</v>
      </c>
      <c r="N2" s="15">
        <f>M2*J2</f>
        <v>318.13</v>
      </c>
      <c r="O2" s="15">
        <f>L2*J2</f>
        <v>3.51338625</v>
      </c>
      <c r="P2" s="2" t="s">
        <v>23</v>
      </c>
      <c r="Q2" s="2" t="s">
        <v>24</v>
      </c>
      <c r="R2" s="2" t="s">
        <v>25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蓓蓓</cp:lastModifiedBy>
  <dcterms:created xsi:type="dcterms:W3CDTF">2023-05-12T11:15:00Z</dcterms:created>
  <dcterms:modified xsi:type="dcterms:W3CDTF">2025-08-04T02:24:12Z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EF663E25079E4798AC2C707CE8C07A0B_12</vt:lpwstr>
  </property>
</Properties>
</file>