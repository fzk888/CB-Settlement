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25"/>
  </bookViews>
  <sheets>
    <sheet name="Sheet1" sheetId="1" r:id="rId1"/>
    <sheet name="Sheet2" sheetId="2" r:id="rId2"/>
    <sheet name="Sheet3" sheetId="3" r:id="rId3"/>
  </sheets>
  <externalReferences>
    <externalReference r:id="rId4"/>
    <externalReference r:id="rId5"/>
    <externalReference r:id="rId6"/>
    <externalReference r:id="rId7"/>
    <externalReference r:id="rId8"/>
  </externalReferences>
  <definedNames>
    <definedName name="mattresscoveritem_display_width_unit_of_measure">'[1]Dropdown Lists'!$F$4:$F$18</definedName>
    <definedName name="requiredAttributePTDMap">[2]AttributePTDMAP!$A$1:$C$27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86180</author>
  </authors>
  <commentList>
    <comment ref="K1" authorId="0">
      <text>
        <r>
          <rPr>
            <b/>
            <sz val="9"/>
            <rFont val="宋体"/>
            <charset val="134"/>
          </rPr>
          <t>86180:</t>
        </r>
        <r>
          <rPr>
            <sz val="9"/>
            <rFont val="宋体"/>
            <charset val="134"/>
          </rPr>
          <t xml:space="preserve">
箱规需填</t>
        </r>
      </text>
    </comment>
  </commentList>
</comments>
</file>

<file path=xl/sharedStrings.xml><?xml version="1.0" encoding="utf-8"?>
<sst xmlns="http://schemas.openxmlformats.org/spreadsheetml/2006/main" count="36" uniqueCount="34">
  <si>
    <t>备注</t>
  </si>
  <si>
    <t>品名</t>
  </si>
  <si>
    <t>SKU</t>
  </si>
  <si>
    <t>FNSKU</t>
  </si>
  <si>
    <t>原ASIN</t>
  </si>
  <si>
    <t>发货套数</t>
  </si>
  <si>
    <t>套数/箱</t>
  </si>
  <si>
    <t>拣货数量</t>
  </si>
  <si>
    <t>个数/箱</t>
  </si>
  <si>
    <t>箱数</t>
  </si>
  <si>
    <t>箱规</t>
  </si>
  <si>
    <t>单箱体积</t>
  </si>
  <si>
    <t xml:space="preserve"> 单箱重量（kg）</t>
  </si>
  <si>
    <t>总重</t>
  </si>
  <si>
    <t>总体积</t>
  </si>
  <si>
    <t>派送仓库</t>
  </si>
  <si>
    <t>FBA ID</t>
  </si>
  <si>
    <t>柜号XYLU8162600</t>
  </si>
  <si>
    <t>毛巾棉6-9" Twin XL</t>
  </si>
  <si>
    <t>HBER004-TXL-6-9</t>
  </si>
  <si>
    <t>X004NNLSG1</t>
  </si>
  <si>
    <t>B004VN316M</t>
  </si>
  <si>
    <t>57x30x36CM</t>
  </si>
  <si>
    <t>GEU5</t>
  </si>
  <si>
    <t>FBA18ZT7H6BMU000006</t>
  </si>
  <si>
    <t>FBA18ZT7H6BMU000010</t>
  </si>
  <si>
    <t>光面9"TWIN XL</t>
  </si>
  <si>
    <t>HBER002-TXL</t>
  </si>
  <si>
    <t>X004NE9FE7</t>
  </si>
  <si>
    <t>B004BAPK0K</t>
  </si>
  <si>
    <t>57x30x35CM</t>
  </si>
  <si>
    <t>FBA18ZT7H6BMU000001</t>
  </si>
  <si>
    <t>FBA18ZT7H6BMU000005</t>
  </si>
  <si>
    <t>八爪鱼账单没看到这份收费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</si>
</sst>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9"/>
      <color rgb="FF666666"/>
      <name val="微软雅黑"/>
      <charset val="134"/>
    </font>
    <font>
      <sz val="10.5"/>
      <color rgb="FF007587"/>
      <name val="Arial"/>
      <charset val="134"/>
    </font>
    <font>
      <sz val="10.5"/>
      <color rgb="FF696969"/>
      <name val="Arial"/>
      <charset val="134"/>
    </font>
    <font>
      <sz val="11"/>
      <name val="宋体"/>
      <charset val="134"/>
      <scheme val="minor"/>
    </font>
    <font>
      <sz val="10"/>
      <name val="宋体"/>
      <charset val="134"/>
      <scheme val="minor"/>
    </font>
    <font>
      <sz val="9"/>
      <color rgb="FF000000"/>
      <name val="Calibri"/>
      <charset val="0"/>
    </font>
    <font>
      <sz val="9"/>
      <color theme="1"/>
      <name val="宋体"/>
      <charset val="134"/>
      <scheme val="minor"/>
    </font>
    <font>
      <b/>
      <sz val="10.5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7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8" borderId="4" applyNumberFormat="0" applyAlignment="0" applyProtection="0">
      <alignment vertical="center"/>
    </xf>
    <xf numFmtId="0" fontId="20" fillId="9" borderId="5" applyNumberFormat="0" applyAlignment="0" applyProtection="0">
      <alignment vertical="center"/>
    </xf>
    <xf numFmtId="0" fontId="21" fillId="9" borderId="4" applyNumberFormat="0" applyAlignment="0" applyProtection="0">
      <alignment vertical="center"/>
    </xf>
    <xf numFmtId="0" fontId="22" fillId="10" borderId="6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Fill="1">
      <alignment vertical="center"/>
    </xf>
    <xf numFmtId="0" fontId="0" fillId="3" borderId="0" xfId="0" applyFill="1" applyAlignment="1">
      <alignment vertical="center"/>
    </xf>
    <xf numFmtId="0" fontId="1" fillId="4" borderId="0" xfId="0" applyFont="1" applyFill="1" applyAlignment="1">
      <alignment horizontal="left" vertical="center"/>
    </xf>
    <xf numFmtId="0" fontId="1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 wrapText="1"/>
    </xf>
    <xf numFmtId="0" fontId="0" fillId="0" borderId="0" xfId="0" applyFill="1" applyBorder="1" applyAlignment="1">
      <alignment vertical="center"/>
    </xf>
    <xf numFmtId="0" fontId="8" fillId="6" borderId="0" xfId="0" applyFont="1" applyFill="1" applyBorder="1" applyAlignment="1">
      <alignment horizontal="left" vertical="top"/>
    </xf>
    <xf numFmtId="0" fontId="9" fillId="4" borderId="0" xfId="0" applyFont="1" applyFill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right" vertical="center"/>
    </xf>
    <xf numFmtId="0" fontId="10" fillId="0" borderId="0" xfId="0" applyFont="1">
      <alignment vertical="center"/>
    </xf>
    <xf numFmtId="0" fontId="0" fillId="0" borderId="0" xfId="0" applyFill="1" applyBorder="1" applyAlignment="1">
      <alignment horizontal="right" vertical="center"/>
    </xf>
    <xf numFmtId="0" fontId="0" fillId="0" borderId="0" xfId="0" applyAlignment="1">
      <alignment horizontal="center" vertical="center" wrapText="1"/>
    </xf>
    <xf numFmtId="0" fontId="0" fillId="4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externalLink" Target="externalLinks/externalLink5.xml"/><Relationship Id="rId7" Type="http://schemas.openxmlformats.org/officeDocument/2006/relationships/externalLink" Target="externalLinks/externalLink4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customXml" Target="../customXml/item1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EDY\Documents\WeChat%20Files\wxid_vqiqkpzldivf22\FileStorage\File\2025-04\MATTRESS_COVER%20(2)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14019\Desktop\Super%20Browser\&#21271;&#32654;1%20-%20[&#26131;&#34701;&#35785;&#20844;&#21496;]&#33258;&#27880;&#20876;SC\&#25209;&#37327;&#25991;&#20214;\6%20&#38271;&#25265;&#26517;&#22871;\BODY_PILLOWCASE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EDY\Documents\xwechat_files\wxid_hn98pz4wcggp22_269e\msg\file\2025-07\&#24635;&#34920;(1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EDY\WPSDrive\666363583\WPS&#20113;&#30424;\&#24212;&#29992;\&#24494;&#20449;&#25991;&#20214;\&#24202;&#32617;&#22791;&#36135;&#28165;&#21333;&#25104;&#26412;&#26680;&#31639;&#27169;&#26495;-&#19978;&#28023;to%20&#32654;&#22269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EDY\Documents\xwechat_files\wxid_hn98pz4wcggp22_269e\msg\file\2025-07\5.12&#32654;&#22269;&#22791;&#36135;&#28165;&#21333;&#19968;&#20214;&#20195;&#21457;-&#31532;&#19977;&#26588;&#20998;&#20179;&#21333;XYLU816260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Images"/>
      <sheetName val="Example"/>
      <sheetName val="Data Definitions"/>
      <sheetName val="Dropdown Lists"/>
      <sheetName val="AttributePTDMAP"/>
      <sheetName val="Template"/>
      <sheetName val="Browse Data"/>
      <sheetName val="Conditions List"/>
      <sheetName val="Valid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Images"/>
      <sheetName val="Example"/>
      <sheetName val="Data Definitions"/>
      <sheetName val="Dropdown Lists"/>
      <sheetName val="AttributePTDMAP"/>
      <sheetName val="Template"/>
      <sheetName val="Browse Data"/>
      <sheetName val="Conditions List"/>
      <sheetName val="Valid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KU总表"/>
      <sheetName val="利润核算"/>
      <sheetName val="Sheet2"/>
    </sheetNames>
    <sheetDataSet>
      <sheetData sheetId="0"/>
      <sheetData sheetId="1">
        <row r="1">
          <cell r="A1" t="str">
            <v>自定义SKU</v>
          </cell>
          <cell r="B1" t="str">
            <v>品名</v>
          </cell>
          <cell r="C1" t="str">
            <v>产品ASIN</v>
          </cell>
          <cell r="D1" t="str">
            <v>FNSKU</v>
          </cell>
          <cell r="E1" t="str">
            <v>竞品ASIN
(仓库代码）</v>
          </cell>
          <cell r="F1" t="str">
            <v>类目</v>
          </cell>
          <cell r="G1" t="str">
            <v>竞品FBA</v>
          </cell>
          <cell r="H1" t="str">
            <v>FBA配送费</v>
          </cell>
          <cell r="I1" t="str">
            <v>采购成本（USD/EUR)</v>
          </cell>
          <cell r="J1" t="str">
            <v>头程</v>
          </cell>
          <cell r="K1" t="str">
            <v>个/箱</v>
          </cell>
          <cell r="L1" t="str">
            <v>重量（单个）</v>
          </cell>
        </row>
        <row r="2">
          <cell r="A2" t="str">
            <v>HBER001</v>
          </cell>
          <cell r="B2" t="str">
            <v>绑带款</v>
          </cell>
          <cell r="C2" t="str">
            <v>B0F4VM7TDC</v>
          </cell>
          <cell r="D2" t="str">
            <v>X004NE506J</v>
          </cell>
          <cell r="E2" t="str">
            <v>B071DZW1WP</v>
          </cell>
        </row>
        <row r="2">
          <cell r="H2">
            <v>8.84</v>
          </cell>
          <cell r="I2">
            <v>10.16</v>
          </cell>
          <cell r="J2">
            <v>5.47062760416667</v>
          </cell>
          <cell r="K2">
            <v>6</v>
          </cell>
          <cell r="L2">
            <v>7.25622080679404</v>
          </cell>
        </row>
        <row r="3">
          <cell r="A3" t="str">
            <v>HBER002-Q</v>
          </cell>
          <cell r="B3" t="str">
            <v>光面9"Queen</v>
          </cell>
          <cell r="C3" t="str">
            <v>B0F4WDNQTZ</v>
          </cell>
          <cell r="D3" t="str">
            <v>X004NE70WL</v>
          </cell>
          <cell r="E3" t="str">
            <v>B00C2TRA6Y</v>
          </cell>
        </row>
        <row r="3">
          <cell r="G3">
            <v>6.47</v>
          </cell>
          <cell r="H3">
            <v>7.24</v>
          </cell>
          <cell r="I3">
            <v>11.03</v>
          </cell>
          <cell r="J3">
            <v>2.20762109375</v>
          </cell>
          <cell r="K3">
            <v>8</v>
          </cell>
          <cell r="L3">
            <v>12.3</v>
          </cell>
        </row>
        <row r="4">
          <cell r="A4" t="str">
            <v>HBER002-TXL</v>
          </cell>
          <cell r="B4" t="str">
            <v>光面9"TWIN XL</v>
          </cell>
          <cell r="C4" t="str">
            <v>B0F4VWXT1P</v>
          </cell>
          <cell r="D4" t="str">
            <v>X004NE9FE7</v>
          </cell>
          <cell r="E4" t="str">
            <v>B004BAPK0K</v>
          </cell>
        </row>
        <row r="4">
          <cell r="G4">
            <v>6.21</v>
          </cell>
          <cell r="H4">
            <v>6.21</v>
          </cell>
          <cell r="I4">
            <v>8.34</v>
          </cell>
          <cell r="J4">
            <v>3.47481640625</v>
          </cell>
          <cell r="K4">
            <v>10</v>
          </cell>
          <cell r="L4">
            <v>11</v>
          </cell>
        </row>
        <row r="5">
          <cell r="A5" t="str">
            <v>HBER002-K</v>
          </cell>
          <cell r="B5" t="str">
            <v>拉链光面款</v>
          </cell>
          <cell r="C5" t="str">
            <v>B0F4WXYTQQ</v>
          </cell>
          <cell r="D5" t="str">
            <v>X004NEPKVT</v>
          </cell>
          <cell r="E5" t="str">
            <v>B00H7KZ5K6</v>
          </cell>
        </row>
        <row r="5">
          <cell r="G5">
            <v>7.79</v>
          </cell>
          <cell r="H5">
            <v>6.21</v>
          </cell>
          <cell r="I5">
            <v>16.38</v>
          </cell>
          <cell r="J5">
            <v>3.31144878472222</v>
          </cell>
          <cell r="K5">
            <v>6</v>
          </cell>
          <cell r="L5">
            <v>13.1</v>
          </cell>
        </row>
        <row r="6">
          <cell r="A6" t="str">
            <v>HBER003</v>
          </cell>
          <cell r="B6" t="str">
            <v>绑带毛巾款</v>
          </cell>
          <cell r="C6" t="str">
            <v>B0F4X6BHTN</v>
          </cell>
          <cell r="D6" t="str">
            <v>X004NEOCAJ</v>
          </cell>
          <cell r="E6" t="str">
            <v>B003PWNGK6</v>
          </cell>
        </row>
        <row r="6">
          <cell r="G6">
            <v>6.05</v>
          </cell>
          <cell r="H6">
            <v>6.05</v>
          </cell>
          <cell r="I6">
            <v>4.52</v>
          </cell>
          <cell r="J6">
            <v>2.70198111979167</v>
          </cell>
          <cell r="K6">
            <v>12</v>
          </cell>
          <cell r="L6">
            <v>9.2</v>
          </cell>
        </row>
        <row r="7">
          <cell r="A7" t="str">
            <v>HBER004-K-6-9</v>
          </cell>
          <cell r="B7" t="str">
            <v>拉链毛巾款</v>
          </cell>
          <cell r="C7" t="str">
            <v>B0F52YC93D</v>
          </cell>
          <cell r="D7" t="str">
            <v>X004NNLSGB</v>
          </cell>
          <cell r="E7" t="str">
            <v>B004BAEERK</v>
          </cell>
        </row>
        <row r="7">
          <cell r="H7">
            <v>7.48</v>
          </cell>
          <cell r="I7">
            <v>14.36</v>
          </cell>
          <cell r="J7">
            <v>3.37027499999999</v>
          </cell>
          <cell r="K7">
            <v>6</v>
          </cell>
          <cell r="L7">
            <v>11.6</v>
          </cell>
        </row>
        <row r="8">
          <cell r="A8" t="str">
            <v>HBER004-K-9-12</v>
          </cell>
          <cell r="B8" t="str">
            <v>拉链毛巾款</v>
          </cell>
          <cell r="C8" t="str">
            <v>B0F531VCTY</v>
          </cell>
          <cell r="D8" t="str">
            <v>X004NNLGEF</v>
          </cell>
          <cell r="E8" t="str">
            <v>B004BAB2LG</v>
          </cell>
        </row>
        <row r="8">
          <cell r="G8">
            <v>7.33</v>
          </cell>
          <cell r="H8">
            <v>7.56</v>
          </cell>
          <cell r="I8">
            <v>14.76</v>
          </cell>
          <cell r="J8">
            <v>3.34694166666666</v>
          </cell>
          <cell r="K8">
            <v>6</v>
          </cell>
          <cell r="L8">
            <v>20.5029702970297</v>
          </cell>
        </row>
        <row r="9">
          <cell r="A9" t="str">
            <v>HBER004-K-12-15</v>
          </cell>
          <cell r="B9" t="str">
            <v>拉链毛巾款</v>
          </cell>
          <cell r="C9" t="str">
            <v>B0F52XWSBG</v>
          </cell>
          <cell r="D9" t="str">
            <v>X004NN5CEZ</v>
          </cell>
          <cell r="E9" t="str">
            <v>B004BACOYU</v>
          </cell>
        </row>
        <row r="9">
          <cell r="G9">
            <v>7.99</v>
          </cell>
          <cell r="H9">
            <v>7.56</v>
          </cell>
          <cell r="I9">
            <v>15.33</v>
          </cell>
          <cell r="J9">
            <v>3.39360833333332</v>
          </cell>
          <cell r="K9">
            <v>6</v>
          </cell>
          <cell r="L9">
            <v>13</v>
          </cell>
        </row>
        <row r="10">
          <cell r="A10" t="str">
            <v>HBER004-K-15-18</v>
          </cell>
          <cell r="B10" t="str">
            <v>拉链毛巾款</v>
          </cell>
          <cell r="C10" t="str">
            <v>B0F52YH6CV</v>
          </cell>
          <cell r="D10" t="str">
            <v>X004NNP1FP</v>
          </cell>
          <cell r="E10" t="str">
            <v>B004BA8WBE</v>
          </cell>
        </row>
        <row r="10">
          <cell r="G10">
            <v>7.41</v>
          </cell>
          <cell r="H10">
            <v>7.64</v>
          </cell>
          <cell r="I10">
            <v>16.08</v>
          </cell>
          <cell r="J10">
            <v>3.60360833333333</v>
          </cell>
          <cell r="K10">
            <v>6</v>
          </cell>
          <cell r="L10">
            <v>13.6</v>
          </cell>
        </row>
        <row r="11">
          <cell r="A11" t="str">
            <v>HBER004-F-6-9</v>
          </cell>
          <cell r="B11" t="str">
            <v>拉链毛巾款</v>
          </cell>
          <cell r="C11" t="str">
            <v>B0F5344N7Q</v>
          </cell>
          <cell r="D11" t="str">
            <v>X004NN5CEF</v>
          </cell>
          <cell r="E11" t="str">
            <v>B004BAB1RG</v>
          </cell>
        </row>
        <row r="11">
          <cell r="G11">
            <v>6.93</v>
          </cell>
          <cell r="H11">
            <v>7.16</v>
          </cell>
          <cell r="I11">
            <v>11.16</v>
          </cell>
          <cell r="J11">
            <v>4.57677669270833</v>
          </cell>
          <cell r="K11">
            <v>8</v>
          </cell>
          <cell r="L11">
            <v>5.44217935349324</v>
          </cell>
        </row>
        <row r="12">
          <cell r="A12" t="str">
            <v>HBER004-F-9-12</v>
          </cell>
          <cell r="B12" t="str">
            <v>拉链毛巾款</v>
          </cell>
          <cell r="C12" t="str">
            <v>B0F532X8JC</v>
          </cell>
          <cell r="D12" t="str">
            <v>X004NNLGEP</v>
          </cell>
          <cell r="E12" t="str">
            <v>B004BAB28O</v>
          </cell>
        </row>
        <row r="12">
          <cell r="G12">
            <v>6.93</v>
          </cell>
          <cell r="H12">
            <v>7.16</v>
          </cell>
          <cell r="I12">
            <v>11.49</v>
          </cell>
          <cell r="J12">
            <v>2.93005501302083</v>
          </cell>
          <cell r="K12">
            <v>8</v>
          </cell>
          <cell r="L12">
            <v>12</v>
          </cell>
        </row>
        <row r="13">
          <cell r="A13" t="str">
            <v>HBER004-Q-12-15</v>
          </cell>
          <cell r="B13" t="str">
            <v>拉链毛巾款</v>
          </cell>
          <cell r="C13" t="str">
            <v>B0F532M2G2</v>
          </cell>
          <cell r="D13" t="str">
            <v>X004NN5EG1</v>
          </cell>
          <cell r="E13" t="str">
            <v>B004BAEFK6</v>
          </cell>
        </row>
        <row r="13">
          <cell r="G13">
            <v>7.09</v>
          </cell>
          <cell r="H13">
            <v>7.32</v>
          </cell>
          <cell r="I13">
            <v>13.07</v>
          </cell>
          <cell r="J13">
            <v>3.57444166666666</v>
          </cell>
          <cell r="K13">
            <v>6</v>
          </cell>
          <cell r="L13">
            <v>10.8</v>
          </cell>
        </row>
        <row r="14">
          <cell r="A14" t="str">
            <v>HBER004-Q-15-18</v>
          </cell>
          <cell r="B14" t="str">
            <v>拉链毛巾款</v>
          </cell>
          <cell r="C14" t="str">
            <v>B0F53238Z6</v>
          </cell>
          <cell r="D14" t="str">
            <v>X004NNTNGN</v>
          </cell>
          <cell r="E14" t="str">
            <v>B004BAEFWY</v>
          </cell>
        </row>
        <row r="14">
          <cell r="G14">
            <v>7.33</v>
          </cell>
          <cell r="H14">
            <v>7.56</v>
          </cell>
          <cell r="I14">
            <v>13.77</v>
          </cell>
          <cell r="J14">
            <v>3.51610833333332</v>
          </cell>
          <cell r="K14">
            <v>6</v>
          </cell>
          <cell r="L14">
            <v>11.2</v>
          </cell>
        </row>
        <row r="15">
          <cell r="A15" t="str">
            <v>HBER004-T-6-9</v>
          </cell>
          <cell r="B15" t="str">
            <v>拉链毛巾款</v>
          </cell>
          <cell r="C15" t="str">
            <v>B0F53GFYT6</v>
          </cell>
          <cell r="D15" t="str">
            <v>X004NN5CEP</v>
          </cell>
          <cell r="E15" t="str">
            <v>B004BA8UWA</v>
          </cell>
        </row>
        <row r="15">
          <cell r="G15">
            <v>6.07</v>
          </cell>
          <cell r="H15">
            <v>6.21</v>
          </cell>
          <cell r="I15">
            <v>8.93</v>
          </cell>
          <cell r="J15">
            <v>2.256096875</v>
          </cell>
          <cell r="K15">
            <v>10</v>
          </cell>
          <cell r="L15">
            <v>11.5</v>
          </cell>
        </row>
        <row r="16">
          <cell r="A16" t="str">
            <v>HBER004-T-9-12</v>
          </cell>
          <cell r="B16" t="str">
            <v>拉链毛巾款</v>
          </cell>
          <cell r="C16" t="str">
            <v>B0F535M2YT</v>
          </cell>
          <cell r="D16" t="str">
            <v>X004NNKCLD</v>
          </cell>
          <cell r="E16" t="str">
            <v>B01B51NXKQ</v>
          </cell>
        </row>
        <row r="16">
          <cell r="G16">
            <v>7.16</v>
          </cell>
          <cell r="H16">
            <v>7.08</v>
          </cell>
          <cell r="I16">
            <v>9.21</v>
          </cell>
          <cell r="J16">
            <v>2.256096875</v>
          </cell>
          <cell r="K16">
            <v>10</v>
          </cell>
          <cell r="L16">
            <v>12</v>
          </cell>
        </row>
        <row r="17">
          <cell r="A17" t="str">
            <v>HBER004-T-12-15</v>
          </cell>
          <cell r="B17" t="str">
            <v>拉链毛巾款</v>
          </cell>
          <cell r="C17" t="str">
            <v>B0F531N4LV</v>
          </cell>
          <cell r="D17" t="str">
            <v>X004NNKCLN</v>
          </cell>
          <cell r="E17" t="str">
            <v>B004VMYD92</v>
          </cell>
        </row>
        <row r="17">
          <cell r="G17">
            <v>6.48</v>
          </cell>
          <cell r="H17">
            <v>6.62</v>
          </cell>
          <cell r="I17">
            <v>9.63</v>
          </cell>
          <cell r="J17">
            <v>1.836096875</v>
          </cell>
          <cell r="K17">
            <v>10</v>
          </cell>
          <cell r="L17">
            <v>12.6</v>
          </cell>
        </row>
        <row r="18">
          <cell r="A18" t="str">
            <v>HBER004-TXL-6-9</v>
          </cell>
          <cell r="B18" t="str">
            <v>拉链毛巾款</v>
          </cell>
          <cell r="C18" t="str">
            <v>B0F531N1JZ</v>
          </cell>
          <cell r="D18" t="str">
            <v>X004NNLSG1</v>
          </cell>
          <cell r="E18" t="str">
            <v>B004VN316M</v>
          </cell>
        </row>
        <row r="18">
          <cell r="G18">
            <v>6.62</v>
          </cell>
          <cell r="H18">
            <v>6.62</v>
          </cell>
          <cell r="I18">
            <v>9.16</v>
          </cell>
          <cell r="J18">
            <v>1.836096875</v>
          </cell>
          <cell r="K18">
            <v>10</v>
          </cell>
          <cell r="L18">
            <v>12</v>
          </cell>
        </row>
        <row r="19">
          <cell r="A19" t="str">
            <v>HBER004-TXL-9-12</v>
          </cell>
          <cell r="B19" t="str">
            <v>拉链毛巾款</v>
          </cell>
          <cell r="C19" t="str">
            <v>B0F5346C1M</v>
          </cell>
          <cell r="D19" t="str">
            <v>X004NNP3SF</v>
          </cell>
          <cell r="E19" t="str">
            <v>B00B50IA56</v>
          </cell>
        </row>
        <row r="19">
          <cell r="G19">
            <v>6.77</v>
          </cell>
          <cell r="H19">
            <v>7</v>
          </cell>
          <cell r="I19">
            <v>9.46</v>
          </cell>
          <cell r="J19">
            <v>1.836096875</v>
          </cell>
          <cell r="K19">
            <v>10</v>
          </cell>
          <cell r="L19">
            <v>12.2</v>
          </cell>
        </row>
        <row r="21">
          <cell r="A21" t="str">
            <v>账号10德国</v>
          </cell>
        </row>
        <row r="22">
          <cell r="A22" t="str">
            <v>10DE-L-sponge pillow</v>
          </cell>
          <cell r="B22" t="str">
            <v>海绵枕</v>
          </cell>
          <cell r="C22" t="str">
            <v>B0F9FDY14R</v>
          </cell>
          <cell r="D22" t="str">
            <v>X002B8PU8T</v>
          </cell>
          <cell r="E22" t="str">
            <v>B07PYRL8QM</v>
          </cell>
        </row>
        <row r="22">
          <cell r="H22">
            <v>5.69</v>
          </cell>
          <cell r="I22">
            <v>19.65</v>
          </cell>
        </row>
        <row r="22">
          <cell r="L22">
            <v>5.61660561660562</v>
          </cell>
        </row>
        <row r="23">
          <cell r="A23" t="str">
            <v>11DE-L-Body Pillow</v>
          </cell>
          <cell r="B23" t="str">
            <v>海绵枕</v>
          </cell>
          <cell r="C23" t="str">
            <v>B0F9FFZMJT</v>
          </cell>
          <cell r="D23" t="str">
            <v>X002B8SWX9</v>
          </cell>
          <cell r="E23" t="str">
            <v>B07RGKP59J</v>
          </cell>
        </row>
        <row r="23">
          <cell r="H23">
            <v>5.69</v>
          </cell>
          <cell r="I23">
            <v>10.88</v>
          </cell>
        </row>
        <row r="23">
          <cell r="L23">
            <v>3.38</v>
          </cell>
        </row>
        <row r="24">
          <cell r="A24" t="str">
            <v>10DE-L-bicycle seat-white</v>
          </cell>
          <cell r="B24" t="str">
            <v>自行车座椅</v>
          </cell>
          <cell r="C24" t="str">
            <v>B0F9FH212T</v>
          </cell>
          <cell r="D24" t="str">
            <v>B0F9FH212T</v>
          </cell>
          <cell r="E24" t="str">
            <v>B01MF9CC1K</v>
          </cell>
        </row>
        <row r="24">
          <cell r="H24">
            <v>4.94</v>
          </cell>
          <cell r="I24">
            <v>5.83</v>
          </cell>
        </row>
        <row r="24">
          <cell r="L24">
            <v>1.36054580896686</v>
          </cell>
        </row>
        <row r="25">
          <cell r="A25" t="str">
            <v>10DE-L-bicycle seat-black</v>
          </cell>
          <cell r="B25" t="str">
            <v>自行车座椅</v>
          </cell>
          <cell r="C25" t="str">
            <v>B0F9FGX4HJ</v>
          </cell>
          <cell r="D25" t="str">
            <v>B0F9FGX4HJ</v>
          </cell>
          <cell r="E25" t="str">
            <v>B07BMX71L2</v>
          </cell>
        </row>
        <row r="25">
          <cell r="H25">
            <v>4.94</v>
          </cell>
          <cell r="I25">
            <v>7.05</v>
          </cell>
        </row>
        <row r="25">
          <cell r="L25">
            <v>1.08843614718615</v>
          </cell>
        </row>
        <row r="26">
          <cell r="A26" t="str">
            <v>10DE-L-Foam Saddle</v>
          </cell>
          <cell r="B26" t="str">
            <v>自行车座椅</v>
          </cell>
          <cell r="C26" t="str">
            <v>B0F9FGB51M</v>
          </cell>
          <cell r="D26" t="str">
            <v>B0F9FGB51M</v>
          </cell>
          <cell r="E26" t="str">
            <v>B07H8GTTCQ</v>
          </cell>
        </row>
        <row r="26">
          <cell r="H26">
            <v>4.71</v>
          </cell>
          <cell r="I26">
            <v>4.35</v>
          </cell>
        </row>
        <row r="26">
          <cell r="L26">
            <v>0.453514705882353</v>
          </cell>
        </row>
        <row r="27">
          <cell r="A27" t="str">
            <v>10DE-L-Square Jar</v>
          </cell>
          <cell r="B27" t="str">
            <v>玻璃储物罐</v>
          </cell>
          <cell r="C27" t="str">
            <v>B0F9FJVKH8</v>
          </cell>
          <cell r="D27" t="str">
            <v>B0F9FJVKH8</v>
          </cell>
          <cell r="E27" t="str">
            <v>B07F8VGZQZ</v>
          </cell>
        </row>
        <row r="27">
          <cell r="H27">
            <v>5.31</v>
          </cell>
          <cell r="I27">
            <v>2.172</v>
          </cell>
        </row>
        <row r="27">
          <cell r="L27">
            <v>2.1875</v>
          </cell>
        </row>
        <row r="28">
          <cell r="A28" t="str">
            <v>10DE-L-candy jar</v>
          </cell>
          <cell r="B28" t="str">
            <v>糖果罐</v>
          </cell>
          <cell r="C28" t="str">
            <v>B0F9L45YVM</v>
          </cell>
          <cell r="D28" t="str">
            <v>X002B9QBZT</v>
          </cell>
          <cell r="E28" t="str">
            <v>B095J5PK57</v>
          </cell>
        </row>
        <row r="28">
          <cell r="H28">
            <v>4.03</v>
          </cell>
          <cell r="I28">
            <v>4.58</v>
          </cell>
        </row>
        <row r="28">
          <cell r="L28">
            <v>2.81666666666667</v>
          </cell>
        </row>
        <row r="29">
          <cell r="A29" t="str">
            <v>10DE-L-Mason jar</v>
          </cell>
          <cell r="B29" t="str">
            <v>糖果罐</v>
          </cell>
          <cell r="C29" t="str">
            <v>B0F9L55LP2</v>
          </cell>
          <cell r="D29" t="str">
            <v>B0F9L55LP2</v>
          </cell>
          <cell r="E29" t="str">
            <v>B096WC8L1N</v>
          </cell>
        </row>
        <row r="29">
          <cell r="H29">
            <v>4.71</v>
          </cell>
          <cell r="I29">
            <v>5.79</v>
          </cell>
        </row>
        <row r="29">
          <cell r="L29">
            <v>3.97</v>
          </cell>
        </row>
        <row r="30">
          <cell r="A30" t="str">
            <v>10DE-L-BluBox Bottle Brushes</v>
          </cell>
          <cell r="B30" t="str">
            <v>瓶刷套装</v>
          </cell>
          <cell r="C30" t="str">
            <v>B0F9NH7SF4</v>
          </cell>
          <cell r="D30" t="str">
            <v>X002BARL6L</v>
          </cell>
          <cell r="E30" t="str">
            <v>B07G4ZG7L4</v>
          </cell>
        </row>
        <row r="30">
          <cell r="H30">
            <v>4.28</v>
          </cell>
          <cell r="I30">
            <v>1.963</v>
          </cell>
        </row>
        <row r="30">
          <cell r="L30">
            <v>0.185416666666667</v>
          </cell>
        </row>
        <row r="31">
          <cell r="A31" t="str">
            <v>10DE-L-Waterproof Tent</v>
          </cell>
          <cell r="B31" t="str">
            <v>防雨帐篷</v>
          </cell>
          <cell r="C31" t="str">
            <v>B0F9N8TRXJ</v>
          </cell>
          <cell r="D31" t="str">
            <v>X002BAS5L1</v>
          </cell>
          <cell r="E31" t="str">
            <v>B07ZPH8Q1D</v>
          </cell>
        </row>
        <row r="31">
          <cell r="H31">
            <v>4.03</v>
          </cell>
          <cell r="I31">
            <v>8.25</v>
          </cell>
        </row>
        <row r="31">
          <cell r="L31">
            <v>0.56</v>
          </cell>
        </row>
        <row r="32">
          <cell r="A32" t="str">
            <v>10DE-L-waterproof bag(Grey)</v>
          </cell>
          <cell r="B32" t="str">
            <v>防水袋</v>
          </cell>
          <cell r="C32" t="str">
            <v>B0F9NFMRSS</v>
          </cell>
          <cell r="D32" t="str">
            <v>B0F9NFMRSS</v>
          </cell>
          <cell r="E32" t="str">
            <v>B07WNY4V7G</v>
          </cell>
        </row>
        <row r="32">
          <cell r="H32">
            <v>3.64</v>
          </cell>
          <cell r="I32">
            <v>6.16</v>
          </cell>
        </row>
        <row r="32">
          <cell r="L32">
            <v>0.22</v>
          </cell>
        </row>
        <row r="33">
          <cell r="A33" t="str">
            <v>10DE-L-waterproof bag(Red)</v>
          </cell>
          <cell r="B33" t="str">
            <v>防水袋</v>
          </cell>
          <cell r="C33" t="str">
            <v>B0FB8G46W3</v>
          </cell>
          <cell r="D33" t="str">
            <v>B0FB8G46W3</v>
          </cell>
          <cell r="E33" t="str">
            <v>B07WX1NCZS</v>
          </cell>
        </row>
        <row r="33">
          <cell r="H33">
            <v>3.64</v>
          </cell>
          <cell r="I33">
            <v>6.16</v>
          </cell>
        </row>
        <row r="33">
          <cell r="L33">
            <v>0.22</v>
          </cell>
        </row>
        <row r="34">
          <cell r="A34" t="str">
            <v>10DE-L-Oyster Knife</v>
          </cell>
          <cell r="B34" t="str">
            <v>生蚝刀及手套套装</v>
          </cell>
          <cell r="C34" t="str">
            <v>B0F9NKFLLZ</v>
          </cell>
          <cell r="D34" t="str">
            <v>X002BAPPWX</v>
          </cell>
          <cell r="E34" t="str">
            <v>B00VQFE1MQ</v>
          </cell>
        </row>
        <row r="34">
          <cell r="H34">
            <v>2.78</v>
          </cell>
          <cell r="I34">
            <v>4.33</v>
          </cell>
        </row>
        <row r="34">
          <cell r="L34">
            <v>0.181405780780781</v>
          </cell>
        </row>
        <row r="35">
          <cell r="A35" t="str">
            <v>10DE-L-Mountainbikesättel</v>
          </cell>
          <cell r="B35" t="str">
            <v>自行车座椅</v>
          </cell>
          <cell r="C35" t="str">
            <v>B0F9NRX57R</v>
          </cell>
          <cell r="D35" t="str">
            <v>X002BAPROT</v>
          </cell>
          <cell r="E35" t="str">
            <v>B01H60SXAK</v>
          </cell>
        </row>
        <row r="35">
          <cell r="H35">
            <v>4.03</v>
          </cell>
          <cell r="I35">
            <v>4.7</v>
          </cell>
        </row>
        <row r="35">
          <cell r="L35">
            <v>0.725625</v>
          </cell>
        </row>
        <row r="36">
          <cell r="A36" t="str">
            <v>10DE-L-PRO</v>
          </cell>
          <cell r="B36" t="e">
            <v>#N/A</v>
          </cell>
          <cell r="C36" t="str">
            <v>B0FB3TW468</v>
          </cell>
          <cell r="D36" t="str">
            <v>B0FB3TW468</v>
          </cell>
        </row>
        <row r="36">
          <cell r="H36">
            <v>4.94</v>
          </cell>
        </row>
        <row r="37">
          <cell r="A37" t="str">
            <v>10DE-L-Cityradsättel</v>
          </cell>
          <cell r="B37" t="e">
            <v>#N/A</v>
          </cell>
          <cell r="C37" t="str">
            <v>B0FB84GBWQ</v>
          </cell>
          <cell r="D37" t="str">
            <v>X002BGFGB7</v>
          </cell>
          <cell r="E37" t="str">
            <v>B07B646ZZY</v>
          </cell>
        </row>
        <row r="37">
          <cell r="H37">
            <v>4.94</v>
          </cell>
        </row>
        <row r="38">
          <cell r="A38" t="str">
            <v>10DE-L-Alpenstocks</v>
          </cell>
          <cell r="B38" t="e">
            <v>#N/A</v>
          </cell>
          <cell r="C38" t="str">
            <v>758209850598</v>
          </cell>
        </row>
        <row r="38">
          <cell r="H38">
            <v>4.65</v>
          </cell>
        </row>
        <row r="41">
          <cell r="A41" t="str">
            <v>账号14英国</v>
          </cell>
          <cell r="B41" t="str">
            <v>VAT测试</v>
          </cell>
        </row>
        <row r="42">
          <cell r="A42" t="str">
            <v>14UK-Car Vacuum Cordless</v>
          </cell>
          <cell r="B42" t="str">
            <v>汽车吸尘器</v>
          </cell>
          <cell r="C42" t="str">
            <v>B0FCLQHKPW</v>
          </cell>
          <cell r="D42" t="str">
            <v>X002BWC9JN</v>
          </cell>
          <cell r="E42" t="str">
            <v>B06ZY896ZM</v>
          </cell>
          <cell r="F42" t="str">
            <v>黑色</v>
          </cell>
          <cell r="G42">
            <v>3.26</v>
          </cell>
        </row>
        <row r="42">
          <cell r="K42">
            <v>12</v>
          </cell>
          <cell r="L42">
            <v>1.13</v>
          </cell>
        </row>
        <row r="43">
          <cell r="A43" t="str">
            <v>14UK-Pizza Peel</v>
          </cell>
          <cell r="B43" t="str">
            <v>披萨铲</v>
          </cell>
          <cell r="C43" t="str">
            <v>B0FCKTGFPB</v>
          </cell>
          <cell r="D43" t="str">
            <v>X002BWC1I7</v>
          </cell>
          <cell r="E43" t="str">
            <v>B07GSJKTVM</v>
          </cell>
          <cell r="F43" t="str">
            <v>银色</v>
          </cell>
          <cell r="G43">
            <v>3.26</v>
          </cell>
        </row>
        <row r="43">
          <cell r="K43">
            <v>10</v>
          </cell>
          <cell r="L43">
            <v>1.3</v>
          </cell>
        </row>
        <row r="44">
          <cell r="A44" t="str">
            <v>14UK-Manual Ice Crusher</v>
          </cell>
          <cell r="B44" t="str">
            <v>碎冰机</v>
          </cell>
          <cell r="C44" t="str">
            <v>B0FCL8QKPB</v>
          </cell>
          <cell r="D44" t="str">
            <v>X002BWA5HL</v>
          </cell>
          <cell r="E44" t="str">
            <v>B06Y1VM9RT</v>
          </cell>
          <cell r="F44" t="str">
            <v>银色</v>
          </cell>
          <cell r="G44">
            <v>3.48</v>
          </cell>
        </row>
        <row r="44">
          <cell r="K44">
            <v>6</v>
          </cell>
          <cell r="L44">
            <v>1.8</v>
          </cell>
        </row>
        <row r="47">
          <cell r="A47" t="str">
            <v>03de-H-Brush Set</v>
          </cell>
          <cell r="B47" t="str">
            <v>瓶刷套装</v>
          </cell>
          <cell r="C47" t="str">
            <v>B0DGXFVMRT</v>
          </cell>
        </row>
        <row r="47">
          <cell r="E47" t="str">
            <v>B07G4ZG7L4</v>
          </cell>
        </row>
        <row r="47">
          <cell r="H47">
            <v>3.64</v>
          </cell>
          <cell r="I47">
            <v>2.6133</v>
          </cell>
          <cell r="J47">
            <v>1.5</v>
          </cell>
        </row>
        <row r="48">
          <cell r="A48" t="str">
            <v>03de-H-Towel</v>
          </cell>
          <cell r="B48" t="str">
            <v>超细纤维毛巾-卡其</v>
          </cell>
          <cell r="C48" t="str">
            <v>B0DGXL3SVP</v>
          </cell>
        </row>
        <row r="48">
          <cell r="E48" t="str">
            <v>B01HHSAMOG</v>
          </cell>
        </row>
        <row r="48">
          <cell r="H48">
            <v>2.99</v>
          </cell>
          <cell r="I48">
            <v>2.806368</v>
          </cell>
          <cell r="J48">
            <v>1.5</v>
          </cell>
        </row>
        <row r="49">
          <cell r="A49" t="str">
            <v>03de-Metal Cabinet-71inGry</v>
          </cell>
          <cell r="B49" t="str">
            <v>金属储物柜-灰色
70.86*31.5*15.75 英寸</v>
          </cell>
          <cell r="C49" t="str">
            <v>B0DHRB8XKR</v>
          </cell>
        </row>
        <row r="49">
          <cell r="E49" t="str">
            <v>B076THQBHX</v>
          </cell>
        </row>
        <row r="49">
          <cell r="H49">
            <v>59.91</v>
          </cell>
          <cell r="I49">
            <v>137.914164</v>
          </cell>
          <cell r="J49">
            <v>8</v>
          </cell>
        </row>
        <row r="50">
          <cell r="A50" t="str">
            <v>03de-H- Candle-3x3Ivy3pk</v>
          </cell>
          <cell r="B50" t="str">
            <v>无香蜡烛3件套3*3inch(7.5*7.5cm)-象牙白</v>
          </cell>
          <cell r="C50" t="str">
            <v>B0DGXF8YFC</v>
          </cell>
        </row>
        <row r="50">
          <cell r="E50" t="str">
            <v>B06W2FM8W4</v>
          </cell>
        </row>
        <row r="50">
          <cell r="H50">
            <v>4.03</v>
          </cell>
          <cell r="I50">
            <v>3.559296</v>
          </cell>
          <cell r="J50">
            <v>1.5</v>
          </cell>
        </row>
        <row r="51">
          <cell r="A51" t="str">
            <v>03de-H-Bath Glove-Yelw</v>
          </cell>
          <cell r="B51" t="str">
            <v>宠物脱毛手套</v>
          </cell>
          <cell r="C51" t="str">
            <v>B0DHVJNLV1</v>
          </cell>
        </row>
        <row r="51">
          <cell r="E51" t="str">
            <v>B07Y3CQQ39</v>
          </cell>
        </row>
        <row r="51">
          <cell r="H51">
            <v>2.78</v>
          </cell>
          <cell r="I51">
            <v>3.8781</v>
          </cell>
          <cell r="J51">
            <v>1.5</v>
          </cell>
        </row>
        <row r="52">
          <cell r="A52" t="str">
            <v>03de-Metal Cabinet-71inSlv</v>
          </cell>
          <cell r="B52" t="str">
            <v>金属储物柜-银黑色
70.86*31.5*15.75 英寸</v>
          </cell>
          <cell r="C52" t="str">
            <v>B0DHR9TVYY</v>
          </cell>
        </row>
        <row r="52">
          <cell r="E52" t="str">
            <v>B07BK8W5MF</v>
          </cell>
        </row>
        <row r="52">
          <cell r="H52">
            <v>59.55</v>
          </cell>
          <cell r="I52">
            <v>161.143704</v>
          </cell>
          <cell r="J52">
            <v>8</v>
          </cell>
        </row>
        <row r="53">
          <cell r="A53" t="str">
            <v>03de-H-Shoe Organizer-2Pk</v>
          </cell>
          <cell r="B53" t="str">
            <v>鞋子收纳盒-38*24*6</v>
          </cell>
          <cell r="C53" t="str">
            <v>B0DHRX7M1X</v>
          </cell>
        </row>
        <row r="53">
          <cell r="E53" t="str">
            <v>B07DGLW1R6</v>
          </cell>
        </row>
        <row r="53">
          <cell r="H53">
            <v>4.94</v>
          </cell>
          <cell r="I53">
            <v>7.503612</v>
          </cell>
          <cell r="J53">
            <v>1.5</v>
          </cell>
        </row>
        <row r="54">
          <cell r="A54" t="str">
            <v>03de-H-Towel-Grey</v>
          </cell>
          <cell r="B54" t="str">
            <v>超细纤维毛巾-灰色</v>
          </cell>
          <cell r="C54" t="str">
            <v>B0DHVKDLFR</v>
          </cell>
        </row>
        <row r="54">
          <cell r="E54" t="str">
            <v>B075LKVP7R</v>
          </cell>
        </row>
        <row r="54">
          <cell r="H54">
            <v>2.99</v>
          </cell>
          <cell r="I54">
            <v>3.72</v>
          </cell>
          <cell r="J54">
            <v>1.5</v>
          </cell>
        </row>
        <row r="55">
          <cell r="A55" t="str">
            <v>03de-H-Compre Sock -Bla/L</v>
          </cell>
          <cell r="B55" t="str">
            <v>足底筋膜炎袜-黑色大号</v>
          </cell>
          <cell r="C55" t="str">
            <v>B0DHRBQ7MR</v>
          </cell>
        </row>
        <row r="55">
          <cell r="E55" t="str">
            <v>B01091ZF4K</v>
          </cell>
        </row>
        <row r="55">
          <cell r="H55">
            <v>1.61</v>
          </cell>
          <cell r="I55">
            <v>7.438977</v>
          </cell>
          <cell r="J55">
            <v>1.5</v>
          </cell>
        </row>
        <row r="56">
          <cell r="A56" t="str">
            <v>03de-H-Shoe Horn</v>
          </cell>
          <cell r="B56" t="str">
            <v>金属鞋拔</v>
          </cell>
          <cell r="C56" t="str">
            <v>B0DHVGXTNN</v>
          </cell>
        </row>
        <row r="56">
          <cell r="E56" t="str">
            <v>B07C412KYF</v>
          </cell>
        </row>
        <row r="56">
          <cell r="H56">
            <v>3.52</v>
          </cell>
          <cell r="I56">
            <v>2.6598</v>
          </cell>
          <cell r="J56">
            <v>1.5</v>
          </cell>
        </row>
        <row r="57">
          <cell r="A57" t="str">
            <v>03de-H- Candle-3x6Ivy3pk</v>
          </cell>
          <cell r="B57" t="str">
            <v>无香蜡烛3件套3*6inch(7.5*15cm)-象牙白</v>
          </cell>
          <cell r="C57" t="str">
            <v>B0DGXDLVWZ</v>
          </cell>
        </row>
        <row r="57">
          <cell r="E57" t="str">
            <v>B01N286ZC6</v>
          </cell>
        </row>
        <row r="57">
          <cell r="H57">
            <v>4.23</v>
          </cell>
          <cell r="I57">
            <v>8.658672</v>
          </cell>
          <cell r="J57">
            <v>1.5</v>
          </cell>
        </row>
        <row r="58">
          <cell r="A58" t="str">
            <v>03de-H-Table Mats</v>
          </cell>
          <cell r="B58" t="str">
            <v>桌垫-52*108inch(132*274cm)</v>
          </cell>
          <cell r="C58" t="str">
            <v>B0DGXSZT65</v>
          </cell>
        </row>
        <row r="58">
          <cell r="E58" t="str">
            <v>B01I8Y21S8</v>
          </cell>
        </row>
        <row r="58">
          <cell r="H58">
            <v>5.23</v>
          </cell>
          <cell r="I58">
            <v>10.43832</v>
          </cell>
          <cell r="J58">
            <v>1.5</v>
          </cell>
        </row>
        <row r="59">
          <cell r="A59" t="str">
            <v>03de-H- Candle-3x6Wht3pk</v>
          </cell>
          <cell r="B59" t="str">
            <v>无香蜡烛3件套3*6inch(7.5*15cm)-白色</v>
          </cell>
          <cell r="C59" t="str">
            <v>B0DGXF73BB</v>
          </cell>
        </row>
        <row r="59">
          <cell r="E59" t="str">
            <v>B076F61LBB</v>
          </cell>
        </row>
        <row r="59">
          <cell r="H59">
            <v>4.23</v>
          </cell>
          <cell r="I59">
            <v>5.90364</v>
          </cell>
          <cell r="J59">
            <v>1.5</v>
          </cell>
        </row>
        <row r="60">
          <cell r="A60" t="str">
            <v>03de-H-Pet -blue</v>
          </cell>
          <cell r="B60" t="str">
            <v>宠物美容耙-蓝色</v>
          </cell>
          <cell r="C60" t="str">
            <v>B0DGXPCPDN</v>
          </cell>
        </row>
        <row r="60">
          <cell r="E60" t="str">
            <v>B01EZ7UOCM</v>
          </cell>
        </row>
        <row r="60">
          <cell r="H60">
            <v>2.39</v>
          </cell>
          <cell r="I60">
            <v>2.789256</v>
          </cell>
          <cell r="J60">
            <v>1.5</v>
          </cell>
        </row>
        <row r="61">
          <cell r="A61" t="str">
            <v>03de-H- Roller</v>
          </cell>
          <cell r="B61" t="str">
            <v>玉石滚轮-绿色</v>
          </cell>
          <cell r="C61" t="str">
            <v>B0DGXWR2Y4</v>
          </cell>
        </row>
        <row r="61">
          <cell r="E61" t="str">
            <v>B08GBDVFHX</v>
          </cell>
        </row>
        <row r="61">
          <cell r="H61">
            <v>2.39</v>
          </cell>
          <cell r="I61">
            <v>4.5477</v>
          </cell>
          <cell r="J61">
            <v>1.5</v>
          </cell>
        </row>
        <row r="62">
          <cell r="A62" t="str">
            <v>03de-H-Compre Sock -Bla/XL</v>
          </cell>
          <cell r="B62" t="str">
            <v>足底筋膜炎袜-黑色加大号</v>
          </cell>
          <cell r="C62" t="str">
            <v>B0DHR9JS56</v>
          </cell>
        </row>
        <row r="62">
          <cell r="E62" t="str">
            <v>B010OAIF7U</v>
          </cell>
        </row>
        <row r="62">
          <cell r="H62">
            <v>1.61</v>
          </cell>
          <cell r="I62">
            <v>7.438977</v>
          </cell>
          <cell r="J62">
            <v>1.5</v>
          </cell>
        </row>
        <row r="63">
          <cell r="A63" t="str">
            <v>03de-H-Toenail Nipper-4.9 in</v>
          </cell>
          <cell r="B63" t="str">
            <v>指甲钳800-4.9英寸</v>
          </cell>
          <cell r="C63" t="str">
            <v>B0DHV7SP5J</v>
          </cell>
        </row>
        <row r="63">
          <cell r="E63" t="str">
            <v>B06X99FDT7</v>
          </cell>
        </row>
        <row r="63">
          <cell r="H63">
            <v>1.66</v>
          </cell>
          <cell r="I63">
            <v>3.3387</v>
          </cell>
          <cell r="J63">
            <v>1.5</v>
          </cell>
        </row>
        <row r="64">
          <cell r="A64" t="str">
            <v>03de-H-Toenail Nipper-5 in</v>
          </cell>
          <cell r="B64" t="str">
            <v>指甲钳700-5英寸</v>
          </cell>
          <cell r="C64" t="str">
            <v>B0DHV7ZSWW</v>
          </cell>
        </row>
        <row r="64">
          <cell r="E64" t="str">
            <v>B00WIW6T4Y</v>
          </cell>
        </row>
        <row r="64">
          <cell r="H64">
            <v>1.66</v>
          </cell>
          <cell r="I64">
            <v>2.9202</v>
          </cell>
          <cell r="J64">
            <v>1.5</v>
          </cell>
        </row>
        <row r="65">
          <cell r="A65" t="str">
            <v>03de-H-Beard Bib</v>
          </cell>
          <cell r="B65" t="str">
            <v>胡须围兜-黑色</v>
          </cell>
          <cell r="C65" t="str">
            <v>B0DGXVBLBV</v>
          </cell>
        </row>
        <row r="65">
          <cell r="E65" t="str">
            <v>B01KBA8EAQ</v>
          </cell>
        </row>
        <row r="65">
          <cell r="H65">
            <v>2.39</v>
          </cell>
          <cell r="I65">
            <v>3.191388</v>
          </cell>
          <cell r="J65">
            <v>1.5</v>
          </cell>
        </row>
        <row r="66">
          <cell r="A66" t="str">
            <v>03de-Metal Cabinet-71inBk</v>
          </cell>
          <cell r="B66" t="str">
            <v>金属储物柜-黑色
70.86*31.5*15.75 英寸</v>
          </cell>
          <cell r="C66" t="str">
            <v>B0DHR8Y4JZ</v>
          </cell>
        </row>
        <row r="66">
          <cell r="E66" t="str">
            <v>B07Q3SQT6C</v>
          </cell>
        </row>
        <row r="66">
          <cell r="H66">
            <v>59.91</v>
          </cell>
          <cell r="I66">
            <v>105.863388</v>
          </cell>
          <cell r="J66">
            <v>8</v>
          </cell>
        </row>
        <row r="67">
          <cell r="A67" t="str">
            <v>03de-H- Stock-Bla1pk-S</v>
          </cell>
          <cell r="B67" t="str">
            <v>足底筋膜炎袜-黑色小号</v>
          </cell>
          <cell r="C67" t="str">
            <v>B0DGXVV4PR</v>
          </cell>
        </row>
        <row r="67">
          <cell r="E67" t="str">
            <v>B01091ZLGC</v>
          </cell>
        </row>
        <row r="67">
          <cell r="H67">
            <v>1.8</v>
          </cell>
          <cell r="I67">
            <v>2.48124</v>
          </cell>
          <cell r="J67">
            <v>1.5</v>
          </cell>
        </row>
        <row r="68">
          <cell r="A68" t="str">
            <v>03de-H-Nail Clipper</v>
          </cell>
          <cell r="B68" t="str">
            <v>指甲钳120L-银色</v>
          </cell>
          <cell r="C68" t="str">
            <v>B0DGXSRSN1</v>
          </cell>
        </row>
        <row r="68">
          <cell r="E68" t="str">
            <v>B07KGP9G6N</v>
          </cell>
        </row>
        <row r="68">
          <cell r="H68">
            <v>1.66</v>
          </cell>
          <cell r="I68">
            <v>2.9667</v>
          </cell>
          <cell r="J68">
            <v>1.5</v>
          </cell>
        </row>
        <row r="69">
          <cell r="A69" t="str">
            <v>03de-H-Mop Set</v>
          </cell>
          <cell r="B69" t="str">
            <v>拖把套件</v>
          </cell>
          <cell r="C69" t="str">
            <v>B0DGXQ3NXM</v>
          </cell>
        </row>
        <row r="69">
          <cell r="E69" t="str">
            <v>B01CFIHGLA</v>
          </cell>
        </row>
        <row r="69">
          <cell r="G69" t="str">
            <v>已清理</v>
          </cell>
          <cell r="H69">
            <v>4.94</v>
          </cell>
          <cell r="I69">
            <v>9.11214</v>
          </cell>
          <cell r="J69">
            <v>1.5</v>
          </cell>
        </row>
        <row r="73">
          <cell r="E73" t="str">
            <v>Full Coverage: Unlike exposed side sheet protectors, our zippered mattress encasement king has 3 sealed micro zippers to provide complete coverage, wrapping your mattress from all angles to keep it flat and prevent displacement, protecting the mattress from spills, allergens, dust, and stains</v>
          </cell>
        </row>
        <row r="75">
          <cell r="E75" t="str">
            <v>Comfort: The high-quality zipper and sturdy stitching ensure the durability of the king size waterproof mattress cover, and the surface is made of ultra-fine fibers extracted from natural cotton, making it softer and healthier. The breathable circular fabric surface presents a natural white color without any additional dyes, protecting the sensitive skin of infants, pregnant women, and the elderly</v>
          </cell>
        </row>
        <row r="78">
          <cell r="E78" t="str">
            <v>Easy to Maintain: This premium king bed mattresses protector not only prevents liquids, stains, and allergens on the bed, but also remains stain-resistant and dirt-resistant even when it is white. It can be quickly and conveniently maintained by simply throwing it into the washing machine</v>
          </cell>
        </row>
        <row r="121">
          <cell r="A121" t="str">
            <v>受是攻死对头的孩子，在死对头去世以后，把受捡回来家（见面时受正被别家帮了要卖到不正经的会所去）</v>
          </cell>
        </row>
        <row r="123">
          <cell r="A123" t="str">
            <v>乔时</v>
          </cell>
        </row>
        <row r="124">
          <cell r="A124" t="str">
            <v>赵观澜</v>
          </cell>
        </row>
      </sheetData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审核表格"/>
      <sheetName val="Sheet1"/>
    </sheetNames>
    <sheetDataSet>
      <sheetData sheetId="0">
        <row r="1">
          <cell r="G1" t="str">
            <v>SKU</v>
          </cell>
          <cell r="H1" t="str">
            <v>每箱数量</v>
          </cell>
          <cell r="I1" t="str">
            <v>箱数</v>
          </cell>
          <cell r="J1" t="str">
            <v>备货数量</v>
          </cell>
          <cell r="K1" t="str">
            <v>箱规长（cm)</v>
          </cell>
          <cell r="L1" t="str">
            <v>箱规宽（cm)</v>
          </cell>
          <cell r="M1" t="str">
            <v>箱规高（cm)</v>
          </cell>
          <cell r="N1" t="str">
            <v>每箱重量(kg)</v>
          </cell>
          <cell r="O1" t="str">
            <v>单品单箱体积(立方米）</v>
          </cell>
        </row>
        <row r="2">
          <cell r="G2" t="str">
            <v>HBER002-Q</v>
          </cell>
          <cell r="H2">
            <v>8</v>
          </cell>
          <cell r="I2">
            <v>15</v>
          </cell>
          <cell r="J2">
            <v>120</v>
          </cell>
          <cell r="K2">
            <v>57</v>
          </cell>
          <cell r="L2">
            <v>30</v>
          </cell>
          <cell r="M2">
            <v>36</v>
          </cell>
          <cell r="N2">
            <v>12.3</v>
          </cell>
          <cell r="O2">
            <v>0.06156</v>
          </cell>
        </row>
        <row r="3">
          <cell r="G3" t="str">
            <v>HBER002-TXL</v>
          </cell>
          <cell r="H3">
            <v>10</v>
          </cell>
          <cell r="I3">
            <v>9</v>
          </cell>
          <cell r="J3">
            <v>90</v>
          </cell>
          <cell r="K3">
            <v>57</v>
          </cell>
          <cell r="L3">
            <v>30</v>
          </cell>
          <cell r="M3">
            <v>35</v>
          </cell>
          <cell r="N3">
            <v>11</v>
          </cell>
          <cell r="O3">
            <v>0.05985</v>
          </cell>
        </row>
        <row r="4">
          <cell r="G4" t="str">
            <v>HBER002-K</v>
          </cell>
          <cell r="H4">
            <v>6</v>
          </cell>
          <cell r="I4">
            <v>16</v>
          </cell>
          <cell r="J4">
            <v>96</v>
          </cell>
          <cell r="K4">
            <v>57</v>
          </cell>
          <cell r="L4">
            <v>30</v>
          </cell>
          <cell r="M4">
            <v>35</v>
          </cell>
          <cell r="N4">
            <v>13.1</v>
          </cell>
          <cell r="O4">
            <v>0.05985</v>
          </cell>
        </row>
        <row r="5">
          <cell r="G5" t="str">
            <v>HBER003</v>
          </cell>
          <cell r="H5">
            <v>12</v>
          </cell>
          <cell r="I5">
            <v>13</v>
          </cell>
          <cell r="J5">
            <v>156</v>
          </cell>
          <cell r="K5">
            <v>57</v>
          </cell>
          <cell r="L5">
            <v>30</v>
          </cell>
          <cell r="M5">
            <v>37</v>
          </cell>
          <cell r="N5">
            <v>9.2</v>
          </cell>
          <cell r="O5">
            <v>0.06327</v>
          </cell>
        </row>
        <row r="6">
          <cell r="G6" t="str">
            <v>HBER004-K-6-9</v>
          </cell>
          <cell r="H6">
            <v>6</v>
          </cell>
          <cell r="I6">
            <v>16</v>
          </cell>
          <cell r="J6">
            <v>96</v>
          </cell>
          <cell r="K6">
            <v>61</v>
          </cell>
          <cell r="L6">
            <v>32</v>
          </cell>
          <cell r="M6">
            <v>34</v>
          </cell>
          <cell r="N6">
            <v>11.6</v>
          </cell>
          <cell r="O6">
            <v>0.066368</v>
          </cell>
        </row>
        <row r="7">
          <cell r="G7" t="str">
            <v>HBER004-K-9-12</v>
          </cell>
          <cell r="H7">
            <v>6</v>
          </cell>
          <cell r="I7">
            <v>21</v>
          </cell>
          <cell r="J7">
            <v>126</v>
          </cell>
          <cell r="K7">
            <v>61</v>
          </cell>
          <cell r="L7">
            <v>32</v>
          </cell>
          <cell r="M7">
            <v>34</v>
          </cell>
          <cell r="N7">
            <v>20.5029702970297</v>
          </cell>
          <cell r="O7">
            <v>0.066368</v>
          </cell>
        </row>
        <row r="8">
          <cell r="G8" t="str">
            <v>HBER004-K-12-15</v>
          </cell>
          <cell r="H8">
            <v>6</v>
          </cell>
          <cell r="I8">
            <v>23</v>
          </cell>
          <cell r="J8">
            <v>138</v>
          </cell>
          <cell r="K8">
            <v>61</v>
          </cell>
          <cell r="L8">
            <v>32</v>
          </cell>
          <cell r="M8">
            <v>34</v>
          </cell>
          <cell r="N8">
            <v>13</v>
          </cell>
          <cell r="O8">
            <v>0.066368</v>
          </cell>
        </row>
        <row r="9">
          <cell r="G9" t="str">
            <v>HBER004-K-15-18</v>
          </cell>
          <cell r="H9">
            <v>6</v>
          </cell>
          <cell r="I9">
            <v>21</v>
          </cell>
          <cell r="J9">
            <v>126</v>
          </cell>
          <cell r="K9">
            <v>61</v>
          </cell>
          <cell r="L9">
            <v>32</v>
          </cell>
          <cell r="M9">
            <v>34</v>
          </cell>
          <cell r="N9">
            <v>13.6</v>
          </cell>
          <cell r="O9">
            <v>0.066368</v>
          </cell>
        </row>
        <row r="10">
          <cell r="G10" t="str">
            <v>HBER004-F-6-9</v>
          </cell>
          <cell r="H10">
            <v>8</v>
          </cell>
          <cell r="I10">
            <v>15</v>
          </cell>
          <cell r="J10">
            <v>120</v>
          </cell>
          <cell r="K10">
            <v>57</v>
          </cell>
          <cell r="L10">
            <v>30</v>
          </cell>
          <cell r="M10">
            <v>37</v>
          </cell>
          <cell r="N10">
            <v>5.44217935349324</v>
          </cell>
          <cell r="O10">
            <v>0.06327</v>
          </cell>
        </row>
        <row r="11">
          <cell r="G11" t="str">
            <v>HBER004-F-9-12</v>
          </cell>
          <cell r="H11">
            <v>8</v>
          </cell>
          <cell r="I11">
            <v>18</v>
          </cell>
          <cell r="J11">
            <v>144</v>
          </cell>
          <cell r="K11">
            <v>57</v>
          </cell>
          <cell r="L11">
            <v>30</v>
          </cell>
          <cell r="M11">
            <v>37</v>
          </cell>
          <cell r="N11">
            <v>12</v>
          </cell>
          <cell r="O11">
            <v>0.06327</v>
          </cell>
        </row>
        <row r="12">
          <cell r="G12" t="str">
            <v>HBER004-Q-12-15</v>
          </cell>
          <cell r="H12">
            <v>6</v>
          </cell>
          <cell r="I12">
            <v>44</v>
          </cell>
          <cell r="J12">
            <v>264</v>
          </cell>
          <cell r="K12">
            <v>61</v>
          </cell>
          <cell r="L12">
            <v>32</v>
          </cell>
          <cell r="M12">
            <v>34</v>
          </cell>
          <cell r="N12">
            <v>10.8</v>
          </cell>
          <cell r="O12">
            <v>0.066368</v>
          </cell>
        </row>
        <row r="13">
          <cell r="G13" t="str">
            <v>HBER004-Q-15-18</v>
          </cell>
          <cell r="H13">
            <v>6</v>
          </cell>
          <cell r="I13">
            <v>44</v>
          </cell>
          <cell r="J13">
            <v>264</v>
          </cell>
          <cell r="K13">
            <v>61</v>
          </cell>
          <cell r="L13">
            <v>32</v>
          </cell>
          <cell r="M13">
            <v>34</v>
          </cell>
          <cell r="N13">
            <v>11.2</v>
          </cell>
          <cell r="O13">
            <v>0.066368</v>
          </cell>
        </row>
        <row r="14">
          <cell r="G14" t="str">
            <v>HBER004-T-6-9</v>
          </cell>
          <cell r="H14">
            <v>10</v>
          </cell>
          <cell r="I14">
            <v>10</v>
          </cell>
          <cell r="J14">
            <v>100</v>
          </cell>
          <cell r="K14">
            <v>57</v>
          </cell>
          <cell r="L14">
            <v>30</v>
          </cell>
          <cell r="M14">
            <v>36</v>
          </cell>
          <cell r="N14">
            <v>11.5</v>
          </cell>
          <cell r="O14">
            <v>0.06156</v>
          </cell>
        </row>
        <row r="15">
          <cell r="G15" t="str">
            <v>HBER004-T-9-12</v>
          </cell>
          <cell r="H15">
            <v>10</v>
          </cell>
          <cell r="I15">
            <v>10</v>
          </cell>
          <cell r="J15">
            <v>100</v>
          </cell>
          <cell r="K15">
            <v>57</v>
          </cell>
          <cell r="L15">
            <v>30</v>
          </cell>
          <cell r="M15">
            <v>36</v>
          </cell>
          <cell r="N15">
            <v>12</v>
          </cell>
          <cell r="O15">
            <v>0.06156</v>
          </cell>
        </row>
        <row r="16">
          <cell r="G16" t="str">
            <v>HBER004-T-12-15</v>
          </cell>
          <cell r="H16">
            <v>10</v>
          </cell>
          <cell r="I16">
            <v>10</v>
          </cell>
          <cell r="J16">
            <v>100</v>
          </cell>
          <cell r="K16">
            <v>57</v>
          </cell>
          <cell r="L16">
            <v>30</v>
          </cell>
          <cell r="M16">
            <v>36</v>
          </cell>
          <cell r="N16">
            <v>12.6</v>
          </cell>
          <cell r="O16">
            <v>0.06156</v>
          </cell>
        </row>
        <row r="17">
          <cell r="G17" t="str">
            <v>HBER004-TXL-6-9</v>
          </cell>
          <cell r="H17">
            <v>10</v>
          </cell>
          <cell r="I17">
            <v>10</v>
          </cell>
          <cell r="J17">
            <v>100</v>
          </cell>
          <cell r="K17">
            <v>57</v>
          </cell>
          <cell r="L17">
            <v>30</v>
          </cell>
          <cell r="M17">
            <v>36</v>
          </cell>
          <cell r="N17">
            <v>12</v>
          </cell>
          <cell r="O17">
            <v>0.06156</v>
          </cell>
        </row>
        <row r="18">
          <cell r="G18" t="str">
            <v>HBER004-TXL-9-12</v>
          </cell>
          <cell r="H18">
            <v>10</v>
          </cell>
          <cell r="I18">
            <v>10</v>
          </cell>
          <cell r="J18">
            <v>100</v>
          </cell>
          <cell r="K18">
            <v>57</v>
          </cell>
          <cell r="L18">
            <v>30</v>
          </cell>
          <cell r="M18">
            <v>36</v>
          </cell>
          <cell r="N18">
            <v>12.2</v>
          </cell>
          <cell r="O18">
            <v>0.06156</v>
          </cell>
        </row>
      </sheetData>
      <sheetData sheetId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汇总"/>
      <sheetName val="发货明细汇总"/>
      <sheetName val="贴标要求"/>
      <sheetName val="美西-西邮"/>
      <sheetName val="美南-酷麓"/>
      <sheetName val="美东-西邮"/>
      <sheetName val="DEN8"/>
      <sheetName val="GEU3"/>
      <sheetName val="TCY1 "/>
      <sheetName val="海外仓-Hold"/>
    </sheetNames>
    <sheetDataSet>
      <sheetData sheetId="0"/>
      <sheetData sheetId="1">
        <row r="1">
          <cell r="E1" t="str">
            <v>FNSKU</v>
          </cell>
          <cell r="F1" t="str">
            <v>原ASIN</v>
          </cell>
          <cell r="G1" t="str">
            <v>发货套数</v>
          </cell>
          <cell r="H1" t="str">
            <v>套数/箱</v>
          </cell>
          <cell r="I1" t="str">
            <v>拣货数量</v>
          </cell>
          <cell r="J1" t="str">
            <v>个数/箱</v>
          </cell>
          <cell r="K1" t="str">
            <v>箱数</v>
          </cell>
          <cell r="L1" t="str">
            <v>箱规</v>
          </cell>
          <cell r="M1" t="str">
            <v>单箱体积</v>
          </cell>
          <cell r="N1" t="str">
            <v>单箱重量（kg）</v>
          </cell>
        </row>
        <row r="3">
          <cell r="E3" t="str">
            <v>B003F1TDBS</v>
          </cell>
          <cell r="F3" t="str">
            <v>B003F1TDBS</v>
          </cell>
          <cell r="G3">
            <v>3</v>
          </cell>
          <cell r="H3">
            <v>6</v>
          </cell>
          <cell r="I3">
            <v>3</v>
          </cell>
          <cell r="J3">
            <v>6</v>
          </cell>
          <cell r="K3">
            <v>1</v>
          </cell>
          <cell r="L3" t="str">
            <v>82*45*50</v>
          </cell>
          <cell r="M3">
            <v>0.1845</v>
          </cell>
          <cell r="N3">
            <v>11.4</v>
          </cell>
        </row>
        <row r="4">
          <cell r="E4" t="str">
            <v>B07222V19V</v>
          </cell>
          <cell r="F4" t="str">
            <v>B07222V19V</v>
          </cell>
          <cell r="G4">
            <v>80</v>
          </cell>
          <cell r="H4">
            <v>20</v>
          </cell>
          <cell r="I4">
            <v>80</v>
          </cell>
          <cell r="J4">
            <v>20</v>
          </cell>
          <cell r="K4">
            <v>4</v>
          </cell>
          <cell r="L4" t="str">
            <v>48x35x33CM</v>
          </cell>
          <cell r="M4">
            <v>0.05544</v>
          </cell>
          <cell r="N4">
            <v>20.4</v>
          </cell>
        </row>
        <row r="5">
          <cell r="E5" t="str">
            <v>B07F8VGZQZ</v>
          </cell>
          <cell r="F5" t="str">
            <v>B07F8VGZQZ</v>
          </cell>
          <cell r="G5">
            <v>80</v>
          </cell>
          <cell r="H5">
            <v>8</v>
          </cell>
          <cell r="I5">
            <v>960</v>
          </cell>
          <cell r="J5">
            <v>96</v>
          </cell>
          <cell r="K5">
            <v>10</v>
          </cell>
          <cell r="L5" t="str">
            <v>49.5*37.5*24</v>
          </cell>
          <cell r="M5">
            <v>0.04455</v>
          </cell>
          <cell r="N5">
            <v>17.5</v>
          </cell>
        </row>
        <row r="6">
          <cell r="E6" t="str">
            <v>B08PL6MC7G</v>
          </cell>
          <cell r="F6" t="str">
            <v>B08PL6MC7G</v>
          </cell>
          <cell r="G6">
            <v>60</v>
          </cell>
          <cell r="H6">
            <v>1</v>
          </cell>
          <cell r="I6">
            <v>360</v>
          </cell>
          <cell r="J6">
            <v>6</v>
          </cell>
          <cell r="K6">
            <v>60</v>
          </cell>
          <cell r="L6" t="str">
            <v>42x31x16</v>
          </cell>
          <cell r="M6">
            <v>0.020832</v>
          </cell>
          <cell r="N6">
            <v>3.15</v>
          </cell>
        </row>
        <row r="7">
          <cell r="E7" t="str">
            <v>B0938GY8DW</v>
          </cell>
          <cell r="F7" t="str">
            <v>B0938GY8DW</v>
          </cell>
          <cell r="G7">
            <v>60</v>
          </cell>
          <cell r="H7">
            <v>6</v>
          </cell>
          <cell r="I7">
            <v>360</v>
          </cell>
          <cell r="J7">
            <v>36</v>
          </cell>
          <cell r="K7">
            <v>10</v>
          </cell>
          <cell r="L7" t="str">
            <v>61.5x31.5x36</v>
          </cell>
          <cell r="M7">
            <v>0.069741</v>
          </cell>
          <cell r="N7">
            <v>12.1</v>
          </cell>
        </row>
        <row r="8">
          <cell r="E8" t="str">
            <v>B06ZY896ZM</v>
          </cell>
          <cell r="F8" t="str">
            <v>B06ZY896ZM</v>
          </cell>
          <cell r="G8">
            <v>48</v>
          </cell>
          <cell r="H8">
            <v>12</v>
          </cell>
          <cell r="I8">
            <v>48</v>
          </cell>
          <cell r="J8">
            <v>12</v>
          </cell>
          <cell r="K8">
            <v>4</v>
          </cell>
          <cell r="L8" t="str">
            <v>50*38.7*42.1</v>
          </cell>
          <cell r="M8">
            <v>0.0814635</v>
          </cell>
          <cell r="N8">
            <v>14.2</v>
          </cell>
        </row>
        <row r="9">
          <cell r="E9" t="str">
            <v>B07RGKP59J</v>
          </cell>
          <cell r="F9" t="str">
            <v>B07RGKP59J</v>
          </cell>
          <cell r="G9">
            <v>54</v>
          </cell>
          <cell r="H9">
            <v>6</v>
          </cell>
          <cell r="I9">
            <v>54</v>
          </cell>
          <cell r="J9">
            <v>6</v>
          </cell>
          <cell r="K9">
            <v>9</v>
          </cell>
          <cell r="L9" t="str">
            <v>60.5x44.5x45CM</v>
          </cell>
          <cell r="M9">
            <v>0.12115125</v>
          </cell>
          <cell r="N9">
            <v>10.97</v>
          </cell>
        </row>
        <row r="10">
          <cell r="E10" t="str">
            <v>B07PYRL8QM</v>
          </cell>
          <cell r="F10" t="str">
            <v>B07PYRL8QM</v>
          </cell>
          <cell r="G10">
            <v>45</v>
          </cell>
          <cell r="H10">
            <v>3</v>
          </cell>
          <cell r="I10">
            <v>45</v>
          </cell>
          <cell r="J10">
            <v>3</v>
          </cell>
          <cell r="K10">
            <v>15</v>
          </cell>
          <cell r="L10" t="str">
            <v>56.5x37.5x44.5 CM</v>
          </cell>
          <cell r="M10">
            <v>0.089255875</v>
          </cell>
          <cell r="N10">
            <v>17.3</v>
          </cell>
        </row>
        <row r="11">
          <cell r="E11" t="str">
            <v>B07G4ZG7L4</v>
          </cell>
          <cell r="F11" t="str">
            <v>B07G4ZG7L4</v>
          </cell>
          <cell r="G11">
            <v>96</v>
          </cell>
          <cell r="H11">
            <v>48</v>
          </cell>
          <cell r="I11">
            <v>96</v>
          </cell>
          <cell r="J11">
            <v>48</v>
          </cell>
          <cell r="K11">
            <v>2</v>
          </cell>
          <cell r="L11" t="str">
            <v>59*35*44</v>
          </cell>
          <cell r="M11">
            <v>0.09086</v>
          </cell>
          <cell r="N11">
            <v>8.9</v>
          </cell>
        </row>
        <row r="12">
          <cell r="E12" t="str">
            <v>B089QVBTYD</v>
          </cell>
          <cell r="F12" t="str">
            <v>B089QVBTYD</v>
          </cell>
          <cell r="G12">
            <v>24</v>
          </cell>
          <cell r="H12">
            <v>12</v>
          </cell>
          <cell r="I12">
            <v>24</v>
          </cell>
          <cell r="J12">
            <v>12</v>
          </cell>
          <cell r="K12">
            <v>2</v>
          </cell>
          <cell r="L12" t="str">
            <v>48x37x64CM</v>
          </cell>
          <cell r="M12">
            <v>0.113664</v>
          </cell>
          <cell r="N12">
            <v>17.5</v>
          </cell>
        </row>
        <row r="13">
          <cell r="E13" t="str">
            <v>B078NRXBLN</v>
          </cell>
          <cell r="F13" t="str">
            <v>B078NRXBLN</v>
          </cell>
          <cell r="G13">
            <v>76</v>
          </cell>
          <cell r="H13">
            <v>4</v>
          </cell>
          <cell r="I13">
            <v>76</v>
          </cell>
          <cell r="J13">
            <v>4</v>
          </cell>
          <cell r="K13">
            <v>19</v>
          </cell>
          <cell r="L13" t="str">
            <v>50*41.5*35.5</v>
          </cell>
          <cell r="M13">
            <v>0.0736625</v>
          </cell>
          <cell r="N13">
            <v>7.74</v>
          </cell>
        </row>
        <row r="14">
          <cell r="E14" t="str">
            <v>B00VQFE1MQ</v>
          </cell>
          <cell r="F14" t="str">
            <v>B00VQFE1MQ</v>
          </cell>
          <cell r="G14">
            <v>72</v>
          </cell>
          <cell r="H14">
            <v>72</v>
          </cell>
          <cell r="I14">
            <v>72</v>
          </cell>
          <cell r="J14">
            <v>72</v>
          </cell>
          <cell r="K14">
            <v>1</v>
          </cell>
          <cell r="L14" t="str">
            <v>48x44x36</v>
          </cell>
          <cell r="M14">
            <v>0.076032</v>
          </cell>
          <cell r="N14">
            <v>17</v>
          </cell>
        </row>
        <row r="17">
          <cell r="F17" t="str">
            <v>B003F1TDBS</v>
          </cell>
          <cell r="G17">
            <v>0</v>
          </cell>
          <cell r="H17">
            <v>6</v>
          </cell>
          <cell r="I17">
            <v>0</v>
          </cell>
          <cell r="J17">
            <v>6</v>
          </cell>
          <cell r="K17">
            <v>0</v>
          </cell>
          <cell r="L17" t="str">
            <v>82*45*50</v>
          </cell>
          <cell r="M17">
            <v>0.1845</v>
          </cell>
          <cell r="N17">
            <v>11.4</v>
          </cell>
        </row>
        <row r="18">
          <cell r="F18" t="str">
            <v>B003F2ATV0</v>
          </cell>
          <cell r="G18">
            <v>0</v>
          </cell>
          <cell r="H18">
            <v>6</v>
          </cell>
          <cell r="I18">
            <v>0</v>
          </cell>
          <cell r="J18">
            <v>6</v>
          </cell>
          <cell r="K18">
            <v>0</v>
          </cell>
          <cell r="L18" t="str">
            <v>82*45*50</v>
          </cell>
          <cell r="M18">
            <v>0.1845</v>
          </cell>
          <cell r="N18">
            <v>11.4</v>
          </cell>
        </row>
        <row r="19">
          <cell r="E19" t="str">
            <v>K846-7222V19V</v>
          </cell>
          <cell r="F19" t="str">
            <v>B07222V19V</v>
          </cell>
          <cell r="G19">
            <v>60</v>
          </cell>
          <cell r="H19">
            <v>20</v>
          </cell>
          <cell r="I19">
            <v>60</v>
          </cell>
          <cell r="J19">
            <v>20</v>
          </cell>
          <cell r="K19">
            <v>3</v>
          </cell>
          <cell r="L19" t="str">
            <v>48x35x33CM</v>
          </cell>
          <cell r="M19">
            <v>0.05544</v>
          </cell>
          <cell r="N19">
            <v>20.4</v>
          </cell>
        </row>
        <row r="20">
          <cell r="E20" t="str">
            <v>K846-7F8VGZQZ</v>
          </cell>
          <cell r="F20" t="str">
            <v>B07F8VGZQZ</v>
          </cell>
          <cell r="G20">
            <v>64</v>
          </cell>
          <cell r="H20">
            <v>8</v>
          </cell>
          <cell r="I20">
            <v>768</v>
          </cell>
          <cell r="J20">
            <v>96</v>
          </cell>
          <cell r="K20">
            <v>8</v>
          </cell>
          <cell r="L20" t="str">
            <v>49.5*37.5*24</v>
          </cell>
          <cell r="M20">
            <v>0.04455</v>
          </cell>
          <cell r="N20">
            <v>17.5</v>
          </cell>
        </row>
        <row r="21">
          <cell r="E21" t="str">
            <v>K846-8PL6MC7G</v>
          </cell>
          <cell r="F21" t="str">
            <v>B08PL6MC7G</v>
          </cell>
          <cell r="G21">
            <v>50</v>
          </cell>
          <cell r="H21">
            <v>1</v>
          </cell>
          <cell r="I21">
            <v>300</v>
          </cell>
          <cell r="J21">
            <v>6</v>
          </cell>
          <cell r="K21">
            <v>50</v>
          </cell>
          <cell r="L21" t="str">
            <v>42x31x16</v>
          </cell>
          <cell r="M21">
            <v>0.020832</v>
          </cell>
          <cell r="N21">
            <v>3.15</v>
          </cell>
        </row>
        <row r="22">
          <cell r="E22" t="str">
            <v>K846-938GY8DW</v>
          </cell>
          <cell r="F22" t="str">
            <v>B0938GY8DW</v>
          </cell>
          <cell r="G22">
            <v>60</v>
          </cell>
          <cell r="H22">
            <v>6</v>
          </cell>
          <cell r="I22">
            <v>360</v>
          </cell>
          <cell r="J22">
            <v>36</v>
          </cell>
          <cell r="K22">
            <v>10</v>
          </cell>
          <cell r="L22" t="str">
            <v>61.5x31.5x36</v>
          </cell>
          <cell r="M22">
            <v>0.069741</v>
          </cell>
          <cell r="N22">
            <v>12.1</v>
          </cell>
        </row>
        <row r="23">
          <cell r="E23" t="str">
            <v>K846-6ZY896ZM</v>
          </cell>
          <cell r="F23" t="str">
            <v>B06ZY896ZM</v>
          </cell>
          <cell r="G23">
            <v>48</v>
          </cell>
          <cell r="H23">
            <v>12</v>
          </cell>
          <cell r="I23">
            <v>48</v>
          </cell>
          <cell r="J23">
            <v>12</v>
          </cell>
          <cell r="K23">
            <v>4</v>
          </cell>
          <cell r="L23" t="str">
            <v>50*38.7*42.1</v>
          </cell>
          <cell r="M23">
            <v>0.0814635</v>
          </cell>
          <cell r="N23">
            <v>14.2</v>
          </cell>
        </row>
        <row r="24">
          <cell r="E24" t="str">
            <v>K846-7RGKP59J</v>
          </cell>
          <cell r="F24" t="str">
            <v>B07RGKP59J</v>
          </cell>
          <cell r="G24">
            <v>36</v>
          </cell>
          <cell r="H24">
            <v>6</v>
          </cell>
          <cell r="I24">
            <v>36</v>
          </cell>
          <cell r="J24">
            <v>6</v>
          </cell>
          <cell r="K24">
            <v>6</v>
          </cell>
          <cell r="L24" t="str">
            <v>60.5x44.5x45CM</v>
          </cell>
          <cell r="M24">
            <v>0.12115125</v>
          </cell>
          <cell r="N24">
            <v>10.97</v>
          </cell>
        </row>
        <row r="25">
          <cell r="E25" t="str">
            <v>K846-7PYRL8QM</v>
          </cell>
          <cell r="F25" t="str">
            <v>B07PYRL8QM</v>
          </cell>
          <cell r="G25">
            <v>30</v>
          </cell>
          <cell r="H25">
            <v>3</v>
          </cell>
          <cell r="I25">
            <v>30</v>
          </cell>
          <cell r="J25">
            <v>3</v>
          </cell>
          <cell r="K25">
            <v>10</v>
          </cell>
          <cell r="L25" t="str">
            <v>56.5x37.5x44.5 CM</v>
          </cell>
          <cell r="M25">
            <v>0.089255875</v>
          </cell>
          <cell r="N25">
            <v>17.3</v>
          </cell>
        </row>
        <row r="26">
          <cell r="E26" t="str">
            <v>K846-7G4ZG7L4</v>
          </cell>
          <cell r="F26" t="str">
            <v>B07G4ZG7L4</v>
          </cell>
          <cell r="G26">
            <v>48</v>
          </cell>
          <cell r="H26">
            <v>48</v>
          </cell>
          <cell r="I26">
            <v>48</v>
          </cell>
          <cell r="J26">
            <v>48</v>
          </cell>
          <cell r="K26">
            <v>1</v>
          </cell>
          <cell r="L26" t="str">
            <v>59*35*44</v>
          </cell>
          <cell r="M26">
            <v>0.09086</v>
          </cell>
          <cell r="N26">
            <v>8.9</v>
          </cell>
        </row>
        <row r="27">
          <cell r="E27" t="str">
            <v>K846-89QVBTYD</v>
          </cell>
          <cell r="F27" t="str">
            <v>B089QVBTYD</v>
          </cell>
          <cell r="G27">
            <v>24</v>
          </cell>
          <cell r="H27">
            <v>12</v>
          </cell>
          <cell r="I27">
            <v>24</v>
          </cell>
          <cell r="J27">
            <v>12</v>
          </cell>
          <cell r="K27">
            <v>2</v>
          </cell>
          <cell r="L27" t="str">
            <v>48x37x64CM</v>
          </cell>
          <cell r="M27">
            <v>0.113664</v>
          </cell>
          <cell r="N27">
            <v>17.5</v>
          </cell>
        </row>
        <row r="28">
          <cell r="E28" t="str">
            <v>K846-78NRXBLN</v>
          </cell>
          <cell r="F28" t="str">
            <v>B078NRXBLN</v>
          </cell>
          <cell r="G28">
            <v>60</v>
          </cell>
          <cell r="H28">
            <v>4</v>
          </cell>
          <cell r="I28">
            <v>60</v>
          </cell>
          <cell r="J28">
            <v>4</v>
          </cell>
          <cell r="K28">
            <v>15</v>
          </cell>
          <cell r="L28" t="str">
            <v>50*41.5*35.5</v>
          </cell>
          <cell r="M28">
            <v>0.0736625</v>
          </cell>
          <cell r="N28">
            <v>7.74</v>
          </cell>
        </row>
        <row r="29">
          <cell r="E29" t="str">
            <v>K846-0VQFE1MQ</v>
          </cell>
          <cell r="F29" t="str">
            <v>B00VQFE1MQ</v>
          </cell>
          <cell r="G29">
            <v>72</v>
          </cell>
          <cell r="H29">
            <v>72</v>
          </cell>
          <cell r="I29">
            <v>72</v>
          </cell>
          <cell r="J29">
            <v>72</v>
          </cell>
          <cell r="K29">
            <v>1</v>
          </cell>
          <cell r="L29" t="str">
            <v>48x44x36</v>
          </cell>
          <cell r="M29">
            <v>0.076032</v>
          </cell>
          <cell r="N29">
            <v>17</v>
          </cell>
        </row>
        <row r="32">
          <cell r="E32" t="str">
            <v>B003F1TDBS</v>
          </cell>
          <cell r="F32" t="str">
            <v>B003F1TDBS</v>
          </cell>
          <cell r="G32">
            <v>3</v>
          </cell>
          <cell r="H32">
            <v>6</v>
          </cell>
          <cell r="I32">
            <v>3</v>
          </cell>
          <cell r="J32">
            <v>6</v>
          </cell>
          <cell r="K32">
            <v>1</v>
          </cell>
          <cell r="L32" t="str">
            <v>82*45*50</v>
          </cell>
          <cell r="M32">
            <v>0.1845</v>
          </cell>
          <cell r="N32">
            <v>11.4</v>
          </cell>
        </row>
        <row r="33">
          <cell r="E33" t="str">
            <v>B07222V19V</v>
          </cell>
          <cell r="F33" t="str">
            <v>B07222V19V</v>
          </cell>
          <cell r="G33">
            <v>100</v>
          </cell>
          <cell r="H33">
            <v>20</v>
          </cell>
          <cell r="I33">
            <v>100</v>
          </cell>
          <cell r="J33">
            <v>20</v>
          </cell>
          <cell r="K33">
            <v>5</v>
          </cell>
          <cell r="L33" t="str">
            <v>48x35x33CM</v>
          </cell>
          <cell r="M33">
            <v>0.05544</v>
          </cell>
          <cell r="N33">
            <v>20.4</v>
          </cell>
        </row>
        <row r="34">
          <cell r="E34" t="str">
            <v>B07F8VGZQZ</v>
          </cell>
          <cell r="F34" t="str">
            <v>B07F8VGZQZ</v>
          </cell>
          <cell r="G34">
            <v>88</v>
          </cell>
          <cell r="H34">
            <v>8</v>
          </cell>
          <cell r="I34">
            <v>1056</v>
          </cell>
          <cell r="J34">
            <v>96</v>
          </cell>
          <cell r="K34">
            <v>11</v>
          </cell>
          <cell r="L34" t="str">
            <v>49.5*37.5*24</v>
          </cell>
          <cell r="M34">
            <v>0.04455</v>
          </cell>
          <cell r="N34">
            <v>17.5</v>
          </cell>
        </row>
        <row r="35">
          <cell r="E35" t="str">
            <v>B08PL6MC7G</v>
          </cell>
          <cell r="F35" t="str">
            <v>B08PL6MC7G</v>
          </cell>
          <cell r="G35">
            <v>100</v>
          </cell>
          <cell r="H35">
            <v>1</v>
          </cell>
          <cell r="I35">
            <v>600</v>
          </cell>
          <cell r="J35">
            <v>6</v>
          </cell>
          <cell r="K35">
            <v>100</v>
          </cell>
          <cell r="L35" t="str">
            <v>42x31x16</v>
          </cell>
          <cell r="M35">
            <v>0.020832</v>
          </cell>
          <cell r="N35">
            <v>3.15</v>
          </cell>
        </row>
        <row r="36">
          <cell r="E36" t="str">
            <v>B0938GY8DW</v>
          </cell>
          <cell r="F36" t="str">
            <v>B0938GY8DW</v>
          </cell>
          <cell r="G36">
            <v>0</v>
          </cell>
          <cell r="H36">
            <v>6</v>
          </cell>
          <cell r="I36">
            <v>0</v>
          </cell>
          <cell r="J36">
            <v>36</v>
          </cell>
          <cell r="K36">
            <v>0</v>
          </cell>
          <cell r="L36" t="str">
            <v>61.5x31.5x36</v>
          </cell>
          <cell r="M36">
            <v>0.069741</v>
          </cell>
          <cell r="N36">
            <v>12.1</v>
          </cell>
        </row>
        <row r="37">
          <cell r="E37" t="str">
            <v>B06ZY896ZM</v>
          </cell>
          <cell r="F37" t="str">
            <v>B06ZY896ZM</v>
          </cell>
          <cell r="G37">
            <v>48</v>
          </cell>
          <cell r="H37">
            <v>12</v>
          </cell>
          <cell r="I37">
            <v>48</v>
          </cell>
          <cell r="J37">
            <v>12</v>
          </cell>
          <cell r="K37">
            <v>4</v>
          </cell>
          <cell r="L37" t="str">
            <v>50*38.7*42.1</v>
          </cell>
          <cell r="M37">
            <v>0.0814635</v>
          </cell>
          <cell r="N37">
            <v>14.2</v>
          </cell>
        </row>
        <row r="38">
          <cell r="E38" t="str">
            <v>B07RGKP59J</v>
          </cell>
          <cell r="F38" t="str">
            <v>B07RGKP59J</v>
          </cell>
          <cell r="G38">
            <v>60</v>
          </cell>
          <cell r="H38">
            <v>6</v>
          </cell>
          <cell r="I38">
            <v>60</v>
          </cell>
          <cell r="J38">
            <v>6</v>
          </cell>
          <cell r="K38">
            <v>10</v>
          </cell>
          <cell r="L38" t="str">
            <v>60.5x44.5x45CM</v>
          </cell>
          <cell r="M38">
            <v>0.12115125</v>
          </cell>
          <cell r="N38">
            <v>10.97</v>
          </cell>
        </row>
        <row r="39">
          <cell r="E39" t="str">
            <v>B07PYRL8QM</v>
          </cell>
          <cell r="F39" t="str">
            <v>B07PYRL8QM</v>
          </cell>
          <cell r="G39">
            <v>45</v>
          </cell>
          <cell r="H39">
            <v>3</v>
          </cell>
          <cell r="I39">
            <v>45</v>
          </cell>
          <cell r="J39">
            <v>3</v>
          </cell>
          <cell r="K39">
            <v>15</v>
          </cell>
          <cell r="L39" t="str">
            <v>56.5x37.5x44.5CM</v>
          </cell>
          <cell r="M39">
            <v>0.089255875</v>
          </cell>
          <cell r="N39">
            <v>17.3</v>
          </cell>
        </row>
        <row r="40">
          <cell r="E40" t="str">
            <v>B07G4ZG7L4</v>
          </cell>
          <cell r="F40" t="str">
            <v>B07G4ZG7L4</v>
          </cell>
          <cell r="G40">
            <v>96</v>
          </cell>
          <cell r="H40">
            <v>48</v>
          </cell>
          <cell r="I40">
            <v>96</v>
          </cell>
          <cell r="J40">
            <v>48</v>
          </cell>
          <cell r="K40">
            <v>2</v>
          </cell>
          <cell r="L40" t="str">
            <v>59*35*44</v>
          </cell>
          <cell r="M40">
            <v>0.09086</v>
          </cell>
          <cell r="N40">
            <v>8.9</v>
          </cell>
        </row>
        <row r="41">
          <cell r="E41" t="str">
            <v>B089QVBTYD</v>
          </cell>
          <cell r="F41" t="str">
            <v>B089QVBTYD</v>
          </cell>
          <cell r="G41">
            <v>24</v>
          </cell>
          <cell r="H41">
            <v>12</v>
          </cell>
          <cell r="I41">
            <v>24</v>
          </cell>
          <cell r="J41">
            <v>12</v>
          </cell>
          <cell r="K41">
            <v>2</v>
          </cell>
          <cell r="L41" t="str">
            <v>48x37x64CM</v>
          </cell>
          <cell r="M41">
            <v>0.113664</v>
          </cell>
          <cell r="N41">
            <v>17.5</v>
          </cell>
        </row>
        <row r="42">
          <cell r="E42" t="str">
            <v>B078NRXBLN</v>
          </cell>
          <cell r="F42" t="str">
            <v>B078NRXBLN</v>
          </cell>
          <cell r="G42">
            <v>64</v>
          </cell>
          <cell r="H42">
            <v>4</v>
          </cell>
          <cell r="I42">
            <v>64</v>
          </cell>
          <cell r="J42">
            <v>4</v>
          </cell>
          <cell r="K42">
            <v>16</v>
          </cell>
          <cell r="L42" t="str">
            <v>50*41.5*35.5</v>
          </cell>
          <cell r="M42">
            <v>0.0736625</v>
          </cell>
          <cell r="N42">
            <v>7.74</v>
          </cell>
        </row>
        <row r="43">
          <cell r="E43" t="str">
            <v>B00VQFE1MQ</v>
          </cell>
          <cell r="F43" t="str">
            <v>B00VQFE1MQ</v>
          </cell>
          <cell r="G43">
            <v>72</v>
          </cell>
          <cell r="H43">
            <v>72</v>
          </cell>
          <cell r="I43">
            <v>72</v>
          </cell>
          <cell r="J43">
            <v>72</v>
          </cell>
          <cell r="K43">
            <v>1</v>
          </cell>
          <cell r="L43" t="str">
            <v>48x44x36</v>
          </cell>
          <cell r="M43">
            <v>0.076032</v>
          </cell>
          <cell r="N43">
            <v>17</v>
          </cell>
        </row>
        <row r="47">
          <cell r="E47" t="str">
            <v>X004L176ZH</v>
          </cell>
          <cell r="F47" t="str">
            <v>B003F1PRFO</v>
          </cell>
          <cell r="G47">
            <v>30</v>
          </cell>
          <cell r="H47">
            <v>6</v>
          </cell>
          <cell r="I47">
            <v>30</v>
          </cell>
          <cell r="J47">
            <v>6</v>
          </cell>
          <cell r="K47">
            <v>5</v>
          </cell>
          <cell r="L47" t="str">
            <v>82*45*50</v>
          </cell>
          <cell r="M47">
            <v>0.1845</v>
          </cell>
          <cell r="N47">
            <v>11.4</v>
          </cell>
        </row>
        <row r="48">
          <cell r="E48" t="str">
            <v>X004L1JCNB</v>
          </cell>
          <cell r="F48" t="str">
            <v>B003F1TDBS</v>
          </cell>
          <cell r="G48">
            <v>30</v>
          </cell>
          <cell r="H48">
            <v>6</v>
          </cell>
          <cell r="I48">
            <v>30</v>
          </cell>
          <cell r="J48">
            <v>6</v>
          </cell>
          <cell r="K48">
            <v>5</v>
          </cell>
          <cell r="L48" t="str">
            <v>82*45*50</v>
          </cell>
          <cell r="M48">
            <v>0.1845</v>
          </cell>
          <cell r="N48">
            <v>11.4</v>
          </cell>
        </row>
        <row r="49">
          <cell r="E49" t="str">
            <v>X004L1720V</v>
          </cell>
          <cell r="F49" t="str">
            <v>B003F2ATV0</v>
          </cell>
          <cell r="G49">
            <v>30</v>
          </cell>
          <cell r="H49">
            <v>6</v>
          </cell>
          <cell r="I49">
            <v>30</v>
          </cell>
          <cell r="J49">
            <v>6</v>
          </cell>
          <cell r="K49">
            <v>5</v>
          </cell>
          <cell r="L49" t="str">
            <v>82*45*50</v>
          </cell>
          <cell r="M49">
            <v>0.1845</v>
          </cell>
          <cell r="N49">
            <v>11.4</v>
          </cell>
        </row>
        <row r="50">
          <cell r="E50" t="str">
            <v>X004L1I4HB</v>
          </cell>
          <cell r="F50" t="str">
            <v>B003F274FY</v>
          </cell>
          <cell r="G50">
            <v>18</v>
          </cell>
          <cell r="H50">
            <v>6</v>
          </cell>
          <cell r="I50">
            <v>18</v>
          </cell>
          <cell r="J50">
            <v>6</v>
          </cell>
          <cell r="K50">
            <v>3</v>
          </cell>
          <cell r="L50" t="str">
            <v>82*45*50</v>
          </cell>
          <cell r="M50">
            <v>0.1845</v>
          </cell>
          <cell r="N50">
            <v>11.4</v>
          </cell>
        </row>
        <row r="51">
          <cell r="E51" t="str">
            <v>X004KXWM41</v>
          </cell>
          <cell r="F51" t="str">
            <v>B007ESVCR6</v>
          </cell>
          <cell r="G51">
            <v>12</v>
          </cell>
          <cell r="H51">
            <v>1</v>
          </cell>
          <cell r="I51">
            <v>12</v>
          </cell>
          <cell r="J51">
            <v>1</v>
          </cell>
          <cell r="K51">
            <v>12</v>
          </cell>
          <cell r="L51" t="str">
            <v>137*27*48</v>
          </cell>
          <cell r="M51">
            <v>0.178</v>
          </cell>
          <cell r="N51">
            <v>8.6</v>
          </cell>
        </row>
        <row r="52">
          <cell r="E52" t="str">
            <v>X004KXB2M9</v>
          </cell>
          <cell r="F52" t="str">
            <v>B0051HN2PW</v>
          </cell>
          <cell r="G52">
            <v>10</v>
          </cell>
          <cell r="H52">
            <v>1</v>
          </cell>
          <cell r="I52">
            <v>10</v>
          </cell>
          <cell r="J52">
            <v>1</v>
          </cell>
          <cell r="K52">
            <v>10</v>
          </cell>
          <cell r="L52" t="str">
            <v>137*27*48</v>
          </cell>
          <cell r="M52">
            <v>0.178</v>
          </cell>
          <cell r="N52">
            <v>8.6</v>
          </cell>
        </row>
        <row r="53">
          <cell r="E53" t="str">
            <v>X004KXK87J</v>
          </cell>
          <cell r="F53" t="str">
            <v>B0051HNHES</v>
          </cell>
          <cell r="G53">
            <v>12</v>
          </cell>
          <cell r="H53">
            <v>1</v>
          </cell>
          <cell r="I53">
            <v>12</v>
          </cell>
          <cell r="J53">
            <v>1</v>
          </cell>
          <cell r="K53">
            <v>12</v>
          </cell>
          <cell r="L53" t="str">
            <v>137*27*48</v>
          </cell>
          <cell r="M53">
            <v>0.178</v>
          </cell>
          <cell r="N53">
            <v>7.7</v>
          </cell>
        </row>
        <row r="54">
          <cell r="E54" t="str">
            <v>X004L17AVR</v>
          </cell>
          <cell r="F54" t="str">
            <v>B0051UYM2G</v>
          </cell>
          <cell r="G54">
            <v>12</v>
          </cell>
          <cell r="H54">
            <v>6</v>
          </cell>
          <cell r="I54">
            <v>12</v>
          </cell>
          <cell r="J54">
            <v>6</v>
          </cell>
          <cell r="K54">
            <v>2</v>
          </cell>
          <cell r="L54" t="str">
            <v>88*49*57</v>
          </cell>
          <cell r="M54">
            <v>0.245784</v>
          </cell>
          <cell r="N54">
            <v>22.7</v>
          </cell>
        </row>
        <row r="55">
          <cell r="E55" t="str">
            <v>X004L17VDJ</v>
          </cell>
          <cell r="F55" t="str">
            <v>B07V5XBJZK</v>
          </cell>
          <cell r="G55">
            <v>130</v>
          </cell>
          <cell r="H55">
            <v>10</v>
          </cell>
          <cell r="I55">
            <v>130</v>
          </cell>
          <cell r="J55">
            <v>10</v>
          </cell>
          <cell r="K55">
            <v>13</v>
          </cell>
          <cell r="L55" t="str">
            <v>45*31*45</v>
          </cell>
          <cell r="M55">
            <v>0.062775</v>
          </cell>
          <cell r="N55">
            <v>9</v>
          </cell>
        </row>
        <row r="56">
          <cell r="E56" t="str">
            <v>X004L1JPTH</v>
          </cell>
          <cell r="F56" t="str">
            <v>B00I0BVP9Q</v>
          </cell>
          <cell r="G56">
            <v>240</v>
          </cell>
          <cell r="H56">
            <v>30</v>
          </cell>
          <cell r="I56">
            <v>240</v>
          </cell>
          <cell r="J56">
            <v>30</v>
          </cell>
          <cell r="K56">
            <v>8</v>
          </cell>
          <cell r="L56" t="str">
            <v>44.4x37.6x38.4</v>
          </cell>
          <cell r="M56">
            <v>0.064106496</v>
          </cell>
          <cell r="N56">
            <v>12.6</v>
          </cell>
        </row>
        <row r="57">
          <cell r="E57" t="str">
            <v>X004KXY311</v>
          </cell>
          <cell r="F57" t="str">
            <v>B01H60SXAK</v>
          </cell>
          <cell r="G57">
            <v>60</v>
          </cell>
          <cell r="H57">
            <v>20</v>
          </cell>
          <cell r="I57">
            <v>60</v>
          </cell>
          <cell r="J57">
            <v>20</v>
          </cell>
          <cell r="K57">
            <v>3</v>
          </cell>
          <cell r="L57" t="str">
            <v>61x28x42</v>
          </cell>
          <cell r="M57">
            <v>0.128</v>
          </cell>
          <cell r="N57">
            <v>14.6</v>
          </cell>
        </row>
        <row r="58">
          <cell r="E58" t="str">
            <v>X004NI88L9</v>
          </cell>
          <cell r="F58" t="str">
            <v>B004BA8UWA</v>
          </cell>
          <cell r="G58">
            <v>70</v>
          </cell>
          <cell r="H58">
            <v>10</v>
          </cell>
          <cell r="I58">
            <v>70</v>
          </cell>
          <cell r="J58">
            <v>10</v>
          </cell>
          <cell r="K58">
            <v>7</v>
          </cell>
          <cell r="L58" t="str">
            <v>57x30x36CM</v>
          </cell>
          <cell r="M58">
            <v>0.06156</v>
          </cell>
          <cell r="N58">
            <v>12</v>
          </cell>
        </row>
        <row r="59">
          <cell r="E59" t="str">
            <v>X004NIIT7R</v>
          </cell>
          <cell r="F59" t="str">
            <v>B004VMYD92</v>
          </cell>
          <cell r="G59">
            <v>80</v>
          </cell>
          <cell r="H59">
            <v>10</v>
          </cell>
          <cell r="I59">
            <v>80</v>
          </cell>
          <cell r="J59">
            <v>10</v>
          </cell>
          <cell r="K59">
            <v>8</v>
          </cell>
          <cell r="L59" t="str">
            <v>57x30x36CM</v>
          </cell>
          <cell r="M59">
            <v>0.06156</v>
          </cell>
          <cell r="N59">
            <v>12</v>
          </cell>
        </row>
        <row r="60">
          <cell r="E60" t="str">
            <v>X004NIIUHB</v>
          </cell>
          <cell r="F60" t="str">
            <v>B00B50IA56</v>
          </cell>
          <cell r="G60">
            <v>70</v>
          </cell>
          <cell r="H60">
            <v>10</v>
          </cell>
          <cell r="I60">
            <v>70</v>
          </cell>
          <cell r="J60">
            <v>10</v>
          </cell>
          <cell r="K60">
            <v>7</v>
          </cell>
          <cell r="L60" t="str">
            <v>57x30x36CM</v>
          </cell>
          <cell r="M60">
            <v>0.06156</v>
          </cell>
          <cell r="N60">
            <v>12</v>
          </cell>
        </row>
        <row r="61">
          <cell r="E61" t="str">
            <v>X004NI9VEH</v>
          </cell>
          <cell r="F61" t="str">
            <v>B004BAB1RG</v>
          </cell>
          <cell r="G61">
            <v>40</v>
          </cell>
          <cell r="H61">
            <v>8</v>
          </cell>
          <cell r="I61">
            <v>40</v>
          </cell>
          <cell r="J61">
            <v>8</v>
          </cell>
          <cell r="K61">
            <v>5</v>
          </cell>
          <cell r="L61" t="str">
            <v>57x30x37CM</v>
          </cell>
          <cell r="M61">
            <v>0.06327</v>
          </cell>
          <cell r="N61">
            <v>12</v>
          </cell>
        </row>
        <row r="62">
          <cell r="E62" t="str">
            <v>X004NI8BST</v>
          </cell>
          <cell r="F62" t="str">
            <v>B004BACOYU</v>
          </cell>
          <cell r="G62">
            <v>54</v>
          </cell>
          <cell r="H62">
            <v>6</v>
          </cell>
          <cell r="I62">
            <v>54</v>
          </cell>
          <cell r="J62">
            <v>6</v>
          </cell>
          <cell r="K62">
            <v>9</v>
          </cell>
          <cell r="L62" t="str">
            <v>61x32x34CM</v>
          </cell>
          <cell r="M62">
            <v>0.066368</v>
          </cell>
          <cell r="N62">
            <v>12</v>
          </cell>
        </row>
        <row r="64">
          <cell r="E64" t="str">
            <v>X004BESKI1</v>
          </cell>
          <cell r="F64" t="str">
            <v>B0070OUZ9G</v>
          </cell>
          <cell r="G64">
            <v>17</v>
          </cell>
          <cell r="H64">
            <v>1</v>
          </cell>
          <cell r="I64">
            <v>17</v>
          </cell>
          <cell r="J64">
            <v>1</v>
          </cell>
          <cell r="K64">
            <v>17</v>
          </cell>
          <cell r="L64" t="str">
            <v>137*34*48</v>
          </cell>
          <cell r="M64">
            <v>0.223584</v>
          </cell>
          <cell r="N64">
            <v>9</v>
          </cell>
        </row>
        <row r="65">
          <cell r="E65" t="str">
            <v>X004CMBJLR</v>
          </cell>
          <cell r="F65" t="str">
            <v>B00EOYKGH0</v>
          </cell>
          <cell r="G65">
            <v>10</v>
          </cell>
          <cell r="H65">
            <v>10</v>
          </cell>
          <cell r="I65">
            <v>10</v>
          </cell>
          <cell r="J65">
            <v>10</v>
          </cell>
          <cell r="K65">
            <v>1</v>
          </cell>
          <cell r="L65" t="str">
            <v>82*74*50</v>
          </cell>
          <cell r="M65">
            <v>0.3034</v>
          </cell>
          <cell r="N65">
            <v>23.6</v>
          </cell>
        </row>
        <row r="68">
          <cell r="E68" t="str">
            <v>X004DBWEE3</v>
          </cell>
          <cell r="F68" t="str">
            <v>B06Y97NVKZ</v>
          </cell>
          <cell r="G68">
            <v>128</v>
          </cell>
          <cell r="H68">
            <v>16</v>
          </cell>
          <cell r="I68">
            <v>128</v>
          </cell>
          <cell r="J68">
            <v>16</v>
          </cell>
          <cell r="K68">
            <v>8</v>
          </cell>
          <cell r="L68" t="str">
            <v>61x61x46</v>
          </cell>
          <cell r="M68">
            <v>0.17</v>
          </cell>
          <cell r="N68">
            <v>6.4</v>
          </cell>
        </row>
        <row r="69">
          <cell r="E69" t="str">
            <v>X004DALQCZ</v>
          </cell>
          <cell r="F69" t="str">
            <v>B08BBFJ84H</v>
          </cell>
          <cell r="G69">
            <v>180</v>
          </cell>
          <cell r="H69">
            <v>4</v>
          </cell>
          <cell r="I69">
            <v>180</v>
          </cell>
          <cell r="J69">
            <v>4</v>
          </cell>
          <cell r="K69">
            <v>45</v>
          </cell>
          <cell r="L69" t="str">
            <v>44*31.5*56</v>
          </cell>
          <cell r="M69">
            <v>0.077616</v>
          </cell>
          <cell r="N69">
            <v>15</v>
          </cell>
        </row>
        <row r="72">
          <cell r="E72" t="str">
            <v>X004L1JCNB</v>
          </cell>
          <cell r="F72" t="str">
            <v>B003F1TDBS</v>
          </cell>
          <cell r="G72">
            <v>18</v>
          </cell>
          <cell r="H72">
            <v>6</v>
          </cell>
          <cell r="I72">
            <v>18</v>
          </cell>
          <cell r="J72">
            <v>6</v>
          </cell>
          <cell r="K72">
            <v>3</v>
          </cell>
          <cell r="L72" t="str">
            <v>82*45*50</v>
          </cell>
          <cell r="M72">
            <v>0.1845</v>
          </cell>
          <cell r="N72">
            <v>11.4</v>
          </cell>
        </row>
        <row r="73">
          <cell r="E73" t="str">
            <v>X004L1720V</v>
          </cell>
          <cell r="F73" t="str">
            <v>B003F2ATV0</v>
          </cell>
          <cell r="G73">
            <v>24</v>
          </cell>
          <cell r="H73">
            <v>6</v>
          </cell>
          <cell r="I73">
            <v>24</v>
          </cell>
          <cell r="J73">
            <v>6</v>
          </cell>
          <cell r="K73">
            <v>4</v>
          </cell>
          <cell r="L73" t="str">
            <v>82*45*50</v>
          </cell>
          <cell r="M73">
            <v>0.1845</v>
          </cell>
          <cell r="N73">
            <v>11.4</v>
          </cell>
        </row>
        <row r="74">
          <cell r="E74" t="str">
            <v>X004DALIOL</v>
          </cell>
          <cell r="F74" t="str">
            <v>B0744CQYJD</v>
          </cell>
          <cell r="G74">
            <v>300</v>
          </cell>
          <cell r="H74">
            <v>6</v>
          </cell>
          <cell r="I74">
            <v>300</v>
          </cell>
          <cell r="J74">
            <v>6</v>
          </cell>
          <cell r="K74">
            <v>50</v>
          </cell>
          <cell r="L74" t="str">
            <v>35*28*25</v>
          </cell>
          <cell r="M74">
            <v>0.0245</v>
          </cell>
          <cell r="N74">
            <v>6.09</v>
          </cell>
        </row>
        <row r="75">
          <cell r="E75" t="str">
            <v>X004DALER7</v>
          </cell>
          <cell r="F75" t="str">
            <v>B07XQGHVBD</v>
          </cell>
          <cell r="G75">
            <v>300</v>
          </cell>
          <cell r="H75">
            <v>6</v>
          </cell>
          <cell r="I75">
            <v>300</v>
          </cell>
          <cell r="J75">
            <v>6</v>
          </cell>
          <cell r="K75">
            <v>50</v>
          </cell>
          <cell r="L75" t="str">
            <v>35*28*25</v>
          </cell>
          <cell r="M75">
            <v>0.0245</v>
          </cell>
          <cell r="N75">
            <v>6.09</v>
          </cell>
        </row>
        <row r="76">
          <cell r="E76" t="str">
            <v>X004DBMWE5</v>
          </cell>
          <cell r="F76" t="str">
            <v>B07W45VJP8</v>
          </cell>
          <cell r="G76">
            <v>120</v>
          </cell>
          <cell r="H76">
            <v>40</v>
          </cell>
          <cell r="I76">
            <v>120</v>
          </cell>
          <cell r="J76">
            <v>40</v>
          </cell>
          <cell r="K76">
            <v>3</v>
          </cell>
          <cell r="L76" t="str">
            <v>42.5x42.5x38</v>
          </cell>
          <cell r="M76">
            <v>0.07</v>
          </cell>
          <cell r="N76">
            <v>13.8</v>
          </cell>
        </row>
        <row r="77">
          <cell r="E77" t="str">
            <v>X004DBWEE3</v>
          </cell>
          <cell r="F77" t="str">
            <v>B06Y97NVKZ</v>
          </cell>
          <cell r="G77">
            <v>96</v>
          </cell>
          <cell r="H77">
            <v>16</v>
          </cell>
          <cell r="I77">
            <v>96</v>
          </cell>
          <cell r="J77">
            <v>16</v>
          </cell>
          <cell r="K77">
            <v>6</v>
          </cell>
          <cell r="L77" t="str">
            <v>61x61x46</v>
          </cell>
          <cell r="M77">
            <v>0.17</v>
          </cell>
          <cell r="N77">
            <v>6.4</v>
          </cell>
        </row>
        <row r="78">
          <cell r="E78" t="str">
            <v>X0046NZ16L</v>
          </cell>
          <cell r="F78" t="str">
            <v>B08PL6MC7G</v>
          </cell>
          <cell r="G78">
            <v>230</v>
          </cell>
          <cell r="H78">
            <v>1</v>
          </cell>
          <cell r="I78">
            <v>1380</v>
          </cell>
          <cell r="J78">
            <v>6</v>
          </cell>
          <cell r="K78">
            <v>230</v>
          </cell>
          <cell r="L78" t="str">
            <v>42x31x16</v>
          </cell>
          <cell r="M78">
            <v>0.020832</v>
          </cell>
          <cell r="N78">
            <v>3.15</v>
          </cell>
        </row>
        <row r="79">
          <cell r="E79" t="str">
            <v>X0046QLNID</v>
          </cell>
          <cell r="F79" t="str">
            <v>B0938GY8DW</v>
          </cell>
          <cell r="G79">
            <v>180</v>
          </cell>
          <cell r="H79">
            <v>6</v>
          </cell>
          <cell r="I79">
            <v>1080</v>
          </cell>
          <cell r="J79">
            <v>36</v>
          </cell>
          <cell r="K79">
            <v>30</v>
          </cell>
          <cell r="L79" t="str">
            <v>61.5*31.5*36cm</v>
          </cell>
          <cell r="M79">
            <v>0.00193725</v>
          </cell>
          <cell r="N79">
            <v>69.12</v>
          </cell>
        </row>
        <row r="80">
          <cell r="E80" t="str">
            <v>X0046O05DT</v>
          </cell>
          <cell r="F80" t="str">
            <v>B08SSRJSYL</v>
          </cell>
          <cell r="G80">
            <v>96</v>
          </cell>
          <cell r="H80">
            <v>8</v>
          </cell>
          <cell r="I80">
            <v>96</v>
          </cell>
          <cell r="J80">
            <v>8</v>
          </cell>
          <cell r="K80">
            <v>12</v>
          </cell>
          <cell r="L80" t="str">
            <v>36*36*38cm</v>
          </cell>
          <cell r="M80">
            <v>0.006156</v>
          </cell>
          <cell r="N80">
            <v>5.82</v>
          </cell>
        </row>
        <row r="81">
          <cell r="E81" t="str">
            <v>X0046NT405</v>
          </cell>
          <cell r="F81" t="str">
            <v>B095J2YDG1</v>
          </cell>
          <cell r="G81">
            <v>120</v>
          </cell>
          <cell r="H81">
            <v>12</v>
          </cell>
          <cell r="I81">
            <v>720</v>
          </cell>
          <cell r="J81">
            <v>72</v>
          </cell>
          <cell r="K81">
            <v>10</v>
          </cell>
          <cell r="L81" t="str">
            <v>50x35x38</v>
          </cell>
          <cell r="M81">
            <v>0.0665</v>
          </cell>
          <cell r="N81">
            <v>17</v>
          </cell>
        </row>
        <row r="82">
          <cell r="E82" t="str">
            <v>X0046NZX37</v>
          </cell>
          <cell r="F82" t="str">
            <v>B07F8VGZQZ</v>
          </cell>
          <cell r="G82">
            <v>264</v>
          </cell>
          <cell r="H82">
            <v>8</v>
          </cell>
          <cell r="I82">
            <v>3168</v>
          </cell>
          <cell r="J82">
            <v>96</v>
          </cell>
          <cell r="K82">
            <v>33</v>
          </cell>
          <cell r="L82" t="str">
            <v>49.5*37.5*24</v>
          </cell>
          <cell r="M82">
            <v>0.04455</v>
          </cell>
          <cell r="N82">
            <v>17.5</v>
          </cell>
        </row>
        <row r="83">
          <cell r="E83" t="str">
            <v>X0046O1KIN</v>
          </cell>
          <cell r="F83" t="str">
            <v>B07BGGXW9W</v>
          </cell>
          <cell r="G83">
            <v>50</v>
          </cell>
          <cell r="H83">
            <v>50</v>
          </cell>
          <cell r="I83">
            <v>100</v>
          </cell>
          <cell r="J83">
            <v>100</v>
          </cell>
          <cell r="K83">
            <v>1</v>
          </cell>
          <cell r="L83" t="str">
            <v>44*44*27</v>
          </cell>
          <cell r="M83">
            <v>0.052272</v>
          </cell>
          <cell r="N83">
            <v>4.27</v>
          </cell>
        </row>
        <row r="84">
          <cell r="E84" t="str">
            <v>X004N1CNBH</v>
          </cell>
          <cell r="F84" t="str">
            <v>B08PL6MC7G</v>
          </cell>
          <cell r="G84">
            <v>100</v>
          </cell>
          <cell r="H84">
            <v>1</v>
          </cell>
          <cell r="I84">
            <v>600</v>
          </cell>
          <cell r="J84">
            <v>6</v>
          </cell>
          <cell r="K84">
            <v>100</v>
          </cell>
          <cell r="L84" t="str">
            <v>30*20*27cm</v>
          </cell>
          <cell r="M84">
            <v>0.0027</v>
          </cell>
          <cell r="N84">
            <v>18.03</v>
          </cell>
        </row>
        <row r="85">
          <cell r="E85" t="str">
            <v>X004BPOR4V</v>
          </cell>
          <cell r="F85" t="str">
            <v>B07222V19V</v>
          </cell>
          <cell r="G85">
            <v>260</v>
          </cell>
          <cell r="H85">
            <v>20</v>
          </cell>
          <cell r="I85">
            <v>260</v>
          </cell>
          <cell r="J85">
            <v>20</v>
          </cell>
          <cell r="K85">
            <v>13</v>
          </cell>
          <cell r="L85" t="str">
            <v>48x35x33CM</v>
          </cell>
          <cell r="M85">
            <v>0.05544</v>
          </cell>
          <cell r="N85">
            <v>20.4</v>
          </cell>
        </row>
        <row r="87">
          <cell r="E87" t="str">
            <v>X004BGQI1F</v>
          </cell>
          <cell r="F87" t="str">
            <v>B00B50IA56</v>
          </cell>
          <cell r="G87">
            <v>70</v>
          </cell>
          <cell r="H87">
            <v>10</v>
          </cell>
          <cell r="I87">
            <v>70</v>
          </cell>
          <cell r="J87">
            <v>10</v>
          </cell>
          <cell r="K87">
            <v>7</v>
          </cell>
          <cell r="L87" t="str">
            <v>57x30x36CM</v>
          </cell>
          <cell r="M87">
            <v>0.06156</v>
          </cell>
          <cell r="N87">
            <v>12</v>
          </cell>
        </row>
        <row r="88">
          <cell r="E88" t="str">
            <v>X004BH69HH</v>
          </cell>
          <cell r="F88" t="str">
            <v>B004VN316M</v>
          </cell>
          <cell r="G88">
            <v>30</v>
          </cell>
          <cell r="H88">
            <v>10</v>
          </cell>
          <cell r="I88">
            <v>30</v>
          </cell>
          <cell r="J88">
            <v>10</v>
          </cell>
          <cell r="K88">
            <v>3</v>
          </cell>
          <cell r="L88" t="str">
            <v>57x30x36CM (箱)</v>
          </cell>
          <cell r="M88">
            <v>0.062</v>
          </cell>
          <cell r="N88">
            <v>12</v>
          </cell>
        </row>
        <row r="89">
          <cell r="E89" t="str">
            <v>X004BH0BQH</v>
          </cell>
          <cell r="F89" t="str">
            <v>B004BAEFWY</v>
          </cell>
          <cell r="G89">
            <v>36</v>
          </cell>
          <cell r="H89">
            <v>6</v>
          </cell>
          <cell r="I89">
            <v>36</v>
          </cell>
          <cell r="J89">
            <v>6</v>
          </cell>
          <cell r="K89">
            <v>6</v>
          </cell>
          <cell r="L89" t="str">
            <v>60x34x32CM (箱)</v>
          </cell>
          <cell r="M89">
            <v>0.062</v>
          </cell>
          <cell r="N89">
            <v>12</v>
          </cell>
        </row>
        <row r="93">
          <cell r="E93" t="str">
            <v>X004NE70WL</v>
          </cell>
          <cell r="F93" t="str">
            <v>B00C2TRA6Y</v>
          </cell>
          <cell r="G93">
            <v>56</v>
          </cell>
          <cell r="H93">
            <v>8</v>
          </cell>
          <cell r="I93">
            <v>56</v>
          </cell>
          <cell r="J93">
            <v>8</v>
          </cell>
          <cell r="K93">
            <v>7</v>
          </cell>
          <cell r="L93" t="str">
            <v>57x30x36CM</v>
          </cell>
          <cell r="M93">
            <v>0.06156</v>
          </cell>
          <cell r="N93">
            <v>12.3</v>
          </cell>
        </row>
        <row r="94">
          <cell r="E94" t="str">
            <v>X004NE9FE7</v>
          </cell>
        </row>
        <row r="94">
          <cell r="G94">
            <v>50</v>
          </cell>
          <cell r="H94">
            <v>10</v>
          </cell>
          <cell r="I94">
            <v>50</v>
          </cell>
          <cell r="J94">
            <v>10</v>
          </cell>
          <cell r="K94">
            <v>5</v>
          </cell>
          <cell r="L94" t="str">
            <v>57x30x35CM</v>
          </cell>
          <cell r="M94">
            <v>0.05985</v>
          </cell>
          <cell r="N94">
            <v>11</v>
          </cell>
        </row>
        <row r="95">
          <cell r="E95" t="str">
            <v>X004NEPKVT</v>
          </cell>
          <cell r="F95" t="str">
            <v>B00H7KZ5K6</v>
          </cell>
          <cell r="G95">
            <v>48</v>
          </cell>
          <cell r="H95">
            <v>6</v>
          </cell>
          <cell r="I95">
            <v>48</v>
          </cell>
          <cell r="J95">
            <v>6</v>
          </cell>
          <cell r="K95">
            <v>8</v>
          </cell>
          <cell r="L95" t="str">
            <v>57x30x34CM</v>
          </cell>
          <cell r="M95">
            <v>0.05814</v>
          </cell>
          <cell r="N95">
            <v>13.1</v>
          </cell>
        </row>
        <row r="96">
          <cell r="E96" t="str">
            <v>X004NEOCAJ</v>
          </cell>
          <cell r="F96" t="str">
            <v>B003PWNGK6</v>
          </cell>
          <cell r="G96">
            <v>48</v>
          </cell>
          <cell r="H96">
            <v>12</v>
          </cell>
          <cell r="I96">
            <v>48</v>
          </cell>
          <cell r="J96">
            <v>12</v>
          </cell>
          <cell r="K96">
            <v>4</v>
          </cell>
          <cell r="L96" t="str">
            <v>57x30x37CM</v>
          </cell>
          <cell r="M96">
            <v>0.06327</v>
          </cell>
          <cell r="N96">
            <v>9.2</v>
          </cell>
        </row>
        <row r="97">
          <cell r="E97" t="str">
            <v>X004NNLSGB</v>
          </cell>
          <cell r="F97" t="str">
            <v>B004BAEERK</v>
          </cell>
          <cell r="G97">
            <v>54</v>
          </cell>
          <cell r="H97">
            <v>6</v>
          </cell>
          <cell r="I97">
            <v>54</v>
          </cell>
          <cell r="J97">
            <v>6</v>
          </cell>
          <cell r="K97">
            <v>9</v>
          </cell>
          <cell r="L97" t="str">
            <v>61x32x34CM</v>
          </cell>
          <cell r="M97">
            <v>0.066368</v>
          </cell>
          <cell r="N97">
            <v>11.6</v>
          </cell>
        </row>
        <row r="98">
          <cell r="E98" t="str">
            <v>X004NNLGEF</v>
          </cell>
          <cell r="F98" t="str">
            <v>B004BAB2LG</v>
          </cell>
          <cell r="G98">
            <v>54</v>
          </cell>
          <cell r="H98">
            <v>6</v>
          </cell>
          <cell r="I98">
            <v>54</v>
          </cell>
          <cell r="J98">
            <v>6</v>
          </cell>
          <cell r="K98">
            <v>9</v>
          </cell>
          <cell r="L98" t="str">
            <v>61x32x34CM</v>
          </cell>
          <cell r="M98">
            <v>0.066368</v>
          </cell>
          <cell r="N98">
            <v>20.5029702970297</v>
          </cell>
        </row>
        <row r="99">
          <cell r="E99" t="str">
            <v>X004NN5CEZ</v>
          </cell>
          <cell r="F99" t="str">
            <v>B004BACOYU</v>
          </cell>
          <cell r="G99">
            <v>54</v>
          </cell>
          <cell r="H99">
            <v>6</v>
          </cell>
          <cell r="I99">
            <v>54</v>
          </cell>
          <cell r="J99">
            <v>6</v>
          </cell>
          <cell r="K99">
            <v>9</v>
          </cell>
          <cell r="L99" t="str">
            <v>61x32x34CM</v>
          </cell>
          <cell r="M99">
            <v>0.066368</v>
          </cell>
          <cell r="N99">
            <v>13</v>
          </cell>
        </row>
        <row r="100">
          <cell r="E100" t="str">
            <v>X004NNP1FP</v>
          </cell>
          <cell r="F100" t="str">
            <v>B004BA8WBE</v>
          </cell>
          <cell r="G100">
            <v>54</v>
          </cell>
          <cell r="H100">
            <v>6</v>
          </cell>
          <cell r="I100">
            <v>54</v>
          </cell>
          <cell r="J100">
            <v>6</v>
          </cell>
          <cell r="K100">
            <v>9</v>
          </cell>
          <cell r="L100" t="str">
            <v>61x32x34CM</v>
          </cell>
          <cell r="M100">
            <v>0.066368</v>
          </cell>
          <cell r="N100">
            <v>13.6</v>
          </cell>
        </row>
        <row r="101">
          <cell r="E101" t="str">
            <v>X004NN5CEF</v>
          </cell>
          <cell r="F101" t="str">
            <v>B004BAB1RG</v>
          </cell>
          <cell r="G101">
            <v>56</v>
          </cell>
          <cell r="H101">
            <v>8</v>
          </cell>
          <cell r="I101">
            <v>56</v>
          </cell>
          <cell r="J101">
            <v>8</v>
          </cell>
          <cell r="K101">
            <v>7</v>
          </cell>
          <cell r="L101" t="str">
            <v>57x30x37CM</v>
          </cell>
          <cell r="M101">
            <v>0.06327</v>
          </cell>
          <cell r="N101">
            <v>5.44217935349324</v>
          </cell>
        </row>
        <row r="102">
          <cell r="E102" t="str">
            <v>X004NNLGEP</v>
          </cell>
          <cell r="F102" t="str">
            <v>B004BAB28O</v>
          </cell>
          <cell r="G102">
            <v>56</v>
          </cell>
          <cell r="H102">
            <v>8</v>
          </cell>
          <cell r="I102">
            <v>56</v>
          </cell>
          <cell r="J102">
            <v>8</v>
          </cell>
          <cell r="K102">
            <v>7</v>
          </cell>
          <cell r="L102" t="str">
            <v>57x30x37CM</v>
          </cell>
          <cell r="M102">
            <v>0.06327</v>
          </cell>
          <cell r="N102">
            <v>12</v>
          </cell>
        </row>
        <row r="103">
          <cell r="E103" t="str">
            <v>X004NN5EG1</v>
          </cell>
          <cell r="F103" t="str">
            <v>B004BAEFK6</v>
          </cell>
          <cell r="G103">
            <v>54</v>
          </cell>
          <cell r="H103">
            <v>6</v>
          </cell>
          <cell r="I103">
            <v>54</v>
          </cell>
          <cell r="J103">
            <v>6</v>
          </cell>
          <cell r="K103">
            <v>9</v>
          </cell>
          <cell r="L103" t="str">
            <v>61x32x34CM</v>
          </cell>
          <cell r="M103">
            <v>0.066368</v>
          </cell>
          <cell r="N103">
            <v>10.8</v>
          </cell>
        </row>
        <row r="104">
          <cell r="E104" t="str">
            <v>X004NNTNGN</v>
          </cell>
          <cell r="F104" t="str">
            <v>B004BAEFWY</v>
          </cell>
          <cell r="G104">
            <v>54</v>
          </cell>
          <cell r="H104">
            <v>6</v>
          </cell>
          <cell r="I104">
            <v>54</v>
          </cell>
          <cell r="J104">
            <v>6</v>
          </cell>
          <cell r="K104">
            <v>9</v>
          </cell>
          <cell r="L104" t="str">
            <v>61x32x34CM</v>
          </cell>
          <cell r="M104">
            <v>0.066368</v>
          </cell>
          <cell r="N104">
            <v>11.2</v>
          </cell>
        </row>
        <row r="105">
          <cell r="E105" t="str">
            <v>X004NN5CEP</v>
          </cell>
          <cell r="F105" t="str">
            <v>B004BA8UWA</v>
          </cell>
          <cell r="G105">
            <v>50</v>
          </cell>
          <cell r="H105">
            <v>10</v>
          </cell>
          <cell r="I105">
            <v>50</v>
          </cell>
          <cell r="J105">
            <v>10</v>
          </cell>
          <cell r="K105">
            <v>5</v>
          </cell>
          <cell r="L105" t="str">
            <v>57x30x36CM</v>
          </cell>
          <cell r="M105">
            <v>0.06156</v>
          </cell>
          <cell r="N105">
            <v>11.5</v>
          </cell>
        </row>
        <row r="106">
          <cell r="E106" t="str">
            <v>X004NNKCLD</v>
          </cell>
          <cell r="F106" t="str">
            <v>B01B51NXKQ</v>
          </cell>
          <cell r="G106">
            <v>50</v>
          </cell>
          <cell r="H106">
            <v>10</v>
          </cell>
          <cell r="I106">
            <v>50</v>
          </cell>
          <cell r="J106">
            <v>10</v>
          </cell>
          <cell r="K106">
            <v>5</v>
          </cell>
          <cell r="L106" t="str">
            <v>57x30x36CM</v>
          </cell>
          <cell r="M106">
            <v>0.06156</v>
          </cell>
          <cell r="N106">
            <v>12</v>
          </cell>
        </row>
        <row r="107">
          <cell r="E107" t="str">
            <v>X004NNKCLN</v>
          </cell>
          <cell r="F107" t="str">
            <v>B004VMYD92</v>
          </cell>
          <cell r="G107">
            <v>50</v>
          </cell>
          <cell r="H107">
            <v>10</v>
          </cell>
          <cell r="I107">
            <v>50</v>
          </cell>
          <cell r="J107">
            <v>10</v>
          </cell>
          <cell r="K107">
            <v>5</v>
          </cell>
          <cell r="L107" t="str">
            <v>57x30x36CM</v>
          </cell>
          <cell r="M107">
            <v>0.06156</v>
          </cell>
          <cell r="N107">
            <v>12.6</v>
          </cell>
        </row>
        <row r="108">
          <cell r="E108" t="str">
            <v>X004NNLSG1</v>
          </cell>
          <cell r="F108" t="str">
            <v>B004VN316M</v>
          </cell>
          <cell r="G108">
            <v>50</v>
          </cell>
          <cell r="H108">
            <v>10</v>
          </cell>
          <cell r="I108">
            <v>50</v>
          </cell>
          <cell r="J108">
            <v>10</v>
          </cell>
          <cell r="K108">
            <v>5</v>
          </cell>
          <cell r="L108" t="str">
            <v>57x30x36CM</v>
          </cell>
          <cell r="M108">
            <v>0.06156</v>
          </cell>
          <cell r="N108">
            <v>12</v>
          </cell>
        </row>
        <row r="109">
          <cell r="E109" t="str">
            <v>X004NNP3SF</v>
          </cell>
          <cell r="F109" t="str">
            <v>B00B50IA56</v>
          </cell>
          <cell r="G109">
            <v>50</v>
          </cell>
          <cell r="H109">
            <v>10</v>
          </cell>
          <cell r="I109">
            <v>50</v>
          </cell>
          <cell r="J109">
            <v>10</v>
          </cell>
          <cell r="K109">
            <v>5</v>
          </cell>
          <cell r="L109" t="str">
            <v>57x30x36CM</v>
          </cell>
          <cell r="M109">
            <v>0.06156</v>
          </cell>
          <cell r="N109">
            <v>12.2</v>
          </cell>
        </row>
        <row r="110">
          <cell r="G110">
            <v>6365</v>
          </cell>
        </row>
        <row r="110">
          <cell r="K110">
            <v>1277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"/>
  <sheetViews>
    <sheetView tabSelected="1" workbookViewId="0">
      <pane xSplit="5" ySplit="1" topLeftCell="F2" activePane="bottomRight" state="frozen"/>
      <selection/>
      <selection pane="topRight"/>
      <selection pane="bottomLeft"/>
      <selection pane="bottomRight" activeCell="F13" sqref="F13"/>
    </sheetView>
  </sheetViews>
  <sheetFormatPr defaultColWidth="9" defaultRowHeight="13.5" outlineLevelRow="6"/>
  <cols>
    <col min="1" max="1" width="18.4583333333333" customWidth="1"/>
    <col min="2" max="2" width="19.3333333333333" customWidth="1"/>
    <col min="3" max="3" width="31.7416666666667" customWidth="1"/>
    <col min="4" max="4" width="15.0083333333333" customWidth="1"/>
    <col min="5" max="5" width="16.3833333333333" customWidth="1"/>
    <col min="6" max="6" width="11" style="2" customWidth="1"/>
    <col min="7" max="7" width="10.8166666666667" style="2" customWidth="1"/>
    <col min="8" max="8" width="12.55" style="2" customWidth="1"/>
    <col min="9" max="9" width="11" style="2" customWidth="1"/>
    <col min="10" max="10" width="11" style="3" customWidth="1"/>
    <col min="11" max="11" width="17.3166666666667" style="4" customWidth="1"/>
    <col min="12" max="12" width="13.8583333333333" customWidth="1"/>
    <col min="13" max="13" width="15.8666666666667" customWidth="1"/>
    <col min="14" max="14" width="10.8583333333333" customWidth="1"/>
    <col min="15" max="15" width="10.7583333333333" customWidth="1"/>
    <col min="16" max="16" width="12" customWidth="1"/>
    <col min="17" max="17" width="22.275" customWidth="1"/>
    <col min="18" max="18" width="20.8166666666667" customWidth="1"/>
  </cols>
  <sheetData>
    <row r="1" s="1" customFormat="1" ht="14.25" spans="1:17">
      <c r="A1" s="5" t="s">
        <v>0</v>
      </c>
      <c r="B1" s="5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17" t="s">
        <v>15</v>
      </c>
      <c r="Q1" s="24" t="s">
        <v>16</v>
      </c>
    </row>
    <row r="2" ht="14.25" spans="1:18">
      <c r="A2" t="s">
        <v>17</v>
      </c>
      <c r="B2" s="9" t="s">
        <v>18</v>
      </c>
      <c r="C2" s="10" t="s">
        <v>19</v>
      </c>
      <c r="D2" s="11" t="s">
        <v>20</v>
      </c>
      <c r="E2" s="11" t="s">
        <v>21</v>
      </c>
      <c r="F2" s="12">
        <v>50</v>
      </c>
      <c r="G2" s="12">
        <v>10</v>
      </c>
      <c r="H2" s="12">
        <v>50</v>
      </c>
      <c r="I2" s="12">
        <v>10</v>
      </c>
      <c r="J2" s="18">
        <f>F2/I2</f>
        <v>5</v>
      </c>
      <c r="K2" s="19" t="s">
        <v>22</v>
      </c>
      <c r="L2">
        <f>VLOOKUP(C2,[4]审核表格!$G:$O,9,0)</f>
        <v>0.06156</v>
      </c>
      <c r="M2" s="15">
        <f>VLOOKUP(C2,[3]SKU总表!$A:$L,12,0)</f>
        <v>12</v>
      </c>
      <c r="N2" s="15">
        <f>M2*J2</f>
        <v>60</v>
      </c>
      <c r="O2" s="20">
        <f>L2*J2</f>
        <v>0.3078</v>
      </c>
      <c r="P2" s="21" t="s">
        <v>23</v>
      </c>
      <c r="Q2" t="s">
        <v>24</v>
      </c>
      <c r="R2" t="s">
        <v>25</v>
      </c>
    </row>
    <row r="3" ht="14.25" spans="1:18">
      <c r="A3" t="s">
        <v>17</v>
      </c>
      <c r="B3" s="9" t="s">
        <v>26</v>
      </c>
      <c r="C3" s="13" t="s">
        <v>27</v>
      </c>
      <c r="D3" s="11" t="s">
        <v>28</v>
      </c>
      <c r="E3" s="14" t="s">
        <v>29</v>
      </c>
      <c r="F3" s="12">
        <v>50</v>
      </c>
      <c r="G3" s="12">
        <v>10</v>
      </c>
      <c r="H3" s="12">
        <v>50</v>
      </c>
      <c r="I3" s="12">
        <v>10</v>
      </c>
      <c r="J3" s="18">
        <f>F3/I3</f>
        <v>5</v>
      </c>
      <c r="K3" s="19" t="s">
        <v>30</v>
      </c>
      <c r="L3" s="15">
        <f>VLOOKUP(D3,[5]发货明细汇总!$E:$M,9,0)</f>
        <v>0.05985</v>
      </c>
      <c r="M3" s="22">
        <f>VLOOKUP(D3,[5]发货明细汇总!$E:$N,10,0)</f>
        <v>11</v>
      </c>
      <c r="N3" s="15">
        <f>M3*J3</f>
        <v>55</v>
      </c>
      <c r="O3" s="20">
        <f>L3*J3</f>
        <v>0.29925</v>
      </c>
      <c r="P3" s="21" t="s">
        <v>23</v>
      </c>
      <c r="Q3" t="s">
        <v>31</v>
      </c>
      <c r="R3" t="s">
        <v>32</v>
      </c>
    </row>
    <row r="4" spans="2:16">
      <c r="B4" s="15"/>
      <c r="C4" s="13"/>
      <c r="D4" s="13"/>
      <c r="E4" s="13"/>
      <c r="F4" s="12"/>
      <c r="G4" s="12"/>
      <c r="H4" s="12"/>
      <c r="I4" s="12"/>
      <c r="J4" s="18"/>
      <c r="K4" s="13"/>
      <c r="L4" s="15"/>
      <c r="M4" s="22"/>
      <c r="N4" s="15"/>
      <c r="O4" s="20"/>
      <c r="P4" s="23"/>
    </row>
    <row r="5" spans="5:5">
      <c r="E5" s="16"/>
    </row>
    <row r="7" spans="9:9">
      <c r="I7" s="2" t="s">
        <v>33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NetdiskSupbooks xmlns="http://www.wps.cn/et/2019/netdiskSupbooks">
  <NetdiskSupbook Target="\Users\EDY\WPSDrive\666363583\WPS云盘\应用\微信文件\床罩备货清单成本核算模板-上海to%20美国.xlsx" FileId="392090052771" NetdiskName="yunwps"/>
</NetdiskSupbooks>
</file>

<file path=customXml/itemProps1.xml><?xml version="1.0" encoding="utf-8"?>
<ds:datastoreItem xmlns:ds="http://schemas.openxmlformats.org/officeDocument/2006/customXml" ds:itemID="{8CA11897-456E-43AF-AC28-93E1BBEC0A59}">
  <ds:schemaRefs>
    <ds:schemaRef ds:uri="http://www.wps.cn/et/2019/netdiskSupbook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张振宇</dc:creator>
  <cp:lastModifiedBy>蓓蓓</cp:lastModifiedBy>
  <dcterms:created xsi:type="dcterms:W3CDTF">2023-05-12T11:15:00Z</dcterms:created>
  <dcterms:modified xsi:type="dcterms:W3CDTF">2025-09-18T07:52:12Z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F33272CE0640413CA6BBFF892377BFAA_13</vt:lpwstr>
  </property>
  <property fmtid="{D5CDD505-2E9C-101B-9397-08002B2CF9AE}" pid="4" name="KSOReadingLayout">
    <vt:bool>true</vt:bool>
  </property>
</Properties>
</file>