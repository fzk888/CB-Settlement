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mattresscoveritem_display_width_unit_of_measure">'[1]Dropdown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<sst xmlns="http://schemas.openxmlformats.org/spreadsheetml/2006/main" count="50" uniqueCount="46">
  <si>
    <t>仓库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</si>
  <si>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</si>
  <si>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</si>
  <si>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</si>
  <si>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</si>
  <si>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</si>
  <si>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</si>
  <si>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</si>
  <si>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</si>
  <si>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</si>
  <si>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</si>
  <si>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</si>
  <si>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 xml:space="preserve"> 单箱重量（kg）</t>
  </si>
  <si>
    <t>总重</t>
  </si>
  <si>
    <t>总体积</t>
  </si>
  <si>
    <t>派送仓库</t>
  </si>
  <si>
    <t>FBA ID</t>
  </si>
  <si>
    <t>海外仓</t>
  </si>
  <si>
    <t>咖啡壶棕色</t>
  </si>
  <si>
    <t>Collgene-CoffeeMaker/Brown</t>
  </si>
  <si>
    <t>X004DALIOL</t>
  </si>
  <si>
    <t>B0744CQYJD</t>
  </si>
  <si>
    <t>35*28*25</t>
  </si>
  <si>
    <t>ABQ2</t>
  </si>
  <si>
    <t>FBA18YZ8312YU000051</t>
  </si>
  <si>
    <t>FBA18YZ8312YU000100</t>
  </si>
  <si>
    <t>咖啡壶黑色</t>
  </si>
  <si>
    <t>Collgene-CoffeeMaker/Black</t>
  </si>
  <si>
    <t>X004DALER7</t>
  </si>
  <si>
    <t>B07XQGHVBD</t>
  </si>
  <si>
    <t>FBA18YZ8312YU000001</t>
  </si>
  <si>
    <t>FBA18YZ8312YU000050</t>
  </si>
  <si>
    <t>紫光手电筒</t>
  </si>
  <si>
    <t>Collgene-Flashlight</t>
  </si>
  <si>
    <t>X004DBMWE5</t>
  </si>
  <si>
    <t>B07W45VJP8</t>
  </si>
  <si>
    <t>42.5x42.5x38</t>
  </si>
  <si>
    <t>FBA18YZ8312YU000101</t>
  </si>
  <si>
    <t>FBA18YZ8312YU000103</t>
  </si>
  <si>
    <t>泡沫轴</t>
  </si>
  <si>
    <t>Collgene-FoamRoller/black</t>
  </si>
  <si>
    <t>X004DBWEE3</t>
  </si>
  <si>
    <t>B06Y97NVKZ</t>
  </si>
  <si>
    <t>61x61x46</t>
  </si>
  <si>
    <t>FBA18YZ8312YU000104</t>
  </si>
  <si>
    <t>FBA18YZ8312YU000109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</si>
</sst>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0" fillId="2" borderId="0" xfId="0" applyFill="1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4" fillId="2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0" fillId="4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pane xSplit="5" ySplit="1" topLeftCell="O2" activePane="bottomRight" state="frozen"/>
      <selection/>
      <selection pane="topRight"/>
      <selection pane="bottomLeft"/>
      <selection pane="bottomRight" activeCell="Q15" sqref="Q15"/>
    </sheetView>
  </sheetViews>
  <sheetFormatPr defaultColWidth="9" defaultRowHeight="14" outlineLevelRow="4"/>
  <cols>
    <col min="1" max="1" width="15.6727272727273" customWidth="1"/>
    <col min="2" max="2" width="19.3363636363636" customWidth="1"/>
    <col min="3" max="3" width="31.7454545454545" customWidth="1"/>
    <col min="4" max="4" width="15.0090909090909" customWidth="1"/>
    <col min="5" max="5" width="16.3818181818182" customWidth="1"/>
    <col min="6" max="6" width="11" customWidth="1"/>
    <col min="7" max="7" width="10.8181818181818" customWidth="1"/>
    <col min="8" max="8" width="12.5454545454545" customWidth="1"/>
    <col min="9" max="9" width="11" customWidth="1"/>
    <col min="10" max="10" width="11" style="2" customWidth="1"/>
    <col min="11" max="11" width="17.3181818181818" style="3" customWidth="1"/>
    <col min="12" max="12" width="13.8545454545455" customWidth="1"/>
    <col min="13" max="13" width="15.8636363636364" customWidth="1"/>
    <col min="14" max="14" width="10.8545454545455" customWidth="1"/>
    <col min="15" max="15" width="10.7636363636364" customWidth="1"/>
    <col min="16" max="16" width="12" customWidth="1"/>
    <col min="17" max="17" width="22.2727272727273" customWidth="1"/>
    <col min="18" max="18" width="20.8181818181818" customWidth="1"/>
  </cols>
  <sheetData>
    <row r="1" s="1" customFormat="1" ht="15" spans="1:17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2" t="s">
        <v>15</v>
      </c>
      <c r="Q1" s="19" t="s">
        <v>16</v>
      </c>
    </row>
    <row r="2" customFormat="1" spans="1:18">
      <c r="A2" s="1" t="s">
        <v>17</v>
      </c>
      <c r="B2" s="8" t="s">
        <v>18</v>
      </c>
      <c r="C2" s="8" t="s">
        <v>19</v>
      </c>
      <c r="D2" s="8" t="s">
        <v>20</v>
      </c>
      <c r="E2" s="9" t="s">
        <v>21</v>
      </c>
      <c r="F2" s="10">
        <v>300</v>
      </c>
      <c r="G2" s="10">
        <v>6</v>
      </c>
      <c r="H2" s="10">
        <f>F2</f>
        <v>300</v>
      </c>
      <c r="I2" s="10">
        <v>6</v>
      </c>
      <c r="J2" s="13">
        <f>F2/G2</f>
        <v>50</v>
      </c>
      <c r="K2" s="8" t="s">
        <v>22</v>
      </c>
      <c r="L2" s="8">
        <v>0.0245</v>
      </c>
      <c r="M2" s="8">
        <v>6.09</v>
      </c>
      <c r="N2" s="8">
        <f>M2*J2</f>
        <v>304.5</v>
      </c>
      <c r="O2" s="14">
        <f>L2*J2</f>
        <v>1.225</v>
      </c>
      <c r="P2" s="15" t="s">
        <v>23</v>
      </c>
      <c r="Q2" s="20" t="s">
        <v>24</v>
      </c>
      <c r="R2" s="20" t="s">
        <v>25</v>
      </c>
    </row>
    <row r="3" spans="1:18">
      <c r="A3" s="1" t="s">
        <v>17</v>
      </c>
      <c r="B3" s="8" t="s">
        <v>26</v>
      </c>
      <c r="C3" s="8" t="s">
        <v>27</v>
      </c>
      <c r="D3" s="8" t="s">
        <v>28</v>
      </c>
      <c r="E3" s="9" t="s">
        <v>29</v>
      </c>
      <c r="F3" s="10">
        <v>300</v>
      </c>
      <c r="G3" s="10">
        <v>6</v>
      </c>
      <c r="H3" s="10">
        <f>F3</f>
        <v>300</v>
      </c>
      <c r="I3" s="10">
        <v>6</v>
      </c>
      <c r="J3" s="13">
        <f>F3/G3</f>
        <v>50</v>
      </c>
      <c r="K3" s="8" t="s">
        <v>22</v>
      </c>
      <c r="L3" s="8">
        <v>0.0245</v>
      </c>
      <c r="M3" s="8">
        <v>6.09</v>
      </c>
      <c r="N3" s="8">
        <f>M3*J3</f>
        <v>304.5</v>
      </c>
      <c r="O3" s="14">
        <f>L3*J3</f>
        <v>1.225</v>
      </c>
      <c r="P3" s="15"/>
      <c r="Q3" t="s">
        <v>30</v>
      </c>
      <c r="R3" t="s">
        <v>31</v>
      </c>
    </row>
    <row r="4" spans="1:18">
      <c r="A4" s="1" t="s">
        <v>17</v>
      </c>
      <c r="B4" s="1" t="s">
        <v>32</v>
      </c>
      <c r="C4" s="1" t="s">
        <v>33</v>
      </c>
      <c r="D4" s="1" t="s">
        <v>34</v>
      </c>
      <c r="E4" s="1" t="s">
        <v>35</v>
      </c>
      <c r="F4" s="11">
        <v>120</v>
      </c>
      <c r="G4" s="11">
        <v>40</v>
      </c>
      <c r="H4" s="11">
        <f>F4</f>
        <v>120</v>
      </c>
      <c r="I4" s="11">
        <v>40</v>
      </c>
      <c r="J4" s="16">
        <f>F4/G4</f>
        <v>3</v>
      </c>
      <c r="K4" s="1" t="s">
        <v>36</v>
      </c>
      <c r="L4" s="1">
        <v>0.07</v>
      </c>
      <c r="M4" s="1">
        <v>13.8</v>
      </c>
      <c r="N4" s="17">
        <f>M4*J4</f>
        <v>41.4</v>
      </c>
      <c r="O4" s="18">
        <f>L4*J4</f>
        <v>0.21</v>
      </c>
      <c r="P4" s="15"/>
      <c r="Q4" t="s">
        <v>37</v>
      </c>
      <c r="R4" t="s">
        <v>38</v>
      </c>
    </row>
    <row r="5" spans="1:18">
      <c r="A5" s="1" t="s">
        <v>17</v>
      </c>
      <c r="B5" s="1" t="s">
        <v>39</v>
      </c>
      <c r="C5" s="1" t="s">
        <v>40</v>
      </c>
      <c r="D5" s="1" t="s">
        <v>41</v>
      </c>
      <c r="E5" s="1" t="s">
        <v>42</v>
      </c>
      <c r="F5" s="11">
        <v>96</v>
      </c>
      <c r="G5" s="11">
        <v>16</v>
      </c>
      <c r="H5" s="11">
        <f>F5</f>
        <v>96</v>
      </c>
      <c r="I5" s="11">
        <v>16</v>
      </c>
      <c r="J5" s="16">
        <f>F5/G5</f>
        <v>6</v>
      </c>
      <c r="K5" s="1" t="s">
        <v>43</v>
      </c>
      <c r="L5" s="1">
        <v>0.17</v>
      </c>
      <c r="M5" s="1">
        <v>6.4</v>
      </c>
      <c r="N5" s="17">
        <f>M5*J5</f>
        <v>38.4</v>
      </c>
      <c r="O5" s="18">
        <f>L5*J5</f>
        <v>1.02</v>
      </c>
      <c r="P5" s="15"/>
      <c r="Q5" t="s">
        <v>44</v>
      </c>
      <c r="R5" t="s">
        <v>45</v>
      </c>
    </row>
  </sheetData>
  <mergeCells count="1">
    <mergeCell ref="P2:P5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问玄玄</cp:lastModifiedBy>
  <dcterms:created xsi:type="dcterms:W3CDTF">2023-05-12T11:15:00Z</dcterms:created>
  <dcterms:modified xsi:type="dcterms:W3CDTF">2025-07-09T08:45:04Z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EE15D7154F8F4B8E8F8569C4922AC797_12</vt:lpwstr>
  </property>
</Properties>
</file>