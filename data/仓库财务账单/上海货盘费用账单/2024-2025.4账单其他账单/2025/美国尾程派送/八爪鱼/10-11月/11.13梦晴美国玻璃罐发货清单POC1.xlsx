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948DBA813234B0496B8EAB44D0892F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36785" y="455295"/>
          <a:ext cx="18278475" cy="82867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<sst xmlns="http://schemas.openxmlformats.org/spreadsheetml/2006/main" count="51" uniqueCount="47">
  <si>
    <t>运营人员</t>
  </si>
  <si>
    <t>柜号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</si>
  <si>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</si>
  <si>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</si>
  <si>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</si>
  <si>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</si>
  <si>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</si>
  <si>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</si>
  <si>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</si>
  <si>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</si>
  <si>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</si>
  <si>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</si>
  <si>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</si>
  <si>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</si>
  <si>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</si>
  <si>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</si>
  <si>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</si>
  <si>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</si>
  <si>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</si>
  <si>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</si>
  <si>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配置费</t>
  </si>
  <si>
    <t>何梦晴</t>
  </si>
  <si>
    <r>
      <rPr>
        <b/>
        <sz val="12"/>
        <color theme="1"/>
        <rFont val="宋体"/>
        <charset val="134"/>
        <scheme val="minor"/>
      </rPr>
      <t>0512柜号XYLU8162600
(外箱有贴账号和asin FN标签识
别)</t>
    </r>
    <r>
      <rPr>
        <b/>
        <sz val="12"/>
        <color rgb="FFFF0000"/>
        <rFont val="宋体"/>
        <charset val="134"/>
        <scheme val="minor"/>
      </rPr>
      <t>贴箱唛，不用拆箱拣货</t>
    </r>
  </si>
  <si>
    <t>账号2</t>
  </si>
  <si>
    <t>琥珀色玻璃罐</t>
  </si>
  <si>
    <t>Amberjar-8oz6pcs</t>
  </si>
  <si>
    <t>X0046NT405</t>
  </si>
  <si>
    <t>B095J2YDG1</t>
  </si>
  <si>
    <t>50x35x38</t>
  </si>
  <si>
    <t>FBA193MQSB2C
POC1
POD：4MUD7H3G
箱数：63箱
产品数量：504个</t>
  </si>
  <si>
    <t>FBA193MQSB2CU000021</t>
  </si>
  <si>
    <t>FBA193MQSB2CU000030</t>
  </si>
  <si>
    <t>方形玻璃储物罐</t>
  </si>
  <si>
    <t>Smalljars-12pack</t>
  </si>
  <si>
    <t>X0046NZX37</t>
  </si>
  <si>
    <t>B07F8VGZQZ</t>
  </si>
  <si>
    <t>49.5*37.5*24</t>
  </si>
  <si>
    <t>FBA193MQSB2CU000031</t>
  </si>
  <si>
    <t>FBA193MQSB2CU000063</t>
  </si>
  <si>
    <r>
      <rPr>
        <b/>
        <sz val="12"/>
        <color theme="1"/>
        <rFont val="宋体"/>
        <charset val="134"/>
        <scheme val="minor"/>
      </rPr>
      <t xml:space="preserve">0612柜号CSNU5572673
(外箱有贴账号和asin FN标签识
别) </t>
    </r>
    <r>
      <rPr>
        <b/>
        <sz val="12"/>
        <color rgb="FFFF0000"/>
        <rFont val="宋体"/>
        <charset val="134"/>
        <scheme val="minor"/>
      </rPr>
      <t>贴箱唛，不用拆箱拣货</t>
    </r>
  </si>
  <si>
    <t>琥珀色玻璃罐12个</t>
  </si>
  <si>
    <t>Amberjar-8oz12pcs</t>
  </si>
  <si>
    <t>X0046NT3ZV</t>
  </si>
  <si>
    <t>B095J5PK57</t>
  </si>
  <si>
    <t>51x33x38</t>
  </si>
  <si>
    <t>FBA193MQSB2CU000001</t>
  </si>
  <si>
    <t>FBA193MQSB2CU000020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</si>
</sst>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85" zoomScaleNormal="85" workbookViewId="0">
      <pane ySplit="1" topLeftCell="A2" activePane="bottomLeft" state="frozen"/>
      <selection/>
      <selection pane="bottomLeft" activeCell="A1" sqref="$A1:$XFD4"/>
    </sheetView>
  </sheetViews>
  <sheetFormatPr defaultColWidth="9" defaultRowHeight="13.5" outlineLevelRow="3"/>
  <cols>
    <col min="1" max="1" width="18.425" style="4" customWidth="1"/>
    <col min="2" max="2" width="42.1" style="4" customWidth="1"/>
    <col min="3" max="3" width="19.0833333333333" style="4" customWidth="1"/>
    <col min="4" max="4" width="26.8416666666667" style="4" customWidth="1"/>
    <col min="5" max="5" width="30.85" style="4" customWidth="1"/>
    <col min="6" max="6" width="16" style="4" customWidth="1"/>
    <col min="7" max="7" width="18.4333333333333" style="4" customWidth="1"/>
    <col min="8" max="8" width="9" style="4"/>
    <col min="9" max="9" width="10.55" style="4" customWidth="1"/>
    <col min="10" max="10" width="10.6333333333333" style="4" customWidth="1"/>
    <col min="11" max="11" width="9" style="4"/>
    <col min="12" max="12" width="12.8" style="4"/>
    <col min="13" max="13" width="17.6333333333333" style="4" customWidth="1"/>
    <col min="14" max="14" width="12.8" style="4"/>
    <col min="15" max="15" width="14.1833333333333" style="4" customWidth="1"/>
    <col min="16" max="16" width="12.8833333333333" style="4"/>
    <col min="17" max="17" width="13.375" style="4" customWidth="1"/>
    <col min="18" max="18" width="25.0916666666667" customWidth="1"/>
    <col min="19" max="19" width="22" customWidth="1"/>
    <col min="20" max="20" width="27.45" customWidth="1"/>
    <col min="21" max="21" width="58.6083333333333" style="1"/>
    <col min="22" max="16384" width="9" style="1"/>
  </cols>
  <sheetData>
    <row r="1" s="1" customFormat="1" ht="25" customHeight="1" spans="1:2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10" t="s">
        <v>18</v>
      </c>
      <c r="T1" s="1" t="s">
        <v>19</v>
      </c>
      <c r="U1" s="1" t="s">
        <v>20</v>
      </c>
    </row>
    <row r="2" s="2" customFormat="1" ht="28" customHeight="1" spans="1:21">
      <c r="A2" s="11" t="s">
        <v>21</v>
      </c>
      <c r="B2" s="12" t="s">
        <v>22</v>
      </c>
      <c r="C2" s="13" t="s">
        <v>23</v>
      </c>
      <c r="D2" s="14" t="s">
        <v>24</v>
      </c>
      <c r="E2" s="15" t="s">
        <v>25</v>
      </c>
      <c r="F2" s="16" t="s">
        <v>26</v>
      </c>
      <c r="G2" s="15" t="s">
        <v>27</v>
      </c>
      <c r="H2" s="17">
        <v>120</v>
      </c>
      <c r="I2" s="18">
        <v>12</v>
      </c>
      <c r="J2" s="19">
        <f>H2*6</f>
        <v>720</v>
      </c>
      <c r="K2" s="17">
        <f>I2*6</f>
        <v>72</v>
      </c>
      <c r="L2" s="18">
        <f>H2/I2</f>
        <v>10</v>
      </c>
      <c r="M2" s="15" t="s">
        <v>28</v>
      </c>
      <c r="N2" s="15">
        <f>(50*35*38)/1000000</f>
        <v>0.0665</v>
      </c>
      <c r="O2" s="15">
        <v>17</v>
      </c>
      <c r="P2" s="15">
        <f>O2*L2</f>
        <v>170</v>
      </c>
      <c r="Q2" s="14">
        <f>N2*L2</f>
        <v>0.665</v>
      </c>
      <c r="R2" s="20" t="s">
        <v>29</v>
      </c>
      <c r="S2" s="2" t="s">
        <v>30</v>
      </c>
      <c r="T2" s="2" t="s">
        <v>31</v>
      </c>
      <c r="U2" s="13" t="str">
        <f>_xlfn.DISPIMG("ID_9948DBA813234B0496B8EAB44D0892F1",1)</f>
        <v>=DISPIMG("ID_9948DBA813234B0496B8EAB44D0892F1",1)</v>
      </c>
    </row>
    <row r="3" s="3" customFormat="1" ht="28" customHeight="1" spans="1:21">
      <c r="A3" s="11" t="s">
        <v>21</v>
      </c>
      <c r="B3" s="21"/>
      <c r="C3" s="11" t="s">
        <v>23</v>
      </c>
      <c r="D3" s="11" t="s">
        <v>32</v>
      </c>
      <c r="E3" s="11" t="s">
        <v>33</v>
      </c>
      <c r="F3" s="11" t="s">
        <v>34</v>
      </c>
      <c r="G3" s="11" t="s">
        <v>35</v>
      </c>
      <c r="H3" s="11">
        <v>264</v>
      </c>
      <c r="I3" s="11">
        <v>8</v>
      </c>
      <c r="J3" s="11">
        <f>H3*12</f>
        <v>3168</v>
      </c>
      <c r="K3" s="11">
        <f>I3*12</f>
        <v>96</v>
      </c>
      <c r="L3" s="22">
        <f>H3/I3</f>
        <v>33</v>
      </c>
      <c r="M3" s="11" t="s">
        <v>36</v>
      </c>
      <c r="N3" s="11">
        <f>(49.5*37.5*24)/1000000</f>
        <v>0.04455</v>
      </c>
      <c r="O3" s="11">
        <v>17.5</v>
      </c>
      <c r="P3" s="23">
        <f>O3*L3</f>
        <v>577.5</v>
      </c>
      <c r="Q3" s="23">
        <f>N3*L3</f>
        <v>1.47015</v>
      </c>
      <c r="R3" s="20"/>
      <c r="S3" s="3" t="s">
        <v>37</v>
      </c>
      <c r="T3" s="3" t="s">
        <v>38</v>
      </c>
      <c r="U3" s="13"/>
    </row>
    <row r="4" s="2" customFormat="1" ht="46" customHeight="1" spans="1:21">
      <c r="A4" s="13" t="s">
        <v>21</v>
      </c>
      <c r="B4" s="24" t="s">
        <v>39</v>
      </c>
      <c r="C4" s="11" t="s">
        <v>23</v>
      </c>
      <c r="D4" s="11" t="s">
        <v>40</v>
      </c>
      <c r="E4" s="11" t="s">
        <v>41</v>
      </c>
      <c r="F4" s="11" t="s">
        <v>42</v>
      </c>
      <c r="G4" s="11" t="s">
        <v>43</v>
      </c>
      <c r="H4" s="25">
        <v>120</v>
      </c>
      <c r="I4" s="11">
        <v>6</v>
      </c>
      <c r="J4" s="11">
        <f>H4*12</f>
        <v>1440</v>
      </c>
      <c r="K4" s="11">
        <f>I4*12</f>
        <v>72</v>
      </c>
      <c r="L4" s="26">
        <f>H4/I4</f>
        <v>20</v>
      </c>
      <c r="M4" s="11" t="s">
        <v>44</v>
      </c>
      <c r="N4" s="11">
        <f>(51*33*38)/1000000</f>
        <v>0.063954</v>
      </c>
      <c r="O4" s="11">
        <v>16.8</v>
      </c>
      <c r="P4" s="11">
        <f>O4*L4</f>
        <v>336</v>
      </c>
      <c r="Q4" s="11">
        <f>N4*L4</f>
        <v>1.27908</v>
      </c>
      <c r="R4" s="20"/>
      <c r="S4" s="2" t="s">
        <v>45</v>
      </c>
      <c r="T4" s="2" t="s">
        <v>46</v>
      </c>
      <c r="U4" s="13"/>
    </row>
  </sheetData>
  <mergeCells count="3">
    <mergeCell ref="B2:B3"/>
    <mergeCell ref="R2:R4"/>
    <mergeCell ref="U2:U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2025-12-16T03:39:11Z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36A7F5BBFA184AEDAFA654290D6CC32D_13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