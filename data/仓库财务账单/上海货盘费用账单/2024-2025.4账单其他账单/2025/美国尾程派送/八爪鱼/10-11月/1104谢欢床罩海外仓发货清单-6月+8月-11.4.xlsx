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<sst xmlns="http://schemas.openxmlformats.org/spreadsheetml/2006/main" count="71" uniqueCount="56">
  <si>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</si>
  <si>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</si>
  <si>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</si>
  <si>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</si>
  <si>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</si>
  <si>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</si>
  <si>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</si>
  <si>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</si>
  <si>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</si>
  <si>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</si>
  <si>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</si>
  <si>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</si>
  <si>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</si>
  <si>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</si>
  <si>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</si>
  <si>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</si>
  <si>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</si>
  <si>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</si>
  <si>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</si>
  <si>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派送费</t>
  </si>
  <si>
    <t>谢欢</t>
  </si>
  <si>
    <t>6月第一柜 SEKU6513112</t>
  </si>
  <si>
    <t>贴箱唛</t>
  </si>
  <si>
    <t>床罩（毛面）
绿色四人</t>
  </si>
  <si>
    <t>PME10-6-9-Twin</t>
  </si>
  <si>
    <t>X003Z6MOA1</t>
  </si>
  <si>
    <t>B004BA8UWA</t>
  </si>
  <si>
    <t>57x30x37CM (箱)</t>
  </si>
  <si>
    <t>FBA1938S85FB
TCY2
384OLV2J
箱数：44箱
数量：356个</t>
  </si>
  <si>
    <t>FBA1938S85FBU000033</t>
  </si>
  <si>
    <t>FBA1938S85FBU000038</t>
  </si>
  <si>
    <t>6月第一柜SEKU6513112</t>
  </si>
  <si>
    <t>PME13-9-12-Twin</t>
  </si>
  <si>
    <t>X003Z6M94R</t>
  </si>
  <si>
    <t>B01B51NXKQ</t>
  </si>
  <si>
    <t>57x30x36CM (箱)</t>
  </si>
  <si>
    <t>FBA1938S85FBU000039</t>
  </si>
  <si>
    <t>FBA1938S85FBU000044</t>
  </si>
  <si>
    <t>6月第二柜CSNU5572673</t>
  </si>
  <si>
    <t>PME06-6-9-Full</t>
  </si>
  <si>
    <t>X003Z6MOAV</t>
  </si>
  <si>
    <t>B004BAB1RG</t>
  </si>
  <si>
    <t>FBA1938S85FBU000011</t>
  </si>
  <si>
    <t>FBA1938S85FBU000020</t>
  </si>
  <si>
    <t>PME09-9-12-Full</t>
  </si>
  <si>
    <t>X003Z6CKHN</t>
  </si>
  <si>
    <t>B004BAB28O</t>
  </si>
  <si>
    <t>FBA1938S85FBU000021</t>
  </si>
  <si>
    <t>FBA1938S85FBU000032</t>
  </si>
  <si>
    <t>8月第二柜EMCU9912953</t>
  </si>
  <si>
    <t>床罩光面 妈妈和女儿</t>
  </si>
  <si>
    <t>ME03-9-KingX2</t>
  </si>
  <si>
    <t>X003Z5FCND</t>
  </si>
  <si>
    <t>B00H7KZ5K6</t>
  </si>
  <si>
    <t>57x30x34CM (箱)</t>
  </si>
  <si>
    <t>FBA1938S85FBU000001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</si>
</sst>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3CA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80" zoomScaleNormal="80" topLeftCell="E1" workbookViewId="0">
      <pane ySplit="1" topLeftCell="A2" activePane="bottomLeft" state="frozen"/>
      <selection/>
      <selection pane="bottomLeft" activeCell="R22" sqref="R22"/>
    </sheetView>
  </sheetViews>
  <sheetFormatPr defaultColWidth="9" defaultRowHeight="13.5" outlineLevelRow="7"/>
  <cols>
    <col min="1" max="1" width="9.05833333333333" style="1" customWidth="1"/>
    <col min="2" max="2" width="25.775" style="1" customWidth="1"/>
    <col min="3" max="3" width="41.4" style="1" customWidth="1"/>
    <col min="4" max="4" width="26.8416666666667" style="1" customWidth="1"/>
    <col min="5" max="5" width="20.4333333333333" style="1" customWidth="1"/>
    <col min="6" max="6" width="16" style="1" customWidth="1"/>
    <col min="7" max="7" width="18.4333333333333" style="2" customWidth="1"/>
    <col min="8" max="8" width="9" style="3"/>
    <col min="9" max="9" width="10.55" style="3" customWidth="1"/>
    <col min="10" max="10" width="10.65" style="3" customWidth="1"/>
    <col min="11" max="11" width="9" style="3"/>
    <col min="12" max="12" width="12.8" style="1"/>
    <col min="13" max="13" width="17.65" style="1" customWidth="1"/>
    <col min="14" max="14" width="12.8" style="4"/>
    <col min="15" max="15" width="14.1833333333333" style="4" customWidth="1"/>
    <col min="16" max="16" width="12.8916666666667" style="4"/>
    <col min="17" max="17" width="13.3666666666667" style="4" customWidth="1"/>
    <col min="18" max="18" width="20.5166666666667" customWidth="1"/>
    <col min="19" max="19" width="22" customWidth="1"/>
    <col min="20" max="20" width="21.2416666666667" customWidth="1"/>
    <col min="21" max="21" width="12.625" style="1"/>
    <col min="22" max="16384" width="9" style="1"/>
  </cols>
  <sheetData>
    <row r="1" s="1" customFormat="1" ht="25" customHeight="1" spans="1:21">
      <c r="A1" s="1" t="s">
        <v>0</v>
      </c>
      <c r="C1" s="1" t="s">
        <v>1</v>
      </c>
      <c r="D1" s="5" t="s">
        <v>2</v>
      </c>
      <c r="E1" s="6" t="s">
        <v>3</v>
      </c>
      <c r="F1" s="7" t="s">
        <v>4</v>
      </c>
      <c r="G1" s="6" t="s">
        <v>5</v>
      </c>
      <c r="H1" s="8" t="s">
        <v>6</v>
      </c>
      <c r="I1" s="8" t="s">
        <v>7</v>
      </c>
      <c r="J1" s="9" t="s">
        <v>8</v>
      </c>
      <c r="K1" s="10" t="s">
        <v>9</v>
      </c>
      <c r="L1" s="7" t="s">
        <v>10</v>
      </c>
      <c r="M1" s="11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12" t="s">
        <v>16</v>
      </c>
      <c r="S1" s="5" t="s">
        <v>17</v>
      </c>
      <c r="T1" s="1" t="s">
        <v>18</v>
      </c>
      <c r="U1" s="1" t="s">
        <v>19</v>
      </c>
    </row>
    <row r="2" customFormat="1" ht="17" customHeight="1" spans="1:21">
      <c r="A2" t="s">
        <v>20</v>
      </c>
      <c r="B2" t="s">
        <v>21</v>
      </c>
      <c r="C2" s="1" t="s">
        <v>22</v>
      </c>
      <c r="D2" t="s">
        <v>23</v>
      </c>
      <c r="E2" s="13" t="s">
        <v>24</v>
      </c>
      <c r="F2" t="s">
        <v>25</v>
      </c>
      <c r="G2" s="14" t="s">
        <v>26</v>
      </c>
      <c r="H2" s="15">
        <v>60</v>
      </c>
      <c r="I2">
        <v>10</v>
      </c>
      <c r="J2">
        <f t="shared" ref="J2:J6" si="0">H2</f>
        <v>60</v>
      </c>
      <c r="K2" s="16">
        <v>10</v>
      </c>
      <c r="L2" s="17">
        <f>H2/I2</f>
        <v>6</v>
      </c>
      <c r="M2" t="s">
        <v>27</v>
      </c>
      <c r="N2" s="15">
        <v>0.062</v>
      </c>
      <c r="O2" s="15">
        <v>12</v>
      </c>
      <c r="P2" s="15">
        <f>O2*L2</f>
        <v>72</v>
      </c>
      <c r="Q2" s="15">
        <f t="shared" ref="Q2:Q6" si="1">N2*L2</f>
        <v>0.372</v>
      </c>
      <c r="R2" s="18" t="s">
        <v>28</v>
      </c>
      <c r="S2" s="1" t="s">
        <v>29</v>
      </c>
      <c r="T2" t="s">
        <v>30</v>
      </c>
      <c r="U2">
        <f>212/$Q$8*Q2</f>
        <v>28.9158746920099</v>
      </c>
    </row>
    <row r="3" customFormat="1" ht="17" customHeight="1" spans="1:21">
      <c r="A3" t="s">
        <v>20</v>
      </c>
      <c r="B3" t="s">
        <v>31</v>
      </c>
      <c r="C3" s="1" t="s">
        <v>22</v>
      </c>
      <c r="D3" t="s">
        <v>23</v>
      </c>
      <c r="E3" s="13" t="s">
        <v>32</v>
      </c>
      <c r="F3" t="s">
        <v>33</v>
      </c>
      <c r="G3" s="14" t="s">
        <v>34</v>
      </c>
      <c r="H3" s="15">
        <v>60</v>
      </c>
      <c r="I3">
        <v>10</v>
      </c>
      <c r="J3">
        <f t="shared" si="0"/>
        <v>60</v>
      </c>
      <c r="K3" s="16">
        <v>10</v>
      </c>
      <c r="L3" s="17">
        <f>H3/I3</f>
        <v>6</v>
      </c>
      <c r="M3" t="s">
        <v>35</v>
      </c>
      <c r="N3" s="15">
        <v>0.06156</v>
      </c>
      <c r="O3" s="15">
        <v>12</v>
      </c>
      <c r="P3" s="15">
        <f>O3*L3</f>
        <v>72</v>
      </c>
      <c r="Q3" s="15">
        <f t="shared" si="1"/>
        <v>0.36936</v>
      </c>
      <c r="R3" s="18"/>
      <c r="S3" s="1" t="s">
        <v>36</v>
      </c>
      <c r="T3" t="s">
        <v>37</v>
      </c>
      <c r="U3">
        <f>212/$Q$8*Q3</f>
        <v>28.7106652587117</v>
      </c>
    </row>
    <row r="4" ht="17" customHeight="1" spans="1:21">
      <c r="A4" t="s">
        <v>20</v>
      </c>
      <c r="B4" t="s">
        <v>38</v>
      </c>
      <c r="C4" s="1" t="s">
        <v>22</v>
      </c>
      <c r="D4" s="13" t="s">
        <v>23</v>
      </c>
      <c r="E4" s="2" t="s">
        <v>39</v>
      </c>
      <c r="F4" s="13" t="s">
        <v>40</v>
      </c>
      <c r="G4" s="2" t="s">
        <v>41</v>
      </c>
      <c r="H4" s="4">
        <v>80</v>
      </c>
      <c r="I4" s="3">
        <v>8</v>
      </c>
      <c r="J4" s="3">
        <f t="shared" si="0"/>
        <v>80</v>
      </c>
      <c r="K4" s="3">
        <v>8</v>
      </c>
      <c r="L4" s="19">
        <f>H4/I4</f>
        <v>10</v>
      </c>
      <c r="M4" s="13" t="s">
        <v>27</v>
      </c>
      <c r="N4" s="4">
        <v>0.061</v>
      </c>
      <c r="O4" s="4">
        <v>12</v>
      </c>
      <c r="P4" s="15">
        <f>O4*L4</f>
        <v>120</v>
      </c>
      <c r="Q4" s="4">
        <f t="shared" si="1"/>
        <v>0.61</v>
      </c>
      <c r="R4" s="18"/>
      <c r="S4" s="1" t="s">
        <v>42</v>
      </c>
      <c r="T4" t="s">
        <v>43</v>
      </c>
      <c r="U4">
        <f>212/$Q$8*Q4</f>
        <v>47.4158160272205</v>
      </c>
    </row>
    <row r="5" ht="17" customHeight="1" spans="1:21">
      <c r="A5" t="s">
        <v>20</v>
      </c>
      <c r="B5" t="s">
        <v>38</v>
      </c>
      <c r="C5" s="1" t="s">
        <v>22</v>
      </c>
      <c r="D5" s="13" t="s">
        <v>23</v>
      </c>
      <c r="E5" s="2" t="s">
        <v>44</v>
      </c>
      <c r="F5" s="13" t="s">
        <v>45</v>
      </c>
      <c r="G5" s="2" t="s">
        <v>46</v>
      </c>
      <c r="H5" s="4">
        <v>96</v>
      </c>
      <c r="I5" s="3">
        <v>8</v>
      </c>
      <c r="J5" s="3">
        <f t="shared" si="0"/>
        <v>96</v>
      </c>
      <c r="K5" s="3">
        <v>8</v>
      </c>
      <c r="L5" s="19">
        <f>H5/I5</f>
        <v>12</v>
      </c>
      <c r="M5" s="13" t="s">
        <v>27</v>
      </c>
      <c r="N5" s="4">
        <v>0.063</v>
      </c>
      <c r="O5" s="4">
        <v>12.11</v>
      </c>
      <c r="P5" s="15">
        <f>O5*L5</f>
        <v>145.32</v>
      </c>
      <c r="Q5" s="4">
        <f t="shared" si="1"/>
        <v>0.756</v>
      </c>
      <c r="R5" s="18"/>
      <c r="S5" s="1" t="s">
        <v>47</v>
      </c>
      <c r="T5" t="s">
        <v>48</v>
      </c>
      <c r="U5">
        <f>212/$Q$8*Q5</f>
        <v>58.7645195353749</v>
      </c>
    </row>
    <row r="6" ht="17" customHeight="1" spans="1:21">
      <c r="A6" t="s">
        <v>20</v>
      </c>
      <c r="B6" t="s">
        <v>49</v>
      </c>
      <c r="C6" s="1" t="s">
        <v>22</v>
      </c>
      <c r="D6" s="13" t="s">
        <v>50</v>
      </c>
      <c r="E6" s="13" t="s">
        <v>51</v>
      </c>
      <c r="F6" s="13" t="s">
        <v>52</v>
      </c>
      <c r="G6" s="2" t="s">
        <v>53</v>
      </c>
      <c r="H6" s="15">
        <v>60</v>
      </c>
      <c r="I6" s="3">
        <v>6</v>
      </c>
      <c r="J6" s="3">
        <f t="shared" si="0"/>
        <v>60</v>
      </c>
      <c r="K6" s="3">
        <v>6</v>
      </c>
      <c r="L6" s="19">
        <f>H6/K6</f>
        <v>10</v>
      </c>
      <c r="M6" s="13" t="s">
        <v>54</v>
      </c>
      <c r="N6" s="15">
        <v>0.062</v>
      </c>
      <c r="O6" s="20">
        <v>13</v>
      </c>
      <c r="P6" s="15">
        <f>O6*L6</f>
        <v>130</v>
      </c>
      <c r="Q6" s="15">
        <f t="shared" si="1"/>
        <v>0.62</v>
      </c>
      <c r="R6" s="18"/>
      <c r="S6" s="1" t="s">
        <v>55</v>
      </c>
      <c r="T6" t="s">
        <v>48</v>
      </c>
      <c r="U6">
        <f>212/$Q$8*Q6</f>
        <v>48.1931244866831</v>
      </c>
    </row>
    <row r="7" spans="1:21">
      <c r="D7" s="13"/>
      <c r="E7" s="13"/>
      <c r="F7" s="13"/>
    </row>
    <row r="8" spans="1:21">
      <c r="Q8" s="4">
        <f>SUM(Q2:Q7)</f>
        <v>2.72736</v>
      </c>
    </row>
  </sheetData>
  <mergeCells count="1">
    <mergeCell ref="R2:R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2025-12-16T03:25:37Z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421CAC87581F447EBF2CCBA9CB7132C5_13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