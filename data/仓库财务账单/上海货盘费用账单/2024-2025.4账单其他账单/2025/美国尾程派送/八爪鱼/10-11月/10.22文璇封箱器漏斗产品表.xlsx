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86180</author>
  </authors>
  <commentList>
    <comment ref="L1" authorId="0">
      <text>
        <r>
          <rPr>
            <b/>
            <sz val="9"/>
            <rFont val="宋体"/>
            <charset val="134"/>
          </rPr>
          <t>86180:</t>
        </r>
        <r>
          <rPr>
            <sz val="9"/>
            <rFont val="宋体"/>
            <charset val="134"/>
          </rPr>
          <t xml:space="preserve">
箱规需填</t>
        </r>
      </text>
    </comment>
  </commentList>
</comments>
</file>

<file path=xl/sharedStrings.xml><?xml version="1.0" encoding="utf-8"?>
<sst xmlns="http://schemas.openxmlformats.org/spreadsheetml/2006/main" count="58" uniqueCount="58">
  <si>
    <t>柜子</t>
  </si>
  <si>
    <t>备注</t>
  </si>
  <si>
    <t>品名</t>
  </si>
  <si>
    <t>SKU</t>
  </si>
  <si>
    <t>FNSKU</t>
  </si>
  <si>
    <t>原ASIN</t>
  </si>
  <si>
    <t>发货套数</t>
  </si>
  <si>
    <t>套数/箱</t>
  </si>
  <si>
    <t>拣货数量</t>
  </si>
  <si>
    <t>个数/箱</t>
  </si>
  <si>
    <t>箱数</t>
  </si>
  <si>
    <t>箱规</t>
  </si>
  <si>
    <t>单箱体积</t>
  </si>
  <si>
    <t>单箱重量（kg）</t>
  </si>
  <si>
    <t>总重</t>
  </si>
  <si>
    <t>总体积</t>
  </si>
  <si>
    <t>派送仓库</t>
  </si>
  <si>
    <t>FBA ID</t>
  </si>
  <si>
    <t>原货件编号</t>
  </si>
  <si>
    <t>货件编号</t>
  </si>
  <si>
    <t>到</t>
  </si>
  <si>
    <t>FFAU5071946</t>
  </si>
  <si>
    <t>换箱唛，覆盖原箱唛，各贴两张</t>
  </si>
  <si>
    <t>封箱机</t>
  </si>
  <si>
    <t>GAW-Tape Dispenser</t>
  </si>
  <si>
    <t>X004KXU473</t>
  </si>
  <si>
    <t>B077GCV6PH</t>
  </si>
  <si>
    <t>55*33*40</t>
  </si>
  <si>
    <t>MIT2</t>
  </si>
  <si>
    <t>FBA192RL767X
Reference ID:49A7R72E</t>
  </si>
  <si>
    <t>FBA1914VRDCSU000052-FBA1914VRDCSU000081</t>
  </si>
  <si>
    <t>FBA192RL767XU000014</t>
  </si>
  <si>
    <t>FBA192RL767XU000043</t>
  </si>
  <si>
    <t>漏斗4件装白色</t>
  </si>
  <si>
    <t>GAW-Funnel-White</t>
  </si>
  <si>
    <t>X004P3SCJP</t>
  </si>
  <si>
    <t>B07RRBKM1S</t>
  </si>
  <si>
    <t>56x16x40</t>
  </si>
  <si>
    <t>FBA1914VRDCSU000036-FBA1914VRDCSU000038</t>
  </si>
  <si>
    <t>FBA192RL767XU000011</t>
  </si>
  <si>
    <t>FBA192RL767XU000013</t>
  </si>
  <si>
    <t>漏斗3件装彩色</t>
  </si>
  <si>
    <t>GAW-Funnel-CO</t>
  </si>
  <si>
    <t>X004P3SFT7</t>
  </si>
  <si>
    <t>B07RQ6RC3Q</t>
  </si>
  <si>
    <t>56x37x33</t>
  </si>
  <si>
    <t>FBA1914VRDCSU000031-FBA1914VRDCSU000035</t>
  </si>
  <si>
    <t>FBA192RL767XU000006</t>
  </si>
  <si>
    <t>FBA192RL767XU000010</t>
  </si>
  <si>
    <t>漏斗3件装黑色</t>
  </si>
  <si>
    <t>GAW-Funnel-Black</t>
  </si>
  <si>
    <t>X004P41R4V</t>
  </si>
  <si>
    <t>B07ZJZFQH4</t>
  </si>
  <si>
    <t>53x17x39</t>
  </si>
  <si>
    <t>FBA1914VRDCSU000026-FBA1914VRDCSU000030</t>
  </si>
  <si>
    <t>FBA192RL767XU000001</t>
  </si>
  <si>
    <t>FBA192RL767XU000005</t>
  </si>
  <si>
    <t>ok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</si>
</sst>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(&quot;$&quot;* #,##0.00_);_(&quot;$&quot;* \(#,##0.00\);_(&quot;$&quot;* &quot;-&quot;??_);_(@_)"/>
    <numFmt numFmtId="178" formatCode="_(* #,##0_);_(* \(#,##0\);_(* &quot;-&quot;_);_(@_)"/>
    <numFmt numFmtId="179" formatCode="_(&quot;$&quot;* #,##0_);_(&quot;$&quot;* \(#,##0\);_(&quot;$&quot;* &quot;-&quot;_);_(@_)"/>
  </numFmts>
  <fonts count="27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12"/>
      <color theme="1"/>
      <name val="宋体"/>
      <charset val="134"/>
      <scheme val="minor"/>
    </font>
    <font>
      <b/>
      <sz val="12"/>
      <color rgb="FFFF0000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theme="0" tint="-0.14996795556505"/>
      </left>
      <right style="thin">
        <color theme="0" tint="-0.14996795556505"/>
      </right>
      <top style="thin">
        <color theme="0" tint="-0.14996795556505"/>
      </top>
      <bottom style="thin">
        <color theme="0" tint="-0.1499679555650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>
      <alignment vertical="center"/>
    </xf>
    <xf numFmtId="177" fontId="0" fillId="0" borderId="0">
      <alignment vertical="center"/>
    </xf>
    <xf numFmtId="9" fontId="0" fillId="0" borderId="0">
      <alignment vertical="center"/>
    </xf>
    <xf numFmtId="178" fontId="0" fillId="0" borderId="0">
      <alignment vertical="center"/>
    </xf>
    <xf numFmtId="179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6" borderId="2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3">
      <alignment vertical="center"/>
    </xf>
    <xf numFmtId="0" fontId="12" fillId="0" borderId="3">
      <alignment vertical="center"/>
    </xf>
    <xf numFmtId="0" fontId="13" fillId="0" borderId="4">
      <alignment vertical="center"/>
    </xf>
    <xf numFmtId="0" fontId="13" fillId="0" borderId="0">
      <alignment vertical="center"/>
    </xf>
    <xf numFmtId="0" fontId="14" fillId="7" borderId="5">
      <alignment vertical="center"/>
    </xf>
    <xf numFmtId="0" fontId="15" fillId="8" borderId="6">
      <alignment vertical="center"/>
    </xf>
    <xf numFmtId="0" fontId="16" fillId="8" borderId="5">
      <alignment vertical="center"/>
    </xf>
    <xf numFmtId="0" fontId="17" fillId="9" borderId="7">
      <alignment vertical="center"/>
    </xf>
    <xf numFmtId="0" fontId="18" fillId="0" borderId="8">
      <alignment vertical="center"/>
    </xf>
    <xf numFmtId="0" fontId="19" fillId="0" borderId="9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2" fillId="12" borderId="0">
      <alignment vertical="center"/>
    </xf>
    <xf numFmtId="0" fontId="23" fillId="13" borderId="0">
      <alignment vertical="center"/>
    </xf>
    <xf numFmtId="0" fontId="24" fillId="14" borderId="0">
      <alignment vertical="center"/>
    </xf>
    <xf numFmtId="0" fontId="24" fillId="15" borderId="0">
      <alignment vertical="center"/>
    </xf>
    <xf numFmtId="0" fontId="23" fillId="16" borderId="0">
      <alignment vertical="center"/>
    </xf>
    <xf numFmtId="0" fontId="23" fillId="17" borderId="0">
      <alignment vertical="center"/>
    </xf>
    <xf numFmtId="0" fontId="24" fillId="18" borderId="0">
      <alignment vertical="center"/>
    </xf>
    <xf numFmtId="0" fontId="24" fillId="19" borderId="0">
      <alignment vertical="center"/>
    </xf>
    <xf numFmtId="0" fontId="23" fillId="20" borderId="0">
      <alignment vertical="center"/>
    </xf>
    <xf numFmtId="0" fontId="23" fillId="21" borderId="0">
      <alignment vertical="center"/>
    </xf>
    <xf numFmtId="0" fontId="24" fillId="22" borderId="0">
      <alignment vertical="center"/>
    </xf>
    <xf numFmtId="0" fontId="24" fillId="23" borderId="0">
      <alignment vertical="center"/>
    </xf>
    <xf numFmtId="0" fontId="23" fillId="24" borderId="0">
      <alignment vertical="center"/>
    </xf>
    <xf numFmtId="0" fontId="23" fillId="25" borderId="0">
      <alignment vertical="center"/>
    </xf>
    <xf numFmtId="0" fontId="24" fillId="26" borderId="0">
      <alignment vertical="center"/>
    </xf>
    <xf numFmtId="0" fontId="24" fillId="27" borderId="0">
      <alignment vertical="center"/>
    </xf>
    <xf numFmtId="0" fontId="23" fillId="28" borderId="0">
      <alignment vertical="center"/>
    </xf>
    <xf numFmtId="0" fontId="23" fillId="29" borderId="0">
      <alignment vertical="center"/>
    </xf>
    <xf numFmtId="0" fontId="24" fillId="30" borderId="0">
      <alignment vertical="center"/>
    </xf>
    <xf numFmtId="0" fontId="24" fillId="31" borderId="0">
      <alignment vertical="center"/>
    </xf>
    <xf numFmtId="0" fontId="23" fillId="32" borderId="0">
      <alignment vertical="center"/>
    </xf>
    <xf numFmtId="0" fontId="23" fillId="33" borderId="0">
      <alignment vertical="center"/>
    </xf>
    <xf numFmtId="0" fontId="24" fillId="34" borderId="0">
      <alignment vertical="center"/>
    </xf>
    <xf numFmtId="0" fontId="24" fillId="35" borderId="0">
      <alignment vertical="center"/>
    </xf>
    <xf numFmtId="0" fontId="23" fillId="36" borderId="0">
      <alignment vertical="center"/>
    </xf>
  </cellStyleXfs>
  <cellXfs count="23">
    <xf numFmtId="0" fontId="0" fillId="0" borderId="0" xfId="0" applyAlignment="1">
      <alignment vertical="center"/>
    </xf>
    <xf numFmtId="0" fontId="0" fillId="0" borderId="0" xfId="0">
      <alignment vertical="center"/>
    </xf>
    <xf numFmtId="0" fontId="1" fillId="0" borderId="0" xfId="0" applyFont="1" applyFill="1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>
      <alignment vertical="center"/>
    </xf>
    <xf numFmtId="0" fontId="0" fillId="0" borderId="0" xfId="0" applyFill="1" applyAlignment="1">
      <alignment vertical="center"/>
    </xf>
    <xf numFmtId="0" fontId="0" fillId="3" borderId="1" xfId="0" applyFill="1" applyBorder="1">
      <alignment vertical="center"/>
    </xf>
    <xf numFmtId="0" fontId="2" fillId="3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center" vertical="center"/>
    </xf>
    <xf numFmtId="0" fontId="2" fillId="3" borderId="1" xfId="0" applyFont="1" applyFill="1" applyBorder="1">
      <alignment vertical="center"/>
    </xf>
    <xf numFmtId="0" fontId="2" fillId="5" borderId="0" xfId="0" applyFont="1" applyFill="1" applyAlignment="1">
      <alignment horizontal="center" vertical="center"/>
    </xf>
    <xf numFmtId="0" fontId="0" fillId="5" borderId="0" xfId="0" applyFill="1" applyAlignment="1">
      <alignment vertical="center"/>
    </xf>
    <xf numFmtId="0" fontId="0" fillId="2" borderId="0" xfId="0" applyFill="1" applyAlignment="1">
      <alignment vertical="center"/>
    </xf>
    <xf numFmtId="0" fontId="5" fillId="0" borderId="0" xfId="0" applyFont="1" applyAlignment="1">
      <alignment horizontal="center" vertical="center" wrapText="1"/>
    </xf>
    <xf numFmtId="0" fontId="0" fillId="0" borderId="0" xfId="0" applyFill="1">
      <alignment vertical="center"/>
    </xf>
    <xf numFmtId="0" fontId="0" fillId="0" borderId="0" xfId="0" applyBorder="1">
      <alignment vertical="center"/>
    </xf>
    <xf numFmtId="0" fontId="0" fillId="0" borderId="0" xfId="0" applyFill="1" applyBorder="1" applyAlignment="1">
      <alignment horizontal="right"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Fill="1" applyBorder="1">
      <alignment vertical="center"/>
    </xf>
    <xf numFmtId="0" fontId="1" fillId="2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U8"/>
  <sheetViews>
    <sheetView tabSelected="1" workbookViewId="0">
      <pane xSplit="4" ySplit="1" topLeftCell="E2" activePane="bottomRight" state="frozen"/>
      <selection/>
      <selection pane="topRight"/>
      <selection pane="bottomLeft"/>
      <selection pane="bottomRight" activeCell="G16" sqref="G16"/>
    </sheetView>
  </sheetViews>
  <sheetFormatPr defaultColWidth="9" defaultRowHeight="13.5" outlineLevelRow="7"/>
  <cols>
    <col min="1" max="1" width="14.5416666666667" style="1" customWidth="1"/>
    <col min="2" max="2" width="9.7" style="1" customWidth="1"/>
    <col min="3" max="3" width="16.55" style="1" customWidth="1"/>
    <col min="4" max="4" width="20.45" style="1" customWidth="1"/>
    <col min="5" max="5" width="16" style="1" customWidth="1"/>
    <col min="6" max="6" width="13.9083333333333" style="1" customWidth="1"/>
    <col min="7" max="7" width="9.94166666666667" style="1" customWidth="1"/>
    <col min="8" max="8" width="8.85" style="1" customWidth="1"/>
    <col min="9" max="9" width="10.45" style="1" customWidth="1"/>
    <col min="10" max="10" width="9.38333333333333" style="1" customWidth="1"/>
    <col min="11" max="11" width="9" style="3"/>
    <col min="12" max="12" width="11.45" style="1" customWidth="1"/>
    <col min="13" max="13" width="8.55" style="1" customWidth="1"/>
    <col min="14" max="14" width="14.1166666666667" style="1" customWidth="1"/>
    <col min="15" max="15" width="7.54166666666667" style="1" customWidth="1"/>
    <col min="16" max="16" width="10.6166666666667" style="1" customWidth="1"/>
    <col min="17" max="17" width="11.1833333333333" style="1" customWidth="1"/>
    <col min="18" max="18" width="15.0583333333333" style="1" customWidth="1"/>
    <col min="19" max="19" width="40.0916666666667" style="1" customWidth="1"/>
    <col min="20" max="20" width="22.1833333333333" style="4" customWidth="1"/>
    <col min="21" max="21" width="14.1416666666667" style="4" customWidth="1"/>
    <col min="22" max="16384" width="9" style="1"/>
  </cols>
  <sheetData>
    <row r="1" s="1" customFormat="1" ht="36" customHeight="1" spans="1:21">
      <c r="A1" s="5" t="s">
        <v>0</v>
      </c>
      <c r="B1" s="5" t="s">
        <v>1</v>
      </c>
      <c r="C1" s="6" t="s">
        <v>2</v>
      </c>
      <c r="D1" s="7" t="s">
        <v>3</v>
      </c>
      <c r="E1" s="8" t="s">
        <v>4</v>
      </c>
      <c r="F1" s="9" t="s">
        <v>5</v>
      </c>
      <c r="G1" s="9" t="s">
        <v>6</v>
      </c>
      <c r="H1" s="9" t="s">
        <v>7</v>
      </c>
      <c r="I1" s="10" t="s">
        <v>8</v>
      </c>
      <c r="J1" s="11" t="s">
        <v>9</v>
      </c>
      <c r="K1" s="9" t="s">
        <v>10</v>
      </c>
      <c r="L1" s="12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13" t="s">
        <v>16</v>
      </c>
      <c r="R1" s="14" t="s">
        <v>17</v>
      </c>
      <c r="S1" s="5" t="s">
        <v>18</v>
      </c>
      <c r="T1" s="15" t="s">
        <v>19</v>
      </c>
      <c r="U1" s="15" t="s">
        <v>20</v>
      </c>
    </row>
    <row r="2" s="1" customFormat="1" spans="1:21">
      <c r="A2" s="3" t="s">
        <v>21</v>
      </c>
      <c r="B2" s="16" t="s">
        <v>22</v>
      </c>
      <c r="C2" s="1" t="s">
        <v>23</v>
      </c>
      <c r="D2" s="1" t="s">
        <v>24</v>
      </c>
      <c r="E2" s="1" t="s">
        <v>25</v>
      </c>
      <c r="F2" s="1" t="s">
        <v>26</v>
      </c>
      <c r="G2" s="17">
        <v>360</v>
      </c>
      <c r="H2" s="1">
        <v>12</v>
      </c>
      <c r="I2" s="18">
        <f>G2</f>
        <v>360</v>
      </c>
      <c r="J2" s="1">
        <v>12</v>
      </c>
      <c r="K2" s="1">
        <f>G2/H2</f>
        <v>30</v>
      </c>
      <c r="L2" s="1" t="s">
        <v>27</v>
      </c>
      <c r="M2" s="1">
        <v>0.0726</v>
      </c>
      <c r="N2" s="1">
        <v>10.89</v>
      </c>
      <c r="O2" s="19">
        <f>N2*K2</f>
        <v>326.7</v>
      </c>
      <c r="P2" s="19">
        <f>M2*K2</f>
        <v>2.178</v>
      </c>
      <c r="Q2" s="3" t="s">
        <v>28</v>
      </c>
      <c r="R2" s="20" t="s">
        <v>29</v>
      </c>
      <c r="S2" s="1" t="s">
        <v>30</v>
      </c>
      <c r="T2" s="4" t="s">
        <v>31</v>
      </c>
      <c r="U2" s="4" t="s">
        <v>32</v>
      </c>
    </row>
    <row r="3" s="2" customFormat="1" spans="1:21">
      <c r="A3" s="3"/>
      <c r="B3" s="16"/>
      <c r="C3" s="21" t="s">
        <v>33</v>
      </c>
      <c r="D3" s="21" t="s">
        <v>34</v>
      </c>
      <c r="E3" s="21" t="s">
        <v>35</v>
      </c>
      <c r="F3" s="21" t="s">
        <v>36</v>
      </c>
      <c r="G3" s="21">
        <v>120</v>
      </c>
      <c r="H3" s="21">
        <v>40</v>
      </c>
      <c r="I3" s="21">
        <f>G3</f>
        <v>120</v>
      </c>
      <c r="J3" s="21">
        <f t="shared" ref="J3:J5" si="0">H3</f>
        <v>40</v>
      </c>
      <c r="K3" s="21">
        <f>G3/H3</f>
        <v>3</v>
      </c>
      <c r="L3" s="21" t="s">
        <v>37</v>
      </c>
      <c r="M3" s="21">
        <v>0.036</v>
      </c>
      <c r="N3" s="21">
        <v>2.5</v>
      </c>
      <c r="O3" s="21">
        <f>N3*K3</f>
        <v>7.5</v>
      </c>
      <c r="P3" s="21">
        <f>M3*K3</f>
        <v>0.108</v>
      </c>
      <c r="Q3" s="3"/>
      <c r="R3" s="3"/>
      <c r="S3" s="1" t="s">
        <v>38</v>
      </c>
      <c r="T3" s="22" t="s">
        <v>39</v>
      </c>
      <c r="U3" s="22" t="s">
        <v>40</v>
      </c>
    </row>
    <row r="4" s="2" customFormat="1" spans="1:21">
      <c r="A4" s="3"/>
      <c r="B4" s="16"/>
      <c r="C4" s="21" t="s">
        <v>41</v>
      </c>
      <c r="D4" s="21" t="s">
        <v>42</v>
      </c>
      <c r="E4" s="21" t="s">
        <v>43</v>
      </c>
      <c r="F4" s="21" t="s">
        <v>44</v>
      </c>
      <c r="G4" s="21">
        <v>100</v>
      </c>
      <c r="H4" s="21">
        <v>20</v>
      </c>
      <c r="I4" s="21">
        <f>G4</f>
        <v>100</v>
      </c>
      <c r="J4" s="21">
        <f t="shared" si="0"/>
        <v>20</v>
      </c>
      <c r="K4" s="21">
        <f>G4/H4</f>
        <v>5</v>
      </c>
      <c r="L4" s="21" t="s">
        <v>45</v>
      </c>
      <c r="M4" s="21">
        <v>0.068</v>
      </c>
      <c r="N4" s="21">
        <v>3.2</v>
      </c>
      <c r="O4" s="21">
        <f>N4*K4</f>
        <v>16</v>
      </c>
      <c r="P4" s="21">
        <f>M4*K4</f>
        <v>0.34</v>
      </c>
      <c r="Q4" s="3"/>
      <c r="R4" s="3"/>
      <c r="S4" s="1" t="s">
        <v>46</v>
      </c>
      <c r="T4" s="22" t="s">
        <v>47</v>
      </c>
      <c r="U4" s="22" t="s">
        <v>48</v>
      </c>
    </row>
    <row r="5" s="2" customFormat="1" spans="1:21">
      <c r="A5" s="3"/>
      <c r="B5" s="16"/>
      <c r="C5" s="21" t="s">
        <v>49</v>
      </c>
      <c r="D5" s="21" t="s">
        <v>50</v>
      </c>
      <c r="E5" s="21" t="s">
        <v>51</v>
      </c>
      <c r="F5" s="21" t="s">
        <v>52</v>
      </c>
      <c r="G5" s="21">
        <v>100</v>
      </c>
      <c r="H5" s="21">
        <v>20</v>
      </c>
      <c r="I5" s="21">
        <f>G5</f>
        <v>100</v>
      </c>
      <c r="J5" s="21">
        <f t="shared" si="0"/>
        <v>20</v>
      </c>
      <c r="K5" s="21">
        <f>G5/H5</f>
        <v>5</v>
      </c>
      <c r="L5" s="21" t="s">
        <v>53</v>
      </c>
      <c r="M5" s="21">
        <v>0.035</v>
      </c>
      <c r="N5" s="21">
        <v>2.6</v>
      </c>
      <c r="O5" s="21">
        <f>N5*K5</f>
        <v>13</v>
      </c>
      <c r="P5" s="21">
        <f>M5*K5</f>
        <v>0.175</v>
      </c>
      <c r="Q5" s="3"/>
      <c r="R5" s="3"/>
      <c r="S5" s="1" t="s">
        <v>54</v>
      </c>
      <c r="T5" s="22" t="s">
        <v>55</v>
      </c>
      <c r="U5" s="22" t="s">
        <v>56</v>
      </c>
    </row>
    <row r="6" spans="1:21">
      <c r="K6" s="3">
        <f>SUM(K2:K5)</f>
        <v>43</v>
      </c>
    </row>
    <row r="8" s="1" customFormat="1" spans="1:21">
      <c r="K8" s="3"/>
      <c r="L8" s="1" t="s">
        <v>57</v>
      </c>
      <c r="T8" s="4"/>
      <c r="U8" s="4"/>
    </row>
  </sheetData>
  <mergeCells count="4">
    <mergeCell ref="A2:A5"/>
    <mergeCell ref="B2:B5"/>
    <mergeCell ref="Q2:Q5"/>
    <mergeCell ref="R2:R5"/>
  </mergeCells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张振宇</dc:creator>
  <cp:lastModifiedBy>蓓蓓</cp:lastModifiedBy>
  <dcterms:created xsi:type="dcterms:W3CDTF">2023-05-12T11:15:00Z</dcterms:created>
  <dcterms:modified xsi:type="dcterms:W3CDTF">2025-12-16T02:51:09Z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42D5D4EC49CA45B4B80103DA1F177AA3_13</vt:lpwstr>
  </property>
  <property fmtid="{D5CDD505-2E9C-101B-9397-08002B2CF9AE}" pid="4" name="CalculationRule">
    <vt:i4>0</vt:i4>
  </property>
</Properties>
</file>