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definedNames>
    <definedName name="mattresscoveritem_display_width_unit_of_measure">'[1]Dropdown Lists'!$F$4:$F$18</definedName>
    <definedName name="requiredAttributePTDMap">[2]AttributePTDMAP!$A$1:$C$27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<sst xmlns="http://schemas.openxmlformats.org/spreadsheetml/2006/main" count="101" uniqueCount="75">
  <si>
    <t>仓库</t>
  </si>
  <si>
    <t>备注-柜号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</si>
  <si>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</si>
  <si>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</si>
  <si>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</si>
  <si>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</si>
  <si>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</si>
  <si>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</si>
  <si>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</si>
  <si>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</si>
  <si>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</si>
  <si>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</si>
  <si>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</si>
  <si>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 xml:space="preserve"> 单箱重量（kg）</t>
  </si>
  <si>
    <t>总重</t>
  </si>
  <si>
    <t>总体积</t>
  </si>
  <si>
    <t>派送仓库</t>
  </si>
  <si>
    <t>FBA ID</t>
  </si>
  <si>
    <t>to</t>
  </si>
  <si>
    <t>李若霜</t>
  </si>
  <si>
    <t>XYLU8162600
拣出来贴箱唛发走</t>
  </si>
  <si>
    <t>毛巾棉12-15" King</t>
  </si>
  <si>
    <t>HBER004-K-12-15</t>
  </si>
  <si>
    <t>X004NN5CEZ</t>
  </si>
  <si>
    <t>B004BACOYU</t>
  </si>
  <si>
    <t>61x32x34</t>
  </si>
  <si>
    <t>HLI2</t>
  </si>
  <si>
    <t>FBA192J2QDZKU000015</t>
  </si>
  <si>
    <t>FBA192J2QDZKU000023</t>
  </si>
  <si>
    <t>毛巾棉12-15" Queen</t>
  </si>
  <si>
    <t>HBER004-Q-12-15</t>
  </si>
  <si>
    <t>X004NN5EG1</t>
  </si>
  <si>
    <t>B004BAEFK6</t>
  </si>
  <si>
    <t>FBA192J2QDZKU000033</t>
  </si>
  <si>
    <t>FBA192J2QDZKU000041</t>
  </si>
  <si>
    <t>毛巾棉15-18" Queen</t>
  </si>
  <si>
    <t>HBER004-Q-15-18</t>
  </si>
  <si>
    <t>X004NNTNGN</t>
  </si>
  <si>
    <t>B004BAEFWY</t>
  </si>
  <si>
    <t>FBA192J2QDZKU000042</t>
  </si>
  <si>
    <t>FBA192J2QDZKU000050</t>
  </si>
  <si>
    <t>毛巾棉15-18" King</t>
  </si>
  <si>
    <t>HBER004-K-15-18</t>
  </si>
  <si>
    <t>X004NNP1FP</t>
  </si>
  <si>
    <t>B004BA8WBE</t>
  </si>
  <si>
    <t>FBA192J2QDZKU000024</t>
  </si>
  <si>
    <t>FBA192J2QDZKU000032</t>
  </si>
  <si>
    <t>毛巾棉12-15" Twin</t>
  </si>
  <si>
    <t>HBER004-T-12-15</t>
  </si>
  <si>
    <t>X004NNKCLN</t>
  </si>
  <si>
    <t>B004VMYD92</t>
  </si>
  <si>
    <t>57x30x36</t>
  </si>
  <si>
    <t>FBA192J2QDZKU000051</t>
  </si>
  <si>
    <t>FBA192J2QDZKU000055</t>
  </si>
  <si>
    <t>光面9"Queen</t>
  </si>
  <si>
    <t>HBER002-Q</t>
  </si>
  <si>
    <t>X004NE70WL</t>
  </si>
  <si>
    <t>B00C2TRA6Y</t>
  </si>
  <si>
    <t>FBA192J2QDZKU000001</t>
  </si>
  <si>
    <t>FBA192J2QDZKU000007</t>
  </si>
  <si>
    <t>毛巾棉 6-9" Twin</t>
  </si>
  <si>
    <t>HBER004-T-6-9</t>
  </si>
  <si>
    <t>X004NN5CEP</t>
  </si>
  <si>
    <t>B004BA8UWA</t>
  </si>
  <si>
    <t>FBA192J2QDZKU000056</t>
  </si>
  <si>
    <t>FBA192J2QDZKU000060</t>
  </si>
  <si>
    <t>毛巾棉9-12" Full</t>
  </si>
  <si>
    <t>HBER004-F-9-12</t>
  </si>
  <si>
    <t>X004NNLGEP</t>
  </si>
  <si>
    <t>B004BAB28O</t>
  </si>
  <si>
    <t>57x30x37</t>
  </si>
  <si>
    <t>FBA192J2QDZKU000008</t>
  </si>
  <si>
    <t>FBA192J2QDZKU000014</t>
  </si>
  <si>
    <t>ok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</si>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</sst>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.5"/>
      <color rgb="FF696969"/>
      <name val="Arial"/>
      <charset val="134"/>
    </font>
    <font>
      <sz val="9"/>
      <color rgb="FF000000"/>
      <name val="Calibri"/>
      <charset val="0"/>
    </font>
    <font>
      <sz val="10.5"/>
      <color rgb="FF232F3E"/>
      <name val="Arial"/>
      <charset val="134"/>
    </font>
    <font>
      <sz val="8"/>
      <color rgb="FF000000"/>
      <name val="Helvetica"/>
      <charset val="134"/>
    </font>
    <font>
      <sz val="10.5"/>
      <color rgb="FF00758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7" fillId="6" borderId="0" xfId="0" applyFont="1" applyFill="1" applyBorder="1" applyAlignment="1">
      <alignment horizontal="left" vertical="top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635;&#34920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KU总表"/>
      <sheetName val="利润核算"/>
      <sheetName val="竞品ASIN"/>
    </sheetNames>
    <sheetDataSet>
      <sheetData sheetId="0"/>
      <sheetData sheetId="1">
        <row r="1">
          <cell r="A1" t="str">
            <v>自定义SKU</v>
          </cell>
          <cell r="B1" t="str">
            <v>品名</v>
          </cell>
          <cell r="C1" t="str">
            <v>产品ASIN</v>
          </cell>
          <cell r="D1" t="str">
            <v>FNSKU</v>
          </cell>
          <cell r="E1" t="str">
            <v>竞品ASIN
(仓库代码）</v>
          </cell>
          <cell r="F1" t="str">
            <v>类目</v>
          </cell>
          <cell r="G1" t="str">
            <v>竞品FBA</v>
          </cell>
        </row>
        <row r="1">
          <cell r="I1" t="str">
            <v>FBA配送费</v>
          </cell>
          <cell r="J1" t="str">
            <v>采购成本</v>
          </cell>
          <cell r="K1" t="str">
            <v>头程</v>
          </cell>
          <cell r="L1" t="str">
            <v>单品体积</v>
          </cell>
          <cell r="M1" t="str">
            <v>个/箱</v>
          </cell>
        </row>
        <row r="2">
          <cell r="A2" t="str">
            <v>账号10美国</v>
          </cell>
        </row>
        <row r="3">
          <cell r="A3" t="str">
            <v>HBER001</v>
          </cell>
        </row>
        <row r="3">
          <cell r="C3" t="str">
            <v>B0F4VM7TDC</v>
          </cell>
          <cell r="D3" t="str">
            <v>X004NE506J</v>
          </cell>
          <cell r="E3" t="str">
            <v>B071DZW1WP</v>
          </cell>
        </row>
        <row r="3">
          <cell r="I3">
            <v>8.84</v>
          </cell>
        </row>
        <row r="3">
          <cell r="K3">
            <v>5.47062760416667</v>
          </cell>
        </row>
        <row r="3">
          <cell r="M3">
            <v>6</v>
          </cell>
        </row>
        <row r="4">
          <cell r="A4" t="str">
            <v>HBER002-Q</v>
          </cell>
          <cell r="B4" t="str">
            <v>光面9"Queen</v>
          </cell>
          <cell r="C4" t="str">
            <v>B0F4WDNQTZ</v>
          </cell>
          <cell r="D4" t="str">
            <v>X004NE70WL</v>
          </cell>
          <cell r="E4" t="str">
            <v>B00C2TRA6Y</v>
          </cell>
        </row>
        <row r="4">
          <cell r="G4">
            <v>6.47</v>
          </cell>
        </row>
        <row r="4">
          <cell r="I4">
            <v>7.24</v>
          </cell>
        </row>
        <row r="4">
          <cell r="K4">
            <v>2.20762109375</v>
          </cell>
        </row>
        <row r="4">
          <cell r="M4">
            <v>8</v>
          </cell>
        </row>
        <row r="5">
          <cell r="A5" t="str">
            <v>HBER002-TXL</v>
          </cell>
          <cell r="B5" t="str">
            <v>光面9"TWIN XL</v>
          </cell>
          <cell r="C5" t="str">
            <v>B0F4VWXT1P</v>
          </cell>
          <cell r="D5" t="str">
            <v>X004NE9FE7</v>
          </cell>
          <cell r="E5" t="str">
            <v>B004BAPK0K</v>
          </cell>
        </row>
        <row r="5">
          <cell r="G5">
            <v>6.21</v>
          </cell>
        </row>
        <row r="5">
          <cell r="I5">
            <v>6.21</v>
          </cell>
        </row>
        <row r="5">
          <cell r="K5">
            <v>3.47481640625</v>
          </cell>
        </row>
        <row r="5">
          <cell r="M5">
            <v>10</v>
          </cell>
        </row>
        <row r="6">
          <cell r="A6" t="str">
            <v>HBER002-K</v>
          </cell>
          <cell r="B6" t="str">
            <v>光面9"King split</v>
          </cell>
          <cell r="C6" t="str">
            <v>B0F4WXYTQQ</v>
          </cell>
          <cell r="D6" t="str">
            <v>X004NEPKVT</v>
          </cell>
          <cell r="E6" t="str">
            <v>B00H7KZ5K6</v>
          </cell>
        </row>
        <row r="6">
          <cell r="G6">
            <v>7.79</v>
          </cell>
        </row>
        <row r="6">
          <cell r="I6">
            <v>6.21</v>
          </cell>
        </row>
        <row r="6">
          <cell r="K6">
            <v>3.31144878472222</v>
          </cell>
        </row>
        <row r="6">
          <cell r="M6">
            <v>6</v>
          </cell>
        </row>
        <row r="7">
          <cell r="A7" t="str">
            <v>HBER003</v>
          </cell>
        </row>
        <row r="7">
          <cell r="C7" t="str">
            <v>B0F4X6BHTN</v>
          </cell>
          <cell r="D7" t="str">
            <v>X004NEOCAJ</v>
          </cell>
          <cell r="E7" t="str">
            <v>B003PWNGK6</v>
          </cell>
        </row>
        <row r="7">
          <cell r="G7">
            <v>6.05</v>
          </cell>
        </row>
        <row r="7">
          <cell r="I7">
            <v>6.05</v>
          </cell>
        </row>
        <row r="7">
          <cell r="K7">
            <v>2.70198111979167</v>
          </cell>
        </row>
        <row r="7">
          <cell r="M7">
            <v>12</v>
          </cell>
        </row>
        <row r="8">
          <cell r="A8" t="str">
            <v>HBER004-K-6-9</v>
          </cell>
          <cell r="B8" t="str">
            <v>毛巾棉6-9" King</v>
          </cell>
          <cell r="C8" t="str">
            <v>B0F52YC93D</v>
          </cell>
          <cell r="D8" t="str">
            <v>X004NNLSGB</v>
          </cell>
          <cell r="E8" t="str">
            <v>B004BAEERK</v>
          </cell>
        </row>
        <row r="8">
          <cell r="I8">
            <v>7.48</v>
          </cell>
        </row>
        <row r="8">
          <cell r="K8">
            <v>3.37027499999999</v>
          </cell>
        </row>
        <row r="8">
          <cell r="M8">
            <v>6</v>
          </cell>
        </row>
        <row r="9">
          <cell r="A9" t="str">
            <v>HBER004-K-9-12</v>
          </cell>
          <cell r="B9" t="str">
            <v>毛巾棉9-12" King</v>
          </cell>
          <cell r="C9" t="str">
            <v>B0F531VCTY</v>
          </cell>
          <cell r="D9" t="str">
            <v>X004NNLGEF</v>
          </cell>
          <cell r="E9" t="str">
            <v>B004BAB2LG</v>
          </cell>
        </row>
        <row r="9">
          <cell r="G9">
            <v>7.33</v>
          </cell>
        </row>
        <row r="9">
          <cell r="I9">
            <v>7.56</v>
          </cell>
        </row>
        <row r="9">
          <cell r="K9">
            <v>3.34694166666666</v>
          </cell>
        </row>
        <row r="9">
          <cell r="M9">
            <v>6</v>
          </cell>
        </row>
        <row r="10">
          <cell r="A10" t="str">
            <v>HBER004-K-12-15</v>
          </cell>
          <cell r="B10" t="str">
            <v>毛巾棉12-15" King</v>
          </cell>
          <cell r="C10" t="str">
            <v>B0F52XWSBG</v>
          </cell>
          <cell r="D10" t="str">
            <v>X004NN5CEZ</v>
          </cell>
          <cell r="E10" t="str">
            <v>B004BACOYU</v>
          </cell>
          <cell r="F10" t="str">
            <v>备货</v>
          </cell>
          <cell r="G10">
            <v>7.99</v>
          </cell>
        </row>
        <row r="10">
          <cell r="I10">
            <v>7.56</v>
          </cell>
        </row>
        <row r="10">
          <cell r="K10">
            <v>3.39360833333332</v>
          </cell>
        </row>
        <row r="10">
          <cell r="M10">
            <v>6</v>
          </cell>
        </row>
        <row r="11">
          <cell r="A11" t="str">
            <v>HBER004-K-15-18</v>
          </cell>
          <cell r="B11" t="str">
            <v>毛巾棉15-18" King</v>
          </cell>
          <cell r="C11" t="str">
            <v>B0F52YH6CV</v>
          </cell>
          <cell r="D11" t="str">
            <v>X004NNP1FP</v>
          </cell>
          <cell r="E11" t="str">
            <v>B004BA8WBE</v>
          </cell>
          <cell r="F11" t="str">
            <v>备货</v>
          </cell>
          <cell r="G11">
            <v>7.41</v>
          </cell>
        </row>
        <row r="11">
          <cell r="I11">
            <v>7.64</v>
          </cell>
        </row>
        <row r="11">
          <cell r="K11">
            <v>3.60360833333333</v>
          </cell>
        </row>
        <row r="11">
          <cell r="M11">
            <v>6</v>
          </cell>
        </row>
        <row r="12">
          <cell r="A12" t="str">
            <v>HBER004-F-6-9</v>
          </cell>
          <cell r="B12" t="str">
            <v>毛巾棉6-9" Full</v>
          </cell>
          <cell r="C12" t="str">
            <v>B0F5344N7Q</v>
          </cell>
          <cell r="D12" t="str">
            <v>X004NN5CEF</v>
          </cell>
          <cell r="E12" t="str">
            <v>B004BAB1RG</v>
          </cell>
        </row>
        <row r="12">
          <cell r="G12">
            <v>6.93</v>
          </cell>
        </row>
        <row r="12">
          <cell r="I12">
            <v>7.16</v>
          </cell>
        </row>
        <row r="12">
          <cell r="K12">
            <v>4.57677669270833</v>
          </cell>
        </row>
        <row r="12">
          <cell r="M12">
            <v>8</v>
          </cell>
        </row>
        <row r="13">
          <cell r="A13" t="str">
            <v>HBER004-F-9-12</v>
          </cell>
          <cell r="B13" t="str">
            <v>毛巾棉9-12" Full</v>
          </cell>
          <cell r="C13" t="str">
            <v>B0F532X8JC</v>
          </cell>
          <cell r="D13" t="str">
            <v>X004NNLGEP</v>
          </cell>
          <cell r="E13" t="str">
            <v>B004BAB28O</v>
          </cell>
        </row>
        <row r="13">
          <cell r="G13">
            <v>6.93</v>
          </cell>
        </row>
        <row r="13">
          <cell r="I13">
            <v>7.16</v>
          </cell>
        </row>
        <row r="13">
          <cell r="K13">
            <v>2.93005501302083</v>
          </cell>
        </row>
        <row r="13">
          <cell r="M13">
            <v>8</v>
          </cell>
        </row>
        <row r="14">
          <cell r="A14" t="str">
            <v>HBER004-Q-12-15</v>
          </cell>
          <cell r="B14" t="str">
            <v>毛巾棉12-15" Queen</v>
          </cell>
          <cell r="C14" t="str">
            <v>B0F532M2G2</v>
          </cell>
          <cell r="D14" t="str">
            <v>X004NN5EG1</v>
          </cell>
          <cell r="E14" t="str">
            <v>B004BAEFK6</v>
          </cell>
          <cell r="F14" t="str">
            <v>备货</v>
          </cell>
          <cell r="G14">
            <v>7.09</v>
          </cell>
        </row>
        <row r="14">
          <cell r="I14">
            <v>7.32</v>
          </cell>
        </row>
        <row r="14">
          <cell r="K14">
            <v>3.57444166666666</v>
          </cell>
        </row>
        <row r="14">
          <cell r="M14">
            <v>6</v>
          </cell>
        </row>
        <row r="15">
          <cell r="A15" t="str">
            <v>HBER004-Q-15-18</v>
          </cell>
          <cell r="B15" t="str">
            <v>毛巾棉15-18" Queen</v>
          </cell>
          <cell r="C15" t="str">
            <v>B0F53238Z6</v>
          </cell>
          <cell r="D15" t="str">
            <v>X004NNTNGN</v>
          </cell>
          <cell r="E15" t="str">
            <v>B004BAEFWY</v>
          </cell>
        </row>
        <row r="15">
          <cell r="G15">
            <v>7.33</v>
          </cell>
        </row>
        <row r="15">
          <cell r="I15">
            <v>7.56</v>
          </cell>
        </row>
        <row r="15">
          <cell r="K15">
            <v>3.51610833333332</v>
          </cell>
        </row>
        <row r="15">
          <cell r="M15">
            <v>6</v>
          </cell>
        </row>
        <row r="16">
          <cell r="A16" t="str">
            <v>HBER004-T-6-9</v>
          </cell>
          <cell r="B16" t="str">
            <v>毛巾棉 6-9" Twin</v>
          </cell>
          <cell r="C16" t="str">
            <v>B0F53GFYT6</v>
          </cell>
          <cell r="D16" t="str">
            <v>X004NN5CEP</v>
          </cell>
          <cell r="E16" t="str">
            <v>B004BA8UWA</v>
          </cell>
        </row>
        <row r="16">
          <cell r="G16">
            <v>6.07</v>
          </cell>
        </row>
        <row r="16">
          <cell r="I16">
            <v>6.21</v>
          </cell>
        </row>
        <row r="16">
          <cell r="K16">
            <v>2.256096875</v>
          </cell>
        </row>
        <row r="16">
          <cell r="M16">
            <v>10</v>
          </cell>
        </row>
        <row r="17">
          <cell r="A17" t="str">
            <v>HBER004-T-9-12</v>
          </cell>
          <cell r="B17" t="str">
            <v>毛巾棉9-12" Twin</v>
          </cell>
          <cell r="C17" t="str">
            <v>B0F535M2YT</v>
          </cell>
          <cell r="D17" t="str">
            <v>X004NNKCLD</v>
          </cell>
          <cell r="E17" t="str">
            <v>B01B51NXKQ</v>
          </cell>
        </row>
        <row r="17">
          <cell r="G17">
            <v>7.16</v>
          </cell>
        </row>
        <row r="17">
          <cell r="I17">
            <v>7.08</v>
          </cell>
        </row>
        <row r="17">
          <cell r="K17">
            <v>2.256096875</v>
          </cell>
        </row>
        <row r="17">
          <cell r="M17">
            <v>10</v>
          </cell>
        </row>
        <row r="18">
          <cell r="A18" t="str">
            <v>HBER004-T-12-15</v>
          </cell>
          <cell r="B18" t="str">
            <v>毛巾棉12-15" Twin</v>
          </cell>
          <cell r="C18" t="str">
            <v>B0F531N4LV</v>
          </cell>
          <cell r="D18" t="str">
            <v>X004NNKCLN</v>
          </cell>
          <cell r="E18" t="str">
            <v>B004VMYD92</v>
          </cell>
        </row>
        <row r="18">
          <cell r="G18">
            <v>6.48</v>
          </cell>
        </row>
        <row r="18">
          <cell r="I18">
            <v>6.62</v>
          </cell>
        </row>
        <row r="18">
          <cell r="K18">
            <v>1.836096875</v>
          </cell>
        </row>
        <row r="18">
          <cell r="M18">
            <v>10</v>
          </cell>
        </row>
        <row r="19">
          <cell r="A19" t="str">
            <v>HBER004-TXL-6-9</v>
          </cell>
          <cell r="B19" t="str">
            <v>毛巾棉6-9" Twin XL</v>
          </cell>
          <cell r="C19" t="str">
            <v>B0F531N1JZ</v>
          </cell>
          <cell r="D19" t="str">
            <v>X004NNLSG1</v>
          </cell>
          <cell r="E19" t="str">
            <v>B004VN316M</v>
          </cell>
        </row>
        <row r="19">
          <cell r="G19">
            <v>6.62</v>
          </cell>
        </row>
        <row r="19">
          <cell r="I19">
            <v>6.62</v>
          </cell>
        </row>
        <row r="19">
          <cell r="K19">
            <v>1.836096875</v>
          </cell>
        </row>
        <row r="19">
          <cell r="M19">
            <v>10</v>
          </cell>
        </row>
        <row r="20">
          <cell r="A20" t="str">
            <v>HBER004-TXL-9-12</v>
          </cell>
          <cell r="B20" t="str">
            <v>毛巾棉9-12" Twin XL</v>
          </cell>
          <cell r="C20" t="str">
            <v>B0F5346C1M</v>
          </cell>
          <cell r="D20" t="str">
            <v>X004NNP3SF</v>
          </cell>
          <cell r="E20" t="str">
            <v>B00B50IA56</v>
          </cell>
        </row>
        <row r="20">
          <cell r="G20">
            <v>6.77</v>
          </cell>
        </row>
        <row r="20">
          <cell r="I20">
            <v>7</v>
          </cell>
        </row>
        <row r="20">
          <cell r="K20">
            <v>1.836096875</v>
          </cell>
        </row>
        <row r="20">
          <cell r="M20">
            <v>10</v>
          </cell>
        </row>
        <row r="21">
          <cell r="A21" t="str">
            <v>HBER0005-pillow</v>
          </cell>
        </row>
        <row r="21">
          <cell r="C21" t="str">
            <v>B0FK9N267V</v>
          </cell>
          <cell r="D21" t="str">
            <v>X004S397Y1</v>
          </cell>
          <cell r="E21" t="str">
            <v>B07PYRL8QM</v>
          </cell>
        </row>
        <row r="21">
          <cell r="J21" t="str">
            <v/>
          </cell>
        </row>
        <row r="22">
          <cell r="A22" t="str">
            <v>HBER0006-whiteboard</v>
          </cell>
        </row>
        <row r="22">
          <cell r="E22" t="str">
            <v>B07GSF11XX</v>
          </cell>
        </row>
        <row r="23">
          <cell r="F23">
            <v>0.066368</v>
          </cell>
          <cell r="G23">
            <v>2</v>
          </cell>
        </row>
        <row r="26">
          <cell r="J26" t="str">
            <v/>
          </cell>
        </row>
        <row r="27">
          <cell r="A27" t="str">
            <v>账号10德国</v>
          </cell>
        </row>
        <row r="27">
          <cell r="J27" t="str">
            <v/>
          </cell>
        </row>
        <row r="28">
          <cell r="A28" t="str">
            <v>10DE-L-sponge pillow</v>
          </cell>
          <cell r="B28" t="str">
            <v>海绵枕king2个装</v>
          </cell>
          <cell r="C28" t="str">
            <v>B0F9FDY14R</v>
          </cell>
          <cell r="D28" t="str">
            <v>X002B8PU8T</v>
          </cell>
          <cell r="E28" t="str">
            <v>B07PYRL8QM</v>
          </cell>
        </row>
        <row r="28">
          <cell r="I28">
            <v>5.69</v>
          </cell>
          <cell r="J28">
            <v>16.79</v>
          </cell>
        </row>
        <row r="29">
          <cell r="A29" t="str">
            <v>11DE-L-Body Pillow</v>
          </cell>
          <cell r="B29" t="str">
            <v>海绵枕</v>
          </cell>
          <cell r="C29" t="str">
            <v>B0F9FFZMJT</v>
          </cell>
          <cell r="D29" t="str">
            <v>X002B8SWX9</v>
          </cell>
          <cell r="E29" t="str">
            <v>B07RGKP59J</v>
          </cell>
        </row>
        <row r="29">
          <cell r="I29">
            <v>5.69</v>
          </cell>
          <cell r="J29">
            <v>9.29</v>
          </cell>
        </row>
        <row r="30">
          <cell r="A30" t="str">
            <v>10DE-L-bicycle seat-white</v>
          </cell>
          <cell r="B30" t="str">
            <v>自行车座椅</v>
          </cell>
          <cell r="C30" t="str">
            <v>B0F9FH212T</v>
          </cell>
          <cell r="D30" t="str">
            <v>B0F9FH212T</v>
          </cell>
          <cell r="E30" t="str">
            <v>B01MF9CC1K</v>
          </cell>
        </row>
        <row r="30">
          <cell r="I30">
            <v>4.94</v>
          </cell>
          <cell r="J30">
            <v>4.98</v>
          </cell>
        </row>
        <row r="31">
          <cell r="A31" t="str">
            <v>10DE-L-bicycle seat-black</v>
          </cell>
          <cell r="B31" t="str">
            <v>自行车座椅</v>
          </cell>
          <cell r="C31" t="str">
            <v>B0F9FGX4HJ</v>
          </cell>
          <cell r="D31" t="str">
            <v>B0F9FGX4HJ</v>
          </cell>
          <cell r="E31" t="str">
            <v>B07BMX71L2</v>
          </cell>
        </row>
        <row r="31">
          <cell r="I31">
            <v>4.94</v>
          </cell>
          <cell r="J31">
            <v>6.02</v>
          </cell>
        </row>
        <row r="32">
          <cell r="A32" t="str">
            <v>10DE-L-Foam Saddle</v>
          </cell>
          <cell r="B32" t="str">
            <v>自行车座椅</v>
          </cell>
          <cell r="C32" t="str">
            <v>B0F9FGB51M</v>
          </cell>
          <cell r="D32" t="str">
            <v>B0F9FGB51M</v>
          </cell>
          <cell r="E32" t="str">
            <v>B07H8GTTCQ</v>
          </cell>
        </row>
        <row r="32">
          <cell r="I32">
            <v>4.71</v>
          </cell>
          <cell r="J32">
            <v>3.72</v>
          </cell>
        </row>
        <row r="33">
          <cell r="A33" t="str">
            <v>10DE-L-Square Jar</v>
          </cell>
          <cell r="B33" t="str">
            <v>方形玻璃储物罐</v>
          </cell>
          <cell r="C33" t="str">
            <v>B0F9FJVKH8</v>
          </cell>
          <cell r="D33" t="str">
            <v>B0F9FJVKH8</v>
          </cell>
          <cell r="E33" t="str">
            <v>B07F8VGZQZ</v>
          </cell>
        </row>
        <row r="33">
          <cell r="I33">
            <v>5.31</v>
          </cell>
          <cell r="J33">
            <v>1.86</v>
          </cell>
        </row>
        <row r="34">
          <cell r="A34" t="str">
            <v>10DE-L-candy jar</v>
          </cell>
          <cell r="B34" t="str">
            <v>糖果罐</v>
          </cell>
          <cell r="C34" t="str">
            <v>B0F9L45YVM</v>
          </cell>
          <cell r="D34" t="str">
            <v>X002B9QBZT</v>
          </cell>
          <cell r="E34" t="str">
            <v>B095J5PK57</v>
          </cell>
        </row>
        <row r="34">
          <cell r="I34">
            <v>4.03</v>
          </cell>
          <cell r="J34">
            <v>3.91</v>
          </cell>
        </row>
        <row r="35">
          <cell r="A35" t="str">
            <v>10DE-L-Mason jar</v>
          </cell>
          <cell r="B35" t="str">
            <v>糖果罐</v>
          </cell>
          <cell r="C35" t="str">
            <v>B0F9L55LP2</v>
          </cell>
          <cell r="D35" t="str">
            <v>B0F9L55LP2</v>
          </cell>
          <cell r="E35" t="str">
            <v>B096WC8L1N</v>
          </cell>
        </row>
        <row r="35">
          <cell r="I35">
            <v>4.71</v>
          </cell>
          <cell r="J35">
            <v>4.95</v>
          </cell>
        </row>
        <row r="36">
          <cell r="A36" t="str">
            <v>10DE-L-BluBox Bottle Brushes</v>
          </cell>
          <cell r="B36" t="str">
            <v>瓶刷套装</v>
          </cell>
          <cell r="C36" t="str">
            <v>B0F9NH7SF4</v>
          </cell>
          <cell r="D36" t="str">
            <v>X002BARL6L</v>
          </cell>
          <cell r="E36" t="str">
            <v>B07G4ZG7L4</v>
          </cell>
        </row>
        <row r="36">
          <cell r="I36">
            <v>4.28</v>
          </cell>
          <cell r="J36">
            <v>1.68</v>
          </cell>
        </row>
        <row r="37">
          <cell r="A37" t="str">
            <v>10DE-L-Waterproof Tent</v>
          </cell>
          <cell r="B37" t="str">
            <v>防雨帐篷</v>
          </cell>
          <cell r="C37" t="str">
            <v>B0F9N8TRXJ</v>
          </cell>
          <cell r="D37" t="str">
            <v>X002BAS5L1</v>
          </cell>
          <cell r="E37" t="str">
            <v>B07ZPH8Q1D</v>
          </cell>
        </row>
        <row r="37">
          <cell r="I37">
            <v>4.03</v>
          </cell>
          <cell r="J37">
            <v>7.05</v>
          </cell>
        </row>
        <row r="38">
          <cell r="A38" t="str">
            <v>10DE-L-waterproof bag(Grey)</v>
          </cell>
          <cell r="B38" t="str">
            <v>防水袋</v>
          </cell>
          <cell r="C38" t="str">
            <v>B0F9NFMRSS</v>
          </cell>
          <cell r="D38" t="str">
            <v>B0F9NFMRSS</v>
          </cell>
          <cell r="E38" t="str">
            <v>B07WNY4V7G</v>
          </cell>
        </row>
        <row r="38">
          <cell r="I38">
            <v>3.64</v>
          </cell>
          <cell r="J38">
            <v>5.26</v>
          </cell>
        </row>
        <row r="39">
          <cell r="A39" t="str">
            <v>10DE-L-waterproof bag(Red)</v>
          </cell>
          <cell r="B39" t="str">
            <v>防水袋</v>
          </cell>
          <cell r="C39" t="str">
            <v>B0FB8G46W3</v>
          </cell>
          <cell r="D39" t="str">
            <v>B0FB8G46W3</v>
          </cell>
          <cell r="E39" t="str">
            <v>B07WX1NCZS</v>
          </cell>
        </row>
        <row r="39">
          <cell r="I39">
            <v>3.64</v>
          </cell>
          <cell r="J39">
            <v>5.26</v>
          </cell>
        </row>
        <row r="40">
          <cell r="A40" t="str">
            <v>10DE-L-Oyster Knife</v>
          </cell>
          <cell r="B40" t="str">
            <v>生蚝刀及手套套装</v>
          </cell>
          <cell r="C40" t="str">
            <v>B0F9NKFLLZ</v>
          </cell>
          <cell r="D40" t="str">
            <v>X002BAPPWX</v>
          </cell>
          <cell r="E40" t="str">
            <v>B00VQFE1MQ</v>
          </cell>
        </row>
        <row r="40">
          <cell r="I40">
            <v>2.78</v>
          </cell>
          <cell r="J40">
            <v>3.7</v>
          </cell>
        </row>
        <row r="41">
          <cell r="A41" t="str">
            <v>10DE-L-Mountainbikesättel</v>
          </cell>
          <cell r="B41" t="str">
            <v>自行车座椅</v>
          </cell>
          <cell r="C41" t="str">
            <v>B0F9NRX57R</v>
          </cell>
          <cell r="D41" t="str">
            <v>X002BAPROT</v>
          </cell>
          <cell r="E41" t="str">
            <v>B01H60SXAK</v>
          </cell>
        </row>
        <row r="41">
          <cell r="I41">
            <v>4.03</v>
          </cell>
          <cell r="J41">
            <v>4.02</v>
          </cell>
        </row>
        <row r="42">
          <cell r="A42" t="str">
            <v>10DE-L-Cream dispenser</v>
          </cell>
          <cell r="B42" t="str">
            <v>鲜奶油分配器套装</v>
          </cell>
          <cell r="C42" t="str">
            <v>B0FL1TJK2B</v>
          </cell>
        </row>
        <row r="42">
          <cell r="E42" t="str">
            <v>B01ARVRPMM</v>
          </cell>
        </row>
        <row r="42">
          <cell r="I42">
            <v>3.41</v>
          </cell>
        </row>
        <row r="42">
          <cell r="M42">
            <v>12</v>
          </cell>
        </row>
        <row r="43">
          <cell r="A43" t="str">
            <v>10DE-L-Baking tray</v>
          </cell>
          <cell r="B43" t="str">
            <v>烤盘</v>
          </cell>
          <cell r="C43" t="str">
            <v>B0FL1RMJP7</v>
          </cell>
        </row>
        <row r="43">
          <cell r="E43" t="str">
            <v>B01JRNNUU2</v>
          </cell>
        </row>
        <row r="43">
          <cell r="I43">
            <v>4.28</v>
          </cell>
        </row>
        <row r="43">
          <cell r="M43">
            <v>12</v>
          </cell>
        </row>
        <row r="44">
          <cell r="A44" t="str">
            <v>10DE-L-bread box</v>
          </cell>
          <cell r="B44" t="str">
            <v>面包箱</v>
          </cell>
          <cell r="C44" t="str">
            <v>B0FL1ZLM44</v>
          </cell>
        </row>
        <row r="44">
          <cell r="E44" t="str">
            <v>B0873YLC84</v>
          </cell>
        </row>
        <row r="44">
          <cell r="I44">
            <v>5.69</v>
          </cell>
        </row>
        <row r="44">
          <cell r="M44">
            <v>4</v>
          </cell>
        </row>
        <row r="45">
          <cell r="A45" t="str">
            <v>10DE-L-Shower chair</v>
          </cell>
          <cell r="B45" t="str">
            <v>淋浴椅</v>
          </cell>
          <cell r="C45" t="str">
            <v>B0FL23K3DD</v>
          </cell>
        </row>
        <row r="45">
          <cell r="E45" t="str">
            <v>B0751C9YXD</v>
          </cell>
        </row>
        <row r="45">
          <cell r="I45">
            <v>5.52</v>
          </cell>
        </row>
        <row r="45">
          <cell r="M45">
            <v>1</v>
          </cell>
        </row>
        <row r="46">
          <cell r="A46" t="str">
            <v>10DE-L-Pizza Stone</v>
          </cell>
          <cell r="B46" t="str">
            <v>披萨石和披萨刀轮</v>
          </cell>
          <cell r="C46" t="str">
            <v>B0FL29KZ5Q</v>
          </cell>
        </row>
        <row r="46">
          <cell r="E46" t="str">
            <v>B00O83CTOK</v>
          </cell>
        </row>
        <row r="46">
          <cell r="I46">
            <v>5.52</v>
          </cell>
        </row>
        <row r="46">
          <cell r="M46">
            <v>5</v>
          </cell>
        </row>
        <row r="47">
          <cell r="A47" t="str">
            <v>10DE-L-Bicycle cover</v>
          </cell>
          <cell r="B47" t="str">
            <v>自行车罩</v>
          </cell>
          <cell r="C47" t="str">
            <v>B0FL28ZQPN</v>
          </cell>
        </row>
        <row r="47">
          <cell r="E47" t="str">
            <v>B01C7JM7CU</v>
          </cell>
        </row>
        <row r="47">
          <cell r="I47">
            <v>4.71</v>
          </cell>
        </row>
        <row r="47">
          <cell r="M47">
            <v>12</v>
          </cell>
        </row>
        <row r="48">
          <cell r="A48" t="str">
            <v>10DE-L-Neck pad</v>
          </cell>
          <cell r="B48" t="str">
            <v>颈部加热垫</v>
          </cell>
          <cell r="C48" t="str">
            <v>B0FL2GFM39</v>
          </cell>
        </row>
        <row r="48">
          <cell r="E48" t="str">
            <v>B06WGRJ2T9</v>
          </cell>
        </row>
        <row r="48">
          <cell r="J48" t="str">
            <v/>
          </cell>
        </row>
        <row r="48">
          <cell r="M48">
            <v>6</v>
          </cell>
        </row>
        <row r="49">
          <cell r="A49" t="str">
            <v>10DE-Mason Jar 6pack</v>
          </cell>
          <cell r="B49" t="str">
            <v>6pack 16oz 梅森罐 糖果罐</v>
          </cell>
        </row>
        <row r="49">
          <cell r="D49" t="str">
            <v>X002FB4WAJ</v>
          </cell>
          <cell r="E49" t="str">
            <v>B0938GY8DW</v>
          </cell>
        </row>
        <row r="49">
          <cell r="I49">
            <v>4.71</v>
          </cell>
          <cell r="J49" t="str">
            <v>4.71</v>
          </cell>
        </row>
        <row r="50">
          <cell r="A50" t="str">
            <v>10DE-Iron Pot</v>
          </cell>
          <cell r="B50" t="str">
            <v>预调味铸铁双层荷兰烤箱</v>
          </cell>
        </row>
        <row r="50">
          <cell r="D50" t="str">
            <v>X002FAJVM9</v>
          </cell>
          <cell r="E50" t="str">
            <v>B07V32FG4Q</v>
          </cell>
        </row>
        <row r="50">
          <cell r="J50">
            <v>6.15</v>
          </cell>
        </row>
        <row r="51">
          <cell r="A51" t="str">
            <v>10DE-Mixing Bowls Set</v>
          </cell>
          <cell r="B51" t="str">
            <v>钢制搅拌碗组</v>
          </cell>
        </row>
        <row r="51">
          <cell r="D51" t="str">
            <v>X002FB53LB</v>
          </cell>
          <cell r="E51" t="str">
            <v>B01HTYH8YA</v>
          </cell>
        </row>
        <row r="51">
          <cell r="J51">
            <v>5.97</v>
          </cell>
        </row>
        <row r="52">
          <cell r="J52" t="str">
            <v/>
          </cell>
        </row>
        <row r="53">
          <cell r="J53" t="str">
            <v/>
          </cell>
        </row>
        <row r="54">
          <cell r="A54" t="str">
            <v>账号14英国</v>
          </cell>
          <cell r="B54" t="str">
            <v>VAT测试</v>
          </cell>
        </row>
        <row r="54">
          <cell r="J54" t="str">
            <v/>
          </cell>
        </row>
        <row r="55">
          <cell r="A55" t="str">
            <v>14UK-Car Vacuum Cordless</v>
          </cell>
          <cell r="B55" t="str">
            <v>汽车吸尘器</v>
          </cell>
          <cell r="C55" t="str">
            <v>B0FCLQHKPW</v>
          </cell>
          <cell r="D55" t="str">
            <v>X002BWC9JN</v>
          </cell>
          <cell r="E55" t="str">
            <v>B06ZY896ZM</v>
          </cell>
        </row>
        <row r="55">
          <cell r="G55">
            <v>3.26</v>
          </cell>
        </row>
        <row r="55">
          <cell r="I55">
            <v>3.26</v>
          </cell>
          <cell r="J55" t="str">
            <v>3.26</v>
          </cell>
        </row>
        <row r="56">
          <cell r="A56" t="str">
            <v>14UK-Pizza Peel</v>
          </cell>
          <cell r="B56" t="str">
            <v>披萨铲</v>
          </cell>
          <cell r="C56" t="str">
            <v>B0FCKTGFPB</v>
          </cell>
          <cell r="D56" t="str">
            <v>X002BWC1I7</v>
          </cell>
          <cell r="E56" t="str">
            <v>B07GSJKTVM</v>
          </cell>
        </row>
        <row r="56">
          <cell r="G56">
            <v>3.26</v>
          </cell>
        </row>
        <row r="56">
          <cell r="I56">
            <v>3.26</v>
          </cell>
          <cell r="J56" t="str">
            <v>3.26</v>
          </cell>
        </row>
        <row r="57">
          <cell r="A57" t="str">
            <v>14UK-Manual Ice Crusher</v>
          </cell>
          <cell r="B57" t="str">
            <v>碎冰机</v>
          </cell>
          <cell r="C57" t="str">
            <v>B0FCL8QKPB</v>
          </cell>
          <cell r="D57" t="str">
            <v>X002BWA5HL</v>
          </cell>
          <cell r="E57" t="str">
            <v>B06Y1VM9RT</v>
          </cell>
        </row>
        <row r="57">
          <cell r="G57">
            <v>3.48</v>
          </cell>
        </row>
        <row r="57">
          <cell r="I57">
            <v>3.48</v>
          </cell>
          <cell r="J57" t="str">
            <v>3.48</v>
          </cell>
        </row>
        <row r="58">
          <cell r="A58" t="str">
            <v>14UK-Jars</v>
          </cell>
          <cell r="B58" t="str">
            <v>梅森罐子</v>
          </cell>
          <cell r="C58" t="str">
            <v>B0FL6TDCF1</v>
          </cell>
        </row>
        <row r="58">
          <cell r="E58" t="str">
            <v>B0938GY8DW</v>
          </cell>
        </row>
        <row r="58">
          <cell r="G58">
            <v>4.73</v>
          </cell>
        </row>
        <row r="58">
          <cell r="I58">
            <v>4.73</v>
          </cell>
          <cell r="J58" t="str">
            <v>4.73</v>
          </cell>
        </row>
        <row r="58">
          <cell r="L58">
            <v>0.00395044</v>
          </cell>
          <cell r="M58">
            <v>6</v>
          </cell>
        </row>
        <row r="59">
          <cell r="A59" t="str">
            <v>14UK-Storage Bag</v>
          </cell>
          <cell r="B59" t="str">
            <v>衣柜收纳件</v>
          </cell>
          <cell r="C59" t="str">
            <v>B0FLCZPTM6</v>
          </cell>
        </row>
        <row r="59">
          <cell r="E59" t="str">
            <v>B01IAM9NZ2</v>
          </cell>
        </row>
        <row r="59">
          <cell r="G59">
            <v>3.04</v>
          </cell>
        </row>
        <row r="59">
          <cell r="I59">
            <v>3.04</v>
          </cell>
        </row>
        <row r="59">
          <cell r="L59">
            <v>0.002816</v>
          </cell>
          <cell r="M59">
            <v>12</v>
          </cell>
        </row>
        <row r="60">
          <cell r="A60" t="str">
            <v>14UK-Knitting Bag</v>
          </cell>
          <cell r="B60" t="str">
            <v>编织袋</v>
          </cell>
          <cell r="C60" t="str">
            <v>B0FLD66H6B</v>
          </cell>
        </row>
        <row r="60">
          <cell r="E60" t="str">
            <v>B015HVQDIY</v>
          </cell>
        </row>
        <row r="60">
          <cell r="G60">
            <v>3.26</v>
          </cell>
        </row>
        <row r="60">
          <cell r="I60">
            <v>3.26</v>
          </cell>
        </row>
        <row r="60">
          <cell r="L60">
            <v>0.0048</v>
          </cell>
          <cell r="M60">
            <v>30</v>
          </cell>
        </row>
        <row r="61">
          <cell r="A61" t="str">
            <v>14UK-Daily Planner</v>
          </cell>
          <cell r="B61" t="str">
            <v>每日计划</v>
          </cell>
          <cell r="C61" t="str">
            <v>B0FLD42J8G</v>
          </cell>
        </row>
        <row r="61">
          <cell r="E61" t="str">
            <v>B073V5RFJC</v>
          </cell>
        </row>
        <row r="61">
          <cell r="G61">
            <v>2.42</v>
          </cell>
        </row>
        <row r="61">
          <cell r="I61">
            <v>2.42</v>
          </cell>
        </row>
        <row r="61">
          <cell r="L61">
            <v>0.001173</v>
          </cell>
          <cell r="M61">
            <v>40</v>
          </cell>
        </row>
        <row r="62">
          <cell r="A62" t="str">
            <v>14UK-Balloon</v>
          </cell>
          <cell r="B62" t="str">
            <v>粉彩气球花环套件</v>
          </cell>
          <cell r="C62" t="str">
            <v>B0FLDBPBSV</v>
          </cell>
        </row>
        <row r="62">
          <cell r="E62" t="str">
            <v>B07QG3YG1T</v>
          </cell>
        </row>
        <row r="62">
          <cell r="G62">
            <v>3.05</v>
          </cell>
        </row>
        <row r="62">
          <cell r="I62">
            <v>3.05</v>
          </cell>
        </row>
        <row r="62">
          <cell r="L62">
            <v>0.00422433</v>
          </cell>
          <cell r="M62">
            <v>14</v>
          </cell>
        </row>
        <row r="63">
          <cell r="A63" t="str">
            <v>14UK-Utensil Crock</v>
          </cell>
          <cell r="B63" t="str">
            <v>餐具罐</v>
          </cell>
          <cell r="C63" t="str">
            <v>B0FLDBB4VL</v>
          </cell>
        </row>
        <row r="63">
          <cell r="E63" t="str">
            <v>B09CWWPD49</v>
          </cell>
        </row>
        <row r="63">
          <cell r="G63">
            <v>3.26</v>
          </cell>
        </row>
        <row r="63">
          <cell r="I63">
            <v>3.26</v>
          </cell>
          <cell r="J63" t="str">
            <v>3.26</v>
          </cell>
        </row>
        <row r="63">
          <cell r="L63">
            <v>0.006804</v>
          </cell>
          <cell r="M63">
            <v>6</v>
          </cell>
        </row>
        <row r="64">
          <cell r="A64" t="str">
            <v>14UK-String Light Pole</v>
          </cell>
          <cell r="B64" t="str">
            <v>户外灯杆</v>
          </cell>
          <cell r="C64" t="str">
            <v>B0FLHXHHBC</v>
          </cell>
        </row>
        <row r="64">
          <cell r="E64" t="str">
            <v>B083QXSD86</v>
          </cell>
        </row>
        <row r="64">
          <cell r="G64">
            <v>12.27</v>
          </cell>
        </row>
        <row r="64">
          <cell r="J64" t="str">
            <v/>
          </cell>
        </row>
        <row r="64">
          <cell r="L64">
            <v>0.0273</v>
          </cell>
          <cell r="M64">
            <v>4</v>
          </cell>
        </row>
        <row r="65">
          <cell r="J65" t="str">
            <v/>
          </cell>
        </row>
        <row r="66">
          <cell r="J66" t="str">
            <v/>
          </cell>
        </row>
        <row r="67">
          <cell r="A67" t="str">
            <v>账号3德国</v>
          </cell>
        </row>
        <row r="67">
          <cell r="J67" t="str">
            <v/>
          </cell>
        </row>
        <row r="68">
          <cell r="J68" t="str">
            <v/>
          </cell>
        </row>
        <row r="69">
          <cell r="A69" t="str">
            <v>03de-H-Brush Set</v>
          </cell>
          <cell r="B69" t="str">
            <v>瓶刷套装</v>
          </cell>
          <cell r="C69" t="str">
            <v>B0DGXFVMRT</v>
          </cell>
        </row>
        <row r="69">
          <cell r="E69" t="str">
            <v>B07G4ZG7L4</v>
          </cell>
        </row>
        <row r="69">
          <cell r="I69">
            <v>3.64</v>
          </cell>
          <cell r="J69" t="str">
            <v>3.64</v>
          </cell>
          <cell r="K69">
            <v>1.5</v>
          </cell>
        </row>
        <row r="70">
          <cell r="A70" t="str">
            <v>03de-H-Towel</v>
          </cell>
          <cell r="B70" t="str">
            <v>超细纤维毛巾-卡其</v>
          </cell>
          <cell r="C70" t="str">
            <v>B0DGXL3SVP</v>
          </cell>
        </row>
        <row r="70">
          <cell r="E70" t="str">
            <v>B01HHSAMOG</v>
          </cell>
        </row>
        <row r="70">
          <cell r="I70">
            <v>2.99</v>
          </cell>
          <cell r="J70" t="str">
            <v>2.99</v>
          </cell>
          <cell r="K70">
            <v>1.5</v>
          </cell>
        </row>
        <row r="71">
          <cell r="A71" t="str">
            <v>03de-Metal Cabinet-71inGry</v>
          </cell>
          <cell r="B71" t="str">
            <v>金属储物柜-灰色
70.86*31.5*15.75 英寸</v>
          </cell>
          <cell r="C71" t="str">
            <v>B0DHRB8XKR</v>
          </cell>
        </row>
        <row r="71">
          <cell r="E71" t="str">
            <v>B076THQBHX</v>
          </cell>
        </row>
        <row r="71">
          <cell r="I71">
            <v>59.91</v>
          </cell>
          <cell r="J71" t="str">
            <v>59.91</v>
          </cell>
          <cell r="K71">
            <v>8</v>
          </cell>
        </row>
        <row r="72">
          <cell r="A72" t="str">
            <v>03de-H- Candle-3x3Ivy3pk</v>
          </cell>
          <cell r="B72" t="str">
            <v>无香蜡烛3件套3*3inch(7.5*7.5cm)-象牙白</v>
          </cell>
          <cell r="C72" t="str">
            <v>B0DGXF8YFC</v>
          </cell>
        </row>
        <row r="72">
          <cell r="E72" t="str">
            <v>B06W2FM8W4</v>
          </cell>
        </row>
        <row r="72">
          <cell r="I72">
            <v>4.03</v>
          </cell>
          <cell r="J72" t="str">
            <v>4.03</v>
          </cell>
          <cell r="K72">
            <v>1.5</v>
          </cell>
        </row>
        <row r="73">
          <cell r="A73" t="str">
            <v>03de-H-Bath Glove-Yelw</v>
          </cell>
          <cell r="B73" t="str">
            <v>宠物脱毛手套</v>
          </cell>
          <cell r="C73" t="str">
            <v>B0DHVJNLV1</v>
          </cell>
        </row>
        <row r="73">
          <cell r="E73" t="str">
            <v>B07Y3CQQ39</v>
          </cell>
        </row>
        <row r="73">
          <cell r="I73">
            <v>2.78</v>
          </cell>
          <cell r="J73" t="str">
            <v>2.78</v>
          </cell>
          <cell r="K73">
            <v>1.5</v>
          </cell>
        </row>
        <row r="74">
          <cell r="A74" t="str">
            <v>03de-Metal Cabinet-71inSlv</v>
          </cell>
          <cell r="B74" t="str">
            <v>金属储物柜-银黑色
70.86*31.5*15.75 英寸</v>
          </cell>
          <cell r="C74" t="str">
            <v>B0DHR9TVYY</v>
          </cell>
        </row>
        <row r="74">
          <cell r="E74" t="str">
            <v>B07BK8W5MF</v>
          </cell>
        </row>
        <row r="74">
          <cell r="I74">
            <v>59.55</v>
          </cell>
          <cell r="J74" t="str">
            <v>59.55</v>
          </cell>
          <cell r="K74">
            <v>8</v>
          </cell>
        </row>
        <row r="75">
          <cell r="A75" t="str">
            <v>03de-H-Shoe Organizer-2Pk</v>
          </cell>
          <cell r="B75" t="str">
            <v>鞋子收纳盒-38*24*6</v>
          </cell>
          <cell r="C75" t="str">
            <v>B0DHRX7M1X</v>
          </cell>
        </row>
        <row r="75">
          <cell r="E75" t="str">
            <v>B07DGLW1R6</v>
          </cell>
        </row>
        <row r="75">
          <cell r="I75">
            <v>4.94</v>
          </cell>
          <cell r="J75" t="str">
            <v>4.94</v>
          </cell>
          <cell r="K75">
            <v>1.5</v>
          </cell>
        </row>
        <row r="76">
          <cell r="A76" t="str">
            <v>03de-H-Towel-Grey</v>
          </cell>
          <cell r="B76" t="str">
            <v>超细纤维毛巾-灰色</v>
          </cell>
          <cell r="C76" t="str">
            <v>B0DHVKDLFR</v>
          </cell>
        </row>
        <row r="76">
          <cell r="E76" t="str">
            <v>B075LKVP7R</v>
          </cell>
        </row>
        <row r="76">
          <cell r="I76">
            <v>2.99</v>
          </cell>
          <cell r="J76" t="str">
            <v>2.99</v>
          </cell>
          <cell r="K76">
            <v>1.5</v>
          </cell>
        </row>
        <row r="77">
          <cell r="A77" t="str">
            <v>03de-H-Compre Sock -Bla/L</v>
          </cell>
          <cell r="B77" t="str">
            <v>足底筋膜炎袜-黑色大号</v>
          </cell>
          <cell r="C77" t="str">
            <v>B0DHRBQ7MR</v>
          </cell>
        </row>
        <row r="77">
          <cell r="E77" t="str">
            <v>B01091ZF4K</v>
          </cell>
        </row>
        <row r="77">
          <cell r="I77">
            <v>1.61</v>
          </cell>
          <cell r="J77" t="str">
            <v>1.61</v>
          </cell>
          <cell r="K77">
            <v>1.5</v>
          </cell>
        </row>
        <row r="78">
          <cell r="A78" t="str">
            <v>03de-H-Shoe Horn</v>
          </cell>
          <cell r="B78" t="str">
            <v>金属鞋拔</v>
          </cell>
          <cell r="C78" t="str">
            <v>B0DHVGXTNN</v>
          </cell>
        </row>
        <row r="78">
          <cell r="E78" t="str">
            <v>B07C412KYF</v>
          </cell>
        </row>
        <row r="78">
          <cell r="I78">
            <v>3.52</v>
          </cell>
          <cell r="J78" t="str">
            <v>3.52</v>
          </cell>
          <cell r="K78">
            <v>1.5</v>
          </cell>
        </row>
        <row r="79">
          <cell r="A79" t="str">
            <v>03de-H- Candle-3x6Ivy3pk</v>
          </cell>
          <cell r="B79" t="str">
            <v>无香蜡烛3件套3*6inch(7.5*15cm)-象牙白</v>
          </cell>
          <cell r="C79" t="str">
            <v>B0DGXDLVWZ</v>
          </cell>
        </row>
        <row r="79">
          <cell r="E79" t="str">
            <v>B01N286ZC6</v>
          </cell>
        </row>
        <row r="79">
          <cell r="I79">
            <v>4.23</v>
          </cell>
          <cell r="J79" t="str">
            <v>4.23</v>
          </cell>
          <cell r="K79">
            <v>1.5</v>
          </cell>
        </row>
        <row r="80">
          <cell r="A80" t="str">
            <v>03de-H-Table Mats</v>
          </cell>
          <cell r="B80" t="str">
            <v>桌垫-52*108inch(132*274cm)</v>
          </cell>
          <cell r="C80" t="str">
            <v>B0DGXSZT65</v>
          </cell>
        </row>
        <row r="80">
          <cell r="E80" t="str">
            <v>B01I8Y21S8</v>
          </cell>
        </row>
        <row r="80">
          <cell r="I80">
            <v>5.23</v>
          </cell>
          <cell r="J80" t="str">
            <v>5.23</v>
          </cell>
          <cell r="K80">
            <v>1.5</v>
          </cell>
        </row>
        <row r="81">
          <cell r="A81" t="str">
            <v>03de-H- Candle-3x6Wht3pk</v>
          </cell>
          <cell r="B81" t="str">
            <v>无香蜡烛3件套3*6inch(7.5*15cm)-白色</v>
          </cell>
          <cell r="C81" t="str">
            <v>B0DGXF73BB</v>
          </cell>
        </row>
        <row r="81">
          <cell r="E81" t="str">
            <v>B076F61LBB</v>
          </cell>
        </row>
        <row r="81">
          <cell r="I81">
            <v>4.23</v>
          </cell>
          <cell r="J81" t="str">
            <v>4.23</v>
          </cell>
          <cell r="K81">
            <v>1.5</v>
          </cell>
        </row>
        <row r="82">
          <cell r="A82" t="str">
            <v>03de-H-Pet -blue</v>
          </cell>
          <cell r="B82" t="str">
            <v>宠物美容耙-蓝色</v>
          </cell>
          <cell r="C82" t="str">
            <v>B0DGXPCPDN</v>
          </cell>
        </row>
        <row r="82">
          <cell r="E82" t="str">
            <v>B01EZ7UOCM</v>
          </cell>
        </row>
        <row r="82">
          <cell r="I82">
            <v>2.39</v>
          </cell>
          <cell r="J82" t="str">
            <v>2.39</v>
          </cell>
          <cell r="K82">
            <v>1.5</v>
          </cell>
        </row>
        <row r="83">
          <cell r="A83" t="str">
            <v>03de-H- Roller</v>
          </cell>
          <cell r="B83" t="str">
            <v>玉石滚轮-绿色</v>
          </cell>
          <cell r="C83" t="str">
            <v>B0DGXWR2Y4</v>
          </cell>
        </row>
        <row r="83">
          <cell r="E83" t="str">
            <v>B08GBDVFHX</v>
          </cell>
        </row>
        <row r="83">
          <cell r="I83">
            <v>2.39</v>
          </cell>
          <cell r="J83" t="str">
            <v>2.39</v>
          </cell>
          <cell r="K83">
            <v>1.5</v>
          </cell>
        </row>
        <row r="84">
          <cell r="A84" t="str">
            <v>03de-H-Compre Sock -Bla/XL</v>
          </cell>
          <cell r="B84" t="str">
            <v>足底筋膜炎袜-黑色加大号</v>
          </cell>
          <cell r="C84" t="str">
            <v>B0DHR9JS56</v>
          </cell>
        </row>
        <row r="84">
          <cell r="E84" t="str">
            <v>B010OAIF7U</v>
          </cell>
        </row>
        <row r="84">
          <cell r="I84">
            <v>1.61</v>
          </cell>
          <cell r="J84" t="str">
            <v>1.61</v>
          </cell>
          <cell r="K84">
            <v>1.5</v>
          </cell>
        </row>
        <row r="85">
          <cell r="A85" t="str">
            <v>03de-H-Toenail Nipper-4.9 in</v>
          </cell>
          <cell r="B85" t="str">
            <v>指甲钳800-4.9英寸</v>
          </cell>
          <cell r="C85" t="str">
            <v>B0DHV7SP5J</v>
          </cell>
        </row>
        <row r="85">
          <cell r="E85" t="str">
            <v>B06X99FDT7</v>
          </cell>
        </row>
        <row r="85">
          <cell r="I85">
            <v>1.66</v>
          </cell>
          <cell r="J85" t="str">
            <v>1.66</v>
          </cell>
          <cell r="K85">
            <v>1.5</v>
          </cell>
        </row>
        <row r="86">
          <cell r="A86" t="str">
            <v>03de-H-Toenail Nipper-5 in</v>
          </cell>
          <cell r="B86" t="str">
            <v>指甲钳700-5英寸</v>
          </cell>
          <cell r="C86" t="str">
            <v>B0DHV7ZSWW</v>
          </cell>
        </row>
        <row r="86">
          <cell r="E86" t="str">
            <v>B00WIW6T4Y</v>
          </cell>
        </row>
        <row r="86">
          <cell r="I86">
            <v>1.66</v>
          </cell>
          <cell r="J86" t="str">
            <v>1.66</v>
          </cell>
          <cell r="K86">
            <v>1.5</v>
          </cell>
        </row>
        <row r="87">
          <cell r="A87" t="str">
            <v>03de-H-Beard Bib</v>
          </cell>
          <cell r="B87" t="str">
            <v>胡须围兜-黑色</v>
          </cell>
          <cell r="C87" t="str">
            <v>B0DGXVBLBV</v>
          </cell>
        </row>
        <row r="87">
          <cell r="E87" t="str">
            <v>B01KBA8EAQ</v>
          </cell>
        </row>
        <row r="87">
          <cell r="I87">
            <v>2.39</v>
          </cell>
          <cell r="J87" t="str">
            <v>2.39</v>
          </cell>
          <cell r="K87">
            <v>1.5</v>
          </cell>
        </row>
        <row r="88">
          <cell r="A88" t="str">
            <v>03de-Metal Cabinet-71inBk</v>
          </cell>
          <cell r="B88" t="str">
            <v>金属储物柜-黑色
70.86*31.5*15.75 英寸</v>
          </cell>
          <cell r="C88" t="str">
            <v>B0DHR8Y4JZ</v>
          </cell>
        </row>
        <row r="88">
          <cell r="E88" t="str">
            <v>B07Q3SQT6C</v>
          </cell>
        </row>
        <row r="88">
          <cell r="I88">
            <v>59.91</v>
          </cell>
          <cell r="J88" t="str">
            <v>59.91</v>
          </cell>
          <cell r="K88">
            <v>8</v>
          </cell>
        </row>
        <row r="89">
          <cell r="A89" t="str">
            <v>03de-H- Stock-Bla1pk-S</v>
          </cell>
          <cell r="B89" t="str">
            <v>足底筋膜炎袜-黑色小号</v>
          </cell>
          <cell r="C89" t="str">
            <v>B0DGXVV4PR</v>
          </cell>
        </row>
        <row r="89">
          <cell r="E89" t="str">
            <v>B01091ZLGC</v>
          </cell>
        </row>
        <row r="89">
          <cell r="I89">
            <v>1.8</v>
          </cell>
          <cell r="J89" t="str">
            <v>1.8</v>
          </cell>
          <cell r="K89">
            <v>1.5</v>
          </cell>
        </row>
        <row r="90">
          <cell r="A90" t="str">
            <v>03de-H-Nail Clipper</v>
          </cell>
          <cell r="B90" t="str">
            <v>指甲钳120L-银色</v>
          </cell>
          <cell r="C90" t="str">
            <v>B0DGXSRSN1</v>
          </cell>
        </row>
        <row r="90">
          <cell r="E90" t="str">
            <v>B07KGP9G6N</v>
          </cell>
        </row>
        <row r="91">
          <cell r="A91" t="str">
            <v>03de-H-Mop Set</v>
          </cell>
          <cell r="B91" t="str">
            <v>拖把套件</v>
          </cell>
          <cell r="C91" t="str">
            <v>B0DGXQ3NXM</v>
          </cell>
        </row>
        <row r="91">
          <cell r="E91" t="str">
            <v>B01CFIHGLA</v>
          </cell>
        </row>
        <row r="117">
          <cell r="J117" t="str">
            <v/>
          </cell>
        </row>
        <row r="118">
          <cell r="J118" t="str">
            <v/>
          </cell>
        </row>
        <row r="119">
          <cell r="J119" t="str">
            <v/>
          </cell>
        </row>
        <row r="120">
          <cell r="J120" t="str">
            <v/>
          </cell>
        </row>
        <row r="121">
          <cell r="J121" t="str">
            <v/>
          </cell>
        </row>
        <row r="122">
          <cell r="J122" t="str">
            <v/>
          </cell>
        </row>
        <row r="123">
          <cell r="J123" t="str">
            <v/>
          </cell>
        </row>
        <row r="124">
          <cell r="J124" t="str">
            <v/>
          </cell>
        </row>
        <row r="125">
          <cell r="J125" t="str">
            <v/>
          </cell>
        </row>
        <row r="126">
          <cell r="J126" t="str">
            <v/>
          </cell>
        </row>
        <row r="127">
          <cell r="J127" t="str">
            <v/>
          </cell>
        </row>
        <row r="128">
          <cell r="J128" t="str">
            <v/>
          </cell>
        </row>
        <row r="129">
          <cell r="J129" t="str">
            <v/>
          </cell>
        </row>
        <row r="130">
          <cell r="J130" t="str">
            <v/>
          </cell>
        </row>
        <row r="131">
          <cell r="J131" t="str">
            <v/>
          </cell>
        </row>
        <row r="143">
          <cell r="A143" t="str">
            <v>受是攻死对头的孩子，在死对头去世以后，把受捡回来家（见面时受正被别家帮了要卖到不正经的会所去）</v>
          </cell>
        </row>
        <row r="145">
          <cell r="A145" t="str">
            <v>乔时</v>
          </cell>
        </row>
        <row r="146">
          <cell r="A146" t="str">
            <v>赵观澜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abSelected="1" workbookViewId="0">
      <pane xSplit="6" ySplit="1" topLeftCell="N2" activePane="bottomRight" state="frozen"/>
      <selection/>
      <selection pane="topRight"/>
      <selection pane="bottomLeft"/>
      <selection pane="bottomRight" activeCell="Q21" sqref="Q21"/>
    </sheetView>
  </sheetViews>
  <sheetFormatPr defaultColWidth="9" defaultRowHeight="13.5"/>
  <cols>
    <col min="1" max="1" width="15.675" customWidth="1"/>
    <col min="2" max="2" width="19.7166666666667" customWidth="1"/>
    <col min="3" max="3" width="19.3333333333333" customWidth="1"/>
    <col min="4" max="4" width="31.7416666666667" customWidth="1"/>
    <col min="5" max="5" width="15.0083333333333" customWidth="1"/>
    <col min="6" max="6" width="16.3833333333333" customWidth="1"/>
    <col min="7" max="7" width="11" style="3" customWidth="1"/>
    <col min="8" max="8" width="10.8166666666667" style="3" customWidth="1"/>
    <col min="9" max="9" width="12.55" style="3" customWidth="1"/>
    <col min="10" max="10" width="11" style="3" customWidth="1"/>
    <col min="11" max="11" width="11" style="5" customWidth="1"/>
    <col min="12" max="12" width="17.3166666666667" style="6" customWidth="1"/>
    <col min="13" max="13" width="13.8583333333333" customWidth="1"/>
    <col min="14" max="14" width="15.8666666666667" customWidth="1"/>
    <col min="15" max="15" width="10.8583333333333" customWidth="1"/>
    <col min="16" max="16" width="10.7583333333333" customWidth="1"/>
    <col min="17" max="17" width="18.375" customWidth="1"/>
    <col min="18" max="18" width="22.275" customWidth="1"/>
    <col min="19" max="19" width="20.8166666666667" customWidth="1"/>
  </cols>
  <sheetData>
    <row r="1" s="4" customFormat="1" ht="14.25" spans="1:19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1" t="s">
        <v>16</v>
      </c>
      <c r="R1" s="12" t="s">
        <v>17</v>
      </c>
      <c r="S1" s="4" t="s">
        <v>18</v>
      </c>
    </row>
    <row r="2" ht="27" spans="1:19">
      <c r="A2" t="s">
        <v>19</v>
      </c>
      <c r="B2" s="13" t="s">
        <v>20</v>
      </c>
      <c r="C2" t="s">
        <v>21</v>
      </c>
      <c r="D2" s="14" t="s">
        <v>22</v>
      </c>
      <c r="E2" s="14" t="s">
        <v>23</v>
      </c>
      <c r="F2" s="15" t="s">
        <v>24</v>
      </c>
      <c r="G2" s="3">
        <v>54</v>
      </c>
      <c r="H2" s="3">
        <f>VLOOKUP(D2,[3]SKU总表!$A:$M,13,0)</f>
        <v>6</v>
      </c>
      <c r="I2" s="3">
        <v>54</v>
      </c>
      <c r="J2" s="3">
        <v>6</v>
      </c>
      <c r="K2" s="5">
        <f>G2/H2</f>
        <v>9</v>
      </c>
      <c r="L2" s="6" t="s">
        <v>25</v>
      </c>
      <c r="M2">
        <v>0.066368</v>
      </c>
      <c r="N2">
        <v>14</v>
      </c>
      <c r="O2">
        <f>K2*N2</f>
        <v>126</v>
      </c>
      <c r="P2">
        <f>M2*K2</f>
        <v>0.597312</v>
      </c>
      <c r="Q2" s="16" t="s">
        <v>26</v>
      </c>
      <c r="R2" s="17" t="s">
        <v>27</v>
      </c>
      <c r="S2" t="s">
        <v>28</v>
      </c>
    </row>
    <row r="3" ht="27" spans="1:19">
      <c r="A3" t="s">
        <v>19</v>
      </c>
      <c r="B3" s="13" t="s">
        <v>20</v>
      </c>
      <c r="C3" t="s">
        <v>29</v>
      </c>
      <c r="D3" s="14" t="s">
        <v>30</v>
      </c>
      <c r="E3" s="14" t="s">
        <v>31</v>
      </c>
      <c r="F3" s="15" t="s">
        <v>32</v>
      </c>
      <c r="G3" s="3">
        <v>54</v>
      </c>
      <c r="H3" s="3">
        <f>VLOOKUP(D3,[3]SKU总表!$A:$M,13,0)</f>
        <v>6</v>
      </c>
      <c r="I3" s="3">
        <v>54</v>
      </c>
      <c r="J3" s="3">
        <v>6</v>
      </c>
      <c r="K3" s="5">
        <f t="shared" ref="K3:K9" si="0">G3/H3</f>
        <v>9</v>
      </c>
      <c r="L3" s="6" t="s">
        <v>25</v>
      </c>
      <c r="M3">
        <v>0.066368</v>
      </c>
      <c r="N3">
        <v>11.8</v>
      </c>
      <c r="O3">
        <f t="shared" ref="O3:O9" si="1">K3*N3</f>
        <v>106.2</v>
      </c>
      <c r="P3">
        <f t="shared" ref="P3:P9" si="2">M3*K3</f>
        <v>0.597312</v>
      </c>
      <c r="Q3" s="16" t="s">
        <v>26</v>
      </c>
      <c r="R3" s="17" t="s">
        <v>33</v>
      </c>
      <c r="S3" t="s">
        <v>34</v>
      </c>
    </row>
    <row r="4" ht="27" spans="1:19">
      <c r="A4" t="s">
        <v>19</v>
      </c>
      <c r="B4" s="13" t="s">
        <v>20</v>
      </c>
      <c r="C4" t="s">
        <v>35</v>
      </c>
      <c r="D4" s="14" t="s">
        <v>36</v>
      </c>
      <c r="E4" s="14" t="s">
        <v>37</v>
      </c>
      <c r="F4" s="15" t="s">
        <v>38</v>
      </c>
      <c r="G4" s="3">
        <v>54</v>
      </c>
      <c r="H4" s="3">
        <f>VLOOKUP(D4,[3]SKU总表!$A:$M,13,0)</f>
        <v>6</v>
      </c>
      <c r="I4" s="3">
        <v>54</v>
      </c>
      <c r="J4" s="3">
        <v>6</v>
      </c>
      <c r="K4" s="5">
        <f t="shared" si="0"/>
        <v>9</v>
      </c>
      <c r="L4" s="6" t="s">
        <v>25</v>
      </c>
      <c r="M4">
        <v>0.066368</v>
      </c>
      <c r="N4">
        <v>12.2</v>
      </c>
      <c r="O4">
        <f t="shared" si="1"/>
        <v>109.8</v>
      </c>
      <c r="P4">
        <f t="shared" si="2"/>
        <v>0.597312</v>
      </c>
      <c r="Q4" s="16" t="s">
        <v>26</v>
      </c>
      <c r="R4" s="17" t="s">
        <v>39</v>
      </c>
      <c r="S4" t="s">
        <v>40</v>
      </c>
    </row>
    <row r="5" ht="27" spans="1:19">
      <c r="A5" t="s">
        <v>19</v>
      </c>
      <c r="B5" s="13" t="s">
        <v>20</v>
      </c>
      <c r="C5" t="s">
        <v>41</v>
      </c>
      <c r="D5" s="14" t="s">
        <v>42</v>
      </c>
      <c r="E5" s="14" t="s">
        <v>43</v>
      </c>
      <c r="F5" s="15" t="s">
        <v>44</v>
      </c>
      <c r="G5" s="3">
        <v>54</v>
      </c>
      <c r="H5" s="3">
        <f>VLOOKUP(D5,[3]SKU总表!$A:$M,13,0)</f>
        <v>6</v>
      </c>
      <c r="I5" s="3">
        <v>54</v>
      </c>
      <c r="J5" s="3">
        <v>6</v>
      </c>
      <c r="K5" s="5">
        <f t="shared" si="0"/>
        <v>9</v>
      </c>
      <c r="L5" s="6" t="s">
        <v>25</v>
      </c>
      <c r="M5">
        <v>0.066368</v>
      </c>
      <c r="N5">
        <v>14.6</v>
      </c>
      <c r="O5">
        <f t="shared" si="1"/>
        <v>131.4</v>
      </c>
      <c r="P5">
        <f t="shared" si="2"/>
        <v>0.597312</v>
      </c>
      <c r="Q5" s="16" t="s">
        <v>26</v>
      </c>
      <c r="R5" s="17" t="s">
        <v>45</v>
      </c>
      <c r="S5" t="s">
        <v>46</v>
      </c>
    </row>
    <row r="6" ht="27" spans="1:19">
      <c r="A6" t="s">
        <v>19</v>
      </c>
      <c r="B6" s="13" t="s">
        <v>20</v>
      </c>
      <c r="C6" t="s">
        <v>47</v>
      </c>
      <c r="D6" t="s">
        <v>48</v>
      </c>
      <c r="E6" s="14" t="s">
        <v>49</v>
      </c>
      <c r="F6" s="15" t="s">
        <v>50</v>
      </c>
      <c r="G6" s="3">
        <v>50</v>
      </c>
      <c r="H6" s="3">
        <f>VLOOKUP(D6,[3]SKU总表!$A:$M,13,0)</f>
        <v>10</v>
      </c>
      <c r="I6" s="3">
        <v>50</v>
      </c>
      <c r="J6" s="3">
        <v>10</v>
      </c>
      <c r="K6" s="5">
        <f t="shared" si="0"/>
        <v>5</v>
      </c>
      <c r="L6" s="6" t="s">
        <v>51</v>
      </c>
      <c r="M6">
        <v>0.06156</v>
      </c>
      <c r="N6">
        <v>13.6</v>
      </c>
      <c r="O6">
        <f t="shared" si="1"/>
        <v>68</v>
      </c>
      <c r="P6">
        <f t="shared" si="2"/>
        <v>0.3078</v>
      </c>
      <c r="Q6" s="16" t="s">
        <v>26</v>
      </c>
      <c r="R6" s="17" t="s">
        <v>52</v>
      </c>
      <c r="S6" t="s">
        <v>53</v>
      </c>
    </row>
    <row r="7" ht="27" spans="1:19">
      <c r="A7" t="s">
        <v>19</v>
      </c>
      <c r="B7" s="13" t="s">
        <v>20</v>
      </c>
      <c r="C7" t="s">
        <v>54</v>
      </c>
      <c r="D7" s="18" t="s">
        <v>55</v>
      </c>
      <c r="E7" s="14" t="s">
        <v>56</v>
      </c>
      <c r="F7" s="15" t="s">
        <v>57</v>
      </c>
      <c r="G7" s="3">
        <v>56</v>
      </c>
      <c r="H7" s="3">
        <f>VLOOKUP(D7,[3]SKU总表!$A:$M,13,0)</f>
        <v>8</v>
      </c>
      <c r="I7" s="3">
        <v>56</v>
      </c>
      <c r="J7" s="3">
        <v>8</v>
      </c>
      <c r="K7" s="5">
        <f t="shared" si="0"/>
        <v>7</v>
      </c>
      <c r="L7" s="6" t="s">
        <v>51</v>
      </c>
      <c r="M7">
        <v>0.06156</v>
      </c>
      <c r="N7">
        <v>13.3</v>
      </c>
      <c r="O7">
        <f t="shared" si="1"/>
        <v>93.1</v>
      </c>
      <c r="P7">
        <f t="shared" si="2"/>
        <v>0.43092</v>
      </c>
      <c r="Q7" s="16" t="s">
        <v>26</v>
      </c>
      <c r="R7" s="17" t="s">
        <v>58</v>
      </c>
      <c r="S7" t="s">
        <v>59</v>
      </c>
    </row>
    <row r="8" ht="27" spans="1:19">
      <c r="A8" t="s">
        <v>19</v>
      </c>
      <c r="B8" s="13" t="s">
        <v>20</v>
      </c>
      <c r="C8" t="s">
        <v>60</v>
      </c>
      <c r="D8" t="s">
        <v>61</v>
      </c>
      <c r="E8" s="14" t="s">
        <v>62</v>
      </c>
      <c r="F8" s="15" t="s">
        <v>63</v>
      </c>
      <c r="G8" s="3">
        <v>50</v>
      </c>
      <c r="H8" s="3">
        <f>VLOOKUP(D8,[3]SKU总表!$A:$M,13,0)</f>
        <v>10</v>
      </c>
      <c r="I8" s="3">
        <v>50</v>
      </c>
      <c r="J8" s="3">
        <v>10</v>
      </c>
      <c r="K8" s="5">
        <f t="shared" si="0"/>
        <v>5</v>
      </c>
      <c r="L8" s="6" t="s">
        <v>51</v>
      </c>
      <c r="M8">
        <v>0.06156</v>
      </c>
      <c r="N8">
        <v>12.5</v>
      </c>
      <c r="O8">
        <f t="shared" si="1"/>
        <v>62.5</v>
      </c>
      <c r="P8">
        <f t="shared" si="2"/>
        <v>0.3078</v>
      </c>
      <c r="Q8" s="16" t="s">
        <v>26</v>
      </c>
      <c r="R8" s="17" t="s">
        <v>64</v>
      </c>
      <c r="S8" t="s">
        <v>65</v>
      </c>
    </row>
    <row r="9" ht="27" spans="1:19">
      <c r="A9" t="s">
        <v>19</v>
      </c>
      <c r="B9" s="13" t="s">
        <v>20</v>
      </c>
      <c r="C9" t="s">
        <v>66</v>
      </c>
      <c r="D9" t="s">
        <v>67</v>
      </c>
      <c r="E9" s="14" t="s">
        <v>68</v>
      </c>
      <c r="F9" s="15" t="s">
        <v>69</v>
      </c>
      <c r="G9" s="3">
        <v>56</v>
      </c>
      <c r="H9" s="3">
        <f>VLOOKUP(D9,[3]SKU总表!$A:$M,13,0)</f>
        <v>8</v>
      </c>
      <c r="I9" s="3">
        <v>56</v>
      </c>
      <c r="J9" s="3">
        <v>8</v>
      </c>
      <c r="K9" s="5">
        <f t="shared" si="0"/>
        <v>7</v>
      </c>
      <c r="L9" s="6" t="s">
        <v>70</v>
      </c>
      <c r="M9">
        <v>0.06156</v>
      </c>
      <c r="N9">
        <v>13</v>
      </c>
      <c r="O9">
        <f t="shared" si="1"/>
        <v>91</v>
      </c>
      <c r="P9">
        <f t="shared" si="2"/>
        <v>0.43092</v>
      </c>
      <c r="Q9" s="16" t="s">
        <v>26</v>
      </c>
      <c r="R9" s="17" t="s">
        <v>71</v>
      </c>
      <c r="S9" t="s">
        <v>72</v>
      </c>
    </row>
    <row r="13" spans="1:19">
      <c r="Q13" t="s">
        <v>73</v>
      </c>
    </row>
    <row r="18" spans="4:7">
      <c r="D18" t="s">
        <v>74</v>
      </c>
    </row>
    <row r="23" spans="4:7">
      <c r="F23" s="1"/>
      <c r="G23" s="2"/>
    </row>
    <row r="24" spans="4:7">
      <c r="F24" s="1"/>
      <c r="G24" s="2"/>
    </row>
    <row r="25" spans="4:7">
      <c r="F25" s="1"/>
      <c r="G25" s="2"/>
    </row>
    <row r="26" spans="4:7">
      <c r="F26" s="1"/>
      <c r="G26" s="2"/>
    </row>
    <row r="27" spans="4:7">
      <c r="F27" s="1"/>
      <c r="G27" s="2"/>
    </row>
    <row r="28" spans="4:7">
      <c r="F28" s="1"/>
      <c r="G28" s="2"/>
    </row>
    <row r="29" spans="4:7">
      <c r="F29" s="1"/>
      <c r="G29" s="2"/>
    </row>
    <row r="30" spans="4:7">
      <c r="F30" s="1"/>
      <c r="G30" s="2"/>
    </row>
    <row r="31" spans="4:7">
      <c r="F31" s="1"/>
      <c r="G31" s="2"/>
    </row>
    <row r="32" spans="4:7">
      <c r="F32" s="1"/>
      <c r="G32" s="2"/>
    </row>
    <row r="33" spans="6:7">
      <c r="F33" s="1"/>
      <c r="G33" s="2"/>
    </row>
    <row r="34" spans="6:7">
      <c r="F34" s="1"/>
      <c r="G34" s="2"/>
    </row>
    <row r="35" spans="6:7">
      <c r="F35" s="1"/>
      <c r="G35" s="2"/>
    </row>
  </sheetData>
  <dataValidations count="1">
    <dataValidation allowBlank="1" showInputMessage="1" sqref="D2:D6"/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F32" sqref="F32"/>
    </sheetView>
  </sheetViews>
  <sheetFormatPr defaultColWidth="9" defaultRowHeight="13.5" outlineLevelCol="1"/>
  <sheetData>
    <row r="1" spans="1:2">
      <c r="A1" s="1"/>
      <c r="B1" s="2"/>
    </row>
    <row r="2" spans="1:2">
      <c r="A2" s="1"/>
      <c r="B2" s="2"/>
    </row>
    <row r="3" spans="1:2">
      <c r="A3" s="1"/>
      <c r="B3" s="2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A11" s="1"/>
      <c r="B11" s="2"/>
    </row>
    <row r="12" spans="1:2">
      <c r="A12" s="1"/>
      <c r="B12" s="2"/>
    </row>
    <row r="13" spans="1:2">
      <c r="A13" s="1"/>
      <c r="B13" s="2"/>
    </row>
    <row r="14" spans="1:2">
      <c r="B14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5" sqref="A1:C2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2025-12-16T02:08:32Z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9F27FFF080C6499091E90C60C2C3439F_13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