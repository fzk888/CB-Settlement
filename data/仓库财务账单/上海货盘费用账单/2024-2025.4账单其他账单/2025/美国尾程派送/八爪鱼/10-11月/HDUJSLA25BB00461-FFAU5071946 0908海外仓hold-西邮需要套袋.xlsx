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<sst xmlns="http://schemas.openxmlformats.org/spreadsheetml/2006/main" count="81" uniqueCount="63">
  <si>
    <t>运营人员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</si>
  <si>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</si>
  <si>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</si>
  <si>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</si>
  <si>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</si>
  <si>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</si>
  <si>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</si>
  <si>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</si>
  <si>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</si>
  <si>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</si>
  <si>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</si>
  <si>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</si>
  <si>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</si>
  <si>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</si>
  <si>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</si>
  <si>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</si>
  <si>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</si>
  <si>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</si>
  <si>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货件编号 从</t>
  </si>
  <si>
    <t>到</t>
  </si>
  <si>
    <t>文璇</t>
  </si>
  <si>
    <t>需要15*20cm的不透明快递袋子</t>
  </si>
  <si>
    <t>开瓶器蓝色</t>
  </si>
  <si>
    <t>GAW-bottle opener-BL</t>
  </si>
  <si>
    <t>X004KXUPSL</t>
  </si>
  <si>
    <t>B06WD2942V</t>
  </si>
  <si>
    <t>32*27*22</t>
  </si>
  <si>
    <t>GEU2</t>
  </si>
  <si>
    <t>FBA1914VRDCSU000082</t>
  </si>
  <si>
    <t>FBA1914VRDCSU000083</t>
  </si>
  <si>
    <t>开瓶器深棕</t>
  </si>
  <si>
    <t>GAW-bottle opener-PA</t>
  </si>
  <si>
    <t>X004KXAVFD</t>
  </si>
  <si>
    <t>B0725YVSQB</t>
  </si>
  <si>
    <t>FBA1914VRDCSU000084</t>
  </si>
  <si>
    <t>开瓶器</t>
  </si>
  <si>
    <t>GAW-Cork2</t>
  </si>
  <si>
    <t>X004R1YPE1</t>
  </si>
  <si>
    <t>B015P5XL8W</t>
  </si>
  <si>
    <t>58x29x25</t>
  </si>
  <si>
    <t>FBA1914VRDCSU000015</t>
  </si>
  <si>
    <t>FBA1914VRDCSU000019</t>
  </si>
  <si>
    <t>GAW-Cork1-SW</t>
  </si>
  <si>
    <t>X004R1YRKX</t>
  </si>
  <si>
    <t>B071P9QNZP</t>
  </si>
  <si>
    <t>FBA1914VRDCSU000013</t>
  </si>
  <si>
    <t>FBA1914VRDCSU000014</t>
  </si>
  <si>
    <t>GAW-Cork1-RPW</t>
  </si>
  <si>
    <t>X004R1YSWF</t>
  </si>
  <si>
    <t>B06W2HV1VW</t>
  </si>
  <si>
    <t>FBA1914VRDCSU000010</t>
  </si>
  <si>
    <t>FBA1914VRDCSU000011</t>
  </si>
  <si>
    <t>GAW-Cork1-SMW</t>
  </si>
  <si>
    <t>X004R1X73V</t>
  </si>
  <si>
    <t>B072LXNPZY</t>
  </si>
  <si>
    <t>FBA1914VRDCSU000012</t>
  </si>
  <si>
    <t>需要15*30cm的不透明快递袋子</t>
  </si>
  <si>
    <t>蚝刀套装</t>
  </si>
  <si>
    <t>GAW-Glove Kit</t>
  </si>
  <si>
    <t>X004TS3NPT</t>
  </si>
  <si>
    <t>B00VQFE1MQ</t>
  </si>
  <si>
    <t>48x44x36</t>
  </si>
  <si>
    <t>FBA1914VRDCSU000039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</si>
</sst>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85090</xdr:colOff>
      <xdr:row>1</xdr:row>
      <xdr:rowOff>0</xdr:rowOff>
    </xdr:from>
    <xdr:to>
      <xdr:col>24</xdr:col>
      <xdr:colOff>581025</xdr:colOff>
      <xdr:row>9</xdr:row>
      <xdr:rowOff>24765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963130" y="457200"/>
          <a:ext cx="3239135" cy="1402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1315720</xdr:colOff>
      <xdr:row>12</xdr:row>
      <xdr:rowOff>109855</xdr:rowOff>
    </xdr:from>
    <xdr:to>
      <xdr:col>26</xdr:col>
      <xdr:colOff>212090</xdr:colOff>
      <xdr:row>22</xdr:row>
      <xdr:rowOff>82550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593560" y="2459355"/>
          <a:ext cx="4611370" cy="16871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workbookViewId="0">
      <selection activeCell="I26" sqref="I26"/>
    </sheetView>
  </sheetViews>
  <sheetFormatPr defaultColWidth="9" defaultRowHeight="13.5" outlineLevelRow="7"/>
  <cols>
    <col min="1" max="1" width="9" style="1"/>
    <col min="2" max="2" width="28.4083333333333" style="1" customWidth="1"/>
    <col min="3" max="3" width="12.475" style="1" customWidth="1"/>
    <col min="4" max="4" width="19.3916666666667" style="1" customWidth="1"/>
    <col min="5" max="5" width="13.1416666666667" style="1" customWidth="1"/>
    <col min="6" max="6" width="13.6833333333333" style="1" customWidth="1"/>
    <col min="7" max="11" width="9" style="1"/>
    <col min="12" max="12" width="15.0666666666667" style="1" customWidth="1"/>
    <col min="13" max="13" width="9.53333333333333" style="1"/>
    <col min="14" max="15" width="9" style="1"/>
    <col min="16" max="16" width="9.53333333333333" style="1"/>
    <col min="17" max="17" width="9" style="1"/>
    <col min="18" max="18" width="16.875" style="1" customWidth="1"/>
    <col min="19" max="19" width="20.7583333333333" style="1" customWidth="1"/>
    <col min="20" max="20" width="21" style="1" customWidth="1"/>
    <col min="21" max="16384" width="9" style="1"/>
  </cols>
  <sheetData>
    <row r="1" s="1" customFormat="1" ht="36" customHeight="1" spans="1:21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6" t="s">
        <v>10</v>
      </c>
      <c r="L1" s="9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10" t="s">
        <v>16</v>
      </c>
      <c r="R1" s="11" t="s">
        <v>17</v>
      </c>
      <c r="S1" s="1" t="s">
        <v>18</v>
      </c>
      <c r="T1" s="1" t="s">
        <v>19</v>
      </c>
      <c r="U1" s="2"/>
    </row>
    <row r="2" s="1" customFormat="1" spans="1:21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>
        <v>200</v>
      </c>
      <c r="H2" s="1">
        <v>100</v>
      </c>
      <c r="I2" s="12">
        <f t="shared" ref="I2:I8" si="0">G2</f>
        <v>200</v>
      </c>
      <c r="J2" s="1">
        <v>100</v>
      </c>
      <c r="K2" s="1">
        <f>G2/H2</f>
        <v>2</v>
      </c>
      <c r="L2" s="1" t="s">
        <v>26</v>
      </c>
      <c r="M2" s="1">
        <v>0.019</v>
      </c>
      <c r="N2" s="1">
        <v>6.59</v>
      </c>
      <c r="O2" s="13">
        <f t="shared" ref="O2:O8" si="1">N2*K2</f>
        <v>13.18</v>
      </c>
      <c r="P2" s="13">
        <f t="shared" ref="P2:P8" si="2">M2*K2</f>
        <v>0.038</v>
      </c>
      <c r="Q2" s="14" t="s">
        <v>27</v>
      </c>
      <c r="R2" s="14"/>
      <c r="S2" s="1" t="s">
        <v>28</v>
      </c>
      <c r="T2" s="1" t="s">
        <v>29</v>
      </c>
    </row>
    <row r="3" s="1" customFormat="1" spans="1:21">
      <c r="A3" s="1" t="s">
        <v>20</v>
      </c>
      <c r="B3" s="1" t="s">
        <v>21</v>
      </c>
      <c r="C3" s="1" t="s">
        <v>30</v>
      </c>
      <c r="D3" s="1" t="s">
        <v>31</v>
      </c>
      <c r="E3" s="1" t="s">
        <v>32</v>
      </c>
      <c r="F3" s="1" t="s">
        <v>33</v>
      </c>
      <c r="G3" s="1">
        <v>88</v>
      </c>
      <c r="H3" s="1">
        <v>100</v>
      </c>
      <c r="I3" s="12">
        <f t="shared" si="0"/>
        <v>88</v>
      </c>
      <c r="J3" s="1">
        <v>100</v>
      </c>
      <c r="K3" s="1">
        <v>1</v>
      </c>
      <c r="L3" s="1" t="s">
        <v>26</v>
      </c>
      <c r="M3" s="1">
        <v>0.019</v>
      </c>
      <c r="N3" s="1">
        <v>6.59</v>
      </c>
      <c r="O3" s="13">
        <f t="shared" si="1"/>
        <v>6.59</v>
      </c>
      <c r="P3" s="13">
        <f t="shared" si="2"/>
        <v>0.019</v>
      </c>
      <c r="Q3" s="14"/>
      <c r="R3" s="14"/>
      <c r="S3" s="1" t="s">
        <v>34</v>
      </c>
    </row>
    <row r="4" s="1" customFormat="1" ht="14" customHeight="1" spans="1:21">
      <c r="A4" s="1" t="s">
        <v>20</v>
      </c>
      <c r="B4" s="1" t="s">
        <v>21</v>
      </c>
      <c r="C4" s="1" t="s">
        <v>35</v>
      </c>
      <c r="D4" s="1" t="s">
        <v>36</v>
      </c>
      <c r="E4" s="15" t="s">
        <v>37</v>
      </c>
      <c r="F4" s="1" t="s">
        <v>38</v>
      </c>
      <c r="G4" s="1">
        <v>100</v>
      </c>
      <c r="H4" s="1">
        <v>20</v>
      </c>
      <c r="I4" s="16">
        <f t="shared" si="0"/>
        <v>100</v>
      </c>
      <c r="J4" s="16">
        <v>20</v>
      </c>
      <c r="K4" s="16">
        <f>G4/H4</f>
        <v>5</v>
      </c>
      <c r="L4" s="1" t="s">
        <v>39</v>
      </c>
      <c r="M4" s="1">
        <v>0.042</v>
      </c>
      <c r="N4" s="1">
        <v>12.7</v>
      </c>
      <c r="O4" s="16">
        <f t="shared" si="1"/>
        <v>63.5</v>
      </c>
      <c r="P4" s="16">
        <f t="shared" si="2"/>
        <v>0.21</v>
      </c>
      <c r="Q4" s="14"/>
      <c r="R4" s="14"/>
      <c r="S4" s="1" t="s">
        <v>40</v>
      </c>
      <c r="T4" s="1" t="s">
        <v>41</v>
      </c>
    </row>
    <row r="5" s="1" customFormat="1" spans="1:21">
      <c r="A5" s="1" t="s">
        <v>20</v>
      </c>
      <c r="B5" s="1" t="s">
        <v>21</v>
      </c>
      <c r="C5" s="1" t="s">
        <v>35</v>
      </c>
      <c r="D5" s="1" t="s">
        <v>42</v>
      </c>
      <c r="E5" s="1" t="s">
        <v>43</v>
      </c>
      <c r="F5" s="1" t="s">
        <v>44</v>
      </c>
      <c r="G5" s="1">
        <v>200</v>
      </c>
      <c r="H5" s="1">
        <v>100</v>
      </c>
      <c r="I5" s="12">
        <f t="shared" si="0"/>
        <v>200</v>
      </c>
      <c r="J5" s="1">
        <v>100</v>
      </c>
      <c r="K5" s="1">
        <f>G5/H5</f>
        <v>2</v>
      </c>
      <c r="L5" s="1" t="s">
        <v>26</v>
      </c>
      <c r="M5" s="1">
        <v>0.019</v>
      </c>
      <c r="N5" s="1">
        <v>6.59</v>
      </c>
      <c r="O5" s="13">
        <f t="shared" si="1"/>
        <v>13.18</v>
      </c>
      <c r="P5" s="13">
        <f t="shared" si="2"/>
        <v>0.038</v>
      </c>
      <c r="Q5" s="14"/>
      <c r="R5" s="14"/>
      <c r="S5" s="1" t="s">
        <v>45</v>
      </c>
      <c r="T5" s="1" t="s">
        <v>46</v>
      </c>
    </row>
    <row r="6" s="1" customFormat="1" spans="1:21">
      <c r="A6" s="1" t="s">
        <v>20</v>
      </c>
      <c r="B6" s="1" t="s">
        <v>21</v>
      </c>
      <c r="C6" s="1" t="s">
        <v>35</v>
      </c>
      <c r="D6" s="1" t="s">
        <v>47</v>
      </c>
      <c r="E6" s="1" t="s">
        <v>48</v>
      </c>
      <c r="F6" s="1" t="s">
        <v>49</v>
      </c>
      <c r="G6" s="1">
        <v>200</v>
      </c>
      <c r="H6" s="1">
        <v>100</v>
      </c>
      <c r="I6" s="12">
        <f t="shared" si="0"/>
        <v>200</v>
      </c>
      <c r="J6" s="1">
        <v>100</v>
      </c>
      <c r="K6" s="1">
        <f>G6/H6</f>
        <v>2</v>
      </c>
      <c r="L6" s="1" t="s">
        <v>26</v>
      </c>
      <c r="M6" s="1">
        <v>0.019</v>
      </c>
      <c r="N6" s="1">
        <v>6.59</v>
      </c>
      <c r="O6" s="13">
        <f t="shared" si="1"/>
        <v>13.18</v>
      </c>
      <c r="P6" s="13">
        <f t="shared" si="2"/>
        <v>0.038</v>
      </c>
      <c r="Q6" s="14"/>
      <c r="R6" s="14"/>
      <c r="S6" s="1" t="s">
        <v>50</v>
      </c>
      <c r="T6" s="1" t="s">
        <v>51</v>
      </c>
    </row>
    <row r="7" s="1" customFormat="1" spans="1:21">
      <c r="A7" s="1" t="s">
        <v>20</v>
      </c>
      <c r="B7" s="1" t="s">
        <v>21</v>
      </c>
      <c r="C7" s="1" t="s">
        <v>35</v>
      </c>
      <c r="D7" s="1" t="s">
        <v>52</v>
      </c>
      <c r="E7" s="1" t="s">
        <v>53</v>
      </c>
      <c r="F7" s="1" t="s">
        <v>54</v>
      </c>
      <c r="G7" s="1">
        <v>100</v>
      </c>
      <c r="H7" s="1">
        <v>100</v>
      </c>
      <c r="I7" s="12">
        <f t="shared" si="0"/>
        <v>100</v>
      </c>
      <c r="J7" s="1">
        <v>100</v>
      </c>
      <c r="K7" s="1">
        <f>G7/H7</f>
        <v>1</v>
      </c>
      <c r="L7" s="1" t="s">
        <v>26</v>
      </c>
      <c r="M7" s="1">
        <v>0.019</v>
      </c>
      <c r="N7" s="1">
        <v>6.59</v>
      </c>
      <c r="O7" s="13">
        <f t="shared" si="1"/>
        <v>6.59</v>
      </c>
      <c r="P7" s="13">
        <f t="shared" si="2"/>
        <v>0.019</v>
      </c>
      <c r="Q7" s="14"/>
      <c r="R7" s="14"/>
      <c r="S7" s="1" t="s">
        <v>55</v>
      </c>
    </row>
    <row r="8" s="1" customFormat="1" spans="1:21">
      <c r="A8" s="1" t="s">
        <v>20</v>
      </c>
      <c r="B8" s="1" t="s">
        <v>56</v>
      </c>
      <c r="C8" s="1" t="s">
        <v>57</v>
      </c>
      <c r="D8" s="17" t="s">
        <v>58</v>
      </c>
      <c r="E8" s="1" t="s">
        <v>59</v>
      </c>
      <c r="F8" s="17" t="s">
        <v>60</v>
      </c>
      <c r="G8" s="18">
        <v>72</v>
      </c>
      <c r="H8" s="19">
        <v>72</v>
      </c>
      <c r="I8" s="20">
        <f t="shared" si="0"/>
        <v>72</v>
      </c>
      <c r="J8" s="20">
        <v>72</v>
      </c>
      <c r="K8" s="21">
        <f>G8/H8</f>
        <v>1</v>
      </c>
      <c r="L8" s="17" t="s">
        <v>61</v>
      </c>
      <c r="M8" s="22">
        <f>(48*44*36)/1000000</f>
        <v>0.076032</v>
      </c>
      <c r="N8" s="13">
        <v>17</v>
      </c>
      <c r="O8" s="13">
        <f t="shared" si="1"/>
        <v>17</v>
      </c>
      <c r="P8" s="23">
        <f t="shared" si="2"/>
        <v>0.076032</v>
      </c>
      <c r="Q8" s="14"/>
      <c r="R8" s="14"/>
      <c r="S8" s="1" t="s">
        <v>62</v>
      </c>
    </row>
  </sheetData>
  <mergeCells count="2">
    <mergeCell ref="Q2:Q8"/>
    <mergeCell ref="R2:R8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2025-10-20T04:05:00Z</dcterms:created>
  <dcterms:modified xsi:type="dcterms:W3CDTF">2025-12-16T03:39:59Z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FB9E01C59E2A4BB7893F84D970D90C7D_13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