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<sst xmlns="http://schemas.openxmlformats.org/spreadsheetml/2006/main" count="84" uniqueCount="61">
  <si>
    <t>运营人员</t>
  </si>
  <si>
    <t>时间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</si>
  <si>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</si>
  <si>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</si>
  <si>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</si>
  <si>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</si>
  <si>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</si>
  <si>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</si>
  <si>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</si>
  <si>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</si>
  <si>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</si>
  <si>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</si>
  <si>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</si>
  <si>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</si>
  <si>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</si>
  <si>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</si>
  <si>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</si>
  <si>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</si>
  <si>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</si>
  <si>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</si>
  <si>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柜号</t>
  </si>
  <si>
    <t>账号6</t>
  </si>
  <si>
    <t>谢欢</t>
  </si>
  <si>
    <t>FFAU5071946</t>
  </si>
  <si>
    <t>贴2张箱唛，把之前的箱唛覆盖住</t>
  </si>
  <si>
    <t>床罩（毛面）</t>
  </si>
  <si>
    <t>6PM-6-9"-Twin</t>
  </si>
  <si>
    <t>X004NI88L9</t>
  </si>
  <si>
    <t>B004BA8UWA</t>
  </si>
  <si>
    <t>57x30x37CM (箱)</t>
  </si>
  <si>
    <t>FBA192QY67PS
5S89G6RP
MIT2
箱数：51箱
产品数量：370个</t>
  </si>
  <si>
    <t>FBA192QY67PSU000031</t>
  </si>
  <si>
    <t>FBA192QY67PSU000036</t>
  </si>
  <si>
    <t>6PM-9-12"-TwinXL</t>
  </si>
  <si>
    <t>X004NIIUHB</t>
  </si>
  <si>
    <t>B00B50IA56</t>
  </si>
  <si>
    <t>57x30x36CM (箱)</t>
  </si>
  <si>
    <t>FBA192QY67PSU000047</t>
  </si>
  <si>
    <t>FBA192QY67PSU000051</t>
  </si>
  <si>
    <t>6PM-6-9"-Full</t>
  </si>
  <si>
    <t>X004NI9VEH</t>
  </si>
  <si>
    <t>B004BAB1RG</t>
  </si>
  <si>
    <t>FBA192QY67PSU000021</t>
  </si>
  <si>
    <t>FBA192QY67PSU000030</t>
  </si>
  <si>
    <t>6PM-15-18"-Queen</t>
  </si>
  <si>
    <t>X004NIJ2OL</t>
  </si>
  <si>
    <t>B004BAEFWY</t>
  </si>
  <si>
    <t>60x34x32CM (箱)</t>
  </si>
  <si>
    <t>FBA192QY67PSU000011</t>
  </si>
  <si>
    <t>FBA192QY67PSU000020</t>
  </si>
  <si>
    <t>6PM-9-12"-King</t>
  </si>
  <si>
    <t>X004NIJ359</t>
  </si>
  <si>
    <t>B004BAB2LG</t>
  </si>
  <si>
    <t>FBA192QY67PSU000037</t>
  </si>
  <si>
    <t>FBA192QY67PSU000046</t>
  </si>
  <si>
    <t>6PM-15-18"-King</t>
  </si>
  <si>
    <t>X004NIE1X3</t>
  </si>
  <si>
    <t>B004BA8WBE</t>
  </si>
  <si>
    <t>FBA192QY67PSU000001</t>
  </si>
  <si>
    <t>FBA192QY67PSU000010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</si>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</sst>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10"/>
  <sheetViews>
    <sheetView tabSelected="1" zoomScale="85" zoomScaleNormal="85" workbookViewId="0">
      <pane ySplit="1" topLeftCell="A2" activePane="bottomLeft" state="frozen"/>
      <selection/>
      <selection pane="bottomLeft" activeCell="R20" sqref="R20"/>
    </sheetView>
  </sheetViews>
  <sheetFormatPr defaultColWidth="9" defaultRowHeight="13.5"/>
  <cols>
    <col min="1" max="1" width="8.375" style="1" customWidth="1"/>
    <col min="2" max="2" width="14.2083333333333" style="1" customWidth="1"/>
    <col min="3" max="3" width="31.775" style="1" customWidth="1"/>
    <col min="4" max="4" width="14.5333333333333" style="1" customWidth="1"/>
    <col min="5" max="5" width="18.2333333333333" style="1" customWidth="1"/>
    <col min="6" max="6" width="11.4666666666667" style="1" customWidth="1"/>
    <col min="7" max="7" width="13.1916666666667" style="2" customWidth="1"/>
    <col min="8" max="8" width="10.55" style="2" customWidth="1"/>
    <col min="9" max="9" width="8.23333333333333" style="2" customWidth="1"/>
    <col min="10" max="10" width="11.175" style="2" customWidth="1"/>
    <col min="11" max="11" width="12.8" style="1"/>
    <col min="12" max="12" width="8.525" style="1" customWidth="1"/>
    <col min="13" max="13" width="13.9666666666667" style="1" customWidth="1"/>
    <col min="14" max="14" width="9.70833333333333" style="1" customWidth="1"/>
    <col min="15" max="15" width="14.55" style="1" customWidth="1"/>
    <col min="16" max="16" width="8.66666666666667" style="1" customWidth="1"/>
    <col min="17" max="17" width="10" customWidth="1"/>
    <col min="18" max="18" width="18.675" customWidth="1"/>
    <col min="19" max="19" width="22.5083333333333" customWidth="1"/>
    <col min="20" max="16384" width="9" style="1"/>
  </cols>
  <sheetData>
    <row r="1" s="1" customFormat="1" ht="25" customHeight="1" spans="1:20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5" t="s">
        <v>11</v>
      </c>
      <c r="M1" s="9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10" t="s">
        <v>17</v>
      </c>
      <c r="S1" s="3" t="s">
        <v>18</v>
      </c>
      <c r="T1" s="1" t="s">
        <v>19</v>
      </c>
    </row>
    <row r="2" s="1" customFormat="1" spans="1:20">
      <c r="B2" s="1" t="s">
        <v>20</v>
      </c>
      <c r="C2" s="11" t="s">
        <v>21</v>
      </c>
      <c r="H2" s="2"/>
      <c r="I2" s="2"/>
      <c r="J2" s="2"/>
      <c r="K2" s="2"/>
      <c r="M2" s="12"/>
      <c r="R2"/>
      <c r="S2"/>
    </row>
    <row r="3" ht="14.25" spans="1:20">
      <c r="A3" t="s">
        <v>22</v>
      </c>
      <c r="B3" s="13" t="s">
        <v>23</v>
      </c>
      <c r="C3" s="14" t="s">
        <v>24</v>
      </c>
      <c r="D3" s="15" t="s">
        <v>25</v>
      </c>
      <c r="E3" s="15" t="s">
        <v>26</v>
      </c>
      <c r="F3" s="15" t="s">
        <v>27</v>
      </c>
      <c r="G3" s="15" t="s">
        <v>28</v>
      </c>
      <c r="H3" s="16">
        <v>60</v>
      </c>
      <c r="I3" s="16">
        <v>10</v>
      </c>
      <c r="J3" s="16">
        <f t="shared" ref="J3:J9" si="0">H3</f>
        <v>60</v>
      </c>
      <c r="K3" s="16">
        <v>10</v>
      </c>
      <c r="L3" s="16">
        <f t="shared" ref="L3:L9" si="1">H3/I3</f>
        <v>6</v>
      </c>
      <c r="M3" s="15" t="s">
        <v>29</v>
      </c>
      <c r="N3" s="17">
        <v>0.062</v>
      </c>
      <c r="O3" s="17">
        <v>12</v>
      </c>
      <c r="P3" s="17">
        <f t="shared" ref="P3:P9" si="2">O3*L3</f>
        <v>72</v>
      </c>
      <c r="Q3" s="17">
        <f t="shared" ref="Q3:Q9" si="3">N3*L3</f>
        <v>0.372</v>
      </c>
      <c r="R3" s="18" t="s">
        <v>30</v>
      </c>
      <c r="S3" t="s">
        <v>31</v>
      </c>
      <c r="T3" s="1" t="s">
        <v>32</v>
      </c>
    </row>
    <row r="4" ht="14.25" spans="1:20">
      <c r="A4" t="s">
        <v>22</v>
      </c>
      <c r="B4" s="13" t="s">
        <v>23</v>
      </c>
      <c r="C4" s="14" t="s">
        <v>24</v>
      </c>
      <c r="D4" s="15" t="s">
        <v>25</v>
      </c>
      <c r="E4" s="15" t="s">
        <v>33</v>
      </c>
      <c r="F4" s="15" t="s">
        <v>34</v>
      </c>
      <c r="G4" s="15" t="s">
        <v>35</v>
      </c>
      <c r="H4" s="16">
        <v>50</v>
      </c>
      <c r="I4" s="16">
        <v>10</v>
      </c>
      <c r="J4" s="16">
        <f t="shared" si="0"/>
        <v>50</v>
      </c>
      <c r="K4" s="16">
        <v>10</v>
      </c>
      <c r="L4" s="16">
        <f t="shared" si="1"/>
        <v>5</v>
      </c>
      <c r="M4" s="15" t="s">
        <v>36</v>
      </c>
      <c r="N4" s="17">
        <v>0.06</v>
      </c>
      <c r="O4" s="17">
        <v>12</v>
      </c>
      <c r="P4" s="17">
        <f t="shared" si="2"/>
        <v>60</v>
      </c>
      <c r="Q4" s="17">
        <f t="shared" si="3"/>
        <v>0.3</v>
      </c>
      <c r="R4" s="19"/>
      <c r="S4" t="s">
        <v>37</v>
      </c>
      <c r="T4" s="1" t="s">
        <v>38</v>
      </c>
    </row>
    <row r="5" ht="14.25" spans="1:20">
      <c r="A5" t="s">
        <v>22</v>
      </c>
      <c r="B5" s="13" t="s">
        <v>23</v>
      </c>
      <c r="C5" s="14" t="s">
        <v>24</v>
      </c>
      <c r="D5" s="15" t="s">
        <v>25</v>
      </c>
      <c r="E5" s="15" t="s">
        <v>39</v>
      </c>
      <c r="F5" s="15" t="s">
        <v>40</v>
      </c>
      <c r="G5" s="15" t="s">
        <v>41</v>
      </c>
      <c r="H5" s="16">
        <v>80</v>
      </c>
      <c r="I5" s="16">
        <v>8</v>
      </c>
      <c r="J5" s="16">
        <f t="shared" si="0"/>
        <v>80</v>
      </c>
      <c r="K5" s="16">
        <v>8</v>
      </c>
      <c r="L5" s="16">
        <f t="shared" si="1"/>
        <v>10</v>
      </c>
      <c r="M5" s="15" t="s">
        <v>29</v>
      </c>
      <c r="N5" s="17">
        <v>0.061</v>
      </c>
      <c r="O5" s="17">
        <v>12</v>
      </c>
      <c r="P5" s="17">
        <f t="shared" si="2"/>
        <v>120</v>
      </c>
      <c r="Q5" s="17">
        <f t="shared" si="3"/>
        <v>0.61</v>
      </c>
      <c r="R5" s="19"/>
      <c r="S5" t="s">
        <v>42</v>
      </c>
      <c r="T5" s="1" t="s">
        <v>43</v>
      </c>
    </row>
    <row r="6" ht="14.25" spans="1:20">
      <c r="A6" t="s">
        <v>22</v>
      </c>
      <c r="B6" s="13" t="s">
        <v>23</v>
      </c>
      <c r="C6" s="14" t="s">
        <v>24</v>
      </c>
      <c r="D6" s="15" t="s">
        <v>25</v>
      </c>
      <c r="E6" s="15" t="s">
        <v>44</v>
      </c>
      <c r="F6" s="15" t="s">
        <v>45</v>
      </c>
      <c r="G6" s="15" t="s">
        <v>46</v>
      </c>
      <c r="H6" s="16">
        <v>60</v>
      </c>
      <c r="I6" s="16">
        <v>6</v>
      </c>
      <c r="J6" s="16">
        <f t="shared" si="0"/>
        <v>60</v>
      </c>
      <c r="K6" s="16">
        <v>6</v>
      </c>
      <c r="L6" s="16">
        <f t="shared" si="1"/>
        <v>10</v>
      </c>
      <c r="M6" s="15" t="s">
        <v>47</v>
      </c>
      <c r="N6" s="17">
        <v>0.066</v>
      </c>
      <c r="O6" s="17">
        <v>12</v>
      </c>
      <c r="P6" s="17">
        <f t="shared" si="2"/>
        <v>120</v>
      </c>
      <c r="Q6" s="17">
        <f t="shared" si="3"/>
        <v>0.66</v>
      </c>
      <c r="R6" s="19"/>
      <c r="S6" t="s">
        <v>48</v>
      </c>
      <c r="T6" s="1" t="s">
        <v>49</v>
      </c>
    </row>
    <row r="7" ht="14.25" spans="1:20">
      <c r="A7" t="s">
        <v>22</v>
      </c>
      <c r="B7" s="13" t="s">
        <v>23</v>
      </c>
      <c r="C7" s="14" t="s">
        <v>24</v>
      </c>
      <c r="D7" s="15" t="s">
        <v>25</v>
      </c>
      <c r="E7" s="15" t="s">
        <v>50</v>
      </c>
      <c r="F7" s="15" t="s">
        <v>51</v>
      </c>
      <c r="G7" s="15" t="s">
        <v>52</v>
      </c>
      <c r="H7" s="16">
        <v>60</v>
      </c>
      <c r="I7" s="16">
        <v>6</v>
      </c>
      <c r="J7" s="16">
        <f t="shared" si="0"/>
        <v>60</v>
      </c>
      <c r="K7" s="16">
        <v>6</v>
      </c>
      <c r="L7" s="16">
        <f t="shared" si="1"/>
        <v>10</v>
      </c>
      <c r="M7" s="15" t="s">
        <v>47</v>
      </c>
      <c r="N7" s="17">
        <v>0.066</v>
      </c>
      <c r="O7" s="17">
        <v>12</v>
      </c>
      <c r="P7" s="17">
        <f t="shared" si="2"/>
        <v>120</v>
      </c>
      <c r="Q7" s="17">
        <f t="shared" si="3"/>
        <v>0.66</v>
      </c>
      <c r="R7" s="19"/>
      <c r="S7" t="s">
        <v>53</v>
      </c>
      <c r="T7" s="1" t="s">
        <v>54</v>
      </c>
    </row>
    <row r="8" ht="14.25" spans="1:20">
      <c r="A8" t="s">
        <v>22</v>
      </c>
      <c r="B8" s="13" t="s">
        <v>23</v>
      </c>
      <c r="C8" s="14" t="s">
        <v>24</v>
      </c>
      <c r="D8" s="15" t="s">
        <v>25</v>
      </c>
      <c r="E8" s="15" t="s">
        <v>55</v>
      </c>
      <c r="F8" s="15" t="s">
        <v>56</v>
      </c>
      <c r="G8" s="15" t="s">
        <v>57</v>
      </c>
      <c r="H8" s="16">
        <v>60</v>
      </c>
      <c r="I8" s="16">
        <v>6</v>
      </c>
      <c r="J8" s="16">
        <f t="shared" si="0"/>
        <v>60</v>
      </c>
      <c r="K8" s="16">
        <v>6</v>
      </c>
      <c r="L8" s="16">
        <f t="shared" si="1"/>
        <v>10</v>
      </c>
      <c r="M8" s="15" t="s">
        <v>47</v>
      </c>
      <c r="N8" s="17">
        <v>0.066</v>
      </c>
      <c r="O8" s="17">
        <v>12</v>
      </c>
      <c r="P8" s="17">
        <f t="shared" si="2"/>
        <v>120</v>
      </c>
      <c r="Q8" s="17">
        <f t="shared" si="3"/>
        <v>0.66</v>
      </c>
      <c r="R8" s="19"/>
      <c r="S8" t="s">
        <v>58</v>
      </c>
      <c r="T8" s="1" t="s">
        <v>59</v>
      </c>
    </row>
    <row r="10" spans="1:20">
      <c r="R10" t="s">
        <v>60</v>
      </c>
    </row>
  </sheetData>
  <mergeCells count="1">
    <mergeCell ref="R3:R8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2025-12-16T02:08:24Z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51F3D8BB5F234417A2A4D7E3A602E8C0_13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