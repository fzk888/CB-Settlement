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汇总" sheetId="1" r:id="rId1"/>
  </sheets>
  <externalReferences>
    <externalReference r:id="rId2"/>
    <externalReference r:id="rId3"/>
  </externalReferences>
  <definedNames>
    <definedName name="requiredAttributePTDMap">[1]AttributePTDMAP!$A$1:$C$27</definedName>
    <definedName name="mattresscoveritem_display_width_unit_of_measure">'[2]Dropdown Lists'!$F$4:$F$18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<sst xmlns="http://schemas.openxmlformats.org/spreadsheetml/2006/main" count="30" uniqueCount="30">
  <si>
    <t>运营人员</t>
  </si>
  <si>
    <t>柜号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</si>
  <si>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</si>
  <si>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</si>
  <si>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</si>
  <si>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</si>
  <si>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</si>
  <si>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</si>
  <si>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</si>
  <si>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</si>
  <si>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</si>
  <si>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</si>
  <si>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</si>
  <si>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</si>
  <si>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</si>
  <si>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</si>
  <si>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</si>
  <si>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</si>
  <si>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</si>
  <si>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到</t>
  </si>
  <si>
    <t>谢欢</t>
  </si>
  <si>
    <t>COSU6421188390/CSNU5572673</t>
  </si>
  <si>
    <t>不用拆箱，只贴箱唛</t>
  </si>
  <si>
    <t>床罩橙色卡纸 狗</t>
  </si>
  <si>
    <t>5ZME-9"TwinXL</t>
  </si>
  <si>
    <t>X004BH69HH</t>
  </si>
  <si>
    <t>B004VN316M</t>
  </si>
  <si>
    <t>57x30x36CM (箱)</t>
  </si>
  <si>
    <t>HLI2</t>
  </si>
  <si>
    <t>FBA193WY9YJ8
HLI2 
2Y6ZLS9E
箱数：10箱
数量：100个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</si>
</sst>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zoomScale="90" zoomScaleNormal="90" topLeftCell="E1" workbookViewId="0">
      <pane ySplit="1" topLeftCell="A2" activePane="bottomLeft" state="frozen"/>
      <selection/>
      <selection pane="bottomLeft" activeCell="R2" sqref="R2:S2"/>
    </sheetView>
  </sheetViews>
  <sheetFormatPr defaultColWidth="9" defaultRowHeight="13.5" outlineLevelRow="1"/>
  <cols>
    <col min="1" max="1" width="9.25833333333333" style="1" customWidth="1"/>
    <col min="2" max="2" width="29.3" style="1" customWidth="1"/>
    <col min="3" max="3" width="18.325" style="1" customWidth="1"/>
    <col min="4" max="4" width="23.05" style="1" customWidth="1"/>
    <col min="5" max="5" width="20.9666666666667" style="1" customWidth="1"/>
    <col min="6" max="6" width="12.5083333333333" style="1" customWidth="1"/>
    <col min="7" max="7" width="12.4916666666667" style="1" customWidth="1"/>
    <col min="8" max="8" width="9" style="1"/>
    <col min="9" max="9" width="10.55" style="1" customWidth="1"/>
    <col min="10" max="10" width="10.65" style="1" customWidth="1"/>
    <col min="11" max="11" width="9" style="1"/>
    <col min="12" max="12" width="12.8" style="1"/>
    <col min="13" max="13" width="17.65" style="1" customWidth="1"/>
    <col min="14" max="14" width="12.8" style="1"/>
    <col min="15" max="15" width="14.1833333333333" style="1" customWidth="1"/>
    <col min="16" max="16" width="12.8916666666667" style="1"/>
    <col min="17" max="17" width="13.3666666666667" style="1" customWidth="1"/>
    <col min="18" max="18" width="20.5166666666667" style="2" customWidth="1"/>
    <col min="19" max="19" width="22" style="2" customWidth="1"/>
    <col min="20" max="20" width="21.25" style="2" customWidth="1"/>
    <col min="21" max="16384" width="9" style="1"/>
  </cols>
  <sheetData>
    <row r="1" s="1" customFormat="1" ht="25" customHeight="1" spans="1:20">
      <c r="A1" s="1" t="s">
        <v>0</v>
      </c>
      <c r="B1" s="1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7" t="s">
        <v>17</v>
      </c>
      <c r="S1" s="3" t="s">
        <v>18</v>
      </c>
      <c r="T1" s="1" t="s">
        <v>19</v>
      </c>
    </row>
    <row r="2" ht="72" customHeight="1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>
        <v>100</v>
      </c>
      <c r="I2" s="1">
        <v>10</v>
      </c>
      <c r="J2" s="1">
        <f>H2</f>
        <v>100</v>
      </c>
      <c r="K2" s="1">
        <v>10</v>
      </c>
      <c r="L2" s="8">
        <f>H2/I2</f>
        <v>10</v>
      </c>
      <c r="M2" s="1" t="s">
        <v>27</v>
      </c>
      <c r="N2" s="1">
        <v>0.06</v>
      </c>
      <c r="O2" s="1">
        <v>12.8</v>
      </c>
      <c r="P2" s="1">
        <f>O2*L2</f>
        <v>128</v>
      </c>
      <c r="Q2" s="1">
        <f>L2*N2</f>
        <v>0.6</v>
      </c>
      <c r="R2" s="2" t="s">
        <v>28</v>
      </c>
      <c r="S2" s="9" t="s">
        <v>29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2025-04-24T08:42:00Z</dcterms:created>
  <dcterms:modified xsi:type="dcterms:W3CDTF">2025-12-16T03:33:33Z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CEEAE64D45E440C9AB9FF7538E6E8324_13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