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<sst xmlns="http://schemas.openxmlformats.org/spreadsheetml/2006/main" count="40" uniqueCount="39">
  <si>
    <t>运营人员</t>
  </si>
  <si>
    <t>备注-柜号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</si>
  <si>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</si>
  <si>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</si>
  <si>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</si>
  <si>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</si>
  <si>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</si>
  <si>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</si>
  <si>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</si>
  <si>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</si>
  <si>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</si>
  <si>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</si>
  <si>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</si>
  <si>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</si>
  <si>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</si>
  <si>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</si>
  <si>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</si>
  <si>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</si>
  <si>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</si>
  <si>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杨宏才</t>
  </si>
  <si>
    <t>0512-XYLU8162600</t>
  </si>
  <si>
    <t>啤酒瓶</t>
  </si>
  <si>
    <t>Amber Kitchen Bottles</t>
  </si>
  <si>
    <t>X004N1CNBH</t>
  </si>
  <si>
    <t>B08PL6MC7G</t>
  </si>
  <si>
    <t>42x31x16</t>
  </si>
  <si>
    <t>FBA192DKQ4F1
QXY8
2NAPMPIS
箱数：100箱
产品数量：600个</t>
  </si>
  <si>
    <t xml:space="preserve"> FBA192DKQ4F1U000001</t>
  </si>
  <si>
    <t xml:space="preserve"> FBA192DKQ4F1U000100</t>
  </si>
  <si>
    <t>0801-SELU4353291
需拆箱贴产品标签、贴箱唛</t>
  </si>
  <si>
    <t>多路充电器</t>
  </si>
  <si>
    <t>CHUS-04</t>
  </si>
  <si>
    <t>X004T0MG73</t>
  </si>
  <si>
    <t>B07222V19V</t>
  </si>
  <si>
    <t>48x35x33CM</t>
  </si>
  <si>
    <t>FBA192GSDDCJ
TCY1
31I7PE2X
箱数：7箱
产品数量：140个</t>
  </si>
  <si>
    <t>FBA192GSDDCJU000001</t>
  </si>
  <si>
    <t>FBA192GSDDCJU000007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</si>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</sst>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zoomScale="85" zoomScaleNormal="85" workbookViewId="0">
      <pane ySplit="1" topLeftCell="A2" activePane="bottomLeft" state="frozen"/>
      <selection/>
      <selection pane="bottomLeft" activeCell="E17" sqref="E15:E17"/>
    </sheetView>
  </sheetViews>
  <sheetFormatPr defaultColWidth="9" defaultRowHeight="13.5" outlineLevelRow="6"/>
  <cols>
    <col min="1" max="1" width="18.425" style="1" customWidth="1"/>
    <col min="2" max="2" width="28.5083333333333" style="1" customWidth="1"/>
    <col min="3" max="3" width="26.8416666666667" style="1" customWidth="1"/>
    <col min="4" max="4" width="30.85" style="1" customWidth="1"/>
    <col min="5" max="5" width="16" style="1" customWidth="1"/>
    <col min="6" max="6" width="18.4333333333333" style="1" customWidth="1"/>
    <col min="7" max="7" width="9" style="1"/>
    <col min="8" max="8" width="10.55" style="1" customWidth="1"/>
    <col min="9" max="9" width="10.65" style="1" customWidth="1"/>
    <col min="10" max="10" width="9" style="1"/>
    <col min="11" max="11" width="12.8" style="1"/>
    <col min="12" max="12" width="17.65" style="1" hidden="1" customWidth="1"/>
    <col min="13" max="13" width="12.8" style="1" hidden="1" customWidth="1"/>
    <col min="14" max="14" width="14.1833333333333" style="1" customWidth="1"/>
    <col min="15" max="15" width="12.8916666666667" style="1"/>
    <col min="16" max="16" width="13.3666666666667" style="1" customWidth="1"/>
    <col min="17" max="17" width="20.5166666666667" style="2" customWidth="1"/>
    <col min="18" max="18" width="22" style="2" customWidth="1"/>
    <col min="19" max="19" width="27.45" style="2" customWidth="1"/>
    <col min="20" max="20" width="8.23333333333333" style="1" customWidth="1"/>
    <col min="21" max="16384" width="9" style="1"/>
  </cols>
  <sheetData>
    <row r="1" s="1" customFormat="1" ht="25" customHeight="1" spans="1:20">
      <c r="A1" s="1" t="s">
        <v>0</v>
      </c>
      <c r="B1" s="1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" t="s">
        <v>16</v>
      </c>
      <c r="R1" s="3" t="s">
        <v>17</v>
      </c>
      <c r="S1" s="1" t="s">
        <v>18</v>
      </c>
    </row>
    <row r="2" s="1" customFormat="1" ht="127" customHeight="1" spans="1:20">
      <c r="A2" s="1" t="s">
        <v>19</v>
      </c>
      <c r="B2" s="1" t="s">
        <v>20</v>
      </c>
      <c r="C2" s="8" t="s">
        <v>21</v>
      </c>
      <c r="D2" s="9" t="s">
        <v>22</v>
      </c>
      <c r="E2" s="10" t="s">
        <v>23</v>
      </c>
      <c r="F2" s="10" t="s">
        <v>24</v>
      </c>
      <c r="G2" s="11">
        <v>100</v>
      </c>
      <c r="H2" s="12">
        <v>1</v>
      </c>
      <c r="I2" s="12">
        <f>G2*6</f>
        <v>600</v>
      </c>
      <c r="J2" s="12">
        <v>6</v>
      </c>
      <c r="K2" s="10">
        <v>100</v>
      </c>
      <c r="L2" s="10" t="s">
        <v>25</v>
      </c>
      <c r="M2" s="8">
        <f>(42*31*16)/1000000</f>
        <v>0.020832</v>
      </c>
      <c r="N2" s="8">
        <v>3.15</v>
      </c>
      <c r="O2" s="8">
        <f>N2*K2</f>
        <v>315</v>
      </c>
      <c r="P2" s="10">
        <f>M2*K2</f>
        <v>2.0832</v>
      </c>
      <c r="Q2" s="13" t="s">
        <v>26</v>
      </c>
      <c r="R2" s="1" t="s">
        <v>27</v>
      </c>
      <c r="S2" s="1" t="s">
        <v>28</v>
      </c>
    </row>
    <row r="3" s="2" customFormat="1" ht="134" customHeight="1" spans="1:20">
      <c r="A3" s="2" t="s">
        <v>19</v>
      </c>
      <c r="B3" s="14" t="s">
        <v>29</v>
      </c>
      <c r="C3" s="1" t="s">
        <v>30</v>
      </c>
      <c r="D3" s="15" t="s">
        <v>31</v>
      </c>
      <c r="E3" s="15" t="s">
        <v>32</v>
      </c>
      <c r="F3" s="2" t="s">
        <v>33</v>
      </c>
      <c r="G3" s="2">
        <v>140</v>
      </c>
      <c r="H3" s="2">
        <v>20</v>
      </c>
      <c r="I3" s="12">
        <f>G3</f>
        <v>140</v>
      </c>
      <c r="J3" s="2">
        <v>20</v>
      </c>
      <c r="K3" s="2">
        <f>G3/H3</f>
        <v>7</v>
      </c>
      <c r="L3" s="16" t="s">
        <v>34</v>
      </c>
      <c r="M3" s="17">
        <v>0.05544</v>
      </c>
      <c r="N3" s="16">
        <v>20.4</v>
      </c>
      <c r="O3" s="8">
        <f>N3*K3</f>
        <v>142.8</v>
      </c>
      <c r="P3" s="10">
        <f>M3*K3</f>
        <v>0.38808</v>
      </c>
      <c r="Q3" s="13" t="s">
        <v>35</v>
      </c>
      <c r="R3" s="2" t="s">
        <v>36</v>
      </c>
      <c r="S3" s="2" t="s">
        <v>37</v>
      </c>
      <c r="T3" s="1"/>
    </row>
    <row r="7" spans="1:20">
      <c r="Q7" s="2" t="s">
        <v>38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2025-12-16T08:03:25Z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C337AB29D391448AA6FB350D64085661_13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