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3B4C4CAA6B1E4BBF946EA079F3962E8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170390" y="1466215"/>
          <a:ext cx="17811750" cy="67627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<sst xmlns="http://schemas.openxmlformats.org/spreadsheetml/2006/main" count="48" uniqueCount="46">
  <si>
    <t>运营人员</t>
  </si>
  <si>
    <t>备注-柜号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</si>
  <si>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</si>
  <si>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</si>
  <si>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</si>
  <si>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</si>
  <si>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</si>
  <si>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</si>
  <si>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</si>
  <si>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</si>
  <si>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</si>
  <si>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</si>
  <si>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</si>
  <si>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</si>
  <si>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</si>
  <si>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</si>
  <si>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</si>
  <si>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</si>
  <si>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</si>
  <si>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配置费</t>
  </si>
  <si>
    <t>何梦晴</t>
  </si>
  <si>
    <r>
      <rPr>
        <sz val="11"/>
        <color theme="1"/>
        <rFont val="宋体"/>
        <charset val="134"/>
        <scheme val="minor"/>
      </rPr>
      <t>账号2-0612-CS</t>
    </r>
    <r>
      <rPr>
        <sz val="11"/>
        <color rgb="FFFF0000"/>
        <rFont val="宋体"/>
        <charset val="134"/>
        <scheme val="minor"/>
      </rPr>
      <t>NU5572673
贴箱唛发走</t>
    </r>
  </si>
  <si>
    <t>啤酒瓶</t>
  </si>
  <si>
    <t>Beerbottle-6pack</t>
  </si>
  <si>
    <t>X0046NZ16L</t>
  </si>
  <si>
    <t>B08PL6MC7G</t>
  </si>
  <si>
    <t>42x31x16</t>
  </si>
  <si>
    <t>FBA192CPKX3Y
TCY1
6TE6N53Q
箱数：149箱
产品数量：316个</t>
  </si>
  <si>
    <t>FBA192CPKX3YU000001</t>
  </si>
  <si>
    <t>FBA192CPKX3YU000120</t>
  </si>
  <si>
    <r>
      <rPr>
        <sz val="11"/>
        <color theme="1"/>
        <rFont val="宋体"/>
        <charset val="134"/>
        <scheme val="minor"/>
      </rPr>
      <t xml:space="preserve">账号2-0612-CSNU5572673
NU5572673
</t>
    </r>
    <r>
      <rPr>
        <sz val="11"/>
        <color rgb="FFFF0000"/>
        <rFont val="宋体"/>
        <charset val="134"/>
        <scheme val="minor"/>
      </rPr>
      <t>贴箱唛发走</t>
    </r>
  </si>
  <si>
    <t>厨房排水过滤器</t>
  </si>
  <si>
    <t>Drainkit-2pack</t>
  </si>
  <si>
    <t>X0046O4MG5</t>
  </si>
  <si>
    <t>B06XZ8JFB5</t>
  </si>
  <si>
    <t>46.5*47.5*25</t>
  </si>
  <si>
    <t>FBA192CPKX3YU000121</t>
  </si>
  <si>
    <t>FBA192CPKX3YU000125</t>
  </si>
  <si>
    <t>0714-XYLU8213950
NU5572673
贴箱唛发走</t>
  </si>
  <si>
    <t>梅森罐6pack</t>
  </si>
  <si>
    <t>Mason-16oz6pcs</t>
  </si>
  <si>
    <t>X0046QLNID</t>
  </si>
  <si>
    <t>B0938GY8DW</t>
  </si>
  <si>
    <t>61.5*31.5*36cm</t>
  </si>
  <si>
    <t>FBA192CPKX3YU000126</t>
  </si>
  <si>
    <t>FBA192CPKX3YU000149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</si>
</sst>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3" fillId="3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5" fillId="5" borderId="0" xfId="0" applyFont="1" applyFill="1" applyBorder="1" applyAlignment="1">
      <alignment horizontal="righ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6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tabSelected="1" zoomScale="85" zoomScaleNormal="85" workbookViewId="0">
      <pane ySplit="1" topLeftCell="A2" activePane="bottomLeft" state="frozen"/>
      <selection/>
      <selection pane="bottomLeft" activeCell="D16" sqref="D16"/>
    </sheetView>
  </sheetViews>
  <sheetFormatPr defaultColWidth="9" defaultRowHeight="13.5" outlineLevelRow="3"/>
  <cols>
    <col min="1" max="1" width="18.425" style="1" customWidth="1"/>
    <col min="2" max="2" width="25.8416666666667" style="1" customWidth="1"/>
    <col min="3" max="3" width="26.8416666666667" style="2" customWidth="1"/>
    <col min="4" max="4" width="30.85" style="2" customWidth="1"/>
    <col min="5" max="5" width="16" style="1" customWidth="1"/>
    <col min="6" max="6" width="18.4333333333333" style="1" customWidth="1"/>
    <col min="7" max="7" width="9" style="3"/>
    <col min="8" max="8" width="10.55" style="3" customWidth="1"/>
    <col min="9" max="9" width="10.6333333333333" style="3" customWidth="1"/>
    <col min="10" max="10" width="9" style="3"/>
    <col min="11" max="11" width="12.8" style="1"/>
    <col min="12" max="12" width="17.6333333333333" style="1" customWidth="1"/>
    <col min="13" max="13" width="12.8" style="1"/>
    <col min="14" max="14" width="14.1833333333333" style="1" customWidth="1"/>
    <col min="15" max="15" width="12.8833333333333" style="1"/>
    <col min="16" max="16" width="13.375" style="1" customWidth="1"/>
    <col min="17" max="17" width="20.525" customWidth="1"/>
    <col min="18" max="18" width="22" customWidth="1"/>
    <col min="19" max="19" width="27.45" customWidth="1"/>
    <col min="20" max="20" width="55.6666666666667" style="1"/>
    <col min="21" max="16384" width="9" style="1"/>
  </cols>
  <sheetData>
    <row r="1" s="1" customFormat="1" ht="25" customHeight="1" spans="1:20">
      <c r="A1" s="1" t="s">
        <v>0</v>
      </c>
      <c r="B1" s="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5" t="s">
        <v>10</v>
      </c>
      <c r="L1" s="9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0" t="s">
        <v>16</v>
      </c>
      <c r="R1" s="11" t="s">
        <v>17</v>
      </c>
      <c r="S1" s="1" t="s">
        <v>18</v>
      </c>
      <c r="T1" s="1" t="s">
        <v>19</v>
      </c>
    </row>
    <row r="2" s="1" customFormat="1" ht="29" customHeight="1" spans="1:20">
      <c r="A2" s="1" t="s">
        <v>20</v>
      </c>
      <c r="B2" s="12" t="s">
        <v>21</v>
      </c>
      <c r="C2" s="13" t="s">
        <v>22</v>
      </c>
      <c r="D2" s="14" t="s">
        <v>23</v>
      </c>
      <c r="E2" s="15" t="s">
        <v>24</v>
      </c>
      <c r="F2" s="14" t="s">
        <v>25</v>
      </c>
      <c r="G2" s="16">
        <v>120</v>
      </c>
      <c r="H2" s="17">
        <v>1</v>
      </c>
      <c r="I2" s="17">
        <f>G2*6</f>
        <v>720</v>
      </c>
      <c r="J2" s="17">
        <v>6</v>
      </c>
      <c r="K2" s="18">
        <f>G2/H2</f>
        <v>120</v>
      </c>
      <c r="L2" s="15" t="s">
        <v>26</v>
      </c>
      <c r="M2" s="19">
        <f>(42*31*16)/1000000</f>
        <v>0.020832</v>
      </c>
      <c r="N2" s="20">
        <v>3.15</v>
      </c>
      <c r="O2" s="19">
        <f>N2*K2</f>
        <v>378</v>
      </c>
      <c r="P2" s="21">
        <f>M2*K2</f>
        <v>2.49984</v>
      </c>
      <c r="Q2" s="22" t="s">
        <v>27</v>
      </c>
      <c r="R2" s="1" t="s">
        <v>28</v>
      </c>
      <c r="S2" s="1" t="s">
        <v>29</v>
      </c>
      <c r="T2" s="2" t="str">
        <f>_xlfn.DISPIMG("ID_3B4C4CAA6B1E4BBF946EA079F3962E81",1)</f>
        <v>=DISPIMG("ID_3B4C4CAA6B1E4BBF946EA079F3962E81",1)</v>
      </c>
    </row>
    <row r="3" customFormat="1" ht="60" customHeight="1" spans="1:20">
      <c r="A3" t="s">
        <v>20</v>
      </c>
      <c r="B3" s="12" t="s">
        <v>30</v>
      </c>
      <c r="C3" s="2" t="s">
        <v>31</v>
      </c>
      <c r="D3" s="23" t="s">
        <v>32</v>
      </c>
      <c r="E3" t="s">
        <v>33</v>
      </c>
      <c r="F3" s="23" t="s">
        <v>34</v>
      </c>
      <c r="G3" s="24">
        <v>100</v>
      </c>
      <c r="H3" s="25">
        <v>20</v>
      </c>
      <c r="I3" s="25">
        <f>G3*2</f>
        <v>200</v>
      </c>
      <c r="J3" s="25">
        <f>H3*2</f>
        <v>40</v>
      </c>
      <c r="K3" s="26">
        <f>G3/H3</f>
        <v>5</v>
      </c>
      <c r="L3" t="s">
        <v>35</v>
      </c>
      <c r="M3">
        <f>(46.5*47.5*25)/1000000</f>
        <v>0.05521875</v>
      </c>
      <c r="N3" s="25">
        <v>7.65</v>
      </c>
      <c r="O3" s="25">
        <f>N3*K3</f>
        <v>38.25</v>
      </c>
      <c r="P3" s="25">
        <f>M3*K3</f>
        <v>0.27609375</v>
      </c>
      <c r="Q3" s="2"/>
      <c r="R3" t="s">
        <v>36</v>
      </c>
      <c r="S3" t="s">
        <v>37</v>
      </c>
      <c r="T3" s="2"/>
    </row>
    <row r="4" customFormat="1" ht="70" customHeight="1" spans="1:20">
      <c r="A4" t="s">
        <v>20</v>
      </c>
      <c r="B4" s="27" t="s">
        <v>38</v>
      </c>
      <c r="C4" s="2" t="s">
        <v>39</v>
      </c>
      <c r="D4" s="23" t="s">
        <v>40</v>
      </c>
      <c r="E4" s="28" t="s">
        <v>41</v>
      </c>
      <c r="F4" s="23" t="s">
        <v>42</v>
      </c>
      <c r="G4" s="3">
        <v>96</v>
      </c>
      <c r="H4" s="25">
        <v>4</v>
      </c>
      <c r="I4" s="25">
        <f>G4*4</f>
        <v>384</v>
      </c>
      <c r="J4" s="25">
        <v>24</v>
      </c>
      <c r="K4" s="26">
        <f>G4/H4</f>
        <v>24</v>
      </c>
      <c r="L4" s="29" t="s">
        <v>43</v>
      </c>
      <c r="M4" s="25">
        <f>(61.5*31.5*36)/1000000</f>
        <v>0.069741</v>
      </c>
      <c r="N4" s="25">
        <v>12.1</v>
      </c>
      <c r="O4" s="25">
        <f>N4*K4</f>
        <v>290.4</v>
      </c>
      <c r="P4" s="25">
        <f>M4*K4</f>
        <v>1.673784</v>
      </c>
      <c r="Q4" s="2"/>
      <c r="R4" t="s">
        <v>44</v>
      </c>
      <c r="S4" t="s">
        <v>45</v>
      </c>
      <c r="T4" s="2"/>
    </row>
  </sheetData>
  <mergeCells count="2">
    <mergeCell ref="Q2:Q4"/>
    <mergeCell ref="T2:T4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2025-12-16T02:41:58Z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6C4B68FBCC1B4FACAD17F602DE1FB565_13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