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<sst xmlns="http://schemas.openxmlformats.org/spreadsheetml/2006/main" count="41" uniqueCount="37">
  <si>
    <t>运营人员</t>
  </si>
  <si>
    <t>柜号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</si>
  <si>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</si>
  <si>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</si>
  <si>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</si>
  <si>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</si>
  <si>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</si>
  <si>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</si>
  <si>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</si>
  <si>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</si>
  <si>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</si>
  <si>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</si>
  <si>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</si>
  <si>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</si>
  <si>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</si>
  <si>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</si>
  <si>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</si>
  <si>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</si>
  <si>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</si>
  <si>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</si>
  <si>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谢欢</t>
  </si>
  <si>
    <t>COSU6421188390/CSNU5572673</t>
  </si>
  <si>
    <t>不用拆箱，只贴箱唛</t>
  </si>
  <si>
    <t>床罩橙色卡纸 狗</t>
  </si>
  <si>
    <t>5ZME-12"TwinXL</t>
  </si>
  <si>
    <t>X004BGQI1F</t>
  </si>
  <si>
    <t>B00B50IA56</t>
  </si>
  <si>
    <t>57x30x36CM</t>
  </si>
  <si>
    <t>FBA1939XNXPD
MIT2
1KAY92PT
箱数：20
数量：180个</t>
  </si>
  <si>
    <t>FBA1939XNXPDU000011</t>
  </si>
  <si>
    <t>FBA1939XNXPDU000020</t>
  </si>
  <si>
    <t>床罩橙色卡纸 妈妈和女儿</t>
  </si>
  <si>
    <t>5W-9-Queen</t>
  </si>
  <si>
    <t>X004BL5D75</t>
  </si>
  <si>
    <t>B00C2TRA6Y</t>
  </si>
  <si>
    <t>FBA1939XNXPDU000001</t>
  </si>
  <si>
    <t>FBA1939XNXPDU000010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</si>
</sst>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zoomScale="90" zoomScaleNormal="90" workbookViewId="0">
      <pane ySplit="1" topLeftCell="A2" activePane="bottomLeft" state="frozen"/>
      <selection/>
      <selection pane="bottomLeft" activeCell="R2" sqref="R2:S3"/>
    </sheetView>
  </sheetViews>
  <sheetFormatPr defaultColWidth="9" defaultRowHeight="13.5" outlineLevelRow="2"/>
  <cols>
    <col min="1" max="1" width="9.25833333333333" style="1" customWidth="1"/>
    <col min="2" max="2" width="29.3" style="1" customWidth="1"/>
    <col min="3" max="3" width="18.325" style="1" customWidth="1"/>
    <col min="4" max="4" width="23.05" style="1" customWidth="1"/>
    <col min="5" max="5" width="20.9666666666667" style="1" customWidth="1"/>
    <col min="6" max="6" width="12.5083333333333" style="1" customWidth="1"/>
    <col min="7" max="7" width="12.4916666666667" style="1" customWidth="1"/>
    <col min="8" max="8" width="9" style="1"/>
    <col min="9" max="9" width="10.55" style="1" customWidth="1"/>
    <col min="10" max="10" width="10.65" style="1" customWidth="1"/>
    <col min="11" max="11" width="9" style="1"/>
    <col min="12" max="12" width="12.8" style="1"/>
    <col min="13" max="13" width="17.65" style="1" customWidth="1"/>
    <col min="14" max="14" width="12.8" style="1"/>
    <col min="15" max="15" width="14.1833333333333" style="1" customWidth="1"/>
    <col min="16" max="16" width="12.8916666666667" style="1"/>
    <col min="17" max="17" width="13.3666666666667" style="1" customWidth="1"/>
    <col min="18" max="18" width="20.5166666666667" style="2" customWidth="1"/>
    <col min="19" max="19" width="22" style="2" customWidth="1"/>
    <col min="20" max="20" width="21.25" style="2" customWidth="1"/>
    <col min="21" max="16384" width="9" style="1"/>
  </cols>
  <sheetData>
    <row r="1" s="1" customFormat="1" ht="25" customHeight="1" spans="1:20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7" t="s">
        <v>17</v>
      </c>
      <c r="S1" s="3" t="s">
        <v>18</v>
      </c>
      <c r="T1" s="1" t="s">
        <v>19</v>
      </c>
    </row>
    <row r="2" s="1" customFormat="1" ht="36" customHeight="1" spans="1:20">
      <c r="A2" s="1" t="s">
        <v>20</v>
      </c>
      <c r="B2" s="1" t="s">
        <v>21</v>
      </c>
      <c r="C2" s="1" t="s">
        <v>22</v>
      </c>
      <c r="D2" s="2" t="s">
        <v>23</v>
      </c>
      <c r="E2" s="8" t="s">
        <v>24</v>
      </c>
      <c r="F2" s="9" t="s">
        <v>25</v>
      </c>
      <c r="G2" s="1" t="s">
        <v>26</v>
      </c>
      <c r="H2" s="2">
        <v>100</v>
      </c>
      <c r="I2" s="1">
        <v>10</v>
      </c>
      <c r="J2" s="1">
        <f>H2</f>
        <v>100</v>
      </c>
      <c r="K2" s="1">
        <v>10</v>
      </c>
      <c r="L2" s="10">
        <f>H2/I2</f>
        <v>10</v>
      </c>
      <c r="M2" s="11" t="s">
        <v>27</v>
      </c>
      <c r="N2" s="1">
        <v>0.06156</v>
      </c>
      <c r="O2" s="1">
        <v>12</v>
      </c>
      <c r="P2" s="1">
        <f>O2*L2</f>
        <v>120</v>
      </c>
      <c r="Q2" s="11">
        <f>N2*L2</f>
        <v>0.6156</v>
      </c>
      <c r="R2" s="12" t="s">
        <v>28</v>
      </c>
      <c r="S2" s="1" t="s">
        <v>29</v>
      </c>
      <c r="T2" s="1" t="s">
        <v>30</v>
      </c>
    </row>
    <row r="3" ht="36" customHeight="1" spans="1:20">
      <c r="A3" s="1" t="s">
        <v>20</v>
      </c>
      <c r="B3" s="1" t="s">
        <v>21</v>
      </c>
      <c r="C3" s="1" t="s">
        <v>22</v>
      </c>
      <c r="D3" s="1" t="s">
        <v>31</v>
      </c>
      <c r="E3" s="1" t="s">
        <v>32</v>
      </c>
      <c r="F3" s="1" t="s">
        <v>33</v>
      </c>
      <c r="G3" s="1" t="s">
        <v>34</v>
      </c>
      <c r="H3" s="1">
        <v>80</v>
      </c>
      <c r="I3" s="1">
        <v>8</v>
      </c>
      <c r="J3" s="1">
        <f>H3</f>
        <v>80</v>
      </c>
      <c r="K3" s="1">
        <v>8</v>
      </c>
      <c r="L3" s="1">
        <f>H3/I3</f>
        <v>10</v>
      </c>
      <c r="M3" s="1" t="s">
        <v>27</v>
      </c>
      <c r="N3" s="1">
        <v>0.062</v>
      </c>
      <c r="O3" s="1">
        <v>12.27</v>
      </c>
      <c r="P3" s="1">
        <f>O3*L3</f>
        <v>122.7</v>
      </c>
      <c r="Q3" s="1">
        <f>L3*N3</f>
        <v>0.62</v>
      </c>
      <c r="R3" s="12"/>
      <c r="S3" s="1" t="s">
        <v>35</v>
      </c>
      <c r="T3" s="2" t="s">
        <v>36</v>
      </c>
    </row>
  </sheetData>
  <mergeCells count="1">
    <mergeCell ref="R2:R3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2025-12-16T03:31:05Z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BA50C042705D4F6FAD924B6E66A12F80_13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