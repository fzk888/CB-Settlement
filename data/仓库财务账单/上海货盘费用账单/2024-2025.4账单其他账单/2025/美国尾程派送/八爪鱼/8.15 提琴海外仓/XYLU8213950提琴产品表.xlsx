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<sst xmlns="http://schemas.openxmlformats.org/spreadsheetml/2006/main" count="88" uniqueCount="87">
  <si>
    <t>柜子</t>
  </si>
  <si>
    <t>备注</t>
  </si>
  <si>
    <t>品名</t>
  </si>
  <si>
    <t>SKU</t>
  </si>
  <si>
    <t>原FNSKU</t>
  </si>
  <si>
    <t>新的FNSKU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</si>
  <si>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</si>
  <si>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</si>
  <si>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</si>
  <si>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</si>
  <si>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</si>
  <si>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</si>
  <si>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</si>
  <si>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</si>
  <si>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</si>
  <si>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</si>
  <si>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</si>
  <si>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</si>
  <si>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原货件编号</t>
  </si>
  <si>
    <t>货件编号</t>
  </si>
  <si>
    <t>到</t>
  </si>
  <si>
    <t>0714柜子
XYLU8213950</t>
  </si>
  <si>
    <t>拆箱重新贴产品标签，覆盖原产品标签和箱唛，各贴两张</t>
  </si>
  <si>
    <t>小提琴</t>
  </si>
  <si>
    <t>ECE-AViolin-4/4Satin</t>
  </si>
  <si>
    <t>X004L1I6O7</t>
  </si>
  <si>
    <t>X004CK6PXL</t>
  </si>
  <si>
    <t>B00HJGIJP6</t>
  </si>
  <si>
    <t>84*51*61</t>
  </si>
  <si>
    <t>SCK8</t>
  </si>
  <si>
    <t>FBA18Z7N42W2U000017-FBA18Z7N42W2U000018</t>
  </si>
  <si>
    <t>FBA1906TJ6Q6U000009</t>
  </si>
  <si>
    <t>FBA1906TJ6Q6U000010</t>
  </si>
  <si>
    <t>中提琴</t>
  </si>
  <si>
    <t>ECE-Viola-CVA400-12In</t>
  </si>
  <si>
    <t>X004L1L7AR</t>
  </si>
  <si>
    <t>X004CMP8UF</t>
  </si>
  <si>
    <t>B000FCEIHO</t>
  </si>
  <si>
    <t>75*70*50</t>
  </si>
  <si>
    <t>FBA18Z7N42W2U000013-FBA18Z7N42W2U000014</t>
  </si>
  <si>
    <t>FBA1906TJ6Q6U000019</t>
  </si>
  <si>
    <t>FBA1906TJ6Q6U000020</t>
  </si>
  <si>
    <t>ECE-Viola-CVA400-14In</t>
  </si>
  <si>
    <t>X004L17J8B</t>
  </si>
  <si>
    <t>X004CMP8TV</t>
  </si>
  <si>
    <t>B000GQNPBO</t>
  </si>
  <si>
    <t>79*72*52</t>
  </si>
  <si>
    <t>FBA18Z7N42W2U000015-FBA18Z7N42W2U000016</t>
  </si>
  <si>
    <t>FBA1906TJ6Q6U000021</t>
  </si>
  <si>
    <t>FBA1906TJ6Q6U000022</t>
  </si>
  <si>
    <t>电子小提琴黄</t>
  </si>
  <si>
    <t>Eviolin4/4CEVN-32inch-Natural</t>
  </si>
  <si>
    <t>X004L1I4HB</t>
  </si>
  <si>
    <t>X004CMPRPV</t>
  </si>
  <si>
    <t>B003F274FY</t>
  </si>
  <si>
    <t>82*45*50</t>
  </si>
  <si>
    <t>FBA18Z7N42W2U000011-FBA18Z7N42W2U000012</t>
  </si>
  <si>
    <t>FBA1906TJ6Q6U000023</t>
  </si>
  <si>
    <t>FBA1906TJ6Q6U000024</t>
  </si>
  <si>
    <t>中提琴 白色</t>
  </si>
  <si>
    <t>ViolaMA-16inch-White</t>
  </si>
  <si>
    <t>X004NFWNIV</t>
  </si>
  <si>
    <t>X004BGGRGL</t>
  </si>
  <si>
    <t>B006LCCZT0</t>
  </si>
  <si>
    <t>87*51*54</t>
  </si>
  <si>
    <t>FBA18Z7N42W2U000001-FBA18Z7N42W2U000002</t>
  </si>
  <si>
    <t>FBA1906TJ6Q6U000025</t>
  </si>
  <si>
    <t>FBA1906TJ6Q6U000026</t>
  </si>
  <si>
    <t>电大提琴</t>
  </si>
  <si>
    <t>ECE-Ecello1-4/4Bk</t>
  </si>
  <si>
    <t>X004KXWM41</t>
  </si>
  <si>
    <t>X004COT5TN</t>
  </si>
  <si>
    <t>B007ESVCR6</t>
  </si>
  <si>
    <t>137*27*48</t>
  </si>
  <si>
    <t>FBA18Z7N42W2U000003-FBA18Z7N42W2U000010</t>
  </si>
  <si>
    <t>FBA1906TJ6Q6U000011</t>
  </si>
  <si>
    <t>FBA1906TJ6Q6U000018</t>
  </si>
  <si>
    <t>大提琴</t>
  </si>
  <si>
    <t>Cello-4/4CCO100-50inch-Natural</t>
  </si>
  <si>
    <t>X004P3J0HN</t>
  </si>
  <si>
    <t>X004BESKI1</t>
  </si>
  <si>
    <t>B0070OUZ9G</t>
  </si>
  <si>
    <t>137*34*48</t>
  </si>
  <si>
    <t>FBA18Z7NVJCQU000001-FBA18Z7NVJCQU000008</t>
  </si>
  <si>
    <t>FBA1906TJ6Q6U000001</t>
  </si>
  <si>
    <t>FBA1906TJ6Q6U000008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</si>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</sst>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0"/>
      <scheme val="minor"/>
    </font>
    <font>
      <sz val="12"/>
      <name val="宋体"/>
      <charset val="134"/>
    </font>
    <font>
      <sz val="11"/>
      <name val="宋体"/>
      <charset val="0"/>
      <scheme val="minor"/>
    </font>
    <font>
      <sz val="11"/>
      <color rgb="FF000000"/>
      <name val="宋体"/>
      <charset val="0"/>
    </font>
    <font>
      <sz val="11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right" vertical="center"/>
    </xf>
    <xf numFmtId="0" fontId="10" fillId="4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3" fontId="11" fillId="0" borderId="0" xfId="0" applyNumberFormat="1" applyFont="1" applyFill="1" applyBorder="1" applyAlignment="1">
      <alignment horizontal="right" vertical="top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abSelected="1" workbookViewId="0">
      <pane xSplit="6" ySplit="1" topLeftCell="G2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13.5"/>
  <cols>
    <col min="1" max="1" width="14.0833333333333" customWidth="1"/>
    <col min="3" max="3" width="15.275" customWidth="1"/>
    <col min="4" max="4" width="32.8166666666667" customWidth="1"/>
    <col min="5" max="5" width="14.9083333333333" customWidth="1"/>
    <col min="6" max="6" width="15.8166666666667" style="2" customWidth="1"/>
    <col min="7" max="7" width="14.55" customWidth="1"/>
    <col min="18" max="18" width="20.75" customWidth="1"/>
    <col min="19" max="19" width="6.36666666666667" customWidth="1"/>
    <col min="20" max="20" width="21.45" style="3" customWidth="1"/>
    <col min="21" max="21" width="20" style="2" customWidth="1"/>
    <col min="22" max="22" width="21.6333333333333" style="2" customWidth="1"/>
  </cols>
  <sheetData>
    <row r="1" s="1" customFormat="1" ht="25" customHeight="1" spans="1:22">
      <c r="A1" s="1" t="s">
        <v>0</v>
      </c>
      <c r="B1" s="1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21" t="s">
        <v>9</v>
      </c>
      <c r="K1" s="22" t="s">
        <v>10</v>
      </c>
      <c r="L1" s="6" t="s">
        <v>11</v>
      </c>
      <c r="M1" s="2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/>
      <c r="S1" s="6" t="s">
        <v>17</v>
      </c>
      <c r="T1" s="32" t="s">
        <v>18</v>
      </c>
      <c r="U1" s="33" t="s">
        <v>19</v>
      </c>
      <c r="V1" s="33" t="s">
        <v>20</v>
      </c>
    </row>
    <row r="2" customFormat="1" ht="27" spans="1:22">
      <c r="A2" s="8" t="s">
        <v>21</v>
      </c>
      <c r="B2" s="9" t="s">
        <v>22</v>
      </c>
      <c r="C2" t="s">
        <v>23</v>
      </c>
      <c r="D2" s="10" t="s">
        <v>24</v>
      </c>
      <c r="E2" s="10" t="s">
        <v>25</v>
      </c>
      <c r="F2" s="2" t="s">
        <v>26</v>
      </c>
      <c r="G2" s="11" t="s">
        <v>27</v>
      </c>
      <c r="H2" s="12">
        <v>12</v>
      </c>
      <c r="I2" s="24">
        <v>6</v>
      </c>
      <c r="J2" s="17">
        <f t="shared" ref="J2:J8" si="0">H2</f>
        <v>12</v>
      </c>
      <c r="K2" s="24">
        <v>6</v>
      </c>
      <c r="L2" s="25">
        <f t="shared" ref="L2:L8" si="1">H2/I2</f>
        <v>2</v>
      </c>
      <c r="M2" s="10" t="s">
        <v>28</v>
      </c>
      <c r="N2" s="26">
        <v>0.246</v>
      </c>
      <c r="O2" s="26">
        <v>18</v>
      </c>
      <c r="P2" s="10">
        <f t="shared" ref="P2:P8" si="2">O2*L2</f>
        <v>36</v>
      </c>
      <c r="Q2" s="31">
        <f t="shared" ref="Q2:Q8" si="3">N2*L2</f>
        <v>0.492</v>
      </c>
      <c r="R2" s="31">
        <f>190/5.68*Q2</f>
        <v>16.4577464788732</v>
      </c>
      <c r="S2" s="3" t="s">
        <v>29</v>
      </c>
      <c r="T2" s="3" t="s">
        <v>30</v>
      </c>
      <c r="U2" s="2" t="s">
        <v>31</v>
      </c>
      <c r="V2" s="2" t="s">
        <v>32</v>
      </c>
    </row>
    <row r="3" customFormat="1" ht="27" spans="1:22">
      <c r="A3" s="13"/>
      <c r="B3" s="9"/>
      <c r="C3" t="s">
        <v>33</v>
      </c>
      <c r="D3" s="10" t="s">
        <v>34</v>
      </c>
      <c r="E3" s="10" t="s">
        <v>35</v>
      </c>
      <c r="F3" s="2" t="s">
        <v>36</v>
      </c>
      <c r="G3" s="14" t="s">
        <v>37</v>
      </c>
      <c r="H3" s="12">
        <v>20</v>
      </c>
      <c r="I3" s="24">
        <v>10</v>
      </c>
      <c r="J3" s="17">
        <f t="shared" si="0"/>
        <v>20</v>
      </c>
      <c r="K3" s="24">
        <v>10</v>
      </c>
      <c r="L3" s="25">
        <f t="shared" si="1"/>
        <v>2</v>
      </c>
      <c r="M3" s="10" t="s">
        <v>38</v>
      </c>
      <c r="N3" s="26">
        <v>0.2625</v>
      </c>
      <c r="O3" s="26">
        <v>20.275</v>
      </c>
      <c r="P3" s="10">
        <f t="shared" si="2"/>
        <v>40.55</v>
      </c>
      <c r="Q3" s="31">
        <f t="shared" si="3"/>
        <v>0.525</v>
      </c>
      <c r="R3" s="31">
        <f t="shared" ref="R3:R8" si="4">190/5.68*Q3</f>
        <v>17.5616197183099</v>
      </c>
      <c r="S3" s="3"/>
      <c r="T3" s="3" t="s">
        <v>39</v>
      </c>
      <c r="U3" s="2" t="s">
        <v>40</v>
      </c>
      <c r="V3" s="2" t="s">
        <v>41</v>
      </c>
    </row>
    <row r="4" customFormat="1" ht="27" spans="1:22">
      <c r="A4" s="13"/>
      <c r="B4" s="9"/>
      <c r="C4" s="10" t="s">
        <v>33</v>
      </c>
      <c r="D4" s="10" t="s">
        <v>42</v>
      </c>
      <c r="E4" s="10" t="s">
        <v>43</v>
      </c>
      <c r="F4" s="2" t="s">
        <v>44</v>
      </c>
      <c r="G4" s="11" t="s">
        <v>45</v>
      </c>
      <c r="H4" s="12">
        <v>20</v>
      </c>
      <c r="I4" s="24">
        <v>10</v>
      </c>
      <c r="J4" s="17">
        <f t="shared" si="0"/>
        <v>20</v>
      </c>
      <c r="K4" s="24">
        <v>10</v>
      </c>
      <c r="L4" s="25">
        <f t="shared" si="1"/>
        <v>2</v>
      </c>
      <c r="M4" s="10" t="s">
        <v>46</v>
      </c>
      <c r="N4" s="27">
        <v>0.303</v>
      </c>
      <c r="O4" s="27">
        <v>22.5</v>
      </c>
      <c r="P4" s="10">
        <f t="shared" si="2"/>
        <v>45</v>
      </c>
      <c r="Q4" s="31">
        <f t="shared" si="3"/>
        <v>0.606</v>
      </c>
      <c r="R4" s="31">
        <f t="shared" si="4"/>
        <v>20.2711267605634</v>
      </c>
      <c r="S4" s="3"/>
      <c r="T4" s="3" t="s">
        <v>47</v>
      </c>
      <c r="U4" s="2" t="s">
        <v>48</v>
      </c>
      <c r="V4" s="2" t="s">
        <v>49</v>
      </c>
    </row>
    <row r="5" customFormat="1" ht="27" spans="1:22">
      <c r="A5" s="13"/>
      <c r="B5" s="9"/>
      <c r="C5" t="s">
        <v>50</v>
      </c>
      <c r="D5" s="1" t="s">
        <v>51</v>
      </c>
      <c r="E5" t="s">
        <v>52</v>
      </c>
      <c r="F5" s="2" t="s">
        <v>53</v>
      </c>
      <c r="G5" s="15" t="s">
        <v>54</v>
      </c>
      <c r="H5" s="16">
        <v>12</v>
      </c>
      <c r="I5" s="17">
        <v>6</v>
      </c>
      <c r="J5" s="17">
        <f t="shared" si="0"/>
        <v>12</v>
      </c>
      <c r="K5" s="17">
        <v>6</v>
      </c>
      <c r="L5" s="25">
        <f t="shared" si="1"/>
        <v>2</v>
      </c>
      <c r="M5" s="17" t="s">
        <v>55</v>
      </c>
      <c r="N5" s="28">
        <v>0.1845</v>
      </c>
      <c r="O5" s="28">
        <v>11.4</v>
      </c>
      <c r="P5" s="17">
        <f t="shared" si="2"/>
        <v>22.8</v>
      </c>
      <c r="Q5" s="34">
        <f t="shared" si="3"/>
        <v>0.369</v>
      </c>
      <c r="R5" s="31">
        <f t="shared" si="4"/>
        <v>12.3433098591549</v>
      </c>
      <c r="S5" s="3"/>
      <c r="T5" s="3" t="s">
        <v>56</v>
      </c>
      <c r="U5" s="2" t="s">
        <v>57</v>
      </c>
      <c r="V5" s="2" t="s">
        <v>58</v>
      </c>
    </row>
    <row r="6" customFormat="1" ht="27" spans="1:22">
      <c r="A6" s="13"/>
      <c r="B6" s="9"/>
      <c r="C6" s="17" t="s">
        <v>59</v>
      </c>
      <c r="D6" s="12" t="s">
        <v>60</v>
      </c>
      <c r="E6" s="12" t="s">
        <v>61</v>
      </c>
      <c r="F6" s="18" t="s">
        <v>62</v>
      </c>
      <c r="G6" s="10" t="s">
        <v>63</v>
      </c>
      <c r="H6" s="17">
        <v>12</v>
      </c>
      <c r="I6" s="17">
        <v>6</v>
      </c>
      <c r="J6" s="12">
        <f t="shared" si="0"/>
        <v>12</v>
      </c>
      <c r="K6" s="17">
        <v>6</v>
      </c>
      <c r="L6" s="29">
        <f t="shared" si="1"/>
        <v>2</v>
      </c>
      <c r="M6" s="17" t="s">
        <v>64</v>
      </c>
      <c r="N6" s="12">
        <f>87*51*54/1000000</f>
        <v>0.239598</v>
      </c>
      <c r="O6" s="28">
        <v>16</v>
      </c>
      <c r="P6" s="17">
        <f t="shared" si="2"/>
        <v>32</v>
      </c>
      <c r="Q6" s="34">
        <f t="shared" si="3"/>
        <v>0.479196</v>
      </c>
      <c r="R6" s="31">
        <f t="shared" si="4"/>
        <v>16.0294436619718</v>
      </c>
      <c r="S6" s="3"/>
      <c r="T6" s="3" t="s">
        <v>65</v>
      </c>
      <c r="U6" s="2" t="s">
        <v>66</v>
      </c>
      <c r="V6" s="2" t="s">
        <v>67</v>
      </c>
    </row>
    <row r="7" customFormat="1" ht="27" spans="1:22">
      <c r="A7" s="13"/>
      <c r="B7" s="9"/>
      <c r="C7" t="s">
        <v>68</v>
      </c>
      <c r="D7" s="10" t="s">
        <v>69</v>
      </c>
      <c r="E7" s="10" t="s">
        <v>70</v>
      </c>
      <c r="F7" s="2" t="s">
        <v>71</v>
      </c>
      <c r="G7" s="14" t="s">
        <v>72</v>
      </c>
      <c r="H7" s="12">
        <v>8</v>
      </c>
      <c r="I7" s="24">
        <v>1</v>
      </c>
      <c r="J7" s="17">
        <f t="shared" si="0"/>
        <v>8</v>
      </c>
      <c r="K7" s="24">
        <v>1</v>
      </c>
      <c r="L7" s="29">
        <f t="shared" si="1"/>
        <v>8</v>
      </c>
      <c r="M7" s="10" t="s">
        <v>73</v>
      </c>
      <c r="N7" s="26">
        <v>0.178</v>
      </c>
      <c r="O7" s="30">
        <v>8.6</v>
      </c>
      <c r="P7" s="31">
        <f t="shared" si="2"/>
        <v>68.8</v>
      </c>
      <c r="Q7" s="31">
        <f t="shared" si="3"/>
        <v>1.424</v>
      </c>
      <c r="R7" s="31">
        <f t="shared" si="4"/>
        <v>47.6338028169014</v>
      </c>
      <c r="S7" s="3"/>
      <c r="T7" s="3" t="s">
        <v>74</v>
      </c>
      <c r="U7" s="2" t="s">
        <v>75</v>
      </c>
      <c r="V7" s="2" t="s">
        <v>76</v>
      </c>
    </row>
    <row r="8" customFormat="1" ht="27" spans="1:22">
      <c r="A8" s="13"/>
      <c r="B8" s="9"/>
      <c r="C8" s="17" t="s">
        <v>77</v>
      </c>
      <c r="D8" s="17" t="s">
        <v>78</v>
      </c>
      <c r="E8" s="19" t="s">
        <v>79</v>
      </c>
      <c r="F8" s="20" t="s">
        <v>80</v>
      </c>
      <c r="G8" s="17" t="s">
        <v>81</v>
      </c>
      <c r="H8" s="17">
        <v>8</v>
      </c>
      <c r="I8" s="17">
        <v>1</v>
      </c>
      <c r="J8" s="12">
        <f t="shared" si="0"/>
        <v>8</v>
      </c>
      <c r="K8" s="17">
        <v>1</v>
      </c>
      <c r="L8" s="29">
        <f t="shared" si="1"/>
        <v>8</v>
      </c>
      <c r="M8" s="17" t="s">
        <v>82</v>
      </c>
      <c r="N8" s="28">
        <v>0.223584</v>
      </c>
      <c r="O8" s="28">
        <v>9</v>
      </c>
      <c r="P8" s="17">
        <f t="shared" si="2"/>
        <v>72</v>
      </c>
      <c r="Q8" s="34">
        <f t="shared" si="3"/>
        <v>1.788672</v>
      </c>
      <c r="R8" s="31">
        <f t="shared" si="4"/>
        <v>59.832338028169</v>
      </c>
      <c r="S8" s="3"/>
      <c r="T8" s="3" t="s">
        <v>83</v>
      </c>
      <c r="U8" s="2" t="s">
        <v>84</v>
      </c>
      <c r="V8" s="2" t="s">
        <v>85</v>
      </c>
    </row>
    <row r="12" spans="8:8">
      <c r="H12" t="s">
        <v>86</v>
      </c>
    </row>
  </sheetData>
  <mergeCells count="3">
    <mergeCell ref="A2:A8"/>
    <mergeCell ref="B2:B8"/>
    <mergeCell ref="S2:S8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2025-09-18T07:52:20Z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F9BD5400EBCE454FAD297EAD22514E8D_12</vt:lpwstr>
  </property>
</Properties>
</file>