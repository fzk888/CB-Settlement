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<sst xmlns="http://schemas.openxmlformats.org/spreadsheetml/2006/main" count="72" uniqueCount="62">
  <si>
    <t>运营人员</t>
  </si>
  <si>
    <t>柜号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</si>
  <si>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</si>
  <si>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</si>
  <si>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</si>
  <si>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</si>
  <si>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</si>
  <si>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</si>
  <si>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</si>
  <si>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</si>
  <si>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</si>
  <si>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</si>
  <si>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</si>
  <si>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</si>
  <si>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</si>
  <si>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</si>
  <si>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</si>
  <si>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</si>
  <si>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</si>
  <si>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</si>
  <si>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海外仓 账号1</t>
  </si>
  <si>
    <t>谢欢</t>
  </si>
  <si>
    <t xml:space="preserve">0603柜号SEKU6513112
</t>
  </si>
  <si>
    <t>换绿色卡纸</t>
  </si>
  <si>
    <t>床罩（毛面）
绿色四人</t>
  </si>
  <si>
    <t>PME18inch-King</t>
  </si>
  <si>
    <t>X0043EO3BR</t>
  </si>
  <si>
    <t>B004BA8WBE</t>
  </si>
  <si>
    <t>57x30x37CM (箱)</t>
  </si>
  <si>
    <t>FBA18Z86V615
MIT2
箱数：12箱
产品数量：72个</t>
  </si>
  <si>
    <t>FBA18Z86V615U000001</t>
  </si>
  <si>
    <t>FBA18Z86V615U000012</t>
  </si>
  <si>
    <t>海外仓  账号5</t>
  </si>
  <si>
    <t>0512 柜号XYLU8162600</t>
  </si>
  <si>
    <t>换橙色卡纸</t>
  </si>
  <si>
    <t>床罩橙色卡纸 狗</t>
  </si>
  <si>
    <t>5ZME-9"TwinXL</t>
  </si>
  <si>
    <t>X004BH69HH</t>
  </si>
  <si>
    <t>B004VN316M</t>
  </si>
  <si>
    <t>57x30x36CM (箱)</t>
  </si>
  <si>
    <t>FBA18Z87RC58
GEU2
箱数：30箱
产品数量：240个</t>
  </si>
  <si>
    <t>FBA18Z87RC58U000028</t>
  </si>
  <si>
    <t>FBA18Z87RC58U000030</t>
  </si>
  <si>
    <r>
      <rPr>
        <sz val="11"/>
        <color theme="1"/>
        <rFont val="等线"/>
        <charset val="134"/>
      </rPr>
      <t xml:space="preserve">0612柜号CSNU5572673
</t>
    </r>
    <r>
      <rPr>
        <sz val="11"/>
        <color rgb="FFFF0000"/>
        <rFont val="等线"/>
        <charset val="134"/>
      </rPr>
      <t>（外箱有贴账号和asin FN标签识别)</t>
    </r>
    <r>
      <rPr>
        <sz val="11"/>
        <color theme="1"/>
        <rFont val="等线"/>
        <charset val="134"/>
      </rPr>
      <t xml:space="preserve">
</t>
    </r>
  </si>
  <si>
    <t>5ZME-18"King</t>
  </si>
  <si>
    <t>X004BGYADN</t>
  </si>
  <si>
    <t>60x34x32CM (箱)</t>
  </si>
  <si>
    <t>FBA18Z87RC58U000013</t>
  </si>
  <si>
    <t>FBA18Z87RC58U000027</t>
  </si>
  <si>
    <t>5ZME-12"TwinXL</t>
  </si>
  <si>
    <t>X004BGQI1F</t>
  </si>
  <si>
    <t>B00B50IA56</t>
  </si>
  <si>
    <t>FBA18Z87RC58U000011</t>
  </si>
  <si>
    <t>FBA18Z87RC58U000012</t>
  </si>
  <si>
    <t>床罩橙色卡纸 妈妈和女儿</t>
  </si>
  <si>
    <t>5W-9-TwinXL</t>
  </si>
  <si>
    <t>X004BL5D7F</t>
  </si>
  <si>
    <t>B004BAPK0K</t>
  </si>
  <si>
    <t>57x30x36CM</t>
  </si>
  <si>
    <t>FBA18Z87RC58U000001</t>
  </si>
  <si>
    <t>FBA18Z87RC58U000010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</si>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</sst>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等线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3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4" fillId="4" borderId="0" xfId="0" applyFont="1" applyFill="1" applyBorder="1" applyAlignment="1">
      <alignment horizontal="right" vertical="center"/>
    </xf>
    <xf numFmtId="0" fontId="5" fillId="4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horizontal="right" vertical="center"/>
    </xf>
    <xf numFmtId="0" fontId="1" fillId="0" borderId="0" xfId="0" applyFont="1" applyFill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15"/>
  <sheetViews>
    <sheetView tabSelected="1" workbookViewId="0">
      <pane xSplit="8" ySplit="1" topLeftCell="M2" activePane="bottomRight" state="frozen"/>
      <selection/>
      <selection pane="topRight"/>
      <selection pane="bottomLeft"/>
      <selection pane="bottomRight" activeCell="L6" sqref="L6:L9"/>
    </sheetView>
  </sheetViews>
  <sheetFormatPr defaultColWidth="9" defaultRowHeight="13.5"/>
  <cols>
    <col min="1" max="1" width="18.425" style="1" customWidth="1"/>
    <col min="2" max="2" width="28.875" style="1" customWidth="1"/>
    <col min="3" max="3" width="15.775" style="1" customWidth="1"/>
    <col min="4" max="4" width="26.8416666666667" style="1" customWidth="1"/>
    <col min="5" max="5" width="30.85" style="1" customWidth="1"/>
    <col min="6" max="6" width="16" style="1" customWidth="1"/>
    <col min="7" max="7" width="18.4333333333333" style="1" customWidth="1"/>
    <col min="8" max="8" width="9" style="4"/>
    <col min="9" max="9" width="10.55" style="4" customWidth="1"/>
    <col min="10" max="10" width="10.65" style="4" customWidth="1"/>
    <col min="11" max="11" width="9" style="4"/>
    <col min="12" max="12" width="12.8" style="1"/>
    <col min="13" max="13" width="17.65" style="1" customWidth="1"/>
    <col min="14" max="14" width="12.8" style="1"/>
    <col min="15" max="15" width="14.1833333333333" style="1" customWidth="1"/>
    <col min="16" max="16" width="12.8916666666667" style="1"/>
    <col min="17" max="18" width="13.3666666666667" style="1" customWidth="1"/>
    <col min="19" max="19" width="20.5166666666667" customWidth="1"/>
    <col min="20" max="20" width="22" customWidth="1"/>
    <col min="21" max="21" width="22.875" customWidth="1"/>
    <col min="22" max="16384" width="9" style="1"/>
  </cols>
  <sheetData>
    <row r="1" s="1" customFormat="1" ht="25" customHeight="1" spans="1:21">
      <c r="A1" s="1" t="s">
        <v>0</v>
      </c>
      <c r="B1" s="1" t="s">
        <v>1</v>
      </c>
      <c r="C1" s="1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17" t="s">
        <v>9</v>
      </c>
      <c r="K1" s="18" t="s">
        <v>10</v>
      </c>
      <c r="L1" s="7" t="s">
        <v>11</v>
      </c>
      <c r="M1" s="19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/>
      <c r="S1" s="25" t="s">
        <v>17</v>
      </c>
      <c r="T1" s="5" t="s">
        <v>18</v>
      </c>
      <c r="U1" s="1" t="s">
        <v>19</v>
      </c>
    </row>
    <row r="2" spans="2:3">
      <c r="B2" s="3"/>
      <c r="C2" s="9" t="s">
        <v>20</v>
      </c>
    </row>
    <row r="3" s="2" customFormat="1" ht="68" customHeight="1" spans="1:21">
      <c r="A3" s="1" t="s">
        <v>21</v>
      </c>
      <c r="B3" s="29" t="s">
        <v>22</v>
      </c>
      <c r="C3" s="11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12">
        <v>72</v>
      </c>
      <c r="I3" s="3">
        <v>6</v>
      </c>
      <c r="J3" s="3">
        <f t="shared" ref="J3:J9" si="0">H3</f>
        <v>72</v>
      </c>
      <c r="K3" s="4">
        <v>6</v>
      </c>
      <c r="L3" s="3">
        <f t="shared" ref="L3:L9" si="1">H3/I3</f>
        <v>12</v>
      </c>
      <c r="M3" s="16" t="s">
        <v>28</v>
      </c>
      <c r="N3" s="3">
        <v>0.063</v>
      </c>
      <c r="O3" s="4">
        <v>12.11</v>
      </c>
      <c r="P3" s="4">
        <f t="shared" ref="P3:P9" si="2">O3*L3</f>
        <v>145.32</v>
      </c>
      <c r="Q3" s="4">
        <f>N3*L3</f>
        <v>0.756</v>
      </c>
      <c r="R3" s="4"/>
      <c r="S3" s="26" t="s">
        <v>29</v>
      </c>
      <c r="T3" s="2" t="s">
        <v>30</v>
      </c>
      <c r="U3" s="2" t="s">
        <v>31</v>
      </c>
    </row>
    <row r="4" spans="13:19">
      <c r="M4" s="16"/>
      <c r="S4" s="27"/>
    </row>
    <row r="5" spans="3:13">
      <c r="C5" s="13" t="s">
        <v>32</v>
      </c>
      <c r="M5" s="16"/>
    </row>
    <row r="6" s="1" customFormat="1" ht="14.25" spans="1:21">
      <c r="A6" s="1" t="s">
        <v>21</v>
      </c>
      <c r="B6" s="11" t="s">
        <v>33</v>
      </c>
      <c r="C6" s="12" t="s">
        <v>34</v>
      </c>
      <c r="D6" s="3" t="s">
        <v>35</v>
      </c>
      <c r="E6" s="14" t="s">
        <v>36</v>
      </c>
      <c r="F6" s="3" t="s">
        <v>37</v>
      </c>
      <c r="G6" s="3" t="s">
        <v>38</v>
      </c>
      <c r="H6" s="15">
        <v>30</v>
      </c>
      <c r="I6" s="20">
        <v>10</v>
      </c>
      <c r="J6" s="20">
        <f t="shared" si="0"/>
        <v>30</v>
      </c>
      <c r="K6" s="20">
        <v>10</v>
      </c>
      <c r="L6" s="21">
        <f t="shared" si="1"/>
        <v>3</v>
      </c>
      <c r="M6" s="22" t="s">
        <v>39</v>
      </c>
      <c r="N6" s="23">
        <v>0.062</v>
      </c>
      <c r="O6" s="20">
        <v>12</v>
      </c>
      <c r="P6" s="4">
        <f>O6*L6</f>
        <v>36</v>
      </c>
      <c r="Q6" s="23">
        <f>N6*L6</f>
        <v>0.186</v>
      </c>
      <c r="R6" s="28">
        <f>110/1.9*Q6</f>
        <v>10.7684210526316</v>
      </c>
      <c r="S6" s="26" t="s">
        <v>40</v>
      </c>
      <c r="T6" s="2" t="s">
        <v>41</v>
      </c>
      <c r="U6" s="2" t="s">
        <v>42</v>
      </c>
    </row>
    <row r="7" s="3" customFormat="1" ht="57" spans="1:21">
      <c r="A7" s="1" t="s">
        <v>21</v>
      </c>
      <c r="B7" s="10" t="s">
        <v>43</v>
      </c>
      <c r="C7" s="12"/>
      <c r="D7" s="3" t="s">
        <v>35</v>
      </c>
      <c r="E7" s="16" t="s">
        <v>44</v>
      </c>
      <c r="F7" s="3" t="s">
        <v>45</v>
      </c>
      <c r="G7" s="3" t="s">
        <v>27</v>
      </c>
      <c r="H7" s="12">
        <v>90</v>
      </c>
      <c r="I7" s="4">
        <v>6</v>
      </c>
      <c r="J7" s="4">
        <f t="shared" si="0"/>
        <v>90</v>
      </c>
      <c r="K7" s="4">
        <v>6</v>
      </c>
      <c r="L7" s="24">
        <f t="shared" si="1"/>
        <v>15</v>
      </c>
      <c r="M7" s="16" t="s">
        <v>46</v>
      </c>
      <c r="N7" s="3">
        <v>0.066</v>
      </c>
      <c r="O7" s="4">
        <v>13.4</v>
      </c>
      <c r="P7" s="4">
        <f t="shared" si="2"/>
        <v>201</v>
      </c>
      <c r="Q7" s="4">
        <f t="shared" ref="Q7:Q9" si="3">L7*N7</f>
        <v>0.99</v>
      </c>
      <c r="R7" s="28">
        <f>110/1.9*Q7</f>
        <v>57.3157894736842</v>
      </c>
      <c r="S7" s="12"/>
      <c r="T7" s="2" t="s">
        <v>47</v>
      </c>
      <c r="U7" s="2" t="s">
        <v>48</v>
      </c>
    </row>
    <row r="8" s="3" customFormat="1" ht="57" spans="1:21">
      <c r="A8" s="1" t="s">
        <v>21</v>
      </c>
      <c r="B8" s="10" t="s">
        <v>43</v>
      </c>
      <c r="C8" s="12"/>
      <c r="D8" s="3" t="s">
        <v>35</v>
      </c>
      <c r="E8" s="16" t="s">
        <v>49</v>
      </c>
      <c r="F8" s="3" t="s">
        <v>50</v>
      </c>
      <c r="G8" s="3" t="s">
        <v>51</v>
      </c>
      <c r="H8" s="12">
        <v>20</v>
      </c>
      <c r="I8" s="4">
        <v>10</v>
      </c>
      <c r="J8" s="4">
        <f t="shared" si="0"/>
        <v>20</v>
      </c>
      <c r="K8" s="4">
        <v>10</v>
      </c>
      <c r="L8" s="24">
        <f t="shared" si="1"/>
        <v>2</v>
      </c>
      <c r="M8" s="16" t="s">
        <v>39</v>
      </c>
      <c r="N8" s="3">
        <v>0.062</v>
      </c>
      <c r="O8" s="4">
        <v>13</v>
      </c>
      <c r="P8" s="4">
        <f t="shared" si="2"/>
        <v>26</v>
      </c>
      <c r="Q8" s="4">
        <f t="shared" si="3"/>
        <v>0.124</v>
      </c>
      <c r="R8" s="28">
        <f>110/1.9*Q8</f>
        <v>7.17894736842105</v>
      </c>
      <c r="S8" s="12"/>
      <c r="T8" s="2" t="s">
        <v>52</v>
      </c>
      <c r="U8" s="2" t="s">
        <v>53</v>
      </c>
    </row>
    <row r="9" s="2" customFormat="1" ht="46" customHeight="1" spans="1:21">
      <c r="A9" s="1" t="s">
        <v>21</v>
      </c>
      <c r="B9" s="10" t="s">
        <v>43</v>
      </c>
      <c r="C9" s="12"/>
      <c r="D9" s="3" t="s">
        <v>54</v>
      </c>
      <c r="E9" s="16" t="s">
        <v>55</v>
      </c>
      <c r="F9" s="3" t="s">
        <v>56</v>
      </c>
      <c r="G9" s="3" t="s">
        <v>57</v>
      </c>
      <c r="H9" s="12">
        <v>100</v>
      </c>
      <c r="I9" s="4">
        <v>10</v>
      </c>
      <c r="J9" s="4">
        <f t="shared" si="0"/>
        <v>100</v>
      </c>
      <c r="K9" s="4">
        <v>10</v>
      </c>
      <c r="L9" s="24">
        <f t="shared" si="1"/>
        <v>10</v>
      </c>
      <c r="M9" s="16" t="s">
        <v>58</v>
      </c>
      <c r="N9" s="3">
        <v>0.06</v>
      </c>
      <c r="O9" s="4">
        <v>11.15</v>
      </c>
      <c r="P9" s="4">
        <f t="shared" si="2"/>
        <v>111.5</v>
      </c>
      <c r="Q9" s="4">
        <f t="shared" si="3"/>
        <v>0.6</v>
      </c>
      <c r="R9" s="28">
        <f>110/1.9*Q9</f>
        <v>34.7368421052632</v>
      </c>
      <c r="S9" s="12"/>
      <c r="T9" s="2" t="s">
        <v>59</v>
      </c>
      <c r="U9" s="2" t="s">
        <v>60</v>
      </c>
    </row>
    <row r="15" spans="7:7">
      <c r="G15" s="1" t="s">
        <v>61</v>
      </c>
    </row>
  </sheetData>
  <mergeCells count="2">
    <mergeCell ref="C6:C9"/>
    <mergeCell ref="S6:S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2025-09-18T09:33:04Z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5816B6B1A0FA454FABD27F741BEAC044_13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