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<sst xmlns="http://schemas.openxmlformats.org/spreadsheetml/2006/main" count="53" uniqueCount="44">
  <si>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</si>
  <si>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</si>
  <si>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</si>
  <si>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</si>
  <si>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</si>
  <si>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</si>
  <si>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</si>
  <si>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</si>
  <si>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</si>
  <si>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</si>
  <si>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</si>
  <si>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</si>
  <si>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</si>
  <si>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</si>
  <si>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</si>
  <si>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</si>
  <si>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</si>
  <si>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</si>
  <si>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</si>
  <si>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</si>
  <si>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 账号6</t>
  </si>
  <si>
    <t>谢欢</t>
  </si>
  <si>
    <t>6月第二柜</t>
  </si>
  <si>
    <t>柜号CSNU5572673</t>
  </si>
  <si>
    <t>床罩（毛面）</t>
  </si>
  <si>
    <t>6PM-6-9"-Twin</t>
  </si>
  <si>
    <t>X004NI88L9</t>
  </si>
  <si>
    <t>B004BA8UWA</t>
  </si>
  <si>
    <t>57x30x37CM (箱)</t>
  </si>
  <si>
    <t>FBA1901VKC60
MIT2
箱数：54箱
产品数量：396个</t>
  </si>
  <si>
    <t>FBA1901VKC60U000021</t>
  </si>
  <si>
    <t>FBA1901VKC60U000038</t>
  </si>
  <si>
    <t>6PM-9-12"-King</t>
  </si>
  <si>
    <t>X004NIJ359</t>
  </si>
  <si>
    <t>B004BAB2LG</t>
  </si>
  <si>
    <t>60x34x32CM (箱)</t>
  </si>
  <si>
    <t>FBA1901VKC60U000039</t>
  </si>
  <si>
    <t>FBA1901VKC60U000054</t>
  </si>
  <si>
    <t>6PM-12-15"-King</t>
  </si>
  <si>
    <t>X004NI8BST</t>
  </si>
  <si>
    <t>B004BACOYU</t>
  </si>
  <si>
    <t>FBA1901VKC60U000001</t>
  </si>
  <si>
    <t>FBA1901VKC60U000020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</si>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</sst>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zoomScale="85" zoomScaleNormal="85" workbookViewId="0">
      <pane ySplit="1" topLeftCell="A2" activePane="bottomLeft" state="frozen"/>
      <selection/>
      <selection pane="bottomLeft" activeCell="G24" sqref="G24"/>
    </sheetView>
  </sheetViews>
  <sheetFormatPr defaultColWidth="9" defaultRowHeight="13.5" outlineLevelRow="7"/>
  <cols>
    <col min="1" max="1" width="8.375" style="1" customWidth="1"/>
    <col min="2" max="2" width="10.875" style="1" customWidth="1"/>
    <col min="3" max="3" width="17.4833333333333" style="1" customWidth="1"/>
    <col min="4" max="4" width="22.2" style="1" customWidth="1"/>
    <col min="5" max="5" width="16" style="1" customWidth="1"/>
    <col min="6" max="6" width="11.4666666666667" style="1" customWidth="1"/>
    <col min="7" max="7" width="14.375" style="2" customWidth="1"/>
    <col min="8" max="8" width="10.55" style="2" customWidth="1"/>
    <col min="9" max="9" width="8.23333333333333" style="2" customWidth="1"/>
    <col min="10" max="10" width="11.175" style="2" customWidth="1"/>
    <col min="11" max="11" width="12.8" style="1"/>
    <col min="12" max="12" width="8.525" style="1" customWidth="1"/>
    <col min="13" max="13" width="19.2083333333333" style="1" customWidth="1"/>
    <col min="14" max="14" width="9.70833333333333" style="1" customWidth="1"/>
    <col min="15" max="15" width="14.55" style="1" customWidth="1"/>
    <col min="16" max="16" width="8.66666666666667" style="1" customWidth="1"/>
    <col min="17" max="17" width="10" customWidth="1"/>
    <col min="18" max="18" width="18.675" customWidth="1"/>
    <col min="19" max="19" width="22.5083333333333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2" t="s">
        <v>9</v>
      </c>
      <c r="K1" s="13" t="s">
        <v>10</v>
      </c>
      <c r="L1" s="5" t="s">
        <v>11</v>
      </c>
      <c r="M1" s="1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4" t="s">
        <v>17</v>
      </c>
      <c r="S1" s="3" t="s">
        <v>18</v>
      </c>
      <c r="T1" s="1" t="s">
        <v>19</v>
      </c>
    </row>
    <row r="2" s="1" customFormat="1" spans="3:19">
      <c r="C2" s="7" t="s">
        <v>20</v>
      </c>
      <c r="H2" s="2"/>
      <c r="I2" s="2"/>
      <c r="J2" s="2"/>
      <c r="K2" s="2"/>
      <c r="M2" s="15"/>
      <c r="R2"/>
      <c r="S2"/>
    </row>
    <row r="3" ht="22" customHeight="1" spans="1:20">
      <c r="A3" s="8" t="s">
        <v>21</v>
      </c>
      <c r="B3" s="9" t="s">
        <v>22</v>
      </c>
      <c r="C3" s="1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10">
        <v>180</v>
      </c>
      <c r="I3" s="16">
        <v>10</v>
      </c>
      <c r="J3" s="16">
        <f>H3</f>
        <v>180</v>
      </c>
      <c r="K3" s="17">
        <v>10</v>
      </c>
      <c r="L3" s="18">
        <f>H3/I3</f>
        <v>18</v>
      </c>
      <c r="M3" s="19" t="s">
        <v>28</v>
      </c>
      <c r="N3" s="19">
        <v>0.062</v>
      </c>
      <c r="O3" s="16">
        <v>12</v>
      </c>
      <c r="P3" s="17">
        <f>O3*L3</f>
        <v>216</v>
      </c>
      <c r="Q3" s="16">
        <f>N3*L3</f>
        <v>1.116</v>
      </c>
      <c r="R3" s="25" t="s">
        <v>29</v>
      </c>
      <c r="S3" t="s">
        <v>30</v>
      </c>
      <c r="T3" s="1" t="s">
        <v>31</v>
      </c>
    </row>
    <row r="4" ht="22" customHeight="1" spans="1:20">
      <c r="A4" s="8" t="s">
        <v>21</v>
      </c>
      <c r="B4" s="9" t="s">
        <v>22</v>
      </c>
      <c r="C4" s="1" t="s">
        <v>23</v>
      </c>
      <c r="D4" s="8" t="s">
        <v>24</v>
      </c>
      <c r="E4" s="8" t="s">
        <v>32</v>
      </c>
      <c r="F4" s="8" t="s">
        <v>33</v>
      </c>
      <c r="G4" s="8" t="s">
        <v>34</v>
      </c>
      <c r="H4" s="11">
        <v>96</v>
      </c>
      <c r="I4" s="20">
        <v>6</v>
      </c>
      <c r="J4" s="20">
        <f>H4</f>
        <v>96</v>
      </c>
      <c r="K4" s="20">
        <v>6</v>
      </c>
      <c r="L4" s="21">
        <f>H4/I4</f>
        <v>16</v>
      </c>
      <c r="M4" t="s">
        <v>35</v>
      </c>
      <c r="N4">
        <v>0.066</v>
      </c>
      <c r="O4" s="20">
        <v>12</v>
      </c>
      <c r="P4" s="20">
        <f>O4*L4</f>
        <v>192</v>
      </c>
      <c r="Q4" s="20">
        <f>N4*L4</f>
        <v>1.056</v>
      </c>
      <c r="R4" s="9"/>
      <c r="S4" t="s">
        <v>36</v>
      </c>
      <c r="T4" t="s">
        <v>37</v>
      </c>
    </row>
    <row r="5" ht="22" customHeight="1" spans="1:20">
      <c r="A5" s="8" t="s">
        <v>21</v>
      </c>
      <c r="B5" s="9" t="s">
        <v>22</v>
      </c>
      <c r="C5" s="1" t="s">
        <v>23</v>
      </c>
      <c r="D5" s="8" t="s">
        <v>24</v>
      </c>
      <c r="E5" s="8" t="s">
        <v>38</v>
      </c>
      <c r="F5" s="8" t="s">
        <v>39</v>
      </c>
      <c r="G5" s="8" t="s">
        <v>40</v>
      </c>
      <c r="H5" s="11">
        <v>120</v>
      </c>
      <c r="I5" s="22">
        <v>6</v>
      </c>
      <c r="J5" s="22">
        <f>H5</f>
        <v>120</v>
      </c>
      <c r="K5" s="22">
        <v>6</v>
      </c>
      <c r="L5" s="21">
        <f>H5/I5</f>
        <v>20</v>
      </c>
      <c r="M5" s="23" t="s">
        <v>35</v>
      </c>
      <c r="N5" s="23">
        <v>0.066</v>
      </c>
      <c r="O5" s="22">
        <v>12</v>
      </c>
      <c r="P5" s="22">
        <f>O5*L5</f>
        <v>240</v>
      </c>
      <c r="Q5" s="22">
        <f>N5*L5</f>
        <v>1.32</v>
      </c>
      <c r="R5" s="9"/>
      <c r="S5" t="s">
        <v>41</v>
      </c>
      <c r="T5" s="1" t="s">
        <v>42</v>
      </c>
    </row>
    <row r="8" spans="11:11">
      <c r="K8" s="1" t="s">
        <v>43</v>
      </c>
    </row>
  </sheetData>
  <mergeCells count="1">
    <mergeCell ref="R3:R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2025-09-18T09:32:54Z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920ABE0F294F421DBEAD343E5CF486FF_13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