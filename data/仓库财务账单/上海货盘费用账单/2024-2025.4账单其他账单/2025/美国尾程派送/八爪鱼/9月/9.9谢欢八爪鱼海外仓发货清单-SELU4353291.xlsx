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375"/>
  </bookViews>
  <sheets>
    <sheet name="汇总" sheetId="1" r:id="rId1"/>
  </sheets>
  <externalReferences>
    <externalReference r:id="rId2"/>
    <externalReference r:id="rId3"/>
  </externalReferences>
  <definedNames>
    <definedName name="requiredAttributePTDMap">[1]AttributePTDMAP!$A$1:$C$27</definedName>
    <definedName name="mattresscoveritem_display_width_unit_of_measure">'[2]Dropdown Lists'!$F$4:$F$18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<sst xmlns="http://schemas.openxmlformats.org/spreadsheetml/2006/main" count="67" uniqueCount="52">
  <si>
    <t>运营人员</t>
  </si>
  <si>
    <t>时间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</si>
  <si>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</si>
  <si>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</si>
  <si>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</si>
  <si>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</si>
  <si>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</si>
  <si>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</si>
  <si>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</si>
  <si>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</si>
  <si>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</si>
  <si>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</si>
  <si>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</si>
  <si>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</si>
  <si>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</si>
  <si>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</si>
  <si>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</si>
  <si>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</si>
  <si>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</si>
  <si>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到</t>
  </si>
  <si>
    <t>海外仓  账号6</t>
  </si>
  <si>
    <t>谢欢</t>
  </si>
  <si>
    <t>SELU4353291</t>
  </si>
  <si>
    <t>床罩（毛面）</t>
  </si>
  <si>
    <t>6PM-9-12"-Twin</t>
  </si>
  <si>
    <t>X004NI893V</t>
  </si>
  <si>
    <t>B01B51NXKQ</t>
  </si>
  <si>
    <t>57x30x36CM (箱)</t>
  </si>
  <si>
    <t>FBA1913KWK9K
GEU2
箱数：73箱
产品数量：590个</t>
  </si>
  <si>
    <t>FBA1913KWK9KU000051</t>
  </si>
  <si>
    <t>FBA1913KWK9KU000065</t>
  </si>
  <si>
    <t>6PM-6-9"-TwinXL</t>
  </si>
  <si>
    <t>X004NI8A2V</t>
  </si>
  <si>
    <t>B004VN316M</t>
  </si>
  <si>
    <t>FBA1913KWK9KU000031</t>
  </si>
  <si>
    <t>FBA1913KWK9KU000040</t>
  </si>
  <si>
    <t>6PM-9-12"-TwinXL</t>
  </si>
  <si>
    <t>X004NIIUHB</t>
  </si>
  <si>
    <t>B00B50IA56</t>
  </si>
  <si>
    <t>FBA1913KWK9KU000066</t>
  </si>
  <si>
    <t>FBA1913KWK9KU000073</t>
  </si>
  <si>
    <t>6PM-12-15"-King</t>
  </si>
  <si>
    <t>X004NI8BST</t>
  </si>
  <si>
    <t>B004BACOYU</t>
  </si>
  <si>
    <t>60x34x32CM (箱)</t>
  </si>
  <si>
    <t>FBA1913KWK9KU000001</t>
  </si>
  <si>
    <t>FBA1913KWK9KU000030</t>
  </si>
  <si>
    <t>6PM-9-12"-Full</t>
  </si>
  <si>
    <t>X004NI9VLZ</t>
  </si>
  <si>
    <t>B004BAB28O</t>
  </si>
  <si>
    <t>FBA1913KWK9KU000041</t>
  </si>
  <si>
    <t>FBA1913KWK9KU000050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</si>
</sst>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right"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3" borderId="0" xfId="0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horizontal="right" vertical="center"/>
    </xf>
    <xf numFmtId="0" fontId="4" fillId="4" borderId="0" xfId="0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F3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Y\Documents\WeChat%20Files\wxid_vqiqkpzldivf22\FileStorage\File\2025-04\MATTRESS_COVER%20(2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tabSelected="1" zoomScale="85" zoomScaleNormal="85" workbookViewId="0">
      <pane ySplit="1" topLeftCell="A2" activePane="bottomLeft" state="frozen"/>
      <selection/>
      <selection pane="bottomLeft" activeCell="L23" sqref="L23"/>
    </sheetView>
  </sheetViews>
  <sheetFormatPr defaultColWidth="9" defaultRowHeight="13.5" outlineLevelRow="6"/>
  <cols>
    <col min="1" max="1" width="8.3716814159292" style="1" customWidth="1"/>
    <col min="2" max="2" width="13.2743362831858" style="1" customWidth="1"/>
    <col min="3" max="3" width="13.8141592920354" style="1" customWidth="1"/>
    <col min="4" max="4" width="22.2035398230088" style="1" customWidth="1"/>
    <col min="5" max="5" width="21.3185840707965" style="1" customWidth="1"/>
    <col min="6" max="6" width="14.2212389380531" style="1" customWidth="1"/>
    <col min="7" max="7" width="15.3893805309735" style="2" customWidth="1"/>
    <col min="8" max="8" width="10.5486725663717" style="2" customWidth="1"/>
    <col min="9" max="9" width="8.23008849557522" style="2" customWidth="1"/>
    <col min="10" max="10" width="11.1769911504425" style="2" customWidth="1"/>
    <col min="11" max="11" width="12.7964601769912" style="1"/>
    <col min="12" max="12" width="8.52212389380531" style="1" customWidth="1"/>
    <col min="13" max="13" width="19.6814159292035" style="1" customWidth="1"/>
    <col min="14" max="14" width="9.70796460176991" style="1" customWidth="1"/>
    <col min="15" max="15" width="14.5486725663717" style="1" customWidth="1"/>
    <col min="16" max="16" width="8.66371681415929" style="1" customWidth="1"/>
    <col min="17" max="17" width="10" customWidth="1"/>
    <col min="18" max="18" width="18.6725663716814" customWidth="1"/>
    <col min="19" max="19" width="22.5044247787611" customWidth="1"/>
    <col min="20" max="16384" width="9" style="1"/>
  </cols>
  <sheetData>
    <row r="1" s="1" customFormat="1" ht="25" customHeight="1" spans="1:20">
      <c r="A1" s="1" t="s">
        <v>0</v>
      </c>
      <c r="B1" s="1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11" t="s">
        <v>9</v>
      </c>
      <c r="K1" s="12" t="s">
        <v>10</v>
      </c>
      <c r="L1" s="5" t="s">
        <v>11</v>
      </c>
      <c r="M1" s="1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15" t="s">
        <v>17</v>
      </c>
      <c r="S1" s="3" t="s">
        <v>18</v>
      </c>
      <c r="T1" s="1" t="s">
        <v>19</v>
      </c>
    </row>
    <row r="2" s="1" customFormat="1" spans="3:19">
      <c r="C2" s="7" t="s">
        <v>20</v>
      </c>
      <c r="H2" s="2"/>
      <c r="I2" s="2"/>
      <c r="J2" s="2"/>
      <c r="K2" s="2"/>
      <c r="M2" s="14"/>
      <c r="R2"/>
      <c r="S2"/>
    </row>
    <row r="3" ht="17" customHeight="1" spans="1:20">
      <c r="A3" s="8" t="s">
        <v>21</v>
      </c>
      <c r="B3" s="8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10">
        <v>150</v>
      </c>
      <c r="I3" s="10">
        <v>10</v>
      </c>
      <c r="J3" s="10">
        <f>H3</f>
        <v>150</v>
      </c>
      <c r="K3" s="10">
        <v>10</v>
      </c>
      <c r="L3" s="10">
        <f t="shared" ref="L3:L7" si="0">H3/K3</f>
        <v>15</v>
      </c>
      <c r="M3" s="8" t="s">
        <v>27</v>
      </c>
      <c r="N3" s="8">
        <v>0.062</v>
      </c>
      <c r="O3" s="8">
        <v>12</v>
      </c>
      <c r="P3" s="8">
        <f>O3*L3</f>
        <v>180</v>
      </c>
      <c r="Q3" s="8">
        <f>N3*L3</f>
        <v>0.93</v>
      </c>
      <c r="R3" s="16" t="s">
        <v>28</v>
      </c>
      <c r="S3" t="s">
        <v>29</v>
      </c>
      <c r="T3" s="1" t="s">
        <v>30</v>
      </c>
    </row>
    <row r="4" ht="13.85" spans="1:20">
      <c r="A4" s="8" t="s">
        <v>21</v>
      </c>
      <c r="B4" s="8" t="s">
        <v>22</v>
      </c>
      <c r="D4" s="9" t="s">
        <v>23</v>
      </c>
      <c r="E4" s="9" t="s">
        <v>31</v>
      </c>
      <c r="F4" s="9" t="s">
        <v>32</v>
      </c>
      <c r="G4" s="9" t="s">
        <v>33</v>
      </c>
      <c r="H4" s="10">
        <v>100</v>
      </c>
      <c r="I4" s="10">
        <v>10</v>
      </c>
      <c r="J4" s="10">
        <f>H4</f>
        <v>100</v>
      </c>
      <c r="K4" s="10">
        <v>10</v>
      </c>
      <c r="L4" s="10">
        <f t="shared" si="0"/>
        <v>10</v>
      </c>
      <c r="M4" s="8" t="s">
        <v>27</v>
      </c>
      <c r="N4" s="8">
        <v>0.062</v>
      </c>
      <c r="O4" s="8">
        <v>12</v>
      </c>
      <c r="P4" s="8">
        <f>O4*L4</f>
        <v>120</v>
      </c>
      <c r="Q4" s="8">
        <f>N4*L4</f>
        <v>0.62</v>
      </c>
      <c r="R4" s="16"/>
      <c r="S4" t="s">
        <v>34</v>
      </c>
      <c r="T4" s="1" t="s">
        <v>35</v>
      </c>
    </row>
    <row r="5" ht="13.85" spans="1:20">
      <c r="A5" s="8" t="s">
        <v>21</v>
      </c>
      <c r="B5" s="8" t="s">
        <v>22</v>
      </c>
      <c r="D5" s="9" t="s">
        <v>23</v>
      </c>
      <c r="E5" s="9" t="s">
        <v>36</v>
      </c>
      <c r="F5" s="9" t="s">
        <v>37</v>
      </c>
      <c r="G5" s="9" t="s">
        <v>38</v>
      </c>
      <c r="H5" s="10">
        <v>80</v>
      </c>
      <c r="I5" s="10">
        <v>10</v>
      </c>
      <c r="J5" s="10">
        <f>H5</f>
        <v>80</v>
      </c>
      <c r="K5" s="10">
        <v>10</v>
      </c>
      <c r="L5" s="10">
        <f t="shared" si="0"/>
        <v>8</v>
      </c>
      <c r="M5" s="8" t="s">
        <v>27</v>
      </c>
      <c r="N5" s="8">
        <v>0.06156</v>
      </c>
      <c r="O5" s="8">
        <v>12</v>
      </c>
      <c r="P5" s="8">
        <f>O5*L5</f>
        <v>96</v>
      </c>
      <c r="Q5" s="8">
        <f>N5*L5</f>
        <v>0.49248</v>
      </c>
      <c r="R5" s="16"/>
      <c r="S5" t="s">
        <v>39</v>
      </c>
      <c r="T5" s="1" t="s">
        <v>40</v>
      </c>
    </row>
    <row r="6" ht="13.85" spans="1:20">
      <c r="A6" s="8" t="s">
        <v>21</v>
      </c>
      <c r="B6" s="8" t="s">
        <v>22</v>
      </c>
      <c r="D6" s="9" t="s">
        <v>23</v>
      </c>
      <c r="E6" s="9" t="s">
        <v>41</v>
      </c>
      <c r="F6" s="9" t="s">
        <v>42</v>
      </c>
      <c r="G6" s="9" t="s">
        <v>43</v>
      </c>
      <c r="H6" s="10">
        <v>180</v>
      </c>
      <c r="I6" s="10">
        <v>6</v>
      </c>
      <c r="J6" s="10">
        <f>H6</f>
        <v>180</v>
      </c>
      <c r="K6" s="10">
        <v>6</v>
      </c>
      <c r="L6" s="10">
        <f t="shared" si="0"/>
        <v>30</v>
      </c>
      <c r="M6" s="8" t="s">
        <v>44</v>
      </c>
      <c r="N6" s="8">
        <v>0.066</v>
      </c>
      <c r="O6" s="8">
        <v>12</v>
      </c>
      <c r="P6" s="8">
        <f>O6*L6</f>
        <v>360</v>
      </c>
      <c r="Q6" s="8">
        <f>N6*L6</f>
        <v>1.98</v>
      </c>
      <c r="R6" s="16"/>
      <c r="S6" t="s">
        <v>45</v>
      </c>
      <c r="T6" s="1" t="s">
        <v>46</v>
      </c>
    </row>
    <row r="7" ht="13.85" spans="1:20">
      <c r="A7" s="8" t="s">
        <v>21</v>
      </c>
      <c r="B7" s="8" t="s">
        <v>22</v>
      </c>
      <c r="D7" s="9" t="s">
        <v>23</v>
      </c>
      <c r="E7" s="9" t="s">
        <v>47</v>
      </c>
      <c r="F7" s="9" t="s">
        <v>48</v>
      </c>
      <c r="G7" s="9" t="s">
        <v>49</v>
      </c>
      <c r="H7" s="10">
        <v>80</v>
      </c>
      <c r="I7" s="10">
        <v>8</v>
      </c>
      <c r="J7" s="10">
        <f>H7</f>
        <v>80</v>
      </c>
      <c r="K7" s="10">
        <v>8</v>
      </c>
      <c r="L7" s="10">
        <f t="shared" si="0"/>
        <v>10</v>
      </c>
      <c r="M7" s="8" t="s">
        <v>27</v>
      </c>
      <c r="N7" s="8">
        <v>0.061</v>
      </c>
      <c r="O7" s="8">
        <v>12</v>
      </c>
      <c r="P7" s="8">
        <f>O7*L7</f>
        <v>120</v>
      </c>
      <c r="Q7" s="8">
        <f>N7*L7</f>
        <v>0.61</v>
      </c>
      <c r="R7" s="16"/>
      <c r="S7" t="s">
        <v>50</v>
      </c>
      <c r="T7" s="1" t="s">
        <v>51</v>
      </c>
    </row>
  </sheetData>
  <mergeCells count="1">
    <mergeCell ref="R3:R7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蓓蓓</cp:lastModifiedBy>
  <dcterms:created xsi:type="dcterms:W3CDTF">2025-04-24T08:42:00Z</dcterms:created>
  <dcterms:modified xsi:type="dcterms:W3CDTF">2025-09-09T06:36:37Z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6FB21B6A4DBB45E0BB602299E58B501E_13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