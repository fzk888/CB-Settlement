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activeTab="2"/>
  </bookViews>
  <sheets>
    <sheet name="备货汇总" sheetId="3" r:id="rId1"/>
    <sheet name="贴标要求" sheetId="5" r:id="rId2"/>
    <sheet name="TCY2 " sheetId="6" r:id="rId3"/>
    <sheet name="GEU3 " sheetId="7" r:id="rId4"/>
    <sheet name="MIT2" sheetId="8" r:id="rId5"/>
  </sheets>
  <externalReferences>
    <externalReference r:id="rId6"/>
    <externalReference r:id="rId7"/>
  </externalReferences>
  <definedNames>
    <definedName name="requiredAttributePTDMap">[1]AttributePTDMAP!$A$1:$C$27</definedName>
    <definedName name="nonridingtoyvehicletarget_gender">'[2]Dropdown Lists'!$E$4:$E$6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2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3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comments4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<sst xmlns="http://schemas.openxmlformats.org/spreadsheetml/2006/main" count="1081" uniqueCount="393">
  <si>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</si>
  <si>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</si>
  <si>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</si>
  <si>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</si>
  <si>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</si>
  <si>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</si>
  <si>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</si>
  <si>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</si>
  <si>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</si>
  <si>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</si>
  <si>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</si>
  <si>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</si>
  <si>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</si>
  <si>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</si>
  <si>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</si>
  <si>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</si>
  <si>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账号11</t>
  </si>
  <si>
    <t>刘蕾</t>
  </si>
  <si>
    <t>VAS单</t>
  </si>
  <si>
    <t>三脚吉他架</t>
  </si>
  <si>
    <t>Guitar Stand-011</t>
  </si>
  <si>
    <t>X004S7EKSP</t>
  </si>
  <si>
    <t>B019BNMVFI</t>
  </si>
  <si>
    <t>38x38x46CM</t>
  </si>
  <si>
    <t>后备箱整理器-DAT-APA-TrOr1-G</t>
  </si>
  <si>
    <t>Car Trunk Organizer-021</t>
  </si>
  <si>
    <t>X004S7EPXZ</t>
  </si>
  <si>
    <t>B01F9IS2Y8</t>
  </si>
  <si>
    <t>45x30x45CM</t>
  </si>
  <si>
    <t>后备箱整理器-DAT-APA-TrOr1-B</t>
  </si>
  <si>
    <t>Car Trunk Organizer-022</t>
  </si>
  <si>
    <t>X004S7CD57</t>
  </si>
  <si>
    <t>B071F82CYJ</t>
  </si>
  <si>
    <t>竹板游戏挂钩</t>
  </si>
  <si>
    <t>Ring Toss Game-031</t>
  </si>
  <si>
    <t>X004S7PX3B</t>
  </si>
  <si>
    <t>B01CYOJNPC</t>
  </si>
  <si>
    <t>45x38x40CM</t>
  </si>
  <si>
    <t>碎绵枕头（2个装 King Size)</t>
  </si>
  <si>
    <t>Memory Foam Pillow-041</t>
  </si>
  <si>
    <t>X004S9FD7P</t>
  </si>
  <si>
    <t>B07PYRL8QM</t>
  </si>
  <si>
    <t>56.5x35.5x44.5CM</t>
  </si>
  <si>
    <t>充气垫</t>
  </si>
  <si>
    <t>Inflatable Baby Playmat-061</t>
  </si>
  <si>
    <t>X004S96R4X</t>
  </si>
  <si>
    <t>B089QVBTYD</t>
  </si>
  <si>
    <t>48x37x64CM</t>
  </si>
  <si>
    <t>编织袋</t>
  </si>
  <si>
    <t>Crochet Bag-071</t>
  </si>
  <si>
    <t>X004S9CAJT</t>
  </si>
  <si>
    <t>B015HVQDIY</t>
  </si>
  <si>
    <t>42x40x61CM</t>
  </si>
  <si>
    <t>足底压缩袜</t>
  </si>
  <si>
    <t>WL-V57B-QRL8</t>
  </si>
  <si>
    <t>X004S94S6R</t>
  </si>
  <si>
    <t>B01091ZF4K</t>
  </si>
  <si>
    <t>48x36x28CM</t>
  </si>
  <si>
    <t>汽车吸尘器</t>
  </si>
  <si>
    <t>G4-IUSS-DNMG</t>
  </si>
  <si>
    <t>X004SEPOF1</t>
  </si>
  <si>
    <t>B06ZY896ZM</t>
  </si>
  <si>
    <t>52x42x40CM</t>
  </si>
  <si>
    <t>大件商品 VAS单</t>
  </si>
  <si>
    <t>汽车踢脚垫-Kick mat-Grey color</t>
  </si>
  <si>
    <t>RK-9SDB-TZYR</t>
  </si>
  <si>
    <t>X004S80IA3</t>
  </si>
  <si>
    <t>B01C5D4Z5A</t>
  </si>
  <si>
    <t>40x49x47CM</t>
  </si>
  <si>
    <t>不锈钢擀面杖</t>
  </si>
  <si>
    <t>Rolling Pin-111</t>
  </si>
  <si>
    <t>X004T5DRD5</t>
  </si>
  <si>
    <t>B00WS5JK10</t>
  </si>
  <si>
    <t>41x38x44</t>
  </si>
  <si>
    <t>披萨切刀-3V-WSNX-NL4U</t>
  </si>
  <si>
    <t>Blade Pizza Cutter-131</t>
  </si>
  <si>
    <t>X004T5O59Z</t>
  </si>
  <si>
    <t>B01IP5VT2O</t>
  </si>
  <si>
    <t>23x36x39</t>
  </si>
  <si>
    <t>压蒜器</t>
  </si>
  <si>
    <t>Press Rocker-151</t>
  </si>
  <si>
    <t>X004T5R4U7</t>
  </si>
  <si>
    <t>B08HJQCKJB</t>
  </si>
  <si>
    <t>25x30x48</t>
  </si>
  <si>
    <t>铁制餐巾座</t>
  </si>
  <si>
    <t>Towel Holder-161</t>
  </si>
  <si>
    <t>X004T5RCJF</t>
  </si>
  <si>
    <t>B08SSRJSYL</t>
  </si>
  <si>
    <t>36x36x38</t>
  </si>
  <si>
    <t>游戏卡</t>
  </si>
  <si>
    <t>Training Cards Set-171</t>
  </si>
  <si>
    <t>X004T5OSD3</t>
  </si>
  <si>
    <t>B01KUDOLN8</t>
  </si>
  <si>
    <t>29.5x28x14</t>
  </si>
  <si>
    <t>Training Cards Set-172</t>
  </si>
  <si>
    <t>X004T5RASN</t>
  </si>
  <si>
    <t>B01DJBCN3I</t>
  </si>
  <si>
    <t>Training Cards Set-173</t>
  </si>
  <si>
    <t>X004T5REEN</t>
  </si>
  <si>
    <t>B07GH4W32J</t>
  </si>
  <si>
    <t>自行车鞍座</t>
  </si>
  <si>
    <t>Bike Saddle-181</t>
  </si>
  <si>
    <t>X004T6K075</t>
  </si>
  <si>
    <t>B01H60SXAK</t>
  </si>
  <si>
    <t>61x28x42</t>
  </si>
  <si>
    <t>Bike Saddle-182</t>
  </si>
  <si>
    <t>X004T5KHDX</t>
  </si>
  <si>
    <t>B07BMX71L2</t>
  </si>
  <si>
    <t>62x29x50</t>
  </si>
  <si>
    <t>账号13</t>
  </si>
  <si>
    <t>袁梦</t>
  </si>
  <si>
    <t>钢水瓶</t>
  </si>
  <si>
    <t>HO-US13-Rblk25</t>
  </si>
  <si>
    <t>X004JJSBN7</t>
  </si>
  <si>
    <t>B08B1VTTB9</t>
  </si>
  <si>
    <t>个61x35x45 (箱)</t>
  </si>
  <si>
    <t>钢水瓶-FD-S3313</t>
  </si>
  <si>
    <t>HO-US13-Pnkgrn25</t>
  </si>
  <si>
    <t>X004JJNDWV</t>
  </si>
  <si>
    <t>B08B1WP27D</t>
  </si>
  <si>
    <t>HO-US13-Stl25</t>
  </si>
  <si>
    <t>X004JL5WKF</t>
  </si>
  <si>
    <t>B0897CPDRZ</t>
  </si>
  <si>
    <t>HO-US13-Agrn25</t>
  </si>
  <si>
    <t>X004JLVAAL</t>
  </si>
  <si>
    <t>B08MFSSN8Q</t>
  </si>
  <si>
    <t>HO-US13-Blkwte25</t>
  </si>
  <si>
    <t>X004JLUF7P</t>
  </si>
  <si>
    <t>B08MFRBGBH</t>
  </si>
  <si>
    <t>钢水瓶-FD-S3310</t>
  </si>
  <si>
    <t>HO-US13-Wmbl25</t>
  </si>
  <si>
    <t>X004JLKWW3</t>
  </si>
  <si>
    <t>B08B1VVVB1</t>
  </si>
  <si>
    <t>HO-US13-Pwte25</t>
  </si>
  <si>
    <t>X004JLF34P</t>
  </si>
  <si>
    <t>B08B1VH53X</t>
  </si>
  <si>
    <t>HO-US13-Grn25</t>
  </si>
  <si>
    <t>X004JLVJHP</t>
  </si>
  <si>
    <t>B08MFS4HHS</t>
  </si>
  <si>
    <t>钢水瓶-FD-S3311</t>
  </si>
  <si>
    <t>HO-US13-Bmbl25</t>
  </si>
  <si>
    <t>X004JLV9YD</t>
  </si>
  <si>
    <t>B08B1VQB39</t>
  </si>
  <si>
    <t>拖把套件-740999841924</t>
  </si>
  <si>
    <t>HO-US13-Mop-1</t>
  </si>
  <si>
    <t>X004T6P5YN</t>
  </si>
  <si>
    <t>B01CFIHGLA</t>
  </si>
  <si>
    <t>套91x28x31 (箱)</t>
  </si>
  <si>
    <t>拖把垫-851587008664</t>
  </si>
  <si>
    <t>HO-US13-Floormopcover-1</t>
  </si>
  <si>
    <t>X004T6TQLV</t>
  </si>
  <si>
    <t>B087V8JHSD</t>
  </si>
  <si>
    <t>套59x32x35 (箱)</t>
  </si>
  <si>
    <t>文璇</t>
  </si>
  <si>
    <t>账号4</t>
  </si>
  <si>
    <t>小提琴</t>
  </si>
  <si>
    <t>ECE-AViolinCVN300-4/4</t>
  </si>
  <si>
    <t>X004CMBJLR</t>
  </si>
  <si>
    <t>B00EOYKGH0</t>
  </si>
  <si>
    <t>82*74*50</t>
  </si>
  <si>
    <t>Violin-4/4MV200-32inch</t>
  </si>
  <si>
    <t>X004BGMTRH</t>
  </si>
  <si>
    <t>B01MTV42C9</t>
  </si>
  <si>
    <t>82*67*47</t>
  </si>
  <si>
    <t>Violin-1/4MV200-18inch</t>
  </si>
  <si>
    <t>X004BGMTRR</t>
  </si>
  <si>
    <t>B00202CJBO</t>
  </si>
  <si>
    <t>71*63*43</t>
  </si>
  <si>
    <t>大提琴</t>
  </si>
  <si>
    <t>Cello-4/4CCO100-50inch-Natural</t>
  </si>
  <si>
    <t>X004BESKI1</t>
  </si>
  <si>
    <t>B0070OUZ9G</t>
  </si>
  <si>
    <t>137*34*48</t>
  </si>
  <si>
    <t>ECE-Aviolin-4/4CVN-500</t>
  </si>
  <si>
    <t>X004CM2NXP</t>
  </si>
  <si>
    <t>CCO-COMP-Aviolin-4/4CVN-500</t>
  </si>
  <si>
    <t>中提琴</t>
  </si>
  <si>
    <t>ECE-Viola-CVA400-14In</t>
  </si>
  <si>
    <t>X004CMP8TV</t>
  </si>
  <si>
    <t>B000GQNPBO</t>
  </si>
  <si>
    <t>79*72*52</t>
  </si>
  <si>
    <t>账号2</t>
  </si>
  <si>
    <t>健身卡</t>
  </si>
  <si>
    <t>ELA-Dumbbell</t>
  </si>
  <si>
    <t>X004BQT6YB</t>
  </si>
  <si>
    <t>副 29.5x28x14CM (箱)</t>
  </si>
  <si>
    <t>充电座</t>
  </si>
  <si>
    <t>ELA-Charging Station</t>
  </si>
  <si>
    <t>X004BPOR4V</t>
  </si>
  <si>
    <t>B07222V19V</t>
  </si>
  <si>
    <t>48x35x33CM</t>
  </si>
  <si>
    <t>ELA-TZ1ZLDJSTCZL</t>
  </si>
  <si>
    <t>X004BQW2OR</t>
  </si>
  <si>
    <t>B071GQ426Q</t>
  </si>
  <si>
    <t>何梦晴</t>
  </si>
  <si>
    <t>梅森罐6pack</t>
  </si>
  <si>
    <t>Mason-16oz6pcs</t>
  </si>
  <si>
    <t>X0046QLNID</t>
  </si>
  <si>
    <t>B0938GY8DW</t>
  </si>
  <si>
    <t>61.5*31.5*36cm</t>
  </si>
  <si>
    <t>账号6</t>
  </si>
  <si>
    <t>封箱机</t>
  </si>
  <si>
    <t>GAW-Tape Dispenser</t>
  </si>
  <si>
    <t>X004KXU473</t>
  </si>
  <si>
    <t>B077GCV6PH</t>
  </si>
  <si>
    <t>55*33*40</t>
  </si>
  <si>
    <t>GAW-Dumbbell</t>
  </si>
  <si>
    <t>X004NGPPQ7</t>
  </si>
  <si>
    <t>GAW-Bodyweight Vol1</t>
  </si>
  <si>
    <t>X004NGT03L</t>
  </si>
  <si>
    <t>GAW-Resistance Belt</t>
  </si>
  <si>
    <t>X004P3WYYJ</t>
  </si>
  <si>
    <t>漏斗4件装白色</t>
  </si>
  <si>
    <t>GAW-Funnel-White</t>
  </si>
  <si>
    <t>X004P3SCJP</t>
  </si>
  <si>
    <t>B07RRBKM1S</t>
  </si>
  <si>
    <t>56x16x40</t>
  </si>
  <si>
    <t>哈贝尔</t>
  </si>
  <si>
    <t>折叠桌</t>
  </si>
  <si>
    <t>Collgene-FoldingTable/Black</t>
  </si>
  <si>
    <t>X004DALQCZ</t>
  </si>
  <si>
    <t>B08BBFJ84H</t>
  </si>
  <si>
    <t>44*31.5*56</t>
  </si>
  <si>
    <t>漏斗3件装彩色</t>
  </si>
  <si>
    <t>HA-Funnel-CO</t>
  </si>
  <si>
    <t>X004T5HJL1</t>
  </si>
  <si>
    <t>B07RQ6RC3Q</t>
  </si>
  <si>
    <t>56x37x33</t>
  </si>
  <si>
    <t>漏斗3件装黑色</t>
  </si>
  <si>
    <t>HA-Funnel-Black</t>
  </si>
  <si>
    <t>X004T5ADNH</t>
  </si>
  <si>
    <t>B07ZJZFQH4</t>
  </si>
  <si>
    <t>53x17x39</t>
  </si>
  <si>
    <t>松紧带蓝色4件套</t>
  </si>
  <si>
    <t>HA-Belt Blue 4PCS</t>
  </si>
  <si>
    <t>X004T5B9WB</t>
  </si>
  <si>
    <t>B07D9V4TWJ</t>
  </si>
  <si>
    <t>42x36x37</t>
  </si>
  <si>
    <t>紫光手电筒</t>
  </si>
  <si>
    <t>Collgene-Flashlight</t>
  </si>
  <si>
    <t>X004DBMWE5</t>
  </si>
  <si>
    <t>B07W45VJP8</t>
  </si>
  <si>
    <t>42.5x42.5x38</t>
  </si>
  <si>
    <t>账号1</t>
  </si>
  <si>
    <t>谢欢</t>
  </si>
  <si>
    <t>床笠twin xl 妈妈和婴儿</t>
  </si>
  <si>
    <t>MP26-14-TwinXL</t>
  </si>
  <si>
    <t>X003Z6MAEV</t>
  </si>
  <si>
    <t>B003PWNGK6</t>
  </si>
  <si>
    <t>条 57x30x37CM (箱)</t>
  </si>
  <si>
    <t>床笠 full妈妈和婴儿</t>
  </si>
  <si>
    <t>MP28-14-Full</t>
  </si>
  <si>
    <t>X003Z6JPQ7</t>
  </si>
  <si>
    <t>B00B29B23C</t>
  </si>
  <si>
    <t>条 57x30x36CM (箱)</t>
  </si>
  <si>
    <t>床罩光面 妈妈和女儿</t>
  </si>
  <si>
    <t>ME02-9-TwinXL</t>
  </si>
  <si>
    <t>X003Z5FCN3</t>
  </si>
  <si>
    <t>B004BAPK0K</t>
  </si>
  <si>
    <t>条 57x30x35CM (箱)</t>
  </si>
  <si>
    <t>NewME-9"-TwinXL</t>
  </si>
  <si>
    <t>X004CURXMX</t>
  </si>
  <si>
    <t>床罩（毛面）
绿色四人</t>
  </si>
  <si>
    <t>PME19-12-15-Twin</t>
  </si>
  <si>
    <t>X003Z6M93X</t>
  </si>
  <si>
    <t>B004VMYD92</t>
  </si>
  <si>
    <t>57x30x36CM (箱)</t>
  </si>
  <si>
    <t>账号5</t>
  </si>
  <si>
    <t>床罩橙色卡纸 妈妈和女儿</t>
  </si>
  <si>
    <t>5W-9-TwinXL</t>
  </si>
  <si>
    <t>X004BL5D7F</t>
  </si>
  <si>
    <t>床罩橙色卡纸 狗</t>
  </si>
  <si>
    <t>5ZME-9"Twin</t>
  </si>
  <si>
    <t>X004BGY3AD</t>
  </si>
  <si>
    <t>B004BA8UWA</t>
  </si>
  <si>
    <t>5ZME-9"King</t>
  </si>
  <si>
    <t>X004BH07B1</t>
  </si>
  <si>
    <t>B004BAEERK</t>
  </si>
  <si>
    <t>60x34x32CM (箱)</t>
  </si>
  <si>
    <t>床罩橙色卡纸 妈妈亲吻婴儿</t>
  </si>
  <si>
    <t>5CL-14" Full</t>
  </si>
  <si>
    <t>X004BL5D7Z</t>
  </si>
  <si>
    <t>刘洁</t>
  </si>
  <si>
    <t>账号8-VAS单</t>
  </si>
  <si>
    <t>宽肩木衣架-复古木</t>
  </si>
  <si>
    <t>08us-Coat WdHngr-Vtg6pk</t>
  </si>
  <si>
    <t>X004FYL3YF</t>
  </si>
  <si>
    <t>B078NRXBLN</t>
  </si>
  <si>
    <t>套 36x42x51CM (箱)</t>
  </si>
  <si>
    <t>付宏健</t>
  </si>
  <si>
    <t>账号8</t>
  </si>
  <si>
    <t>Natural-Viola</t>
  </si>
  <si>
    <t>X004N1HBIH</t>
  </si>
  <si>
    <t>79*72*52cm</t>
  </si>
  <si>
    <t>Nickel-Viola</t>
  </si>
  <si>
    <t>X004N1IXWF</t>
  </si>
  <si>
    <t>B0051UYM2G</t>
  </si>
  <si>
    <t>82*74*50cm</t>
  </si>
  <si>
    <t>Satin Antique-Viola</t>
  </si>
  <si>
    <t>X004N0W1KL</t>
  </si>
  <si>
    <t>B006LCDNF0</t>
  </si>
  <si>
    <t>87*51*54cm</t>
  </si>
  <si>
    <t>Violin-natural</t>
  </si>
  <si>
    <t>X004NKKQFX</t>
  </si>
  <si>
    <t>CCO-COMP-Aviolin-4/4CVN-300</t>
  </si>
  <si>
    <t>Violins-natural-1</t>
  </si>
  <si>
    <t>X004NKKNQP</t>
  </si>
  <si>
    <t>82*67*47cm</t>
  </si>
  <si>
    <t>海外仓</t>
  </si>
  <si>
    <t xml:space="preserve">   需要贴海外仓ASIN标签</t>
  </si>
  <si>
    <t>床罩（毛面）</t>
  </si>
  <si>
    <t>6PM-6-9"-Twin</t>
  </si>
  <si>
    <t>X004NI88L9</t>
  </si>
  <si>
    <t>57x30x37CM (箱)</t>
  </si>
  <si>
    <t>6PM-9-12"-Twin</t>
  </si>
  <si>
    <t>X004NI893V</t>
  </si>
  <si>
    <t>B01B51NXKQ</t>
  </si>
  <si>
    <t>6PM-12-15"-Twin</t>
  </si>
  <si>
    <t>X004NIIT7R</t>
  </si>
  <si>
    <t>6PM-6-9"-TwinXL</t>
  </si>
  <si>
    <t>X004NI8A2V</t>
  </si>
  <si>
    <t>B004VN316M</t>
  </si>
  <si>
    <t>6PM-9-12"-TwinXL</t>
  </si>
  <si>
    <t>X004NIIUHB</t>
  </si>
  <si>
    <t>B00B50IA56</t>
  </si>
  <si>
    <t>6PM-6-9"-Full</t>
  </si>
  <si>
    <t>X004NI9VEH</t>
  </si>
  <si>
    <t>B004BAB1RG</t>
  </si>
  <si>
    <t>6PM-9-12"-Full</t>
  </si>
  <si>
    <t>X004NI9VLZ</t>
  </si>
  <si>
    <t>B004BAB28O</t>
  </si>
  <si>
    <t>6PM-15-18"-Queen</t>
  </si>
  <si>
    <t>X004NIJ2OL</t>
  </si>
  <si>
    <t>B004BAEFWY</t>
  </si>
  <si>
    <t>6PM-9-12"-King</t>
  </si>
  <si>
    <t>X004NIJ359</t>
  </si>
  <si>
    <t>B004BAB2LG</t>
  </si>
  <si>
    <t>6PM-12-15"-King</t>
  </si>
  <si>
    <t>X004NI8BST</t>
  </si>
  <si>
    <t>B004BACOYU</t>
  </si>
  <si>
    <t>6PM-15-18"-King</t>
  </si>
  <si>
    <t>X004NIE1X3</t>
  </si>
  <si>
    <t>B004BA8WBE</t>
  </si>
  <si>
    <t>ME03-9-KingX2</t>
  </si>
  <si>
    <t>X003Z5FCND</t>
  </si>
  <si>
    <t>B00H7KZ5K6</t>
  </si>
  <si>
    <t>条 57x30x34CM (箱)</t>
  </si>
  <si>
    <t xml:space="preserve">    贴标要求</t>
  </si>
  <si>
    <t>产品标签：若包装上有条码则覆盖原条码，产品标签贴1张
外箱:
2张箱唛尽量覆盖品牌信息</t>
  </si>
  <si>
    <t>产品标签：若包装上有条码则覆盖原条码，如无条码直接空白处贴标，产品标签贴1张</t>
  </si>
  <si>
    <t>箱唛2张，覆盖原条码品牌信息</t>
  </si>
  <si>
    <t>产品标签：若包装上有条码则覆盖原条码，产品标签贴2张
外箱:
2张箱唛尽量覆盖品牌信息</t>
  </si>
  <si>
    <t>产品标1张</t>
  </si>
  <si>
    <t>30*30黑色快递袋，产品标1张</t>
  </si>
  <si>
    <t>15*25黑色快递袋包装</t>
  </si>
  <si>
    <t>产品标签：若包装上有条码则覆盖原条码，产品标签贴1张
外箱:2张箱唛尽量覆盖品牌信息</t>
  </si>
  <si>
    <t>产品标签贴2张</t>
  </si>
  <si>
    <t>产品标签：有条码则覆盖原条码，产品标签贴1张
外箱:2张箱唛尽量覆盖品牌信息</t>
  </si>
  <si>
    <t>换绿色卡纸</t>
  </si>
  <si>
    <t>换橙色卡纸</t>
  </si>
  <si>
    <t xml:space="preserve">         外箱需要贴海外仓ASIN标签</t>
  </si>
  <si>
    <t>不换卡纸，外箱要贴海外仓asin标签</t>
  </si>
  <si>
    <t>派送仓库</t>
  </si>
  <si>
    <t>FBA ID</t>
  </si>
  <si>
    <t>货件编号 从</t>
  </si>
  <si>
    <t>到</t>
  </si>
  <si>
    <t>TCY2</t>
  </si>
  <si>
    <t>FBA190K4MF9Y
箱数：120箱
总数量：720个
Reference ID:3BVX2RKC</t>
  </si>
  <si>
    <t>FBA190K4MF9YU000001</t>
  </si>
  <si>
    <t>FBA190K4MF9YU000120</t>
  </si>
  <si>
    <t>GEU3</t>
  </si>
  <si>
    <t>FBA190L6QV27
箱数：32箱
总数量：342个
Reference ID:65B15IGI</t>
  </si>
  <si>
    <t>FBA190L6QV27U000011</t>
  </si>
  <si>
    <t>FBA190L6QV27U000015</t>
  </si>
  <si>
    <t>FBA190L6QV27U000016</t>
  </si>
  <si>
    <t>FBA190L6QV27U000018</t>
  </si>
  <si>
    <t>FBA190L6QV27U000001</t>
  </si>
  <si>
    <t>FBA190L6QV27U000010</t>
  </si>
  <si>
    <t>FBA190L6QV27U000019</t>
  </si>
  <si>
    <t>FBA190L6QV27U000026</t>
  </si>
  <si>
    <t>FBA190L6QV27U000027</t>
  </si>
  <si>
    <t>FBA190L6QV27U000032</t>
  </si>
  <si>
    <t>MIT2</t>
  </si>
  <si>
    <t>FBA190L6JFXN
箱数：32箱
总数量：288个
Reference ID:44MHBDBZ</t>
  </si>
  <si>
    <t>FBA190L6JFXNU000003</t>
  </si>
  <si>
    <t>FBA190L6JFXNU000012</t>
  </si>
  <si>
    <t>EGLV142502751765EMCU9912953</t>
  </si>
  <si>
    <t>FBA190L6JFXNU000023</t>
  </si>
  <si>
    <t>FBA190L6JFXNU000032</t>
  </si>
  <si>
    <t>FBA190L6JFXNU000013</t>
  </si>
  <si>
    <t>FBA190L6JFXNU000022</t>
  </si>
  <si>
    <t>FBA190L6JFXNU000001</t>
  </si>
  <si>
    <t>FBA190L6JFXNU000002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</si>
</sst>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Calibri"/>
      <charset val="0"/>
    </font>
    <font>
      <sz val="12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  <scheme val="major"/>
    </font>
    <font>
      <b/>
      <sz val="18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4" borderId="0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ill="1" applyBorder="1">
      <alignment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5" borderId="0" xfId="0" applyFill="1" applyBorder="1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7" borderId="0" xfId="0" applyFill="1">
      <alignment vertical="center"/>
    </xf>
    <xf numFmtId="0" fontId="0" fillId="0" borderId="0" xfId="0" applyFill="1">
      <alignment vertical="center"/>
    </xf>
    <xf numFmtId="0" fontId="6" fillId="0" borderId="0" xfId="0" applyFont="1" applyFill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/>
    </xf>
    <xf numFmtId="176" fontId="0" fillId="0" borderId="0" xfId="0" applyNumberFormat="1" applyAlignment="1">
      <alignment horizontal="left" vertical="center" wrapText="1"/>
    </xf>
    <xf numFmtId="176" fontId="0" fillId="0" borderId="0" xfId="0" applyNumberFormat="1" applyAlignment="1">
      <alignment horizontal="left" vertical="center"/>
    </xf>
    <xf numFmtId="176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7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3" borderId="0" xfId="0" applyFill="1" applyBorder="1">
      <alignment vertical="center"/>
    </xf>
    <xf numFmtId="0" fontId="0" fillId="8" borderId="0" xfId="0" applyFill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6" fillId="0" borderId="0" xfId="0" applyFont="1" applyFill="1" applyBorder="1">
      <alignment vertical="center"/>
    </xf>
    <xf numFmtId="0" fontId="6" fillId="3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0" fontId="8" fillId="9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11" fillId="9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 wrapText="1"/>
    </xf>
    <xf numFmtId="0" fontId="11" fillId="7" borderId="0" xfId="0" applyFont="1" applyFill="1" applyBorder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3" fontId="7" fillId="0" borderId="0" xfId="0" applyNumberFormat="1" applyFont="1" applyFill="1" applyBorder="1" applyAlignment="1">
      <alignment horizontal="right" vertical="top"/>
    </xf>
    <xf numFmtId="0" fontId="0" fillId="0" borderId="0" xfId="0" applyFont="1" applyFill="1" applyAlignment="1">
      <alignment horizontal="right" vertical="center"/>
    </xf>
    <xf numFmtId="0" fontId="0" fillId="6" borderId="0" xfId="0" applyFill="1" applyBorder="1">
      <alignment vertical="center"/>
    </xf>
    <xf numFmtId="0" fontId="3" fillId="0" borderId="0" xfId="0" applyFont="1" applyFill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6" fillId="7" borderId="0" xfId="0" applyFont="1" applyFill="1" applyAlignment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0" fillId="7" borderId="0" xfId="0" applyFont="1" applyFill="1" applyBorder="1" applyAlignment="1">
      <alignment horizontal="left" vertical="center"/>
    </xf>
    <xf numFmtId="176" fontId="0" fillId="0" borderId="0" xfId="0" applyNumberFormat="1">
      <alignment vertical="center"/>
    </xf>
    <xf numFmtId="0" fontId="0" fillId="5" borderId="0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176" fontId="0" fillId="0" borderId="0" xfId="0" applyNumberFormat="1" applyFill="1">
      <alignment vertical="center"/>
    </xf>
    <xf numFmtId="0" fontId="6" fillId="5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176" fontId="0" fillId="0" borderId="0" xfId="0" applyNumberFormat="1" applyFill="1" applyAlignment="1">
      <alignment vertical="center"/>
    </xf>
    <xf numFmtId="0" fontId="2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786130</xdr:colOff>
      <xdr:row>44</xdr:row>
      <xdr:rowOff>69850</xdr:rowOff>
    </xdr:from>
    <xdr:to>
      <xdr:col>6</xdr:col>
      <xdr:colOff>1755140</xdr:colOff>
      <xdr:row>44</xdr:row>
      <xdr:rowOff>734060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64240" y="8369300"/>
          <a:ext cx="969010" cy="664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405130</xdr:colOff>
      <xdr:row>53</xdr:row>
      <xdr:rowOff>12700</xdr:rowOff>
    </xdr:from>
    <xdr:to>
      <xdr:col>7</xdr:col>
      <xdr:colOff>1151890</xdr:colOff>
      <xdr:row>55</xdr:row>
      <xdr:rowOff>168910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5445" y="10579100"/>
          <a:ext cx="746760" cy="499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969010</xdr:colOff>
      <xdr:row>18</xdr:row>
      <xdr:rowOff>321310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80315" y="3073400"/>
          <a:ext cx="969010" cy="664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9579;&#29577;&#33805;\&#20135;&#21697;&#19978;&#26550;&#34920;\&#29609;&#20855;\NON_RIDING_TOY_VEHICLE%20&#29609;&#20855;&#36710;02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06"/>
  <sheetViews>
    <sheetView zoomScale="85" zoomScaleNormal="85" topLeftCell="B1" workbookViewId="0">
      <pane ySplit="1" topLeftCell="A86" activePane="bottomLeft" state="frozen"/>
      <selection/>
      <selection pane="bottomLeft" activeCell="C106" sqref="C106"/>
    </sheetView>
  </sheetViews>
  <sheetFormatPr defaultColWidth="9" defaultRowHeight="13.5"/>
  <cols>
    <col min="1" max="1" width="14.5166666666667" customWidth="1"/>
    <col min="2" max="2" width="28.6666666666667" customWidth="1"/>
    <col min="3" max="3" width="33.1916666666667" customWidth="1"/>
    <col min="4" max="4" width="27.5916666666667" customWidth="1"/>
    <col min="5" max="5" width="16" customWidth="1"/>
    <col min="6" max="6" width="14.9083333333333" customWidth="1"/>
    <col min="8" max="8" width="10.55" customWidth="1"/>
    <col min="9" max="9" width="12.275" customWidth="1"/>
    <col min="11" max="11" width="12.8" style="16"/>
    <col min="12" max="12" width="17.65" style="13" customWidth="1"/>
    <col min="13" max="13" width="12.8" style="13"/>
    <col min="14" max="14" width="14.1833333333333" style="13" customWidth="1"/>
    <col min="15" max="15" width="12.6166666666667" style="13" customWidth="1"/>
    <col min="16" max="16" width="13.3583333333333" style="13" customWidth="1"/>
  </cols>
  <sheetData>
    <row r="1" s="1" customFormat="1" ht="36" customHeight="1" spans="1:16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 t="s">
        <v>8</v>
      </c>
      <c r="J1" s="10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="1" customFormat="1" ht="17" customHeight="1" spans="2:16">
      <c r="B2" s="36" t="s">
        <v>16</v>
      </c>
      <c r="D2" s="37"/>
      <c r="E2" s="38"/>
      <c r="F2" s="38"/>
      <c r="G2" s="38"/>
      <c r="H2" s="38"/>
      <c r="I2" s="70"/>
      <c r="J2" s="71"/>
      <c r="K2" s="38"/>
      <c r="L2" s="37"/>
      <c r="M2" s="37"/>
      <c r="N2" s="37"/>
      <c r="O2" s="37"/>
      <c r="P2" s="37"/>
    </row>
    <row r="3" customFormat="1" spans="1:16">
      <c r="A3" t="s">
        <v>17</v>
      </c>
      <c r="B3" s="26" t="s">
        <v>18</v>
      </c>
      <c r="C3" s="1" t="s">
        <v>19</v>
      </c>
      <c r="D3" s="39" t="s">
        <v>20</v>
      </c>
      <c r="E3" s="40" t="s">
        <v>21</v>
      </c>
      <c r="F3" s="1" t="s">
        <v>22</v>
      </c>
      <c r="G3" s="40">
        <v>60</v>
      </c>
      <c r="H3" s="40">
        <v>6</v>
      </c>
      <c r="I3" s="40">
        <f t="shared" ref="I3:I9" si="0">G3</f>
        <v>60</v>
      </c>
      <c r="J3" s="40">
        <v>6</v>
      </c>
      <c r="K3" s="72">
        <f t="shared" ref="K3:K13" si="1">G3/H3</f>
        <v>10</v>
      </c>
      <c r="L3" s="27" t="s">
        <v>23</v>
      </c>
      <c r="M3" s="73">
        <f>38*38*46/1000000</f>
        <v>0.066424</v>
      </c>
      <c r="N3" s="74">
        <v>9</v>
      </c>
      <c r="O3" s="75">
        <f t="shared" ref="O3:O23" si="2">N3*K3</f>
        <v>90</v>
      </c>
      <c r="P3" s="76">
        <f t="shared" ref="P3:P23" si="3">M3*K3</f>
        <v>0.66424</v>
      </c>
    </row>
    <row r="4" spans="1:16">
      <c r="A4" t="s">
        <v>17</v>
      </c>
      <c r="B4" s="26"/>
      <c r="C4" s="1" t="s">
        <v>24</v>
      </c>
      <c r="D4" t="s">
        <v>25</v>
      </c>
      <c r="E4" t="s">
        <v>26</v>
      </c>
      <c r="F4" s="1" t="s">
        <v>27</v>
      </c>
      <c r="G4">
        <v>50</v>
      </c>
      <c r="H4">
        <v>10</v>
      </c>
      <c r="I4" s="40">
        <f t="shared" si="0"/>
        <v>50</v>
      </c>
      <c r="J4">
        <v>10</v>
      </c>
      <c r="K4" s="72">
        <f t="shared" si="1"/>
        <v>5</v>
      </c>
      <c r="L4" s="27" t="s">
        <v>28</v>
      </c>
      <c r="M4" s="13">
        <f>45*30*45/1000000</f>
        <v>0.06075</v>
      </c>
      <c r="N4" s="13">
        <v>17</v>
      </c>
      <c r="O4" s="75">
        <f t="shared" si="2"/>
        <v>85</v>
      </c>
      <c r="P4" s="76">
        <f t="shared" si="3"/>
        <v>0.30375</v>
      </c>
    </row>
    <row r="5" spans="1:16">
      <c r="A5" t="s">
        <v>17</v>
      </c>
      <c r="B5" s="26"/>
      <c r="C5" s="1" t="s">
        <v>29</v>
      </c>
      <c r="D5" t="s">
        <v>30</v>
      </c>
      <c r="E5" t="s">
        <v>31</v>
      </c>
      <c r="F5" s="1" t="s">
        <v>32</v>
      </c>
      <c r="G5">
        <v>50</v>
      </c>
      <c r="H5">
        <v>10</v>
      </c>
      <c r="I5" s="40">
        <f t="shared" si="0"/>
        <v>50</v>
      </c>
      <c r="J5">
        <v>10</v>
      </c>
      <c r="K5" s="72">
        <f t="shared" si="1"/>
        <v>5</v>
      </c>
      <c r="L5" s="27" t="s">
        <v>28</v>
      </c>
      <c r="M5" s="13">
        <f>45*30*45/1000000</f>
        <v>0.06075</v>
      </c>
      <c r="N5" s="13">
        <v>17</v>
      </c>
      <c r="O5" s="75">
        <f t="shared" si="2"/>
        <v>85</v>
      </c>
      <c r="P5" s="76">
        <f t="shared" si="3"/>
        <v>0.30375</v>
      </c>
    </row>
    <row r="6" spans="1:16">
      <c r="A6" t="s">
        <v>17</v>
      </c>
      <c r="B6" s="26"/>
      <c r="C6" t="s">
        <v>33</v>
      </c>
      <c r="D6" t="s">
        <v>34</v>
      </c>
      <c r="E6" t="s">
        <v>35</v>
      </c>
      <c r="F6" t="s">
        <v>36</v>
      </c>
      <c r="G6" s="34">
        <v>48</v>
      </c>
      <c r="H6">
        <v>24</v>
      </c>
      <c r="I6" s="40">
        <f t="shared" si="0"/>
        <v>48</v>
      </c>
      <c r="J6">
        <v>24</v>
      </c>
      <c r="K6" s="72">
        <f t="shared" si="1"/>
        <v>2</v>
      </c>
      <c r="L6" s="13" t="s">
        <v>37</v>
      </c>
      <c r="M6" s="13">
        <f>45*38*40/1000000</f>
        <v>0.0684</v>
      </c>
      <c r="N6" s="13">
        <v>12.75</v>
      </c>
      <c r="O6" s="75">
        <f t="shared" si="2"/>
        <v>25.5</v>
      </c>
      <c r="P6" s="76">
        <f t="shared" si="3"/>
        <v>0.1368</v>
      </c>
    </row>
    <row r="7" spans="1:16">
      <c r="A7" t="s">
        <v>17</v>
      </c>
      <c r="B7" s="26"/>
      <c r="C7" t="s">
        <v>38</v>
      </c>
      <c r="D7" t="s">
        <v>39</v>
      </c>
      <c r="E7" t="s">
        <v>40</v>
      </c>
      <c r="F7" t="s">
        <v>41</v>
      </c>
      <c r="G7">
        <v>33</v>
      </c>
      <c r="H7">
        <v>3</v>
      </c>
      <c r="I7" s="40">
        <f t="shared" si="0"/>
        <v>33</v>
      </c>
      <c r="J7">
        <v>3</v>
      </c>
      <c r="K7" s="72">
        <f t="shared" si="1"/>
        <v>11</v>
      </c>
      <c r="L7" s="27" t="s">
        <v>42</v>
      </c>
      <c r="M7" s="13">
        <f>46.5*35.5*44.5/1000000</f>
        <v>0.073458375</v>
      </c>
      <c r="N7" s="13">
        <v>17.3</v>
      </c>
      <c r="O7" s="75">
        <f t="shared" si="2"/>
        <v>190.3</v>
      </c>
      <c r="P7" s="76">
        <f t="shared" si="3"/>
        <v>0.808042125</v>
      </c>
    </row>
    <row r="8" spans="1:16">
      <c r="A8" t="s">
        <v>17</v>
      </c>
      <c r="B8" s="26"/>
      <c r="C8" t="s">
        <v>43</v>
      </c>
      <c r="D8" t="s">
        <v>44</v>
      </c>
      <c r="E8" t="s">
        <v>45</v>
      </c>
      <c r="F8" t="s">
        <v>46</v>
      </c>
      <c r="G8">
        <v>36</v>
      </c>
      <c r="H8">
        <v>12</v>
      </c>
      <c r="I8" s="40">
        <f t="shared" si="0"/>
        <v>36</v>
      </c>
      <c r="J8">
        <v>12</v>
      </c>
      <c r="K8" s="72">
        <f t="shared" si="1"/>
        <v>3</v>
      </c>
      <c r="L8" s="27" t="s">
        <v>47</v>
      </c>
      <c r="M8" s="13">
        <f>48*47*64/1000000</f>
        <v>0.144384</v>
      </c>
      <c r="N8" s="13">
        <v>17.5</v>
      </c>
      <c r="O8" s="75">
        <f t="shared" si="2"/>
        <v>52.5</v>
      </c>
      <c r="P8" s="76">
        <f t="shared" si="3"/>
        <v>0.433152</v>
      </c>
    </row>
    <row r="9" spans="1:16">
      <c r="A9" t="s">
        <v>17</v>
      </c>
      <c r="B9" s="26"/>
      <c r="C9" s="1" t="s">
        <v>48</v>
      </c>
      <c r="D9" t="s">
        <v>49</v>
      </c>
      <c r="E9" s="32" t="s">
        <v>50</v>
      </c>
      <c r="F9" s="1" t="s">
        <v>51</v>
      </c>
      <c r="G9">
        <v>90</v>
      </c>
      <c r="H9">
        <v>30</v>
      </c>
      <c r="I9" s="40">
        <f t="shared" si="0"/>
        <v>90</v>
      </c>
      <c r="J9">
        <v>30</v>
      </c>
      <c r="K9" s="72">
        <f t="shared" si="1"/>
        <v>3</v>
      </c>
      <c r="L9" s="27" t="s">
        <v>52</v>
      </c>
      <c r="M9" s="13">
        <f>48*40*61/1000000</f>
        <v>0.11712</v>
      </c>
      <c r="N9" s="13">
        <v>13.2</v>
      </c>
      <c r="O9" s="75">
        <f t="shared" si="2"/>
        <v>39.6</v>
      </c>
      <c r="P9" s="76">
        <f t="shared" si="3"/>
        <v>0.35136</v>
      </c>
    </row>
    <row r="10" spans="1:16">
      <c r="A10" t="s">
        <v>17</v>
      </c>
      <c r="B10" s="26"/>
      <c r="C10" t="s">
        <v>53</v>
      </c>
      <c r="D10" t="s">
        <v>54</v>
      </c>
      <c r="E10" t="s">
        <v>55</v>
      </c>
      <c r="F10" t="s">
        <v>56</v>
      </c>
      <c r="G10">
        <v>100</v>
      </c>
      <c r="H10">
        <v>100</v>
      </c>
      <c r="I10" s="40">
        <v>100</v>
      </c>
      <c r="J10">
        <v>100</v>
      </c>
      <c r="K10" s="72">
        <f t="shared" si="1"/>
        <v>1</v>
      </c>
      <c r="L10" s="27" t="s">
        <v>57</v>
      </c>
      <c r="M10" s="13">
        <f>48*36*28/1000000</f>
        <v>0.048384</v>
      </c>
      <c r="N10" s="13">
        <v>9.1</v>
      </c>
      <c r="O10" s="75">
        <f t="shared" si="2"/>
        <v>9.1</v>
      </c>
      <c r="P10" s="76">
        <f t="shared" si="3"/>
        <v>0.048384</v>
      </c>
    </row>
    <row r="11" spans="1:16">
      <c r="A11" t="s">
        <v>17</v>
      </c>
      <c r="B11" s="26"/>
      <c r="C11" t="s">
        <v>58</v>
      </c>
      <c r="D11" t="s">
        <v>59</v>
      </c>
      <c r="E11" t="s">
        <v>60</v>
      </c>
      <c r="F11" t="s">
        <v>61</v>
      </c>
      <c r="G11">
        <v>60</v>
      </c>
      <c r="H11">
        <v>12</v>
      </c>
      <c r="I11" s="40">
        <f>G11</f>
        <v>60</v>
      </c>
      <c r="J11">
        <v>12</v>
      </c>
      <c r="K11" s="72">
        <f t="shared" si="1"/>
        <v>5</v>
      </c>
      <c r="L11" s="27" t="s">
        <v>62</v>
      </c>
      <c r="M11" s="13">
        <f>52*42*40/1000000</f>
        <v>0.08736</v>
      </c>
      <c r="N11" s="13">
        <v>14.2</v>
      </c>
      <c r="O11" s="75">
        <f t="shared" si="2"/>
        <v>71</v>
      </c>
      <c r="P11" s="76">
        <f t="shared" si="3"/>
        <v>0.4368</v>
      </c>
    </row>
    <row r="12" s="33" customFormat="1" spans="1:16">
      <c r="A12" s="33" t="s">
        <v>17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  <c r="G12" s="33">
        <v>60</v>
      </c>
      <c r="H12" s="33">
        <v>20</v>
      </c>
      <c r="I12" s="77">
        <f>G12</f>
        <v>60</v>
      </c>
      <c r="J12" s="33">
        <v>20</v>
      </c>
      <c r="K12" s="72">
        <f t="shared" si="1"/>
        <v>3</v>
      </c>
      <c r="L12" s="78" t="s">
        <v>68</v>
      </c>
      <c r="M12" s="78">
        <f>40*49*47/1000000</f>
        <v>0.09212</v>
      </c>
      <c r="N12" s="78">
        <v>17.1</v>
      </c>
      <c r="O12" s="79">
        <f t="shared" si="2"/>
        <v>51.3</v>
      </c>
      <c r="P12" s="80">
        <f t="shared" si="3"/>
        <v>0.27636</v>
      </c>
    </row>
    <row r="13" customFormat="1" spans="1:16">
      <c r="A13" t="s">
        <v>17</v>
      </c>
      <c r="C13" t="s">
        <v>69</v>
      </c>
      <c r="D13" t="s">
        <v>70</v>
      </c>
      <c r="E13" s="32" t="s">
        <v>71</v>
      </c>
      <c r="F13" t="s">
        <v>72</v>
      </c>
      <c r="G13">
        <v>64</v>
      </c>
      <c r="H13">
        <v>64</v>
      </c>
      <c r="I13" s="40">
        <f>G13</f>
        <v>64</v>
      </c>
      <c r="J13">
        <v>64</v>
      </c>
      <c r="K13" s="12">
        <f t="shared" si="1"/>
        <v>1</v>
      </c>
      <c r="L13" t="s">
        <v>73</v>
      </c>
      <c r="M13" s="16">
        <f>41*38*44/1000000</f>
        <v>0.068552</v>
      </c>
      <c r="N13">
        <v>20</v>
      </c>
      <c r="O13" s="31">
        <f t="shared" si="2"/>
        <v>20</v>
      </c>
      <c r="P13" s="76">
        <f t="shared" si="3"/>
        <v>0.068552</v>
      </c>
    </row>
    <row r="14" customFormat="1" spans="1:16">
      <c r="A14" t="s">
        <v>17</v>
      </c>
      <c r="C14" t="s">
        <v>74</v>
      </c>
      <c r="D14" t="s">
        <v>75</v>
      </c>
      <c r="E14" s="13" t="s">
        <v>76</v>
      </c>
      <c r="F14" t="s">
        <v>77</v>
      </c>
      <c r="G14">
        <v>72</v>
      </c>
      <c r="H14">
        <v>36</v>
      </c>
      <c r="I14" s="40">
        <f t="shared" ref="I14:I21" si="4">G14</f>
        <v>72</v>
      </c>
      <c r="J14">
        <v>36</v>
      </c>
      <c r="K14" s="12">
        <f t="shared" ref="K14:K21" si="5">G14/H14</f>
        <v>2</v>
      </c>
      <c r="L14" t="s">
        <v>78</v>
      </c>
      <c r="M14" s="16">
        <f>23*36*39/1000000</f>
        <v>0.032292</v>
      </c>
      <c r="N14">
        <v>13.68</v>
      </c>
      <c r="O14" s="31">
        <f t="shared" si="2"/>
        <v>27.36</v>
      </c>
      <c r="P14" s="76">
        <f t="shared" si="3"/>
        <v>0.064584</v>
      </c>
    </row>
    <row r="15" customFormat="1" spans="1:16">
      <c r="A15" t="s">
        <v>17</v>
      </c>
      <c r="C15" t="s">
        <v>79</v>
      </c>
      <c r="D15" s="41" t="s">
        <v>80</v>
      </c>
      <c r="E15" s="13" t="s">
        <v>81</v>
      </c>
      <c r="F15" t="s">
        <v>82</v>
      </c>
      <c r="G15">
        <v>60</v>
      </c>
      <c r="H15">
        <v>60</v>
      </c>
      <c r="I15" s="40">
        <f t="shared" si="4"/>
        <v>60</v>
      </c>
      <c r="J15">
        <v>60</v>
      </c>
      <c r="K15" s="12">
        <f t="shared" si="5"/>
        <v>1</v>
      </c>
      <c r="L15" t="s">
        <v>83</v>
      </c>
      <c r="M15" s="16">
        <f>25*30*48/1000000</f>
        <v>0.036</v>
      </c>
      <c r="N15">
        <v>7.8</v>
      </c>
      <c r="O15" s="31">
        <f t="shared" si="2"/>
        <v>7.8</v>
      </c>
      <c r="P15" s="76">
        <f t="shared" si="3"/>
        <v>0.036</v>
      </c>
    </row>
    <row r="16" customFormat="1" spans="1:16">
      <c r="A16" t="s">
        <v>17</v>
      </c>
      <c r="C16" t="s">
        <v>84</v>
      </c>
      <c r="D16" s="42" t="s">
        <v>85</v>
      </c>
      <c r="E16" s="13" t="s">
        <v>86</v>
      </c>
      <c r="F16" t="s">
        <v>87</v>
      </c>
      <c r="G16">
        <v>24</v>
      </c>
      <c r="H16">
        <v>8</v>
      </c>
      <c r="I16" s="40">
        <f t="shared" si="4"/>
        <v>24</v>
      </c>
      <c r="J16">
        <v>8</v>
      </c>
      <c r="K16" s="12">
        <f t="shared" si="5"/>
        <v>3</v>
      </c>
      <c r="L16" t="s">
        <v>88</v>
      </c>
      <c r="M16" s="16">
        <f>36*36*38/1000000</f>
        <v>0.049248</v>
      </c>
      <c r="N16">
        <v>5.85</v>
      </c>
      <c r="O16" s="31">
        <f t="shared" si="2"/>
        <v>17.55</v>
      </c>
      <c r="P16" s="76">
        <f t="shared" si="3"/>
        <v>0.147744</v>
      </c>
    </row>
    <row r="17" customFormat="1" spans="1:16">
      <c r="A17" t="s">
        <v>17</v>
      </c>
      <c r="C17" s="34" t="s">
        <v>89</v>
      </c>
      <c r="D17" s="43" t="s">
        <v>90</v>
      </c>
      <c r="E17" s="27" t="s">
        <v>91</v>
      </c>
      <c r="F17" t="s">
        <v>92</v>
      </c>
      <c r="G17">
        <v>30</v>
      </c>
      <c r="H17">
        <v>30</v>
      </c>
      <c r="I17" s="40">
        <f t="shared" si="4"/>
        <v>30</v>
      </c>
      <c r="J17">
        <v>30</v>
      </c>
      <c r="K17" s="12">
        <f t="shared" si="5"/>
        <v>1</v>
      </c>
      <c r="L17" t="s">
        <v>93</v>
      </c>
      <c r="M17" s="16">
        <f t="shared" ref="M17:M19" si="6">29.5*28*14/1000000</f>
        <v>0.011564</v>
      </c>
      <c r="N17">
        <v>10.1154</v>
      </c>
      <c r="O17" s="31">
        <f t="shared" si="2"/>
        <v>10.1154</v>
      </c>
      <c r="P17" s="76">
        <f t="shared" si="3"/>
        <v>0.011564</v>
      </c>
    </row>
    <row r="18" customFormat="1" spans="1:16">
      <c r="A18" t="s">
        <v>17</v>
      </c>
      <c r="C18" s="34" t="s">
        <v>89</v>
      </c>
      <c r="D18" s="43" t="s">
        <v>94</v>
      </c>
      <c r="E18" s="27" t="s">
        <v>95</v>
      </c>
      <c r="F18" t="s">
        <v>96</v>
      </c>
      <c r="G18">
        <v>30</v>
      </c>
      <c r="H18">
        <v>30</v>
      </c>
      <c r="I18" s="40">
        <f t="shared" si="4"/>
        <v>30</v>
      </c>
      <c r="J18">
        <v>30</v>
      </c>
      <c r="K18" s="12">
        <f t="shared" si="5"/>
        <v>1</v>
      </c>
      <c r="L18" t="s">
        <v>93</v>
      </c>
      <c r="M18" s="16">
        <f t="shared" si="6"/>
        <v>0.011564</v>
      </c>
      <c r="N18">
        <v>10.80375</v>
      </c>
      <c r="O18" s="31">
        <f t="shared" si="2"/>
        <v>10.80375</v>
      </c>
      <c r="P18" s="76">
        <f t="shared" si="3"/>
        <v>0.011564</v>
      </c>
    </row>
    <row r="19" customFormat="1" spans="1:16">
      <c r="A19" t="s">
        <v>17</v>
      </c>
      <c r="C19" t="s">
        <v>89</v>
      </c>
      <c r="D19" s="13" t="s">
        <v>97</v>
      </c>
      <c r="E19" s="44" t="s">
        <v>98</v>
      </c>
      <c r="F19" t="s">
        <v>99</v>
      </c>
      <c r="G19">
        <v>30</v>
      </c>
      <c r="H19">
        <v>30</v>
      </c>
      <c r="I19" s="40">
        <f t="shared" si="4"/>
        <v>30</v>
      </c>
      <c r="J19">
        <v>30</v>
      </c>
      <c r="K19" s="12">
        <f t="shared" si="5"/>
        <v>1</v>
      </c>
      <c r="L19" t="s">
        <v>93</v>
      </c>
      <c r="M19" s="16">
        <f t="shared" si="6"/>
        <v>0.011564</v>
      </c>
      <c r="N19">
        <v>10.1154</v>
      </c>
      <c r="O19" s="31">
        <f t="shared" si="2"/>
        <v>10.1154</v>
      </c>
      <c r="P19" s="76">
        <f t="shared" si="3"/>
        <v>0.011564</v>
      </c>
    </row>
    <row r="20" customFormat="1" spans="1:16">
      <c r="A20" t="s">
        <v>17</v>
      </c>
      <c r="C20" t="s">
        <v>100</v>
      </c>
      <c r="D20" s="13" t="s">
        <v>101</v>
      </c>
      <c r="E20" s="13" t="s">
        <v>102</v>
      </c>
      <c r="F20" t="s">
        <v>103</v>
      </c>
      <c r="G20">
        <v>40</v>
      </c>
      <c r="H20">
        <v>20</v>
      </c>
      <c r="I20" s="40">
        <f t="shared" si="4"/>
        <v>40</v>
      </c>
      <c r="J20">
        <v>20</v>
      </c>
      <c r="K20" s="12">
        <f t="shared" si="5"/>
        <v>2</v>
      </c>
      <c r="L20" t="s">
        <v>104</v>
      </c>
      <c r="M20" s="16">
        <f>61*28*42/1000000</f>
        <v>0.071736</v>
      </c>
      <c r="N20">
        <v>14.58</v>
      </c>
      <c r="O20" s="31">
        <f t="shared" si="2"/>
        <v>29.16</v>
      </c>
      <c r="P20" s="76">
        <f t="shared" si="3"/>
        <v>0.143472</v>
      </c>
    </row>
    <row r="21" customFormat="1" spans="1:16">
      <c r="A21" t="s">
        <v>17</v>
      </c>
      <c r="C21" t="s">
        <v>100</v>
      </c>
      <c r="D21" s="44" t="s">
        <v>105</v>
      </c>
      <c r="E21" s="13" t="s">
        <v>106</v>
      </c>
      <c r="F21" t="s">
        <v>107</v>
      </c>
      <c r="G21">
        <v>36</v>
      </c>
      <c r="H21">
        <v>12</v>
      </c>
      <c r="I21" s="40">
        <f t="shared" si="4"/>
        <v>36</v>
      </c>
      <c r="J21">
        <v>12</v>
      </c>
      <c r="K21" s="12">
        <f t="shared" si="5"/>
        <v>3</v>
      </c>
      <c r="L21" t="s">
        <v>108</v>
      </c>
      <c r="M21" s="16">
        <f>62*29*50/1000000</f>
        <v>0.0899</v>
      </c>
      <c r="N21">
        <v>11.76</v>
      </c>
      <c r="O21" s="31">
        <f t="shared" si="2"/>
        <v>35.28</v>
      </c>
      <c r="P21" s="76">
        <f t="shared" si="3"/>
        <v>0.2697</v>
      </c>
    </row>
    <row r="22" customFormat="1" spans="11:16">
      <c r="K22" s="12"/>
      <c r="L22" s="13"/>
      <c r="M22" s="13"/>
      <c r="N22" s="13"/>
      <c r="O22" s="13"/>
      <c r="P22" s="13"/>
    </row>
    <row r="23" customFormat="1" spans="2:16">
      <c r="B23" s="6" t="s">
        <v>109</v>
      </c>
      <c r="K23" s="12"/>
      <c r="L23" s="13"/>
      <c r="M23" s="13"/>
      <c r="N23" s="13"/>
      <c r="O23" s="13"/>
      <c r="P23" s="13"/>
    </row>
    <row r="24" customFormat="1" ht="14.25" spans="1:16">
      <c r="A24" t="s">
        <v>110</v>
      </c>
      <c r="C24" t="s">
        <v>111</v>
      </c>
      <c r="D24" t="s">
        <v>112</v>
      </c>
      <c r="E24" t="s">
        <v>113</v>
      </c>
      <c r="F24" t="s">
        <v>114</v>
      </c>
      <c r="G24" s="66">
        <v>116</v>
      </c>
      <c r="H24">
        <v>24</v>
      </c>
      <c r="I24" s="7">
        <f t="shared" ref="I24:I34" si="7">G24</f>
        <v>116</v>
      </c>
      <c r="J24">
        <v>24</v>
      </c>
      <c r="K24" s="12">
        <v>5</v>
      </c>
      <c r="L24" s="13" t="s">
        <v>115</v>
      </c>
      <c r="M24" s="13">
        <v>0.096</v>
      </c>
      <c r="N24" s="13">
        <v>15</v>
      </c>
      <c r="O24" s="15">
        <f t="shared" ref="O24:O34" si="8">N24*K24</f>
        <v>75</v>
      </c>
      <c r="P24" s="15">
        <f t="shared" ref="P24:P34" si="9">M24*K24</f>
        <v>0.48</v>
      </c>
    </row>
    <row r="25" customFormat="1" ht="14.25" spans="1:16">
      <c r="A25" t="s">
        <v>110</v>
      </c>
      <c r="C25" t="s">
        <v>116</v>
      </c>
      <c r="D25" t="s">
        <v>117</v>
      </c>
      <c r="E25" t="s">
        <v>118</v>
      </c>
      <c r="F25" t="s">
        <v>119</v>
      </c>
      <c r="G25">
        <v>120</v>
      </c>
      <c r="H25">
        <v>24</v>
      </c>
      <c r="I25" s="7">
        <f t="shared" si="7"/>
        <v>120</v>
      </c>
      <c r="J25">
        <v>24</v>
      </c>
      <c r="K25" s="12">
        <f t="shared" ref="K25:K34" si="10">G25/H25</f>
        <v>5</v>
      </c>
      <c r="L25" s="13" t="s">
        <v>115</v>
      </c>
      <c r="M25" s="13">
        <v>0.096</v>
      </c>
      <c r="N25" s="13">
        <v>15</v>
      </c>
      <c r="O25" s="15">
        <f t="shared" si="8"/>
        <v>75</v>
      </c>
      <c r="P25" s="15">
        <f t="shared" si="9"/>
        <v>0.48</v>
      </c>
    </row>
    <row r="26" customFormat="1" ht="14.25" spans="1:16">
      <c r="A26" t="s">
        <v>110</v>
      </c>
      <c r="C26" t="s">
        <v>111</v>
      </c>
      <c r="D26" t="s">
        <v>120</v>
      </c>
      <c r="E26" t="s">
        <v>121</v>
      </c>
      <c r="F26" t="s">
        <v>122</v>
      </c>
      <c r="G26">
        <v>120</v>
      </c>
      <c r="H26">
        <v>24</v>
      </c>
      <c r="I26" s="7">
        <f t="shared" si="7"/>
        <v>120</v>
      </c>
      <c r="J26">
        <v>24</v>
      </c>
      <c r="K26" s="12">
        <f t="shared" si="10"/>
        <v>5</v>
      </c>
      <c r="L26" s="13" t="s">
        <v>115</v>
      </c>
      <c r="M26" s="13">
        <v>0.096</v>
      </c>
      <c r="N26" s="13">
        <v>15</v>
      </c>
      <c r="O26" s="15">
        <f t="shared" si="8"/>
        <v>75</v>
      </c>
      <c r="P26" s="15">
        <f t="shared" si="9"/>
        <v>0.48</v>
      </c>
    </row>
    <row r="27" customFormat="1" ht="14.25" spans="1:16">
      <c r="A27" t="s">
        <v>110</v>
      </c>
      <c r="C27" t="s">
        <v>111</v>
      </c>
      <c r="D27" t="s">
        <v>123</v>
      </c>
      <c r="E27" t="s">
        <v>124</v>
      </c>
      <c r="F27" t="s">
        <v>125</v>
      </c>
      <c r="G27">
        <v>120</v>
      </c>
      <c r="H27">
        <v>24</v>
      </c>
      <c r="I27" s="7">
        <f t="shared" si="7"/>
        <v>120</v>
      </c>
      <c r="J27">
        <v>24</v>
      </c>
      <c r="K27" s="12">
        <f t="shared" si="10"/>
        <v>5</v>
      </c>
      <c r="L27" s="13" t="s">
        <v>115</v>
      </c>
      <c r="M27" s="13">
        <v>0.096</v>
      </c>
      <c r="N27" s="13">
        <v>15</v>
      </c>
      <c r="O27" s="15">
        <f t="shared" si="8"/>
        <v>75</v>
      </c>
      <c r="P27" s="15">
        <f t="shared" si="9"/>
        <v>0.48</v>
      </c>
    </row>
    <row r="28" customFormat="1" ht="14.25" spans="1:16">
      <c r="A28" t="s">
        <v>110</v>
      </c>
      <c r="C28" t="s">
        <v>111</v>
      </c>
      <c r="D28" t="s">
        <v>126</v>
      </c>
      <c r="E28" t="s">
        <v>127</v>
      </c>
      <c r="F28" t="s">
        <v>128</v>
      </c>
      <c r="G28">
        <v>120</v>
      </c>
      <c r="H28">
        <v>24</v>
      </c>
      <c r="I28" s="7">
        <f t="shared" si="7"/>
        <v>120</v>
      </c>
      <c r="J28">
        <v>24</v>
      </c>
      <c r="K28" s="12">
        <f t="shared" si="10"/>
        <v>5</v>
      </c>
      <c r="L28" s="13" t="s">
        <v>115</v>
      </c>
      <c r="M28" s="13">
        <v>0.096</v>
      </c>
      <c r="N28" s="13">
        <v>15</v>
      </c>
      <c r="O28" s="15">
        <f t="shared" si="8"/>
        <v>75</v>
      </c>
      <c r="P28" s="15">
        <f t="shared" si="9"/>
        <v>0.48</v>
      </c>
    </row>
    <row r="29" customFormat="1" ht="14.25" spans="1:16">
      <c r="A29" t="s">
        <v>110</v>
      </c>
      <c r="C29" t="s">
        <v>129</v>
      </c>
      <c r="D29" t="s">
        <v>130</v>
      </c>
      <c r="E29" t="s">
        <v>131</v>
      </c>
      <c r="F29" t="s">
        <v>132</v>
      </c>
      <c r="G29">
        <v>120</v>
      </c>
      <c r="H29">
        <v>24</v>
      </c>
      <c r="I29" s="7">
        <f t="shared" si="7"/>
        <v>120</v>
      </c>
      <c r="J29">
        <v>24</v>
      </c>
      <c r="K29" s="12">
        <f t="shared" si="10"/>
        <v>5</v>
      </c>
      <c r="L29" s="13" t="s">
        <v>115</v>
      </c>
      <c r="M29" s="13">
        <v>0.096</v>
      </c>
      <c r="N29" s="13">
        <v>15</v>
      </c>
      <c r="O29" s="15">
        <f t="shared" si="8"/>
        <v>75</v>
      </c>
      <c r="P29" s="15">
        <f t="shared" si="9"/>
        <v>0.48</v>
      </c>
    </row>
    <row r="30" customFormat="1" ht="14.25" spans="1:16">
      <c r="A30" t="s">
        <v>110</v>
      </c>
      <c r="C30" t="s">
        <v>111</v>
      </c>
      <c r="D30" t="s">
        <v>133</v>
      </c>
      <c r="E30" t="s">
        <v>134</v>
      </c>
      <c r="F30" t="s">
        <v>135</v>
      </c>
      <c r="G30">
        <v>120</v>
      </c>
      <c r="H30">
        <v>24</v>
      </c>
      <c r="I30" s="7">
        <f t="shared" si="7"/>
        <v>120</v>
      </c>
      <c r="J30">
        <v>24</v>
      </c>
      <c r="K30" s="12">
        <f t="shared" si="10"/>
        <v>5</v>
      </c>
      <c r="L30" s="13" t="s">
        <v>115</v>
      </c>
      <c r="M30" s="13">
        <v>0.096</v>
      </c>
      <c r="N30" s="13">
        <v>15</v>
      </c>
      <c r="O30" s="15">
        <f t="shared" si="8"/>
        <v>75</v>
      </c>
      <c r="P30" s="15">
        <f t="shared" si="9"/>
        <v>0.48</v>
      </c>
    </row>
    <row r="31" customFormat="1" ht="14.25" spans="1:16">
      <c r="A31" t="s">
        <v>110</v>
      </c>
      <c r="C31" t="s">
        <v>111</v>
      </c>
      <c r="D31" t="s">
        <v>136</v>
      </c>
      <c r="E31" t="s">
        <v>137</v>
      </c>
      <c r="F31" t="s">
        <v>138</v>
      </c>
      <c r="G31">
        <v>120</v>
      </c>
      <c r="H31">
        <v>24</v>
      </c>
      <c r="I31" s="7">
        <f t="shared" si="7"/>
        <v>120</v>
      </c>
      <c r="J31">
        <v>24</v>
      </c>
      <c r="K31" s="12">
        <f t="shared" si="10"/>
        <v>5</v>
      </c>
      <c r="L31" s="13" t="s">
        <v>115</v>
      </c>
      <c r="M31" s="13">
        <v>0.096</v>
      </c>
      <c r="N31" s="13">
        <v>15</v>
      </c>
      <c r="O31" s="15">
        <f t="shared" si="8"/>
        <v>75</v>
      </c>
      <c r="P31" s="15">
        <f t="shared" si="9"/>
        <v>0.48</v>
      </c>
    </row>
    <row r="32" customFormat="1" ht="14.25" spans="1:16">
      <c r="A32" t="s">
        <v>110</v>
      </c>
      <c r="C32" t="s">
        <v>139</v>
      </c>
      <c r="D32" t="s">
        <v>140</v>
      </c>
      <c r="E32" t="s">
        <v>141</v>
      </c>
      <c r="F32" t="s">
        <v>142</v>
      </c>
      <c r="G32">
        <v>120</v>
      </c>
      <c r="H32">
        <v>24</v>
      </c>
      <c r="I32" s="7">
        <f t="shared" si="7"/>
        <v>120</v>
      </c>
      <c r="J32">
        <v>24</v>
      </c>
      <c r="K32" s="12">
        <f t="shared" si="10"/>
        <v>5</v>
      </c>
      <c r="L32" s="13" t="s">
        <v>115</v>
      </c>
      <c r="M32" s="13">
        <v>0.096</v>
      </c>
      <c r="N32" s="13">
        <v>15</v>
      </c>
      <c r="O32" s="15">
        <f t="shared" si="8"/>
        <v>75</v>
      </c>
      <c r="P32" s="15">
        <f t="shared" si="9"/>
        <v>0.48</v>
      </c>
    </row>
    <row r="33" customFormat="1" ht="14.25" spans="1:16">
      <c r="A33" t="s">
        <v>110</v>
      </c>
      <c r="C33" t="s">
        <v>143</v>
      </c>
      <c r="D33" t="s">
        <v>144</v>
      </c>
      <c r="E33" t="s">
        <v>145</v>
      </c>
      <c r="F33" t="s">
        <v>146</v>
      </c>
      <c r="G33">
        <v>112</v>
      </c>
      <c r="H33">
        <v>16</v>
      </c>
      <c r="I33" s="7">
        <f t="shared" si="7"/>
        <v>112</v>
      </c>
      <c r="J33">
        <v>16</v>
      </c>
      <c r="K33" s="12">
        <f t="shared" si="10"/>
        <v>7</v>
      </c>
      <c r="L33" s="13" t="s">
        <v>147</v>
      </c>
      <c r="M33" s="13">
        <v>0.079</v>
      </c>
      <c r="N33" s="13">
        <v>12.8</v>
      </c>
      <c r="O33" s="15">
        <f t="shared" si="8"/>
        <v>89.6</v>
      </c>
      <c r="P33" s="15">
        <f t="shared" si="9"/>
        <v>0.553</v>
      </c>
    </row>
    <row r="34" customFormat="1" ht="14.25" spans="1:16">
      <c r="A34" t="s">
        <v>110</v>
      </c>
      <c r="C34" t="s">
        <v>148</v>
      </c>
      <c r="D34" t="s">
        <v>149</v>
      </c>
      <c r="E34" t="s">
        <v>150</v>
      </c>
      <c r="F34" t="s">
        <v>151</v>
      </c>
      <c r="G34">
        <v>150</v>
      </c>
      <c r="H34">
        <v>50</v>
      </c>
      <c r="I34" s="7">
        <f t="shared" si="7"/>
        <v>150</v>
      </c>
      <c r="J34">
        <v>50</v>
      </c>
      <c r="K34" s="12">
        <f t="shared" si="10"/>
        <v>3</v>
      </c>
      <c r="L34" s="13" t="s">
        <v>152</v>
      </c>
      <c r="M34" s="13">
        <v>0.066</v>
      </c>
      <c r="N34" s="13">
        <v>10</v>
      </c>
      <c r="O34" s="15">
        <f t="shared" si="8"/>
        <v>30</v>
      </c>
      <c r="P34" s="15">
        <f t="shared" si="9"/>
        <v>0.198</v>
      </c>
    </row>
    <row r="35" customFormat="1" spans="11:16">
      <c r="K35" s="12"/>
      <c r="L35" s="13"/>
      <c r="M35" s="13"/>
      <c r="N35" s="13"/>
      <c r="O35" s="13"/>
      <c r="P35" s="13"/>
    </row>
    <row r="36" customFormat="1" spans="11:16">
      <c r="K36" s="12"/>
      <c r="L36" s="13"/>
      <c r="M36" s="13"/>
      <c r="N36" s="13"/>
      <c r="O36" s="13"/>
      <c r="P36" s="13"/>
    </row>
    <row r="37" customFormat="1" ht="15" spans="1:16">
      <c r="A37" t="s">
        <v>153</v>
      </c>
      <c r="B37" s="6" t="s">
        <v>154</v>
      </c>
      <c r="C37" t="s">
        <v>155</v>
      </c>
      <c r="D37" s="34" t="s">
        <v>156</v>
      </c>
      <c r="E37" s="34" t="s">
        <v>157</v>
      </c>
      <c r="F37" s="45" t="s">
        <v>158</v>
      </c>
      <c r="G37" s="46">
        <v>50</v>
      </c>
      <c r="H37" s="67">
        <v>10</v>
      </c>
      <c r="I37" s="46">
        <f t="shared" ref="I37:I42" si="11">G37</f>
        <v>50</v>
      </c>
      <c r="J37" s="67">
        <v>10</v>
      </c>
      <c r="K37" s="12">
        <f t="shared" ref="K37:K42" si="12">G37/H37</f>
        <v>5</v>
      </c>
      <c r="L37" s="1" t="s">
        <v>159</v>
      </c>
      <c r="M37" s="81">
        <v>0.3034</v>
      </c>
      <c r="N37" s="81">
        <v>23.6</v>
      </c>
      <c r="O37" s="34">
        <f t="shared" ref="O37:O42" si="13">N37*K37</f>
        <v>118</v>
      </c>
      <c r="P37" s="27">
        <f t="shared" ref="P37:P42" si="14">M37*K37</f>
        <v>1.517</v>
      </c>
    </row>
    <row r="38" customFormat="1" ht="15" spans="1:16">
      <c r="A38" t="s">
        <v>153</v>
      </c>
      <c r="C38" s="22" t="s">
        <v>155</v>
      </c>
      <c r="D38" s="46" t="s">
        <v>160</v>
      </c>
      <c r="E38" s="46" t="s">
        <v>161</v>
      </c>
      <c r="F38" s="45" t="s">
        <v>162</v>
      </c>
      <c r="G38">
        <v>20</v>
      </c>
      <c r="H38">
        <v>10</v>
      </c>
      <c r="I38" s="46">
        <f t="shared" si="11"/>
        <v>20</v>
      </c>
      <c r="J38">
        <v>10</v>
      </c>
      <c r="K38" s="82">
        <f t="shared" si="12"/>
        <v>2</v>
      </c>
      <c r="L38" s="22" t="s">
        <v>163</v>
      </c>
      <c r="M38" s="46">
        <f>71*63*43/1000000</f>
        <v>0.192339</v>
      </c>
      <c r="N38" s="83">
        <v>23.5</v>
      </c>
      <c r="O38" s="22">
        <f t="shared" si="13"/>
        <v>47</v>
      </c>
      <c r="P38" s="76">
        <f t="shared" si="14"/>
        <v>0.384678</v>
      </c>
    </row>
    <row r="39" customFormat="1" ht="15" spans="1:16">
      <c r="A39" t="s">
        <v>153</v>
      </c>
      <c r="C39" s="22" t="s">
        <v>155</v>
      </c>
      <c r="D39" s="47" t="s">
        <v>164</v>
      </c>
      <c r="E39" s="48" t="s">
        <v>165</v>
      </c>
      <c r="F39" s="45" t="s">
        <v>166</v>
      </c>
      <c r="G39">
        <v>10</v>
      </c>
      <c r="H39">
        <v>10</v>
      </c>
      <c r="I39" s="46">
        <f t="shared" si="11"/>
        <v>10</v>
      </c>
      <c r="J39">
        <v>10</v>
      </c>
      <c r="K39" s="82">
        <f t="shared" si="12"/>
        <v>1</v>
      </c>
      <c r="L39" s="34" t="s">
        <v>167</v>
      </c>
      <c r="M39" s="46">
        <f>82*67*47/1000000</f>
        <v>0.258218</v>
      </c>
      <c r="N39" s="83">
        <v>15</v>
      </c>
      <c r="O39" s="22">
        <f t="shared" si="13"/>
        <v>15</v>
      </c>
      <c r="P39" s="76">
        <f t="shared" si="14"/>
        <v>0.258218</v>
      </c>
    </row>
    <row r="40" customFormat="1" ht="14.25" spans="1:16">
      <c r="A40" t="s">
        <v>153</v>
      </c>
      <c r="C40" s="22" t="s">
        <v>168</v>
      </c>
      <c r="D40" s="22" t="s">
        <v>169</v>
      </c>
      <c r="E40" s="49" t="s">
        <v>170</v>
      </c>
      <c r="F40" s="22" t="s">
        <v>171</v>
      </c>
      <c r="G40" s="22">
        <v>20</v>
      </c>
      <c r="H40" s="22">
        <v>1</v>
      </c>
      <c r="I40" s="46">
        <f t="shared" si="11"/>
        <v>20</v>
      </c>
      <c r="J40" s="22">
        <v>1</v>
      </c>
      <c r="K40" s="82">
        <f t="shared" si="12"/>
        <v>20</v>
      </c>
      <c r="L40" s="22" t="s">
        <v>172</v>
      </c>
      <c r="M40" s="83">
        <v>0.223584</v>
      </c>
      <c r="N40" s="83">
        <v>9</v>
      </c>
      <c r="O40" s="22">
        <f t="shared" si="13"/>
        <v>180</v>
      </c>
      <c r="P40" s="76">
        <f t="shared" si="14"/>
        <v>4.47168</v>
      </c>
    </row>
    <row r="41" customFormat="1" ht="15" spans="1:16">
      <c r="A41" t="s">
        <v>153</v>
      </c>
      <c r="C41" t="s">
        <v>155</v>
      </c>
      <c r="D41" s="34" t="s">
        <v>173</v>
      </c>
      <c r="E41" s="34" t="s">
        <v>174</v>
      </c>
      <c r="F41" s="45" t="s">
        <v>175</v>
      </c>
      <c r="G41" s="46">
        <v>10</v>
      </c>
      <c r="H41" s="67">
        <v>10</v>
      </c>
      <c r="I41" s="46">
        <f t="shared" si="11"/>
        <v>10</v>
      </c>
      <c r="J41" s="67">
        <v>10</v>
      </c>
      <c r="K41" s="12">
        <f t="shared" si="12"/>
        <v>1</v>
      </c>
      <c r="L41" s="1" t="s">
        <v>159</v>
      </c>
      <c r="M41" s="81">
        <v>0.3034</v>
      </c>
      <c r="N41" s="81">
        <v>23.2</v>
      </c>
      <c r="O41" s="34">
        <f t="shared" si="13"/>
        <v>23.2</v>
      </c>
      <c r="P41" s="27">
        <f t="shared" si="14"/>
        <v>0.3034</v>
      </c>
    </row>
    <row r="42" s="34" customFormat="1" ht="15" spans="1:16">
      <c r="A42" t="s">
        <v>153</v>
      </c>
      <c r="C42" s="34" t="s">
        <v>176</v>
      </c>
      <c r="D42" s="34" t="s">
        <v>177</v>
      </c>
      <c r="E42" s="34" t="s">
        <v>178</v>
      </c>
      <c r="F42" s="45" t="s">
        <v>179</v>
      </c>
      <c r="G42" s="46">
        <v>10</v>
      </c>
      <c r="H42" s="67">
        <v>10</v>
      </c>
      <c r="I42" s="46">
        <f t="shared" si="11"/>
        <v>10</v>
      </c>
      <c r="J42" s="67">
        <v>10</v>
      </c>
      <c r="K42" s="12">
        <f t="shared" si="12"/>
        <v>1</v>
      </c>
      <c r="L42" s="1" t="s">
        <v>180</v>
      </c>
      <c r="M42" s="84">
        <v>0.303</v>
      </c>
      <c r="N42" s="84">
        <v>22.5</v>
      </c>
      <c r="O42" s="34">
        <f t="shared" si="13"/>
        <v>22.5</v>
      </c>
      <c r="P42" s="27">
        <f t="shared" si="14"/>
        <v>0.303</v>
      </c>
    </row>
    <row r="43" customFormat="1" spans="11:16">
      <c r="K43" s="12"/>
      <c r="P43" s="13"/>
    </row>
    <row r="44" customFormat="1" spans="11:16">
      <c r="K44" s="12"/>
      <c r="P44" s="13"/>
    </row>
    <row r="45" s="22" customFormat="1" spans="1:16">
      <c r="A45" t="s">
        <v>153</v>
      </c>
      <c r="B45" s="50" t="s">
        <v>181</v>
      </c>
      <c r="C45" s="22" t="s">
        <v>182</v>
      </c>
      <c r="D45" t="s">
        <v>183</v>
      </c>
      <c r="E45" s="22" t="s">
        <v>184</v>
      </c>
      <c r="F45" s="22" t="s">
        <v>92</v>
      </c>
      <c r="G45" s="24">
        <v>300</v>
      </c>
      <c r="H45" s="25">
        <v>30</v>
      </c>
      <c r="I45" s="24">
        <f t="shared" ref="I45:I48" si="15">G45</f>
        <v>300</v>
      </c>
      <c r="J45" s="25">
        <v>30</v>
      </c>
      <c r="K45" s="82">
        <f t="shared" ref="K45:K47" si="16">G45/H45</f>
        <v>10</v>
      </c>
      <c r="L45" s="31" t="s">
        <v>185</v>
      </c>
      <c r="M45" s="31">
        <v>0.011564</v>
      </c>
      <c r="N45" s="31">
        <v>10.5</v>
      </c>
      <c r="O45" s="31">
        <f>N45*K45</f>
        <v>105</v>
      </c>
      <c r="P45" s="75">
        <f>M45*K45</f>
        <v>0.11564</v>
      </c>
    </row>
    <row r="46" s="22" customFormat="1" spans="1:16">
      <c r="A46" t="s">
        <v>153</v>
      </c>
      <c r="C46" s="22" t="s">
        <v>186</v>
      </c>
      <c r="D46" s="51" t="s">
        <v>187</v>
      </c>
      <c r="E46" s="22" t="s">
        <v>188</v>
      </c>
      <c r="F46" s="22" t="s">
        <v>189</v>
      </c>
      <c r="G46" s="24">
        <v>1000</v>
      </c>
      <c r="H46" s="25">
        <v>20</v>
      </c>
      <c r="I46" s="24">
        <f t="shared" si="15"/>
        <v>1000</v>
      </c>
      <c r="J46" s="25">
        <v>20</v>
      </c>
      <c r="K46" s="82">
        <f t="shared" si="16"/>
        <v>50</v>
      </c>
      <c r="L46" s="31" t="s">
        <v>190</v>
      </c>
      <c r="M46" s="31">
        <v>0.05544</v>
      </c>
      <c r="N46" s="31">
        <v>20.4</v>
      </c>
      <c r="O46" s="31">
        <f>N46*K46</f>
        <v>1020</v>
      </c>
      <c r="P46" s="75">
        <f>M46*K46</f>
        <v>2.772</v>
      </c>
    </row>
    <row r="47" s="22" customFormat="1" spans="1:16">
      <c r="A47" t="s">
        <v>153</v>
      </c>
      <c r="C47" t="s">
        <v>182</v>
      </c>
      <c r="D47" s="52" t="s">
        <v>191</v>
      </c>
      <c r="E47" s="52" t="s">
        <v>192</v>
      </c>
      <c r="F47" s="22" t="s">
        <v>96</v>
      </c>
      <c r="G47" s="24">
        <v>300</v>
      </c>
      <c r="H47" s="31">
        <v>15</v>
      </c>
      <c r="I47" s="24">
        <f t="shared" si="15"/>
        <v>300</v>
      </c>
      <c r="J47" s="31">
        <v>30</v>
      </c>
      <c r="K47" s="82">
        <f t="shared" si="16"/>
        <v>20</v>
      </c>
      <c r="L47" s="31" t="s">
        <v>185</v>
      </c>
      <c r="M47" s="31">
        <v>0.011368</v>
      </c>
      <c r="N47" s="31">
        <v>5.57</v>
      </c>
      <c r="O47" s="31">
        <f>K47*N47</f>
        <v>111.4</v>
      </c>
      <c r="P47" s="52">
        <f>K47*M47</f>
        <v>0.22736</v>
      </c>
    </row>
    <row r="48" s="22" customFormat="1" ht="15" customHeight="1" spans="1:16">
      <c r="A48" t="s">
        <v>153</v>
      </c>
      <c r="C48"/>
      <c r="D48" s="52"/>
      <c r="E48" s="52"/>
      <c r="F48" s="22" t="s">
        <v>193</v>
      </c>
      <c r="G48" s="24"/>
      <c r="H48" s="31"/>
      <c r="I48" s="24">
        <v>300</v>
      </c>
      <c r="J48" s="31"/>
      <c r="K48" s="82"/>
      <c r="L48" s="31" t="s">
        <v>185</v>
      </c>
      <c r="M48" s="31"/>
      <c r="N48" s="31"/>
      <c r="O48" s="31"/>
      <c r="P48" s="52"/>
    </row>
    <row r="49" customFormat="1" spans="1:16">
      <c r="A49" s="13" t="s">
        <v>194</v>
      </c>
      <c r="B49" s="26" t="s">
        <v>18</v>
      </c>
      <c r="C49" s="27" t="s">
        <v>195</v>
      </c>
      <c r="D49" s="13" t="s">
        <v>196</v>
      </c>
      <c r="E49" s="13" t="s">
        <v>197</v>
      </c>
      <c r="F49" s="13" t="s">
        <v>198</v>
      </c>
      <c r="G49" s="28">
        <v>720</v>
      </c>
      <c r="H49" s="29">
        <v>6</v>
      </c>
      <c r="I49" s="29">
        <f>G49*6</f>
        <v>4320</v>
      </c>
      <c r="J49" s="29">
        <v>36</v>
      </c>
      <c r="K49" s="12">
        <f>G49/H49</f>
        <v>120</v>
      </c>
      <c r="L49" s="27" t="s">
        <v>199</v>
      </c>
      <c r="M49" s="13">
        <f>(61.5*31.5*36)/1000000</f>
        <v>0.069741</v>
      </c>
      <c r="N49" s="13">
        <v>12.1</v>
      </c>
      <c r="O49" s="13">
        <f>N49*K49</f>
        <v>1452</v>
      </c>
      <c r="P49" s="13">
        <f>M49*K49</f>
        <v>8.36892</v>
      </c>
    </row>
    <row r="50" customFormat="1" ht="15" customHeight="1" spans="4:16">
      <c r="D50" s="13"/>
      <c r="E50" s="13"/>
      <c r="G50" s="68"/>
      <c r="H50" s="28"/>
      <c r="I50" s="68"/>
      <c r="J50" s="28"/>
      <c r="K50" s="12"/>
      <c r="L50" s="28"/>
      <c r="M50" s="28"/>
      <c r="N50" s="28"/>
      <c r="O50" s="28"/>
      <c r="P50" s="13"/>
    </row>
    <row r="51" customFormat="1" ht="15" customHeight="1" spans="4:16">
      <c r="D51" s="13"/>
      <c r="E51" s="13"/>
      <c r="G51" s="68"/>
      <c r="H51" s="28"/>
      <c r="I51" s="68"/>
      <c r="J51" s="28"/>
      <c r="K51" s="12"/>
      <c r="L51" s="28"/>
      <c r="M51" s="28"/>
      <c r="N51" s="28"/>
      <c r="O51" s="28"/>
      <c r="P51" s="13"/>
    </row>
    <row r="52" customFormat="1" spans="11:16">
      <c r="K52" s="12"/>
      <c r="P52" s="13"/>
    </row>
    <row r="53" customFormat="1" spans="1:16">
      <c r="A53" t="s">
        <v>153</v>
      </c>
      <c r="B53" s="6" t="s">
        <v>200</v>
      </c>
      <c r="C53" t="s">
        <v>201</v>
      </c>
      <c r="D53" t="s">
        <v>202</v>
      </c>
      <c r="E53" t="s">
        <v>203</v>
      </c>
      <c r="F53" t="s">
        <v>204</v>
      </c>
      <c r="G53" s="34">
        <v>240</v>
      </c>
      <c r="H53">
        <v>12</v>
      </c>
      <c r="I53" s="22">
        <f t="shared" ref="I53:I57" si="17">G53</f>
        <v>240</v>
      </c>
      <c r="J53">
        <v>12</v>
      </c>
      <c r="K53" s="12">
        <f t="shared" ref="K53:K57" si="18">G53/H53</f>
        <v>20</v>
      </c>
      <c r="L53" t="s">
        <v>205</v>
      </c>
      <c r="M53">
        <v>0.0726</v>
      </c>
      <c r="N53">
        <v>10.89</v>
      </c>
      <c r="O53" s="31">
        <f t="shared" ref="O53:O57" si="19">N53*K53</f>
        <v>217.8</v>
      </c>
      <c r="P53" s="75">
        <f t="shared" ref="P53:P57" si="20">M53*K53</f>
        <v>1.452</v>
      </c>
    </row>
    <row r="54" s="25" customFormat="1" ht="14.25" spans="1:16">
      <c r="A54" t="s">
        <v>153</v>
      </c>
      <c r="C54" s="25" t="s">
        <v>182</v>
      </c>
      <c r="D54" s="25" t="s">
        <v>206</v>
      </c>
      <c r="E54" s="25" t="s">
        <v>207</v>
      </c>
      <c r="F54" s="25" t="s">
        <v>92</v>
      </c>
      <c r="G54" s="24">
        <v>180</v>
      </c>
      <c r="H54" s="25">
        <v>30</v>
      </c>
      <c r="I54" s="46">
        <f t="shared" si="17"/>
        <v>180</v>
      </c>
      <c r="J54" s="25">
        <v>30</v>
      </c>
      <c r="K54" s="12">
        <f t="shared" si="18"/>
        <v>6</v>
      </c>
      <c r="L54" s="31" t="s">
        <v>185</v>
      </c>
      <c r="M54" s="31">
        <v>0.011564</v>
      </c>
      <c r="N54" s="31">
        <v>10.5</v>
      </c>
      <c r="O54" s="31">
        <f t="shared" si="19"/>
        <v>63</v>
      </c>
      <c r="P54" s="75">
        <f t="shared" si="20"/>
        <v>0.069384</v>
      </c>
    </row>
    <row r="55" s="34" customFormat="1" ht="14.25" spans="1:16">
      <c r="A55" t="s">
        <v>153</v>
      </c>
      <c r="C55" s="25" t="s">
        <v>182</v>
      </c>
      <c r="D55" s="25" t="s">
        <v>208</v>
      </c>
      <c r="E55" s="25" t="s">
        <v>209</v>
      </c>
      <c r="F55" s="69" t="s">
        <v>96</v>
      </c>
      <c r="G55" s="34">
        <v>180</v>
      </c>
      <c r="H55" s="34">
        <v>30</v>
      </c>
      <c r="I55" s="46">
        <f t="shared" si="17"/>
        <v>180</v>
      </c>
      <c r="J55" s="34">
        <v>30</v>
      </c>
      <c r="K55" s="12">
        <f t="shared" si="18"/>
        <v>6</v>
      </c>
      <c r="L55" s="31" t="s">
        <v>185</v>
      </c>
      <c r="M55" s="31">
        <v>0.011564</v>
      </c>
      <c r="N55" s="31">
        <v>10.5</v>
      </c>
      <c r="O55" s="31">
        <f t="shared" si="19"/>
        <v>63</v>
      </c>
      <c r="P55" s="75">
        <f t="shared" si="20"/>
        <v>0.069384</v>
      </c>
    </row>
    <row r="56" s="22" customFormat="1" spans="1:16">
      <c r="A56" t="s">
        <v>153</v>
      </c>
      <c r="C56" s="22" t="s">
        <v>182</v>
      </c>
      <c r="D56" s="51" t="s">
        <v>210</v>
      </c>
      <c r="E56" s="22" t="s">
        <v>211</v>
      </c>
      <c r="F56" s="69" t="s">
        <v>193</v>
      </c>
      <c r="G56" s="24">
        <v>120</v>
      </c>
      <c r="H56" s="25">
        <v>30</v>
      </c>
      <c r="I56" s="24">
        <f t="shared" si="17"/>
        <v>120</v>
      </c>
      <c r="J56" s="25">
        <v>30</v>
      </c>
      <c r="K56" s="82">
        <f t="shared" si="18"/>
        <v>4</v>
      </c>
      <c r="L56" s="31" t="s">
        <v>185</v>
      </c>
      <c r="M56" s="31">
        <v>0.011564</v>
      </c>
      <c r="N56" s="31">
        <v>10.5</v>
      </c>
      <c r="O56" s="31">
        <f t="shared" si="19"/>
        <v>42</v>
      </c>
      <c r="P56" s="75">
        <f t="shared" si="20"/>
        <v>0.046256</v>
      </c>
    </row>
    <row r="57" s="35" customFormat="1" spans="1:16">
      <c r="A57" s="35" t="s">
        <v>153</v>
      </c>
      <c r="B57" s="54"/>
      <c r="C57" s="54" t="s">
        <v>212</v>
      </c>
      <c r="D57" s="54" t="s">
        <v>213</v>
      </c>
      <c r="E57" s="54" t="s">
        <v>214</v>
      </c>
      <c r="F57" s="54" t="s">
        <v>215</v>
      </c>
      <c r="G57" s="54">
        <v>120</v>
      </c>
      <c r="H57" s="54">
        <v>40</v>
      </c>
      <c r="I57" s="54">
        <f t="shared" si="17"/>
        <v>120</v>
      </c>
      <c r="J57" s="54">
        <f t="shared" ref="J57:J64" si="21">H57</f>
        <v>40</v>
      </c>
      <c r="K57" s="85">
        <f t="shared" si="18"/>
        <v>3</v>
      </c>
      <c r="L57" s="54" t="s">
        <v>216</v>
      </c>
      <c r="M57" s="54">
        <v>0.036</v>
      </c>
      <c r="N57" s="54">
        <v>2.5</v>
      </c>
      <c r="O57" s="54">
        <f t="shared" si="19"/>
        <v>7.5</v>
      </c>
      <c r="P57" s="73">
        <f t="shared" si="20"/>
        <v>0.108</v>
      </c>
    </row>
    <row r="58" s="35" customFormat="1" spans="11:16">
      <c r="K58" s="72"/>
      <c r="P58" s="74"/>
    </row>
    <row r="59" customFormat="1" spans="11:16">
      <c r="K59" s="12"/>
      <c r="P59" s="13"/>
    </row>
    <row r="60" s="35" customFormat="1" spans="1:16">
      <c r="A60" t="s">
        <v>153</v>
      </c>
      <c r="B60" s="55" t="s">
        <v>217</v>
      </c>
      <c r="C60" s="54" t="s">
        <v>218</v>
      </c>
      <c r="D60" s="54" t="s">
        <v>219</v>
      </c>
      <c r="E60" s="54" t="s">
        <v>220</v>
      </c>
      <c r="F60" s="54" t="s">
        <v>221</v>
      </c>
      <c r="G60" s="54">
        <v>200</v>
      </c>
      <c r="H60" s="54">
        <v>4</v>
      </c>
      <c r="I60" s="54">
        <f t="shared" ref="I60:I64" si="22">G60</f>
        <v>200</v>
      </c>
      <c r="J60" s="54">
        <f t="shared" si="21"/>
        <v>4</v>
      </c>
      <c r="K60" s="85">
        <f t="shared" ref="K60:K64" si="23">G60/H60</f>
        <v>50</v>
      </c>
      <c r="L60" s="54" t="s">
        <v>222</v>
      </c>
      <c r="M60" s="54">
        <v>0.077616</v>
      </c>
      <c r="N60" s="54">
        <v>15</v>
      </c>
      <c r="O60" s="54">
        <f t="shared" ref="O60:O64" si="24">N60*K60</f>
        <v>750</v>
      </c>
      <c r="P60" s="73">
        <f t="shared" ref="P60:P64" si="25">M60*K60</f>
        <v>3.8808</v>
      </c>
    </row>
    <row r="61" s="35" customFormat="1" spans="1:16">
      <c r="A61" t="s">
        <v>153</v>
      </c>
      <c r="B61" s="54"/>
      <c r="C61" s="54" t="s">
        <v>223</v>
      </c>
      <c r="D61" s="54" t="s">
        <v>224</v>
      </c>
      <c r="E61" s="54" t="s">
        <v>225</v>
      </c>
      <c r="F61" s="54" t="s">
        <v>226</v>
      </c>
      <c r="G61" s="54">
        <v>100</v>
      </c>
      <c r="H61" s="54">
        <v>20</v>
      </c>
      <c r="I61" s="54">
        <f t="shared" si="22"/>
        <v>100</v>
      </c>
      <c r="J61" s="54">
        <f t="shared" si="21"/>
        <v>20</v>
      </c>
      <c r="K61" s="85">
        <f t="shared" si="23"/>
        <v>5</v>
      </c>
      <c r="L61" s="54" t="s">
        <v>227</v>
      </c>
      <c r="M61" s="54">
        <v>0.068</v>
      </c>
      <c r="N61" s="54">
        <v>3.2</v>
      </c>
      <c r="O61" s="54">
        <f t="shared" si="24"/>
        <v>16</v>
      </c>
      <c r="P61" s="73">
        <f t="shared" si="25"/>
        <v>0.34</v>
      </c>
    </row>
    <row r="62" s="35" customFormat="1" spans="1:16">
      <c r="A62" t="s">
        <v>153</v>
      </c>
      <c r="B62" s="54"/>
      <c r="C62" s="54" t="s">
        <v>228</v>
      </c>
      <c r="D62" s="54" t="s">
        <v>229</v>
      </c>
      <c r="E62" s="54" t="s">
        <v>230</v>
      </c>
      <c r="F62" s="54" t="s">
        <v>231</v>
      </c>
      <c r="G62" s="54">
        <v>100</v>
      </c>
      <c r="H62" s="54">
        <v>20</v>
      </c>
      <c r="I62" s="54">
        <f t="shared" si="22"/>
        <v>100</v>
      </c>
      <c r="J62" s="54">
        <f t="shared" si="21"/>
        <v>20</v>
      </c>
      <c r="K62" s="85">
        <f t="shared" si="23"/>
        <v>5</v>
      </c>
      <c r="L62" s="54" t="s">
        <v>232</v>
      </c>
      <c r="M62" s="54">
        <v>0.035</v>
      </c>
      <c r="N62" s="54">
        <v>2.6</v>
      </c>
      <c r="O62" s="54">
        <f t="shared" si="24"/>
        <v>13</v>
      </c>
      <c r="P62" s="73">
        <f t="shared" si="25"/>
        <v>0.175</v>
      </c>
    </row>
    <row r="63" s="35" customFormat="1" spans="1:16">
      <c r="A63" t="s">
        <v>153</v>
      </c>
      <c r="B63" s="54"/>
      <c r="C63" s="54" t="s">
        <v>233</v>
      </c>
      <c r="D63" s="54" t="s">
        <v>234</v>
      </c>
      <c r="E63" s="54" t="s">
        <v>235</v>
      </c>
      <c r="F63" s="54" t="s">
        <v>236</v>
      </c>
      <c r="G63" s="54">
        <v>200</v>
      </c>
      <c r="H63" s="54">
        <v>50</v>
      </c>
      <c r="I63" s="54">
        <f t="shared" si="22"/>
        <v>200</v>
      </c>
      <c r="J63" s="54">
        <f t="shared" si="21"/>
        <v>50</v>
      </c>
      <c r="K63" s="85">
        <f t="shared" si="23"/>
        <v>4</v>
      </c>
      <c r="L63" s="54" t="s">
        <v>237</v>
      </c>
      <c r="M63" s="54">
        <v>0.055944</v>
      </c>
      <c r="N63" s="54">
        <v>19.3</v>
      </c>
      <c r="O63" s="54">
        <f t="shared" si="24"/>
        <v>77.2</v>
      </c>
      <c r="P63" s="73">
        <f t="shared" si="25"/>
        <v>0.223776</v>
      </c>
    </row>
    <row r="64" s="35" customFormat="1" spans="1:16">
      <c r="A64" s="35" t="s">
        <v>153</v>
      </c>
      <c r="B64" s="54"/>
      <c r="C64" s="54" t="s">
        <v>238</v>
      </c>
      <c r="D64" s="54" t="s">
        <v>239</v>
      </c>
      <c r="E64" s="54" t="s">
        <v>240</v>
      </c>
      <c r="F64" s="54" t="s">
        <v>241</v>
      </c>
      <c r="G64" s="54">
        <v>120</v>
      </c>
      <c r="H64" s="54">
        <v>40</v>
      </c>
      <c r="I64" s="54">
        <f t="shared" si="22"/>
        <v>120</v>
      </c>
      <c r="J64" s="54">
        <f t="shared" si="21"/>
        <v>40</v>
      </c>
      <c r="K64" s="85">
        <f t="shared" si="23"/>
        <v>3</v>
      </c>
      <c r="L64" s="54" t="s">
        <v>242</v>
      </c>
      <c r="M64" s="54">
        <v>0.07</v>
      </c>
      <c r="N64" s="54">
        <v>13.8</v>
      </c>
      <c r="O64" s="54">
        <f t="shared" si="24"/>
        <v>41.4</v>
      </c>
      <c r="P64" s="73">
        <f t="shared" si="25"/>
        <v>0.21</v>
      </c>
    </row>
    <row r="65" customFormat="1" spans="11:16">
      <c r="K65" s="12"/>
      <c r="L65" s="13"/>
      <c r="M65" s="13"/>
      <c r="N65" s="13"/>
      <c r="O65" s="13"/>
      <c r="P65" s="13"/>
    </row>
    <row r="66" spans="11:11">
      <c r="K66" s="12"/>
    </row>
    <row r="67" spans="11:11">
      <c r="K67" s="12"/>
    </row>
    <row r="68" spans="2:11">
      <c r="B68" s="6" t="s">
        <v>243</v>
      </c>
      <c r="K68" s="12"/>
    </row>
    <row r="69" ht="14.25" spans="1:16">
      <c r="A69" s="7" t="s">
        <v>244</v>
      </c>
      <c r="C69" s="7" t="s">
        <v>245</v>
      </c>
      <c r="D69" s="7" t="s">
        <v>246</v>
      </c>
      <c r="E69" s="18" t="s">
        <v>247</v>
      </c>
      <c r="F69" s="19" t="s">
        <v>248</v>
      </c>
      <c r="G69" s="19">
        <v>60</v>
      </c>
      <c r="H69" s="19">
        <v>12</v>
      </c>
      <c r="I69" s="19">
        <f>G69</f>
        <v>60</v>
      </c>
      <c r="J69" s="19">
        <v>12</v>
      </c>
      <c r="K69" s="14">
        <f>G69/J69</f>
        <v>5</v>
      </c>
      <c r="L69" s="20" t="s">
        <v>249</v>
      </c>
      <c r="M69" s="15">
        <v>0.063</v>
      </c>
      <c r="N69" s="15">
        <v>9.63</v>
      </c>
      <c r="O69" s="21">
        <f>N69*K69</f>
        <v>48.15</v>
      </c>
      <c r="P69" s="20">
        <f>M69*K69</f>
        <v>0.315</v>
      </c>
    </row>
    <row r="70" ht="14.25" spans="1:16">
      <c r="A70" s="7" t="s">
        <v>244</v>
      </c>
      <c r="C70" s="7" t="s">
        <v>250</v>
      </c>
      <c r="D70" s="7" t="s">
        <v>251</v>
      </c>
      <c r="E70" s="19" t="s">
        <v>252</v>
      </c>
      <c r="F70" s="19" t="s">
        <v>253</v>
      </c>
      <c r="G70" s="19">
        <v>42</v>
      </c>
      <c r="H70" s="19">
        <v>14</v>
      </c>
      <c r="I70" s="19">
        <f>G70</f>
        <v>42</v>
      </c>
      <c r="J70" s="19">
        <v>14</v>
      </c>
      <c r="K70" s="14">
        <f>G70/J70</f>
        <v>3</v>
      </c>
      <c r="L70" s="20" t="s">
        <v>254</v>
      </c>
      <c r="M70" s="15">
        <f>(57*30*36)/1000000</f>
        <v>0.06156</v>
      </c>
      <c r="N70" s="15">
        <v>10.97</v>
      </c>
      <c r="O70" s="21">
        <f>N70*K70</f>
        <v>32.91</v>
      </c>
      <c r="P70" s="20">
        <f>M70*K70</f>
        <v>0.18468</v>
      </c>
    </row>
    <row r="71" ht="14.25" spans="1:16">
      <c r="A71" s="7" t="s">
        <v>244</v>
      </c>
      <c r="C71" s="7" t="s">
        <v>255</v>
      </c>
      <c r="D71" s="18" t="s">
        <v>256</v>
      </c>
      <c r="E71" s="19" t="s">
        <v>257</v>
      </c>
      <c r="F71" s="19" t="s">
        <v>258</v>
      </c>
      <c r="G71" s="19">
        <v>100</v>
      </c>
      <c r="H71" s="19">
        <v>10</v>
      </c>
      <c r="I71" s="19">
        <f>G71</f>
        <v>100</v>
      </c>
      <c r="J71" s="19">
        <v>10</v>
      </c>
      <c r="K71" s="14">
        <f>G71/J71</f>
        <v>10</v>
      </c>
      <c r="L71" s="20" t="s">
        <v>259</v>
      </c>
      <c r="M71" s="15">
        <v>0.06</v>
      </c>
      <c r="N71" s="15">
        <v>11.15</v>
      </c>
      <c r="O71" s="15">
        <f>N71*K71</f>
        <v>111.5</v>
      </c>
      <c r="P71" s="15">
        <f>M71*K71</f>
        <v>0.6</v>
      </c>
    </row>
    <row r="72" ht="14.25" spans="1:16">
      <c r="A72" s="7" t="s">
        <v>244</v>
      </c>
      <c r="C72" s="7" t="s">
        <v>255</v>
      </c>
      <c r="D72" s="18" t="s">
        <v>260</v>
      </c>
      <c r="E72" s="18" t="s">
        <v>261</v>
      </c>
      <c r="F72" s="19" t="s">
        <v>258</v>
      </c>
      <c r="G72" s="19">
        <v>80</v>
      </c>
      <c r="H72" s="19">
        <v>10</v>
      </c>
      <c r="I72" s="19">
        <f>G72</f>
        <v>80</v>
      </c>
      <c r="J72" s="19">
        <v>10</v>
      </c>
      <c r="K72" s="14">
        <f>G72/J72</f>
        <v>8</v>
      </c>
      <c r="L72" s="20" t="s">
        <v>259</v>
      </c>
      <c r="M72" s="15">
        <v>0.06</v>
      </c>
      <c r="N72" s="15">
        <v>11.15</v>
      </c>
      <c r="O72" s="15">
        <f>N72*K72</f>
        <v>89.2</v>
      </c>
      <c r="P72" s="15">
        <f>M72*K72</f>
        <v>0.48</v>
      </c>
    </row>
    <row r="73" ht="14.25" spans="1:16">
      <c r="A73" s="7" t="s">
        <v>244</v>
      </c>
      <c r="C73" s="7" t="s">
        <v>262</v>
      </c>
      <c r="D73" s="19" t="s">
        <v>263</v>
      </c>
      <c r="E73" s="19" t="s">
        <v>264</v>
      </c>
      <c r="F73" s="19" t="s">
        <v>265</v>
      </c>
      <c r="G73" s="19">
        <v>60</v>
      </c>
      <c r="H73" s="19">
        <v>10</v>
      </c>
      <c r="I73" s="19">
        <f>G73</f>
        <v>60</v>
      </c>
      <c r="J73" s="19">
        <v>10</v>
      </c>
      <c r="K73" s="14">
        <f>G73/J73</f>
        <v>6</v>
      </c>
      <c r="L73" s="15" t="s">
        <v>266</v>
      </c>
      <c r="M73" s="15">
        <v>0.062</v>
      </c>
      <c r="N73" s="15">
        <v>12</v>
      </c>
      <c r="O73" s="15">
        <f>N73*K73</f>
        <v>72</v>
      </c>
      <c r="P73" s="15">
        <f>M73*K73</f>
        <v>0.372</v>
      </c>
    </row>
    <row r="74" spans="11:11">
      <c r="K74" s="12"/>
    </row>
    <row r="75" spans="2:11">
      <c r="B75" s="6" t="s">
        <v>267</v>
      </c>
      <c r="K75" s="12"/>
    </row>
    <row r="76" ht="14.25" spans="1:16">
      <c r="A76" s="7" t="s">
        <v>244</v>
      </c>
      <c r="C76" s="7" t="s">
        <v>268</v>
      </c>
      <c r="D76" s="7" t="s">
        <v>269</v>
      </c>
      <c r="E76" s="7" t="s">
        <v>270</v>
      </c>
      <c r="F76" s="7" t="s">
        <v>258</v>
      </c>
      <c r="G76" s="8">
        <v>100</v>
      </c>
      <c r="H76" s="8">
        <v>10</v>
      </c>
      <c r="I76" s="8">
        <f t="shared" ref="I76:I79" si="26">G76</f>
        <v>100</v>
      </c>
      <c r="J76" s="8">
        <v>10</v>
      </c>
      <c r="K76" s="14">
        <f t="shared" ref="K76:K79" si="27">G76/H76</f>
        <v>10</v>
      </c>
      <c r="L76" s="15" t="s">
        <v>266</v>
      </c>
      <c r="M76" s="15">
        <v>0.06</v>
      </c>
      <c r="N76" s="15">
        <v>11.15</v>
      </c>
      <c r="O76" s="15">
        <f t="shared" ref="O76:O79" si="28">N76*K76</f>
        <v>111.5</v>
      </c>
      <c r="P76" s="15">
        <f>M76*K76</f>
        <v>0.6</v>
      </c>
    </row>
    <row r="77" ht="14.25" spans="1:16">
      <c r="A77" s="7" t="s">
        <v>244</v>
      </c>
      <c r="C77" s="7" t="s">
        <v>271</v>
      </c>
      <c r="D77" s="7" t="s">
        <v>272</v>
      </c>
      <c r="E77" s="7" t="s">
        <v>273</v>
      </c>
      <c r="F77" s="7" t="s">
        <v>274</v>
      </c>
      <c r="G77" s="8">
        <v>100</v>
      </c>
      <c r="H77" s="8">
        <v>10</v>
      </c>
      <c r="I77" s="8">
        <f t="shared" si="26"/>
        <v>100</v>
      </c>
      <c r="J77" s="8">
        <v>10</v>
      </c>
      <c r="K77" s="14">
        <f t="shared" si="27"/>
        <v>10</v>
      </c>
      <c r="L77" s="15" t="s">
        <v>266</v>
      </c>
      <c r="M77" s="15">
        <v>0.062</v>
      </c>
      <c r="N77" s="15">
        <v>11.25</v>
      </c>
      <c r="O77" s="15">
        <f t="shared" si="28"/>
        <v>112.5</v>
      </c>
      <c r="P77" s="15">
        <f>K77*M77</f>
        <v>0.62</v>
      </c>
    </row>
    <row r="78" ht="14.25" spans="1:16">
      <c r="A78" s="7" t="s">
        <v>244</v>
      </c>
      <c r="C78" s="7" t="s">
        <v>271</v>
      </c>
      <c r="D78" s="7" t="s">
        <v>275</v>
      </c>
      <c r="E78" s="7" t="s">
        <v>276</v>
      </c>
      <c r="F78" s="7" t="s">
        <v>277</v>
      </c>
      <c r="G78" s="8">
        <v>60</v>
      </c>
      <c r="H78" s="8">
        <v>6</v>
      </c>
      <c r="I78" s="8">
        <f t="shared" si="26"/>
        <v>60</v>
      </c>
      <c r="J78" s="8">
        <v>6</v>
      </c>
      <c r="K78" s="14">
        <f t="shared" si="27"/>
        <v>10</v>
      </c>
      <c r="L78" s="15" t="s">
        <v>278</v>
      </c>
      <c r="M78" s="15">
        <v>0.066</v>
      </c>
      <c r="N78" s="15">
        <v>12</v>
      </c>
      <c r="O78" s="15">
        <f t="shared" si="28"/>
        <v>120</v>
      </c>
      <c r="P78" s="15">
        <f>K78*M78</f>
        <v>0.66</v>
      </c>
    </row>
    <row r="79" ht="14.25" spans="1:16">
      <c r="A79" s="7" t="s">
        <v>244</v>
      </c>
      <c r="C79" s="7" t="s">
        <v>279</v>
      </c>
      <c r="D79" s="7" t="s">
        <v>280</v>
      </c>
      <c r="E79" s="7" t="s">
        <v>281</v>
      </c>
      <c r="F79" s="7" t="s">
        <v>253</v>
      </c>
      <c r="G79" s="7">
        <v>28</v>
      </c>
      <c r="H79" s="8">
        <v>14</v>
      </c>
      <c r="I79" s="8">
        <f t="shared" si="26"/>
        <v>28</v>
      </c>
      <c r="J79" s="8">
        <v>14</v>
      </c>
      <c r="K79" s="14">
        <f t="shared" si="27"/>
        <v>2</v>
      </c>
      <c r="L79" s="15" t="s">
        <v>266</v>
      </c>
      <c r="M79" s="15">
        <v>0.061</v>
      </c>
      <c r="N79" s="15">
        <v>13</v>
      </c>
      <c r="O79" s="15">
        <f t="shared" si="28"/>
        <v>26</v>
      </c>
      <c r="P79" s="15">
        <f>K79*M79</f>
        <v>0.122</v>
      </c>
    </row>
    <row r="80" customFormat="1" ht="14.25" spans="1:16">
      <c r="A80" s="7"/>
      <c r="C80" s="7"/>
      <c r="D80" s="7"/>
      <c r="E80" s="7"/>
      <c r="F80" s="7"/>
      <c r="G80" s="7"/>
      <c r="H80" s="8"/>
      <c r="I80" s="8"/>
      <c r="J80" s="8"/>
      <c r="K80" s="14"/>
      <c r="L80" s="15"/>
      <c r="M80" s="15"/>
      <c r="N80" s="15"/>
      <c r="O80" s="15"/>
      <c r="P80" s="15"/>
    </row>
    <row r="81" customFormat="1" ht="14.25" spans="1:16">
      <c r="A81" s="7" t="s">
        <v>282</v>
      </c>
      <c r="B81" s="26" t="s">
        <v>283</v>
      </c>
      <c r="C81" s="7" t="s">
        <v>284</v>
      </c>
      <c r="D81" s="7" t="s">
        <v>285</v>
      </c>
      <c r="E81" s="7" t="s">
        <v>286</v>
      </c>
      <c r="F81" s="7" t="s">
        <v>287</v>
      </c>
      <c r="G81" s="7">
        <v>620</v>
      </c>
      <c r="H81" s="7">
        <v>4</v>
      </c>
      <c r="I81" s="7">
        <v>620</v>
      </c>
      <c r="J81" s="7">
        <v>24</v>
      </c>
      <c r="K81" s="14">
        <v>155</v>
      </c>
      <c r="L81" s="7" t="s">
        <v>288</v>
      </c>
      <c r="M81" s="15">
        <v>0.077112</v>
      </c>
      <c r="N81" s="15">
        <v>7.8</v>
      </c>
      <c r="O81" s="15">
        <f>N81*K81</f>
        <v>1209</v>
      </c>
      <c r="P81" s="15">
        <f>M81*K81</f>
        <v>11.95236</v>
      </c>
    </row>
    <row r="82" ht="14.25" spans="1:16">
      <c r="A82" s="7"/>
      <c r="C82" s="7"/>
      <c r="D82" s="7"/>
      <c r="E82" s="7"/>
      <c r="F82" s="7"/>
      <c r="G82" s="7"/>
      <c r="H82" s="8"/>
      <c r="I82" s="8"/>
      <c r="J82" s="8"/>
      <c r="K82" s="14"/>
      <c r="L82" s="15"/>
      <c r="M82" s="15"/>
      <c r="N82" s="15"/>
      <c r="O82" s="15"/>
      <c r="P82" s="15"/>
    </row>
    <row r="83" ht="14.25" spans="1:16">
      <c r="A83" s="7"/>
      <c r="C83" s="7"/>
      <c r="D83" s="7"/>
      <c r="E83" s="7"/>
      <c r="F83" s="7"/>
      <c r="G83" s="7"/>
      <c r="H83" s="8"/>
      <c r="I83" s="8"/>
      <c r="J83" s="8"/>
      <c r="K83" s="14"/>
      <c r="L83" s="15"/>
      <c r="M83" s="15"/>
      <c r="N83" s="15"/>
      <c r="O83" s="15"/>
      <c r="P83" s="15"/>
    </row>
    <row r="84" ht="14.25" spans="1:16">
      <c r="A84" s="1" t="s">
        <v>289</v>
      </c>
      <c r="B84" s="36" t="s">
        <v>290</v>
      </c>
      <c r="C84" s="1" t="s">
        <v>176</v>
      </c>
      <c r="D84" s="59" t="s">
        <v>291</v>
      </c>
      <c r="E84" s="60" t="s">
        <v>292</v>
      </c>
      <c r="F84" s="60" t="s">
        <v>179</v>
      </c>
      <c r="G84" s="8">
        <v>50</v>
      </c>
      <c r="H84" s="8">
        <v>10</v>
      </c>
      <c r="I84" s="8">
        <f>G84</f>
        <v>50</v>
      </c>
      <c r="J84" s="8">
        <v>10</v>
      </c>
      <c r="K84" s="86">
        <f t="shared" ref="K84:K88" si="29">G84/H84</f>
        <v>5</v>
      </c>
      <c r="L84" s="1" t="s">
        <v>293</v>
      </c>
      <c r="M84" s="87">
        <v>0.295776</v>
      </c>
      <c r="N84" s="87">
        <v>17.9</v>
      </c>
      <c r="O84" s="88">
        <f>N84*K84</f>
        <v>89.5</v>
      </c>
      <c r="P84" s="20">
        <f t="shared" ref="P84:P87" si="30">K84*M84</f>
        <v>1.47888</v>
      </c>
    </row>
    <row r="85" ht="14.25" spans="1:16">
      <c r="A85" s="1" t="s">
        <v>289</v>
      </c>
      <c r="B85" s="36" t="s">
        <v>290</v>
      </c>
      <c r="C85" s="1" t="s">
        <v>176</v>
      </c>
      <c r="D85" s="61" t="s">
        <v>294</v>
      </c>
      <c r="E85" s="62" t="s">
        <v>295</v>
      </c>
      <c r="F85" s="63" t="s">
        <v>296</v>
      </c>
      <c r="G85" s="8">
        <v>10</v>
      </c>
      <c r="H85" s="8">
        <v>6</v>
      </c>
      <c r="I85" s="8">
        <f>G85</f>
        <v>10</v>
      </c>
      <c r="J85" s="8">
        <v>6</v>
      </c>
      <c r="K85" s="86">
        <v>2</v>
      </c>
      <c r="L85" s="1" t="s">
        <v>297</v>
      </c>
      <c r="M85" s="31">
        <v>0.3034</v>
      </c>
      <c r="N85" s="31">
        <v>13.67</v>
      </c>
      <c r="O85" s="88">
        <f>N85*K85</f>
        <v>27.34</v>
      </c>
      <c r="P85" s="20">
        <f t="shared" si="30"/>
        <v>0.6068</v>
      </c>
    </row>
    <row r="86" ht="14.25" spans="1:16">
      <c r="A86" s="1" t="s">
        <v>289</v>
      </c>
      <c r="B86" s="36" t="s">
        <v>290</v>
      </c>
      <c r="C86" s="1" t="s">
        <v>176</v>
      </c>
      <c r="D86" s="63" t="s">
        <v>298</v>
      </c>
      <c r="E86" s="64" t="s">
        <v>299</v>
      </c>
      <c r="F86" s="64" t="s">
        <v>300</v>
      </c>
      <c r="G86" s="8">
        <v>24</v>
      </c>
      <c r="H86" s="8">
        <v>8</v>
      </c>
      <c r="I86" s="8">
        <f>G86</f>
        <v>24</v>
      </c>
      <c r="J86" s="8">
        <v>8</v>
      </c>
      <c r="K86" s="86">
        <f t="shared" si="29"/>
        <v>3</v>
      </c>
      <c r="L86" s="1" t="s">
        <v>301</v>
      </c>
      <c r="M86" s="89">
        <v>0.239598</v>
      </c>
      <c r="N86" s="89">
        <v>2.72</v>
      </c>
      <c r="O86" s="88">
        <v>2.72</v>
      </c>
      <c r="P86" s="20">
        <v>0.239598</v>
      </c>
    </row>
    <row r="87" ht="42.75" spans="1:16">
      <c r="A87" s="1" t="s">
        <v>289</v>
      </c>
      <c r="B87" s="36" t="s">
        <v>290</v>
      </c>
      <c r="C87" s="1" t="s">
        <v>155</v>
      </c>
      <c r="D87" s="63" t="s">
        <v>302</v>
      </c>
      <c r="E87" s="62" t="s">
        <v>303</v>
      </c>
      <c r="F87" s="63" t="s">
        <v>304</v>
      </c>
      <c r="G87" s="7">
        <v>30</v>
      </c>
      <c r="H87" s="7">
        <v>10</v>
      </c>
      <c r="I87" s="7">
        <f>G87</f>
        <v>30</v>
      </c>
      <c r="J87" s="7">
        <v>10</v>
      </c>
      <c r="K87" s="86">
        <f t="shared" si="29"/>
        <v>3</v>
      </c>
      <c r="L87" s="1" t="s">
        <v>297</v>
      </c>
      <c r="M87" s="87">
        <v>0.03034</v>
      </c>
      <c r="N87" s="87">
        <v>21.5</v>
      </c>
      <c r="O87" s="88">
        <f>N87*K87</f>
        <v>64.5</v>
      </c>
      <c r="P87" s="20">
        <f t="shared" si="30"/>
        <v>0.09102</v>
      </c>
    </row>
    <row r="88" ht="14.25" spans="1:16">
      <c r="A88" s="1" t="s">
        <v>289</v>
      </c>
      <c r="B88" s="36" t="s">
        <v>290</v>
      </c>
      <c r="C88" s="1" t="s">
        <v>155</v>
      </c>
      <c r="D88" s="63" t="s">
        <v>305</v>
      </c>
      <c r="E88" s="62" t="s">
        <v>306</v>
      </c>
      <c r="F88" s="63" t="s">
        <v>162</v>
      </c>
      <c r="G88" s="7">
        <v>40</v>
      </c>
      <c r="H88" s="7">
        <v>10</v>
      </c>
      <c r="I88" s="7">
        <f>G88</f>
        <v>40</v>
      </c>
      <c r="J88" s="7">
        <v>10</v>
      </c>
      <c r="K88" s="86">
        <f t="shared" si="29"/>
        <v>4</v>
      </c>
      <c r="L88" s="1" t="s">
        <v>307</v>
      </c>
      <c r="M88" s="31">
        <v>0.0258218</v>
      </c>
      <c r="N88" s="31">
        <v>21.5</v>
      </c>
      <c r="O88" s="88">
        <v>21.5</v>
      </c>
      <c r="P88" s="20">
        <v>0.0258218</v>
      </c>
    </row>
    <row r="89" ht="14.25" spans="1:16">
      <c r="A89" s="7"/>
      <c r="C89" s="7"/>
      <c r="D89" s="7"/>
      <c r="E89" s="7"/>
      <c r="F89" s="7"/>
      <c r="G89" s="7"/>
      <c r="H89" s="8"/>
      <c r="I89" s="8"/>
      <c r="J89" s="8"/>
      <c r="K89" s="14"/>
      <c r="L89" s="15"/>
      <c r="M89" s="15"/>
      <c r="N89" s="15"/>
      <c r="O89" s="15"/>
      <c r="P89" s="15"/>
    </row>
    <row r="90" spans="11:11">
      <c r="K90" s="12"/>
    </row>
    <row r="91" ht="35" customHeight="1" spans="1:11">
      <c r="A91" s="6" t="s">
        <v>308</v>
      </c>
      <c r="B91" s="65" t="s">
        <v>309</v>
      </c>
      <c r="K91" s="12"/>
    </row>
    <row r="92" spans="2:11">
      <c r="B92" s="6" t="s">
        <v>200</v>
      </c>
      <c r="K92" s="12"/>
    </row>
    <row r="93" customFormat="1" ht="14.25" spans="1:16">
      <c r="A93" s="7" t="s">
        <v>244</v>
      </c>
      <c r="C93" s="7" t="s">
        <v>310</v>
      </c>
      <c r="D93" s="7" t="s">
        <v>311</v>
      </c>
      <c r="E93" s="7" t="s">
        <v>312</v>
      </c>
      <c r="F93" s="7" t="s">
        <v>274</v>
      </c>
      <c r="G93" s="7">
        <v>120</v>
      </c>
      <c r="H93" s="7">
        <v>10</v>
      </c>
      <c r="I93" s="7">
        <f t="shared" ref="I93:I103" si="31">G93</f>
        <v>120</v>
      </c>
      <c r="J93" s="7">
        <v>10</v>
      </c>
      <c r="K93" s="14">
        <f t="shared" ref="K93:K103" si="32">G93/H93</f>
        <v>12</v>
      </c>
      <c r="L93" s="7" t="s">
        <v>313</v>
      </c>
      <c r="M93" s="15">
        <v>0.062</v>
      </c>
      <c r="N93" s="15">
        <v>12</v>
      </c>
      <c r="O93" s="15">
        <f t="shared" ref="O93:O103" si="33">N93*K93</f>
        <v>144</v>
      </c>
      <c r="P93" s="15">
        <f t="shared" ref="P93:P103" si="34">M93*K93</f>
        <v>0.744</v>
      </c>
    </row>
    <row r="94" customFormat="1" ht="14.25" spans="1:16">
      <c r="A94" s="7" t="s">
        <v>244</v>
      </c>
      <c r="C94" s="7" t="s">
        <v>310</v>
      </c>
      <c r="D94" s="7" t="s">
        <v>314</v>
      </c>
      <c r="E94" s="7" t="s">
        <v>315</v>
      </c>
      <c r="F94" s="7" t="s">
        <v>316</v>
      </c>
      <c r="G94" s="7">
        <v>180</v>
      </c>
      <c r="H94" s="7">
        <v>10</v>
      </c>
      <c r="I94" s="7">
        <f t="shared" si="31"/>
        <v>180</v>
      </c>
      <c r="J94" s="7">
        <v>10</v>
      </c>
      <c r="K94" s="14">
        <f t="shared" si="32"/>
        <v>18</v>
      </c>
      <c r="L94" s="7" t="s">
        <v>266</v>
      </c>
      <c r="M94" s="15">
        <v>0.062</v>
      </c>
      <c r="N94" s="15">
        <v>12</v>
      </c>
      <c r="O94" s="15">
        <f t="shared" si="33"/>
        <v>216</v>
      </c>
      <c r="P94" s="15">
        <f t="shared" si="34"/>
        <v>1.116</v>
      </c>
    </row>
    <row r="95" customFormat="1" ht="14.25" spans="1:16">
      <c r="A95" s="7" t="s">
        <v>244</v>
      </c>
      <c r="C95" s="7" t="s">
        <v>310</v>
      </c>
      <c r="D95" s="7" t="s">
        <v>317</v>
      </c>
      <c r="E95" s="7" t="s">
        <v>318</v>
      </c>
      <c r="F95" s="7" t="s">
        <v>265</v>
      </c>
      <c r="G95" s="7">
        <v>100</v>
      </c>
      <c r="H95" s="7">
        <v>10</v>
      </c>
      <c r="I95" s="7">
        <f t="shared" si="31"/>
        <v>100</v>
      </c>
      <c r="J95" s="7">
        <v>10</v>
      </c>
      <c r="K95" s="14">
        <f t="shared" si="32"/>
        <v>10</v>
      </c>
      <c r="L95" s="7" t="s">
        <v>266</v>
      </c>
      <c r="M95" s="15">
        <v>0.062</v>
      </c>
      <c r="N95" s="15">
        <v>12</v>
      </c>
      <c r="O95" s="15">
        <f t="shared" si="33"/>
        <v>120</v>
      </c>
      <c r="P95" s="15">
        <f t="shared" si="34"/>
        <v>0.62</v>
      </c>
    </row>
    <row r="96" customFormat="1" ht="14.25" spans="1:16">
      <c r="A96" s="7" t="s">
        <v>244</v>
      </c>
      <c r="C96" s="7" t="s">
        <v>310</v>
      </c>
      <c r="D96" s="7" t="s">
        <v>319</v>
      </c>
      <c r="E96" s="7" t="s">
        <v>320</v>
      </c>
      <c r="F96" s="7" t="s">
        <v>321</v>
      </c>
      <c r="G96" s="7">
        <v>150</v>
      </c>
      <c r="H96" s="7">
        <v>10</v>
      </c>
      <c r="I96" s="7">
        <f t="shared" si="31"/>
        <v>150</v>
      </c>
      <c r="J96" s="7">
        <v>10</v>
      </c>
      <c r="K96" s="14">
        <f t="shared" si="32"/>
        <v>15</v>
      </c>
      <c r="L96" s="7" t="s">
        <v>266</v>
      </c>
      <c r="M96" s="15">
        <v>0.062</v>
      </c>
      <c r="N96" s="15">
        <v>12</v>
      </c>
      <c r="O96" s="15">
        <f t="shared" si="33"/>
        <v>180</v>
      </c>
      <c r="P96" s="15">
        <f t="shared" si="34"/>
        <v>0.93</v>
      </c>
    </row>
    <row r="97" customFormat="1" ht="14.25" spans="1:16">
      <c r="A97" s="7" t="s">
        <v>244</v>
      </c>
      <c r="C97" s="7" t="s">
        <v>310</v>
      </c>
      <c r="D97" s="7" t="s">
        <v>322</v>
      </c>
      <c r="E97" s="7" t="s">
        <v>323</v>
      </c>
      <c r="F97" s="7" t="s">
        <v>324</v>
      </c>
      <c r="G97" s="7">
        <v>50</v>
      </c>
      <c r="H97" s="7">
        <v>10</v>
      </c>
      <c r="I97" s="7">
        <f t="shared" si="31"/>
        <v>50</v>
      </c>
      <c r="J97" s="7">
        <v>10</v>
      </c>
      <c r="K97" s="14">
        <f t="shared" si="32"/>
        <v>5</v>
      </c>
      <c r="L97" s="7" t="s">
        <v>266</v>
      </c>
      <c r="M97" s="15">
        <v>0.06</v>
      </c>
      <c r="N97" s="15">
        <v>12</v>
      </c>
      <c r="O97" s="15">
        <f t="shared" si="33"/>
        <v>60</v>
      </c>
      <c r="P97" s="15">
        <f t="shared" si="34"/>
        <v>0.3</v>
      </c>
    </row>
    <row r="98" customFormat="1" ht="14.25" spans="1:16">
      <c r="A98" s="7" t="s">
        <v>244</v>
      </c>
      <c r="C98" s="7" t="s">
        <v>310</v>
      </c>
      <c r="D98" s="7" t="s">
        <v>325</v>
      </c>
      <c r="E98" s="7" t="s">
        <v>326</v>
      </c>
      <c r="F98" s="7" t="s">
        <v>327</v>
      </c>
      <c r="G98" s="7">
        <v>120</v>
      </c>
      <c r="H98" s="7">
        <v>8</v>
      </c>
      <c r="I98" s="7">
        <f t="shared" si="31"/>
        <v>120</v>
      </c>
      <c r="J98" s="7">
        <v>8</v>
      </c>
      <c r="K98" s="14">
        <f t="shared" si="32"/>
        <v>15</v>
      </c>
      <c r="L98" s="7" t="s">
        <v>313</v>
      </c>
      <c r="M98" s="15">
        <v>0.061</v>
      </c>
      <c r="N98" s="15">
        <v>12</v>
      </c>
      <c r="O98" s="15">
        <f t="shared" si="33"/>
        <v>180</v>
      </c>
      <c r="P98" s="15">
        <f t="shared" si="34"/>
        <v>0.915</v>
      </c>
    </row>
    <row r="99" customFormat="1" ht="14.25" spans="1:16">
      <c r="A99" s="7" t="s">
        <v>244</v>
      </c>
      <c r="C99" s="7" t="s">
        <v>310</v>
      </c>
      <c r="D99" s="7" t="s">
        <v>328</v>
      </c>
      <c r="E99" s="7" t="s">
        <v>329</v>
      </c>
      <c r="F99" s="7" t="s">
        <v>330</v>
      </c>
      <c r="G99" s="7">
        <v>120</v>
      </c>
      <c r="H99" s="7">
        <v>8</v>
      </c>
      <c r="I99" s="7">
        <f t="shared" si="31"/>
        <v>120</v>
      </c>
      <c r="J99" s="7">
        <v>8</v>
      </c>
      <c r="K99" s="14">
        <f t="shared" si="32"/>
        <v>15</v>
      </c>
      <c r="L99" s="7" t="s">
        <v>266</v>
      </c>
      <c r="M99" s="15">
        <v>0.061</v>
      </c>
      <c r="N99" s="15">
        <v>12</v>
      </c>
      <c r="O99" s="15">
        <f t="shared" si="33"/>
        <v>180</v>
      </c>
      <c r="P99" s="15">
        <f t="shared" si="34"/>
        <v>0.915</v>
      </c>
    </row>
    <row r="100" customFormat="1" ht="14.25" spans="1:16">
      <c r="A100" s="7" t="s">
        <v>244</v>
      </c>
      <c r="C100" s="7" t="s">
        <v>310</v>
      </c>
      <c r="D100" s="7" t="s">
        <v>331</v>
      </c>
      <c r="E100" s="7" t="s">
        <v>332</v>
      </c>
      <c r="F100" s="7" t="s">
        <v>333</v>
      </c>
      <c r="G100" s="7">
        <v>60</v>
      </c>
      <c r="H100" s="7">
        <v>6</v>
      </c>
      <c r="I100" s="7">
        <f t="shared" si="31"/>
        <v>60</v>
      </c>
      <c r="J100" s="7">
        <v>6</v>
      </c>
      <c r="K100" s="14">
        <f t="shared" si="32"/>
        <v>10</v>
      </c>
      <c r="L100" s="7" t="s">
        <v>278</v>
      </c>
      <c r="M100" s="15">
        <v>0.066</v>
      </c>
      <c r="N100" s="15">
        <v>12</v>
      </c>
      <c r="O100" s="15">
        <f t="shared" si="33"/>
        <v>120</v>
      </c>
      <c r="P100" s="15">
        <f t="shared" si="34"/>
        <v>0.66</v>
      </c>
    </row>
    <row r="101" customFormat="1" ht="14.25" spans="1:16">
      <c r="A101" s="7" t="s">
        <v>244</v>
      </c>
      <c r="C101" s="7" t="s">
        <v>310</v>
      </c>
      <c r="D101" s="7" t="s">
        <v>334</v>
      </c>
      <c r="E101" s="7" t="s">
        <v>335</v>
      </c>
      <c r="F101" s="7" t="s">
        <v>336</v>
      </c>
      <c r="G101" s="7">
        <v>240</v>
      </c>
      <c r="H101" s="7">
        <v>6</v>
      </c>
      <c r="I101" s="7">
        <f t="shared" si="31"/>
        <v>240</v>
      </c>
      <c r="J101" s="7">
        <v>6</v>
      </c>
      <c r="K101" s="14">
        <f t="shared" si="32"/>
        <v>40</v>
      </c>
      <c r="L101" s="7" t="s">
        <v>278</v>
      </c>
      <c r="M101" s="15">
        <v>0.066</v>
      </c>
      <c r="N101" s="15">
        <v>12</v>
      </c>
      <c r="O101" s="15">
        <f t="shared" si="33"/>
        <v>480</v>
      </c>
      <c r="P101" s="15">
        <f t="shared" si="34"/>
        <v>2.64</v>
      </c>
    </row>
    <row r="102" customFormat="1" ht="14.25" spans="1:16">
      <c r="A102" s="7" t="s">
        <v>244</v>
      </c>
      <c r="C102" s="7" t="s">
        <v>310</v>
      </c>
      <c r="D102" s="7" t="s">
        <v>337</v>
      </c>
      <c r="E102" s="7" t="s">
        <v>338</v>
      </c>
      <c r="F102" s="7" t="s">
        <v>339</v>
      </c>
      <c r="G102" s="7">
        <v>108</v>
      </c>
      <c r="H102" s="7">
        <v>6</v>
      </c>
      <c r="I102" s="7">
        <f t="shared" si="31"/>
        <v>108</v>
      </c>
      <c r="J102" s="7">
        <v>6</v>
      </c>
      <c r="K102" s="14">
        <f t="shared" si="32"/>
        <v>18</v>
      </c>
      <c r="L102" s="7" t="s">
        <v>278</v>
      </c>
      <c r="M102" s="15">
        <v>0.066</v>
      </c>
      <c r="N102" s="15">
        <v>12</v>
      </c>
      <c r="O102" s="15">
        <f t="shared" si="33"/>
        <v>216</v>
      </c>
      <c r="P102" s="15">
        <f t="shared" si="34"/>
        <v>1.188</v>
      </c>
    </row>
    <row r="103" customFormat="1" ht="14.25" spans="1:16">
      <c r="A103" s="7" t="s">
        <v>244</v>
      </c>
      <c r="C103" s="7" t="s">
        <v>310</v>
      </c>
      <c r="D103" s="7" t="s">
        <v>340</v>
      </c>
      <c r="E103" s="7" t="s">
        <v>341</v>
      </c>
      <c r="F103" s="7" t="s">
        <v>342</v>
      </c>
      <c r="G103" s="7">
        <v>60</v>
      </c>
      <c r="H103" s="7">
        <v>6</v>
      </c>
      <c r="I103" s="7">
        <f t="shared" si="31"/>
        <v>60</v>
      </c>
      <c r="J103" s="7">
        <v>6</v>
      </c>
      <c r="K103" s="14">
        <f t="shared" si="32"/>
        <v>10</v>
      </c>
      <c r="L103" s="7" t="s">
        <v>278</v>
      </c>
      <c r="M103" s="15">
        <v>0.066</v>
      </c>
      <c r="N103" s="15">
        <v>12</v>
      </c>
      <c r="O103" s="15">
        <f t="shared" si="33"/>
        <v>120</v>
      </c>
      <c r="P103" s="15">
        <f t="shared" si="34"/>
        <v>0.66</v>
      </c>
    </row>
    <row r="105" customFormat="1" spans="2:16">
      <c r="B105" s="6" t="s">
        <v>243</v>
      </c>
      <c r="K105" s="12"/>
      <c r="L105" s="13"/>
      <c r="M105" s="13"/>
      <c r="N105" s="13"/>
      <c r="O105" s="13"/>
      <c r="P105" s="13"/>
    </row>
    <row r="106" ht="14.25" spans="1:16">
      <c r="A106" s="7" t="s">
        <v>244</v>
      </c>
      <c r="C106" s="7" t="s">
        <v>255</v>
      </c>
      <c r="D106" s="18" t="s">
        <v>343</v>
      </c>
      <c r="E106" s="58" t="s">
        <v>344</v>
      </c>
      <c r="F106" s="19" t="s">
        <v>345</v>
      </c>
      <c r="G106" s="19">
        <v>60</v>
      </c>
      <c r="H106" s="19">
        <v>6</v>
      </c>
      <c r="I106" s="19">
        <f>G106</f>
        <v>60</v>
      </c>
      <c r="J106" s="19">
        <v>6</v>
      </c>
      <c r="K106" s="14">
        <f>G106/J106</f>
        <v>10</v>
      </c>
      <c r="L106" s="20" t="s">
        <v>346</v>
      </c>
      <c r="M106" s="15">
        <v>0.062</v>
      </c>
      <c r="N106" s="15">
        <v>13</v>
      </c>
      <c r="O106" s="21">
        <f>N106*K106</f>
        <v>130</v>
      </c>
      <c r="P106" s="20">
        <f>M106*K106</f>
        <v>0.62</v>
      </c>
    </row>
  </sheetData>
  <mergeCells count="12">
    <mergeCell ref="B3:B11"/>
    <mergeCell ref="C47:C48"/>
    <mergeCell ref="D47:D48"/>
    <mergeCell ref="E47:E48"/>
    <mergeCell ref="G47:G48"/>
    <mergeCell ref="H47:H48"/>
    <mergeCell ref="J47:J48"/>
    <mergeCell ref="K47:K48"/>
    <mergeCell ref="M47:M48"/>
    <mergeCell ref="N47:N48"/>
    <mergeCell ref="O47:O48"/>
    <mergeCell ref="P47:P48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3.5" outlineLevelCol="7"/>
  <cols>
    <col min="1" max="1" width="14.525" customWidth="1"/>
    <col min="2" max="2" width="28.6666666666667" customWidth="1"/>
    <col min="3" max="3" width="33.1916666666667" customWidth="1"/>
    <col min="4" max="4" width="27.5916666666667" customWidth="1"/>
    <col min="5" max="5" width="16" customWidth="1"/>
    <col min="6" max="6" width="14.9083333333333" customWidth="1"/>
    <col min="7" max="7" width="31.525" customWidth="1"/>
    <col min="8" max="8" width="33.1166666666667" customWidth="1"/>
  </cols>
  <sheetData>
    <row r="1" s="1" customFormat="1" ht="36" customHeight="1" spans="1:7">
      <c r="A1" s="1" t="s">
        <v>0</v>
      </c>
      <c r="B1" s="1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1" t="s">
        <v>347</v>
      </c>
    </row>
    <row r="2" s="1" customFormat="1" ht="17" customHeight="1" spans="2:6">
      <c r="B2" s="36" t="s">
        <v>16</v>
      </c>
      <c r="D2" s="37"/>
      <c r="E2" s="38"/>
      <c r="F2" s="38"/>
    </row>
    <row r="3" customFormat="1" spans="1:6">
      <c r="A3" t="s">
        <v>17</v>
      </c>
      <c r="B3" s="26" t="s">
        <v>18</v>
      </c>
      <c r="C3" s="1" t="s">
        <v>19</v>
      </c>
      <c r="D3" s="39" t="s">
        <v>20</v>
      </c>
      <c r="E3" s="40" t="s">
        <v>21</v>
      </c>
      <c r="F3" s="1" t="s">
        <v>22</v>
      </c>
    </row>
    <row r="4" customFormat="1" spans="1:6">
      <c r="A4" t="s">
        <v>17</v>
      </c>
      <c r="B4" s="26"/>
      <c r="C4" s="1" t="s">
        <v>24</v>
      </c>
      <c r="D4" t="s">
        <v>25</v>
      </c>
      <c r="E4" t="s">
        <v>26</v>
      </c>
      <c r="F4" s="1" t="s">
        <v>27</v>
      </c>
    </row>
    <row r="5" customFormat="1" spans="1:6">
      <c r="A5" t="s">
        <v>17</v>
      </c>
      <c r="B5" s="26"/>
      <c r="C5" s="1" t="s">
        <v>29</v>
      </c>
      <c r="D5" t="s">
        <v>30</v>
      </c>
      <c r="E5" t="s">
        <v>31</v>
      </c>
      <c r="F5" s="1" t="s">
        <v>32</v>
      </c>
    </row>
    <row r="6" customFormat="1" spans="1:6">
      <c r="A6" t="s">
        <v>17</v>
      </c>
      <c r="B6" s="26"/>
      <c r="C6" t="s">
        <v>33</v>
      </c>
      <c r="D6" t="s">
        <v>34</v>
      </c>
      <c r="E6" t="s">
        <v>35</v>
      </c>
      <c r="F6" t="s">
        <v>36</v>
      </c>
    </row>
    <row r="7" customFormat="1" spans="1:6">
      <c r="A7" t="s">
        <v>17</v>
      </c>
      <c r="B7" s="26"/>
      <c r="C7" t="s">
        <v>38</v>
      </c>
      <c r="D7" t="s">
        <v>39</v>
      </c>
      <c r="E7" t="s">
        <v>40</v>
      </c>
      <c r="F7" t="s">
        <v>41</v>
      </c>
    </row>
    <row r="8" customFormat="1" spans="1:6">
      <c r="A8" t="s">
        <v>17</v>
      </c>
      <c r="B8" s="26"/>
      <c r="C8" t="s">
        <v>43</v>
      </c>
      <c r="D8" t="s">
        <v>44</v>
      </c>
      <c r="E8" t="s">
        <v>45</v>
      </c>
      <c r="F8" t="s">
        <v>46</v>
      </c>
    </row>
    <row r="9" customFormat="1" spans="1:6">
      <c r="A9" t="s">
        <v>17</v>
      </c>
      <c r="B9" s="26"/>
      <c r="C9" s="1" t="s">
        <v>48</v>
      </c>
      <c r="D9" t="s">
        <v>49</v>
      </c>
      <c r="E9" s="32" t="s">
        <v>50</v>
      </c>
      <c r="F9" s="1" t="s">
        <v>51</v>
      </c>
    </row>
    <row r="10" customFormat="1" spans="1:6">
      <c r="A10" t="s">
        <v>17</v>
      </c>
      <c r="B10" s="26"/>
      <c r="C10" t="s">
        <v>53</v>
      </c>
      <c r="D10" t="s">
        <v>54</v>
      </c>
      <c r="E10" t="s">
        <v>55</v>
      </c>
      <c r="F10" t="s">
        <v>56</v>
      </c>
    </row>
    <row r="11" customFormat="1" spans="1:6">
      <c r="A11" t="s">
        <v>17</v>
      </c>
      <c r="B11" s="26"/>
      <c r="C11" t="s">
        <v>58</v>
      </c>
      <c r="D11" t="s">
        <v>59</v>
      </c>
      <c r="E11" t="s">
        <v>60</v>
      </c>
      <c r="F11" t="s">
        <v>61</v>
      </c>
    </row>
    <row r="12" s="33" customFormat="1" spans="1:6">
      <c r="A12" s="33" t="s">
        <v>17</v>
      </c>
      <c r="B12" s="33" t="s">
        <v>63</v>
      </c>
      <c r="C12" s="33" t="s">
        <v>64</v>
      </c>
      <c r="D12" s="33" t="s">
        <v>65</v>
      </c>
      <c r="E12" s="33" t="s">
        <v>66</v>
      </c>
      <c r="F12" s="33" t="s">
        <v>67</v>
      </c>
    </row>
    <row r="13" customFormat="1" spans="1:7">
      <c r="A13" t="s">
        <v>17</v>
      </c>
      <c r="C13" t="s">
        <v>69</v>
      </c>
      <c r="D13" t="s">
        <v>70</v>
      </c>
      <c r="E13" s="32" t="s">
        <v>71</v>
      </c>
      <c r="F13" t="s">
        <v>72</v>
      </c>
      <c r="G13" s="32" t="s">
        <v>348</v>
      </c>
    </row>
    <row r="14" customFormat="1" spans="1:6">
      <c r="A14" t="s">
        <v>17</v>
      </c>
      <c r="C14" t="s">
        <v>74</v>
      </c>
      <c r="D14" t="s">
        <v>75</v>
      </c>
      <c r="E14" s="13" t="s">
        <v>76</v>
      </c>
      <c r="F14" t="s">
        <v>77</v>
      </c>
    </row>
    <row r="15" customFormat="1" spans="1:6">
      <c r="A15" t="s">
        <v>17</v>
      </c>
      <c r="C15" t="s">
        <v>79</v>
      </c>
      <c r="D15" s="41" t="s">
        <v>80</v>
      </c>
      <c r="E15" s="13" t="s">
        <v>81</v>
      </c>
      <c r="F15" t="s">
        <v>82</v>
      </c>
    </row>
    <row r="16" customFormat="1" spans="1:6">
      <c r="A16" t="s">
        <v>17</v>
      </c>
      <c r="C16" t="s">
        <v>84</v>
      </c>
      <c r="D16" s="42" t="s">
        <v>85</v>
      </c>
      <c r="E16" s="13" t="s">
        <v>86</v>
      </c>
      <c r="F16" t="s">
        <v>87</v>
      </c>
    </row>
    <row r="17" customFormat="1" spans="1:6">
      <c r="A17" t="s">
        <v>17</v>
      </c>
      <c r="C17" s="34" t="s">
        <v>89</v>
      </c>
      <c r="D17" s="43" t="s">
        <v>90</v>
      </c>
      <c r="E17" s="27" t="s">
        <v>91</v>
      </c>
      <c r="F17" t="s">
        <v>92</v>
      </c>
    </row>
    <row r="18" customFormat="1" spans="1:6">
      <c r="A18" t="s">
        <v>17</v>
      </c>
      <c r="C18" s="34" t="s">
        <v>89</v>
      </c>
      <c r="D18" s="43" t="s">
        <v>94</v>
      </c>
      <c r="E18" s="27" t="s">
        <v>95</v>
      </c>
      <c r="F18" t="s">
        <v>96</v>
      </c>
    </row>
    <row r="19" customFormat="1" ht="29" customHeight="1" spans="1:6">
      <c r="A19" t="s">
        <v>17</v>
      </c>
      <c r="C19" t="s">
        <v>89</v>
      </c>
      <c r="D19" s="13" t="s">
        <v>97</v>
      </c>
      <c r="E19" s="44" t="s">
        <v>98</v>
      </c>
      <c r="F19" t="s">
        <v>99</v>
      </c>
    </row>
    <row r="20" customFormat="1" ht="24" customHeight="1" spans="1:6">
      <c r="A20" t="s">
        <v>17</v>
      </c>
      <c r="C20" t="s">
        <v>100</v>
      </c>
      <c r="D20" s="13" t="s">
        <v>101</v>
      </c>
      <c r="E20" s="13" t="s">
        <v>102</v>
      </c>
      <c r="F20" t="s">
        <v>103</v>
      </c>
    </row>
    <row r="21" customFormat="1" spans="1:6">
      <c r="A21" t="s">
        <v>17</v>
      </c>
      <c r="C21" t="s">
        <v>100</v>
      </c>
      <c r="D21" s="44" t="s">
        <v>105</v>
      </c>
      <c r="E21" s="13" t="s">
        <v>106</v>
      </c>
      <c r="F21" t="s">
        <v>107</v>
      </c>
    </row>
    <row r="23" customFormat="1" spans="2:2">
      <c r="B23" s="6" t="s">
        <v>109</v>
      </c>
    </row>
    <row r="24" customFormat="1" spans="1:8">
      <c r="A24" t="s">
        <v>110</v>
      </c>
      <c r="C24" t="s">
        <v>111</v>
      </c>
      <c r="D24" t="s">
        <v>112</v>
      </c>
      <c r="E24" t="s">
        <v>113</v>
      </c>
      <c r="F24" t="s">
        <v>114</v>
      </c>
      <c r="G24" s="17" t="s">
        <v>349</v>
      </c>
      <c r="H24" s="17" t="s">
        <v>350</v>
      </c>
    </row>
    <row r="25" customFormat="1" spans="1:8">
      <c r="A25" t="s">
        <v>110</v>
      </c>
      <c r="C25" t="s">
        <v>116</v>
      </c>
      <c r="D25" t="s">
        <v>117</v>
      </c>
      <c r="E25" t="s">
        <v>118</v>
      </c>
      <c r="F25" t="s">
        <v>119</v>
      </c>
      <c r="G25" s="17"/>
      <c r="H25" s="17"/>
    </row>
    <row r="26" customFormat="1" spans="1:8">
      <c r="A26" t="s">
        <v>110</v>
      </c>
      <c r="C26" t="s">
        <v>111</v>
      </c>
      <c r="D26" t="s">
        <v>120</v>
      </c>
      <c r="E26" t="s">
        <v>121</v>
      </c>
      <c r="F26" t="s">
        <v>122</v>
      </c>
      <c r="G26" s="17"/>
      <c r="H26" s="17"/>
    </row>
    <row r="27" customFormat="1" spans="1:8">
      <c r="A27" t="s">
        <v>110</v>
      </c>
      <c r="C27" t="s">
        <v>111</v>
      </c>
      <c r="D27" t="s">
        <v>123</v>
      </c>
      <c r="E27" t="s">
        <v>124</v>
      </c>
      <c r="F27" t="s">
        <v>125</v>
      </c>
      <c r="G27" s="17"/>
      <c r="H27" s="17"/>
    </row>
    <row r="28" customFormat="1" spans="1:8">
      <c r="A28" t="s">
        <v>110</v>
      </c>
      <c r="C28" t="s">
        <v>111</v>
      </c>
      <c r="D28" t="s">
        <v>126</v>
      </c>
      <c r="E28" t="s">
        <v>127</v>
      </c>
      <c r="F28" t="s">
        <v>128</v>
      </c>
      <c r="G28" s="17"/>
      <c r="H28" s="17"/>
    </row>
    <row r="29" customFormat="1" spans="1:8">
      <c r="A29" t="s">
        <v>110</v>
      </c>
      <c r="C29" t="s">
        <v>129</v>
      </c>
      <c r="D29" t="s">
        <v>130</v>
      </c>
      <c r="E29" t="s">
        <v>131</v>
      </c>
      <c r="F29" t="s">
        <v>132</v>
      </c>
      <c r="G29" s="17"/>
      <c r="H29" s="17"/>
    </row>
    <row r="30" customFormat="1" spans="1:8">
      <c r="A30" t="s">
        <v>110</v>
      </c>
      <c r="C30" t="s">
        <v>111</v>
      </c>
      <c r="D30" t="s">
        <v>133</v>
      </c>
      <c r="E30" t="s">
        <v>134</v>
      </c>
      <c r="F30" t="s">
        <v>135</v>
      </c>
      <c r="G30" s="17"/>
      <c r="H30" s="17"/>
    </row>
    <row r="31" customFormat="1" spans="1:8">
      <c r="A31" t="s">
        <v>110</v>
      </c>
      <c r="C31" t="s">
        <v>111</v>
      </c>
      <c r="D31" t="s">
        <v>136</v>
      </c>
      <c r="E31" t="s">
        <v>137</v>
      </c>
      <c r="F31" t="s">
        <v>138</v>
      </c>
      <c r="G31" s="17"/>
      <c r="H31" s="17"/>
    </row>
    <row r="32" customFormat="1" spans="1:8">
      <c r="A32" t="s">
        <v>110</v>
      </c>
      <c r="C32" t="s">
        <v>139</v>
      </c>
      <c r="D32" t="s">
        <v>140</v>
      </c>
      <c r="E32" t="s">
        <v>141</v>
      </c>
      <c r="F32" t="s">
        <v>142</v>
      </c>
      <c r="G32" s="17"/>
      <c r="H32" s="17"/>
    </row>
    <row r="33" customFormat="1" spans="1:8">
      <c r="A33" t="s">
        <v>110</v>
      </c>
      <c r="C33" t="s">
        <v>143</v>
      </c>
      <c r="D33" t="s">
        <v>144</v>
      </c>
      <c r="E33" t="s">
        <v>145</v>
      </c>
      <c r="F33" t="s">
        <v>146</v>
      </c>
      <c r="G33" s="17"/>
      <c r="H33" s="17"/>
    </row>
    <row r="34" customFormat="1" spans="1:8">
      <c r="A34" t="s">
        <v>110</v>
      </c>
      <c r="C34" t="s">
        <v>148</v>
      </c>
      <c r="D34" t="s">
        <v>149</v>
      </c>
      <c r="E34" t="s">
        <v>150</v>
      </c>
      <c r="F34" t="s">
        <v>151</v>
      </c>
      <c r="G34" s="17"/>
      <c r="H34" s="17"/>
    </row>
    <row r="37" customFormat="1" ht="15" spans="1:7">
      <c r="A37" t="s">
        <v>153</v>
      </c>
      <c r="B37" s="6" t="s">
        <v>154</v>
      </c>
      <c r="C37" t="s">
        <v>155</v>
      </c>
      <c r="D37" s="34" t="s">
        <v>156</v>
      </c>
      <c r="E37" s="34" t="s">
        <v>157</v>
      </c>
      <c r="F37" s="45" t="s">
        <v>158</v>
      </c>
      <c r="G37" s="17" t="s">
        <v>351</v>
      </c>
    </row>
    <row r="38" customFormat="1" ht="15" spans="1:7">
      <c r="A38" t="s">
        <v>153</v>
      </c>
      <c r="C38" s="22" t="s">
        <v>155</v>
      </c>
      <c r="D38" s="46" t="s">
        <v>160</v>
      </c>
      <c r="E38" s="46" t="s">
        <v>161</v>
      </c>
      <c r="F38" s="45" t="s">
        <v>162</v>
      </c>
      <c r="G38" s="16"/>
    </row>
    <row r="39" customFormat="1" ht="15" spans="1:7">
      <c r="A39" t="s">
        <v>153</v>
      </c>
      <c r="C39" s="22" t="s">
        <v>155</v>
      </c>
      <c r="D39" s="47" t="s">
        <v>164</v>
      </c>
      <c r="E39" s="48" t="s">
        <v>165</v>
      </c>
      <c r="F39" s="45" t="s">
        <v>166</v>
      </c>
      <c r="G39" s="16"/>
    </row>
    <row r="40" customFormat="1" spans="1:7">
      <c r="A40" t="s">
        <v>153</v>
      </c>
      <c r="C40" s="22" t="s">
        <v>168</v>
      </c>
      <c r="D40" s="22" t="s">
        <v>169</v>
      </c>
      <c r="E40" s="49" t="s">
        <v>170</v>
      </c>
      <c r="F40" s="22" t="s">
        <v>171</v>
      </c>
      <c r="G40" s="16"/>
    </row>
    <row r="41" customFormat="1" ht="15" spans="1:7">
      <c r="A41" t="s">
        <v>153</v>
      </c>
      <c r="C41" t="s">
        <v>155</v>
      </c>
      <c r="D41" s="34" t="s">
        <v>173</v>
      </c>
      <c r="E41" s="34" t="s">
        <v>174</v>
      </c>
      <c r="F41" s="45" t="s">
        <v>175</v>
      </c>
      <c r="G41" s="16"/>
    </row>
    <row r="42" s="34" customFormat="1" ht="15" spans="1:7">
      <c r="A42" t="s">
        <v>153</v>
      </c>
      <c r="C42" s="34" t="s">
        <v>176</v>
      </c>
      <c r="D42" s="34" t="s">
        <v>177</v>
      </c>
      <c r="E42" s="34" t="s">
        <v>178</v>
      </c>
      <c r="F42" s="45" t="s">
        <v>179</v>
      </c>
      <c r="G42" s="16"/>
    </row>
    <row r="45" s="22" customFormat="1" ht="66" customHeight="1" spans="1:7">
      <c r="A45" t="s">
        <v>153</v>
      </c>
      <c r="B45" s="50" t="s">
        <v>181</v>
      </c>
      <c r="C45" s="22" t="s">
        <v>182</v>
      </c>
      <c r="D45" t="s">
        <v>183</v>
      </c>
      <c r="E45" s="22" t="s">
        <v>184</v>
      </c>
      <c r="F45" s="22" t="s">
        <v>92</v>
      </c>
      <c r="G45" s="22" t="s">
        <v>352</v>
      </c>
    </row>
    <row r="46" s="22" customFormat="1" spans="1:7">
      <c r="A46" t="s">
        <v>153</v>
      </c>
      <c r="C46" s="22" t="s">
        <v>186</v>
      </c>
      <c r="D46" s="51" t="s">
        <v>187</v>
      </c>
      <c r="E46" s="22" t="s">
        <v>188</v>
      </c>
      <c r="F46" s="22" t="s">
        <v>189</v>
      </c>
      <c r="G46" s="22" t="s">
        <v>353</v>
      </c>
    </row>
    <row r="47" s="22" customFormat="1" spans="1:7">
      <c r="A47" t="s">
        <v>153</v>
      </c>
      <c r="C47" t="s">
        <v>182</v>
      </c>
      <c r="D47" s="52" t="s">
        <v>191</v>
      </c>
      <c r="E47" s="52" t="s">
        <v>192</v>
      </c>
      <c r="F47" s="22" t="s">
        <v>96</v>
      </c>
      <c r="G47" s="16" t="s">
        <v>354</v>
      </c>
    </row>
    <row r="48" s="22" customFormat="1" ht="15" customHeight="1" spans="1:7">
      <c r="A48" t="s">
        <v>153</v>
      </c>
      <c r="C48"/>
      <c r="D48" s="52"/>
      <c r="E48" s="52"/>
      <c r="F48" s="22" t="s">
        <v>193</v>
      </c>
      <c r="G48" s="16"/>
    </row>
    <row r="49" customFormat="1" spans="1:6">
      <c r="A49" s="13" t="s">
        <v>194</v>
      </c>
      <c r="B49" s="26" t="s">
        <v>18</v>
      </c>
      <c r="C49" s="27" t="s">
        <v>195</v>
      </c>
      <c r="D49" s="13" t="s">
        <v>196</v>
      </c>
      <c r="E49" s="13" t="s">
        <v>197</v>
      </c>
      <c r="F49" s="13" t="s">
        <v>198</v>
      </c>
    </row>
    <row r="50" customFormat="1" ht="15" customHeight="1" spans="4:5">
      <c r="D50" s="13"/>
      <c r="E50" s="13"/>
    </row>
    <row r="51" customFormat="1" ht="15" customHeight="1" spans="4:5">
      <c r="D51" s="13"/>
      <c r="E51" s="13"/>
    </row>
    <row r="53" customFormat="1" spans="1:7">
      <c r="A53" t="s">
        <v>153</v>
      </c>
      <c r="B53" s="6" t="s">
        <v>200</v>
      </c>
      <c r="C53" t="s">
        <v>201</v>
      </c>
      <c r="D53" t="s">
        <v>202</v>
      </c>
      <c r="E53" t="s">
        <v>203</v>
      </c>
      <c r="F53" t="s">
        <v>204</v>
      </c>
      <c r="G53" s="53" t="s">
        <v>355</v>
      </c>
    </row>
    <row r="54" s="25" customFormat="1" spans="1:8">
      <c r="A54" t="s">
        <v>153</v>
      </c>
      <c r="C54" s="25" t="s">
        <v>182</v>
      </c>
      <c r="D54" s="25" t="s">
        <v>206</v>
      </c>
      <c r="E54" s="25" t="s">
        <v>207</v>
      </c>
      <c r="F54" s="25" t="s">
        <v>92</v>
      </c>
      <c r="G54" s="2"/>
      <c r="H54" s="34"/>
    </row>
    <row r="55" s="34" customFormat="1" spans="1:7">
      <c r="A55" t="s">
        <v>153</v>
      </c>
      <c r="C55" s="25" t="s">
        <v>182</v>
      </c>
      <c r="D55" s="25" t="s">
        <v>208</v>
      </c>
      <c r="E55" s="25" t="s">
        <v>209</v>
      </c>
      <c r="F55" s="25" t="s">
        <v>96</v>
      </c>
      <c r="G55" s="2"/>
    </row>
    <row r="56" s="22" customFormat="1" spans="1:8">
      <c r="A56" t="s">
        <v>153</v>
      </c>
      <c r="C56" s="22" t="s">
        <v>182</v>
      </c>
      <c r="D56" s="51" t="s">
        <v>210</v>
      </c>
      <c r="E56" s="22" t="s">
        <v>211</v>
      </c>
      <c r="F56" s="22" t="s">
        <v>193</v>
      </c>
      <c r="G56" s="2"/>
      <c r="H56" s="34"/>
    </row>
    <row r="57" s="35" customFormat="1" spans="1:7">
      <c r="A57" s="35" t="s">
        <v>153</v>
      </c>
      <c r="B57" s="54"/>
      <c r="C57" s="54" t="s">
        <v>212</v>
      </c>
      <c r="D57" s="54" t="s">
        <v>213</v>
      </c>
      <c r="E57" s="54" t="s">
        <v>214</v>
      </c>
      <c r="F57" s="54" t="s">
        <v>215</v>
      </c>
      <c r="G57" s="2"/>
    </row>
    <row r="58" s="35" customFormat="1"/>
    <row r="60" s="35" customFormat="1" spans="1:7">
      <c r="A60" t="s">
        <v>153</v>
      </c>
      <c r="B60" s="55" t="s">
        <v>217</v>
      </c>
      <c r="C60" s="54" t="s">
        <v>218</v>
      </c>
      <c r="D60" s="54" t="s">
        <v>219</v>
      </c>
      <c r="E60" s="54" t="s">
        <v>220</v>
      </c>
      <c r="F60" s="54" t="s">
        <v>221</v>
      </c>
      <c r="G60" s="56" t="s">
        <v>356</v>
      </c>
    </row>
    <row r="61" s="35" customFormat="1" spans="1:7">
      <c r="A61" t="s">
        <v>153</v>
      </c>
      <c r="B61" s="54"/>
      <c r="C61" s="54" t="s">
        <v>223</v>
      </c>
      <c r="D61" s="54" t="s">
        <v>224</v>
      </c>
      <c r="E61" s="54" t="s">
        <v>225</v>
      </c>
      <c r="F61" s="54" t="s">
        <v>226</v>
      </c>
      <c r="G61" s="56" t="s">
        <v>357</v>
      </c>
    </row>
    <row r="62" s="35" customFormat="1" spans="1:7">
      <c r="A62" t="s">
        <v>153</v>
      </c>
      <c r="B62" s="54"/>
      <c r="C62" s="54" t="s">
        <v>228</v>
      </c>
      <c r="D62" s="54" t="s">
        <v>229</v>
      </c>
      <c r="E62" s="54" t="s">
        <v>230</v>
      </c>
      <c r="F62" s="54" t="s">
        <v>231</v>
      </c>
      <c r="G62" s="57"/>
    </row>
    <row r="63" s="35" customFormat="1" spans="1:7">
      <c r="A63" t="s">
        <v>153</v>
      </c>
      <c r="B63" s="54"/>
      <c r="C63" s="54" t="s">
        <v>233</v>
      </c>
      <c r="D63" s="54" t="s">
        <v>234</v>
      </c>
      <c r="E63" s="54" t="s">
        <v>235</v>
      </c>
      <c r="F63" s="54" t="s">
        <v>236</v>
      </c>
      <c r="G63" s="57"/>
    </row>
    <row r="64" s="35" customFormat="1" spans="1:7">
      <c r="A64" s="35" t="s">
        <v>153</v>
      </c>
      <c r="B64" s="54"/>
      <c r="C64" s="54" t="s">
        <v>238</v>
      </c>
      <c r="D64" s="54" t="s">
        <v>239</v>
      </c>
      <c r="E64" s="54" t="s">
        <v>240</v>
      </c>
      <c r="F64" s="54" t="s">
        <v>241</v>
      </c>
      <c r="G64" s="57"/>
    </row>
    <row r="68" customFormat="1" spans="2:2">
      <c r="B68" s="6" t="s">
        <v>243</v>
      </c>
    </row>
    <row r="69" customFormat="1" ht="14.25" spans="1:7">
      <c r="A69" s="7" t="s">
        <v>244</v>
      </c>
      <c r="C69" s="7" t="s">
        <v>245</v>
      </c>
      <c r="D69" s="7" t="s">
        <v>246</v>
      </c>
      <c r="E69" s="18" t="s">
        <v>247</v>
      </c>
      <c r="F69" s="19" t="s">
        <v>248</v>
      </c>
      <c r="G69" s="16" t="s">
        <v>358</v>
      </c>
    </row>
    <row r="70" customFormat="1" ht="14.25" spans="1:7">
      <c r="A70" s="7" t="s">
        <v>244</v>
      </c>
      <c r="C70" s="7" t="s">
        <v>250</v>
      </c>
      <c r="D70" s="7" t="s">
        <v>251</v>
      </c>
      <c r="E70" s="19" t="s">
        <v>252</v>
      </c>
      <c r="F70" s="19" t="s">
        <v>253</v>
      </c>
      <c r="G70" s="16"/>
    </row>
    <row r="71" customFormat="1" ht="14.25" spans="1:7">
      <c r="A71" s="7" t="s">
        <v>244</v>
      </c>
      <c r="C71" s="7" t="s">
        <v>255</v>
      </c>
      <c r="D71" s="18" t="s">
        <v>256</v>
      </c>
      <c r="E71" s="19" t="s">
        <v>257</v>
      </c>
      <c r="F71" s="19" t="s">
        <v>258</v>
      </c>
      <c r="G71" s="16"/>
    </row>
    <row r="72" customFormat="1" ht="14.25" spans="1:7">
      <c r="A72" s="7" t="s">
        <v>244</v>
      </c>
      <c r="C72" s="7" t="s">
        <v>255</v>
      </c>
      <c r="D72" s="18" t="s">
        <v>260</v>
      </c>
      <c r="E72" s="18" t="s">
        <v>261</v>
      </c>
      <c r="F72" s="19" t="s">
        <v>258</v>
      </c>
      <c r="G72" s="16"/>
    </row>
    <row r="73" customFormat="1" ht="14.25" spans="1:7">
      <c r="A73" s="7" t="s">
        <v>244</v>
      </c>
      <c r="C73" s="7" t="s">
        <v>255</v>
      </c>
      <c r="D73" s="18" t="s">
        <v>343</v>
      </c>
      <c r="E73" s="58" t="s">
        <v>344</v>
      </c>
      <c r="F73" s="19" t="s">
        <v>345</v>
      </c>
      <c r="G73" s="16"/>
    </row>
    <row r="74" customFormat="1" ht="14.25" spans="1:7">
      <c r="A74" s="7" t="s">
        <v>244</v>
      </c>
      <c r="C74" s="7" t="s">
        <v>262</v>
      </c>
      <c r="D74" s="19" t="s">
        <v>263</v>
      </c>
      <c r="E74" s="19" t="s">
        <v>264</v>
      </c>
      <c r="F74" s="19" t="s">
        <v>265</v>
      </c>
      <c r="G74" s="16"/>
    </row>
    <row r="76" customFormat="1" spans="2:2">
      <c r="B76" s="6" t="s">
        <v>267</v>
      </c>
    </row>
    <row r="77" customFormat="1" ht="14.25" spans="1:7">
      <c r="A77" s="7" t="s">
        <v>244</v>
      </c>
      <c r="C77" s="7" t="s">
        <v>268</v>
      </c>
      <c r="D77" s="7" t="s">
        <v>269</v>
      </c>
      <c r="E77" s="7" t="s">
        <v>270</v>
      </c>
      <c r="F77" s="7" t="s">
        <v>258</v>
      </c>
      <c r="G77" s="16" t="s">
        <v>359</v>
      </c>
    </row>
    <row r="78" customFormat="1" ht="14.25" spans="1:7">
      <c r="A78" s="7" t="s">
        <v>244</v>
      </c>
      <c r="C78" s="7" t="s">
        <v>271</v>
      </c>
      <c r="D78" s="7" t="s">
        <v>272</v>
      </c>
      <c r="E78" s="7" t="s">
        <v>273</v>
      </c>
      <c r="F78" s="7" t="s">
        <v>274</v>
      </c>
      <c r="G78" s="16"/>
    </row>
    <row r="79" customFormat="1" ht="14.25" spans="1:7">
      <c r="A79" s="7" t="s">
        <v>244</v>
      </c>
      <c r="C79" s="7" t="s">
        <v>271</v>
      </c>
      <c r="D79" s="7" t="s">
        <v>275</v>
      </c>
      <c r="E79" s="7" t="s">
        <v>276</v>
      </c>
      <c r="F79" s="7" t="s">
        <v>277</v>
      </c>
      <c r="G79" s="16"/>
    </row>
    <row r="80" customFormat="1" ht="14.25" spans="1:7">
      <c r="A80" s="7" t="s">
        <v>244</v>
      </c>
      <c r="C80" s="7" t="s">
        <v>279</v>
      </c>
      <c r="D80" s="7" t="s">
        <v>280</v>
      </c>
      <c r="E80" s="7" t="s">
        <v>281</v>
      </c>
      <c r="F80" s="7" t="s">
        <v>253</v>
      </c>
      <c r="G80" s="16"/>
    </row>
    <row r="81" customFormat="1" ht="14.25" spans="1:6">
      <c r="A81" s="7"/>
      <c r="C81" s="7"/>
      <c r="D81" s="7"/>
      <c r="E81" s="7"/>
      <c r="F81" s="7"/>
    </row>
    <row r="82" customFormat="1" ht="14.25" spans="1:6">
      <c r="A82" s="7" t="s">
        <v>282</v>
      </c>
      <c r="B82" s="26" t="s">
        <v>283</v>
      </c>
      <c r="C82" s="7" t="s">
        <v>284</v>
      </c>
      <c r="D82" s="7" t="s">
        <v>285</v>
      </c>
      <c r="E82" s="7" t="s">
        <v>286</v>
      </c>
      <c r="F82" s="7" t="s">
        <v>287</v>
      </c>
    </row>
    <row r="83" customFormat="1" ht="14.25" spans="1:6">
      <c r="A83" s="7"/>
      <c r="C83" s="7"/>
      <c r="D83" s="7"/>
      <c r="E83" s="7"/>
      <c r="F83" s="7"/>
    </row>
    <row r="84" customFormat="1" ht="14.25" spans="1:6">
      <c r="A84" s="7"/>
      <c r="C84" s="7"/>
      <c r="D84" s="7"/>
      <c r="E84" s="7"/>
      <c r="F84" s="7"/>
    </row>
    <row r="85" customFormat="1" ht="14.25" spans="1:7">
      <c r="A85" s="1" t="s">
        <v>289</v>
      </c>
      <c r="B85" s="36" t="s">
        <v>290</v>
      </c>
      <c r="C85" s="1" t="s">
        <v>176</v>
      </c>
      <c r="D85" s="59" t="s">
        <v>291</v>
      </c>
      <c r="E85" s="60" t="s">
        <v>292</v>
      </c>
      <c r="F85" s="60" t="s">
        <v>179</v>
      </c>
      <c r="G85" s="32" t="s">
        <v>351</v>
      </c>
    </row>
    <row r="86" customFormat="1" ht="14.25" spans="1:6">
      <c r="A86" s="1" t="s">
        <v>289</v>
      </c>
      <c r="B86" s="36" t="s">
        <v>290</v>
      </c>
      <c r="C86" s="1" t="s">
        <v>176</v>
      </c>
      <c r="D86" s="61" t="s">
        <v>294</v>
      </c>
      <c r="E86" s="62" t="s">
        <v>295</v>
      </c>
      <c r="F86" s="63" t="s">
        <v>296</v>
      </c>
    </row>
    <row r="87" customFormat="1" ht="14.25" spans="1:6">
      <c r="A87" s="1" t="s">
        <v>289</v>
      </c>
      <c r="B87" s="36" t="s">
        <v>290</v>
      </c>
      <c r="C87" s="1" t="s">
        <v>176</v>
      </c>
      <c r="D87" s="63" t="s">
        <v>298</v>
      </c>
      <c r="E87" s="64" t="s">
        <v>299</v>
      </c>
      <c r="F87" s="64" t="s">
        <v>300</v>
      </c>
    </row>
    <row r="88" customFormat="1" ht="42.75" spans="1:6">
      <c r="A88" s="1" t="s">
        <v>289</v>
      </c>
      <c r="B88" s="36" t="s">
        <v>290</v>
      </c>
      <c r="C88" s="1" t="s">
        <v>155</v>
      </c>
      <c r="D88" s="63" t="s">
        <v>302</v>
      </c>
      <c r="E88" s="62" t="s">
        <v>303</v>
      </c>
      <c r="F88" s="63" t="s">
        <v>304</v>
      </c>
    </row>
    <row r="89" customFormat="1" ht="14.25" spans="1:6">
      <c r="A89" s="1" t="s">
        <v>289</v>
      </c>
      <c r="B89" s="36" t="s">
        <v>290</v>
      </c>
      <c r="C89" s="1" t="s">
        <v>155</v>
      </c>
      <c r="D89" s="63" t="s">
        <v>305</v>
      </c>
      <c r="E89" s="62" t="s">
        <v>306</v>
      </c>
      <c r="F89" s="63" t="s">
        <v>162</v>
      </c>
    </row>
    <row r="90" customFormat="1" ht="14.25" spans="1:6">
      <c r="A90" s="7"/>
      <c r="C90" s="7"/>
      <c r="D90" s="7"/>
      <c r="E90" s="7"/>
      <c r="F90" s="7"/>
    </row>
    <row r="92" customFormat="1" ht="35" customHeight="1" spans="1:2">
      <c r="A92" s="6" t="s">
        <v>308</v>
      </c>
      <c r="B92" s="65" t="s">
        <v>360</v>
      </c>
    </row>
    <row r="93" customFormat="1" spans="2:2">
      <c r="B93" s="6" t="s">
        <v>200</v>
      </c>
    </row>
    <row r="94" customFormat="1" ht="14.25" spans="1:7">
      <c r="A94" s="7" t="s">
        <v>244</v>
      </c>
      <c r="C94" s="7" t="s">
        <v>310</v>
      </c>
      <c r="D94" s="7" t="s">
        <v>311</v>
      </c>
      <c r="E94" s="7" t="s">
        <v>312</v>
      </c>
      <c r="F94" s="7" t="s">
        <v>274</v>
      </c>
      <c r="G94" s="16" t="s">
        <v>361</v>
      </c>
    </row>
    <row r="95" customFormat="1" ht="14.25" spans="1:7">
      <c r="A95" s="7" t="s">
        <v>244</v>
      </c>
      <c r="C95" s="7" t="s">
        <v>310</v>
      </c>
      <c r="D95" s="7" t="s">
        <v>314</v>
      </c>
      <c r="E95" s="7" t="s">
        <v>315</v>
      </c>
      <c r="F95" s="7" t="s">
        <v>316</v>
      </c>
      <c r="G95" s="16"/>
    </row>
    <row r="96" customFormat="1" ht="14.25" spans="1:7">
      <c r="A96" s="7" t="s">
        <v>244</v>
      </c>
      <c r="C96" s="7" t="s">
        <v>310</v>
      </c>
      <c r="D96" s="7" t="s">
        <v>317</v>
      </c>
      <c r="E96" s="7" t="s">
        <v>318</v>
      </c>
      <c r="F96" s="7" t="s">
        <v>265</v>
      </c>
      <c r="G96" s="16"/>
    </row>
    <row r="97" customFormat="1" ht="14.25" spans="1:7">
      <c r="A97" s="7" t="s">
        <v>244</v>
      </c>
      <c r="C97" s="7" t="s">
        <v>310</v>
      </c>
      <c r="D97" s="7" t="s">
        <v>319</v>
      </c>
      <c r="E97" s="7" t="s">
        <v>320</v>
      </c>
      <c r="F97" s="7" t="s">
        <v>321</v>
      </c>
      <c r="G97" s="16"/>
    </row>
    <row r="98" customFormat="1" ht="14.25" spans="1:7">
      <c r="A98" s="7" t="s">
        <v>244</v>
      </c>
      <c r="C98" s="7" t="s">
        <v>310</v>
      </c>
      <c r="D98" s="7" t="s">
        <v>322</v>
      </c>
      <c r="E98" s="7" t="s">
        <v>323</v>
      </c>
      <c r="F98" s="7" t="s">
        <v>324</v>
      </c>
      <c r="G98" s="16"/>
    </row>
    <row r="99" customFormat="1" ht="14.25" spans="1:7">
      <c r="A99" s="7" t="s">
        <v>244</v>
      </c>
      <c r="C99" s="7" t="s">
        <v>310</v>
      </c>
      <c r="D99" s="7" t="s">
        <v>325</v>
      </c>
      <c r="E99" s="7" t="s">
        <v>326</v>
      </c>
      <c r="F99" s="7" t="s">
        <v>327</v>
      </c>
      <c r="G99" s="16"/>
    </row>
    <row r="100" customFormat="1" ht="14.25" spans="1:7">
      <c r="A100" s="7" t="s">
        <v>244</v>
      </c>
      <c r="C100" s="7" t="s">
        <v>310</v>
      </c>
      <c r="D100" s="7" t="s">
        <v>328</v>
      </c>
      <c r="E100" s="7" t="s">
        <v>329</v>
      </c>
      <c r="F100" s="7" t="s">
        <v>330</v>
      </c>
      <c r="G100" s="16"/>
    </row>
    <row r="101" customFormat="1" ht="14.25" spans="1:7">
      <c r="A101" s="7" t="s">
        <v>244</v>
      </c>
      <c r="C101" s="7" t="s">
        <v>310</v>
      </c>
      <c r="D101" s="7" t="s">
        <v>331</v>
      </c>
      <c r="E101" s="7" t="s">
        <v>332</v>
      </c>
      <c r="F101" s="7" t="s">
        <v>333</v>
      </c>
      <c r="G101" s="16"/>
    </row>
    <row r="102" customFormat="1" ht="14.25" spans="1:7">
      <c r="A102" s="7" t="s">
        <v>244</v>
      </c>
      <c r="C102" s="7" t="s">
        <v>310</v>
      </c>
      <c r="D102" s="7" t="s">
        <v>334</v>
      </c>
      <c r="E102" s="7" t="s">
        <v>335</v>
      </c>
      <c r="F102" s="7" t="s">
        <v>336</v>
      </c>
      <c r="G102" s="16"/>
    </row>
    <row r="103" customFormat="1" ht="14.25" spans="1:7">
      <c r="A103" s="7" t="s">
        <v>244</v>
      </c>
      <c r="C103" s="7" t="s">
        <v>310</v>
      </c>
      <c r="D103" s="7" t="s">
        <v>337</v>
      </c>
      <c r="E103" s="7" t="s">
        <v>338</v>
      </c>
      <c r="F103" s="7" t="s">
        <v>339</v>
      </c>
      <c r="G103" s="16"/>
    </row>
    <row r="104" customFormat="1" ht="14.25" spans="1:7">
      <c r="A104" s="7" t="s">
        <v>244</v>
      </c>
      <c r="C104" s="7" t="s">
        <v>310</v>
      </c>
      <c r="D104" s="7" t="s">
        <v>340</v>
      </c>
      <c r="E104" s="7" t="s">
        <v>341</v>
      </c>
      <c r="F104" s="7" t="s">
        <v>342</v>
      </c>
      <c r="G104" s="16"/>
    </row>
  </sheetData>
  <mergeCells count="17">
    <mergeCell ref="B3:B11"/>
    <mergeCell ref="C47:C48"/>
    <mergeCell ref="D47:D48"/>
    <mergeCell ref="E47:E48"/>
    <mergeCell ref="G13:G21"/>
    <mergeCell ref="G24:G34"/>
    <mergeCell ref="G37:G42"/>
    <mergeCell ref="G47:G48"/>
    <mergeCell ref="G53:G57"/>
    <mergeCell ref="G61:G64"/>
    <mergeCell ref="G69:G74"/>
    <mergeCell ref="G77:G80"/>
    <mergeCell ref="G85:G89"/>
    <mergeCell ref="G94:G104"/>
    <mergeCell ref="H17:H19"/>
    <mergeCell ref="H24:H34"/>
    <mergeCell ref="H54:H56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topLeftCell="F1" workbookViewId="0">
      <selection activeCell="R3" sqref="R3:T3"/>
    </sheetView>
  </sheetViews>
  <sheetFormatPr defaultColWidth="9" defaultRowHeight="13.5" outlineLevelRow="2"/>
  <cols>
    <col min="1" max="1" width="14.5166666666667" customWidth="1"/>
    <col min="2" max="2" width="13.45" style="16" customWidth="1"/>
    <col min="3" max="3" width="18" customWidth="1"/>
    <col min="4" max="4" width="20.8166666666667" customWidth="1"/>
    <col min="5" max="5" width="16" customWidth="1"/>
    <col min="6" max="6" width="16.3583333333333" customWidth="1"/>
    <col min="8" max="8" width="10.5583333333333" customWidth="1"/>
    <col min="9" max="9" width="12.2666666666667" customWidth="1"/>
    <col min="11" max="11" width="9" style="16"/>
    <col min="12" max="12" width="17.65" customWidth="1"/>
    <col min="13" max="13" width="12.8"/>
    <col min="14" max="14" width="16.5583333333333" customWidth="1"/>
    <col min="15" max="15" width="12.6166666666667" customWidth="1"/>
    <col min="16" max="16" width="13.3583333333333" customWidth="1"/>
    <col min="17" max="17" width="11.45" customWidth="1"/>
    <col min="18" max="18" width="26.6666666666667" customWidth="1"/>
    <col min="19" max="19" width="21.0916666666667" customWidth="1"/>
    <col min="20" max="20" width="22.3583333333333" customWidth="1"/>
  </cols>
  <sheetData>
    <row r="1" s="1" customFormat="1" ht="25" customHeight="1" spans="1:2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 t="s">
        <v>8</v>
      </c>
      <c r="J1" s="10" t="s">
        <v>9</v>
      </c>
      <c r="K1" s="5" t="s">
        <v>10</v>
      </c>
      <c r="L1" s="1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362</v>
      </c>
      <c r="R1" s="3" t="s">
        <v>363</v>
      </c>
      <c r="S1" s="1" t="s">
        <v>364</v>
      </c>
      <c r="T1" s="1" t="s">
        <v>365</v>
      </c>
    </row>
    <row r="2" customFormat="1" spans="1:18">
      <c r="A2" s="22"/>
      <c r="B2" s="23" t="s">
        <v>181</v>
      </c>
      <c r="C2" s="22"/>
      <c r="D2" s="22"/>
      <c r="E2" s="22"/>
      <c r="F2" s="22"/>
      <c r="G2" s="24"/>
      <c r="H2" s="25"/>
      <c r="I2" s="24"/>
      <c r="J2" s="25"/>
      <c r="K2" s="30"/>
      <c r="L2" s="31"/>
      <c r="M2" s="31"/>
      <c r="N2" s="31"/>
      <c r="O2" s="31"/>
      <c r="P2" s="31"/>
      <c r="Q2" s="16"/>
      <c r="R2" s="17"/>
    </row>
    <row r="3" customFormat="1" ht="54" spans="1:20">
      <c r="A3" s="13" t="s">
        <v>194</v>
      </c>
      <c r="B3" s="26" t="s">
        <v>18</v>
      </c>
      <c r="C3" s="27" t="s">
        <v>195</v>
      </c>
      <c r="D3" s="13" t="s">
        <v>196</v>
      </c>
      <c r="E3" s="13" t="s">
        <v>197</v>
      </c>
      <c r="F3" s="13" t="s">
        <v>198</v>
      </c>
      <c r="G3" s="28">
        <v>720</v>
      </c>
      <c r="H3" s="29">
        <v>6</v>
      </c>
      <c r="I3" s="29">
        <f>G3*6</f>
        <v>4320</v>
      </c>
      <c r="J3" s="29">
        <v>36</v>
      </c>
      <c r="K3" s="12">
        <f>G3/H3</f>
        <v>120</v>
      </c>
      <c r="L3" s="27" t="s">
        <v>199</v>
      </c>
      <c r="M3" s="13">
        <f>(61.5*31.5*36)/1000000</f>
        <v>0.069741</v>
      </c>
      <c r="N3" s="13">
        <v>12.1</v>
      </c>
      <c r="O3" s="13">
        <f>N3*K3</f>
        <v>1452</v>
      </c>
      <c r="P3" s="13">
        <f>M3*K3</f>
        <v>8.36892</v>
      </c>
      <c r="Q3" t="s">
        <v>366</v>
      </c>
      <c r="R3" s="32" t="s">
        <v>367</v>
      </c>
      <c r="S3" t="s">
        <v>368</v>
      </c>
      <c r="T3" t="s">
        <v>369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workbookViewId="0">
      <selection activeCell="R3" sqref="R3:R7"/>
    </sheetView>
  </sheetViews>
  <sheetFormatPr defaultColWidth="9" defaultRowHeight="13.5" outlineLevelRow="6"/>
  <cols>
    <col min="4" max="4" width="17.5" customWidth="1"/>
    <col min="17" max="17" width="10.375" customWidth="1"/>
    <col min="18" max="18" width="20.625" customWidth="1"/>
    <col min="19" max="19" width="19.625" customWidth="1"/>
  </cols>
  <sheetData>
    <row r="1" s="1" customFormat="1" ht="25" customHeight="1" spans="1:2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 t="s">
        <v>8</v>
      </c>
      <c r="J1" s="10" t="s">
        <v>9</v>
      </c>
      <c r="K1" s="5" t="s">
        <v>10</v>
      </c>
      <c r="L1" s="1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362</v>
      </c>
      <c r="R1" s="3" t="s">
        <v>363</v>
      </c>
      <c r="S1" s="1" t="s">
        <v>364</v>
      </c>
      <c r="T1" s="1" t="s">
        <v>365</v>
      </c>
    </row>
    <row r="2" spans="2:16">
      <c r="B2" s="6" t="s">
        <v>243</v>
      </c>
      <c r="K2" s="12"/>
      <c r="L2" s="13"/>
      <c r="M2" s="13"/>
      <c r="N2" s="13"/>
      <c r="O2" s="13"/>
      <c r="P2" s="13"/>
    </row>
    <row r="3" ht="14.25" spans="1:20">
      <c r="A3" s="7" t="s">
        <v>244</v>
      </c>
      <c r="C3" s="7" t="s">
        <v>245</v>
      </c>
      <c r="D3" s="7" t="s">
        <v>246</v>
      </c>
      <c r="E3" s="18" t="s">
        <v>247</v>
      </c>
      <c r="F3" s="19" t="s">
        <v>248</v>
      </c>
      <c r="G3" s="19">
        <v>60</v>
      </c>
      <c r="H3" s="19">
        <v>12</v>
      </c>
      <c r="I3" s="19">
        <f t="shared" ref="I3:I7" si="0">G3</f>
        <v>60</v>
      </c>
      <c r="J3" s="19">
        <v>12</v>
      </c>
      <c r="K3" s="14">
        <f t="shared" ref="K3:K7" si="1">G3/J3</f>
        <v>5</v>
      </c>
      <c r="L3" s="20" t="s">
        <v>249</v>
      </c>
      <c r="M3" s="15">
        <v>0.063</v>
      </c>
      <c r="N3" s="15">
        <v>9.63</v>
      </c>
      <c r="O3" s="21">
        <f t="shared" ref="O3:O7" si="2">N3*K3</f>
        <v>48.15</v>
      </c>
      <c r="P3" s="20">
        <f t="shared" ref="P3:P7" si="3">M3*K3</f>
        <v>0.315</v>
      </c>
      <c r="Q3" s="16" t="s">
        <v>370</v>
      </c>
      <c r="R3" s="17" t="s">
        <v>371</v>
      </c>
      <c r="S3" t="s">
        <v>372</v>
      </c>
      <c r="T3" t="s">
        <v>373</v>
      </c>
    </row>
    <row r="4" ht="14.25" spans="1:20">
      <c r="A4" s="7" t="s">
        <v>244</v>
      </c>
      <c r="C4" s="7" t="s">
        <v>250</v>
      </c>
      <c r="D4" s="7" t="s">
        <v>251</v>
      </c>
      <c r="E4" s="19" t="s">
        <v>252</v>
      </c>
      <c r="F4" s="19" t="s">
        <v>253</v>
      </c>
      <c r="G4" s="19">
        <v>42</v>
      </c>
      <c r="H4" s="19">
        <v>14</v>
      </c>
      <c r="I4" s="19">
        <f t="shared" si="0"/>
        <v>42</v>
      </c>
      <c r="J4" s="19">
        <v>14</v>
      </c>
      <c r="K4" s="14">
        <f t="shared" si="1"/>
        <v>3</v>
      </c>
      <c r="L4" s="20" t="s">
        <v>254</v>
      </c>
      <c r="M4" s="15">
        <f>(57*30*36)/1000000</f>
        <v>0.06156</v>
      </c>
      <c r="N4" s="15">
        <v>10.97</v>
      </c>
      <c r="O4" s="21">
        <f t="shared" si="2"/>
        <v>32.91</v>
      </c>
      <c r="P4" s="20">
        <f t="shared" si="3"/>
        <v>0.18468</v>
      </c>
      <c r="Q4" s="16"/>
      <c r="R4" s="17"/>
      <c r="S4" t="s">
        <v>374</v>
      </c>
      <c r="T4" t="s">
        <v>375</v>
      </c>
    </row>
    <row r="5" ht="14.25" spans="1:20">
      <c r="A5" s="7" t="s">
        <v>244</v>
      </c>
      <c r="C5" s="7" t="s">
        <v>255</v>
      </c>
      <c r="D5" s="18" t="s">
        <v>256</v>
      </c>
      <c r="E5" s="19" t="s">
        <v>257</v>
      </c>
      <c r="F5" s="19" t="s">
        <v>258</v>
      </c>
      <c r="G5" s="19">
        <v>100</v>
      </c>
      <c r="H5" s="19">
        <v>10</v>
      </c>
      <c r="I5" s="19">
        <f t="shared" si="0"/>
        <v>100</v>
      </c>
      <c r="J5" s="19">
        <v>10</v>
      </c>
      <c r="K5" s="14">
        <f t="shared" si="1"/>
        <v>10</v>
      </c>
      <c r="L5" s="20" t="s">
        <v>259</v>
      </c>
      <c r="M5" s="15">
        <v>0.06</v>
      </c>
      <c r="N5" s="15">
        <v>11.15</v>
      </c>
      <c r="O5" s="15">
        <f t="shared" si="2"/>
        <v>111.5</v>
      </c>
      <c r="P5" s="15">
        <f t="shared" si="3"/>
        <v>0.6</v>
      </c>
      <c r="Q5" s="16"/>
      <c r="R5" s="17"/>
      <c r="S5" t="s">
        <v>376</v>
      </c>
      <c r="T5" t="s">
        <v>377</v>
      </c>
    </row>
    <row r="6" ht="14.25" spans="1:20">
      <c r="A6" s="7" t="s">
        <v>244</v>
      </c>
      <c r="C6" s="7" t="s">
        <v>255</v>
      </c>
      <c r="D6" s="18" t="s">
        <v>260</v>
      </c>
      <c r="E6" s="18" t="s">
        <v>261</v>
      </c>
      <c r="F6" s="19" t="s">
        <v>258</v>
      </c>
      <c r="G6" s="19">
        <v>80</v>
      </c>
      <c r="H6" s="19">
        <v>10</v>
      </c>
      <c r="I6" s="19">
        <f t="shared" si="0"/>
        <v>80</v>
      </c>
      <c r="J6" s="19">
        <v>10</v>
      </c>
      <c r="K6" s="14">
        <f t="shared" si="1"/>
        <v>8</v>
      </c>
      <c r="L6" s="20" t="s">
        <v>259</v>
      </c>
      <c r="M6" s="15">
        <v>0.06</v>
      </c>
      <c r="N6" s="15">
        <v>11.15</v>
      </c>
      <c r="O6" s="15">
        <f t="shared" si="2"/>
        <v>89.2</v>
      </c>
      <c r="P6" s="15">
        <f t="shared" si="3"/>
        <v>0.48</v>
      </c>
      <c r="Q6" s="16"/>
      <c r="R6" s="17"/>
      <c r="S6" t="s">
        <v>378</v>
      </c>
      <c r="T6" t="s">
        <v>379</v>
      </c>
    </row>
    <row r="7" ht="14.25" spans="1:20">
      <c r="A7" s="7" t="s">
        <v>244</v>
      </c>
      <c r="C7" s="7" t="s">
        <v>262</v>
      </c>
      <c r="D7" s="19" t="s">
        <v>263</v>
      </c>
      <c r="E7" s="19" t="s">
        <v>264</v>
      </c>
      <c r="F7" s="19" t="s">
        <v>265</v>
      </c>
      <c r="G7" s="19">
        <v>60</v>
      </c>
      <c r="H7" s="19">
        <v>10</v>
      </c>
      <c r="I7" s="19">
        <f t="shared" si="0"/>
        <v>60</v>
      </c>
      <c r="J7" s="19">
        <v>10</v>
      </c>
      <c r="K7" s="14">
        <f t="shared" si="1"/>
        <v>6</v>
      </c>
      <c r="L7" s="15" t="s">
        <v>266</v>
      </c>
      <c r="M7" s="15">
        <v>0.062</v>
      </c>
      <c r="N7" s="15">
        <v>12</v>
      </c>
      <c r="O7" s="15">
        <f t="shared" si="2"/>
        <v>72</v>
      </c>
      <c r="P7" s="15">
        <f t="shared" si="3"/>
        <v>0.372</v>
      </c>
      <c r="Q7" s="16"/>
      <c r="R7" s="17"/>
      <c r="S7" t="s">
        <v>380</v>
      </c>
      <c r="T7" t="s">
        <v>381</v>
      </c>
    </row>
  </sheetData>
  <mergeCells count="2">
    <mergeCell ref="Q3:Q7"/>
    <mergeCell ref="R3:R7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workbookViewId="0">
      <selection activeCell="J11" sqref="J11"/>
    </sheetView>
  </sheetViews>
  <sheetFormatPr defaultColWidth="9" defaultRowHeight="13.5" outlineLevelRow="5"/>
  <cols>
    <col min="3" max="3" width="5.75" customWidth="1"/>
    <col min="4" max="4" width="22.5" customWidth="1"/>
    <col min="5" max="6" width="12.875" customWidth="1"/>
    <col min="7" max="7" width="12.625" customWidth="1"/>
    <col min="19" max="19" width="18.75" customWidth="1"/>
    <col min="20" max="20" width="19.5" customWidth="1"/>
  </cols>
  <sheetData>
    <row r="1" s="1" customFormat="1" ht="25" customHeight="1" spans="2:21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9" t="s">
        <v>8</v>
      </c>
      <c r="K1" s="10" t="s">
        <v>9</v>
      </c>
      <c r="L1" s="5" t="s">
        <v>10</v>
      </c>
      <c r="M1" s="11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362</v>
      </c>
      <c r="S1" s="3" t="s">
        <v>363</v>
      </c>
      <c r="T1" s="1" t="s">
        <v>364</v>
      </c>
      <c r="U1" s="1" t="s">
        <v>365</v>
      </c>
    </row>
    <row r="2" spans="3:17">
      <c r="C2" s="6" t="s">
        <v>267</v>
      </c>
      <c r="L2" s="12"/>
      <c r="M2" s="13"/>
      <c r="N2" s="13"/>
      <c r="O2" s="13"/>
      <c r="P2" s="13"/>
      <c r="Q2" s="13"/>
    </row>
    <row r="3" ht="33" customHeight="1" spans="2:21">
      <c r="B3" s="7" t="s">
        <v>244</v>
      </c>
      <c r="D3" s="7" t="s">
        <v>268</v>
      </c>
      <c r="E3" s="7" t="s">
        <v>269</v>
      </c>
      <c r="F3" s="7" t="s">
        <v>270</v>
      </c>
      <c r="G3" s="7" t="s">
        <v>258</v>
      </c>
      <c r="H3" s="8">
        <v>100</v>
      </c>
      <c r="I3" s="8">
        <v>10</v>
      </c>
      <c r="J3" s="8">
        <f t="shared" ref="J3:J6" si="0">H3</f>
        <v>100</v>
      </c>
      <c r="K3" s="8">
        <v>10</v>
      </c>
      <c r="L3" s="14">
        <f t="shared" ref="L3:L6" si="1">H3/I3</f>
        <v>10</v>
      </c>
      <c r="M3" s="15" t="s">
        <v>266</v>
      </c>
      <c r="N3" s="15">
        <v>0.06</v>
      </c>
      <c r="O3" s="15">
        <v>11.15</v>
      </c>
      <c r="P3" s="15">
        <f t="shared" ref="P3:P6" si="2">O3*L3</f>
        <v>111.5</v>
      </c>
      <c r="Q3" s="15">
        <f>N3*L3</f>
        <v>0.6</v>
      </c>
      <c r="R3" s="16" t="s">
        <v>382</v>
      </c>
      <c r="S3" s="17" t="s">
        <v>383</v>
      </c>
      <c r="T3" t="s">
        <v>384</v>
      </c>
      <c r="U3" t="s">
        <v>385</v>
      </c>
    </row>
    <row r="4" ht="33" customHeight="1" spans="1:21">
      <c r="A4" t="s">
        <v>386</v>
      </c>
      <c r="B4" s="7" t="s">
        <v>244</v>
      </c>
      <c r="D4" s="7" t="s">
        <v>271</v>
      </c>
      <c r="E4" s="7" t="s">
        <v>272</v>
      </c>
      <c r="F4" s="7" t="s">
        <v>273</v>
      </c>
      <c r="G4" s="7" t="s">
        <v>274</v>
      </c>
      <c r="H4" s="8">
        <v>100</v>
      </c>
      <c r="I4" s="8">
        <v>10</v>
      </c>
      <c r="J4" s="8">
        <f t="shared" si="0"/>
        <v>100</v>
      </c>
      <c r="K4" s="8">
        <v>10</v>
      </c>
      <c r="L4" s="14">
        <f t="shared" si="1"/>
        <v>10</v>
      </c>
      <c r="M4" s="15" t="s">
        <v>266</v>
      </c>
      <c r="N4" s="15">
        <v>0.062</v>
      </c>
      <c r="O4" s="15">
        <v>11.25</v>
      </c>
      <c r="P4" s="15">
        <f t="shared" si="2"/>
        <v>112.5</v>
      </c>
      <c r="Q4" s="15">
        <f t="shared" ref="Q4:Q6" si="3">L4*N4</f>
        <v>0.62</v>
      </c>
      <c r="R4" s="16"/>
      <c r="S4" s="17"/>
      <c r="T4" t="s">
        <v>387</v>
      </c>
      <c r="U4" t="s">
        <v>388</v>
      </c>
    </row>
    <row r="5" ht="33" customHeight="1" spans="2:21">
      <c r="B5" s="7" t="s">
        <v>244</v>
      </c>
      <c r="D5" s="7" t="s">
        <v>271</v>
      </c>
      <c r="E5" s="7" t="s">
        <v>275</v>
      </c>
      <c r="F5" s="7" t="s">
        <v>276</v>
      </c>
      <c r="G5" s="7" t="s">
        <v>277</v>
      </c>
      <c r="H5" s="8">
        <v>60</v>
      </c>
      <c r="I5" s="8">
        <v>6</v>
      </c>
      <c r="J5" s="8">
        <f t="shared" si="0"/>
        <v>60</v>
      </c>
      <c r="K5" s="8">
        <v>6</v>
      </c>
      <c r="L5" s="14">
        <f t="shared" si="1"/>
        <v>10</v>
      </c>
      <c r="M5" s="15" t="s">
        <v>278</v>
      </c>
      <c r="N5" s="15">
        <v>0.066</v>
      </c>
      <c r="O5" s="15">
        <v>12</v>
      </c>
      <c r="P5" s="15">
        <f t="shared" si="2"/>
        <v>120</v>
      </c>
      <c r="Q5" s="15">
        <f t="shared" si="3"/>
        <v>0.66</v>
      </c>
      <c r="R5" s="16"/>
      <c r="S5" s="17"/>
      <c r="T5" t="s">
        <v>389</v>
      </c>
      <c r="U5" t="s">
        <v>390</v>
      </c>
    </row>
    <row r="6" ht="33" customHeight="1" spans="2:21">
      <c r="B6" s="7" t="s">
        <v>244</v>
      </c>
      <c r="D6" s="7" t="s">
        <v>279</v>
      </c>
      <c r="E6" s="7" t="s">
        <v>280</v>
      </c>
      <c r="F6" s="7" t="s">
        <v>281</v>
      </c>
      <c r="G6" s="7" t="s">
        <v>253</v>
      </c>
      <c r="H6" s="7">
        <v>28</v>
      </c>
      <c r="I6" s="8">
        <v>14</v>
      </c>
      <c r="J6" s="8">
        <f t="shared" si="0"/>
        <v>28</v>
      </c>
      <c r="K6" s="8">
        <v>14</v>
      </c>
      <c r="L6" s="14">
        <f t="shared" si="1"/>
        <v>2</v>
      </c>
      <c r="M6" s="15" t="s">
        <v>266</v>
      </c>
      <c r="N6" s="15">
        <v>0.061</v>
      </c>
      <c r="O6" s="15">
        <v>13</v>
      </c>
      <c r="P6" s="15">
        <f t="shared" si="2"/>
        <v>26</v>
      </c>
      <c r="Q6" s="15">
        <f t="shared" si="3"/>
        <v>0.122</v>
      </c>
      <c r="R6" s="16"/>
      <c r="S6" s="17"/>
      <c r="T6" t="s">
        <v>391</v>
      </c>
      <c r="U6" t="s">
        <v>392</v>
      </c>
    </row>
  </sheetData>
  <mergeCells count="2">
    <mergeCell ref="R3:R6"/>
    <mergeCell ref="S3:S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备货汇总</vt:lpstr>
      <vt:lpstr>贴标要求</vt:lpstr>
      <vt:lpstr>TCY2 </vt:lpstr>
      <vt:lpstr>GEU3 </vt:lpstr>
      <vt:lpstr>MIT2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14019</dc:creator>
  <cp:lastModifiedBy>蓓蓓</cp:lastModifiedBy>
  <dcterms:created xsi:type="dcterms:W3CDTF">2023-05-12T11:15:00Z</dcterms:created>
  <dcterms:modified xsi:type="dcterms:W3CDTF">2025-10-21T08:29:09Z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B1F7F447C3824F108F0B04CEF67AF65D_13</vt:lpwstr>
  </property>
  <property fmtid="{D5CDD505-2E9C-101B-9397-08002B2CF9AE}" pid="4" name="KSOReadingLayout">
    <vt:bool>true</vt:bool>
  </property>
</Properties>
</file>