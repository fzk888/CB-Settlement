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375"/>
  </bookViews>
  <sheets>
    <sheet name="汇总" sheetId="1" r:id="rId1"/>
  </sheets>
  <externalReferences>
    <externalReference r:id="rId2"/>
    <externalReference r:id="rId3"/>
  </externalReferences>
  <definedNames>
    <definedName name="requiredAttributePTDMap">[1]AttributePTDMAP!$A$1:$C$27</definedName>
    <definedName name="mattresscoveritem_display_width_unit_of_measure">'[2]Dropdown Lists'!$F$4:$F$18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86180</author>
  </authors>
  <commentList>
    <comment ref="M1" authorId="0">
      <text>
        <r>
          <rPr>
            <b/>
            <sz val="9"/>
            <rFont val="宋体"/>
            <charset val="134"/>
          </rPr>
          <t>86180:</t>
        </r>
        <r>
          <rPr>
            <sz val="9"/>
            <rFont val="宋体"/>
            <charset val="134"/>
          </rPr>
          <t xml:space="preserve">
箱规需填</t>
        </r>
      </text>
    </comment>
  </commentList>
</comments>
</file>

<file path=xl/sharedStrings.xml><?xml version="1.0" encoding="utf-8"?>
<sst xmlns="http://schemas.openxmlformats.org/spreadsheetml/2006/main" count="52" uniqueCount="43">
  <si>
    <t>运营人员</t>
  </si>
  <si>
    <t>时间</t>
  </si>
  <si>
    <t>备注</t>
  </si>
  <si>
    <t>品名</t>
  </si>
  <si>
    <t>SKU</t>
  </si>
  <si>
    <t>FNSKU</t>
  </si>
  <si>
    <t>原ASIN</t>
  </si>
  <si>
    <t>发货套数</t>
  </si>
  <si>
    <t>套数/箱</t>
  </si>
  <si>
    <t>拣货数量</t>
  </si>
  <si>
    <t>个数/箱</t>
  </si>
  <si>
    <t>箱数</t>
  </si>
  <si>
    <t>箱规</t>
  </si>
  <si>
    <t>单箱体积</t>
  </si>
  <si>
    <t>单箱重量（kg）</t>
  </si>
  <si>
    <t>总重</t>
  </si>
  <si>
    <t>总体积</t>
  </si>
  <si>
    <t>派送仓库</t>
  </si>
  <si>
    <t>FBA ID</t>
  </si>
  <si>
    <t>到</t>
  </si>
  <si>
    <t>海外仓  账号6</t>
  </si>
  <si>
    <t>谢欢</t>
  </si>
  <si>
    <t>6月第二柜</t>
  </si>
  <si>
    <t>柜号CSNU5572673</t>
  </si>
  <si>
    <t>床罩（毛面）</t>
  </si>
  <si>
    <t>6PM-6-9"-Twin</t>
  </si>
  <si>
    <t>X004NI88L9</t>
  </si>
  <si>
    <t>B004BA8UWA</t>
  </si>
  <si>
    <t>57x30x37CM (箱)</t>
  </si>
  <si>
    <t>FBA1901VKC60
MIT2
箱数：54箱
产品数量：396个</t>
  </si>
  <si>
    <t>FBA1901VKC60U000021</t>
  </si>
  <si>
    <t>FBA1901VKC60U000038</t>
  </si>
  <si>
    <t>6PM-9-12"-King</t>
  </si>
  <si>
    <t>X004NIJ359</t>
  </si>
  <si>
    <t>B004BAB2LG</t>
  </si>
  <si>
    <t>60x34x32CM (箱)</t>
  </si>
  <si>
    <t>FBA1901VKC60U000039</t>
  </si>
  <si>
    <t>FBA1901VKC60U000054</t>
  </si>
  <si>
    <t>6PM-12-15"-King</t>
  </si>
  <si>
    <t>X004NI8BST</t>
  </si>
  <si>
    <t>B004BACOYU</t>
  </si>
  <si>
    <t>FBA1901VKC60U000001</t>
  </si>
  <si>
    <t>FBA1901VKC60U000020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</si>
</sst>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2"/>
      <color rgb="FFFF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right"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3" borderId="0" xfId="0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0" xfId="0" applyFont="1" applyFill="1" applyBorder="1" applyAlignment="1">
      <alignment horizontal="right" vertical="center"/>
    </xf>
    <xf numFmtId="0" fontId="4" fillId="5" borderId="0" xfId="0" applyFont="1" applyFill="1" applyBorder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>
      <alignment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4019\Desktop\Super%20Browser\&#21271;&#32654;1%20-%20[&#26131;&#34701;&#35785;&#20844;&#21496;]&#33258;&#27880;&#20876;SC\&#25209;&#37327;&#25991;&#20214;\6%20&#38271;&#25265;&#26517;&#22871;\BODY_PILLOWCAS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Y\Documents\WeChat%20Files\wxid_vqiqkpzldivf22\FileStorage\File\2025-04\MATTRESS_COVER%20(2)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Images"/>
      <sheetName val="Example"/>
      <sheetName val="Data Definitions"/>
      <sheetName val="Dropdown Lists"/>
      <sheetName val="AttributePTDMAP"/>
      <sheetName val="Template"/>
      <sheetName val="Browse Data"/>
      <sheetName val="Conditions List"/>
      <sheetName val="Valid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"/>
  <sheetViews>
    <sheetView tabSelected="1" zoomScale="85" zoomScaleNormal="85" workbookViewId="0">
      <pane ySplit="1" topLeftCell="A2" activePane="bottomLeft" state="frozen"/>
      <selection/>
      <selection pane="bottomLeft" activeCell="D11" sqref="D11"/>
    </sheetView>
  </sheetViews>
  <sheetFormatPr defaultColWidth="9" defaultRowHeight="13.5" outlineLevelRow="4"/>
  <cols>
    <col min="1" max="1" width="8.3716814159292" style="1" customWidth="1"/>
    <col min="2" max="2" width="10.8761061946903" style="1" customWidth="1"/>
    <col min="3" max="3" width="17.4867256637168" style="1" customWidth="1"/>
    <col min="4" max="4" width="22.2035398230088" style="1" customWidth="1"/>
    <col min="5" max="5" width="16" style="1" customWidth="1"/>
    <col min="6" max="6" width="11.4690265486726" style="1" customWidth="1"/>
    <col min="7" max="7" width="14.3716814159292" style="2" customWidth="1"/>
    <col min="8" max="8" width="10.5486725663717" style="2" customWidth="1"/>
    <col min="9" max="9" width="8.23008849557522" style="2" customWidth="1"/>
    <col min="10" max="10" width="11.1769911504425" style="2" customWidth="1"/>
    <col min="11" max="11" width="12.7964601769912" style="1"/>
    <col min="12" max="12" width="8.52212389380531" style="1" customWidth="1"/>
    <col min="13" max="13" width="13.9646017699115" style="1" customWidth="1"/>
    <col min="14" max="14" width="9.70796460176991" style="1" customWidth="1"/>
    <col min="15" max="15" width="14.5486725663717" style="1" customWidth="1"/>
    <col min="16" max="16" width="8.66371681415929" style="1" customWidth="1"/>
    <col min="17" max="17" width="10" customWidth="1"/>
    <col min="18" max="18" width="18.6725663716814" customWidth="1"/>
    <col min="19" max="19" width="22.5044247787611" customWidth="1"/>
    <col min="20" max="16384" width="9" style="1"/>
  </cols>
  <sheetData>
    <row r="1" s="1" customFormat="1" ht="25" customHeight="1" spans="1:20">
      <c r="A1" s="1" t="s">
        <v>0</v>
      </c>
      <c r="B1" s="1" t="s">
        <v>1</v>
      </c>
      <c r="C1" s="1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2" t="s">
        <v>9</v>
      </c>
      <c r="K1" s="13" t="s">
        <v>10</v>
      </c>
      <c r="L1" s="5" t="s">
        <v>11</v>
      </c>
      <c r="M1" s="1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4" t="s">
        <v>17</v>
      </c>
      <c r="S1" s="3" t="s">
        <v>18</v>
      </c>
      <c r="T1" s="1" t="s">
        <v>19</v>
      </c>
    </row>
    <row r="2" s="1" customFormat="1" spans="3:19">
      <c r="C2" s="7" t="s">
        <v>20</v>
      </c>
      <c r="H2" s="2"/>
      <c r="I2" s="2"/>
      <c r="J2" s="2"/>
      <c r="K2" s="2"/>
      <c r="M2" s="15"/>
      <c r="R2"/>
      <c r="S2"/>
    </row>
    <row r="3" ht="22" customHeight="1" spans="1:20">
      <c r="A3" s="8" t="s">
        <v>21</v>
      </c>
      <c r="B3" s="9" t="s">
        <v>22</v>
      </c>
      <c r="C3" s="1" t="s">
        <v>23</v>
      </c>
      <c r="D3" s="8" t="s">
        <v>24</v>
      </c>
      <c r="E3" s="8" t="s">
        <v>25</v>
      </c>
      <c r="F3" s="8" t="s">
        <v>26</v>
      </c>
      <c r="G3" s="8" t="s">
        <v>27</v>
      </c>
      <c r="H3" s="10">
        <v>180</v>
      </c>
      <c r="I3" s="16">
        <v>10</v>
      </c>
      <c r="J3" s="16">
        <f>H3</f>
        <v>180</v>
      </c>
      <c r="K3" s="17">
        <v>10</v>
      </c>
      <c r="L3" s="18">
        <f>H3/I3</f>
        <v>18</v>
      </c>
      <c r="M3" s="19" t="s">
        <v>28</v>
      </c>
      <c r="N3" s="19">
        <v>0.062</v>
      </c>
      <c r="O3" s="16">
        <v>12</v>
      </c>
      <c r="P3" s="17">
        <f>O3*L3</f>
        <v>216</v>
      </c>
      <c r="Q3" s="16">
        <f>N3*L3</f>
        <v>1.116</v>
      </c>
      <c r="R3" s="25" t="s">
        <v>29</v>
      </c>
      <c r="S3" t="s">
        <v>30</v>
      </c>
      <c r="T3" s="1" t="s">
        <v>31</v>
      </c>
    </row>
    <row r="4" ht="22" customHeight="1" spans="1:20">
      <c r="A4" s="8" t="s">
        <v>21</v>
      </c>
      <c r="B4" s="9" t="s">
        <v>22</v>
      </c>
      <c r="C4" s="1" t="s">
        <v>23</v>
      </c>
      <c r="D4" s="8" t="s">
        <v>24</v>
      </c>
      <c r="E4" s="8" t="s">
        <v>32</v>
      </c>
      <c r="F4" s="8" t="s">
        <v>33</v>
      </c>
      <c r="G4" s="8" t="s">
        <v>34</v>
      </c>
      <c r="H4" s="11">
        <v>96</v>
      </c>
      <c r="I4" s="20">
        <v>6</v>
      </c>
      <c r="J4" s="20">
        <f>H4</f>
        <v>96</v>
      </c>
      <c r="K4" s="20">
        <v>6</v>
      </c>
      <c r="L4" s="21">
        <f>H4/I4</f>
        <v>16</v>
      </c>
      <c r="M4" t="s">
        <v>35</v>
      </c>
      <c r="N4">
        <v>0.066</v>
      </c>
      <c r="O4" s="20">
        <v>12</v>
      </c>
      <c r="P4" s="20">
        <f>O4*L4</f>
        <v>192</v>
      </c>
      <c r="Q4" s="20">
        <f>N4*L4</f>
        <v>1.056</v>
      </c>
      <c r="R4" s="9"/>
      <c r="S4" t="s">
        <v>36</v>
      </c>
      <c r="T4" t="s">
        <v>37</v>
      </c>
    </row>
    <row r="5" ht="22" customHeight="1" spans="1:20">
      <c r="A5" s="8" t="s">
        <v>21</v>
      </c>
      <c r="B5" s="9" t="s">
        <v>22</v>
      </c>
      <c r="C5" s="1" t="s">
        <v>23</v>
      </c>
      <c r="D5" s="8" t="s">
        <v>24</v>
      </c>
      <c r="E5" s="8" t="s">
        <v>38</v>
      </c>
      <c r="F5" s="8" t="s">
        <v>39</v>
      </c>
      <c r="G5" s="8" t="s">
        <v>40</v>
      </c>
      <c r="H5" s="11">
        <v>120</v>
      </c>
      <c r="I5" s="22">
        <v>6</v>
      </c>
      <c r="J5" s="22">
        <f>H5</f>
        <v>120</v>
      </c>
      <c r="K5" s="22">
        <v>6</v>
      </c>
      <c r="L5" s="21">
        <f>H5/I5</f>
        <v>20</v>
      </c>
      <c r="M5" s="23" t="s">
        <v>35</v>
      </c>
      <c r="N5" s="23">
        <v>0.066</v>
      </c>
      <c r="O5" s="22">
        <v>12</v>
      </c>
      <c r="P5" s="22">
        <f>O5*L5</f>
        <v>240</v>
      </c>
      <c r="Q5" s="22">
        <f>N5*L5</f>
        <v>1.32</v>
      </c>
      <c r="R5" s="9"/>
      <c r="S5" t="s">
        <v>41</v>
      </c>
      <c r="T5" s="1" t="s">
        <v>42</v>
      </c>
    </row>
  </sheetData>
  <mergeCells count="1">
    <mergeCell ref="R3:R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蓓蓓</cp:lastModifiedBy>
  <dcterms:created xsi:type="dcterms:W3CDTF">2025-04-24T08:42:00Z</dcterms:created>
  <dcterms:modified xsi:type="dcterms:W3CDTF">2025-08-12T09:02:13Z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E58B5D85D94B4B53AD5290F418C84B5C_13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