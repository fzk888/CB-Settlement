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<sst xmlns="http://schemas.openxmlformats.org/spreadsheetml/2006/main" count="50" uniqueCount="47">
  <si>
    <t>柜号</t>
  </si>
  <si>
    <t>备注</t>
  </si>
  <si>
    <t>品名</t>
  </si>
  <si>
    <t>SKU</t>
  </si>
  <si>
    <t>原FNSKU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</si>
  <si>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</si>
  <si>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</si>
  <si>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</si>
  <si>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</si>
  <si>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</si>
  <si>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</si>
  <si>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</si>
  <si>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</si>
  <si>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</si>
  <si>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</si>
  <si>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</si>
  <si>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</si>
  <si>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</si>
  <si>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货件编号 从</t>
  </si>
  <si>
    <t>到</t>
  </si>
  <si>
    <t>0603 柜号SEKU6513112</t>
  </si>
  <si>
    <t>需要重新贴产品标签贴两张，覆盖原产品标签</t>
  </si>
  <si>
    <t>电子小提琴蓝</t>
  </si>
  <si>
    <t>Eviolin4/4CEVN-32inch-Blue</t>
  </si>
  <si>
    <t>X004L176ZH</t>
  </si>
  <si>
    <t>X004CMPRQ5</t>
  </si>
  <si>
    <t>B003F1PRFO</t>
  </si>
  <si>
    <t>82*45*50</t>
  </si>
  <si>
    <t>SCK8</t>
  </si>
  <si>
    <t>FBA190322B2DU000001</t>
  </si>
  <si>
    <t>FBA190322B2DU000003</t>
  </si>
  <si>
    <t>0512 柜 XYLU8162600
0603 柜 SEKU6513112</t>
  </si>
  <si>
    <t>电子小提琴红</t>
  </si>
  <si>
    <t>Eviolin4/4CEVN-32inch-Red</t>
  </si>
  <si>
    <t>X004L1JCNB</t>
  </si>
  <si>
    <t>X004CMPRPB</t>
  </si>
  <si>
    <t>B003F1TDBS</t>
  </si>
  <si>
    <t>FBA190322B2DU000004</t>
  </si>
  <si>
    <t>FBA190322B2DU000009</t>
  </si>
  <si>
    <t>电子小提琴白</t>
  </si>
  <si>
    <t>Eviolin4/4CEVN-32inch-White</t>
  </si>
  <si>
    <t>X004L1720V</t>
  </si>
  <si>
    <t>X004CMPRPL</t>
  </si>
  <si>
    <t>B003F2ATV0</t>
  </si>
  <si>
    <t>FBA190322B2DU000010</t>
  </si>
  <si>
    <t>FBA190322B2DU000016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</si>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</sst>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0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Fill="1" applyBorder="1" applyAlignment="1">
      <alignment vertical="top"/>
    </xf>
    <xf numFmtId="0" fontId="0" fillId="0" borderId="0" xfId="0" applyAlignment="1">
      <alignment vertical="center" wrapText="1"/>
    </xf>
    <xf numFmtId="0" fontId="5" fillId="5" borderId="0" xfId="0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3" fillId="0" borderId="0" xfId="0" applyFont="1" applyBorder="1">
      <alignment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right" vertical="center"/>
    </xf>
    <xf numFmtId="0" fontId="0" fillId="6" borderId="0" xfId="0" applyFill="1" applyAlignment="1">
      <alignment horizontal="center"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workbookViewId="0">
      <selection activeCell="H16" sqref="H16"/>
    </sheetView>
  </sheetViews>
  <sheetFormatPr defaultColWidth="9" defaultRowHeight="13.5" outlineLevelRow="7"/>
  <cols>
    <col min="1" max="1" width="28.875" customWidth="1"/>
    <col min="2" max="2" width="9" customWidth="1"/>
    <col min="3" max="3" width="15.0916666666667" customWidth="1"/>
    <col min="4" max="4" width="28.0916666666667" customWidth="1"/>
    <col min="5" max="6" width="12.55" customWidth="1"/>
    <col min="7" max="7" width="14.3666666666667" customWidth="1"/>
    <col min="8" max="8" width="11.0916666666667" customWidth="1"/>
    <col min="9" max="9" width="6.90833333333333" customWidth="1"/>
    <col min="10" max="10" width="7.63333333333333" customWidth="1"/>
    <col min="11" max="11" width="6.09166666666667" customWidth="1"/>
    <col min="18" max="18" width="12.625"/>
    <col min="19" max="19" width="7.36666666666667" customWidth="1"/>
    <col min="20" max="20" width="20.3666666666667" customWidth="1"/>
    <col min="21" max="21" width="22.45" customWidth="1"/>
  </cols>
  <sheetData>
    <row r="1" s="1" customFormat="1" ht="25" customHeight="1" spans="1:2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4" t="s">
        <v>8</v>
      </c>
      <c r="J1" s="13" t="s">
        <v>9</v>
      </c>
      <c r="K1" s="14" t="s">
        <v>10</v>
      </c>
      <c r="L1" s="4" t="s">
        <v>11</v>
      </c>
      <c r="M1" s="15" t="s">
        <v>12</v>
      </c>
      <c r="N1" s="4" t="s">
        <v>13</v>
      </c>
      <c r="O1" s="16" t="s">
        <v>14</v>
      </c>
      <c r="P1" s="16" t="s">
        <v>15</v>
      </c>
      <c r="Q1" s="16" t="s">
        <v>16</v>
      </c>
      <c r="R1" s="16"/>
      <c r="S1" s="2" t="s">
        <v>17</v>
      </c>
      <c r="T1" s="1" t="s">
        <v>18</v>
      </c>
      <c r="U1" s="1" t="s">
        <v>19</v>
      </c>
    </row>
    <row r="2" customFormat="1" spans="1:21">
      <c r="A2" t="s">
        <v>20</v>
      </c>
      <c r="B2" s="7" t="s">
        <v>21</v>
      </c>
      <c r="C2" s="8" t="s">
        <v>22</v>
      </c>
      <c r="D2" s="9" t="s">
        <v>23</v>
      </c>
      <c r="E2" s="8" t="s">
        <v>24</v>
      </c>
      <c r="F2" s="10" t="s">
        <v>25</v>
      </c>
      <c r="G2" s="11" t="s">
        <v>26</v>
      </c>
      <c r="H2" s="8">
        <v>18</v>
      </c>
      <c r="I2" s="17">
        <v>6</v>
      </c>
      <c r="J2" s="18">
        <f>H2</f>
        <v>18</v>
      </c>
      <c r="K2" s="19">
        <v>6</v>
      </c>
      <c r="L2" s="20">
        <f>H2/I2</f>
        <v>3</v>
      </c>
      <c r="M2" s="17" t="s">
        <v>27</v>
      </c>
      <c r="N2" s="19">
        <v>0.1845</v>
      </c>
      <c r="O2" s="19">
        <v>11.4</v>
      </c>
      <c r="P2" s="19">
        <f>O2*L2</f>
        <v>34.2</v>
      </c>
      <c r="Q2" s="21">
        <f>N2*L2</f>
        <v>0.5535</v>
      </c>
      <c r="R2" s="22">
        <f>302/2.952*Q2</f>
        <v>56.625</v>
      </c>
      <c r="S2" s="23" t="s">
        <v>28</v>
      </c>
      <c r="T2" t="s">
        <v>29</v>
      </c>
      <c r="U2" t="s">
        <v>30</v>
      </c>
    </row>
    <row r="3" customFormat="1" ht="27" spans="1:21">
      <c r="A3" s="12" t="s">
        <v>31</v>
      </c>
      <c r="B3" s="7"/>
      <c r="C3" s="8" t="s">
        <v>32</v>
      </c>
      <c r="D3" s="9" t="s">
        <v>33</v>
      </c>
      <c r="E3" s="8" t="s">
        <v>34</v>
      </c>
      <c r="F3" s="10" t="s">
        <v>35</v>
      </c>
      <c r="G3" s="8" t="s">
        <v>36</v>
      </c>
      <c r="H3" s="8">
        <v>36</v>
      </c>
      <c r="I3" s="17">
        <v>6</v>
      </c>
      <c r="J3" s="18">
        <f>H3</f>
        <v>36</v>
      </c>
      <c r="K3" s="19">
        <v>6</v>
      </c>
      <c r="L3" s="20">
        <f>H3/I3</f>
        <v>6</v>
      </c>
      <c r="M3" s="17" t="s">
        <v>27</v>
      </c>
      <c r="N3" s="19">
        <v>0.1845</v>
      </c>
      <c r="O3" s="19">
        <v>11.4</v>
      </c>
      <c r="P3" s="19">
        <f>O3*L3</f>
        <v>68.4</v>
      </c>
      <c r="Q3" s="24">
        <f>N3*L3</f>
        <v>1.107</v>
      </c>
      <c r="R3" s="22">
        <f>302/2.952*Q3</f>
        <v>113.25</v>
      </c>
      <c r="S3" s="23"/>
      <c r="T3" t="s">
        <v>37</v>
      </c>
      <c r="U3" t="s">
        <v>38</v>
      </c>
    </row>
    <row r="4" customFormat="1" ht="68" customHeight="1" spans="1:21">
      <c r="A4" s="12" t="s">
        <v>31</v>
      </c>
      <c r="B4" s="7"/>
      <c r="C4" s="8" t="s">
        <v>39</v>
      </c>
      <c r="D4" s="9" t="s">
        <v>40</v>
      </c>
      <c r="E4" s="8" t="s">
        <v>41</v>
      </c>
      <c r="F4" s="10" t="s">
        <v>42</v>
      </c>
      <c r="G4" s="11" t="s">
        <v>43</v>
      </c>
      <c r="H4" s="8">
        <v>42</v>
      </c>
      <c r="I4" s="17">
        <v>6</v>
      </c>
      <c r="J4" s="18">
        <f>H4</f>
        <v>42</v>
      </c>
      <c r="K4" s="19">
        <v>6</v>
      </c>
      <c r="L4" s="20">
        <f>H4/I4</f>
        <v>7</v>
      </c>
      <c r="M4" s="17" t="s">
        <v>27</v>
      </c>
      <c r="N4" s="19">
        <v>0.1845</v>
      </c>
      <c r="O4" s="19">
        <v>11.4</v>
      </c>
      <c r="P4" s="19">
        <f>O4*L4</f>
        <v>79.8</v>
      </c>
      <c r="Q4" s="24">
        <f>N4*L4</f>
        <v>1.2915</v>
      </c>
      <c r="R4" s="22">
        <f>302/2.952*Q4/42</f>
        <v>3.14583333333333</v>
      </c>
      <c r="S4" s="23"/>
      <c r="T4" t="s">
        <v>44</v>
      </c>
      <c r="U4" t="s">
        <v>45</v>
      </c>
    </row>
    <row r="5" spans="8:12">
      <c r="H5" s="8">
        <v>96</v>
      </c>
      <c r="L5">
        <v>16</v>
      </c>
    </row>
    <row r="8" spans="8:8">
      <c r="H8" t="s">
        <v>46</v>
      </c>
    </row>
  </sheetData>
  <mergeCells count="2">
    <mergeCell ref="B2:B4"/>
    <mergeCell ref="S2:S4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张振宇</dc:creator>
  <cp:lastModifiedBy>蓓蓓</cp:lastModifiedBy>
  <dcterms:created xsi:type="dcterms:W3CDTF">2023-05-12T11:15:00Z</dcterms:created>
  <dcterms:modified xsi:type="dcterms:W3CDTF">2025-09-18T06:01:06Z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67A8CE947B394096BE9AC8330DE16906_12</vt:lpwstr>
  </property>
</Properties>
</file>