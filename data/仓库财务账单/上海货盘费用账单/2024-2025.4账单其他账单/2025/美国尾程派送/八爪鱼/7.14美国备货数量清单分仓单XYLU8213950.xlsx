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0"/>
  </bookViews>
  <sheets>
    <sheet name="汇总" sheetId="3" r:id="rId1"/>
    <sheet name="贴标要求" sheetId="4" state="hidden" r:id="rId2"/>
    <sheet name="GEU3" sheetId="5" r:id="rId3"/>
    <sheet name="GEU2" sheetId="6" r:id="rId4"/>
    <sheet name="SCK8" sheetId="7" r:id="rId5"/>
    <sheet name="ABQ2" sheetId="9" r:id="rId6"/>
    <sheet name="MIT2" sheetId="13" r:id="rId7"/>
    <sheet name="TCY2" sheetId="14" r:id="rId8"/>
    <sheet name="QXY8" sheetId="15" r:id="rId9"/>
    <sheet name="POC2" sheetId="16" r:id="rId10"/>
    <sheet name="海外仓-八爪鱼-hold" sheetId="18" r:id="rId11"/>
  </sheets>
  <externalReferences>
    <externalReference r:id="rId12"/>
    <externalReference r:id="rId13"/>
    <externalReference r:id="rId14"/>
  </externalReferences>
  <definedNames>
    <definedName name="_xlnm._FilterDatabase" localSheetId="0" hidden="1">汇总!$A$1:$T$9</definedName>
    <definedName name="requiredAttributePTDMap">[1]AttributePTDMAP!$A$1:$C$27</definedName>
    <definedName name="nonridingtoyvehicletarget_gender">'[2]Dropdown Lists'!$E$4:$E$6</definedName>
    <definedName name="mattresscoveritem_display_width_unit_of_measure">'[3]Dropdown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5B82567765145C4B77789A922690D99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70725" y="323850"/>
          <a:ext cx="1462405" cy="82486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L78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
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69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
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6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7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8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L3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
</t>
        </r>
      </text>
    </comment>
  </commentList>
</comments>
</file>

<file path=xl/comments9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10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1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<sst xmlns="http://schemas.openxmlformats.org/spreadsheetml/2006/main" count="1742" uniqueCount="547">
  <si>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</si>
  <si>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</si>
  <si>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</si>
  <si>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</si>
  <si>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</si>
  <si>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</si>
  <si>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</si>
  <si>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</si>
  <si>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</si>
  <si>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</si>
  <si>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</si>
  <si>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</si>
  <si>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</si>
  <si>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</si>
  <si>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</si>
  <si>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</si>
  <si>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</si>
  <si>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</si>
  <si>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</si>
  <si>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</si>
  <si>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FBA</t>
  </si>
  <si>
    <t>付宏健</t>
  </si>
  <si>
    <t>账号8</t>
  </si>
  <si>
    <t>糖果罐12个装（网纹）16OZ</t>
  </si>
  <si>
    <t>16 Oz - 12 Pack</t>
  </si>
  <si>
    <t>X004NTLZI1</t>
  </si>
  <si>
    <t>B096WC8L1N</t>
  </si>
  <si>
    <t>42x31x16CM</t>
  </si>
  <si>
    <t>VAS单</t>
  </si>
  <si>
    <t>方形玻璃罐（12个装）</t>
  </si>
  <si>
    <t>Glass Jars-Brown</t>
  </si>
  <si>
    <t>X004N1IXVL</t>
  </si>
  <si>
    <t>B07F8VGZQZ</t>
  </si>
  <si>
    <t>49*38*25CM</t>
  </si>
  <si>
    <t>中提琴</t>
  </si>
  <si>
    <t>Natural Varnish-Viola</t>
  </si>
  <si>
    <t>X004N1LXIV</t>
  </si>
  <si>
    <t>B006LCCUTU</t>
  </si>
  <si>
    <t>87*51*54cm</t>
  </si>
  <si>
    <t>小提琴</t>
  </si>
  <si>
    <t>Violins-natural-1</t>
  </si>
  <si>
    <t>X004NKKNQP</t>
  </si>
  <si>
    <t>B01MTV42C9</t>
  </si>
  <si>
    <t>82*67*47cm</t>
  </si>
  <si>
    <t>Natural-Viola</t>
  </si>
  <si>
    <t>X004N1HBIH</t>
  </si>
  <si>
    <t>B000GQNPBO</t>
  </si>
  <si>
    <t>79*72*52cm</t>
  </si>
  <si>
    <t>糖果罐12个装（网纹）8OZ</t>
  </si>
  <si>
    <t>8 oz-12ps</t>
  </si>
  <si>
    <t>X004NTUFFZ</t>
  </si>
  <si>
    <t>B096WCJGF4</t>
  </si>
  <si>
    <t>56x37x32CM</t>
  </si>
  <si>
    <t>糖果罐6个装（网纹）</t>
  </si>
  <si>
    <t>Quilted - 16 Oz - 6 Pack</t>
  </si>
  <si>
    <t>X004NU7GQP</t>
  </si>
  <si>
    <t>B096WBZ5G2</t>
  </si>
  <si>
    <t>45x33x34CM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</si>
  <si>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</si>
  <si>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</si>
  <si>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</si>
  <si>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</si>
  <si>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</si>
  <si>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</si>
  <si>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账号2</t>
  </si>
  <si>
    <t>何梦晴</t>
  </si>
  <si>
    <t>vas单</t>
  </si>
  <si>
    <t>啤酒瓶</t>
  </si>
  <si>
    <t>Beerbottle-6pack</t>
  </si>
  <si>
    <t>X0046NZ16L</t>
  </si>
  <si>
    <t>B08PL6MC7G</t>
  </si>
  <si>
    <t>42x31x16</t>
  </si>
  <si>
    <t>生蚝刀</t>
  </si>
  <si>
    <t>Oystershucker-2set</t>
  </si>
  <si>
    <t>X0046NZDO1</t>
  </si>
  <si>
    <t>B00VQFE1MQ</t>
  </si>
  <si>
    <t>48x44x36</t>
  </si>
  <si>
    <t>手套</t>
  </si>
  <si>
    <t>文璇</t>
  </si>
  <si>
    <t>充电座</t>
  </si>
  <si>
    <t>ELA-Charging Station</t>
  </si>
  <si>
    <t>X004BPOR4V</t>
  </si>
  <si>
    <t>B07222V19V</t>
  </si>
  <si>
    <t>48x35x33CM</t>
  </si>
  <si>
    <t>健身卡</t>
  </si>
  <si>
    <t>ELA-Dumbbell</t>
  </si>
  <si>
    <t>X004BQT6YB</t>
  </si>
  <si>
    <t>B01KUDOLN8</t>
  </si>
  <si>
    <t>副 29.5x28x14CM (箱)</t>
  </si>
  <si>
    <t>ELA-Resistance Belt</t>
  </si>
  <si>
    <t>X004BQXVGF</t>
  </si>
  <si>
    <t>B071GQ426Q</t>
  </si>
  <si>
    <t>ELA-Barbell</t>
  </si>
  <si>
    <t>X004BR8ZRT</t>
  </si>
  <si>
    <t>B076YGMH9L</t>
  </si>
  <si>
    <t>防水袋灰色</t>
  </si>
  <si>
    <t>ELA-dry bags-Grey</t>
  </si>
  <si>
    <t>X004I6FLTN</t>
  </si>
  <si>
    <t>B07WNY4V7G</t>
  </si>
  <si>
    <t>43*36*27</t>
  </si>
  <si>
    <t>防水袋红色</t>
  </si>
  <si>
    <t>ELA-dry bags-Red</t>
  </si>
  <si>
    <t>X004I6CTKR</t>
  </si>
  <si>
    <t>B07WX1NCZS</t>
  </si>
  <si>
    <t>账号4</t>
  </si>
  <si>
    <t>ECE-AViolin-4/4Satin</t>
  </si>
  <si>
    <t>X004CK6PXL</t>
  </si>
  <si>
    <t>B00HJGIJP6</t>
  </si>
  <si>
    <t>84*51*61</t>
  </si>
  <si>
    <t>ECE-AViolinCVN300-1/2</t>
  </si>
  <si>
    <t>X004CMBJM1</t>
  </si>
  <si>
    <t>B00EOYKHR4</t>
  </si>
  <si>
    <t>75*70*50</t>
  </si>
  <si>
    <t>电子大提琴</t>
  </si>
  <si>
    <t>ECE-Ecello4-4/4Bk</t>
  </si>
  <si>
    <t>X004COT5TX</t>
  </si>
  <si>
    <t>B0051HNHES</t>
  </si>
  <si>
    <t>137*27*48</t>
  </si>
  <si>
    <t>ECE-Ecello1-4/4Mh</t>
  </si>
  <si>
    <t>X004COT5TD</t>
  </si>
  <si>
    <t>B0051HN2PW</t>
  </si>
  <si>
    <t>ECE-CVA400-16.5In</t>
  </si>
  <si>
    <t>X004QKCOEV</t>
  </si>
  <si>
    <t>B0051UYM2G</t>
  </si>
  <si>
    <t>88*49*57</t>
  </si>
  <si>
    <t>ECE-ViolaMA350-15InSt</t>
  </si>
  <si>
    <t>X004BF2P8V</t>
  </si>
  <si>
    <t>B0085C9TKM</t>
  </si>
  <si>
    <t>87x51x55CM</t>
  </si>
  <si>
    <t>异常区3/4尺寸</t>
  </si>
  <si>
    <t>ECE-Violin-3/4CVN300</t>
  </si>
  <si>
    <t>X004M5CK2V</t>
  </si>
  <si>
    <t>CCO-COMP-Aviolin-3/4CVN-300</t>
  </si>
  <si>
    <t>83*71*47</t>
  </si>
  <si>
    <t>异常区外箱B00EOYKGH0，10把</t>
  </si>
  <si>
    <t>Violin-4/4MV500-23inch-Natural</t>
  </si>
  <si>
    <t>X004BESKJ5</t>
  </si>
  <si>
    <t>CCO-COMP-Aviolin-4/4MV500</t>
  </si>
  <si>
    <t>82*74*50</t>
  </si>
  <si>
    <t>Violin-4/4CVN300-32inch-Natural</t>
  </si>
  <si>
    <t>X004BESKIV</t>
  </si>
  <si>
    <t>CCO-COMP-Aviolin-4/4CVN-300</t>
  </si>
  <si>
    <t>83*72*48</t>
  </si>
  <si>
    <t>账号6</t>
  </si>
  <si>
    <t>车载收纳篮</t>
  </si>
  <si>
    <t>GAW-Car Bag</t>
  </si>
  <si>
    <t>X004L17MLP</t>
  </si>
  <si>
    <t>B01JHZVVP6</t>
  </si>
  <si>
    <t>62x52x37</t>
  </si>
  <si>
    <t>封箱机</t>
  </si>
  <si>
    <t>GAW-Tape Dispenser</t>
  </si>
  <si>
    <t>X004KXU473</t>
  </si>
  <si>
    <t>B077GCV6PH</t>
  </si>
  <si>
    <t>55*33*40</t>
  </si>
  <si>
    <t>自行车座椅</t>
  </si>
  <si>
    <t>GAW-Bicycle Seat-S</t>
  </si>
  <si>
    <t>X004KXY311</t>
  </si>
  <si>
    <t>B01H60SXAK</t>
  </si>
  <si>
    <t>61x28x42</t>
  </si>
  <si>
    <t>GAW-Bicycle Seat-L</t>
  </si>
  <si>
    <t>X004KXKCQV</t>
  </si>
  <si>
    <t>B07H8GTTCQ</t>
  </si>
  <si>
    <t>56x28x48</t>
  </si>
  <si>
    <t>琥珀色罐12个</t>
  </si>
  <si>
    <t>GAW-Amberjar-8oz12pack</t>
  </si>
  <si>
    <t>X004L1LM39</t>
  </si>
  <si>
    <t>B095J5PK57</t>
  </si>
  <si>
    <t>51x33x38</t>
  </si>
  <si>
    <t>琥珀色罐6个</t>
  </si>
  <si>
    <t>GAW-Amberjar-8oz6pack</t>
  </si>
  <si>
    <t>X004L1LMX9</t>
  </si>
  <si>
    <t>B095J2YDG1</t>
  </si>
  <si>
    <t>50x35x38</t>
  </si>
  <si>
    <t>糖果罐</t>
  </si>
  <si>
    <t>GAW-QMason-16oz12pack</t>
  </si>
  <si>
    <t>X004L1JXDZ</t>
  </si>
  <si>
    <t>56x37x32</t>
  </si>
  <si>
    <t>GAW-Dumbbell</t>
  </si>
  <si>
    <t>X004NGPPQ7</t>
  </si>
  <si>
    <t>GAW-Suspension Vol2</t>
  </si>
  <si>
    <t>X004NGRW1N</t>
  </si>
  <si>
    <t>B07GH4W32J</t>
  </si>
  <si>
    <t>异常区外箱B01KUDOLN8，30个</t>
  </si>
  <si>
    <t>GAW-Bodyweight Vol3</t>
  </si>
  <si>
    <t>X004NGLXG3</t>
  </si>
  <si>
    <t>B07YH3DXKL</t>
  </si>
  <si>
    <t>异常区外箱B076YGMH9L，30个</t>
  </si>
  <si>
    <t>GAW-Bodyweight Vol2</t>
  </si>
  <si>
    <t>X004NGGJLR</t>
  </si>
  <si>
    <t>B07CV2JY4T</t>
  </si>
  <si>
    <t>异常区外箱B071GQ426Q，30个</t>
  </si>
  <si>
    <t>GAW-Rope</t>
  </si>
  <si>
    <t>X004RBIYH5</t>
  </si>
  <si>
    <t>B07KNTZHZF</t>
  </si>
  <si>
    <t>异常区外箱B07CW2KMC2，30个</t>
  </si>
  <si>
    <t>GAW-Bodyweight Vol1</t>
  </si>
  <si>
    <t>X004NGT03L</t>
  </si>
  <si>
    <t>B01DJBCN3I</t>
  </si>
  <si>
    <t>欧洲回国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</si>
  <si>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</si>
  <si>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</si>
  <si>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</si>
  <si>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</si>
  <si>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</si>
  <si>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</si>
  <si>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</si>
  <si>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</si>
  <si>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32*27*22</t>
  </si>
  <si>
    <t>GAW-Cork1-RPW</t>
  </si>
  <si>
    <t>X004R1YSWF</t>
  </si>
  <si>
    <t>B06W2HV1VW</t>
  </si>
  <si>
    <t>GAW-Cork1-SMW</t>
  </si>
  <si>
    <t>X004R1X73V</t>
  </si>
  <si>
    <t>B072LXNPZY</t>
  </si>
  <si>
    <t>GAW-Cork1-SSW</t>
  </si>
  <si>
    <t>X004R29GKN</t>
  </si>
  <si>
    <t>B071LQ36SF</t>
  </si>
  <si>
    <t>GAW-Violin-4/4Satin</t>
  </si>
  <si>
    <t>X004L1I6O7</t>
  </si>
  <si>
    <t>GAW-Viola-CVA400-12In</t>
  </si>
  <si>
    <t>X004L1L7AR</t>
  </si>
  <si>
    <t>B000FCEIHO</t>
  </si>
  <si>
    <t>GAW-Viola-CVA400-14In</t>
  </si>
  <si>
    <t>X004L17J8B</t>
  </si>
  <si>
    <t>79*72*52</t>
  </si>
  <si>
    <t>异常区外箱B003F2ATV0，6把</t>
  </si>
  <si>
    <t>电子小提琴黄</t>
  </si>
  <si>
    <t>GAW-Eviolin-Natural</t>
  </si>
  <si>
    <t>X004L1I4HB</t>
  </si>
  <si>
    <t>B003F274FY</t>
  </si>
  <si>
    <t>82*45*50</t>
  </si>
  <si>
    <t>中提琴 白色</t>
  </si>
  <si>
    <t>GAW-16-MA-Wh</t>
  </si>
  <si>
    <t>X004NFWNIV</t>
  </si>
  <si>
    <t>B006LCCZT0</t>
  </si>
  <si>
    <t>87*51*54</t>
  </si>
  <si>
    <t>电大提琴</t>
  </si>
  <si>
    <t>GAW-Ecello1-4/4Bk</t>
  </si>
  <si>
    <t>X004KXWM41</t>
  </si>
  <si>
    <t>B007ESVCR6</t>
  </si>
  <si>
    <t>大提琴</t>
  </si>
  <si>
    <t>GAW-4/4CCO-100</t>
  </si>
  <si>
    <t>X004P3J0HN</t>
  </si>
  <si>
    <t>B0070OUZ9G</t>
  </si>
  <si>
    <t>137*34*48</t>
  </si>
  <si>
    <t>异常区外箱B01F9IS2Y8，160个</t>
  </si>
  <si>
    <t>后备箱整理器</t>
  </si>
  <si>
    <t>GAW-Car Organizer</t>
  </si>
  <si>
    <t>X004R9GF37</t>
  </si>
  <si>
    <t>B071F82CYJ</t>
  </si>
  <si>
    <t>45*30*45</t>
  </si>
  <si>
    <t>哈贝尔</t>
  </si>
  <si>
    <t>折叠桌</t>
  </si>
  <si>
    <t>Collgene-FoldingTable/Black</t>
  </si>
  <si>
    <t>X004DALQCZ</t>
  </si>
  <si>
    <t>B08BBFJ84H</t>
  </si>
  <si>
    <t>44*31.5*56</t>
  </si>
  <si>
    <t>异常区外箱B07ZJYJ2R4，160个</t>
  </si>
  <si>
    <t>漏斗4件装白色</t>
  </si>
  <si>
    <t>Collgene-OilFunnel/white</t>
  </si>
  <si>
    <t>X004DBT9O1</t>
  </si>
  <si>
    <t>B07RRBKM1S</t>
  </si>
  <si>
    <t>56x16x40</t>
  </si>
  <si>
    <t>健身绑带</t>
  </si>
  <si>
    <t>Collgene-ExerciseBelt/2pcs</t>
  </si>
  <si>
    <t>X004DBPHUV</t>
  </si>
  <si>
    <t>B07613TPVL</t>
  </si>
  <si>
    <t>40x30x30</t>
  </si>
  <si>
    <t>木质户外橄榄球定位游戏器</t>
  </si>
  <si>
    <t>RingToss-Surfboard</t>
  </si>
  <si>
    <t>X004DBEPSL</t>
  </si>
  <si>
    <t>B01CYOJNPC</t>
  </si>
  <si>
    <t>45x38x40</t>
  </si>
  <si>
    <t>0.707986281234689</t>
  </si>
  <si>
    <t>账号1</t>
  </si>
  <si>
    <t>谢欢</t>
  </si>
  <si>
    <t>换绿色卡纸</t>
  </si>
  <si>
    <t>床罩（毛面）
绿色四人</t>
  </si>
  <si>
    <t>PME19-12-15-Twin</t>
  </si>
  <si>
    <t>X003Z6M93X</t>
  </si>
  <si>
    <t>B004VMYD92</t>
  </si>
  <si>
    <t>57x30x36CM (箱)</t>
  </si>
  <si>
    <t>PME16-6-9-TwinXL</t>
  </si>
  <si>
    <t>X003Z6M947</t>
  </si>
  <si>
    <t>B004VN316M</t>
  </si>
  <si>
    <t>57x30x37CM (箱)</t>
  </si>
  <si>
    <t>PME14-9-12-TwinXL</t>
  </si>
  <si>
    <t>X003Z683KL</t>
  </si>
  <si>
    <t>B00B50IA56</t>
  </si>
  <si>
    <t>条 57x30x36CM (箱)</t>
  </si>
  <si>
    <t>PME12-12-15-King</t>
  </si>
  <si>
    <t>X003Z6MOB5</t>
  </si>
  <si>
    <t>B004BACOYU</t>
  </si>
  <si>
    <t>60x34x32CM (箱)</t>
  </si>
  <si>
    <t>账号5</t>
  </si>
  <si>
    <t>床罩橙色卡纸 妈妈和女儿</t>
  </si>
  <si>
    <t>5W-9-KingX2</t>
  </si>
  <si>
    <t>X004BL5D89</t>
  </si>
  <si>
    <t>B00H7KZ5K6</t>
  </si>
  <si>
    <t>57x30x34CM</t>
  </si>
  <si>
    <t>床罩橙色卡纸 狗</t>
  </si>
  <si>
    <t>5ZME-9"Twin</t>
  </si>
  <si>
    <t>X004BGY3AD</t>
  </si>
  <si>
    <t>B004BA8UWA</t>
  </si>
  <si>
    <t>5ZME-12"Twin</t>
  </si>
  <si>
    <t>X004BGQI9H</t>
  </si>
  <si>
    <t>B01B51NXKQ</t>
  </si>
  <si>
    <t>5ZME-12"King</t>
  </si>
  <si>
    <t>X004BH2B2J</t>
  </si>
  <si>
    <t>B004BAB2LG</t>
  </si>
  <si>
    <t>5ZME-15"King</t>
  </si>
  <si>
    <t>X004BH0CT3</t>
  </si>
  <si>
    <t>账号14</t>
  </si>
  <si>
    <t>枪支灯（红色）</t>
  </si>
  <si>
    <t>DT-M2</t>
  </si>
  <si>
    <t>B0FF41YS8G</t>
  </si>
  <si>
    <t>B06XW2RLPC</t>
  </si>
  <si>
    <t>50x29x37.5CM</t>
  </si>
  <si>
    <t>枪支灯（绿色）</t>
  </si>
  <si>
    <t>DT-M3</t>
  </si>
  <si>
    <t>B0FF3XG6CC</t>
  </si>
  <si>
    <t>B08713NLJR</t>
  </si>
  <si>
    <t>账号13</t>
  </si>
  <si>
    <t>袁梦</t>
  </si>
  <si>
    <t>厨房用具套装-FD-S1601</t>
  </si>
  <si>
    <t>HO-US13-UtensilSet-10Pcs</t>
  </si>
  <si>
    <t>X004P82MC3</t>
  </si>
  <si>
    <t>B07WZX4K48</t>
  </si>
  <si>
    <t>套41x37x29 (箱)</t>
  </si>
  <si>
    <t>不锈钢厨具桶-810158035102</t>
  </si>
  <si>
    <t>HO-US13-CROCK</t>
  </si>
  <si>
    <t>X004JJWK4D</t>
  </si>
  <si>
    <t>B0898J7G49</t>
  </si>
  <si>
    <t>个57x38x22 (箱)</t>
  </si>
  <si>
    <t>松紧带</t>
  </si>
  <si>
    <t>SP-US13-BANDSSET-BE4</t>
  </si>
  <si>
    <t>X004KJTD83</t>
  </si>
  <si>
    <t>B07D9V4TWJ</t>
  </si>
  <si>
    <t>套42x36x37 (箱)</t>
  </si>
  <si>
    <t>钢制搅拌碗组</t>
  </si>
  <si>
    <t>HO-US13-Mixing Bowls</t>
  </si>
  <si>
    <t>X004JN2U71</t>
  </si>
  <si>
    <t>B072BC73L4</t>
  </si>
  <si>
    <t>套48x47x32 (箱)</t>
  </si>
  <si>
    <t>玻璃瓶</t>
  </si>
  <si>
    <t>HO-US13-Mason Jars-6pcs</t>
  </si>
  <si>
    <t>X004JNIAV1</t>
  </si>
  <si>
    <t>B0938GY8DW</t>
  </si>
  <si>
    <t>件 63x32x38CM (箱)</t>
  </si>
  <si>
    <t>海外仓</t>
  </si>
  <si>
    <t xml:space="preserve">需要贴原ASIN和FNsku 标签，异常区外箱打一个FNSKU就可以，正常区原asin和FNsku两个都显示 </t>
  </si>
  <si>
    <t>异常区</t>
  </si>
  <si>
    <t>海外仓哈贝尔</t>
  </si>
  <si>
    <t>异常区外箱B07XQGHVBD，108个</t>
  </si>
  <si>
    <t>咖啡壶(外箱asin留有3个字母YJD)</t>
  </si>
  <si>
    <t>Collgene-CoffeeMaker/Brown</t>
  </si>
  <si>
    <t>X004DALIOL</t>
  </si>
  <si>
    <t>B0744CQYJD</t>
  </si>
  <si>
    <t>35*28*25</t>
  </si>
  <si>
    <t>梅森罐6pack</t>
  </si>
  <si>
    <t>Mason-16oz6pcs</t>
  </si>
  <si>
    <t>X0046QLNID</t>
  </si>
  <si>
    <t>61.5*31.5*36cm</t>
  </si>
  <si>
    <t>异常区，抵冲13箱</t>
  </si>
  <si>
    <t>异常区的外箱</t>
  </si>
  <si>
    <t>产品标要求</t>
  </si>
  <si>
    <t>贴标图例</t>
  </si>
  <si>
    <t>快递袋尺寸</t>
  </si>
  <si>
    <t>箱唛要求</t>
  </si>
  <si>
    <t>账号2(异常区，抵冲13箱）</t>
  </si>
  <si>
    <t>产品标1张，覆盖原条码</t>
  </si>
  <si>
    <t>/</t>
  </si>
  <si>
    <t>箱唛2张，覆盖原条码
品牌信息</t>
  </si>
  <si>
    <t>箱唛2张，覆盖原条码品牌信息</t>
  </si>
  <si>
    <t>黑色快递袋，产品标1张</t>
  </si>
  <si>
    <t>30*30</t>
  </si>
  <si>
    <t>产品标1张</t>
  </si>
  <si>
    <t>44*20自封袋</t>
  </si>
  <si>
    <t>提琴类产品标两张
覆盖原条码</t>
  </si>
  <si>
    <t>产品标一张
覆盖原条码，健身卡和账号2一样贴标</t>
  </si>
  <si>
    <t>卡纸拿出来贴标</t>
  </si>
  <si>
    <t>产品标2张，覆盖原条码</t>
  </si>
  <si>
    <t>产品标一张
覆盖原条码</t>
  </si>
  <si>
    <t>15*25袋子</t>
  </si>
  <si>
    <t>咖啡壶</t>
  </si>
  <si>
    <t>换橙色色卡纸</t>
  </si>
  <si>
    <t>产品标1张，外箱贴asin B07XQGHVBD,
留出最后3个字母</t>
  </si>
  <si>
    <t>原ASIN和FNsku 标签</t>
  </si>
  <si>
    <t>FNSKU标签</t>
  </si>
  <si>
    <t>GEU3</t>
  </si>
  <si>
    <t>FBA18Z4N0MPX
箱数：32箱
总数量：970</t>
  </si>
  <si>
    <t>FBA18Z4N0MPXU000004</t>
  </si>
  <si>
    <t>FBA18Z4N0MPXU000018</t>
  </si>
  <si>
    <t>FBA18Z4N0MPXU000019</t>
  </si>
  <si>
    <t>FBA18Z4N0MPXU000021</t>
  </si>
  <si>
    <t>FBA18Z4N0MPXU000022</t>
  </si>
  <si>
    <t>FBA18Z4N0MPXU000024</t>
  </si>
  <si>
    <t>FBA18Z4N0MPXU000001</t>
  </si>
  <si>
    <t>FBA18Z4N0MPXU000003</t>
  </si>
  <si>
    <t>FBA18Z4N0MPXU000025</t>
  </si>
  <si>
    <t>FBA18Z4N0MPXU000028</t>
  </si>
  <si>
    <t>FBA18Z4N0MPXU000029</t>
  </si>
  <si>
    <t>FBA18Z4N0MPXU000032</t>
  </si>
  <si>
    <t>GEU2</t>
  </si>
  <si>
    <t>FBA18Z7KZXDL
箱子 99
总数 1843</t>
  </si>
  <si>
    <t>FBA18Z7KZXDLU000028</t>
  </si>
  <si>
    <t>FBA18Z7KZXDLU000030</t>
  </si>
  <si>
    <t>FBA18Z7KZXDLU000080</t>
  </si>
  <si>
    <t>FBA18Z7KZXDLU000099</t>
  </si>
  <si>
    <t>FBA18Z7KZXDLU000014</t>
  </si>
  <si>
    <t>FBA18Z7KZXDLU000017</t>
  </si>
  <si>
    <t>FBA18Z7KZXDLU000012</t>
  </si>
  <si>
    <t>FBA18Z7KZXDLU000013</t>
  </si>
  <si>
    <t>FBA18Z7KZXDLU000001</t>
  </si>
  <si>
    <t>FBA18Z7KZXDLU000007</t>
  </si>
  <si>
    <t>FBA18Z7KZXDLU000008</t>
  </si>
  <si>
    <t>FBA18Z7KZXDLU000011</t>
  </si>
  <si>
    <t>FBA18Z7KZXDLU000062</t>
  </si>
  <si>
    <t>FBA18Z7KZXDLU000076</t>
  </si>
  <si>
    <t>FBA18Z7KZXDLU000056</t>
  </si>
  <si>
    <t>FBA18Z7KZXDLU000061</t>
  </si>
  <si>
    <t>FBA18Z7KZXDLU000078</t>
  </si>
  <si>
    <t>FBA18Z7KZXDLU000079</t>
  </si>
  <si>
    <t>FBA18Z7KZXDLU000027</t>
  </si>
  <si>
    <t>FBA18Z7KZXDLU000026</t>
  </si>
  <si>
    <t>FBA18Z7KZXDLU000077</t>
  </si>
  <si>
    <t>FBA18Z7KZXDLU000018</t>
  </si>
  <si>
    <t>FBA18Z7KZXDLU000025</t>
  </si>
  <si>
    <t>FBA18Z7KZXDLU000051</t>
  </si>
  <si>
    <t>FBA18Z7KZXDLU000055</t>
  </si>
  <si>
    <t>FBA18Z7KZXDLU000050</t>
  </si>
  <si>
    <t>FBA18Z7KZXDLU000047</t>
  </si>
  <si>
    <t>FBA18Z7KZXDLU000048</t>
  </si>
  <si>
    <t>FBA18Z7KZXDLU000049</t>
  </si>
  <si>
    <t>FBA18Z7KZXDLU000031</t>
  </si>
  <si>
    <t>FBA18Z7KZXDLU000046</t>
  </si>
  <si>
    <t>FBA18Z7CVW01
GEU2
箱数：62箱
总数：248个</t>
  </si>
  <si>
    <t>FBA18Z7CVW01000001</t>
  </si>
  <si>
    <t>FBA18Z7CVW01000062</t>
  </si>
  <si>
    <t>SCK8</t>
  </si>
  <si>
    <t>FBA18Z7JBLR8
箱子 35
数量 191</t>
  </si>
  <si>
    <t>FBA18Z7JBLR8U000001</t>
  </si>
  <si>
    <t>FBA18Z7JBLR8U000002</t>
  </si>
  <si>
    <t>FBA18Z7JBLR8U000003</t>
  </si>
  <si>
    <t>FBA18Z7JBLR8U000005</t>
  </si>
  <si>
    <t>FBA18Z7JBLR8U000013</t>
  </si>
  <si>
    <t>FBA18Z7JBLR8U000022</t>
  </si>
  <si>
    <t>FBA18Z7JBLR8U000008</t>
  </si>
  <si>
    <t>FBA18Z7JBLR8U000012</t>
  </si>
  <si>
    <t>FBA18Z7JBLR8U000006</t>
  </si>
  <si>
    <t>FBA18Z7JBLR8U000007</t>
  </si>
  <si>
    <t>FBA18Z7JBLR8U000023</t>
  </si>
  <si>
    <t>FBA18Z7JBLR8U000024</t>
  </si>
  <si>
    <t>FBA18Z7JBLR8U000025</t>
  </si>
  <si>
    <t>FBA18Z7JBLR8U000031</t>
  </si>
  <si>
    <t>FBA18Z7JBLR8U000034</t>
  </si>
  <si>
    <t>FBA18Z7JBLR8U000035</t>
  </si>
  <si>
    <t>FBA18Z7JBLR8U000032</t>
  </si>
  <si>
    <t>FBA18Z7JBLR8U000033</t>
  </si>
  <si>
    <t>FBA18Z7L6L1D</t>
  </si>
  <si>
    <t>FBA18Z7L6L1DU000001</t>
  </si>
  <si>
    <t>FBA18Z7L6L1DU000075</t>
  </si>
  <si>
    <r>
      <rPr>
        <sz val="10.5"/>
        <color theme="1"/>
        <rFont val="Arial"/>
        <charset val="134"/>
      </rPr>
      <t>FBA18Z7JPB4S
10</t>
    </r>
    <r>
      <rPr>
        <sz val="10.5"/>
        <color theme="1"/>
        <rFont val="宋体"/>
        <charset val="134"/>
      </rPr>
      <t>箱</t>
    </r>
  </si>
  <si>
    <t>FBA18Z7JPB4SU000001</t>
  </si>
  <si>
    <t>FBA18Z7JPB4SU000004</t>
  </si>
  <si>
    <t>FBA18Z7JPB4SU000009</t>
  </si>
  <si>
    <t>FBA18Z7JPB4SU000010</t>
  </si>
  <si>
    <t>FBA18Z7JPB4SU000005</t>
  </si>
  <si>
    <t>FBA18Z7JPB4SU000008</t>
  </si>
  <si>
    <t>ABQ2</t>
  </si>
  <si>
    <t>FBA18Z83NCLQ
箱子 16
数量 119</t>
  </si>
  <si>
    <t>FBA18Z83NCLQU000003</t>
  </si>
  <si>
    <t>FBA18Z83NCLQU000006</t>
  </si>
  <si>
    <t>FBA18Z83NCLQU000001</t>
  </si>
  <si>
    <t>FBA18Z83NCLQU000002</t>
  </si>
  <si>
    <t>FBA18Z83NCLQU000007</t>
  </si>
  <si>
    <t>FBA18Z83NCLQU000016</t>
  </si>
  <si>
    <t>FBA18Z7MF6RS
ABQ2
箱数：2箱
总数：120个</t>
  </si>
  <si>
    <t>FBA18Z7MF6RSU000001</t>
  </si>
  <si>
    <t>FBA18Z7MF6RSU000002</t>
  </si>
  <si>
    <t>FBA18Z7GYDBB
MIT2
箱数：39箱
总数：350个</t>
  </si>
  <si>
    <t>FBA18Z7GYDBBU000036</t>
  </si>
  <si>
    <t>FBA18Z7GYDBBU000039</t>
  </si>
  <si>
    <t>FBA18Z7GYDBBU000021</t>
  </si>
  <si>
    <t>FBA18Z7GYDBBU000035</t>
  </si>
  <si>
    <t>FBA18Z7GYDBBU000011</t>
  </si>
  <si>
    <t>FBA18Z7GYDBBU000020</t>
  </si>
  <si>
    <t>FBA18Z7GYDBBU000001</t>
  </si>
  <si>
    <t>FBA18Z7GYDBBU000010</t>
  </si>
  <si>
    <t>FBA18Z7H1VM4
TCY2
箱数：36箱
总数：260个</t>
  </si>
  <si>
    <t>FBA18Z7H1VM4U000001</t>
  </si>
  <si>
    <t>FBA18Z7H1VM4U000010</t>
  </si>
  <si>
    <t>FBA18Z7H1VM4U000031</t>
  </si>
  <si>
    <t>FBA18Z7H1VM4U000036</t>
  </si>
  <si>
    <t>FBA18Z7H1VM4U000021</t>
  </si>
  <si>
    <t>FBA18Z7H1VM4U000025</t>
  </si>
  <si>
    <t>FBA18Z7H1VM4U000011</t>
  </si>
  <si>
    <t>FBA18Z7H1VM4U000020</t>
  </si>
  <si>
    <t>FBA18Z7H1VM4U000026</t>
  </si>
  <si>
    <t>FBA18Z7H1VM4U000030</t>
  </si>
  <si>
    <t>QXY8</t>
  </si>
  <si>
    <t>FBA18Z750V8V
QXY8
箱数：316箱
总数：526个</t>
  </si>
  <si>
    <t>FBA18Z750V8VU000001</t>
  </si>
  <si>
    <t>FBA18Z750V8VU000310</t>
  </si>
  <si>
    <t>FBA18Z750V8VU000311</t>
  </si>
  <si>
    <t>FBA18Z750V8VU000316</t>
  </si>
  <si>
    <t>FBA18Z7JS1CR
箱数:310箱
总数:570</t>
  </si>
  <si>
    <t>FBA18Z7JS1CRU000001</t>
  </si>
  <si>
    <t>FBA18Z7JS1CRU000250</t>
  </si>
  <si>
    <t>FBA18Z7JS1CRU000271</t>
  </si>
  <si>
    <t>FBA18Z7JS1CRU000290</t>
  </si>
  <si>
    <t>FBA18Z7JS1CRU000251</t>
  </si>
  <si>
    <t>FBA18Z7JS1CRU000270</t>
  </si>
  <si>
    <t>FBA18Z7JS1CRU000291</t>
  </si>
  <si>
    <t>FBA18Z7JS1CRU000310</t>
  </si>
  <si>
    <t>入库配置费</t>
  </si>
  <si>
    <t>POC2</t>
  </si>
  <si>
    <t xml:space="preserve">FBA18Z7LHXQD
POC2
箱数：110
总数：1338
</t>
  </si>
  <si>
    <t>FBA18Z7LHXQDU000001</t>
  </si>
  <si>
    <t>FBA18Z7LHXQDU000032</t>
  </si>
  <si>
    <t>FBA18Z7LHXQDU000033</t>
  </si>
  <si>
    <t>FBA18Z7LHXQDU000057</t>
  </si>
  <si>
    <t>FBA18Z7LHXQDU000058</t>
  </si>
  <si>
    <t>FBA18Z7LHXQDU000073</t>
  </si>
  <si>
    <t>FBA18Z7LHXQDU000074</t>
  </si>
  <si>
    <t>FBA18Z7LHXQDU000098</t>
  </si>
  <si>
    <t>FBA18Z7LHXQDU000099</t>
  </si>
  <si>
    <t>FBA18Z7LHXQDU000110</t>
  </si>
  <si>
    <t>SCK8-hold</t>
  </si>
  <si>
    <t>FBA18Z7N42W2
箱子 18
数量 84</t>
  </si>
  <si>
    <t>FBA18Z7N42W2U000017</t>
  </si>
  <si>
    <t>FBA18Z7N42W2U000018</t>
  </si>
  <si>
    <t>FBA18Z7N42W2U000013</t>
  </si>
  <si>
    <t>FBA18Z7N42W2U000014</t>
  </si>
  <si>
    <t>FBA18Z7N42W2U000015</t>
  </si>
  <si>
    <t>FBA18Z7N42W2U000016</t>
  </si>
  <si>
    <t>FBA18Z7N42W2U000011</t>
  </si>
  <si>
    <t>FBA18Z7N42W2U000012</t>
  </si>
  <si>
    <t>FBA18Z7N42W2U000001</t>
  </si>
  <si>
    <t>FBA18Z7N42W2U000002</t>
  </si>
  <si>
    <t>FBA18Z7N42W2U000003</t>
  </si>
  <si>
    <t>FBA18Z7N42W2U000010</t>
  </si>
  <si>
    <t>账号6  hold</t>
  </si>
  <si>
    <t>XLX7-hold</t>
  </si>
  <si>
    <t>FBA18Z7NVJCQ</t>
  </si>
  <si>
    <t>FBA18Z7NVJCQU000001</t>
  </si>
  <si>
    <t>FBA18Z7NVJCQU000008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</si>
</sst>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0"/>
      <scheme val="minor"/>
    </font>
    <font>
      <sz val="12"/>
      <name val="宋体"/>
      <charset val="134"/>
    </font>
    <font>
      <sz val="11"/>
      <color rgb="FF000000"/>
      <name val="Calibri"/>
      <charset val="0"/>
    </font>
    <font>
      <sz val="11"/>
      <name val="宋体"/>
      <charset val="0"/>
      <scheme val="minor"/>
    </font>
    <font>
      <sz val="11"/>
      <color rgb="FF000000"/>
      <name val="宋体"/>
      <charset val="0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SansSerif"/>
      <charset val="134"/>
    </font>
    <font>
      <sz val="10"/>
      <name val="微软雅黑"/>
      <charset val="134"/>
    </font>
    <font>
      <sz val="11"/>
      <name val="Calibri"/>
      <charset val="0"/>
    </font>
    <font>
      <sz val="12"/>
      <name val="宋体"/>
      <charset val="134"/>
      <scheme val="major"/>
    </font>
    <font>
      <sz val="12"/>
      <name val="宋体"/>
      <charset val="134"/>
      <scheme val="minor"/>
    </font>
    <font>
      <sz val="10"/>
      <name val="Calibri"/>
      <charset val="134"/>
    </font>
    <font>
      <sz val="10.5"/>
      <color theme="1"/>
      <name val="Arial"/>
      <charset val="134"/>
    </font>
    <font>
      <sz val="11"/>
      <name val="宋体"/>
      <charset val="134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4" applyNumberFormat="0" applyAlignment="0" applyProtection="0">
      <alignment vertical="center"/>
    </xf>
    <xf numFmtId="0" fontId="36" fillId="11" borderId="5" applyNumberFormat="0" applyAlignment="0" applyProtection="0">
      <alignment vertical="center"/>
    </xf>
    <xf numFmtId="0" fontId="37" fillId="11" borderId="4" applyNumberFormat="0" applyAlignment="0" applyProtection="0">
      <alignment vertical="center"/>
    </xf>
    <xf numFmtId="0" fontId="38" fillId="12" borderId="6" applyNumberFormat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0" borderId="0" xfId="0" applyBorder="1">
      <alignment vertical="center"/>
    </xf>
    <xf numFmtId="0" fontId="0" fillId="4" borderId="0" xfId="0" applyFill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>
      <alignment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vertical="center"/>
    </xf>
    <xf numFmtId="3" fontId="8" fillId="0" borderId="0" xfId="0" applyNumberFormat="1" applyFont="1" applyFill="1" applyBorder="1" applyAlignment="1">
      <alignment horizontal="right" vertical="top"/>
    </xf>
    <xf numFmtId="0" fontId="9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4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0" fontId="11" fillId="6" borderId="0" xfId="0" applyFont="1" applyFill="1" applyBorder="1" applyAlignment="1">
      <alignment horizontal="right" vertical="center"/>
    </xf>
    <xf numFmtId="0" fontId="12" fillId="6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7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0" fillId="7" borderId="0" xfId="0" applyFill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 applyProtection="1">
      <alignment horizontal="left" vertical="top" wrapText="1"/>
    </xf>
    <xf numFmtId="0" fontId="17" fillId="0" borderId="0" xfId="0" applyFont="1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4" fillId="7" borderId="0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0" fontId="16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0" fontId="4" fillId="0" borderId="0" xfId="0" applyFont="1" applyFill="1">
      <alignment vertical="center"/>
    </xf>
    <xf numFmtId="0" fontId="10" fillId="0" borderId="0" xfId="0" applyFont="1" applyFill="1" applyBorder="1" applyAlignment="1">
      <alignment vertical="top" wrapText="1"/>
    </xf>
    <xf numFmtId="0" fontId="0" fillId="0" borderId="0" xfId="0" applyFill="1" applyAlignment="1">
      <alignment vertical="center" wrapText="1"/>
    </xf>
    <xf numFmtId="0" fontId="14" fillId="0" borderId="0" xfId="0" applyFont="1" applyFill="1" applyAlignment="1">
      <alignment horizontal="left" vertical="center"/>
    </xf>
    <xf numFmtId="0" fontId="4" fillId="7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4" fillId="7" borderId="0" xfId="0" applyFont="1" applyFill="1">
      <alignment vertical="center"/>
    </xf>
    <xf numFmtId="0" fontId="19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vertical="top"/>
    </xf>
    <xf numFmtId="0" fontId="20" fillId="0" borderId="0" xfId="0" applyFont="1" applyFill="1" applyBorder="1" applyAlignment="1">
      <alignment vertical="top"/>
    </xf>
    <xf numFmtId="0" fontId="14" fillId="0" borderId="0" xfId="0" applyFont="1" applyFill="1">
      <alignment vertical="center"/>
    </xf>
    <xf numFmtId="0" fontId="4" fillId="3" borderId="0" xfId="0" applyFont="1" applyFill="1" applyBorder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4" fillId="0" borderId="0" xfId="0" applyFont="1" applyAlignment="1">
      <alignment horizontal="center" vertical="center"/>
    </xf>
    <xf numFmtId="0" fontId="4" fillId="5" borderId="0" xfId="0" applyFont="1" applyFill="1">
      <alignment vertical="center"/>
    </xf>
    <xf numFmtId="0" fontId="25" fillId="0" borderId="0" xfId="0" applyFont="1" applyFill="1" applyBorder="1">
      <alignment vertical="center"/>
    </xf>
    <xf numFmtId="0" fontId="4" fillId="0" borderId="0" xfId="0" applyFont="1" applyFill="1" applyAlignment="1">
      <alignment vertical="center"/>
    </xf>
    <xf numFmtId="0" fontId="0" fillId="8" borderId="0" xfId="0" applyFill="1" applyBorder="1">
      <alignment vertical="center"/>
    </xf>
    <xf numFmtId="0" fontId="0" fillId="4" borderId="0" xfId="0" applyFill="1" applyBorder="1">
      <alignment vertical="center"/>
    </xf>
    <xf numFmtId="0" fontId="13" fillId="0" borderId="0" xfId="0" applyFont="1" applyFill="1" applyAlignment="1">
      <alignment horizontal="center" vertical="center" wrapText="1"/>
    </xf>
    <xf numFmtId="0" fontId="4" fillId="0" borderId="0" xfId="0" applyFont="1" applyBorder="1">
      <alignment vertical="center"/>
    </xf>
    <xf numFmtId="0" fontId="25" fillId="0" borderId="0" xfId="0" applyFont="1" applyFill="1" applyBorder="1" applyAlignment="1">
      <alignment horizontal="right" vertical="center"/>
    </xf>
    <xf numFmtId="0" fontId="14" fillId="0" borderId="0" xfId="0" applyFont="1" applyFill="1" applyBorder="1">
      <alignment vertical="center"/>
    </xf>
    <xf numFmtId="0" fontId="0" fillId="7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>
      <alignment vertical="center"/>
    </xf>
    <xf numFmtId="0" fontId="4" fillId="7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5" fillId="0" borderId="0" xfId="0" applyFont="1" applyFill="1" applyAlignment="1">
      <alignment horizontal="center" vertical="center" wrapText="1"/>
    </xf>
    <xf numFmtId="0" fontId="16" fillId="0" borderId="0" xfId="0" applyNumberFormat="1" applyFont="1" applyFill="1" applyAlignment="1" applyProtection="1">
      <alignment horizontal="left" vertical="top" wrapText="1"/>
    </xf>
    <xf numFmtId="0" fontId="0" fillId="3" borderId="0" xfId="0" applyFill="1" applyAlignment="1">
      <alignment horizontal="center" vertical="center"/>
    </xf>
    <xf numFmtId="0" fontId="11" fillId="6" borderId="0" xfId="0" applyFont="1" applyFill="1" applyAlignment="1">
      <alignment horizontal="right" vertical="center"/>
    </xf>
    <xf numFmtId="0" fontId="12" fillId="6" borderId="0" xfId="0" applyFont="1" applyFill="1" applyAlignment="1">
      <alignment horizontal="center" vertical="center"/>
    </xf>
    <xf numFmtId="0" fontId="18" fillId="0" borderId="0" xfId="0" applyNumberFormat="1" applyFont="1" applyFill="1" applyAlignment="1" applyProtection="1">
      <alignment horizontal="center" vertical="top" wrapText="1"/>
    </xf>
    <xf numFmtId="0" fontId="0" fillId="7" borderId="0" xfId="0" applyFill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right" vertical="center" wrapText="1"/>
    </xf>
    <xf numFmtId="0" fontId="14" fillId="7" borderId="0" xfId="0" applyFont="1" applyFill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0" fontId="4" fillId="0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128270</xdr:colOff>
      <xdr:row>78</xdr:row>
      <xdr:rowOff>0</xdr:rowOff>
    </xdr:from>
    <xdr:to>
      <xdr:col>7</xdr:col>
      <xdr:colOff>902335</xdr:colOff>
      <xdr:row>80</xdr:row>
      <xdr:rowOff>145415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51360" y="16608425"/>
          <a:ext cx="77406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128270</xdr:colOff>
      <xdr:row>7</xdr:row>
      <xdr:rowOff>11430</xdr:rowOff>
    </xdr:from>
    <xdr:to>
      <xdr:col>7</xdr:col>
      <xdr:colOff>902335</xdr:colOff>
      <xdr:row>9</xdr:row>
      <xdr:rowOff>156845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51360" y="3827780"/>
          <a:ext cx="774065" cy="488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9579;&#29577;&#33805;\&#20135;&#21697;&#19978;&#26550;&#34920;\&#29609;&#20855;\NON_RIDING_TOY_VEHICLE%20&#29609;&#20855;&#36710;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02"/>
  <sheetViews>
    <sheetView zoomScale="85" zoomScaleNormal="85" workbookViewId="0">
      <pane ySplit="1" topLeftCell="A65" activePane="bottomLeft" state="frozen"/>
      <selection/>
      <selection pane="bottomLeft" activeCell="H24" sqref="H24"/>
    </sheetView>
  </sheetViews>
  <sheetFormatPr defaultColWidth="9" defaultRowHeight="13.5"/>
  <cols>
    <col min="1" max="1" width="14.5166666666667" customWidth="1"/>
    <col min="2" max="2" width="31.0083333333333" customWidth="1"/>
    <col min="3" max="3" width="27.9083333333333" customWidth="1"/>
    <col min="4" max="4" width="27.5916666666667" customWidth="1"/>
    <col min="5" max="5" width="16" customWidth="1"/>
    <col min="6" max="6" width="20.9333333333333" customWidth="1"/>
    <col min="8" max="8" width="10.5583333333333" customWidth="1"/>
    <col min="9" max="9" width="12.2666666666667" customWidth="1"/>
    <col min="11" max="11" width="9" style="2"/>
    <col min="12" max="12" width="17.65" customWidth="1"/>
    <col min="13" max="13" width="12.8"/>
    <col min="14" max="14" width="14.1833333333333" customWidth="1"/>
    <col min="15" max="15" width="12.6166666666667" customWidth="1"/>
    <col min="16" max="16" width="13.35" customWidth="1"/>
    <col min="17" max="17" width="12.5083333333333" customWidth="1"/>
    <col min="18" max="18" width="12.4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s="1" customFormat="1" ht="25" customHeight="1" spans="1:18">
      <c r="A2" s="116" t="s">
        <v>20</v>
      </c>
      <c r="C2" s="3"/>
      <c r="D2" s="4"/>
      <c r="E2" s="5"/>
      <c r="F2" s="5"/>
      <c r="G2" s="5"/>
      <c r="H2" s="5"/>
      <c r="I2" s="120"/>
      <c r="J2" s="121"/>
      <c r="K2" s="5"/>
      <c r="L2" s="28"/>
      <c r="M2" s="5"/>
      <c r="N2" s="5"/>
      <c r="O2" s="5"/>
      <c r="P2" s="5"/>
      <c r="Q2" s="5"/>
      <c r="R2" s="3"/>
    </row>
    <row r="3" customFormat="1" spans="1:16">
      <c r="A3" t="s">
        <v>21</v>
      </c>
      <c r="B3" s="41" t="s">
        <v>22</v>
      </c>
      <c r="C3" s="52" t="s">
        <v>23</v>
      </c>
      <c r="D3" s="53" t="s">
        <v>24</v>
      </c>
      <c r="E3" s="52" t="s">
        <v>25</v>
      </c>
      <c r="F3" s="54" t="s">
        <v>26</v>
      </c>
      <c r="G3" s="55">
        <v>250</v>
      </c>
      <c r="H3" s="52">
        <v>1</v>
      </c>
      <c r="I3" s="52">
        <f>G3*12</f>
        <v>3000</v>
      </c>
      <c r="J3" s="52">
        <v>12</v>
      </c>
      <c r="K3" s="60">
        <f>I3/J3</f>
        <v>250</v>
      </c>
      <c r="L3" s="61" t="s">
        <v>27</v>
      </c>
      <c r="M3" s="52">
        <v>0.021</v>
      </c>
      <c r="N3" s="52">
        <v>3.96</v>
      </c>
      <c r="O3" s="53">
        <f t="shared" ref="O3:O9" si="0">N3*K3</f>
        <v>990</v>
      </c>
      <c r="P3" s="8">
        <f>M3*K3</f>
        <v>5.25</v>
      </c>
    </row>
    <row r="4" spans="1:16">
      <c r="A4" t="s">
        <v>21</v>
      </c>
      <c r="B4" s="56" t="s">
        <v>28</v>
      </c>
      <c r="C4" s="52" t="s">
        <v>29</v>
      </c>
      <c r="D4" s="53" t="s">
        <v>30</v>
      </c>
      <c r="E4" s="52" t="s">
        <v>31</v>
      </c>
      <c r="F4" s="54" t="s">
        <v>32</v>
      </c>
      <c r="G4" s="55">
        <v>160</v>
      </c>
      <c r="H4" s="57">
        <v>8</v>
      </c>
      <c r="I4" s="57">
        <f>G4*12</f>
        <v>1920</v>
      </c>
      <c r="J4" s="57">
        <v>12</v>
      </c>
      <c r="K4" s="60">
        <f t="shared" ref="K4:K9" si="1">G4/H4</f>
        <v>20</v>
      </c>
      <c r="L4" s="62" t="s">
        <v>33</v>
      </c>
      <c r="M4" s="52">
        <v>0.04</v>
      </c>
      <c r="N4" s="52">
        <v>17.52</v>
      </c>
      <c r="O4" s="53">
        <f t="shared" si="0"/>
        <v>350.4</v>
      </c>
      <c r="P4" s="8">
        <f>M4*K4</f>
        <v>0.8</v>
      </c>
    </row>
    <row r="5" ht="16.5" spans="1:16">
      <c r="A5" t="s">
        <v>21</v>
      </c>
      <c r="B5" s="56"/>
      <c r="C5" s="16" t="s">
        <v>34</v>
      </c>
      <c r="D5" s="83" t="s">
        <v>35</v>
      </c>
      <c r="E5" s="84" t="s">
        <v>36</v>
      </c>
      <c r="F5" s="85" t="s">
        <v>37</v>
      </c>
      <c r="G5" s="55">
        <v>24</v>
      </c>
      <c r="H5" s="58">
        <v>6</v>
      </c>
      <c r="I5" s="90">
        <f>G5</f>
        <v>24</v>
      </c>
      <c r="J5" s="90">
        <v>6</v>
      </c>
      <c r="K5" s="59">
        <f>I5/J5</f>
        <v>4</v>
      </c>
      <c r="L5" s="16" t="s">
        <v>38</v>
      </c>
      <c r="M5" s="91">
        <v>0.239598</v>
      </c>
      <c r="N5" s="91">
        <v>16.32</v>
      </c>
      <c r="O5" s="92">
        <f t="shared" si="0"/>
        <v>65.28</v>
      </c>
      <c r="P5" s="70">
        <f>K5*M5</f>
        <v>0.958392</v>
      </c>
    </row>
    <row r="6" ht="14.25" spans="1:16">
      <c r="A6" t="s">
        <v>21</v>
      </c>
      <c r="B6" s="56"/>
      <c r="C6" s="16" t="s">
        <v>39</v>
      </c>
      <c r="D6" s="83" t="s">
        <v>40</v>
      </c>
      <c r="E6" s="84" t="s">
        <v>41</v>
      </c>
      <c r="F6" s="86" t="s">
        <v>42</v>
      </c>
      <c r="G6" s="55">
        <v>20</v>
      </c>
      <c r="H6" s="58">
        <v>10</v>
      </c>
      <c r="I6" s="93">
        <f>G6</f>
        <v>20</v>
      </c>
      <c r="J6" s="93">
        <v>10</v>
      </c>
      <c r="K6" s="59">
        <f>I6/J6</f>
        <v>2</v>
      </c>
      <c r="L6" s="16" t="s">
        <v>43</v>
      </c>
      <c r="M6" s="47">
        <v>0.0258218</v>
      </c>
      <c r="N6" s="47">
        <v>21.5</v>
      </c>
      <c r="O6" s="92">
        <v>21.5</v>
      </c>
      <c r="P6" s="70">
        <v>0.0258218</v>
      </c>
    </row>
    <row r="7" ht="16.5" spans="1:16">
      <c r="A7" t="s">
        <v>21</v>
      </c>
      <c r="B7" s="56"/>
      <c r="C7" s="16" t="s">
        <v>34</v>
      </c>
      <c r="D7" s="87" t="s">
        <v>44</v>
      </c>
      <c r="E7" s="88" t="s">
        <v>45</v>
      </c>
      <c r="F7" s="89" t="s">
        <v>46</v>
      </c>
      <c r="G7" s="55">
        <v>40</v>
      </c>
      <c r="H7" s="58">
        <v>10</v>
      </c>
      <c r="I7" s="90">
        <f>G7</f>
        <v>40</v>
      </c>
      <c r="J7" s="93">
        <v>10</v>
      </c>
      <c r="K7" s="59">
        <f t="shared" si="1"/>
        <v>4</v>
      </c>
      <c r="L7" s="16" t="s">
        <v>47</v>
      </c>
      <c r="M7" s="91">
        <v>0.295776</v>
      </c>
      <c r="N7" s="91">
        <v>17.9</v>
      </c>
      <c r="O7" s="92">
        <v>17.9</v>
      </c>
      <c r="P7" s="70">
        <v>0.295776</v>
      </c>
    </row>
    <row r="8" spans="1:16">
      <c r="A8" t="s">
        <v>21</v>
      </c>
      <c r="B8" s="56"/>
      <c r="C8" s="52" t="s">
        <v>48</v>
      </c>
      <c r="D8" s="53" t="s">
        <v>49</v>
      </c>
      <c r="E8" s="52" t="s">
        <v>50</v>
      </c>
      <c r="F8" s="54" t="s">
        <v>51</v>
      </c>
      <c r="G8" s="55">
        <v>80</v>
      </c>
      <c r="H8" s="58">
        <v>4</v>
      </c>
      <c r="I8" s="52">
        <f>G8*12</f>
        <v>960</v>
      </c>
      <c r="J8" s="52">
        <v>12</v>
      </c>
      <c r="K8" s="60">
        <f t="shared" si="1"/>
        <v>20</v>
      </c>
      <c r="L8" s="61" t="s">
        <v>52</v>
      </c>
      <c r="M8" s="52">
        <v>0.066</v>
      </c>
      <c r="N8" s="52">
        <v>12.48</v>
      </c>
      <c r="O8" s="53">
        <f t="shared" si="0"/>
        <v>249.6</v>
      </c>
      <c r="P8" s="8">
        <f t="shared" ref="P8:P11" si="2">M8*K8</f>
        <v>1.32</v>
      </c>
    </row>
    <row r="9" spans="1:16">
      <c r="A9" t="s">
        <v>21</v>
      </c>
      <c r="B9" s="56"/>
      <c r="C9" s="52" t="s">
        <v>53</v>
      </c>
      <c r="D9" s="53" t="s">
        <v>54</v>
      </c>
      <c r="E9" s="52" t="s">
        <v>55</v>
      </c>
      <c r="F9" s="54" t="s">
        <v>56</v>
      </c>
      <c r="G9" s="55">
        <v>80</v>
      </c>
      <c r="H9" s="58">
        <v>4</v>
      </c>
      <c r="I9" s="52">
        <f>G9*6</f>
        <v>480</v>
      </c>
      <c r="J9" s="52">
        <v>6</v>
      </c>
      <c r="K9" s="60">
        <f t="shared" si="1"/>
        <v>20</v>
      </c>
      <c r="L9" s="61" t="s">
        <v>57</v>
      </c>
      <c r="M9" s="52">
        <v>0.051</v>
      </c>
      <c r="N9" s="52">
        <v>8.64</v>
      </c>
      <c r="O9" s="53">
        <f t="shared" si="0"/>
        <v>172.8</v>
      </c>
      <c r="P9" s="8">
        <f t="shared" si="2"/>
        <v>1.02</v>
      </c>
    </row>
    <row r="10" spans="2:16">
      <c r="B10" s="16"/>
      <c r="C10" s="52"/>
      <c r="D10" s="117"/>
      <c r="E10" s="52"/>
      <c r="F10" s="118"/>
      <c r="G10" s="55"/>
      <c r="H10" s="58"/>
      <c r="I10" s="52"/>
      <c r="J10" s="52"/>
      <c r="K10" s="60"/>
      <c r="L10" s="122"/>
      <c r="M10" s="52"/>
      <c r="N10" s="52"/>
      <c r="O10" s="117"/>
      <c r="P10" s="8"/>
    </row>
    <row r="11" s="1" customFormat="1" ht="15" customHeight="1" spans="1:17">
      <c r="A11" t="s">
        <v>58</v>
      </c>
      <c r="B11" s="41" t="s">
        <v>22</v>
      </c>
      <c r="C11" s="18" t="s">
        <v>59</v>
      </c>
      <c r="D11" s="73" t="s">
        <v>60</v>
      </c>
      <c r="E11" s="16" t="s">
        <v>61</v>
      </c>
      <c r="F11" s="74" t="s">
        <v>62</v>
      </c>
      <c r="G11" s="8">
        <v>248</v>
      </c>
      <c r="H11" s="8">
        <v>4</v>
      </c>
      <c r="I11" s="16">
        <f>G11</f>
        <v>248</v>
      </c>
      <c r="J11" s="8">
        <v>24</v>
      </c>
      <c r="K11" s="59">
        <f>G11/H11</f>
        <v>62</v>
      </c>
      <c r="L11" s="18" t="s">
        <v>63</v>
      </c>
      <c r="M11" s="18">
        <v>0.077112</v>
      </c>
      <c r="N11" s="18">
        <v>7.8</v>
      </c>
      <c r="O11" s="18">
        <f>N11*K11</f>
        <v>483.6</v>
      </c>
      <c r="P11" s="70">
        <f t="shared" si="2"/>
        <v>4.780944</v>
      </c>
      <c r="Q11" s="127"/>
    </row>
    <row r="12" spans="2:16">
      <c r="B12" s="16"/>
      <c r="C12" s="52"/>
      <c r="D12" s="117"/>
      <c r="E12" s="52"/>
      <c r="F12" s="118"/>
      <c r="G12" s="55"/>
      <c r="H12" s="58"/>
      <c r="I12" s="52"/>
      <c r="J12" s="52"/>
      <c r="K12" s="60"/>
      <c r="L12" s="122"/>
      <c r="M12" s="52"/>
      <c r="N12" s="52"/>
      <c r="O12" s="117"/>
      <c r="P12" s="8"/>
    </row>
    <row r="13" customFormat="1" ht="15" customHeight="1" spans="1:16">
      <c r="A13" s="2"/>
      <c r="B13" s="119" t="s">
        <v>64</v>
      </c>
      <c r="C13" s="2"/>
      <c r="D13" s="2"/>
      <c r="E13" s="2"/>
      <c r="F13" s="14"/>
      <c r="G13" s="17"/>
      <c r="H13" s="16"/>
      <c r="I13" s="2"/>
      <c r="J13" s="2"/>
      <c r="K13" s="123"/>
      <c r="L13" s="2"/>
      <c r="M13" s="2"/>
      <c r="N13" s="2"/>
      <c r="O13" s="2"/>
      <c r="P13" s="2"/>
    </row>
    <row r="14" s="1" customFormat="1" ht="15" customHeight="1" spans="1:16">
      <c r="A14" s="30" t="s">
        <v>65</v>
      </c>
      <c r="B14" s="15" t="s">
        <v>66</v>
      </c>
      <c r="C14" s="47" t="s">
        <v>67</v>
      </c>
      <c r="D14" s="48" t="s">
        <v>68</v>
      </c>
      <c r="E14" s="48" t="s">
        <v>69</v>
      </c>
      <c r="F14" s="49" t="s">
        <v>70</v>
      </c>
      <c r="G14" s="50">
        <v>310</v>
      </c>
      <c r="H14" s="51">
        <v>1</v>
      </c>
      <c r="I14" s="51">
        <f>G14*6</f>
        <v>1860</v>
      </c>
      <c r="J14" s="51">
        <v>6</v>
      </c>
      <c r="K14" s="59">
        <f>G14/H14</f>
        <v>310</v>
      </c>
      <c r="L14" s="48" t="s">
        <v>71</v>
      </c>
      <c r="M14" s="47">
        <f>(42*31*16)/1000000</f>
        <v>0.020832</v>
      </c>
      <c r="N14" s="47">
        <v>3.15</v>
      </c>
      <c r="O14" s="47">
        <f>N14*K14</f>
        <v>976.5</v>
      </c>
      <c r="P14" s="35">
        <f>M14*K14</f>
        <v>6.45792</v>
      </c>
    </row>
    <row r="15" customFormat="1" spans="1:16">
      <c r="A15" s="14" t="s">
        <v>65</v>
      </c>
      <c r="B15" s="15"/>
      <c r="C15" s="16" t="s">
        <v>72</v>
      </c>
      <c r="D15" s="16" t="s">
        <v>73</v>
      </c>
      <c r="E15" s="16" t="s">
        <v>74</v>
      </c>
      <c r="F15" s="30" t="s">
        <v>75</v>
      </c>
      <c r="G15" s="8">
        <v>216</v>
      </c>
      <c r="H15" s="16">
        <v>36</v>
      </c>
      <c r="I15" s="16">
        <f>G15*2</f>
        <v>432</v>
      </c>
      <c r="J15" s="16">
        <v>72</v>
      </c>
      <c r="K15" s="29">
        <f>G15/H15</f>
        <v>6</v>
      </c>
      <c r="L15" s="16" t="s">
        <v>76</v>
      </c>
      <c r="M15" s="16">
        <f>(48*44*36)/1000000</f>
        <v>0.076032</v>
      </c>
      <c r="N15" s="16">
        <v>17</v>
      </c>
      <c r="O15" s="16">
        <f>N15*K15</f>
        <v>102</v>
      </c>
      <c r="P15" s="8">
        <f>M15*K15</f>
        <v>0.456192</v>
      </c>
    </row>
    <row r="16" customFormat="1" spans="1:16">
      <c r="A16" s="14" t="s">
        <v>65</v>
      </c>
      <c r="B16" s="15"/>
      <c r="C16" s="16" t="s">
        <v>77</v>
      </c>
      <c r="D16" s="16"/>
      <c r="E16" s="16"/>
      <c r="F16" s="30"/>
      <c r="G16" s="8"/>
      <c r="H16" s="16"/>
      <c r="I16" s="16">
        <f>G15*2</f>
        <v>432</v>
      </c>
      <c r="J16" s="16">
        <v>72</v>
      </c>
      <c r="K16" s="29"/>
      <c r="L16" s="16"/>
      <c r="M16" s="16"/>
      <c r="N16" s="16"/>
      <c r="O16" s="16"/>
      <c r="P16" s="8"/>
    </row>
    <row r="18" spans="3:16">
      <c r="C18" s="2"/>
      <c r="D18" s="2"/>
      <c r="E18" s="2"/>
      <c r="F18" s="2"/>
      <c r="G18" s="2"/>
      <c r="H18" s="2"/>
      <c r="I18" s="2"/>
      <c r="J18" s="2"/>
      <c r="K18" s="29"/>
      <c r="L18" s="2"/>
      <c r="M18" s="2"/>
      <c r="N18" s="2"/>
      <c r="O18" s="2"/>
      <c r="P18" s="17"/>
    </row>
    <row r="19" spans="1:16">
      <c r="A19" s="10" t="s">
        <v>78</v>
      </c>
      <c r="B19" s="108" t="s">
        <v>64</v>
      </c>
      <c r="C19" s="10" t="s">
        <v>79</v>
      </c>
      <c r="D19" s="100" t="s">
        <v>80</v>
      </c>
      <c r="E19" s="10" t="s">
        <v>81</v>
      </c>
      <c r="F19" s="10" t="s">
        <v>82</v>
      </c>
      <c r="G19" s="35">
        <v>300</v>
      </c>
      <c r="H19" s="65">
        <v>20</v>
      </c>
      <c r="I19" s="35">
        <f t="shared" ref="I18:I27" si="3">G19</f>
        <v>300</v>
      </c>
      <c r="J19" s="65">
        <v>20</v>
      </c>
      <c r="K19" s="36">
        <f t="shared" ref="K19:K27" si="4">G19/H19</f>
        <v>15</v>
      </c>
      <c r="L19" s="124" t="s">
        <v>83</v>
      </c>
      <c r="M19" s="66">
        <v>0.05544</v>
      </c>
      <c r="N19" s="66">
        <v>20.4</v>
      </c>
      <c r="O19" s="66">
        <f t="shared" ref="O19:O27" si="5">N19*K19</f>
        <v>306</v>
      </c>
      <c r="P19" s="66">
        <f t="shared" ref="P18:P27" si="6">M19*K19</f>
        <v>0.8316</v>
      </c>
    </row>
    <row r="20" spans="1:16">
      <c r="A20" s="10" t="s">
        <v>78</v>
      </c>
      <c r="B20" s="65"/>
      <c r="C20" s="10" t="s">
        <v>84</v>
      </c>
      <c r="D20" s="100" t="s">
        <v>85</v>
      </c>
      <c r="E20" s="10" t="s">
        <v>86</v>
      </c>
      <c r="F20" s="10" t="s">
        <v>87</v>
      </c>
      <c r="G20" s="35">
        <v>90</v>
      </c>
      <c r="H20" s="65">
        <v>30</v>
      </c>
      <c r="I20" s="35">
        <f t="shared" si="3"/>
        <v>90</v>
      </c>
      <c r="J20" s="65">
        <v>30</v>
      </c>
      <c r="K20" s="36">
        <f t="shared" si="4"/>
        <v>3</v>
      </c>
      <c r="L20" s="66" t="s">
        <v>88</v>
      </c>
      <c r="M20" s="66">
        <v>0.011564</v>
      </c>
      <c r="N20" s="66">
        <v>10.5</v>
      </c>
      <c r="O20" s="66">
        <f t="shared" si="5"/>
        <v>31.5</v>
      </c>
      <c r="P20" s="66">
        <f t="shared" si="6"/>
        <v>0.034692</v>
      </c>
    </row>
    <row r="21" spans="1:16">
      <c r="A21" s="10" t="s">
        <v>78</v>
      </c>
      <c r="B21" s="10"/>
      <c r="C21" s="10" t="s">
        <v>84</v>
      </c>
      <c r="D21" s="100" t="s">
        <v>89</v>
      </c>
      <c r="E21" s="10" t="s">
        <v>90</v>
      </c>
      <c r="F21" s="10" t="s">
        <v>91</v>
      </c>
      <c r="G21" s="35">
        <v>90</v>
      </c>
      <c r="H21" s="65">
        <v>30</v>
      </c>
      <c r="I21" s="35">
        <f t="shared" si="3"/>
        <v>90</v>
      </c>
      <c r="J21" s="65">
        <v>30</v>
      </c>
      <c r="K21" s="36">
        <f t="shared" si="4"/>
        <v>3</v>
      </c>
      <c r="L21" s="66" t="s">
        <v>88</v>
      </c>
      <c r="M21" s="66">
        <v>0.011564</v>
      </c>
      <c r="N21" s="66">
        <v>10.5</v>
      </c>
      <c r="O21" s="66">
        <f t="shared" si="5"/>
        <v>31.5</v>
      </c>
      <c r="P21" s="66">
        <f t="shared" si="6"/>
        <v>0.034692</v>
      </c>
    </row>
    <row r="22" spans="1:16">
      <c r="A22" s="10" t="s">
        <v>78</v>
      </c>
      <c r="B22" s="65"/>
      <c r="C22" s="10" t="s">
        <v>84</v>
      </c>
      <c r="D22" s="100" t="s">
        <v>92</v>
      </c>
      <c r="E22" s="10" t="s">
        <v>93</v>
      </c>
      <c r="F22" s="10" t="s">
        <v>94</v>
      </c>
      <c r="G22" s="35">
        <v>90</v>
      </c>
      <c r="H22" s="65">
        <v>30</v>
      </c>
      <c r="I22" s="35">
        <f t="shared" si="3"/>
        <v>90</v>
      </c>
      <c r="J22" s="65">
        <v>30</v>
      </c>
      <c r="K22" s="36">
        <f t="shared" si="4"/>
        <v>3</v>
      </c>
      <c r="L22" s="66" t="s">
        <v>88</v>
      </c>
      <c r="M22" s="66">
        <v>0.011564</v>
      </c>
      <c r="N22" s="66">
        <v>10.5</v>
      </c>
      <c r="O22" s="66">
        <f t="shared" si="5"/>
        <v>31.5</v>
      </c>
      <c r="P22" s="66">
        <f t="shared" si="6"/>
        <v>0.034692</v>
      </c>
    </row>
    <row r="23" spans="1:16">
      <c r="A23" s="10" t="s">
        <v>78</v>
      </c>
      <c r="C23" s="99" t="s">
        <v>95</v>
      </c>
      <c r="D23" s="99" t="s">
        <v>96</v>
      </c>
      <c r="E23" s="99" t="s">
        <v>97</v>
      </c>
      <c r="F23" s="99" t="s">
        <v>98</v>
      </c>
      <c r="G23" s="99">
        <v>200</v>
      </c>
      <c r="H23" s="99">
        <v>50</v>
      </c>
      <c r="I23" s="99">
        <f t="shared" si="3"/>
        <v>200</v>
      </c>
      <c r="J23" s="99">
        <v>50</v>
      </c>
      <c r="K23" s="109">
        <f t="shared" si="4"/>
        <v>4</v>
      </c>
      <c r="L23" s="125" t="s">
        <v>99</v>
      </c>
      <c r="M23" s="13">
        <f>43*36*27/1000000</f>
        <v>0.041796</v>
      </c>
      <c r="N23" s="110">
        <v>11</v>
      </c>
      <c r="O23" s="66">
        <f t="shared" si="5"/>
        <v>44</v>
      </c>
      <c r="P23" s="35">
        <f t="shared" si="6"/>
        <v>0.167184</v>
      </c>
    </row>
    <row r="24" spans="1:16">
      <c r="A24" s="10" t="s">
        <v>78</v>
      </c>
      <c r="C24" s="99" t="s">
        <v>100</v>
      </c>
      <c r="D24" s="99" t="s">
        <v>101</v>
      </c>
      <c r="E24" s="99" t="s">
        <v>102</v>
      </c>
      <c r="F24" s="99" t="s">
        <v>103</v>
      </c>
      <c r="G24" s="99">
        <v>200</v>
      </c>
      <c r="H24" s="99">
        <v>50</v>
      </c>
      <c r="I24" s="99">
        <f t="shared" si="3"/>
        <v>200</v>
      </c>
      <c r="J24" s="99">
        <v>50</v>
      </c>
      <c r="K24" s="109">
        <f t="shared" si="4"/>
        <v>4</v>
      </c>
      <c r="L24" s="125" t="s">
        <v>99</v>
      </c>
      <c r="M24" s="13">
        <f>43*36*27/1000000</f>
        <v>0.041796</v>
      </c>
      <c r="N24" s="110">
        <v>11</v>
      </c>
      <c r="O24" s="66">
        <f t="shared" si="5"/>
        <v>44</v>
      </c>
      <c r="P24" s="35">
        <f t="shared" si="6"/>
        <v>0.167184</v>
      </c>
    </row>
    <row r="25" spans="1:16">
      <c r="A25" s="10"/>
      <c r="C25" s="99"/>
      <c r="D25" s="99"/>
      <c r="E25" s="99"/>
      <c r="F25" s="99"/>
      <c r="G25" s="99"/>
      <c r="H25" s="99"/>
      <c r="I25" s="99"/>
      <c r="J25" s="99"/>
      <c r="K25" s="109"/>
      <c r="L25" s="125"/>
      <c r="M25" s="125"/>
      <c r="N25" s="110"/>
      <c r="O25" s="8"/>
      <c r="P25" s="126"/>
    </row>
    <row r="26" spans="1:16">
      <c r="A26" s="10"/>
      <c r="G26" s="18"/>
      <c r="H26" s="18"/>
      <c r="I26" s="18"/>
      <c r="J26" s="18"/>
      <c r="K26" s="31"/>
      <c r="L26" s="18"/>
      <c r="M26" s="18"/>
      <c r="N26" s="18"/>
      <c r="O26" s="18"/>
      <c r="P26" s="17"/>
    </row>
    <row r="27" ht="15" spans="1:16">
      <c r="A27" s="10" t="s">
        <v>78</v>
      </c>
      <c r="B27" s="41" t="s">
        <v>104</v>
      </c>
      <c r="C27" s="18" t="s">
        <v>39</v>
      </c>
      <c r="D27" s="18" t="s">
        <v>105</v>
      </c>
      <c r="E27" s="18" t="s">
        <v>106</v>
      </c>
      <c r="F27" s="79" t="s">
        <v>107</v>
      </c>
      <c r="G27" s="20">
        <v>12</v>
      </c>
      <c r="H27" s="21">
        <v>6</v>
      </c>
      <c r="I27" s="20">
        <f t="shared" ref="I27:I35" si="7">G27</f>
        <v>12</v>
      </c>
      <c r="J27" s="21">
        <v>6</v>
      </c>
      <c r="K27" s="31">
        <f t="shared" ref="K27:K35" si="8">G27/H27</f>
        <v>2</v>
      </c>
      <c r="L27" s="1" t="s">
        <v>108</v>
      </c>
      <c r="M27" s="33">
        <v>0.246</v>
      </c>
      <c r="N27" s="33">
        <v>18</v>
      </c>
      <c r="O27" s="18">
        <f t="shared" ref="O27:O35" si="9">N27*K27</f>
        <v>36</v>
      </c>
      <c r="P27" s="8">
        <f t="shared" ref="P27:P35" si="10">M27*K27</f>
        <v>0.492</v>
      </c>
    </row>
    <row r="28" ht="15" spans="1:16">
      <c r="A28" s="10" t="s">
        <v>78</v>
      </c>
      <c r="B28" s="18"/>
      <c r="C28" s="18" t="s">
        <v>39</v>
      </c>
      <c r="D28" s="18" t="s">
        <v>109</v>
      </c>
      <c r="E28" s="18" t="s">
        <v>110</v>
      </c>
      <c r="F28" s="79" t="s">
        <v>111</v>
      </c>
      <c r="G28" s="20">
        <v>30</v>
      </c>
      <c r="H28" s="21">
        <v>10</v>
      </c>
      <c r="I28" s="20">
        <f t="shared" si="7"/>
        <v>30</v>
      </c>
      <c r="J28" s="21">
        <v>10</v>
      </c>
      <c r="K28" s="31">
        <f t="shared" si="8"/>
        <v>3</v>
      </c>
      <c r="L28" s="1" t="s">
        <v>112</v>
      </c>
      <c r="M28" s="33">
        <v>0.3034</v>
      </c>
      <c r="N28" s="33">
        <v>23.6</v>
      </c>
      <c r="O28" s="18">
        <f t="shared" si="9"/>
        <v>70.8</v>
      </c>
      <c r="P28" s="8">
        <f t="shared" si="10"/>
        <v>0.9102</v>
      </c>
    </row>
    <row r="29" ht="15" spans="1:16">
      <c r="A29" s="10" t="s">
        <v>78</v>
      </c>
      <c r="B29" s="18"/>
      <c r="C29" s="18" t="s">
        <v>113</v>
      </c>
      <c r="D29" s="18" t="s">
        <v>114</v>
      </c>
      <c r="E29" s="18" t="s">
        <v>115</v>
      </c>
      <c r="F29" s="80" t="s">
        <v>116</v>
      </c>
      <c r="G29" s="20">
        <v>10</v>
      </c>
      <c r="H29" s="21">
        <v>1</v>
      </c>
      <c r="I29" s="20">
        <f t="shared" si="7"/>
        <v>10</v>
      </c>
      <c r="J29" s="21">
        <v>1</v>
      </c>
      <c r="K29" s="31">
        <f t="shared" si="8"/>
        <v>10</v>
      </c>
      <c r="L29" s="1" t="s">
        <v>117</v>
      </c>
      <c r="M29" s="33">
        <v>0.178</v>
      </c>
      <c r="N29" s="33">
        <v>7.7</v>
      </c>
      <c r="O29" s="18">
        <f t="shared" si="9"/>
        <v>77</v>
      </c>
      <c r="P29" s="8">
        <f t="shared" si="10"/>
        <v>1.78</v>
      </c>
    </row>
    <row r="30" ht="15" spans="1:16">
      <c r="A30" s="10" t="s">
        <v>78</v>
      </c>
      <c r="B30" s="18"/>
      <c r="C30" s="18" t="s">
        <v>113</v>
      </c>
      <c r="D30" s="18" t="s">
        <v>118</v>
      </c>
      <c r="E30" s="18" t="s">
        <v>119</v>
      </c>
      <c r="F30" s="80" t="s">
        <v>120</v>
      </c>
      <c r="G30" s="20">
        <v>5</v>
      </c>
      <c r="H30" s="21">
        <v>1</v>
      </c>
      <c r="I30" s="20">
        <f t="shared" si="7"/>
        <v>5</v>
      </c>
      <c r="J30" s="21">
        <v>1</v>
      </c>
      <c r="K30" s="31">
        <f t="shared" si="8"/>
        <v>5</v>
      </c>
      <c r="L30" s="1" t="s">
        <v>117</v>
      </c>
      <c r="M30" s="33">
        <v>0.178</v>
      </c>
      <c r="N30" s="33">
        <v>8.6</v>
      </c>
      <c r="O30" s="18">
        <f t="shared" si="9"/>
        <v>43</v>
      </c>
      <c r="P30" s="8">
        <f t="shared" si="10"/>
        <v>0.89</v>
      </c>
    </row>
    <row r="31" ht="15" spans="1:16">
      <c r="A31" s="10" t="s">
        <v>78</v>
      </c>
      <c r="B31" s="18"/>
      <c r="C31" s="18" t="s">
        <v>34</v>
      </c>
      <c r="D31" s="81" t="s">
        <v>121</v>
      </c>
      <c r="E31" s="18" t="s">
        <v>122</v>
      </c>
      <c r="F31" s="80" t="s">
        <v>123</v>
      </c>
      <c r="G31" s="20">
        <v>12</v>
      </c>
      <c r="H31" s="21">
        <v>6</v>
      </c>
      <c r="I31" s="20">
        <f t="shared" si="7"/>
        <v>12</v>
      </c>
      <c r="J31" s="21">
        <v>6</v>
      </c>
      <c r="K31" s="31">
        <f t="shared" si="8"/>
        <v>2</v>
      </c>
      <c r="L31" s="1" t="s">
        <v>124</v>
      </c>
      <c r="M31" s="33">
        <v>0.245784</v>
      </c>
      <c r="N31" s="33">
        <v>22.7</v>
      </c>
      <c r="O31" s="18">
        <f t="shared" si="9"/>
        <v>45.4</v>
      </c>
      <c r="P31" s="8">
        <f t="shared" si="10"/>
        <v>0.491568</v>
      </c>
    </row>
    <row r="32" ht="14.25" spans="1:16">
      <c r="A32" s="10" t="s">
        <v>78</v>
      </c>
      <c r="B32" s="18"/>
      <c r="C32" s="18" t="s">
        <v>34</v>
      </c>
      <c r="D32" s="18" t="s">
        <v>125</v>
      </c>
      <c r="E32" s="18" t="s">
        <v>126</v>
      </c>
      <c r="F32" s="18" t="s">
        <v>127</v>
      </c>
      <c r="G32" s="18">
        <v>12</v>
      </c>
      <c r="H32" s="18">
        <v>6</v>
      </c>
      <c r="I32" s="20">
        <f t="shared" si="7"/>
        <v>12</v>
      </c>
      <c r="J32" s="18">
        <v>6</v>
      </c>
      <c r="K32" s="31">
        <f t="shared" si="8"/>
        <v>2</v>
      </c>
      <c r="L32" s="18" t="s">
        <v>128</v>
      </c>
      <c r="M32" s="18">
        <v>0.26</v>
      </c>
      <c r="N32" s="18">
        <v>16.02</v>
      </c>
      <c r="O32" s="18">
        <f t="shared" si="9"/>
        <v>32.04</v>
      </c>
      <c r="P32" s="8">
        <f t="shared" si="10"/>
        <v>0.52</v>
      </c>
    </row>
    <row r="33" ht="15" spans="1:16">
      <c r="A33" s="10" t="s">
        <v>78</v>
      </c>
      <c r="B33" s="11" t="s">
        <v>129</v>
      </c>
      <c r="C33" s="10" t="s">
        <v>39</v>
      </c>
      <c r="D33" s="20" t="s">
        <v>130</v>
      </c>
      <c r="E33" s="20" t="s">
        <v>131</v>
      </c>
      <c r="F33" s="79" t="s">
        <v>132</v>
      </c>
      <c r="G33">
        <v>70</v>
      </c>
      <c r="H33">
        <v>10</v>
      </c>
      <c r="I33" s="20">
        <f t="shared" si="7"/>
        <v>70</v>
      </c>
      <c r="J33">
        <v>10</v>
      </c>
      <c r="K33" s="36">
        <f t="shared" si="8"/>
        <v>7</v>
      </c>
      <c r="L33" s="10" t="s">
        <v>133</v>
      </c>
      <c r="M33" s="20">
        <f>83*72*48/1000000</f>
        <v>0.286848</v>
      </c>
      <c r="N33" s="34">
        <v>18</v>
      </c>
      <c r="O33" s="10">
        <f t="shared" si="9"/>
        <v>126</v>
      </c>
      <c r="P33" s="35">
        <f t="shared" si="10"/>
        <v>2.007936</v>
      </c>
    </row>
    <row r="34" ht="14.25" spans="1:16">
      <c r="A34" s="10" t="s">
        <v>78</v>
      </c>
      <c r="B34" s="11" t="s">
        <v>134</v>
      </c>
      <c r="C34" s="10" t="s">
        <v>39</v>
      </c>
      <c r="D34" s="65" t="s">
        <v>135</v>
      </c>
      <c r="E34" s="10" t="s">
        <v>136</v>
      </c>
      <c r="F34" s="10" t="s">
        <v>137</v>
      </c>
      <c r="G34" s="10">
        <v>20</v>
      </c>
      <c r="H34" s="10">
        <v>10</v>
      </c>
      <c r="I34" s="20">
        <f t="shared" si="7"/>
        <v>20</v>
      </c>
      <c r="J34" s="10">
        <v>10</v>
      </c>
      <c r="K34" s="36">
        <f t="shared" si="8"/>
        <v>2</v>
      </c>
      <c r="L34" s="10" t="s">
        <v>138</v>
      </c>
      <c r="M34" s="34">
        <v>0.3034</v>
      </c>
      <c r="N34" s="34">
        <v>18</v>
      </c>
      <c r="O34" s="10">
        <f t="shared" si="9"/>
        <v>36</v>
      </c>
      <c r="P34" s="35">
        <f t="shared" si="10"/>
        <v>0.6068</v>
      </c>
    </row>
    <row r="35" ht="15" spans="1:16">
      <c r="A35" s="10" t="s">
        <v>78</v>
      </c>
      <c r="C35" s="10" t="s">
        <v>39</v>
      </c>
      <c r="D35" s="20" t="s">
        <v>139</v>
      </c>
      <c r="E35" s="20" t="s">
        <v>140</v>
      </c>
      <c r="F35" s="79" t="s">
        <v>141</v>
      </c>
      <c r="G35">
        <v>20</v>
      </c>
      <c r="H35">
        <v>10</v>
      </c>
      <c r="I35" s="20">
        <f t="shared" si="7"/>
        <v>20</v>
      </c>
      <c r="J35">
        <v>10</v>
      </c>
      <c r="K35" s="36">
        <f t="shared" si="8"/>
        <v>2</v>
      </c>
      <c r="L35" s="10" t="s">
        <v>142</v>
      </c>
      <c r="M35" s="20">
        <f>83*72*48/1000000</f>
        <v>0.286848</v>
      </c>
      <c r="N35" s="34">
        <v>18</v>
      </c>
      <c r="O35" s="10">
        <f t="shared" si="9"/>
        <v>36</v>
      </c>
      <c r="P35" s="35">
        <f t="shared" si="10"/>
        <v>0.573696</v>
      </c>
    </row>
    <row r="36" spans="1:16">
      <c r="A36" s="10"/>
      <c r="G36" s="18"/>
      <c r="K36" s="31"/>
      <c r="P36" s="17"/>
    </row>
    <row r="37" spans="1:16">
      <c r="A37" s="10"/>
      <c r="G37" s="18"/>
      <c r="K37" s="31"/>
      <c r="P37" s="17"/>
    </row>
    <row r="38" spans="1:16">
      <c r="A38" s="10" t="s">
        <v>78</v>
      </c>
      <c r="B38" s="41" t="s">
        <v>143</v>
      </c>
      <c r="C38" t="s">
        <v>144</v>
      </c>
      <c r="D38" t="s">
        <v>145</v>
      </c>
      <c r="E38" t="s">
        <v>146</v>
      </c>
      <c r="F38" t="s">
        <v>147</v>
      </c>
      <c r="G38">
        <v>108</v>
      </c>
      <c r="H38">
        <v>36</v>
      </c>
      <c r="I38" s="10">
        <f t="shared" ref="I38:I41" si="11">G38</f>
        <v>108</v>
      </c>
      <c r="J38">
        <v>36</v>
      </c>
      <c r="K38" s="31">
        <f>G38/H38</f>
        <v>3</v>
      </c>
      <c r="L38" s="103" t="s">
        <v>148</v>
      </c>
      <c r="M38" s="103">
        <v>0.12</v>
      </c>
      <c r="N38" s="103">
        <f>3024.6/142</f>
        <v>21.3</v>
      </c>
      <c r="O38" s="66">
        <f>N38*K38</f>
        <v>63.9</v>
      </c>
      <c r="P38" s="66">
        <f>M38*K38</f>
        <v>0.36</v>
      </c>
    </row>
    <row r="39" spans="1:16">
      <c r="A39" s="10" t="s">
        <v>78</v>
      </c>
      <c r="C39" t="s">
        <v>149</v>
      </c>
      <c r="D39" t="s">
        <v>150</v>
      </c>
      <c r="E39" t="s">
        <v>151</v>
      </c>
      <c r="F39" t="s">
        <v>152</v>
      </c>
      <c r="G39" s="18">
        <v>240</v>
      </c>
      <c r="H39">
        <v>12</v>
      </c>
      <c r="I39" s="10">
        <f t="shared" si="11"/>
        <v>240</v>
      </c>
      <c r="J39">
        <v>12</v>
      </c>
      <c r="K39" s="31">
        <f>G39/H39</f>
        <v>20</v>
      </c>
      <c r="L39" t="s">
        <v>153</v>
      </c>
      <c r="M39">
        <v>0.0726</v>
      </c>
      <c r="N39">
        <v>10.89</v>
      </c>
      <c r="O39" s="66">
        <f>N39*K39</f>
        <v>217.8</v>
      </c>
      <c r="P39" s="66">
        <f>M39*K39</f>
        <v>1.452</v>
      </c>
    </row>
    <row r="40" spans="1:16">
      <c r="A40" s="10" t="s">
        <v>78</v>
      </c>
      <c r="C40" t="s">
        <v>154</v>
      </c>
      <c r="D40" t="s">
        <v>155</v>
      </c>
      <c r="E40" t="s">
        <v>156</v>
      </c>
      <c r="F40" t="s">
        <v>157</v>
      </c>
      <c r="G40">
        <v>80</v>
      </c>
      <c r="H40">
        <v>20</v>
      </c>
      <c r="I40" s="10">
        <f t="shared" si="11"/>
        <v>80</v>
      </c>
      <c r="J40">
        <v>20</v>
      </c>
      <c r="K40" s="31">
        <f>G40/H40</f>
        <v>4</v>
      </c>
      <c r="L40" t="s">
        <v>158</v>
      </c>
      <c r="M40">
        <v>0.128</v>
      </c>
      <c r="N40">
        <v>14.6</v>
      </c>
      <c r="O40" s="10">
        <f>N40*K40</f>
        <v>58.4</v>
      </c>
      <c r="P40" s="35">
        <f>M40*K40</f>
        <v>0.512</v>
      </c>
    </row>
    <row r="41" spans="1:16">
      <c r="A41" s="10" t="s">
        <v>78</v>
      </c>
      <c r="C41" t="s">
        <v>154</v>
      </c>
      <c r="D41" t="s">
        <v>159</v>
      </c>
      <c r="E41" t="s">
        <v>160</v>
      </c>
      <c r="F41" t="s">
        <v>161</v>
      </c>
      <c r="G41" s="97">
        <v>35</v>
      </c>
      <c r="H41" s="98">
        <v>20</v>
      </c>
      <c r="I41" s="10">
        <f t="shared" si="11"/>
        <v>35</v>
      </c>
      <c r="J41" s="104">
        <v>72</v>
      </c>
      <c r="K41" s="31">
        <v>2</v>
      </c>
      <c r="L41" t="s">
        <v>162</v>
      </c>
      <c r="M41">
        <v>0.094</v>
      </c>
      <c r="N41">
        <v>9</v>
      </c>
      <c r="O41" s="10">
        <f>N41*K41</f>
        <v>18</v>
      </c>
      <c r="P41" s="35">
        <f>M41*K41</f>
        <v>0.188</v>
      </c>
    </row>
    <row r="42" spans="1:16">
      <c r="A42" s="10" t="s">
        <v>78</v>
      </c>
      <c r="B42" s="24"/>
      <c r="C42" s="24" t="s">
        <v>163</v>
      </c>
      <c r="D42" s="99" t="s">
        <v>164</v>
      </c>
      <c r="E42" s="24" t="s">
        <v>165</v>
      </c>
      <c r="F42" s="24" t="s">
        <v>166</v>
      </c>
      <c r="G42" s="24">
        <v>42</v>
      </c>
      <c r="H42" s="98">
        <v>6</v>
      </c>
      <c r="I42" s="104">
        <f t="shared" ref="I42:I44" si="12">J42*K42</f>
        <v>504</v>
      </c>
      <c r="J42" s="104">
        <v>72</v>
      </c>
      <c r="K42" s="31">
        <f t="shared" ref="K42:K49" si="13">G42/H42</f>
        <v>7</v>
      </c>
      <c r="L42" s="13" t="s">
        <v>167</v>
      </c>
      <c r="M42" s="103">
        <f>(51*33*38)/1000000</f>
        <v>0.063954</v>
      </c>
      <c r="N42" s="103">
        <v>16.8</v>
      </c>
      <c r="O42" s="103">
        <f t="shared" ref="O42:O49" si="14">N42*K42</f>
        <v>117.6</v>
      </c>
      <c r="P42" s="76">
        <f t="shared" ref="P42:P49" si="15">M42*K42</f>
        <v>0.447678</v>
      </c>
    </row>
    <row r="43" spans="1:16">
      <c r="A43" s="10" t="s">
        <v>78</v>
      </c>
      <c r="B43" s="24"/>
      <c r="C43" s="24" t="s">
        <v>168</v>
      </c>
      <c r="D43" s="99" t="s">
        <v>169</v>
      </c>
      <c r="E43" s="24" t="s">
        <v>170</v>
      </c>
      <c r="F43" s="24" t="s">
        <v>171</v>
      </c>
      <c r="G43" s="24">
        <v>48</v>
      </c>
      <c r="H43" s="98">
        <v>12</v>
      </c>
      <c r="I43" s="104">
        <f t="shared" si="12"/>
        <v>288</v>
      </c>
      <c r="J43" s="98">
        <v>72</v>
      </c>
      <c r="K43" s="31">
        <f t="shared" si="13"/>
        <v>4</v>
      </c>
      <c r="L43" s="103" t="s">
        <v>172</v>
      </c>
      <c r="M43" s="103">
        <f>(50*35*38)/1000000</f>
        <v>0.0665</v>
      </c>
      <c r="N43" s="103">
        <v>17</v>
      </c>
      <c r="O43" s="103">
        <f t="shared" si="14"/>
        <v>68</v>
      </c>
      <c r="P43" s="76">
        <f t="shared" si="15"/>
        <v>0.266</v>
      </c>
    </row>
    <row r="44" spans="1:16">
      <c r="A44" s="10" t="s">
        <v>78</v>
      </c>
      <c r="B44" s="18"/>
      <c r="C44" s="18" t="s">
        <v>173</v>
      </c>
      <c r="D44" s="1" t="s">
        <v>174</v>
      </c>
      <c r="E44" t="s">
        <v>175</v>
      </c>
      <c r="F44" t="s">
        <v>51</v>
      </c>
      <c r="G44">
        <v>60</v>
      </c>
      <c r="H44">
        <v>4</v>
      </c>
      <c r="I44" s="105">
        <f t="shared" si="12"/>
        <v>720</v>
      </c>
      <c r="J44">
        <v>48</v>
      </c>
      <c r="K44" s="31">
        <f t="shared" si="13"/>
        <v>15</v>
      </c>
      <c r="L44" t="s">
        <v>176</v>
      </c>
      <c r="M44" s="10">
        <f>(56*37*32)/1000000</f>
        <v>0.066304</v>
      </c>
      <c r="N44">
        <v>12.4</v>
      </c>
      <c r="O44" s="10">
        <f t="shared" si="14"/>
        <v>186</v>
      </c>
      <c r="P44" s="35">
        <f t="shared" si="15"/>
        <v>0.99456</v>
      </c>
    </row>
    <row r="45" ht="14.25" spans="1:16">
      <c r="A45" s="10" t="s">
        <v>78</v>
      </c>
      <c r="B45" s="65"/>
      <c r="C45" s="65" t="s">
        <v>84</v>
      </c>
      <c r="D45" s="65" t="s">
        <v>177</v>
      </c>
      <c r="E45" s="65" t="s">
        <v>178</v>
      </c>
      <c r="F45" s="65" t="s">
        <v>87</v>
      </c>
      <c r="G45" s="35">
        <v>180</v>
      </c>
      <c r="H45" s="65">
        <v>30</v>
      </c>
      <c r="I45" s="20">
        <f t="shared" ref="I45:I49" si="16">G45</f>
        <v>180</v>
      </c>
      <c r="J45" s="65">
        <v>30</v>
      </c>
      <c r="K45" s="31">
        <f t="shared" si="13"/>
        <v>6</v>
      </c>
      <c r="L45" s="66" t="s">
        <v>88</v>
      </c>
      <c r="M45" s="66">
        <v>0.011564</v>
      </c>
      <c r="N45" s="66">
        <v>10.5</v>
      </c>
      <c r="O45" s="66">
        <f t="shared" si="14"/>
        <v>63</v>
      </c>
      <c r="P45" s="66">
        <f t="shared" si="15"/>
        <v>0.069384</v>
      </c>
    </row>
    <row r="46" ht="14.25" spans="1:16">
      <c r="A46" s="10" t="s">
        <v>78</v>
      </c>
      <c r="C46" s="10" t="s">
        <v>84</v>
      </c>
      <c r="D46" s="100" t="s">
        <v>179</v>
      </c>
      <c r="E46" s="10" t="s">
        <v>180</v>
      </c>
      <c r="F46" s="65" t="s">
        <v>181</v>
      </c>
      <c r="G46">
        <v>60</v>
      </c>
      <c r="H46">
        <v>30</v>
      </c>
      <c r="I46" s="20">
        <f t="shared" si="16"/>
        <v>60</v>
      </c>
      <c r="J46">
        <v>30</v>
      </c>
      <c r="K46" s="31">
        <f t="shared" si="13"/>
        <v>2</v>
      </c>
      <c r="L46" s="34" t="s">
        <v>88</v>
      </c>
      <c r="M46" s="34">
        <v>0.011564</v>
      </c>
      <c r="N46" s="66">
        <v>10.5</v>
      </c>
      <c r="O46" s="66">
        <f t="shared" si="14"/>
        <v>21</v>
      </c>
      <c r="P46" s="66">
        <f t="shared" si="15"/>
        <v>0.023128</v>
      </c>
    </row>
    <row r="47" customFormat="1" spans="1:16">
      <c r="A47" s="10" t="s">
        <v>78</v>
      </c>
      <c r="B47" s="101" t="s">
        <v>182</v>
      </c>
      <c r="C47" s="10" t="s">
        <v>84</v>
      </c>
      <c r="D47" s="65" t="s">
        <v>183</v>
      </c>
      <c r="E47" s="65" t="s">
        <v>184</v>
      </c>
      <c r="F47" s="10" t="s">
        <v>185</v>
      </c>
      <c r="G47" s="35">
        <v>30</v>
      </c>
      <c r="H47" s="65">
        <v>30</v>
      </c>
      <c r="I47" s="35">
        <f t="shared" si="16"/>
        <v>30</v>
      </c>
      <c r="J47" s="65">
        <v>30</v>
      </c>
      <c r="K47" s="36">
        <f t="shared" si="13"/>
        <v>1</v>
      </c>
      <c r="L47" s="66" t="s">
        <v>88</v>
      </c>
      <c r="M47" s="66">
        <v>0.011564</v>
      </c>
      <c r="N47" s="66">
        <v>10.5</v>
      </c>
      <c r="O47" s="66">
        <f t="shared" si="14"/>
        <v>10.5</v>
      </c>
      <c r="P47" s="66">
        <f t="shared" si="15"/>
        <v>0.011564</v>
      </c>
    </row>
    <row r="48" customFormat="1" spans="1:16">
      <c r="A48" s="10" t="s">
        <v>78</v>
      </c>
      <c r="B48" s="101" t="s">
        <v>186</v>
      </c>
      <c r="C48" s="10" t="s">
        <v>84</v>
      </c>
      <c r="D48" s="100" t="s">
        <v>187</v>
      </c>
      <c r="E48" s="10" t="s">
        <v>188</v>
      </c>
      <c r="F48" t="s">
        <v>189</v>
      </c>
      <c r="G48" s="35">
        <v>30</v>
      </c>
      <c r="H48" s="65">
        <v>30</v>
      </c>
      <c r="I48" s="35">
        <f t="shared" si="16"/>
        <v>30</v>
      </c>
      <c r="J48" s="65">
        <v>30</v>
      </c>
      <c r="K48" s="36">
        <f t="shared" si="13"/>
        <v>1</v>
      </c>
      <c r="L48" s="66" t="s">
        <v>88</v>
      </c>
      <c r="M48" s="66">
        <v>0.011564</v>
      </c>
      <c r="N48" s="66">
        <v>10.5</v>
      </c>
      <c r="O48" s="66">
        <f t="shared" si="14"/>
        <v>10.5</v>
      </c>
      <c r="P48" s="66">
        <f t="shared" si="15"/>
        <v>0.011564</v>
      </c>
    </row>
    <row r="49" customFormat="1" spans="1:16">
      <c r="A49" s="10" t="s">
        <v>78</v>
      </c>
      <c r="B49" s="101" t="s">
        <v>190</v>
      </c>
      <c r="C49" s="10" t="s">
        <v>84</v>
      </c>
      <c r="D49" t="s">
        <v>191</v>
      </c>
      <c r="E49" t="s">
        <v>192</v>
      </c>
      <c r="F49" t="s">
        <v>193</v>
      </c>
      <c r="G49" s="35">
        <v>30</v>
      </c>
      <c r="H49" s="65">
        <v>30</v>
      </c>
      <c r="I49" s="35">
        <f t="shared" si="16"/>
        <v>30</v>
      </c>
      <c r="J49" s="65">
        <v>30</v>
      </c>
      <c r="K49" s="36">
        <f t="shared" si="13"/>
        <v>1</v>
      </c>
      <c r="L49" s="66" t="s">
        <v>88</v>
      </c>
      <c r="M49" s="66">
        <v>0.011564</v>
      </c>
      <c r="N49" s="66">
        <v>10.5</v>
      </c>
      <c r="O49" s="66">
        <f t="shared" si="14"/>
        <v>10.5</v>
      </c>
      <c r="P49" s="66">
        <f t="shared" si="15"/>
        <v>0.011564</v>
      </c>
    </row>
    <row r="50" ht="14.25" spans="1:16">
      <c r="A50" s="10" t="s">
        <v>78</v>
      </c>
      <c r="B50" s="101" t="s">
        <v>194</v>
      </c>
      <c r="C50" s="65" t="s">
        <v>84</v>
      </c>
      <c r="D50" s="65" t="s">
        <v>195</v>
      </c>
      <c r="E50" s="65" t="s">
        <v>196</v>
      </c>
      <c r="F50" s="65" t="s">
        <v>197</v>
      </c>
      <c r="G50" s="18">
        <v>240</v>
      </c>
      <c r="H50" s="18">
        <v>30</v>
      </c>
      <c r="I50" s="20">
        <f t="shared" ref="I50:I63" si="17">G50</f>
        <v>240</v>
      </c>
      <c r="J50" s="18">
        <v>30</v>
      </c>
      <c r="K50" s="31">
        <f t="shared" ref="K50:K63" si="18">G50/H50</f>
        <v>8</v>
      </c>
      <c r="L50" s="66" t="s">
        <v>88</v>
      </c>
      <c r="M50" s="66">
        <v>0.011564</v>
      </c>
      <c r="N50" s="66">
        <v>10.5</v>
      </c>
      <c r="O50" s="66">
        <f t="shared" ref="O50:O63" si="19">N50*K50</f>
        <v>84</v>
      </c>
      <c r="P50" s="66">
        <f t="shared" ref="P50:P63" si="20">M50*K50</f>
        <v>0.092512</v>
      </c>
    </row>
    <row r="51" spans="1:16">
      <c r="A51" s="10" t="s">
        <v>78</v>
      </c>
      <c r="B51" t="s">
        <v>198</v>
      </c>
      <c r="C51" t="s">
        <v>199</v>
      </c>
      <c r="D51" t="s">
        <v>200</v>
      </c>
      <c r="E51" s="95" t="s">
        <v>201</v>
      </c>
      <c r="F51" t="s">
        <v>202</v>
      </c>
      <c r="G51">
        <v>100</v>
      </c>
      <c r="H51">
        <v>20</v>
      </c>
      <c r="I51" s="12">
        <f t="shared" si="17"/>
        <v>100</v>
      </c>
      <c r="J51" s="12">
        <v>20</v>
      </c>
      <c r="K51" s="75">
        <f t="shared" si="18"/>
        <v>5</v>
      </c>
      <c r="L51" t="s">
        <v>203</v>
      </c>
      <c r="M51">
        <v>0.042</v>
      </c>
      <c r="N51">
        <v>12.7</v>
      </c>
      <c r="O51" s="12">
        <f t="shared" si="19"/>
        <v>63.5</v>
      </c>
      <c r="P51" s="76">
        <f t="shared" si="20"/>
        <v>0.21</v>
      </c>
    </row>
    <row r="52" spans="1:16">
      <c r="A52" s="10" t="s">
        <v>78</v>
      </c>
      <c r="B52" t="s">
        <v>198</v>
      </c>
      <c r="C52" s="18" t="s">
        <v>199</v>
      </c>
      <c r="D52" s="18" t="s">
        <v>204</v>
      </c>
      <c r="E52" s="18" t="s">
        <v>205</v>
      </c>
      <c r="F52" s="18" t="s">
        <v>206</v>
      </c>
      <c r="G52" s="18">
        <v>100</v>
      </c>
      <c r="H52" s="18">
        <v>100</v>
      </c>
      <c r="I52" s="10">
        <f t="shared" si="17"/>
        <v>100</v>
      </c>
      <c r="J52" s="18">
        <v>100</v>
      </c>
      <c r="K52" s="31">
        <f t="shared" si="18"/>
        <v>1</v>
      </c>
      <c r="L52" s="18" t="s">
        <v>207</v>
      </c>
      <c r="M52" s="18">
        <v>0.019</v>
      </c>
      <c r="N52" s="18">
        <v>6.59</v>
      </c>
      <c r="O52" s="66">
        <f t="shared" si="19"/>
        <v>6.59</v>
      </c>
      <c r="P52" s="66">
        <f t="shared" si="20"/>
        <v>0.019</v>
      </c>
    </row>
    <row r="53" spans="1:16">
      <c r="A53" s="10" t="s">
        <v>78</v>
      </c>
      <c r="B53" t="s">
        <v>198</v>
      </c>
      <c r="C53" s="18" t="s">
        <v>199</v>
      </c>
      <c r="D53" s="18" t="s">
        <v>208</v>
      </c>
      <c r="E53" s="18" t="s">
        <v>209</v>
      </c>
      <c r="F53" s="18" t="s">
        <v>210</v>
      </c>
      <c r="G53" s="18">
        <v>100</v>
      </c>
      <c r="H53" s="18">
        <v>100</v>
      </c>
      <c r="I53" s="10">
        <f t="shared" si="17"/>
        <v>100</v>
      </c>
      <c r="J53" s="18">
        <v>100</v>
      </c>
      <c r="K53" s="31">
        <f t="shared" si="18"/>
        <v>1</v>
      </c>
      <c r="L53" s="18" t="s">
        <v>207</v>
      </c>
      <c r="M53" s="18">
        <v>0.019</v>
      </c>
      <c r="N53" s="18">
        <v>6.59</v>
      </c>
      <c r="O53" s="66">
        <f t="shared" si="19"/>
        <v>6.59</v>
      </c>
      <c r="P53" s="66">
        <f t="shared" si="20"/>
        <v>0.019</v>
      </c>
    </row>
    <row r="54" spans="1:16">
      <c r="A54" s="10" t="s">
        <v>78</v>
      </c>
      <c r="B54" t="s">
        <v>198</v>
      </c>
      <c r="C54" s="18" t="s">
        <v>199</v>
      </c>
      <c r="D54" s="18" t="s">
        <v>211</v>
      </c>
      <c r="E54" s="18" t="s">
        <v>212</v>
      </c>
      <c r="F54" s="18" t="s">
        <v>213</v>
      </c>
      <c r="G54" s="18">
        <v>100</v>
      </c>
      <c r="H54" s="18">
        <v>100</v>
      </c>
      <c r="I54" s="10">
        <f t="shared" si="17"/>
        <v>100</v>
      </c>
      <c r="J54" s="18">
        <v>100</v>
      </c>
      <c r="K54" s="31">
        <f t="shared" si="18"/>
        <v>1</v>
      </c>
      <c r="L54" s="18" t="s">
        <v>207</v>
      </c>
      <c r="M54" s="18">
        <v>0.019</v>
      </c>
      <c r="N54" s="18">
        <v>6.59</v>
      </c>
      <c r="O54" s="66">
        <f t="shared" si="19"/>
        <v>6.59</v>
      </c>
      <c r="P54" s="66">
        <f t="shared" si="20"/>
        <v>0.019</v>
      </c>
    </row>
    <row r="55" spans="1:16">
      <c r="A55" s="10" t="s">
        <v>78</v>
      </c>
      <c r="B55" t="s">
        <v>198</v>
      </c>
      <c r="C55" s="18" t="s">
        <v>199</v>
      </c>
      <c r="D55" s="18" t="s">
        <v>214</v>
      </c>
      <c r="E55" s="18" t="s">
        <v>215</v>
      </c>
      <c r="F55" s="18" t="s">
        <v>216</v>
      </c>
      <c r="G55" s="18">
        <v>100</v>
      </c>
      <c r="H55" s="18">
        <v>100</v>
      </c>
      <c r="I55" s="10">
        <f t="shared" si="17"/>
        <v>100</v>
      </c>
      <c r="J55" s="18">
        <v>100</v>
      </c>
      <c r="K55" s="31">
        <f t="shared" si="18"/>
        <v>1</v>
      </c>
      <c r="L55" s="18" t="s">
        <v>207</v>
      </c>
      <c r="M55" s="18">
        <v>0.019</v>
      </c>
      <c r="N55" s="18">
        <v>6.59</v>
      </c>
      <c r="O55" s="66">
        <f t="shared" si="19"/>
        <v>6.59</v>
      </c>
      <c r="P55" s="66">
        <f t="shared" si="20"/>
        <v>0.019</v>
      </c>
    </row>
    <row r="56" ht="15" spans="1:16">
      <c r="A56" s="10" t="s">
        <v>78</v>
      </c>
      <c r="C56" t="s">
        <v>39</v>
      </c>
      <c r="D56" s="18" t="s">
        <v>217</v>
      </c>
      <c r="E56" s="18" t="s">
        <v>218</v>
      </c>
      <c r="F56" s="19" t="s">
        <v>107</v>
      </c>
      <c r="G56" s="20">
        <v>12</v>
      </c>
      <c r="H56" s="21">
        <v>6</v>
      </c>
      <c r="I56" s="10">
        <f t="shared" si="17"/>
        <v>12</v>
      </c>
      <c r="J56" s="21">
        <v>6</v>
      </c>
      <c r="K56" s="31">
        <f t="shared" si="18"/>
        <v>2</v>
      </c>
      <c r="L56" s="18" t="s">
        <v>108</v>
      </c>
      <c r="M56" s="32">
        <v>0.246</v>
      </c>
      <c r="N56" s="32">
        <v>18</v>
      </c>
      <c r="O56" s="18">
        <f t="shared" si="19"/>
        <v>36</v>
      </c>
      <c r="P56" s="8">
        <f t="shared" si="20"/>
        <v>0.492</v>
      </c>
    </row>
    <row r="57" ht="15" spans="1:16">
      <c r="A57" s="10" t="s">
        <v>78</v>
      </c>
      <c r="C57" t="s">
        <v>34</v>
      </c>
      <c r="D57" s="18" t="s">
        <v>219</v>
      </c>
      <c r="E57" s="18" t="s">
        <v>220</v>
      </c>
      <c r="F57" s="22" t="s">
        <v>221</v>
      </c>
      <c r="G57" s="20">
        <v>20</v>
      </c>
      <c r="H57" s="21">
        <v>10</v>
      </c>
      <c r="I57" s="10">
        <f t="shared" si="17"/>
        <v>20</v>
      </c>
      <c r="J57" s="21">
        <v>10</v>
      </c>
      <c r="K57" s="31">
        <f t="shared" si="18"/>
        <v>2</v>
      </c>
      <c r="L57" s="18" t="s">
        <v>112</v>
      </c>
      <c r="M57" s="32">
        <v>0.2625</v>
      </c>
      <c r="N57" s="32">
        <v>20.275</v>
      </c>
      <c r="O57" s="18">
        <f t="shared" si="19"/>
        <v>40.55</v>
      </c>
      <c r="P57" s="8">
        <f t="shared" si="20"/>
        <v>0.525</v>
      </c>
    </row>
    <row r="58" ht="15" spans="1:16">
      <c r="A58" s="10" t="s">
        <v>78</v>
      </c>
      <c r="B58" s="18"/>
      <c r="C58" s="18" t="s">
        <v>34</v>
      </c>
      <c r="D58" s="18" t="s">
        <v>222</v>
      </c>
      <c r="E58" s="18" t="s">
        <v>223</v>
      </c>
      <c r="F58" s="19" t="s">
        <v>46</v>
      </c>
      <c r="G58" s="20">
        <v>20</v>
      </c>
      <c r="H58" s="21">
        <v>10</v>
      </c>
      <c r="I58" s="10">
        <f t="shared" si="17"/>
        <v>20</v>
      </c>
      <c r="J58" s="21">
        <v>10</v>
      </c>
      <c r="K58" s="31">
        <f t="shared" si="18"/>
        <v>2</v>
      </c>
      <c r="L58" s="18" t="s">
        <v>224</v>
      </c>
      <c r="M58" s="33">
        <v>0.303</v>
      </c>
      <c r="N58" s="33">
        <v>22.5</v>
      </c>
      <c r="O58" s="18">
        <f t="shared" si="19"/>
        <v>45</v>
      </c>
      <c r="P58" s="8">
        <f t="shared" si="20"/>
        <v>0.606</v>
      </c>
    </row>
    <row r="59" spans="1:16">
      <c r="A59" s="10" t="s">
        <v>78</v>
      </c>
      <c r="B59" s="11" t="s">
        <v>225</v>
      </c>
      <c r="C59" t="s">
        <v>226</v>
      </c>
      <c r="D59" s="1" t="s">
        <v>227</v>
      </c>
      <c r="E59" t="s">
        <v>228</v>
      </c>
      <c r="F59" s="23" t="s">
        <v>229</v>
      </c>
      <c r="G59" s="24">
        <v>12</v>
      </c>
      <c r="H59" s="10">
        <v>6</v>
      </c>
      <c r="I59" s="10">
        <f t="shared" si="17"/>
        <v>12</v>
      </c>
      <c r="J59" s="10">
        <v>6</v>
      </c>
      <c r="K59" s="31">
        <f t="shared" si="18"/>
        <v>2</v>
      </c>
      <c r="L59" s="10" t="s">
        <v>230</v>
      </c>
      <c r="M59" s="34">
        <v>0.1845</v>
      </c>
      <c r="N59" s="34">
        <v>11.4</v>
      </c>
      <c r="O59" s="10">
        <f t="shared" si="19"/>
        <v>22.8</v>
      </c>
      <c r="P59" s="35">
        <f t="shared" si="20"/>
        <v>0.369</v>
      </c>
    </row>
    <row r="60" ht="14.25" spans="1:16">
      <c r="A60" s="10" t="s">
        <v>78</v>
      </c>
      <c r="C60" s="10" t="s">
        <v>231</v>
      </c>
      <c r="D60" s="20" t="s">
        <v>232</v>
      </c>
      <c r="E60" s="20" t="s">
        <v>233</v>
      </c>
      <c r="F60" s="18" t="s">
        <v>234</v>
      </c>
      <c r="G60" s="10">
        <v>12</v>
      </c>
      <c r="H60" s="10">
        <v>6</v>
      </c>
      <c r="I60" s="20">
        <f t="shared" si="17"/>
        <v>12</v>
      </c>
      <c r="J60" s="10">
        <v>6</v>
      </c>
      <c r="K60" s="36">
        <f t="shared" si="18"/>
        <v>2</v>
      </c>
      <c r="L60" s="10" t="s">
        <v>235</v>
      </c>
      <c r="M60" s="20">
        <f>87*51*54/1000000</f>
        <v>0.239598</v>
      </c>
      <c r="N60" s="34">
        <v>16</v>
      </c>
      <c r="O60" s="10">
        <f t="shared" si="19"/>
        <v>32</v>
      </c>
      <c r="P60" s="35">
        <f t="shared" si="20"/>
        <v>0.479196</v>
      </c>
    </row>
    <row r="61" ht="15" spans="1:16">
      <c r="A61" s="10" t="s">
        <v>78</v>
      </c>
      <c r="C61" t="s">
        <v>236</v>
      </c>
      <c r="D61" s="18" t="s">
        <v>237</v>
      </c>
      <c r="E61" s="18" t="s">
        <v>238</v>
      </c>
      <c r="F61" s="22" t="s">
        <v>239</v>
      </c>
      <c r="G61" s="20">
        <v>8</v>
      </c>
      <c r="H61" s="21">
        <v>1</v>
      </c>
      <c r="I61" s="10">
        <f t="shared" si="17"/>
        <v>8</v>
      </c>
      <c r="J61" s="21">
        <v>1</v>
      </c>
      <c r="K61" s="36">
        <f t="shared" si="18"/>
        <v>8</v>
      </c>
      <c r="L61" s="18" t="s">
        <v>117</v>
      </c>
      <c r="M61" s="32">
        <v>0.178</v>
      </c>
      <c r="N61" s="37">
        <v>8.6</v>
      </c>
      <c r="O61" s="8">
        <f t="shared" si="19"/>
        <v>68.8</v>
      </c>
      <c r="P61" s="8">
        <f t="shared" si="20"/>
        <v>1.424</v>
      </c>
    </row>
    <row r="62" ht="14.25" spans="1:16">
      <c r="A62" s="10" t="s">
        <v>78</v>
      </c>
      <c r="C62" s="10" t="s">
        <v>240</v>
      </c>
      <c r="D62" s="10" t="s">
        <v>241</v>
      </c>
      <c r="E62" s="25" t="s">
        <v>242</v>
      </c>
      <c r="F62" s="10" t="s">
        <v>243</v>
      </c>
      <c r="G62" s="10">
        <v>8</v>
      </c>
      <c r="H62" s="10">
        <v>1</v>
      </c>
      <c r="I62" s="20">
        <f t="shared" si="17"/>
        <v>8</v>
      </c>
      <c r="J62" s="10">
        <v>1</v>
      </c>
      <c r="K62" s="36">
        <f t="shared" si="18"/>
        <v>8</v>
      </c>
      <c r="L62" s="10" t="s">
        <v>244</v>
      </c>
      <c r="M62" s="34">
        <v>0.223584</v>
      </c>
      <c r="N62" s="34">
        <v>9</v>
      </c>
      <c r="O62" s="10">
        <f t="shared" si="19"/>
        <v>72</v>
      </c>
      <c r="P62" s="35">
        <f t="shared" si="20"/>
        <v>1.788672</v>
      </c>
    </row>
    <row r="63" spans="1:16">
      <c r="A63" t="s">
        <v>78</v>
      </c>
      <c r="B63" s="11" t="s">
        <v>245</v>
      </c>
      <c r="C63" t="s">
        <v>246</v>
      </c>
      <c r="D63" t="s">
        <v>247</v>
      </c>
      <c r="E63" t="s">
        <v>248</v>
      </c>
      <c r="F63" t="s">
        <v>249</v>
      </c>
      <c r="G63">
        <v>160</v>
      </c>
      <c r="H63">
        <v>10</v>
      </c>
      <c r="I63">
        <f t="shared" si="17"/>
        <v>160</v>
      </c>
      <c r="J63">
        <v>10</v>
      </c>
      <c r="K63" s="29">
        <f t="shared" si="18"/>
        <v>16</v>
      </c>
      <c r="L63" t="s">
        <v>250</v>
      </c>
      <c r="M63">
        <f>45*30*45/1000000</f>
        <v>0.06075</v>
      </c>
      <c r="N63">
        <v>1.7</v>
      </c>
      <c r="O63">
        <f t="shared" si="19"/>
        <v>27.2</v>
      </c>
      <c r="P63">
        <f t="shared" si="20"/>
        <v>0.972</v>
      </c>
    </row>
    <row r="64" spans="2:11">
      <c r="B64" s="18"/>
      <c r="K64" s="29"/>
    </row>
    <row r="65" spans="1:16">
      <c r="A65" s="10"/>
      <c r="G65" s="18"/>
      <c r="K65" s="31"/>
      <c r="P65" s="17"/>
    </row>
    <row r="66" spans="1:16">
      <c r="A66" s="10" t="s">
        <v>78</v>
      </c>
      <c r="B66" s="82" t="s">
        <v>251</v>
      </c>
      <c r="C66" s="12" t="s">
        <v>252</v>
      </c>
      <c r="D66" s="12" t="s">
        <v>253</v>
      </c>
      <c r="E66" s="12" t="s">
        <v>254</v>
      </c>
      <c r="F66" s="12" t="s">
        <v>255</v>
      </c>
      <c r="G66" s="12">
        <v>300</v>
      </c>
      <c r="H66" s="12">
        <v>4</v>
      </c>
      <c r="I66" s="12">
        <f t="shared" ref="I66:I69" si="21">G66</f>
        <v>300</v>
      </c>
      <c r="J66" s="12">
        <f t="shared" ref="J66:J68" si="22">H66</f>
        <v>4</v>
      </c>
      <c r="K66" s="75">
        <f t="shared" ref="K66:K69" si="23">G66/H66</f>
        <v>75</v>
      </c>
      <c r="L66" s="12" t="s">
        <v>256</v>
      </c>
      <c r="M66" s="12">
        <v>0.077616</v>
      </c>
      <c r="N66" s="12">
        <v>15</v>
      </c>
      <c r="O66" s="12">
        <f t="shared" ref="O66:O68" si="24">N66*K66</f>
        <v>1125</v>
      </c>
      <c r="P66" s="76">
        <f t="shared" ref="P66:P69" si="25">M66*K66</f>
        <v>5.8212</v>
      </c>
    </row>
    <row r="67" spans="1:16">
      <c r="A67" s="10" t="s">
        <v>78</v>
      </c>
      <c r="B67" s="11" t="s">
        <v>257</v>
      </c>
      <c r="C67" s="12" t="s">
        <v>258</v>
      </c>
      <c r="D67" s="12" t="s">
        <v>259</v>
      </c>
      <c r="E67" s="12" t="s">
        <v>260</v>
      </c>
      <c r="F67" s="12" t="s">
        <v>261</v>
      </c>
      <c r="G67" s="12">
        <v>160</v>
      </c>
      <c r="H67" s="12">
        <v>40</v>
      </c>
      <c r="I67" s="12">
        <f t="shared" si="21"/>
        <v>160</v>
      </c>
      <c r="J67" s="12">
        <f t="shared" si="22"/>
        <v>40</v>
      </c>
      <c r="K67" s="75">
        <f t="shared" si="23"/>
        <v>4</v>
      </c>
      <c r="L67" s="12" t="s">
        <v>262</v>
      </c>
      <c r="M67" s="12">
        <v>0.036</v>
      </c>
      <c r="N67" s="12">
        <v>2.5</v>
      </c>
      <c r="O67" s="12">
        <f t="shared" si="24"/>
        <v>10</v>
      </c>
      <c r="P67" s="76">
        <f t="shared" si="25"/>
        <v>0.144</v>
      </c>
    </row>
    <row r="68" spans="1:16">
      <c r="A68" s="10" t="s">
        <v>78</v>
      </c>
      <c r="B68" s="12"/>
      <c r="C68" s="12" t="s">
        <v>263</v>
      </c>
      <c r="D68" s="12" t="s">
        <v>264</v>
      </c>
      <c r="E68" s="12" t="s">
        <v>265</v>
      </c>
      <c r="F68" s="12" t="s">
        <v>266</v>
      </c>
      <c r="G68" s="12">
        <v>110</v>
      </c>
      <c r="H68" s="12">
        <v>55</v>
      </c>
      <c r="I68" s="12">
        <f t="shared" si="21"/>
        <v>110</v>
      </c>
      <c r="J68" s="12">
        <f t="shared" si="22"/>
        <v>55</v>
      </c>
      <c r="K68" s="75">
        <f t="shared" si="23"/>
        <v>2</v>
      </c>
      <c r="L68" s="12" t="s">
        <v>267</v>
      </c>
      <c r="M68" s="12">
        <v>0.04</v>
      </c>
      <c r="N68" s="12">
        <v>10.5</v>
      </c>
      <c r="O68" s="12">
        <f t="shared" si="24"/>
        <v>21</v>
      </c>
      <c r="P68" s="76">
        <f t="shared" si="25"/>
        <v>0.08</v>
      </c>
    </row>
    <row r="69" spans="1:16">
      <c r="A69" s="10" t="s">
        <v>78</v>
      </c>
      <c r="B69" s="71"/>
      <c r="C69" s="72" t="s">
        <v>268</v>
      </c>
      <c r="D69" s="71" t="s">
        <v>269</v>
      </c>
      <c r="E69" s="18" t="s">
        <v>270</v>
      </c>
      <c r="F69" s="23" t="s">
        <v>271</v>
      </c>
      <c r="G69" s="71">
        <v>240</v>
      </c>
      <c r="H69" s="71">
        <v>24</v>
      </c>
      <c r="I69" s="71">
        <f t="shared" si="21"/>
        <v>240</v>
      </c>
      <c r="J69" s="71">
        <v>24</v>
      </c>
      <c r="K69" s="77">
        <f t="shared" si="23"/>
        <v>10</v>
      </c>
      <c r="L69" s="71" t="s">
        <v>272</v>
      </c>
      <c r="M69" s="12">
        <f>(45*38*40)/1000000</f>
        <v>0.0684</v>
      </c>
      <c r="N69" s="132" t="s">
        <v>273</v>
      </c>
      <c r="O69" s="12">
        <f>N69*G69</f>
        <v>169.916707496325</v>
      </c>
      <c r="P69" s="76">
        <f t="shared" si="25"/>
        <v>0.684</v>
      </c>
    </row>
    <row r="70" spans="11:16">
      <c r="K70" s="123"/>
      <c r="P70" s="17"/>
    </row>
    <row r="71" spans="2:16">
      <c r="B71" s="41" t="s">
        <v>274</v>
      </c>
      <c r="H71" s="18"/>
      <c r="K71" s="31"/>
      <c r="P71" s="17"/>
    </row>
    <row r="72" ht="14.25" spans="1:16">
      <c r="A72" s="1" t="s">
        <v>275</v>
      </c>
      <c r="B72" s="67" t="s">
        <v>276</v>
      </c>
      <c r="C72" s="42" t="s">
        <v>277</v>
      </c>
      <c r="D72" s="43" t="s">
        <v>278</v>
      </c>
      <c r="E72" s="46" t="s">
        <v>279</v>
      </c>
      <c r="F72" s="45" t="s">
        <v>280</v>
      </c>
      <c r="G72" s="45">
        <v>40</v>
      </c>
      <c r="H72" s="46">
        <v>10</v>
      </c>
      <c r="I72" s="45">
        <f t="shared" ref="I72:I75" si="26">G72</f>
        <v>40</v>
      </c>
      <c r="J72" s="45">
        <v>10</v>
      </c>
      <c r="K72" s="36">
        <f t="shared" ref="K72:K75" si="27">G72/H72</f>
        <v>4</v>
      </c>
      <c r="L72" s="68" t="s">
        <v>281</v>
      </c>
      <c r="M72" s="10">
        <v>0.062</v>
      </c>
      <c r="N72">
        <v>12</v>
      </c>
      <c r="O72" s="10">
        <f t="shared" ref="O72:O75" si="28">N72*K72</f>
        <v>48</v>
      </c>
      <c r="P72" s="34">
        <f t="shared" ref="P72:P75" si="29">K72*M72</f>
        <v>0.248</v>
      </c>
    </row>
    <row r="73" ht="14.25" spans="1:16">
      <c r="A73" s="1" t="s">
        <v>275</v>
      </c>
      <c r="B73" s="67"/>
      <c r="C73" s="42" t="s">
        <v>277</v>
      </c>
      <c r="D73" s="43" t="s">
        <v>282</v>
      </c>
      <c r="E73" s="45" t="s">
        <v>283</v>
      </c>
      <c r="F73" s="45" t="s">
        <v>284</v>
      </c>
      <c r="G73" s="45">
        <v>150</v>
      </c>
      <c r="H73" s="46">
        <v>10</v>
      </c>
      <c r="I73" s="45">
        <f t="shared" si="26"/>
        <v>150</v>
      </c>
      <c r="J73" s="45">
        <v>10</v>
      </c>
      <c r="K73" s="36">
        <f t="shared" si="27"/>
        <v>15</v>
      </c>
      <c r="L73" s="68" t="s">
        <v>285</v>
      </c>
      <c r="M73">
        <v>0.062</v>
      </c>
      <c r="N73">
        <v>12</v>
      </c>
      <c r="O73" s="10">
        <f t="shared" si="28"/>
        <v>180</v>
      </c>
      <c r="P73" s="34">
        <f t="shared" si="29"/>
        <v>0.93</v>
      </c>
    </row>
    <row r="74" ht="14.25" spans="1:16">
      <c r="A74" s="1" t="s">
        <v>275</v>
      </c>
      <c r="B74" s="67"/>
      <c r="C74" s="42" t="s">
        <v>277</v>
      </c>
      <c r="D74" s="46" t="s">
        <v>286</v>
      </c>
      <c r="E74" s="46" t="s">
        <v>287</v>
      </c>
      <c r="F74" s="45" t="s">
        <v>288</v>
      </c>
      <c r="G74" s="45">
        <v>100</v>
      </c>
      <c r="H74" s="45">
        <v>10</v>
      </c>
      <c r="I74" s="45">
        <f t="shared" si="26"/>
        <v>100</v>
      </c>
      <c r="J74" s="45">
        <v>10</v>
      </c>
      <c r="K74" s="36">
        <f t="shared" si="27"/>
        <v>10</v>
      </c>
      <c r="L74" s="68" t="s">
        <v>289</v>
      </c>
      <c r="M74" s="45">
        <f>(57*30*36)/1000000</f>
        <v>0.06156</v>
      </c>
      <c r="N74" s="45">
        <v>12</v>
      </c>
      <c r="O74" s="69">
        <f t="shared" si="28"/>
        <v>120</v>
      </c>
      <c r="P74" s="70">
        <f>M74*K74</f>
        <v>0.6156</v>
      </c>
    </row>
    <row r="75" ht="14.25" spans="1:16">
      <c r="A75" s="1" t="s">
        <v>275</v>
      </c>
      <c r="B75" s="67"/>
      <c r="C75" s="42" t="s">
        <v>277</v>
      </c>
      <c r="D75" s="43" t="s">
        <v>290</v>
      </c>
      <c r="E75" s="46" t="s">
        <v>291</v>
      </c>
      <c r="F75" s="45" t="s">
        <v>292</v>
      </c>
      <c r="G75" s="45">
        <v>60</v>
      </c>
      <c r="H75" s="46">
        <v>6</v>
      </c>
      <c r="I75" s="45">
        <f t="shared" si="26"/>
        <v>60</v>
      </c>
      <c r="J75" s="45">
        <v>6</v>
      </c>
      <c r="K75" s="36">
        <f t="shared" si="27"/>
        <v>10</v>
      </c>
      <c r="L75" s="68" t="s">
        <v>293</v>
      </c>
      <c r="M75">
        <v>0.066</v>
      </c>
      <c r="N75">
        <v>12</v>
      </c>
      <c r="O75" s="10">
        <f t="shared" si="28"/>
        <v>120</v>
      </c>
      <c r="P75" s="34">
        <f t="shared" si="29"/>
        <v>0.66</v>
      </c>
    </row>
    <row r="76" ht="14.25" spans="2:16">
      <c r="B76" s="67"/>
      <c r="C76" s="42"/>
      <c r="D76" s="43"/>
      <c r="E76" s="44"/>
      <c r="F76" s="45"/>
      <c r="G76" s="45"/>
      <c r="H76" s="46"/>
      <c r="I76" s="45"/>
      <c r="J76" s="45"/>
      <c r="K76" s="36"/>
      <c r="L76" s="46"/>
      <c r="M76" s="45"/>
      <c r="N76" s="45"/>
      <c r="O76" s="10"/>
      <c r="P76" s="34"/>
    </row>
    <row r="77" ht="14.25" spans="2:16">
      <c r="B77" s="41" t="s">
        <v>294</v>
      </c>
      <c r="C77" s="42"/>
      <c r="D77" s="43"/>
      <c r="E77" s="44"/>
      <c r="F77" s="45"/>
      <c r="G77" s="45"/>
      <c r="H77" s="46"/>
      <c r="I77" s="45"/>
      <c r="J77" s="45"/>
      <c r="K77" s="36"/>
      <c r="L77" s="46"/>
      <c r="M77" s="45"/>
      <c r="N77" s="45"/>
      <c r="O77" s="10"/>
      <c r="P77" s="34"/>
    </row>
    <row r="78" ht="14.25" spans="1:16">
      <c r="A78" s="1" t="s">
        <v>275</v>
      </c>
      <c r="B78" s="64"/>
      <c r="C78" s="43" t="s">
        <v>295</v>
      </c>
      <c r="D78" s="43" t="s">
        <v>296</v>
      </c>
      <c r="E78" s="18" t="s">
        <v>297</v>
      </c>
      <c r="F78" s="65" t="s">
        <v>298</v>
      </c>
      <c r="G78" s="66">
        <v>60</v>
      </c>
      <c r="H78" s="65">
        <v>6</v>
      </c>
      <c r="I78" s="66">
        <f>G78</f>
        <v>60</v>
      </c>
      <c r="J78" s="65">
        <v>6</v>
      </c>
      <c r="K78" s="36">
        <f t="shared" ref="K78:K82" si="30">G78/H78</f>
        <v>10</v>
      </c>
      <c r="L78" s="65" t="s">
        <v>299</v>
      </c>
      <c r="M78" s="34">
        <v>0.06</v>
      </c>
      <c r="N78" s="34">
        <v>13</v>
      </c>
      <c r="O78" s="34">
        <f t="shared" ref="O78:O82" si="31">N78*K78</f>
        <v>130</v>
      </c>
      <c r="P78" s="34">
        <f t="shared" ref="P78:P82" si="32">K78*M78</f>
        <v>0.6</v>
      </c>
    </row>
    <row r="79" ht="14.25" spans="1:16">
      <c r="A79" s="1" t="s">
        <v>275</v>
      </c>
      <c r="B79" s="64"/>
      <c r="C79" s="43" t="s">
        <v>300</v>
      </c>
      <c r="D79" s="43" t="s">
        <v>301</v>
      </c>
      <c r="E79" s="46" t="s">
        <v>302</v>
      </c>
      <c r="F79" s="43" t="s">
        <v>303</v>
      </c>
      <c r="G79" s="66">
        <v>60</v>
      </c>
      <c r="H79" s="43">
        <v>10</v>
      </c>
      <c r="I79" s="43">
        <f>G79</f>
        <v>60</v>
      </c>
      <c r="J79" s="43">
        <v>10</v>
      </c>
      <c r="K79" s="36">
        <f t="shared" si="30"/>
        <v>6</v>
      </c>
      <c r="L79" s="43" t="s">
        <v>281</v>
      </c>
      <c r="M79" s="34">
        <v>0.062</v>
      </c>
      <c r="N79" s="34">
        <v>11.25</v>
      </c>
      <c r="O79" s="34">
        <f t="shared" si="31"/>
        <v>67.5</v>
      </c>
      <c r="P79" s="34">
        <f t="shared" si="32"/>
        <v>0.372</v>
      </c>
    </row>
    <row r="80" ht="14.25" spans="1:16">
      <c r="A80" s="1" t="s">
        <v>275</v>
      </c>
      <c r="B80" s="43"/>
      <c r="C80" s="43" t="s">
        <v>300</v>
      </c>
      <c r="D80" s="43" t="s">
        <v>304</v>
      </c>
      <c r="E80" s="18" t="s">
        <v>305</v>
      </c>
      <c r="F80" s="10" t="s">
        <v>306</v>
      </c>
      <c r="G80" s="66">
        <v>50</v>
      </c>
      <c r="H80" s="65">
        <v>10</v>
      </c>
      <c r="I80" s="66">
        <f>G80</f>
        <v>50</v>
      </c>
      <c r="J80" s="10">
        <v>10</v>
      </c>
      <c r="K80" s="36">
        <f t="shared" si="30"/>
        <v>5</v>
      </c>
      <c r="L80" s="65" t="s">
        <v>281</v>
      </c>
      <c r="M80" s="10">
        <v>0.062</v>
      </c>
      <c r="N80" s="10">
        <v>12.1</v>
      </c>
      <c r="O80" s="10">
        <f t="shared" si="31"/>
        <v>60.5</v>
      </c>
      <c r="P80" s="34">
        <f t="shared" si="32"/>
        <v>0.31</v>
      </c>
    </row>
    <row r="81" ht="14.25" spans="1:16">
      <c r="A81" s="1" t="s">
        <v>275</v>
      </c>
      <c r="B81" s="64"/>
      <c r="C81" s="43" t="s">
        <v>300</v>
      </c>
      <c r="D81" s="43" t="s">
        <v>307</v>
      </c>
      <c r="E81" s="18" t="s">
        <v>308</v>
      </c>
      <c r="F81" s="10" t="s">
        <v>309</v>
      </c>
      <c r="G81" s="66">
        <v>60</v>
      </c>
      <c r="H81" s="65">
        <v>6</v>
      </c>
      <c r="I81" s="66">
        <f>G81</f>
        <v>60</v>
      </c>
      <c r="J81" s="10">
        <v>6</v>
      </c>
      <c r="K81" s="36">
        <f t="shared" si="30"/>
        <v>10</v>
      </c>
      <c r="L81" s="65" t="s">
        <v>293</v>
      </c>
      <c r="M81" s="65">
        <v>0.066</v>
      </c>
      <c r="N81" s="65">
        <v>13</v>
      </c>
      <c r="O81" s="34">
        <f t="shared" si="31"/>
        <v>130</v>
      </c>
      <c r="P81" s="34">
        <f t="shared" si="32"/>
        <v>0.66</v>
      </c>
    </row>
    <row r="82" ht="14.25" spans="1:16">
      <c r="A82" s="1" t="s">
        <v>275</v>
      </c>
      <c r="B82" s="64"/>
      <c r="C82" s="43" t="s">
        <v>300</v>
      </c>
      <c r="D82" s="43" t="s">
        <v>310</v>
      </c>
      <c r="E82" s="18" t="s">
        <v>311</v>
      </c>
      <c r="F82" s="10" t="s">
        <v>292</v>
      </c>
      <c r="G82" s="66">
        <v>30</v>
      </c>
      <c r="H82" s="65">
        <v>6</v>
      </c>
      <c r="I82" s="66">
        <f>G82</f>
        <v>30</v>
      </c>
      <c r="J82" s="10">
        <v>6</v>
      </c>
      <c r="K82" s="36">
        <f t="shared" si="30"/>
        <v>5</v>
      </c>
      <c r="L82" s="65" t="s">
        <v>293</v>
      </c>
      <c r="M82" s="10">
        <v>0.066</v>
      </c>
      <c r="N82" s="10">
        <v>12.8</v>
      </c>
      <c r="O82" s="34">
        <f t="shared" si="31"/>
        <v>64</v>
      </c>
      <c r="P82" s="34">
        <f t="shared" si="32"/>
        <v>0.33</v>
      </c>
    </row>
    <row r="83" ht="14.25" spans="1:16">
      <c r="A83" s="1"/>
      <c r="B83" s="64"/>
      <c r="C83" s="43"/>
      <c r="D83" s="43"/>
      <c r="E83" s="18"/>
      <c r="F83" s="10"/>
      <c r="G83" s="66"/>
      <c r="H83" s="65"/>
      <c r="I83" s="66"/>
      <c r="J83" s="10"/>
      <c r="K83" s="36"/>
      <c r="L83" s="65"/>
      <c r="M83" s="10"/>
      <c r="N83" s="10"/>
      <c r="O83" s="10"/>
      <c r="P83" s="34"/>
    </row>
    <row r="84" ht="14.25" spans="1:16">
      <c r="A84" s="1"/>
      <c r="B84" s="41" t="s">
        <v>312</v>
      </c>
      <c r="C84" s="43"/>
      <c r="D84" s="43"/>
      <c r="E84" s="18"/>
      <c r="F84" s="10"/>
      <c r="G84" s="66"/>
      <c r="H84" s="65"/>
      <c r="I84" s="66"/>
      <c r="J84" s="10"/>
      <c r="K84" s="36"/>
      <c r="L84" s="65"/>
      <c r="M84" s="10"/>
      <c r="N84" s="10"/>
      <c r="O84" s="10"/>
      <c r="P84" s="34"/>
    </row>
    <row r="85" ht="16.5" spans="1:16">
      <c r="A85" t="s">
        <v>275</v>
      </c>
      <c r="C85" s="18" t="s">
        <v>313</v>
      </c>
      <c r="D85" s="73" t="s">
        <v>314</v>
      </c>
      <c r="E85" s="18" t="s">
        <v>315</v>
      </c>
      <c r="F85" s="74" t="s">
        <v>316</v>
      </c>
      <c r="G85" s="8">
        <v>60</v>
      </c>
      <c r="H85" s="8">
        <v>60</v>
      </c>
      <c r="I85" s="78">
        <f t="shared" ref="I85:I92" si="33">G85</f>
        <v>60</v>
      </c>
      <c r="J85" s="8">
        <v>60</v>
      </c>
      <c r="K85" s="59">
        <f>G85/H85</f>
        <v>1</v>
      </c>
      <c r="L85" s="18" t="s">
        <v>317</v>
      </c>
      <c r="M85" s="18">
        <v>0.054</v>
      </c>
      <c r="N85" s="18">
        <v>12</v>
      </c>
      <c r="O85" s="18">
        <v>12</v>
      </c>
      <c r="P85" s="70">
        <v>0.054</v>
      </c>
    </row>
    <row r="86" ht="16.5" spans="1:16">
      <c r="A86" t="s">
        <v>275</v>
      </c>
      <c r="C86" s="18" t="s">
        <v>318</v>
      </c>
      <c r="D86" s="18" t="s">
        <v>319</v>
      </c>
      <c r="E86" s="18" t="s">
        <v>320</v>
      </c>
      <c r="F86" s="74" t="s">
        <v>321</v>
      </c>
      <c r="G86" s="8">
        <v>60</v>
      </c>
      <c r="H86" s="8">
        <v>60</v>
      </c>
      <c r="I86" s="78">
        <f t="shared" si="33"/>
        <v>60</v>
      </c>
      <c r="J86" s="8">
        <v>60</v>
      </c>
      <c r="K86" s="59">
        <f>G86/H86</f>
        <v>1</v>
      </c>
      <c r="L86" s="18" t="s">
        <v>317</v>
      </c>
      <c r="M86" s="18">
        <v>0.054</v>
      </c>
      <c r="N86" s="18">
        <v>12</v>
      </c>
      <c r="O86" s="18">
        <v>12</v>
      </c>
      <c r="P86" s="70">
        <v>0.054</v>
      </c>
    </row>
    <row r="87" ht="16.5" spans="3:16">
      <c r="C87" s="18"/>
      <c r="D87" s="18"/>
      <c r="E87" s="18"/>
      <c r="F87" s="74"/>
      <c r="G87" s="8"/>
      <c r="H87" s="8"/>
      <c r="I87" s="129"/>
      <c r="J87" s="8"/>
      <c r="K87" s="130"/>
      <c r="L87" s="18"/>
      <c r="M87" s="18"/>
      <c r="N87" s="18"/>
      <c r="O87" s="18"/>
      <c r="P87" s="131"/>
    </row>
    <row r="88" customFormat="1" spans="2:11">
      <c r="B88" s="41" t="s">
        <v>322</v>
      </c>
      <c r="K88" s="2"/>
    </row>
    <row r="89" customFormat="1" spans="1:16">
      <c r="A89" t="s">
        <v>323</v>
      </c>
      <c r="B89" t="s">
        <v>198</v>
      </c>
      <c r="C89" t="s">
        <v>324</v>
      </c>
      <c r="D89" t="s">
        <v>325</v>
      </c>
      <c r="E89" t="s">
        <v>326</v>
      </c>
      <c r="F89" t="s">
        <v>327</v>
      </c>
      <c r="G89">
        <v>300</v>
      </c>
      <c r="H89">
        <v>12</v>
      </c>
      <c r="I89">
        <f t="shared" si="33"/>
        <v>300</v>
      </c>
      <c r="J89">
        <v>12</v>
      </c>
      <c r="K89" s="123">
        <v>25</v>
      </c>
      <c r="L89" t="s">
        <v>328</v>
      </c>
      <c r="M89">
        <v>0.044</v>
      </c>
      <c r="N89">
        <v>16</v>
      </c>
      <c r="O89" s="17">
        <f t="shared" ref="O89:O93" si="34">N89*K89</f>
        <v>400</v>
      </c>
      <c r="P89" s="17">
        <f t="shared" ref="P89:P93" si="35">M89*K89</f>
        <v>1.1</v>
      </c>
    </row>
    <row r="90" customFormat="1" spans="1:16">
      <c r="A90" t="s">
        <v>323</v>
      </c>
      <c r="B90" t="s">
        <v>198</v>
      </c>
      <c r="C90" t="s">
        <v>329</v>
      </c>
      <c r="D90" t="s">
        <v>330</v>
      </c>
      <c r="E90" t="s">
        <v>331</v>
      </c>
      <c r="F90" t="s">
        <v>332</v>
      </c>
      <c r="G90">
        <v>192</v>
      </c>
      <c r="H90">
        <v>6</v>
      </c>
      <c r="I90">
        <f t="shared" si="33"/>
        <v>192</v>
      </c>
      <c r="J90">
        <v>6</v>
      </c>
      <c r="K90" s="123">
        <v>32</v>
      </c>
      <c r="L90" t="s">
        <v>333</v>
      </c>
      <c r="M90">
        <v>0.048</v>
      </c>
      <c r="N90">
        <v>6.5</v>
      </c>
      <c r="O90" s="17">
        <f t="shared" si="34"/>
        <v>208</v>
      </c>
      <c r="P90" s="17">
        <f t="shared" si="35"/>
        <v>1.536</v>
      </c>
    </row>
    <row r="91" customFormat="1" spans="1:16">
      <c r="A91" t="s">
        <v>323</v>
      </c>
      <c r="B91" t="s">
        <v>198</v>
      </c>
      <c r="C91" t="s">
        <v>334</v>
      </c>
      <c r="D91" t="s">
        <v>335</v>
      </c>
      <c r="E91" t="s">
        <v>336</v>
      </c>
      <c r="F91" t="s">
        <v>337</v>
      </c>
      <c r="G91">
        <v>600</v>
      </c>
      <c r="H91">
        <v>50</v>
      </c>
      <c r="I91">
        <f t="shared" si="33"/>
        <v>600</v>
      </c>
      <c r="J91">
        <v>50</v>
      </c>
      <c r="K91" s="123">
        <v>12</v>
      </c>
      <c r="L91" t="s">
        <v>338</v>
      </c>
      <c r="M91">
        <v>0.056</v>
      </c>
      <c r="N91">
        <v>19.3</v>
      </c>
      <c r="O91" s="17">
        <f t="shared" si="34"/>
        <v>231.6</v>
      </c>
      <c r="P91" s="17">
        <f t="shared" si="35"/>
        <v>0.672</v>
      </c>
    </row>
    <row r="92" customFormat="1" spans="1:16">
      <c r="A92" t="s">
        <v>323</v>
      </c>
      <c r="B92" t="s">
        <v>198</v>
      </c>
      <c r="C92" t="s">
        <v>339</v>
      </c>
      <c r="D92" t="s">
        <v>340</v>
      </c>
      <c r="E92" t="s">
        <v>341</v>
      </c>
      <c r="F92" t="s">
        <v>342</v>
      </c>
      <c r="G92">
        <v>96</v>
      </c>
      <c r="H92">
        <v>6</v>
      </c>
      <c r="I92">
        <f t="shared" si="33"/>
        <v>96</v>
      </c>
      <c r="J92">
        <v>6</v>
      </c>
      <c r="K92" s="123">
        <v>16</v>
      </c>
      <c r="L92" t="s">
        <v>343</v>
      </c>
      <c r="M92">
        <v>0.072</v>
      </c>
      <c r="N92">
        <v>9.3</v>
      </c>
      <c r="O92" s="17">
        <f t="shared" si="34"/>
        <v>148.8</v>
      </c>
      <c r="P92" s="17">
        <f t="shared" si="35"/>
        <v>1.152</v>
      </c>
    </row>
    <row r="93" customFormat="1" spans="1:16">
      <c r="A93" t="s">
        <v>323</v>
      </c>
      <c r="C93" t="s">
        <v>344</v>
      </c>
      <c r="D93" t="s">
        <v>345</v>
      </c>
      <c r="E93" t="s">
        <v>346</v>
      </c>
      <c r="F93" t="s">
        <v>347</v>
      </c>
      <c r="G93">
        <v>150</v>
      </c>
      <c r="H93">
        <v>6</v>
      </c>
      <c r="I93" s="11">
        <f>G93*6</f>
        <v>900</v>
      </c>
      <c r="J93">
        <v>36</v>
      </c>
      <c r="K93" s="123">
        <v>25</v>
      </c>
      <c r="L93" t="s">
        <v>348</v>
      </c>
      <c r="M93">
        <v>0.069741</v>
      </c>
      <c r="N93">
        <v>12.2</v>
      </c>
      <c r="O93" s="17">
        <f t="shared" si="34"/>
        <v>305</v>
      </c>
      <c r="P93" s="17">
        <f t="shared" si="35"/>
        <v>1.743525</v>
      </c>
    </row>
    <row r="94" ht="16.5" spans="3:16">
      <c r="C94" s="18"/>
      <c r="D94" s="18"/>
      <c r="E94" s="18"/>
      <c r="F94" s="74"/>
      <c r="G94" s="8"/>
      <c r="H94" s="8"/>
      <c r="I94" s="129"/>
      <c r="J94" s="8"/>
      <c r="K94" s="130"/>
      <c r="L94" s="18"/>
      <c r="M94" s="18"/>
      <c r="N94" s="18"/>
      <c r="O94" s="18"/>
      <c r="P94" s="131"/>
    </row>
    <row r="95" spans="1:16">
      <c r="A95" s="1"/>
      <c r="B95" s="1"/>
      <c r="C95" s="1"/>
      <c r="D95" s="1"/>
      <c r="E95" s="1"/>
      <c r="F95" s="1"/>
      <c r="G95" s="8"/>
      <c r="H95" s="8"/>
      <c r="I95" s="8"/>
      <c r="J95" s="8"/>
      <c r="K95" s="1"/>
      <c r="L95" s="1"/>
      <c r="M95" s="1"/>
      <c r="N95" s="1"/>
      <c r="O95" s="1"/>
      <c r="P95" s="16"/>
    </row>
    <row r="96" spans="1:16">
      <c r="A96" s="1"/>
      <c r="B96" s="1"/>
      <c r="C96" s="1"/>
      <c r="D96" s="1"/>
      <c r="E96" s="1"/>
      <c r="F96" s="1"/>
      <c r="G96" s="8"/>
      <c r="H96" s="8"/>
      <c r="I96" s="8"/>
      <c r="J96" s="8"/>
      <c r="K96" s="1"/>
      <c r="L96" s="1"/>
      <c r="M96" s="1"/>
      <c r="N96" s="1"/>
      <c r="O96" s="1"/>
      <c r="P96" s="16"/>
    </row>
    <row r="97" ht="25.5" spans="1:16">
      <c r="A97" s="6" t="s">
        <v>349</v>
      </c>
      <c r="B97" s="7" t="s">
        <v>350</v>
      </c>
      <c r="C97" s="1"/>
      <c r="D97" s="1"/>
      <c r="E97" s="1"/>
      <c r="F97" s="1"/>
      <c r="G97" s="8"/>
      <c r="H97" s="8"/>
      <c r="I97" s="8"/>
      <c r="J97" s="8"/>
      <c r="K97" s="1"/>
      <c r="L97" s="1"/>
      <c r="M97" s="1"/>
      <c r="N97" s="1"/>
      <c r="O97" s="1"/>
      <c r="P97" s="16"/>
    </row>
    <row r="98" spans="1:16">
      <c r="A98" s="9" t="s">
        <v>351</v>
      </c>
      <c r="B98" s="1" t="s">
        <v>352</v>
      </c>
      <c r="C98" s="1"/>
      <c r="D98" s="1"/>
      <c r="E98" s="1"/>
      <c r="F98" s="1"/>
      <c r="G98" s="8"/>
      <c r="H98" s="8"/>
      <c r="I98" s="8"/>
      <c r="J98" s="8"/>
      <c r="K98" s="1"/>
      <c r="L98" s="1"/>
      <c r="M98" s="1"/>
      <c r="N98" s="1"/>
      <c r="O98" s="1"/>
      <c r="P98" s="16"/>
    </row>
    <row r="99" spans="1:16">
      <c r="A99" s="10" t="s">
        <v>78</v>
      </c>
      <c r="B99" s="11" t="s">
        <v>353</v>
      </c>
      <c r="C99" s="2" t="s">
        <v>354</v>
      </c>
      <c r="D99" s="12" t="s">
        <v>355</v>
      </c>
      <c r="E99" s="128" t="s">
        <v>356</v>
      </c>
      <c r="F99" t="s">
        <v>357</v>
      </c>
      <c r="G99">
        <v>108</v>
      </c>
      <c r="H99">
        <v>6</v>
      </c>
      <c r="I99">
        <v>108</v>
      </c>
      <c r="J99">
        <v>6</v>
      </c>
      <c r="K99" s="29">
        <f>G99/H99</f>
        <v>18</v>
      </c>
      <c r="L99" t="s">
        <v>358</v>
      </c>
      <c r="M99">
        <f>35*28*25/1000000</f>
        <v>0.0245</v>
      </c>
      <c r="N99">
        <f>1.015*H99</f>
        <v>6.09</v>
      </c>
      <c r="O99">
        <f>1.015*G99</f>
        <v>109.62</v>
      </c>
      <c r="P99">
        <f>M99*K99</f>
        <v>0.441</v>
      </c>
    </row>
    <row r="100" customFormat="1" spans="1:16">
      <c r="A100" s="14" t="s">
        <v>65</v>
      </c>
      <c r="B100" s="15" t="s">
        <v>28</v>
      </c>
      <c r="C100" s="16" t="s">
        <v>359</v>
      </c>
      <c r="D100" s="2" t="s">
        <v>360</v>
      </c>
      <c r="E100" s="2" t="s">
        <v>361</v>
      </c>
      <c r="F100" s="14" t="s">
        <v>347</v>
      </c>
      <c r="G100" s="8">
        <v>216</v>
      </c>
      <c r="H100" s="17">
        <v>6</v>
      </c>
      <c r="I100" s="17">
        <f>G100*6</f>
        <v>1296</v>
      </c>
      <c r="J100" s="17">
        <v>36</v>
      </c>
      <c r="K100" s="29">
        <f>G100/H100</f>
        <v>36</v>
      </c>
      <c r="L100" s="30" t="s">
        <v>362</v>
      </c>
      <c r="M100" s="2">
        <f>(61.5*31.5*36)/1000000</f>
        <v>0.069741</v>
      </c>
      <c r="N100" s="17">
        <v>12.1</v>
      </c>
      <c r="O100" s="17">
        <f>N100*K100</f>
        <v>435.6</v>
      </c>
      <c r="P100" s="17">
        <f>M100*K100</f>
        <v>2.510676</v>
      </c>
    </row>
    <row r="101" spans="1:16">
      <c r="A101" t="s">
        <v>65</v>
      </c>
      <c r="B101" s="11" t="s">
        <v>363</v>
      </c>
      <c r="C101" s="16" t="s">
        <v>359</v>
      </c>
      <c r="D101" s="2" t="s">
        <v>360</v>
      </c>
      <c r="E101" s="2" t="s">
        <v>361</v>
      </c>
      <c r="F101" s="14" t="s">
        <v>347</v>
      </c>
      <c r="G101" s="8">
        <v>96</v>
      </c>
      <c r="H101" s="17">
        <v>4</v>
      </c>
      <c r="I101" s="17">
        <f>G101*6</f>
        <v>576</v>
      </c>
      <c r="J101" s="17">
        <v>24</v>
      </c>
      <c r="K101" s="29">
        <f>G101/H101</f>
        <v>24</v>
      </c>
      <c r="L101" s="30" t="s">
        <v>362</v>
      </c>
      <c r="M101" s="17">
        <f>(61.5*31.5*36)/1000000</f>
        <v>0.069741</v>
      </c>
      <c r="N101" s="17">
        <v>12.1</v>
      </c>
      <c r="O101" s="17">
        <f>N101*K101</f>
        <v>290.4</v>
      </c>
      <c r="P101" s="17">
        <f>M101*K101</f>
        <v>1.673784</v>
      </c>
    </row>
    <row r="102" spans="7:16">
      <c r="G102">
        <f>SUM(G3:G101)</f>
        <v>7822</v>
      </c>
      <c r="K102" s="2">
        <f>SUM(K3:K101)</f>
        <v>1246</v>
      </c>
      <c r="P102">
        <f>SUM(P3:P101)</f>
        <v>64.6808968</v>
      </c>
    </row>
  </sheetData>
  <autoFilter xmlns:etc="http://www.wps.cn/officeDocument/2017/etCustomData" ref="A1:T9" etc:filterBottomFollowUsedRange="0">
    <extLst/>
  </autoFilter>
  <mergeCells count="13">
    <mergeCell ref="B4:B9"/>
    <mergeCell ref="B14:B16"/>
    <mergeCell ref="B72:B75"/>
    <mergeCell ref="E15:E16"/>
    <mergeCell ref="F15:F16"/>
    <mergeCell ref="G15:G16"/>
    <mergeCell ref="H15:H16"/>
    <mergeCell ref="K15:K16"/>
    <mergeCell ref="L15:L16"/>
    <mergeCell ref="M15:M16"/>
    <mergeCell ref="N15:N16"/>
    <mergeCell ref="O15:O16"/>
    <mergeCell ref="P15:P16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90"/>
  <sheetViews>
    <sheetView zoomScale="85" zoomScaleNormal="85" workbookViewId="0">
      <selection activeCell="F23" sqref="F23"/>
    </sheetView>
  </sheetViews>
  <sheetFormatPr defaultColWidth="9" defaultRowHeight="13.5"/>
  <cols>
    <col min="1" max="1" width="14.1083333333333" style="30" customWidth="1"/>
    <col min="2" max="2" width="26.55" style="30" customWidth="1"/>
    <col min="3" max="3" width="18.3333333333333" style="30" customWidth="1"/>
    <col min="4" max="4" width="30.85" style="30" customWidth="1"/>
    <col min="5" max="5" width="16" style="30" customWidth="1"/>
    <col min="6" max="6" width="18.4333333333333" style="30" customWidth="1"/>
    <col min="7" max="7" width="33.5083333333333" style="1" customWidth="1"/>
    <col min="8" max="8" width="22.65" style="1" customWidth="1"/>
    <col min="9" max="9" width="22.65" style="16" customWidth="1"/>
    <col min="10" max="10" width="20.85" style="1" customWidth="1"/>
    <col min="11" max="14" width="9" style="1"/>
    <col min="15" max="15" width="13.5916666666667" style="1" customWidth="1"/>
    <col min="16" max="16" width="9" style="1"/>
    <col min="17" max="17" width="11.0083333333333" style="1" customWidth="1"/>
    <col min="18" max="18" width="9" style="1"/>
    <col min="19" max="19" width="10" style="1" customWidth="1"/>
    <col min="20" max="16384" width="9" style="1"/>
  </cols>
  <sheetData>
    <row r="1" ht="74" customHeight="1" spans="1:1">
      <c r="A1" s="30" t="s">
        <v>364</v>
      </c>
    </row>
    <row r="2" s="1" customFormat="1" ht="25" customHeight="1" spans="1:10">
      <c r="A2" s="111" t="s">
        <v>0</v>
      </c>
      <c r="B2" s="111" t="s">
        <v>1</v>
      </c>
      <c r="C2" s="111" t="s">
        <v>2</v>
      </c>
      <c r="D2" s="4" t="s">
        <v>3</v>
      </c>
      <c r="E2" s="4" t="s">
        <v>4</v>
      </c>
      <c r="F2" s="4" t="s">
        <v>5</v>
      </c>
      <c r="G2" s="3" t="s">
        <v>365</v>
      </c>
      <c r="H2" s="3" t="s">
        <v>366</v>
      </c>
      <c r="I2" s="113" t="s">
        <v>367</v>
      </c>
      <c r="J2" s="3" t="s">
        <v>368</v>
      </c>
    </row>
    <row r="3" s="1" customFormat="1" ht="47" customHeight="1" spans="1:10">
      <c r="A3" s="30" t="s">
        <v>65</v>
      </c>
      <c r="B3" s="112" t="s">
        <v>369</v>
      </c>
      <c r="C3" s="30" t="s">
        <v>359</v>
      </c>
      <c r="D3" s="30" t="s">
        <v>360</v>
      </c>
      <c r="E3" s="30" t="s">
        <v>361</v>
      </c>
      <c r="F3" s="30" t="s">
        <v>347</v>
      </c>
      <c r="G3" s="1" t="s">
        <v>370</v>
      </c>
      <c r="H3" s="24" t="str">
        <f>_xlfn.DISPIMG("ID_75B82567765145C4B77789A922690D99",1)</f>
        <v>=DISPIMG("ID_75B82567765145C4B77789A922690D99",1)</v>
      </c>
      <c r="I3" s="16" t="s">
        <v>371</v>
      </c>
      <c r="J3" s="73" t="s">
        <v>372</v>
      </c>
    </row>
    <row r="4" s="1" customFormat="1" ht="47" customHeight="1" spans="1:10">
      <c r="A4" s="30"/>
      <c r="B4" s="30"/>
      <c r="C4" s="30"/>
      <c r="D4" s="30"/>
      <c r="E4" s="30"/>
      <c r="F4" s="30"/>
      <c r="H4" s="24"/>
      <c r="I4" s="16"/>
      <c r="J4" s="73"/>
    </row>
    <row r="5" s="1" customFormat="1" ht="47" customHeight="1" spans="1:10">
      <c r="A5" t="s">
        <v>58</v>
      </c>
      <c r="B5" s="41" t="s">
        <v>22</v>
      </c>
      <c r="C5" s="18" t="s">
        <v>59</v>
      </c>
      <c r="D5" s="73" t="s">
        <v>60</v>
      </c>
      <c r="E5" s="18" t="s">
        <v>61</v>
      </c>
      <c r="F5" s="74" t="s">
        <v>62</v>
      </c>
      <c r="G5" s="16" t="s">
        <v>370</v>
      </c>
      <c r="H5" s="8"/>
      <c r="I5" s="16" t="s">
        <v>371</v>
      </c>
      <c r="J5" s="73" t="s">
        <v>373</v>
      </c>
    </row>
    <row r="6" s="1" customFormat="1" ht="47" customHeight="1" spans="1:10">
      <c r="A6" s="30"/>
      <c r="B6" s="30"/>
      <c r="C6" s="30"/>
      <c r="D6" s="30"/>
      <c r="E6" s="30"/>
      <c r="F6" s="30"/>
      <c r="H6" s="24"/>
      <c r="I6" s="16"/>
      <c r="J6" s="73"/>
    </row>
    <row r="7" s="1" customFormat="1" spans="1:10">
      <c r="A7" s="10" t="s">
        <v>78</v>
      </c>
      <c r="B7" s="108" t="s">
        <v>64</v>
      </c>
      <c r="C7" s="10" t="s">
        <v>79</v>
      </c>
      <c r="D7" s="100" t="s">
        <v>80</v>
      </c>
      <c r="E7" s="10" t="s">
        <v>81</v>
      </c>
      <c r="F7" s="10" t="s">
        <v>82</v>
      </c>
      <c r="G7" s="1" t="s">
        <v>374</v>
      </c>
      <c r="I7" s="16" t="s">
        <v>375</v>
      </c>
      <c r="J7" s="63" t="s">
        <v>372</v>
      </c>
    </row>
    <row r="8" s="1" customFormat="1" spans="1:10">
      <c r="A8" s="10" t="s">
        <v>78</v>
      </c>
      <c r="B8" s="65"/>
      <c r="C8" s="10" t="s">
        <v>84</v>
      </c>
      <c r="D8" s="100" t="s">
        <v>85</v>
      </c>
      <c r="E8" s="10" t="s">
        <v>86</v>
      </c>
      <c r="F8" s="10" t="s">
        <v>87</v>
      </c>
      <c r="G8" s="16" t="s">
        <v>376</v>
      </c>
      <c r="H8" s="16"/>
      <c r="I8" s="16"/>
      <c r="J8" s="63"/>
    </row>
    <row r="9" s="1" customFormat="1" spans="1:10">
      <c r="A9" s="10" t="s">
        <v>78</v>
      </c>
      <c r="B9" s="10"/>
      <c r="C9" s="10" t="s">
        <v>84</v>
      </c>
      <c r="D9" s="100" t="s">
        <v>89</v>
      </c>
      <c r="E9" s="10" t="s">
        <v>90</v>
      </c>
      <c r="F9" s="10" t="s">
        <v>91</v>
      </c>
      <c r="G9" s="16"/>
      <c r="H9" s="16"/>
      <c r="I9" s="16"/>
      <c r="J9" s="63"/>
    </row>
    <row r="10" s="1" customFormat="1" spans="1:10">
      <c r="A10" s="10" t="s">
        <v>78</v>
      </c>
      <c r="B10" s="65"/>
      <c r="C10" s="10" t="s">
        <v>84</v>
      </c>
      <c r="D10" s="100" t="s">
        <v>92</v>
      </c>
      <c r="E10" s="10" t="s">
        <v>93</v>
      </c>
      <c r="F10" s="10" t="s">
        <v>94</v>
      </c>
      <c r="G10" s="16"/>
      <c r="H10" s="16"/>
      <c r="I10" s="16"/>
      <c r="J10" s="63"/>
    </row>
    <row r="11" s="1" customFormat="1" spans="1:10">
      <c r="A11" s="10" t="s">
        <v>78</v>
      </c>
      <c r="B11"/>
      <c r="C11" s="99" t="s">
        <v>95</v>
      </c>
      <c r="D11" s="99" t="s">
        <v>96</v>
      </c>
      <c r="E11" s="99" t="s">
        <v>97</v>
      </c>
      <c r="F11" s="99" t="s">
        <v>98</v>
      </c>
      <c r="G11" s="16"/>
      <c r="I11" s="16" t="s">
        <v>377</v>
      </c>
      <c r="J11" s="63"/>
    </row>
    <row r="12" s="1" customFormat="1" spans="1:10">
      <c r="A12" s="10" t="s">
        <v>78</v>
      </c>
      <c r="B12"/>
      <c r="C12" s="99" t="s">
        <v>100</v>
      </c>
      <c r="D12" s="99" t="s">
        <v>101</v>
      </c>
      <c r="E12" s="99" t="s">
        <v>102</v>
      </c>
      <c r="F12" s="99" t="s">
        <v>103</v>
      </c>
      <c r="G12" s="16"/>
      <c r="I12" s="16"/>
      <c r="J12" s="63"/>
    </row>
    <row r="13" s="1" customFormat="1" spans="1:9">
      <c r="A13" s="10"/>
      <c r="B13"/>
      <c r="C13" s="99"/>
      <c r="D13" s="99"/>
      <c r="E13" s="99"/>
      <c r="F13" s="99"/>
      <c r="I13" s="16"/>
    </row>
    <row r="14" s="1" customFormat="1" spans="1:9">
      <c r="A14" s="10"/>
      <c r="B14"/>
      <c r="C14"/>
      <c r="D14"/>
      <c r="E14"/>
      <c r="F14"/>
      <c r="I14" s="16"/>
    </row>
    <row r="15" s="1" customFormat="1" ht="15" spans="1:10">
      <c r="A15" s="10" t="s">
        <v>78</v>
      </c>
      <c r="B15" s="41" t="s">
        <v>104</v>
      </c>
      <c r="C15" s="18" t="s">
        <v>39</v>
      </c>
      <c r="D15" s="18" t="s">
        <v>105</v>
      </c>
      <c r="E15" s="18" t="s">
        <v>106</v>
      </c>
      <c r="F15" s="79" t="s">
        <v>107</v>
      </c>
      <c r="G15" s="63" t="s">
        <v>378</v>
      </c>
      <c r="I15" s="16"/>
      <c r="J15" s="63" t="s">
        <v>372</v>
      </c>
    </row>
    <row r="16" s="1" customFormat="1" ht="15" spans="1:10">
      <c r="A16" s="10" t="s">
        <v>78</v>
      </c>
      <c r="B16" s="18"/>
      <c r="C16" s="18" t="s">
        <v>39</v>
      </c>
      <c r="D16" s="18" t="s">
        <v>109</v>
      </c>
      <c r="E16" s="18" t="s">
        <v>110</v>
      </c>
      <c r="F16" s="79" t="s">
        <v>111</v>
      </c>
      <c r="G16" s="16"/>
      <c r="I16" s="16"/>
      <c r="J16" s="16"/>
    </row>
    <row r="17" s="1" customFormat="1" ht="15" spans="1:10">
      <c r="A17" s="10" t="s">
        <v>78</v>
      </c>
      <c r="B17" s="18"/>
      <c r="C17" s="18" t="s">
        <v>113</v>
      </c>
      <c r="D17" s="18" t="s">
        <v>114</v>
      </c>
      <c r="E17" s="18" t="s">
        <v>115</v>
      </c>
      <c r="F17" s="80" t="s">
        <v>116</v>
      </c>
      <c r="G17" s="16"/>
      <c r="I17" s="16"/>
      <c r="J17" s="16"/>
    </row>
    <row r="18" s="1" customFormat="1" ht="15" spans="1:10">
      <c r="A18" s="10" t="s">
        <v>78</v>
      </c>
      <c r="B18" s="18"/>
      <c r="C18" s="18" t="s">
        <v>113</v>
      </c>
      <c r="D18" s="18" t="s">
        <v>118</v>
      </c>
      <c r="E18" s="18" t="s">
        <v>119</v>
      </c>
      <c r="F18" s="80" t="s">
        <v>120</v>
      </c>
      <c r="G18" s="16"/>
      <c r="I18" s="16"/>
      <c r="J18" s="16"/>
    </row>
    <row r="19" s="1" customFormat="1" ht="15" spans="1:10">
      <c r="A19" s="10" t="s">
        <v>78</v>
      </c>
      <c r="B19" s="18"/>
      <c r="C19" s="18" t="s">
        <v>34</v>
      </c>
      <c r="D19" s="81" t="s">
        <v>121</v>
      </c>
      <c r="E19" s="18" t="s">
        <v>122</v>
      </c>
      <c r="F19" s="80" t="s">
        <v>123</v>
      </c>
      <c r="G19" s="16"/>
      <c r="I19" s="16"/>
      <c r="J19" s="16"/>
    </row>
    <row r="20" s="1" customFormat="1" spans="1:10">
      <c r="A20" s="10" t="s">
        <v>78</v>
      </c>
      <c r="B20" s="18"/>
      <c r="C20" s="18" t="s">
        <v>34</v>
      </c>
      <c r="D20" s="18" t="s">
        <v>125</v>
      </c>
      <c r="E20" s="18" t="s">
        <v>126</v>
      </c>
      <c r="F20" s="18" t="s">
        <v>127</v>
      </c>
      <c r="G20" s="16"/>
      <c r="I20" s="16"/>
      <c r="J20" s="16"/>
    </row>
    <row r="21" s="1" customFormat="1" ht="15" spans="1:10">
      <c r="A21" s="10" t="s">
        <v>78</v>
      </c>
      <c r="B21" s="11" t="s">
        <v>129</v>
      </c>
      <c r="C21" s="10" t="s">
        <v>39</v>
      </c>
      <c r="D21" s="20" t="s">
        <v>130</v>
      </c>
      <c r="E21" s="20" t="s">
        <v>131</v>
      </c>
      <c r="F21" s="79" t="s">
        <v>132</v>
      </c>
      <c r="G21" s="16"/>
      <c r="I21" s="16"/>
      <c r="J21" s="16"/>
    </row>
    <row r="22" s="1" customFormat="1" spans="1:10">
      <c r="A22" s="10" t="s">
        <v>78</v>
      </c>
      <c r="B22" s="11" t="s">
        <v>134</v>
      </c>
      <c r="C22" s="10" t="s">
        <v>39</v>
      </c>
      <c r="D22" s="65" t="s">
        <v>135</v>
      </c>
      <c r="E22" s="10" t="s">
        <v>136</v>
      </c>
      <c r="F22" s="10" t="s">
        <v>137</v>
      </c>
      <c r="G22" s="16"/>
      <c r="I22" s="16"/>
      <c r="J22" s="16"/>
    </row>
    <row r="23" s="1" customFormat="1" ht="15" spans="1:10">
      <c r="A23" s="10" t="s">
        <v>78</v>
      </c>
      <c r="B23"/>
      <c r="C23" s="10" t="s">
        <v>39</v>
      </c>
      <c r="D23" s="20" t="s">
        <v>139</v>
      </c>
      <c r="E23" s="20" t="s">
        <v>140</v>
      </c>
      <c r="F23" s="79" t="s">
        <v>141</v>
      </c>
      <c r="G23" s="16"/>
      <c r="I23" s="16"/>
      <c r="J23" s="16"/>
    </row>
    <row r="24" s="1" customFormat="1" spans="1:9">
      <c r="A24" s="10"/>
      <c r="B24"/>
      <c r="C24"/>
      <c r="D24"/>
      <c r="E24"/>
      <c r="F24"/>
      <c r="I24" s="16"/>
    </row>
    <row r="25" s="1" customFormat="1" spans="1:9">
      <c r="A25" s="10"/>
      <c r="B25"/>
      <c r="C25"/>
      <c r="D25"/>
      <c r="E25"/>
      <c r="F25"/>
      <c r="I25" s="16"/>
    </row>
    <row r="26" s="1" customFormat="1" spans="1:10">
      <c r="A26" s="10" t="s">
        <v>78</v>
      </c>
      <c r="B26" s="41" t="s">
        <v>143</v>
      </c>
      <c r="C26" t="s">
        <v>144</v>
      </c>
      <c r="D26" t="s">
        <v>145</v>
      </c>
      <c r="E26" t="s">
        <v>146</v>
      </c>
      <c r="F26" t="s">
        <v>147</v>
      </c>
      <c r="G26" s="63" t="s">
        <v>379</v>
      </c>
      <c r="H26" s="1" t="s">
        <v>380</v>
      </c>
      <c r="I26" s="16"/>
      <c r="J26" s="63" t="s">
        <v>372</v>
      </c>
    </row>
    <row r="27" s="1" customFormat="1" spans="1:10">
      <c r="A27" s="10" t="s">
        <v>78</v>
      </c>
      <c r="B27"/>
      <c r="C27" t="s">
        <v>149</v>
      </c>
      <c r="D27" t="s">
        <v>150</v>
      </c>
      <c r="E27" t="s">
        <v>151</v>
      </c>
      <c r="F27" t="s">
        <v>152</v>
      </c>
      <c r="G27" s="16"/>
      <c r="I27" s="16"/>
      <c r="J27" s="16"/>
    </row>
    <row r="28" s="1" customFormat="1" spans="1:10">
      <c r="A28" s="10" t="s">
        <v>78</v>
      </c>
      <c r="B28"/>
      <c r="C28" t="s">
        <v>154</v>
      </c>
      <c r="D28" t="s">
        <v>155</v>
      </c>
      <c r="E28" t="s">
        <v>156</v>
      </c>
      <c r="F28" t="s">
        <v>157</v>
      </c>
      <c r="G28" s="16"/>
      <c r="I28" s="16"/>
      <c r="J28" s="16"/>
    </row>
    <row r="29" s="1" customFormat="1" spans="1:10">
      <c r="A29" s="10" t="s">
        <v>78</v>
      </c>
      <c r="B29"/>
      <c r="C29" t="s">
        <v>154</v>
      </c>
      <c r="D29" t="s">
        <v>159</v>
      </c>
      <c r="E29" t="s">
        <v>160</v>
      </c>
      <c r="F29" t="s">
        <v>161</v>
      </c>
      <c r="G29" s="16"/>
      <c r="I29" s="16"/>
      <c r="J29" s="16"/>
    </row>
    <row r="30" s="1" customFormat="1" spans="1:10">
      <c r="A30" s="10" t="s">
        <v>78</v>
      </c>
      <c r="B30" s="24"/>
      <c r="C30" s="24" t="s">
        <v>163</v>
      </c>
      <c r="D30" s="99" t="s">
        <v>164</v>
      </c>
      <c r="E30" s="24" t="s">
        <v>165</v>
      </c>
      <c r="F30" s="24" t="s">
        <v>166</v>
      </c>
      <c r="G30" s="16"/>
      <c r="I30" s="16"/>
      <c r="J30" s="16"/>
    </row>
    <row r="31" s="1" customFormat="1" spans="1:10">
      <c r="A31" s="10" t="s">
        <v>78</v>
      </c>
      <c r="B31" s="24"/>
      <c r="C31" s="24" t="s">
        <v>168</v>
      </c>
      <c r="D31" s="99" t="s">
        <v>169</v>
      </c>
      <c r="E31" s="24" t="s">
        <v>170</v>
      </c>
      <c r="F31" s="24" t="s">
        <v>171</v>
      </c>
      <c r="G31" s="16"/>
      <c r="I31" s="16"/>
      <c r="J31" s="16"/>
    </row>
    <row r="32" s="1" customFormat="1" spans="1:10">
      <c r="A32" s="10" t="s">
        <v>78</v>
      </c>
      <c r="B32" s="18"/>
      <c r="C32" s="18" t="s">
        <v>173</v>
      </c>
      <c r="D32" s="1" t="s">
        <v>174</v>
      </c>
      <c r="E32" t="s">
        <v>175</v>
      </c>
      <c r="F32" t="s">
        <v>51</v>
      </c>
      <c r="G32" s="16"/>
      <c r="I32" s="16"/>
      <c r="J32" s="16"/>
    </row>
    <row r="33" s="1" customFormat="1" spans="1:10">
      <c r="A33" s="10" t="s">
        <v>78</v>
      </c>
      <c r="B33" s="65"/>
      <c r="C33" s="65" t="s">
        <v>84</v>
      </c>
      <c r="D33" s="65" t="s">
        <v>177</v>
      </c>
      <c r="E33" s="65" t="s">
        <v>178</v>
      </c>
      <c r="F33" s="65" t="s">
        <v>87</v>
      </c>
      <c r="G33" s="16"/>
      <c r="I33" s="16"/>
      <c r="J33" s="16"/>
    </row>
    <row r="34" s="1" customFormat="1" spans="1:10">
      <c r="A34" s="10" t="s">
        <v>78</v>
      </c>
      <c r="B34"/>
      <c r="C34" s="10" t="s">
        <v>84</v>
      </c>
      <c r="D34" s="100" t="s">
        <v>179</v>
      </c>
      <c r="E34" s="10" t="s">
        <v>180</v>
      </c>
      <c r="F34" s="65" t="s">
        <v>181</v>
      </c>
      <c r="G34" s="16"/>
      <c r="I34" s="16"/>
      <c r="J34" s="16"/>
    </row>
    <row r="35" s="1" customFormat="1" spans="1:10">
      <c r="A35" s="10" t="s">
        <v>78</v>
      </c>
      <c r="B35" s="101" t="s">
        <v>182</v>
      </c>
      <c r="C35" s="10" t="s">
        <v>84</v>
      </c>
      <c r="D35" s="65" t="s">
        <v>183</v>
      </c>
      <c r="E35" s="65" t="s">
        <v>184</v>
      </c>
      <c r="F35" s="10" t="s">
        <v>185</v>
      </c>
      <c r="G35" s="16"/>
      <c r="I35" s="16"/>
      <c r="J35" s="16"/>
    </row>
    <row r="36" s="1" customFormat="1" spans="1:10">
      <c r="A36" s="10" t="s">
        <v>78</v>
      </c>
      <c r="B36" s="101" t="s">
        <v>186</v>
      </c>
      <c r="C36" s="10" t="s">
        <v>84</v>
      </c>
      <c r="D36" s="100" t="s">
        <v>187</v>
      </c>
      <c r="E36" s="10" t="s">
        <v>188</v>
      </c>
      <c r="F36" t="s">
        <v>189</v>
      </c>
      <c r="G36" s="16"/>
      <c r="I36" s="16"/>
      <c r="J36" s="16"/>
    </row>
    <row r="37" s="1" customFormat="1" spans="1:10">
      <c r="A37" s="10" t="s">
        <v>78</v>
      </c>
      <c r="B37" s="101" t="s">
        <v>190</v>
      </c>
      <c r="C37" s="10" t="s">
        <v>84</v>
      </c>
      <c r="D37" t="s">
        <v>191</v>
      </c>
      <c r="E37" t="s">
        <v>192</v>
      </c>
      <c r="F37" t="s">
        <v>193</v>
      </c>
      <c r="G37" s="16"/>
      <c r="I37" s="16"/>
      <c r="J37" s="16"/>
    </row>
    <row r="38" s="1" customFormat="1" spans="1:10">
      <c r="A38" s="10" t="s">
        <v>78</v>
      </c>
      <c r="B38" s="101" t="s">
        <v>194</v>
      </c>
      <c r="C38" s="65" t="s">
        <v>84</v>
      </c>
      <c r="D38" s="65" t="s">
        <v>195</v>
      </c>
      <c r="E38" s="65" t="s">
        <v>196</v>
      </c>
      <c r="F38" s="65" t="s">
        <v>197</v>
      </c>
      <c r="G38" s="16"/>
      <c r="I38" s="16"/>
      <c r="J38" s="16"/>
    </row>
    <row r="39" s="1" customFormat="1" spans="1:10">
      <c r="A39" s="10" t="s">
        <v>78</v>
      </c>
      <c r="B39" t="s">
        <v>198</v>
      </c>
      <c r="C39" t="s">
        <v>199</v>
      </c>
      <c r="D39" t="s">
        <v>200</v>
      </c>
      <c r="E39" s="95" t="s">
        <v>201</v>
      </c>
      <c r="F39" t="s">
        <v>202</v>
      </c>
      <c r="G39" s="16"/>
      <c r="I39" s="16"/>
      <c r="J39" s="16"/>
    </row>
    <row r="40" s="1" customFormat="1" spans="1:10">
      <c r="A40" s="10" t="s">
        <v>78</v>
      </c>
      <c r="B40" t="s">
        <v>198</v>
      </c>
      <c r="C40" s="18" t="s">
        <v>199</v>
      </c>
      <c r="D40" s="18" t="s">
        <v>204</v>
      </c>
      <c r="E40" s="18" t="s">
        <v>205</v>
      </c>
      <c r="F40" s="18" t="s">
        <v>206</v>
      </c>
      <c r="G40" s="16"/>
      <c r="I40" s="16"/>
      <c r="J40" s="16"/>
    </row>
    <row r="41" s="1" customFormat="1" spans="1:10">
      <c r="A41" s="10" t="s">
        <v>78</v>
      </c>
      <c r="B41" t="s">
        <v>198</v>
      </c>
      <c r="C41" s="18" t="s">
        <v>199</v>
      </c>
      <c r="D41" s="18" t="s">
        <v>208</v>
      </c>
      <c r="E41" s="18" t="s">
        <v>209</v>
      </c>
      <c r="F41" s="18" t="s">
        <v>210</v>
      </c>
      <c r="G41" s="16"/>
      <c r="I41" s="16"/>
      <c r="J41" s="16"/>
    </row>
    <row r="42" s="1" customFormat="1" spans="1:10">
      <c r="A42" s="10" t="s">
        <v>78</v>
      </c>
      <c r="B42" t="s">
        <v>198</v>
      </c>
      <c r="C42" s="18" t="s">
        <v>199</v>
      </c>
      <c r="D42" s="18" t="s">
        <v>211</v>
      </c>
      <c r="E42" s="18" t="s">
        <v>212</v>
      </c>
      <c r="F42" s="18" t="s">
        <v>213</v>
      </c>
      <c r="G42" s="16"/>
      <c r="I42" s="16"/>
      <c r="J42" s="16"/>
    </row>
    <row r="43" s="1" customFormat="1" spans="1:10">
      <c r="A43" s="10" t="s">
        <v>78</v>
      </c>
      <c r="B43" t="s">
        <v>198</v>
      </c>
      <c r="C43" s="18" t="s">
        <v>199</v>
      </c>
      <c r="D43" s="18" t="s">
        <v>214</v>
      </c>
      <c r="E43" s="18" t="s">
        <v>215</v>
      </c>
      <c r="F43" s="18" t="s">
        <v>216</v>
      </c>
      <c r="G43" s="16"/>
      <c r="I43" s="16"/>
      <c r="J43" s="16"/>
    </row>
    <row r="44" s="1" customFormat="1" spans="1:10">
      <c r="A44" t="s">
        <v>78</v>
      </c>
      <c r="B44" s="11" t="s">
        <v>245</v>
      </c>
      <c r="C44" t="s">
        <v>246</v>
      </c>
      <c r="D44" t="s">
        <v>247</v>
      </c>
      <c r="E44" t="s">
        <v>248</v>
      </c>
      <c r="F44" t="s">
        <v>249</v>
      </c>
      <c r="G44" s="16"/>
      <c r="I44" s="16"/>
      <c r="J44" s="16"/>
    </row>
    <row r="45" s="1" customFormat="1" spans="1:10">
      <c r="A45" s="10" t="s">
        <v>78</v>
      </c>
      <c r="B45"/>
      <c r="C45" t="s">
        <v>39</v>
      </c>
      <c r="D45" s="18" t="s">
        <v>217</v>
      </c>
      <c r="E45" s="18" t="s">
        <v>218</v>
      </c>
      <c r="F45" s="19" t="s">
        <v>107</v>
      </c>
      <c r="G45" s="63" t="s">
        <v>378</v>
      </c>
      <c r="I45" s="16"/>
      <c r="J45" s="16"/>
    </row>
    <row r="46" s="1" customFormat="1" spans="1:10">
      <c r="A46" s="10" t="s">
        <v>78</v>
      </c>
      <c r="B46"/>
      <c r="C46" t="s">
        <v>34</v>
      </c>
      <c r="D46" s="18" t="s">
        <v>219</v>
      </c>
      <c r="E46" s="18" t="s">
        <v>220</v>
      </c>
      <c r="F46" s="22" t="s">
        <v>221</v>
      </c>
      <c r="G46" s="16"/>
      <c r="I46" s="16"/>
      <c r="J46" s="16"/>
    </row>
    <row r="47" s="1" customFormat="1" spans="1:10">
      <c r="A47" s="10" t="s">
        <v>78</v>
      </c>
      <c r="B47" s="18"/>
      <c r="C47" s="18" t="s">
        <v>34</v>
      </c>
      <c r="D47" s="18" t="s">
        <v>222</v>
      </c>
      <c r="E47" s="18" t="s">
        <v>223</v>
      </c>
      <c r="F47" s="19" t="s">
        <v>46</v>
      </c>
      <c r="G47" s="16"/>
      <c r="I47" s="16"/>
      <c r="J47" s="16"/>
    </row>
    <row r="48" s="1" customFormat="1" spans="1:10">
      <c r="A48" s="10" t="s">
        <v>78</v>
      </c>
      <c r="B48" s="11" t="s">
        <v>225</v>
      </c>
      <c r="C48" t="s">
        <v>226</v>
      </c>
      <c r="D48" s="1" t="s">
        <v>227</v>
      </c>
      <c r="E48" t="s">
        <v>228</v>
      </c>
      <c r="F48" s="23" t="s">
        <v>229</v>
      </c>
      <c r="G48" s="16"/>
      <c r="I48" s="16"/>
      <c r="J48" s="16"/>
    </row>
    <row r="49" s="1" customFormat="1" ht="14.25" spans="1:10">
      <c r="A49" s="10" t="s">
        <v>78</v>
      </c>
      <c r="B49"/>
      <c r="C49" s="10" t="s">
        <v>231</v>
      </c>
      <c r="D49" s="20" t="s">
        <v>232</v>
      </c>
      <c r="E49" s="20" t="s">
        <v>233</v>
      </c>
      <c r="F49" s="18" t="s">
        <v>234</v>
      </c>
      <c r="G49" s="16"/>
      <c r="I49" s="16"/>
      <c r="J49" s="16"/>
    </row>
    <row r="50" s="1" customFormat="1" spans="1:10">
      <c r="A50" s="10" t="s">
        <v>78</v>
      </c>
      <c r="B50"/>
      <c r="C50" t="s">
        <v>236</v>
      </c>
      <c r="D50" s="18" t="s">
        <v>237</v>
      </c>
      <c r="E50" s="18" t="s">
        <v>238</v>
      </c>
      <c r="F50" s="22" t="s">
        <v>239</v>
      </c>
      <c r="G50" s="16"/>
      <c r="I50" s="16"/>
      <c r="J50" s="16"/>
    </row>
    <row r="51" s="1" customFormat="1" spans="1:10">
      <c r="A51" s="10" t="s">
        <v>78</v>
      </c>
      <c r="B51"/>
      <c r="C51" s="10" t="s">
        <v>240</v>
      </c>
      <c r="D51" s="10" t="s">
        <v>241</v>
      </c>
      <c r="E51" s="25" t="s">
        <v>242</v>
      </c>
      <c r="F51" s="10" t="s">
        <v>243</v>
      </c>
      <c r="G51" s="16"/>
      <c r="I51" s="16"/>
      <c r="J51" s="16"/>
    </row>
    <row r="52" s="1" customFormat="1" spans="1:9">
      <c r="A52"/>
      <c r="B52" s="18"/>
      <c r="C52"/>
      <c r="D52"/>
      <c r="E52"/>
      <c r="F52"/>
      <c r="I52" s="16"/>
    </row>
    <row r="53" s="1" customFormat="1" spans="1:9">
      <c r="A53" s="10"/>
      <c r="B53"/>
      <c r="C53"/>
      <c r="D53"/>
      <c r="E53"/>
      <c r="F53"/>
      <c r="I53" s="16"/>
    </row>
    <row r="54" s="1" customFormat="1" spans="1:10">
      <c r="A54" s="10" t="s">
        <v>78</v>
      </c>
      <c r="B54" s="82" t="s">
        <v>251</v>
      </c>
      <c r="C54" s="12" t="s">
        <v>252</v>
      </c>
      <c r="D54" s="12" t="s">
        <v>253</v>
      </c>
      <c r="E54" s="12" t="s">
        <v>254</v>
      </c>
      <c r="F54" s="12" t="s">
        <v>255</v>
      </c>
      <c r="G54" s="73" t="s">
        <v>381</v>
      </c>
      <c r="I54" s="16"/>
      <c r="J54" s="63" t="s">
        <v>372</v>
      </c>
    </row>
    <row r="55" s="1" customFormat="1" spans="1:10">
      <c r="A55" s="10" t="s">
        <v>78</v>
      </c>
      <c r="B55" s="11" t="s">
        <v>257</v>
      </c>
      <c r="C55" s="12" t="s">
        <v>258</v>
      </c>
      <c r="D55" s="12" t="s">
        <v>259</v>
      </c>
      <c r="E55" s="12" t="s">
        <v>260</v>
      </c>
      <c r="F55" s="12" t="s">
        <v>261</v>
      </c>
      <c r="G55" s="63" t="s">
        <v>382</v>
      </c>
      <c r="I55" s="16"/>
      <c r="J55" s="16"/>
    </row>
    <row r="56" s="1" customFormat="1" spans="1:10">
      <c r="A56" s="10" t="s">
        <v>78</v>
      </c>
      <c r="B56" s="12"/>
      <c r="C56" s="12" t="s">
        <v>263</v>
      </c>
      <c r="D56" s="12" t="s">
        <v>264</v>
      </c>
      <c r="E56" s="12" t="s">
        <v>265</v>
      </c>
      <c r="F56" s="12" t="s">
        <v>266</v>
      </c>
      <c r="G56" s="16"/>
      <c r="I56" s="16" t="s">
        <v>383</v>
      </c>
      <c r="J56" s="16"/>
    </row>
    <row r="57" s="1" customFormat="1" ht="27" spans="1:10">
      <c r="A57" s="10" t="s">
        <v>78</v>
      </c>
      <c r="B57" s="71"/>
      <c r="C57" s="72" t="s">
        <v>268</v>
      </c>
      <c r="D57" s="71" t="s">
        <v>269</v>
      </c>
      <c r="E57" s="18" t="s">
        <v>270</v>
      </c>
      <c r="F57" s="23" t="s">
        <v>271</v>
      </c>
      <c r="G57" s="16"/>
      <c r="I57" s="16"/>
      <c r="J57" s="16"/>
    </row>
    <row r="58" s="1" customFormat="1" spans="1:10">
      <c r="A58" s="30"/>
      <c r="B58" s="30"/>
      <c r="C58" s="30"/>
      <c r="D58" s="30"/>
      <c r="E58" s="30"/>
      <c r="F58" s="30"/>
      <c r="I58" s="16"/>
      <c r="J58" s="16"/>
    </row>
    <row r="59" s="1" customFormat="1" spans="1:10">
      <c r="A59" s="10" t="s">
        <v>78</v>
      </c>
      <c r="B59" s="11" t="s">
        <v>353</v>
      </c>
      <c r="C59" t="s">
        <v>384</v>
      </c>
      <c r="D59" s="12" t="s">
        <v>355</v>
      </c>
      <c r="E59" s="12" t="s">
        <v>356</v>
      </c>
      <c r="F59" t="s">
        <v>357</v>
      </c>
      <c r="G59" s="73" t="s">
        <v>381</v>
      </c>
      <c r="I59" s="16"/>
      <c r="J59" s="16"/>
    </row>
    <row r="60" s="1" customFormat="1" ht="16" customHeight="1" spans="1:10">
      <c r="A60" s="30"/>
      <c r="B60" s="30"/>
      <c r="C60" s="30"/>
      <c r="D60" s="30"/>
      <c r="E60" s="30"/>
      <c r="F60" s="30"/>
      <c r="H60" s="24"/>
      <c r="I60" s="16"/>
      <c r="J60" s="73"/>
    </row>
    <row r="62" customFormat="1" spans="2:16">
      <c r="B62" s="41" t="s">
        <v>274</v>
      </c>
      <c r="H62" s="18"/>
      <c r="K62" s="31"/>
      <c r="P62" s="17"/>
    </row>
    <row r="63" customFormat="1" ht="14.25" spans="1:16">
      <c r="A63" s="1" t="s">
        <v>275</v>
      </c>
      <c r="B63" s="67"/>
      <c r="C63" s="42" t="s">
        <v>277</v>
      </c>
      <c r="D63" s="43" t="s">
        <v>278</v>
      </c>
      <c r="E63" s="46" t="s">
        <v>279</v>
      </c>
      <c r="F63" s="45" t="s">
        <v>280</v>
      </c>
      <c r="G63" s="67" t="s">
        <v>276</v>
      </c>
      <c r="H63" s="46"/>
      <c r="I63" s="45"/>
      <c r="J63" s="45"/>
      <c r="K63" s="36"/>
      <c r="L63" s="68"/>
      <c r="M63" s="10"/>
      <c r="O63" s="10"/>
      <c r="P63" s="34"/>
    </row>
    <row r="64" customFormat="1" ht="14.25" spans="1:16">
      <c r="A64" s="1" t="s">
        <v>275</v>
      </c>
      <c r="B64" s="67"/>
      <c r="C64" s="42" t="s">
        <v>277</v>
      </c>
      <c r="D64" s="43" t="s">
        <v>282</v>
      </c>
      <c r="E64" s="45" t="s">
        <v>283</v>
      </c>
      <c r="F64" s="45" t="s">
        <v>284</v>
      </c>
      <c r="G64" s="67"/>
      <c r="H64" s="46"/>
      <c r="I64" s="45"/>
      <c r="J64" s="45"/>
      <c r="K64" s="36"/>
      <c r="L64" s="68"/>
      <c r="O64" s="10"/>
      <c r="P64" s="34"/>
    </row>
    <row r="65" customFormat="1" ht="14.25" spans="1:16">
      <c r="A65" s="1" t="s">
        <v>275</v>
      </c>
      <c r="B65" s="67"/>
      <c r="C65" s="42" t="s">
        <v>277</v>
      </c>
      <c r="D65" s="46" t="s">
        <v>286</v>
      </c>
      <c r="E65" s="46" t="s">
        <v>287</v>
      </c>
      <c r="F65" s="45" t="s">
        <v>288</v>
      </c>
      <c r="G65" s="67"/>
      <c r="H65" s="45"/>
      <c r="I65" s="45"/>
      <c r="J65" s="45"/>
      <c r="K65" s="36"/>
      <c r="L65" s="68"/>
      <c r="M65" s="45"/>
      <c r="N65" s="45"/>
      <c r="O65" s="69"/>
      <c r="P65" s="70"/>
    </row>
    <row r="66" customFormat="1" ht="14.25" spans="1:16">
      <c r="A66" s="1" t="s">
        <v>275</v>
      </c>
      <c r="B66" s="67"/>
      <c r="C66" s="42" t="s">
        <v>277</v>
      </c>
      <c r="D66" s="43" t="s">
        <v>290</v>
      </c>
      <c r="E66" s="46" t="s">
        <v>291</v>
      </c>
      <c r="F66" s="45" t="s">
        <v>292</v>
      </c>
      <c r="G66" s="67"/>
      <c r="H66" s="46"/>
      <c r="I66" s="45"/>
      <c r="J66" s="45"/>
      <c r="K66" s="36"/>
      <c r="L66" s="68"/>
      <c r="O66" s="10"/>
      <c r="P66" s="34"/>
    </row>
    <row r="67" customFormat="1" ht="14.25" spans="2:16">
      <c r="B67" s="67"/>
      <c r="C67" s="42"/>
      <c r="D67" s="43"/>
      <c r="E67" s="44"/>
      <c r="F67" s="45"/>
      <c r="G67" s="45"/>
      <c r="H67" s="46"/>
      <c r="I67" s="45"/>
      <c r="J67" s="45"/>
      <c r="K67" s="36"/>
      <c r="L67" s="46"/>
      <c r="M67" s="45"/>
      <c r="N67" s="45"/>
      <c r="O67" s="10"/>
      <c r="P67" s="34"/>
    </row>
    <row r="68" customFormat="1" ht="14.25" spans="2:16">
      <c r="B68" s="41" t="s">
        <v>294</v>
      </c>
      <c r="C68" s="42"/>
      <c r="D68" s="43"/>
      <c r="E68" s="44"/>
      <c r="F68" s="45"/>
      <c r="G68" s="45"/>
      <c r="H68" s="46"/>
      <c r="I68" s="45"/>
      <c r="J68" s="45"/>
      <c r="K68" s="36"/>
      <c r="L68" s="46"/>
      <c r="M68" s="45"/>
      <c r="N68" s="45"/>
      <c r="O68" s="10"/>
      <c r="P68" s="34"/>
    </row>
    <row r="69" customFormat="1" ht="20" customHeight="1" spans="1:16">
      <c r="A69" s="1" t="s">
        <v>275</v>
      </c>
      <c r="B69" s="67" t="s">
        <v>385</v>
      </c>
      <c r="C69" s="43" t="s">
        <v>295</v>
      </c>
      <c r="D69" s="43" t="s">
        <v>296</v>
      </c>
      <c r="E69" s="18" t="s">
        <v>297</v>
      </c>
      <c r="F69" s="65" t="s">
        <v>298</v>
      </c>
      <c r="G69" s="16" t="s">
        <v>276</v>
      </c>
      <c r="H69" s="65"/>
      <c r="I69" s="66"/>
      <c r="J69" s="65"/>
      <c r="K69" s="36"/>
      <c r="L69" s="65"/>
      <c r="M69" s="34"/>
      <c r="N69" s="34"/>
      <c r="O69" s="34"/>
      <c r="P69" s="34"/>
    </row>
    <row r="70" customFormat="1" ht="14.25" spans="1:16">
      <c r="A70" s="1" t="s">
        <v>275</v>
      </c>
      <c r="B70" s="67"/>
      <c r="C70" s="43" t="s">
        <v>300</v>
      </c>
      <c r="D70" s="43" t="s">
        <v>301</v>
      </c>
      <c r="E70" s="46" t="s">
        <v>302</v>
      </c>
      <c r="F70" s="43" t="s">
        <v>303</v>
      </c>
      <c r="G70" s="16"/>
      <c r="H70" s="43"/>
      <c r="I70" s="43"/>
      <c r="J70" s="43"/>
      <c r="K70" s="36"/>
      <c r="L70" s="43"/>
      <c r="M70" s="34"/>
      <c r="N70" s="34"/>
      <c r="O70" s="34"/>
      <c r="P70" s="34"/>
    </row>
    <row r="71" customFormat="1" ht="14.25" spans="1:16">
      <c r="A71" s="1" t="s">
        <v>275</v>
      </c>
      <c r="B71" s="67"/>
      <c r="C71" s="43" t="s">
        <v>300</v>
      </c>
      <c r="D71" s="43" t="s">
        <v>304</v>
      </c>
      <c r="E71" s="18" t="s">
        <v>305</v>
      </c>
      <c r="F71" s="10" t="s">
        <v>306</v>
      </c>
      <c r="G71" s="16"/>
      <c r="H71" s="65"/>
      <c r="I71" s="66"/>
      <c r="J71" s="10"/>
      <c r="K71" s="36"/>
      <c r="L71" s="65"/>
      <c r="M71" s="10"/>
      <c r="N71" s="10"/>
      <c r="O71" s="10"/>
      <c r="P71" s="34"/>
    </row>
    <row r="72" customFormat="1" ht="14.25" spans="1:16">
      <c r="A72" s="1" t="s">
        <v>275</v>
      </c>
      <c r="B72" s="67"/>
      <c r="C72" s="43" t="s">
        <v>300</v>
      </c>
      <c r="D72" s="43" t="s">
        <v>307</v>
      </c>
      <c r="E72" s="18" t="s">
        <v>308</v>
      </c>
      <c r="F72" s="10" t="s">
        <v>309</v>
      </c>
      <c r="G72" s="16"/>
      <c r="H72" s="65"/>
      <c r="I72" s="66"/>
      <c r="J72" s="10"/>
      <c r="K72" s="36"/>
      <c r="L72" s="65"/>
      <c r="M72" s="65"/>
      <c r="N72" s="65"/>
      <c r="O72" s="34"/>
      <c r="P72" s="34"/>
    </row>
    <row r="73" customFormat="1" ht="14.25" spans="1:16">
      <c r="A73" s="1" t="s">
        <v>275</v>
      </c>
      <c r="B73" s="67"/>
      <c r="C73" s="43" t="s">
        <v>300</v>
      </c>
      <c r="D73" s="43" t="s">
        <v>310</v>
      </c>
      <c r="E73" s="18" t="s">
        <v>311</v>
      </c>
      <c r="F73" s="10" t="s">
        <v>292</v>
      </c>
      <c r="G73" s="16"/>
      <c r="H73" s="65"/>
      <c r="I73" s="66"/>
      <c r="J73" s="10"/>
      <c r="K73" s="36"/>
      <c r="L73" s="65"/>
      <c r="M73" s="10"/>
      <c r="N73" s="10"/>
      <c r="O73" s="34"/>
      <c r="P73" s="34"/>
    </row>
    <row r="74" customFormat="1" ht="14.25" spans="1:16">
      <c r="A74" s="1"/>
      <c r="B74" s="64"/>
      <c r="C74" s="43"/>
      <c r="D74" s="43"/>
      <c r="E74" s="18"/>
      <c r="F74" s="10"/>
      <c r="G74" s="66"/>
      <c r="H74" s="65"/>
      <c r="I74" s="66"/>
      <c r="J74" s="10"/>
      <c r="K74" s="36"/>
      <c r="L74" s="65"/>
      <c r="M74" s="10"/>
      <c r="N74" s="10"/>
      <c r="O74" s="10"/>
      <c r="P74" s="34"/>
    </row>
    <row r="75" customFormat="1" ht="14.25" spans="1:16">
      <c r="A75" s="1"/>
      <c r="B75" s="41" t="s">
        <v>312</v>
      </c>
      <c r="C75" s="43"/>
      <c r="D75" s="43"/>
      <c r="E75" s="18"/>
      <c r="F75" s="10"/>
      <c r="G75" s="66"/>
      <c r="H75" s="65"/>
      <c r="I75" s="66"/>
      <c r="J75" s="10"/>
      <c r="K75" s="36"/>
      <c r="L75" s="65"/>
      <c r="M75" s="10"/>
      <c r="N75" s="10"/>
      <c r="O75" s="10"/>
      <c r="P75" s="34"/>
    </row>
    <row r="76" customFormat="1" ht="16.5" spans="1:16">
      <c r="A76" t="s">
        <v>275</v>
      </c>
      <c r="C76" s="18" t="s">
        <v>313</v>
      </c>
      <c r="D76" s="73" t="s">
        <v>314</v>
      </c>
      <c r="E76" s="18" t="s">
        <v>315</v>
      </c>
      <c r="F76" s="74" t="s">
        <v>316</v>
      </c>
      <c r="G76" s="16" t="s">
        <v>370</v>
      </c>
      <c r="H76" s="8"/>
      <c r="I76" s="78"/>
      <c r="J76" s="8"/>
      <c r="K76" s="59"/>
      <c r="L76" s="18"/>
      <c r="M76" s="18"/>
      <c r="N76" s="18"/>
      <c r="O76" s="18"/>
      <c r="P76" s="70"/>
    </row>
    <row r="77" customFormat="1" ht="16.5" spans="1:16">
      <c r="A77" t="s">
        <v>275</v>
      </c>
      <c r="C77" s="18" t="s">
        <v>318</v>
      </c>
      <c r="D77" s="18" t="s">
        <v>319</v>
      </c>
      <c r="E77" s="18" t="s">
        <v>320</v>
      </c>
      <c r="F77" s="74" t="s">
        <v>321</v>
      </c>
      <c r="G77" s="16"/>
      <c r="H77" s="8"/>
      <c r="I77" s="78"/>
      <c r="J77" s="8"/>
      <c r="K77" s="59"/>
      <c r="L77" s="18"/>
      <c r="M77" s="18"/>
      <c r="N77" s="18"/>
      <c r="O77" s="18"/>
      <c r="P77" s="70"/>
    </row>
    <row r="79" spans="1:10">
      <c r="A79" s="30" t="s">
        <v>323</v>
      </c>
      <c r="B79" s="41" t="s">
        <v>322</v>
      </c>
      <c r="C79" s="30" t="s">
        <v>324</v>
      </c>
      <c r="D79" s="30" t="s">
        <v>325</v>
      </c>
      <c r="E79" s="30" t="s">
        <v>326</v>
      </c>
      <c r="F79" s="30" t="s">
        <v>327</v>
      </c>
      <c r="G79" s="16" t="s">
        <v>370</v>
      </c>
      <c r="J79" s="63" t="s">
        <v>373</v>
      </c>
    </row>
    <row r="80" spans="1:10">
      <c r="A80" s="30" t="s">
        <v>323</v>
      </c>
      <c r="C80" s="30" t="s">
        <v>329</v>
      </c>
      <c r="D80" s="30" t="s">
        <v>330</v>
      </c>
      <c r="E80" s="30" t="s">
        <v>331</v>
      </c>
      <c r="F80" s="30" t="s">
        <v>332</v>
      </c>
      <c r="G80" s="16"/>
      <c r="J80" s="63"/>
    </row>
    <row r="81" spans="1:10">
      <c r="A81" s="30" t="s">
        <v>323</v>
      </c>
      <c r="C81" s="30" t="s">
        <v>334</v>
      </c>
      <c r="D81" s="30" t="s">
        <v>335</v>
      </c>
      <c r="E81" s="30" t="s">
        <v>336</v>
      </c>
      <c r="F81" s="30" t="s">
        <v>337</v>
      </c>
      <c r="G81" s="16"/>
      <c r="J81" s="63"/>
    </row>
    <row r="82" spans="1:10">
      <c r="A82" s="30" t="s">
        <v>323</v>
      </c>
      <c r="C82" s="30" t="s">
        <v>339</v>
      </c>
      <c r="D82" s="30" t="s">
        <v>340</v>
      </c>
      <c r="E82" s="30" t="s">
        <v>341</v>
      </c>
      <c r="F82" s="30" t="s">
        <v>342</v>
      </c>
      <c r="G82" s="16"/>
      <c r="J82" s="63"/>
    </row>
    <row r="83" spans="1:10">
      <c r="A83" s="30" t="s">
        <v>323</v>
      </c>
      <c r="C83" s="30" t="s">
        <v>344</v>
      </c>
      <c r="D83" s="30" t="s">
        <v>345</v>
      </c>
      <c r="E83" s="30" t="s">
        <v>346</v>
      </c>
      <c r="F83" s="30" t="s">
        <v>347</v>
      </c>
      <c r="G83" s="16"/>
      <c r="J83" s="63"/>
    </row>
    <row r="86" customFormat="1" ht="27" spans="1:16">
      <c r="A86" s="114" t="s">
        <v>349</v>
      </c>
      <c r="B86" s="115" t="s">
        <v>350</v>
      </c>
      <c r="C86" s="1"/>
      <c r="D86" s="1"/>
      <c r="E86" s="1"/>
      <c r="F86" s="1"/>
      <c r="G86" s="8"/>
      <c r="H86" s="8"/>
      <c r="I86" s="8"/>
      <c r="J86" s="8"/>
      <c r="K86" s="1"/>
      <c r="L86" s="1"/>
      <c r="M86" s="1"/>
      <c r="N86" s="1"/>
      <c r="O86" s="1"/>
      <c r="P86" s="16"/>
    </row>
    <row r="87" customFormat="1" spans="1:16">
      <c r="A87" s="9" t="s">
        <v>351</v>
      </c>
      <c r="B87" s="1" t="s">
        <v>352</v>
      </c>
      <c r="C87" s="1"/>
      <c r="D87" s="1"/>
      <c r="E87" s="1"/>
      <c r="F87" s="1"/>
      <c r="G87" s="8"/>
      <c r="H87" s="8"/>
      <c r="I87" s="8"/>
      <c r="J87" s="8"/>
      <c r="K87" s="1"/>
      <c r="L87" s="1"/>
      <c r="M87" s="1"/>
      <c r="N87" s="1"/>
      <c r="O87" s="1"/>
      <c r="P87" s="16"/>
    </row>
    <row r="88" customFormat="1" ht="43" customHeight="1" spans="1:11">
      <c r="A88" s="10" t="s">
        <v>78</v>
      </c>
      <c r="B88" s="11" t="s">
        <v>353</v>
      </c>
      <c r="C88" s="2" t="s">
        <v>384</v>
      </c>
      <c r="D88" s="12" t="s">
        <v>355</v>
      </c>
      <c r="E88" s="12" t="s">
        <v>356</v>
      </c>
      <c r="F88" t="s">
        <v>357</v>
      </c>
      <c r="G88" s="95" t="s">
        <v>386</v>
      </c>
      <c r="K88" s="29"/>
    </row>
    <row r="89" spans="1:7">
      <c r="A89" s="14" t="s">
        <v>65</v>
      </c>
      <c r="B89" s="15" t="s">
        <v>28</v>
      </c>
      <c r="C89" s="16" t="s">
        <v>359</v>
      </c>
      <c r="D89" s="2" t="s">
        <v>360</v>
      </c>
      <c r="E89" s="2" t="s">
        <v>361</v>
      </c>
      <c r="F89" s="14" t="s">
        <v>347</v>
      </c>
      <c r="G89" s="1" t="s">
        <v>387</v>
      </c>
    </row>
    <row r="90" spans="1:7">
      <c r="A90" t="s">
        <v>65</v>
      </c>
      <c r="B90" s="11" t="s">
        <v>363</v>
      </c>
      <c r="C90" s="16" t="s">
        <v>359</v>
      </c>
      <c r="D90" s="2" t="s">
        <v>360</v>
      </c>
      <c r="E90" s="2" t="s">
        <v>361</v>
      </c>
      <c r="F90" s="14" t="s">
        <v>347</v>
      </c>
      <c r="G90" s="1" t="s">
        <v>388</v>
      </c>
    </row>
  </sheetData>
  <mergeCells count="18">
    <mergeCell ref="B63:B66"/>
    <mergeCell ref="B69:B73"/>
    <mergeCell ref="G8:G12"/>
    <mergeCell ref="G15:G23"/>
    <mergeCell ref="G26:G44"/>
    <mergeCell ref="G45:G51"/>
    <mergeCell ref="G55:G57"/>
    <mergeCell ref="G63:G66"/>
    <mergeCell ref="G69:G73"/>
    <mergeCell ref="G76:G77"/>
    <mergeCell ref="G79:G83"/>
    <mergeCell ref="H8:H10"/>
    <mergeCell ref="I11:I12"/>
    <mergeCell ref="J7:J12"/>
    <mergeCell ref="J15:J23"/>
    <mergeCell ref="J26:J51"/>
    <mergeCell ref="J54:J59"/>
    <mergeCell ref="J79:J83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8"/>
  <sheetViews>
    <sheetView workbookViewId="0">
      <pane xSplit="7" ySplit="1" topLeftCell="M2" activePane="bottomRight" state="frozen"/>
      <selection/>
      <selection pane="topRight"/>
      <selection pane="bottomLeft"/>
      <selection pane="bottomRight" activeCell="E26" sqref="E26"/>
    </sheetView>
  </sheetViews>
  <sheetFormatPr defaultColWidth="9" defaultRowHeight="13.5" outlineLevelRow="7"/>
  <cols>
    <col min="1" max="1" width="14.5166666666667" customWidth="1"/>
    <col min="2" max="2" width="13.45" customWidth="1"/>
    <col min="3" max="3" width="18" customWidth="1"/>
    <col min="4" max="4" width="20.8166666666667" customWidth="1"/>
    <col min="5" max="5" width="16" customWidth="1"/>
    <col min="6" max="6" width="16.35" customWidth="1"/>
    <col min="8" max="8" width="10.5583333333333" customWidth="1"/>
    <col min="9" max="9" width="12.2666666666667" customWidth="1"/>
    <col min="11" max="11" width="9" style="2"/>
    <col min="12" max="12" width="17.65" customWidth="1"/>
    <col min="13" max="13" width="12.8"/>
    <col min="14" max="14" width="14.1833333333333" customWidth="1"/>
    <col min="15" max="15" width="12.6166666666667" customWidth="1"/>
    <col min="16" max="16" width="13.35" customWidth="1"/>
    <col min="17" max="17" width="11.45" customWidth="1"/>
    <col min="18" max="18" width="13.35" customWidth="1"/>
    <col min="19" max="19" width="21.0916666666667" customWidth="1"/>
    <col min="20" max="20" width="22.35" customWidth="1"/>
    <col min="21" max="21" width="18.7916666666667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spans="1:20">
      <c r="A2" s="10" t="s">
        <v>78</v>
      </c>
      <c r="B2" s="108" t="s">
        <v>64</v>
      </c>
      <c r="C2" s="10" t="s">
        <v>79</v>
      </c>
      <c r="D2" s="100" t="s">
        <v>80</v>
      </c>
      <c r="E2" s="10" t="s">
        <v>81</v>
      </c>
      <c r="F2" s="10" t="s">
        <v>82</v>
      </c>
      <c r="G2" s="35">
        <v>300</v>
      </c>
      <c r="H2" s="65">
        <v>20</v>
      </c>
      <c r="I2" s="35">
        <f t="shared" ref="I2:I7" si="0">G2</f>
        <v>300</v>
      </c>
      <c r="J2" s="65">
        <v>20</v>
      </c>
      <c r="K2" s="36">
        <f t="shared" ref="K2:K7" si="1">G2/H2</f>
        <v>15</v>
      </c>
      <c r="L2" s="66" t="s">
        <v>83</v>
      </c>
      <c r="M2" s="66">
        <v>0.05544</v>
      </c>
      <c r="N2" s="66">
        <v>20.4</v>
      </c>
      <c r="O2" s="66">
        <f t="shared" ref="O2:O7" si="2">N2*K2</f>
        <v>306</v>
      </c>
      <c r="P2" s="66">
        <f t="shared" ref="P2:P7" si="3">M2*K2</f>
        <v>0.8316</v>
      </c>
      <c r="Q2" s="2" t="s">
        <v>389</v>
      </c>
      <c r="R2" s="40" t="s">
        <v>390</v>
      </c>
      <c r="S2" t="s">
        <v>391</v>
      </c>
      <c r="T2" t="s">
        <v>392</v>
      </c>
    </row>
    <row r="3" customFormat="1" spans="1:20">
      <c r="A3" s="10" t="s">
        <v>78</v>
      </c>
      <c r="B3" s="65"/>
      <c r="C3" s="10" t="s">
        <v>84</v>
      </c>
      <c r="D3" s="100" t="s">
        <v>85</v>
      </c>
      <c r="E3" s="10" t="s">
        <v>86</v>
      </c>
      <c r="F3" s="10" t="s">
        <v>87</v>
      </c>
      <c r="G3" s="35">
        <v>90</v>
      </c>
      <c r="H3" s="65">
        <v>30</v>
      </c>
      <c r="I3" s="35">
        <f t="shared" si="0"/>
        <v>90</v>
      </c>
      <c r="J3" s="65">
        <v>30</v>
      </c>
      <c r="K3" s="36">
        <f t="shared" si="1"/>
        <v>3</v>
      </c>
      <c r="L3" s="66" t="s">
        <v>88</v>
      </c>
      <c r="M3" s="66">
        <v>0.011564</v>
      </c>
      <c r="N3" s="66">
        <v>10.5</v>
      </c>
      <c r="O3" s="66">
        <f t="shared" si="2"/>
        <v>31.5</v>
      </c>
      <c r="P3" s="66">
        <f t="shared" si="3"/>
        <v>0.034692</v>
      </c>
      <c r="Q3" s="2"/>
      <c r="R3" s="2"/>
      <c r="S3" t="s">
        <v>393</v>
      </c>
      <c r="T3" t="s">
        <v>394</v>
      </c>
    </row>
    <row r="4" customFormat="1" spans="1:20">
      <c r="A4" s="10" t="s">
        <v>78</v>
      </c>
      <c r="B4" s="10"/>
      <c r="C4" s="10" t="s">
        <v>84</v>
      </c>
      <c r="D4" s="100" t="s">
        <v>89</v>
      </c>
      <c r="E4" s="10" t="s">
        <v>90</v>
      </c>
      <c r="F4" s="10" t="s">
        <v>91</v>
      </c>
      <c r="G4" s="35">
        <v>90</v>
      </c>
      <c r="H4" s="65">
        <v>30</v>
      </c>
      <c r="I4" s="35">
        <f t="shared" si="0"/>
        <v>90</v>
      </c>
      <c r="J4" s="65">
        <v>30</v>
      </c>
      <c r="K4" s="36">
        <f t="shared" si="1"/>
        <v>3</v>
      </c>
      <c r="L4" s="66" t="s">
        <v>88</v>
      </c>
      <c r="M4" s="66">
        <v>0.011564</v>
      </c>
      <c r="N4" s="66">
        <v>10.5</v>
      </c>
      <c r="O4" s="66">
        <f t="shared" si="2"/>
        <v>31.5</v>
      </c>
      <c r="P4" s="66">
        <f t="shared" si="3"/>
        <v>0.034692</v>
      </c>
      <c r="Q4" s="2"/>
      <c r="R4" s="2"/>
      <c r="S4" t="s">
        <v>395</v>
      </c>
      <c r="T4" t="s">
        <v>396</v>
      </c>
    </row>
    <row r="5" customFormat="1" spans="1:20">
      <c r="A5" s="10" t="s">
        <v>78</v>
      </c>
      <c r="B5" s="65"/>
      <c r="C5" s="10" t="s">
        <v>84</v>
      </c>
      <c r="D5" s="100" t="s">
        <v>92</v>
      </c>
      <c r="E5" s="10" t="s">
        <v>93</v>
      </c>
      <c r="F5" s="10" t="s">
        <v>94</v>
      </c>
      <c r="G5" s="35">
        <v>90</v>
      </c>
      <c r="H5" s="65">
        <v>30</v>
      </c>
      <c r="I5" s="35">
        <f t="shared" si="0"/>
        <v>90</v>
      </c>
      <c r="J5" s="65">
        <v>30</v>
      </c>
      <c r="K5" s="36">
        <f t="shared" si="1"/>
        <v>3</v>
      </c>
      <c r="L5" s="66" t="s">
        <v>88</v>
      </c>
      <c r="M5" s="66">
        <v>0.011564</v>
      </c>
      <c r="N5" s="66">
        <v>10.5</v>
      </c>
      <c r="O5" s="66">
        <f t="shared" si="2"/>
        <v>31.5</v>
      </c>
      <c r="P5" s="66">
        <f t="shared" si="3"/>
        <v>0.034692</v>
      </c>
      <c r="Q5" s="2"/>
      <c r="R5" s="2"/>
      <c r="S5" t="s">
        <v>397</v>
      </c>
      <c r="T5" t="s">
        <v>398</v>
      </c>
    </row>
    <row r="6" customFormat="1" spans="1:20">
      <c r="A6" s="10" t="s">
        <v>78</v>
      </c>
      <c r="C6" s="99" t="s">
        <v>95</v>
      </c>
      <c r="D6" s="99" t="s">
        <v>96</v>
      </c>
      <c r="E6" s="99" t="s">
        <v>97</v>
      </c>
      <c r="F6" s="99" t="s">
        <v>98</v>
      </c>
      <c r="G6" s="99">
        <v>200</v>
      </c>
      <c r="H6" s="99">
        <v>50</v>
      </c>
      <c r="I6" s="99">
        <f t="shared" si="0"/>
        <v>200</v>
      </c>
      <c r="J6" s="99">
        <v>50</v>
      </c>
      <c r="K6" s="109">
        <f t="shared" si="1"/>
        <v>4</v>
      </c>
      <c r="L6" s="110" t="s">
        <v>99</v>
      </c>
      <c r="M6" s="76">
        <f>43*36*27/1000000</f>
        <v>0.041796</v>
      </c>
      <c r="N6" s="110">
        <v>11</v>
      </c>
      <c r="O6" s="66">
        <f t="shared" si="2"/>
        <v>44</v>
      </c>
      <c r="P6" s="35">
        <f t="shared" si="3"/>
        <v>0.167184</v>
      </c>
      <c r="Q6" s="2"/>
      <c r="R6" s="2"/>
      <c r="S6" t="s">
        <v>399</v>
      </c>
      <c r="T6" t="s">
        <v>400</v>
      </c>
    </row>
    <row r="7" customFormat="1" spans="1:20">
      <c r="A7" s="10" t="s">
        <v>78</v>
      </c>
      <c r="C7" s="99" t="s">
        <v>100</v>
      </c>
      <c r="D7" s="99" t="s">
        <v>101</v>
      </c>
      <c r="E7" s="99" t="s">
        <v>102</v>
      </c>
      <c r="F7" s="99" t="s">
        <v>103</v>
      </c>
      <c r="G7" s="99">
        <v>200</v>
      </c>
      <c r="H7" s="99">
        <v>50</v>
      </c>
      <c r="I7" s="99">
        <f t="shared" si="0"/>
        <v>200</v>
      </c>
      <c r="J7" s="99">
        <v>50</v>
      </c>
      <c r="K7" s="109">
        <f t="shared" si="1"/>
        <v>4</v>
      </c>
      <c r="L7" s="110" t="s">
        <v>99</v>
      </c>
      <c r="M7" s="76">
        <f>43*36*27/1000000</f>
        <v>0.041796</v>
      </c>
      <c r="N7" s="110">
        <v>11</v>
      </c>
      <c r="O7" s="66">
        <f t="shared" si="2"/>
        <v>44</v>
      </c>
      <c r="P7" s="35">
        <f t="shared" si="3"/>
        <v>0.167184</v>
      </c>
      <c r="Q7" s="2"/>
      <c r="R7" s="2"/>
      <c r="S7" t="s">
        <v>401</v>
      </c>
      <c r="T7" t="s">
        <v>402</v>
      </c>
    </row>
    <row r="8" spans="16:16">
      <c r="P8">
        <f>SUM(P2:P7)</f>
        <v>1.270044</v>
      </c>
    </row>
  </sheetData>
  <mergeCells count="2">
    <mergeCell ref="Q2:Q7"/>
    <mergeCell ref="R2:R7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T25"/>
  <sheetViews>
    <sheetView workbookViewId="0">
      <pane xSplit="7" ySplit="1" topLeftCell="H2" activePane="bottomRight" state="frozen"/>
      <selection/>
      <selection pane="topRight"/>
      <selection pane="bottomLeft"/>
      <selection pane="bottomRight" activeCell="D24" sqref="D24"/>
    </sheetView>
  </sheetViews>
  <sheetFormatPr defaultColWidth="9" defaultRowHeight="13.5"/>
  <cols>
    <col min="1" max="1" width="14.5166666666667" customWidth="1"/>
    <col min="2" max="2" width="31.0083333333333" customWidth="1"/>
    <col min="3" max="3" width="14.55" customWidth="1"/>
    <col min="4" max="4" width="23.55" customWidth="1"/>
    <col min="5" max="5" width="12.2666666666667" customWidth="1"/>
    <col min="6" max="6" width="13.2666666666667" customWidth="1"/>
    <col min="8" max="8" width="10.5583333333333" customWidth="1"/>
    <col min="9" max="9" width="12.2666666666667" customWidth="1"/>
    <col min="11" max="11" width="9" style="2"/>
    <col min="12" max="12" width="17.65" customWidth="1"/>
    <col min="13" max="13" width="12.8"/>
    <col min="14" max="14" width="14.1833333333333" customWidth="1"/>
    <col min="15" max="15" width="12.6166666666667" customWidth="1"/>
    <col min="16" max="16" width="13.35" customWidth="1"/>
    <col min="17" max="17" width="12.5083333333333" customWidth="1"/>
    <col min="18" max="18" width="14.9083333333333" customWidth="1"/>
    <col min="19" max="19" width="20.1833333333333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spans="1:20">
      <c r="A2" s="10" t="s">
        <v>78</v>
      </c>
      <c r="B2" s="41" t="s">
        <v>143</v>
      </c>
      <c r="C2" t="s">
        <v>144</v>
      </c>
      <c r="D2" t="s">
        <v>145</v>
      </c>
      <c r="E2" t="s">
        <v>146</v>
      </c>
      <c r="F2" t="s">
        <v>147</v>
      </c>
      <c r="G2">
        <v>108</v>
      </c>
      <c r="H2">
        <v>36</v>
      </c>
      <c r="I2" s="10">
        <f t="shared" ref="I2:I5" si="0">G2</f>
        <v>108</v>
      </c>
      <c r="J2">
        <v>36</v>
      </c>
      <c r="K2" s="31">
        <f t="shared" ref="K2:K4" si="1">G2/H2</f>
        <v>3</v>
      </c>
      <c r="L2" s="103" t="s">
        <v>148</v>
      </c>
      <c r="M2" s="103">
        <v>0.12</v>
      </c>
      <c r="N2" s="103">
        <f>3024.6/142</f>
        <v>21.3</v>
      </c>
      <c r="O2" s="66">
        <f t="shared" ref="O2:O27" si="2">N2*K2</f>
        <v>63.9</v>
      </c>
      <c r="P2" s="66">
        <f t="shared" ref="P2:P27" si="3">M2*K2</f>
        <v>0.36</v>
      </c>
      <c r="Q2" s="2" t="s">
        <v>403</v>
      </c>
      <c r="R2" s="40" t="s">
        <v>404</v>
      </c>
      <c r="S2" t="s">
        <v>405</v>
      </c>
      <c r="T2" t="s">
        <v>406</v>
      </c>
    </row>
    <row r="3" customFormat="1" spans="1:20">
      <c r="A3" s="10" t="s">
        <v>78</v>
      </c>
      <c r="C3" t="s">
        <v>149</v>
      </c>
      <c r="D3" t="s">
        <v>150</v>
      </c>
      <c r="E3" t="s">
        <v>151</v>
      </c>
      <c r="F3" t="s">
        <v>152</v>
      </c>
      <c r="G3" s="18">
        <v>240</v>
      </c>
      <c r="H3">
        <v>12</v>
      </c>
      <c r="I3" s="10">
        <f t="shared" si="0"/>
        <v>240</v>
      </c>
      <c r="J3">
        <v>12</v>
      </c>
      <c r="K3" s="31">
        <f t="shared" si="1"/>
        <v>20</v>
      </c>
      <c r="L3" t="s">
        <v>153</v>
      </c>
      <c r="M3">
        <v>0.0726</v>
      </c>
      <c r="N3">
        <v>10.89</v>
      </c>
      <c r="O3" s="66">
        <f t="shared" si="2"/>
        <v>217.8</v>
      </c>
      <c r="P3" s="66">
        <f t="shared" si="3"/>
        <v>1.452</v>
      </c>
      <c r="Q3" s="2"/>
      <c r="R3" s="2"/>
      <c r="S3" t="s">
        <v>407</v>
      </c>
      <c r="T3" t="s">
        <v>408</v>
      </c>
    </row>
    <row r="4" customFormat="1" spans="1:20">
      <c r="A4" s="10" t="s">
        <v>78</v>
      </c>
      <c r="C4" t="s">
        <v>154</v>
      </c>
      <c r="D4" t="s">
        <v>155</v>
      </c>
      <c r="E4" t="s">
        <v>156</v>
      </c>
      <c r="F4" t="s">
        <v>157</v>
      </c>
      <c r="G4">
        <v>80</v>
      </c>
      <c r="H4">
        <v>20</v>
      </c>
      <c r="I4" s="10">
        <f t="shared" si="0"/>
        <v>80</v>
      </c>
      <c r="J4">
        <v>20</v>
      </c>
      <c r="K4" s="31">
        <f t="shared" si="1"/>
        <v>4</v>
      </c>
      <c r="L4" t="s">
        <v>158</v>
      </c>
      <c r="M4">
        <v>0.128</v>
      </c>
      <c r="N4">
        <v>14.6</v>
      </c>
      <c r="O4" s="10">
        <f t="shared" si="2"/>
        <v>58.4</v>
      </c>
      <c r="P4" s="35">
        <f t="shared" si="3"/>
        <v>0.512</v>
      </c>
      <c r="Q4" s="2"/>
      <c r="R4" s="2"/>
      <c r="S4" t="s">
        <v>409</v>
      </c>
      <c r="T4" t="s">
        <v>410</v>
      </c>
    </row>
    <row r="5" customFormat="1" spans="1:20">
      <c r="A5" s="10" t="s">
        <v>78</v>
      </c>
      <c r="C5" t="s">
        <v>154</v>
      </c>
      <c r="D5" t="s">
        <v>159</v>
      </c>
      <c r="E5" t="s">
        <v>160</v>
      </c>
      <c r="F5" t="s">
        <v>161</v>
      </c>
      <c r="G5" s="97">
        <v>35</v>
      </c>
      <c r="H5" s="98">
        <v>20</v>
      </c>
      <c r="I5" s="10">
        <f t="shared" si="0"/>
        <v>35</v>
      </c>
      <c r="J5" s="104">
        <v>72</v>
      </c>
      <c r="K5" s="31">
        <v>2</v>
      </c>
      <c r="L5" t="s">
        <v>162</v>
      </c>
      <c r="M5">
        <v>0.094</v>
      </c>
      <c r="N5">
        <v>9</v>
      </c>
      <c r="O5" s="10">
        <f t="shared" si="2"/>
        <v>18</v>
      </c>
      <c r="P5" s="35">
        <f t="shared" si="3"/>
        <v>0.188</v>
      </c>
      <c r="Q5" s="2"/>
      <c r="R5" s="2"/>
      <c r="S5" t="s">
        <v>411</v>
      </c>
      <c r="T5" t="s">
        <v>412</v>
      </c>
    </row>
    <row r="6" customFormat="1" spans="1:20">
      <c r="A6" s="10" t="s">
        <v>78</v>
      </c>
      <c r="B6" s="24"/>
      <c r="C6" s="24" t="s">
        <v>163</v>
      </c>
      <c r="D6" s="99" t="s">
        <v>164</v>
      </c>
      <c r="E6" s="24" t="s">
        <v>165</v>
      </c>
      <c r="F6" s="24" t="s">
        <v>166</v>
      </c>
      <c r="G6" s="24">
        <v>42</v>
      </c>
      <c r="H6" s="98">
        <v>6</v>
      </c>
      <c r="I6" s="104">
        <f t="shared" ref="I6:I8" si="4">J6*K6</f>
        <v>504</v>
      </c>
      <c r="J6" s="104">
        <v>72</v>
      </c>
      <c r="K6" s="31">
        <f t="shared" ref="K6:K27" si="5">G6/H6</f>
        <v>7</v>
      </c>
      <c r="L6" s="13" t="s">
        <v>167</v>
      </c>
      <c r="M6" s="103">
        <f>(51*33*38)/1000000</f>
        <v>0.063954</v>
      </c>
      <c r="N6" s="103">
        <v>16.8</v>
      </c>
      <c r="O6" s="103">
        <f t="shared" si="2"/>
        <v>117.6</v>
      </c>
      <c r="P6" s="76">
        <f t="shared" si="3"/>
        <v>0.447678</v>
      </c>
      <c r="Q6" s="2"/>
      <c r="R6" s="2"/>
      <c r="S6" t="s">
        <v>413</v>
      </c>
      <c r="T6" t="s">
        <v>414</v>
      </c>
    </row>
    <row r="7" customFormat="1" spans="1:20">
      <c r="A7" s="10" t="s">
        <v>78</v>
      </c>
      <c r="B7" s="24"/>
      <c r="C7" s="24" t="s">
        <v>168</v>
      </c>
      <c r="D7" s="99" t="s">
        <v>169</v>
      </c>
      <c r="E7" s="24" t="s">
        <v>170</v>
      </c>
      <c r="F7" s="24" t="s">
        <v>171</v>
      </c>
      <c r="G7" s="24">
        <v>48</v>
      </c>
      <c r="H7" s="98">
        <v>12</v>
      </c>
      <c r="I7" s="104">
        <f t="shared" si="4"/>
        <v>288</v>
      </c>
      <c r="J7" s="98">
        <v>72</v>
      </c>
      <c r="K7" s="31">
        <f t="shared" si="5"/>
        <v>4</v>
      </c>
      <c r="L7" s="103" t="s">
        <v>172</v>
      </c>
      <c r="M7" s="103">
        <f>(50*35*38)/1000000</f>
        <v>0.0665</v>
      </c>
      <c r="N7" s="103">
        <v>17</v>
      </c>
      <c r="O7" s="103">
        <f t="shared" si="2"/>
        <v>68</v>
      </c>
      <c r="P7" s="76">
        <f t="shared" si="3"/>
        <v>0.266</v>
      </c>
      <c r="Q7" s="2"/>
      <c r="R7" s="2"/>
      <c r="S7" t="s">
        <v>415</v>
      </c>
      <c r="T7" t="s">
        <v>416</v>
      </c>
    </row>
    <row r="8" customFormat="1" spans="1:20">
      <c r="A8" s="10" t="s">
        <v>78</v>
      </c>
      <c r="B8" s="18"/>
      <c r="C8" s="18" t="s">
        <v>173</v>
      </c>
      <c r="D8" s="1" t="s">
        <v>174</v>
      </c>
      <c r="E8" t="s">
        <v>175</v>
      </c>
      <c r="F8" t="s">
        <v>51</v>
      </c>
      <c r="G8">
        <v>60</v>
      </c>
      <c r="H8">
        <v>4</v>
      </c>
      <c r="I8" s="105">
        <f t="shared" si="4"/>
        <v>720</v>
      </c>
      <c r="J8">
        <v>48</v>
      </c>
      <c r="K8" s="31">
        <f t="shared" si="5"/>
        <v>15</v>
      </c>
      <c r="L8" t="s">
        <v>176</v>
      </c>
      <c r="M8" s="10">
        <f>(56*37*32)/1000000</f>
        <v>0.066304</v>
      </c>
      <c r="N8">
        <v>12.4</v>
      </c>
      <c r="O8" s="10">
        <f t="shared" si="2"/>
        <v>186</v>
      </c>
      <c r="P8" s="35">
        <f t="shared" si="3"/>
        <v>0.99456</v>
      </c>
      <c r="Q8" s="2"/>
      <c r="R8" s="2"/>
      <c r="S8" t="s">
        <v>417</v>
      </c>
      <c r="T8" t="s">
        <v>418</v>
      </c>
    </row>
    <row r="9" customFormat="1" ht="14.25" spans="1:20">
      <c r="A9" s="10" t="s">
        <v>78</v>
      </c>
      <c r="B9" s="65"/>
      <c r="C9" s="65" t="s">
        <v>84</v>
      </c>
      <c r="D9" s="65" t="s">
        <v>177</v>
      </c>
      <c r="E9" s="65" t="s">
        <v>178</v>
      </c>
      <c r="F9" s="65" t="s">
        <v>87</v>
      </c>
      <c r="G9" s="35">
        <v>180</v>
      </c>
      <c r="H9" s="65">
        <v>30</v>
      </c>
      <c r="I9" s="20">
        <f t="shared" ref="I9:I27" si="6">G9</f>
        <v>180</v>
      </c>
      <c r="J9" s="65">
        <v>30</v>
      </c>
      <c r="K9" s="31">
        <f t="shared" si="5"/>
        <v>6</v>
      </c>
      <c r="L9" s="66" t="s">
        <v>88</v>
      </c>
      <c r="M9" s="66">
        <v>0.011564</v>
      </c>
      <c r="N9" s="66">
        <v>10.5</v>
      </c>
      <c r="O9" s="66">
        <f t="shared" si="2"/>
        <v>63</v>
      </c>
      <c r="P9" s="66">
        <f t="shared" si="3"/>
        <v>0.069384</v>
      </c>
      <c r="Q9" s="2"/>
      <c r="R9" s="2"/>
      <c r="S9" t="s">
        <v>419</v>
      </c>
      <c r="T9" t="s">
        <v>420</v>
      </c>
    </row>
    <row r="10" customFormat="1" ht="14.25" spans="1:20">
      <c r="A10" s="10" t="s">
        <v>78</v>
      </c>
      <c r="C10" s="10" t="s">
        <v>84</v>
      </c>
      <c r="D10" s="100" t="s">
        <v>179</v>
      </c>
      <c r="E10" s="10" t="s">
        <v>180</v>
      </c>
      <c r="F10" s="65" t="s">
        <v>181</v>
      </c>
      <c r="G10">
        <v>60</v>
      </c>
      <c r="H10">
        <v>30</v>
      </c>
      <c r="I10" s="20">
        <f t="shared" si="6"/>
        <v>60</v>
      </c>
      <c r="J10">
        <v>30</v>
      </c>
      <c r="K10" s="31">
        <f t="shared" si="5"/>
        <v>2</v>
      </c>
      <c r="L10" s="34" t="s">
        <v>88</v>
      </c>
      <c r="M10" s="34">
        <v>0.011564</v>
      </c>
      <c r="N10" s="66">
        <v>10.5</v>
      </c>
      <c r="O10" s="66">
        <f t="shared" si="2"/>
        <v>21</v>
      </c>
      <c r="P10" s="66">
        <f t="shared" si="3"/>
        <v>0.023128</v>
      </c>
      <c r="Q10" s="2"/>
      <c r="R10" s="2"/>
      <c r="S10" t="s">
        <v>421</v>
      </c>
      <c r="T10" t="s">
        <v>422</v>
      </c>
    </row>
    <row r="11" customFormat="1" spans="1:19">
      <c r="A11" s="10" t="s">
        <v>78</v>
      </c>
      <c r="B11" s="101" t="s">
        <v>182</v>
      </c>
      <c r="C11" s="10" t="s">
        <v>84</v>
      </c>
      <c r="D11" s="65" t="s">
        <v>183</v>
      </c>
      <c r="E11" s="65" t="s">
        <v>184</v>
      </c>
      <c r="F11" s="10" t="s">
        <v>185</v>
      </c>
      <c r="G11" s="35">
        <v>30</v>
      </c>
      <c r="H11" s="65">
        <v>30</v>
      </c>
      <c r="I11" s="35">
        <f t="shared" si="6"/>
        <v>30</v>
      </c>
      <c r="J11" s="65">
        <v>30</v>
      </c>
      <c r="K11" s="36">
        <f t="shared" si="5"/>
        <v>1</v>
      </c>
      <c r="L11" s="66" t="s">
        <v>88</v>
      </c>
      <c r="M11" s="66">
        <v>0.011564</v>
      </c>
      <c r="N11" s="66">
        <v>10.5</v>
      </c>
      <c r="O11" s="66">
        <f t="shared" si="2"/>
        <v>10.5</v>
      </c>
      <c r="P11" s="66">
        <f t="shared" si="3"/>
        <v>0.011564</v>
      </c>
      <c r="Q11" s="2"/>
      <c r="R11" s="2"/>
      <c r="S11" t="s">
        <v>423</v>
      </c>
    </row>
    <row r="12" customFormat="1" spans="1:19">
      <c r="A12" s="10" t="s">
        <v>78</v>
      </c>
      <c r="B12" s="101" t="s">
        <v>186</v>
      </c>
      <c r="C12" s="10" t="s">
        <v>84</v>
      </c>
      <c r="D12" s="100" t="s">
        <v>187</v>
      </c>
      <c r="E12" s="10" t="s">
        <v>188</v>
      </c>
      <c r="F12" t="s">
        <v>189</v>
      </c>
      <c r="G12" s="35">
        <v>30</v>
      </c>
      <c r="H12" s="65">
        <v>30</v>
      </c>
      <c r="I12" s="35">
        <f t="shared" si="6"/>
        <v>30</v>
      </c>
      <c r="J12" s="65">
        <v>30</v>
      </c>
      <c r="K12" s="36">
        <f t="shared" si="5"/>
        <v>1</v>
      </c>
      <c r="L12" s="66" t="s">
        <v>88</v>
      </c>
      <c r="M12" s="66">
        <v>0.011564</v>
      </c>
      <c r="N12" s="66">
        <v>10.5</v>
      </c>
      <c r="O12" s="66">
        <f t="shared" si="2"/>
        <v>10.5</v>
      </c>
      <c r="P12" s="66">
        <f t="shared" si="3"/>
        <v>0.011564</v>
      </c>
      <c r="Q12" s="2"/>
      <c r="R12" s="2"/>
      <c r="S12" t="s">
        <v>424</v>
      </c>
    </row>
    <row r="13" customFormat="1" spans="1:19">
      <c r="A13" s="10" t="s">
        <v>78</v>
      </c>
      <c r="B13" s="101" t="s">
        <v>190</v>
      </c>
      <c r="C13" s="10" t="s">
        <v>84</v>
      </c>
      <c r="D13" t="s">
        <v>191</v>
      </c>
      <c r="E13" t="s">
        <v>192</v>
      </c>
      <c r="F13" t="s">
        <v>193</v>
      </c>
      <c r="G13" s="35">
        <v>30</v>
      </c>
      <c r="H13" s="65">
        <v>30</v>
      </c>
      <c r="I13" s="35">
        <f t="shared" si="6"/>
        <v>30</v>
      </c>
      <c r="J13" s="65">
        <v>30</v>
      </c>
      <c r="K13" s="36">
        <f t="shared" si="5"/>
        <v>1</v>
      </c>
      <c r="L13" s="66" t="s">
        <v>88</v>
      </c>
      <c r="M13" s="66">
        <v>0.011564</v>
      </c>
      <c r="N13" s="66">
        <v>10.5</v>
      </c>
      <c r="O13" s="66">
        <f t="shared" si="2"/>
        <v>10.5</v>
      </c>
      <c r="P13" s="66">
        <f t="shared" si="3"/>
        <v>0.011564</v>
      </c>
      <c r="Q13" s="2"/>
      <c r="R13" s="2"/>
      <c r="S13" t="s">
        <v>425</v>
      </c>
    </row>
    <row r="14" customFormat="1" ht="14.25" spans="1:20">
      <c r="A14" s="10" t="s">
        <v>78</v>
      </c>
      <c r="B14" s="101" t="s">
        <v>194</v>
      </c>
      <c r="C14" s="65" t="s">
        <v>84</v>
      </c>
      <c r="D14" s="65" t="s">
        <v>195</v>
      </c>
      <c r="E14" s="65" t="s">
        <v>196</v>
      </c>
      <c r="F14" s="65" t="s">
        <v>197</v>
      </c>
      <c r="G14" s="18">
        <v>240</v>
      </c>
      <c r="H14" s="18">
        <v>30</v>
      </c>
      <c r="I14" s="20">
        <f t="shared" si="6"/>
        <v>240</v>
      </c>
      <c r="J14" s="18">
        <v>30</v>
      </c>
      <c r="K14" s="31">
        <f t="shared" si="5"/>
        <v>8</v>
      </c>
      <c r="L14" s="66" t="s">
        <v>88</v>
      </c>
      <c r="M14" s="66">
        <v>0.011564</v>
      </c>
      <c r="N14" s="66">
        <v>10.5</v>
      </c>
      <c r="O14" s="66">
        <f t="shared" si="2"/>
        <v>84</v>
      </c>
      <c r="P14" s="66">
        <f t="shared" si="3"/>
        <v>0.092512</v>
      </c>
      <c r="Q14" s="2"/>
      <c r="R14" s="2"/>
      <c r="S14" t="s">
        <v>426</v>
      </c>
      <c r="T14" t="s">
        <v>427</v>
      </c>
    </row>
    <row r="15" customFormat="1" spans="1:20">
      <c r="A15" s="10" t="s">
        <v>78</v>
      </c>
      <c r="B15" t="s">
        <v>198</v>
      </c>
      <c r="C15" t="s">
        <v>199</v>
      </c>
      <c r="D15" t="s">
        <v>200</v>
      </c>
      <c r="E15" s="95" t="s">
        <v>201</v>
      </c>
      <c r="F15" t="s">
        <v>202</v>
      </c>
      <c r="G15">
        <v>100</v>
      </c>
      <c r="H15">
        <v>20</v>
      </c>
      <c r="I15" s="12">
        <f t="shared" si="6"/>
        <v>100</v>
      </c>
      <c r="J15" s="12">
        <v>20</v>
      </c>
      <c r="K15" s="75">
        <f t="shared" si="5"/>
        <v>5</v>
      </c>
      <c r="L15" t="s">
        <v>203</v>
      </c>
      <c r="M15">
        <v>0.042</v>
      </c>
      <c r="N15">
        <v>12.7</v>
      </c>
      <c r="O15" s="12">
        <f t="shared" si="2"/>
        <v>63.5</v>
      </c>
      <c r="P15" s="76">
        <f t="shared" si="3"/>
        <v>0.21</v>
      </c>
      <c r="Q15" s="2"/>
      <c r="R15" s="2"/>
      <c r="S15" t="s">
        <v>428</v>
      </c>
      <c r="T15" t="s">
        <v>429</v>
      </c>
    </row>
    <row r="16" customFormat="1" spans="1:19">
      <c r="A16" s="10" t="s">
        <v>78</v>
      </c>
      <c r="B16" t="s">
        <v>198</v>
      </c>
      <c r="C16" s="18" t="s">
        <v>199</v>
      </c>
      <c r="D16" s="18" t="s">
        <v>204</v>
      </c>
      <c r="E16" s="18" t="s">
        <v>205</v>
      </c>
      <c r="F16" s="18" t="s">
        <v>206</v>
      </c>
      <c r="G16" s="18">
        <v>100</v>
      </c>
      <c r="H16" s="18">
        <v>100</v>
      </c>
      <c r="I16" s="10">
        <f t="shared" si="6"/>
        <v>100</v>
      </c>
      <c r="J16" s="18">
        <v>100</v>
      </c>
      <c r="K16" s="31">
        <f t="shared" si="5"/>
        <v>1</v>
      </c>
      <c r="L16" s="18" t="s">
        <v>207</v>
      </c>
      <c r="M16" s="18">
        <v>0.019</v>
      </c>
      <c r="N16" s="18">
        <v>6.59</v>
      </c>
      <c r="O16" s="66">
        <f t="shared" si="2"/>
        <v>6.59</v>
      </c>
      <c r="P16" s="66">
        <f t="shared" si="3"/>
        <v>0.019</v>
      </c>
      <c r="Q16" s="2"/>
      <c r="R16" s="2"/>
      <c r="S16" t="s">
        <v>430</v>
      </c>
    </row>
    <row r="17" customFormat="1" spans="1:19">
      <c r="A17" s="10" t="s">
        <v>78</v>
      </c>
      <c r="B17" t="s">
        <v>198</v>
      </c>
      <c r="C17" s="18" t="s">
        <v>199</v>
      </c>
      <c r="D17" s="18" t="s">
        <v>208</v>
      </c>
      <c r="E17" s="18" t="s">
        <v>209</v>
      </c>
      <c r="F17" s="18" t="s">
        <v>210</v>
      </c>
      <c r="G17" s="18">
        <v>100</v>
      </c>
      <c r="H17" s="18">
        <v>100</v>
      </c>
      <c r="I17" s="10">
        <f t="shared" si="6"/>
        <v>100</v>
      </c>
      <c r="J17" s="18">
        <v>100</v>
      </c>
      <c r="K17" s="31">
        <f t="shared" si="5"/>
        <v>1</v>
      </c>
      <c r="L17" s="18" t="s">
        <v>207</v>
      </c>
      <c r="M17" s="18">
        <v>0.019</v>
      </c>
      <c r="N17" s="18">
        <v>6.59</v>
      </c>
      <c r="O17" s="66">
        <f t="shared" si="2"/>
        <v>6.59</v>
      </c>
      <c r="P17" s="66">
        <f t="shared" si="3"/>
        <v>0.019</v>
      </c>
      <c r="Q17" s="2"/>
      <c r="R17" s="2"/>
      <c r="S17" t="s">
        <v>431</v>
      </c>
    </row>
    <row r="18" customFormat="1" spans="1:19">
      <c r="A18" s="10" t="s">
        <v>78</v>
      </c>
      <c r="B18" t="s">
        <v>198</v>
      </c>
      <c r="C18" s="18" t="s">
        <v>199</v>
      </c>
      <c r="D18" s="18" t="s">
        <v>211</v>
      </c>
      <c r="E18" s="18" t="s">
        <v>212</v>
      </c>
      <c r="F18" s="18" t="s">
        <v>213</v>
      </c>
      <c r="G18" s="18">
        <v>100</v>
      </c>
      <c r="H18" s="18">
        <v>100</v>
      </c>
      <c r="I18" s="10">
        <f t="shared" si="6"/>
        <v>100</v>
      </c>
      <c r="J18" s="18">
        <v>100</v>
      </c>
      <c r="K18" s="31">
        <f t="shared" si="5"/>
        <v>1</v>
      </c>
      <c r="L18" s="18" t="s">
        <v>207</v>
      </c>
      <c r="M18" s="18">
        <v>0.019</v>
      </c>
      <c r="N18" s="18">
        <v>6.59</v>
      </c>
      <c r="O18" s="66">
        <f t="shared" si="2"/>
        <v>6.59</v>
      </c>
      <c r="P18" s="66">
        <f t="shared" si="3"/>
        <v>0.019</v>
      </c>
      <c r="Q18" s="2"/>
      <c r="R18" s="2"/>
      <c r="S18" t="s">
        <v>432</v>
      </c>
    </row>
    <row r="19" customFormat="1" spans="1:19">
      <c r="A19" s="10" t="s">
        <v>78</v>
      </c>
      <c r="B19" t="s">
        <v>198</v>
      </c>
      <c r="C19" s="18" t="s">
        <v>199</v>
      </c>
      <c r="D19" s="18" t="s">
        <v>214</v>
      </c>
      <c r="E19" s="18" t="s">
        <v>215</v>
      </c>
      <c r="F19" s="18" t="s">
        <v>216</v>
      </c>
      <c r="G19" s="18">
        <v>100</v>
      </c>
      <c r="H19" s="18">
        <v>100</v>
      </c>
      <c r="I19" s="10">
        <f t="shared" si="6"/>
        <v>100</v>
      </c>
      <c r="J19" s="18">
        <v>100</v>
      </c>
      <c r="K19" s="31">
        <f t="shared" si="5"/>
        <v>1</v>
      </c>
      <c r="L19" s="18" t="s">
        <v>207</v>
      </c>
      <c r="M19" s="18">
        <v>0.019</v>
      </c>
      <c r="N19" s="18">
        <v>6.59</v>
      </c>
      <c r="O19" s="66">
        <f t="shared" si="2"/>
        <v>6.59</v>
      </c>
      <c r="P19" s="66">
        <f t="shared" si="3"/>
        <v>0.019</v>
      </c>
      <c r="Q19" s="2"/>
      <c r="R19" s="2"/>
      <c r="S19" t="s">
        <v>433</v>
      </c>
    </row>
    <row r="20" customFormat="1" spans="1:20">
      <c r="A20" t="s">
        <v>78</v>
      </c>
      <c r="B20" s="11" t="s">
        <v>245</v>
      </c>
      <c r="C20" t="s">
        <v>246</v>
      </c>
      <c r="D20" t="s">
        <v>247</v>
      </c>
      <c r="E20" t="s">
        <v>248</v>
      </c>
      <c r="F20" t="s">
        <v>249</v>
      </c>
      <c r="G20">
        <v>160</v>
      </c>
      <c r="H20">
        <v>10</v>
      </c>
      <c r="I20">
        <f t="shared" si="6"/>
        <v>160</v>
      </c>
      <c r="J20">
        <v>10</v>
      </c>
      <c r="K20" s="29">
        <f t="shared" si="5"/>
        <v>16</v>
      </c>
      <c r="L20" t="s">
        <v>250</v>
      </c>
      <c r="M20">
        <f>45*30*45/1000000</f>
        <v>0.06075</v>
      </c>
      <c r="N20">
        <v>1.7</v>
      </c>
      <c r="O20">
        <f t="shared" si="2"/>
        <v>27.2</v>
      </c>
      <c r="P20">
        <f t="shared" si="3"/>
        <v>0.972</v>
      </c>
      <c r="Q20" s="2"/>
      <c r="R20" s="2"/>
      <c r="S20" t="s">
        <v>434</v>
      </c>
      <c r="T20" t="s">
        <v>435</v>
      </c>
    </row>
    <row r="23" customFormat="1" ht="18" customHeight="1" spans="2:19">
      <c r="B23" s="41" t="s">
        <v>22</v>
      </c>
      <c r="K23" s="36"/>
      <c r="R23" s="40"/>
      <c r="S23" s="1"/>
    </row>
    <row r="24" s="2" customFormat="1" ht="62" customHeight="1" spans="1:20">
      <c r="A24" s="16" t="s">
        <v>58</v>
      </c>
      <c r="C24" s="102" t="s">
        <v>59</v>
      </c>
      <c r="D24" s="102" t="s">
        <v>60</v>
      </c>
      <c r="E24" s="16" t="s">
        <v>61</v>
      </c>
      <c r="F24" s="47" t="s">
        <v>62</v>
      </c>
      <c r="G24" s="47">
        <v>248</v>
      </c>
      <c r="H24" s="47">
        <v>4</v>
      </c>
      <c r="I24" s="47">
        <v>248</v>
      </c>
      <c r="J24" s="47">
        <v>24</v>
      </c>
      <c r="K24" s="106">
        <v>62</v>
      </c>
      <c r="L24" s="47" t="s">
        <v>63</v>
      </c>
      <c r="M24" s="107">
        <v>0.077112</v>
      </c>
      <c r="N24" s="107">
        <v>7.8</v>
      </c>
      <c r="O24" s="107">
        <v>483.6</v>
      </c>
      <c r="P24" s="107">
        <v>4.780944</v>
      </c>
      <c r="R24" s="40" t="s">
        <v>436</v>
      </c>
      <c r="S24" s="16" t="s">
        <v>437</v>
      </c>
      <c r="T24" s="14" t="s">
        <v>438</v>
      </c>
    </row>
    <row r="25" spans="16:16">
      <c r="P25">
        <f>SUM(P2:P24)</f>
        <v>10.478898</v>
      </c>
    </row>
  </sheetData>
  <mergeCells count="2">
    <mergeCell ref="Q2:Q20"/>
    <mergeCell ref="R2:R20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W19"/>
  <sheetViews>
    <sheetView workbookViewId="0">
      <pane xSplit="7" ySplit="1" topLeftCell="L2" activePane="bottomRight" state="frozen"/>
      <selection/>
      <selection pane="topRight"/>
      <selection pane="bottomLeft"/>
      <selection pane="bottomRight" activeCell="Q34" sqref="Q34"/>
    </sheetView>
  </sheetViews>
  <sheetFormatPr defaultColWidth="9" defaultRowHeight="13.5"/>
  <cols>
    <col min="1" max="1" width="14.5166666666667" customWidth="1"/>
    <col min="2" max="2" width="28.35" customWidth="1"/>
    <col min="3" max="3" width="13.0916666666667" customWidth="1"/>
    <col min="4" max="4" width="27.5916666666667" customWidth="1"/>
    <col min="5" max="5" width="14.1833333333333" customWidth="1"/>
    <col min="6" max="6" width="20.9333333333333" customWidth="1"/>
    <col min="8" max="8" width="10.5583333333333" customWidth="1"/>
    <col min="9" max="9" width="12.2666666666667" customWidth="1"/>
    <col min="11" max="11" width="9" style="2"/>
    <col min="12" max="12" width="17.65" customWidth="1"/>
    <col min="13" max="13" width="12.8"/>
    <col min="14" max="14" width="14.1833333333333" customWidth="1"/>
    <col min="15" max="15" width="12.6166666666667" customWidth="1"/>
    <col min="16" max="16" width="13.35" customWidth="1"/>
    <col min="17" max="17" width="12.5083333333333" customWidth="1"/>
    <col min="18" max="18" width="15.2666666666667" customWidth="1"/>
    <col min="19" max="19" width="19.8166666666667" customWidth="1"/>
    <col min="23" max="23" width="26.6166666666667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ht="15" spans="1:20">
      <c r="A2" s="10" t="s">
        <v>78</v>
      </c>
      <c r="B2" s="41" t="s">
        <v>104</v>
      </c>
      <c r="C2" s="18" t="s">
        <v>39</v>
      </c>
      <c r="D2" s="18" t="s">
        <v>105</v>
      </c>
      <c r="E2" s="18" t="s">
        <v>106</v>
      </c>
      <c r="F2" s="79" t="s">
        <v>107</v>
      </c>
      <c r="G2" s="20">
        <v>12</v>
      </c>
      <c r="H2" s="21">
        <v>6</v>
      </c>
      <c r="I2" s="20">
        <f t="shared" ref="I2:I10" si="0">G2</f>
        <v>12</v>
      </c>
      <c r="J2" s="21">
        <v>6</v>
      </c>
      <c r="K2" s="31">
        <f t="shared" ref="K2:K10" si="1">G2/H2</f>
        <v>2</v>
      </c>
      <c r="L2" s="1" t="s">
        <v>108</v>
      </c>
      <c r="M2" s="33">
        <v>0.246</v>
      </c>
      <c r="N2" s="33">
        <v>18</v>
      </c>
      <c r="O2" s="18">
        <f t="shared" ref="O2:O10" si="2">N2*K2</f>
        <v>36</v>
      </c>
      <c r="P2" s="8">
        <f t="shared" ref="P2:P10" si="3">M2*K2</f>
        <v>0.492</v>
      </c>
      <c r="Q2" s="2" t="s">
        <v>439</v>
      </c>
      <c r="R2" s="40" t="s">
        <v>440</v>
      </c>
      <c r="S2" t="s">
        <v>441</v>
      </c>
      <c r="T2" t="s">
        <v>442</v>
      </c>
    </row>
    <row r="3" customFormat="1" ht="15" spans="1:20">
      <c r="A3" s="10" t="s">
        <v>78</v>
      </c>
      <c r="B3" s="18"/>
      <c r="C3" s="18" t="s">
        <v>39</v>
      </c>
      <c r="D3" s="18" t="s">
        <v>109</v>
      </c>
      <c r="E3" s="18" t="s">
        <v>110</v>
      </c>
      <c r="F3" s="79" t="s">
        <v>111</v>
      </c>
      <c r="G3" s="20">
        <v>30</v>
      </c>
      <c r="H3" s="21">
        <v>10</v>
      </c>
      <c r="I3" s="20">
        <f t="shared" si="0"/>
        <v>30</v>
      </c>
      <c r="J3" s="21">
        <v>10</v>
      </c>
      <c r="K3" s="31">
        <f t="shared" si="1"/>
        <v>3</v>
      </c>
      <c r="L3" s="1" t="s">
        <v>112</v>
      </c>
      <c r="M3" s="33">
        <v>0.3034</v>
      </c>
      <c r="N3" s="33">
        <v>23.6</v>
      </c>
      <c r="O3" s="18">
        <f t="shared" si="2"/>
        <v>70.8</v>
      </c>
      <c r="P3" s="8">
        <f t="shared" si="3"/>
        <v>0.9102</v>
      </c>
      <c r="Q3" s="2"/>
      <c r="R3" s="2"/>
      <c r="S3" t="s">
        <v>443</v>
      </c>
      <c r="T3" t="s">
        <v>444</v>
      </c>
    </row>
    <row r="4" customFormat="1" ht="15" spans="1:20">
      <c r="A4" s="10" t="s">
        <v>78</v>
      </c>
      <c r="B4" s="18"/>
      <c r="C4" s="18" t="s">
        <v>113</v>
      </c>
      <c r="D4" s="18" t="s">
        <v>114</v>
      </c>
      <c r="E4" s="18" t="s">
        <v>115</v>
      </c>
      <c r="F4" s="80" t="s">
        <v>116</v>
      </c>
      <c r="G4" s="20">
        <v>10</v>
      </c>
      <c r="H4" s="21">
        <v>1</v>
      </c>
      <c r="I4" s="20">
        <f t="shared" si="0"/>
        <v>10</v>
      </c>
      <c r="J4" s="21">
        <v>1</v>
      </c>
      <c r="K4" s="31">
        <f t="shared" si="1"/>
        <v>10</v>
      </c>
      <c r="L4" s="1" t="s">
        <v>117</v>
      </c>
      <c r="M4" s="33">
        <v>0.178</v>
      </c>
      <c r="N4" s="33">
        <v>7.7</v>
      </c>
      <c r="O4" s="18">
        <f t="shared" si="2"/>
        <v>77</v>
      </c>
      <c r="P4" s="8">
        <f t="shared" si="3"/>
        <v>1.78</v>
      </c>
      <c r="Q4" s="2"/>
      <c r="R4" s="2"/>
      <c r="S4" t="s">
        <v>445</v>
      </c>
      <c r="T4" t="s">
        <v>446</v>
      </c>
    </row>
    <row r="5" customFormat="1" ht="15" spans="1:20">
      <c r="A5" s="10" t="s">
        <v>78</v>
      </c>
      <c r="B5" s="18"/>
      <c r="C5" s="18" t="s">
        <v>113</v>
      </c>
      <c r="D5" s="18" t="s">
        <v>118</v>
      </c>
      <c r="E5" s="18" t="s">
        <v>119</v>
      </c>
      <c r="F5" s="80" t="s">
        <v>120</v>
      </c>
      <c r="G5" s="20">
        <v>5</v>
      </c>
      <c r="H5" s="21">
        <v>1</v>
      </c>
      <c r="I5" s="20">
        <f t="shared" si="0"/>
        <v>5</v>
      </c>
      <c r="J5" s="21">
        <v>1</v>
      </c>
      <c r="K5" s="31">
        <f t="shared" si="1"/>
        <v>5</v>
      </c>
      <c r="L5" s="1" t="s">
        <v>117</v>
      </c>
      <c r="M5" s="33">
        <v>0.178</v>
      </c>
      <c r="N5" s="33">
        <v>8.6</v>
      </c>
      <c r="O5" s="18">
        <f t="shared" si="2"/>
        <v>43</v>
      </c>
      <c r="P5" s="8">
        <f t="shared" si="3"/>
        <v>0.89</v>
      </c>
      <c r="Q5" s="2"/>
      <c r="R5" s="2"/>
      <c r="S5" t="s">
        <v>447</v>
      </c>
      <c r="T5" t="s">
        <v>448</v>
      </c>
    </row>
    <row r="6" customFormat="1" ht="15" spans="1:20">
      <c r="A6" s="10" t="s">
        <v>78</v>
      </c>
      <c r="B6" s="18"/>
      <c r="C6" s="18" t="s">
        <v>34</v>
      </c>
      <c r="D6" s="81" t="s">
        <v>121</v>
      </c>
      <c r="E6" s="18" t="s">
        <v>122</v>
      </c>
      <c r="F6" s="80" t="s">
        <v>123</v>
      </c>
      <c r="G6" s="20">
        <v>12</v>
      </c>
      <c r="H6" s="21">
        <v>6</v>
      </c>
      <c r="I6" s="20">
        <f t="shared" si="0"/>
        <v>12</v>
      </c>
      <c r="J6" s="21">
        <v>6</v>
      </c>
      <c r="K6" s="31">
        <f t="shared" si="1"/>
        <v>2</v>
      </c>
      <c r="L6" s="1" t="s">
        <v>124</v>
      </c>
      <c r="M6" s="33">
        <v>0.245784</v>
      </c>
      <c r="N6" s="33">
        <v>22.7</v>
      </c>
      <c r="O6" s="18">
        <f t="shared" si="2"/>
        <v>45.4</v>
      </c>
      <c r="P6" s="8">
        <f t="shared" si="3"/>
        <v>0.491568</v>
      </c>
      <c r="Q6" s="2"/>
      <c r="R6" s="2"/>
      <c r="S6" t="s">
        <v>449</v>
      </c>
      <c r="T6" t="s">
        <v>450</v>
      </c>
    </row>
    <row r="7" customFormat="1" ht="14.25" spans="1:20">
      <c r="A7" s="10" t="s">
        <v>78</v>
      </c>
      <c r="B7" s="18"/>
      <c r="C7" s="18" t="s">
        <v>34</v>
      </c>
      <c r="D7" s="18" t="s">
        <v>125</v>
      </c>
      <c r="E7" s="18" t="s">
        <v>126</v>
      </c>
      <c r="F7" s="18" t="s">
        <v>127</v>
      </c>
      <c r="G7" s="18">
        <v>12</v>
      </c>
      <c r="H7" s="18">
        <v>6</v>
      </c>
      <c r="I7" s="20">
        <f t="shared" si="0"/>
        <v>12</v>
      </c>
      <c r="J7" s="18">
        <v>6</v>
      </c>
      <c r="K7" s="31">
        <f t="shared" si="1"/>
        <v>2</v>
      </c>
      <c r="L7" s="18" t="s">
        <v>128</v>
      </c>
      <c r="M7" s="18">
        <v>0.26</v>
      </c>
      <c r="N7" s="18">
        <v>16.02</v>
      </c>
      <c r="O7" s="18">
        <f t="shared" si="2"/>
        <v>32.04</v>
      </c>
      <c r="P7" s="8">
        <f t="shared" si="3"/>
        <v>0.52</v>
      </c>
      <c r="Q7" s="2"/>
      <c r="R7" s="2"/>
      <c r="S7" t="s">
        <v>451</v>
      </c>
      <c r="T7" t="s">
        <v>452</v>
      </c>
    </row>
    <row r="8" customFormat="1" ht="15" spans="1:20">
      <c r="A8" s="10" t="s">
        <v>78</v>
      </c>
      <c r="B8" s="18" t="s">
        <v>129</v>
      </c>
      <c r="C8" s="10" t="s">
        <v>39</v>
      </c>
      <c r="D8" s="20" t="s">
        <v>130</v>
      </c>
      <c r="E8" s="20" t="s">
        <v>131</v>
      </c>
      <c r="F8" s="79" t="s">
        <v>132</v>
      </c>
      <c r="G8">
        <v>70</v>
      </c>
      <c r="H8">
        <v>10</v>
      </c>
      <c r="I8" s="20">
        <f t="shared" si="0"/>
        <v>70</v>
      </c>
      <c r="J8">
        <v>10</v>
      </c>
      <c r="K8" s="36">
        <f t="shared" si="1"/>
        <v>7</v>
      </c>
      <c r="L8" s="10" t="s">
        <v>133</v>
      </c>
      <c r="M8" s="20">
        <f>83*72*48/1000000</f>
        <v>0.286848</v>
      </c>
      <c r="N8" s="34">
        <v>18</v>
      </c>
      <c r="O8" s="10">
        <f t="shared" si="2"/>
        <v>126</v>
      </c>
      <c r="P8" s="35">
        <f t="shared" si="3"/>
        <v>2.007936</v>
      </c>
      <c r="Q8" s="2"/>
      <c r="R8" s="2"/>
      <c r="S8" t="s">
        <v>453</v>
      </c>
      <c r="T8" t="s">
        <v>454</v>
      </c>
    </row>
    <row r="9" customFormat="1" ht="14.25" spans="1:20">
      <c r="A9" s="10" t="s">
        <v>78</v>
      </c>
      <c r="B9" s="18" t="s">
        <v>134</v>
      </c>
      <c r="C9" s="10" t="s">
        <v>39</v>
      </c>
      <c r="D9" s="65" t="s">
        <v>135</v>
      </c>
      <c r="E9" s="10" t="s">
        <v>136</v>
      </c>
      <c r="F9" s="10" t="s">
        <v>137</v>
      </c>
      <c r="G9" s="10">
        <v>20</v>
      </c>
      <c r="H9" s="10">
        <v>10</v>
      </c>
      <c r="I9" s="20">
        <f t="shared" si="0"/>
        <v>20</v>
      </c>
      <c r="J9" s="10">
        <v>10</v>
      </c>
      <c r="K9" s="36">
        <f t="shared" si="1"/>
        <v>2</v>
      </c>
      <c r="L9" s="10" t="s">
        <v>138</v>
      </c>
      <c r="M9" s="34">
        <v>0.3034</v>
      </c>
      <c r="N9" s="34">
        <v>18</v>
      </c>
      <c r="O9" s="10">
        <f t="shared" si="2"/>
        <v>36</v>
      </c>
      <c r="P9" s="35">
        <f t="shared" si="3"/>
        <v>0.6068</v>
      </c>
      <c r="Q9" s="2"/>
      <c r="R9" s="2"/>
      <c r="S9" t="s">
        <v>455</v>
      </c>
      <c r="T9" t="s">
        <v>456</v>
      </c>
    </row>
    <row r="10" customFormat="1" ht="15" spans="1:20">
      <c r="A10" s="10" t="s">
        <v>78</v>
      </c>
      <c r="C10" s="10" t="s">
        <v>39</v>
      </c>
      <c r="D10" s="20" t="s">
        <v>139</v>
      </c>
      <c r="E10" s="20" t="s">
        <v>140</v>
      </c>
      <c r="F10" s="79" t="s">
        <v>141</v>
      </c>
      <c r="G10">
        <v>20</v>
      </c>
      <c r="H10">
        <v>10</v>
      </c>
      <c r="I10" s="20">
        <f t="shared" si="0"/>
        <v>20</v>
      </c>
      <c r="J10">
        <v>10</v>
      </c>
      <c r="K10" s="36">
        <f t="shared" si="1"/>
        <v>2</v>
      </c>
      <c r="L10" s="10" t="s">
        <v>142</v>
      </c>
      <c r="M10" s="20">
        <f>83*72*48/1000000</f>
        <v>0.286848</v>
      </c>
      <c r="N10" s="34">
        <v>18</v>
      </c>
      <c r="O10" s="10">
        <f t="shared" si="2"/>
        <v>36</v>
      </c>
      <c r="P10" s="35">
        <f t="shared" si="3"/>
        <v>0.573696</v>
      </c>
      <c r="Q10" s="2"/>
      <c r="R10" s="2"/>
      <c r="S10" t="s">
        <v>457</v>
      </c>
      <c r="T10" t="s">
        <v>458</v>
      </c>
    </row>
    <row r="11" customFormat="1" spans="1:17">
      <c r="A11" s="10"/>
      <c r="G11" s="18"/>
      <c r="K11" s="31"/>
      <c r="P11" s="17"/>
      <c r="Q11" s="2"/>
    </row>
    <row r="12" spans="17:17">
      <c r="Q12" s="2"/>
    </row>
    <row r="13" customFormat="1" spans="1:20">
      <c r="A13" s="10" t="s">
        <v>78</v>
      </c>
      <c r="B13" s="82" t="s">
        <v>251</v>
      </c>
      <c r="C13" s="12" t="s">
        <v>252</v>
      </c>
      <c r="D13" s="12" t="s">
        <v>253</v>
      </c>
      <c r="E13" s="12" t="s">
        <v>254</v>
      </c>
      <c r="F13" s="12" t="s">
        <v>255</v>
      </c>
      <c r="G13" s="12">
        <v>300</v>
      </c>
      <c r="H13" s="12">
        <v>4</v>
      </c>
      <c r="I13" s="12">
        <f>G13</f>
        <v>300</v>
      </c>
      <c r="J13" s="12">
        <f>H13</f>
        <v>4</v>
      </c>
      <c r="K13" s="75">
        <f>G13/H13</f>
        <v>75</v>
      </c>
      <c r="L13" s="12" t="s">
        <v>256</v>
      </c>
      <c r="M13" s="12">
        <v>0.077616</v>
      </c>
      <c r="N13" s="12">
        <v>15</v>
      </c>
      <c r="O13" s="12">
        <f>N13*K13</f>
        <v>1125</v>
      </c>
      <c r="P13" s="76">
        <f>M13*K13</f>
        <v>5.8212</v>
      </c>
      <c r="Q13" s="2"/>
      <c r="R13" s="2" t="s">
        <v>459</v>
      </c>
      <c r="S13" t="s">
        <v>460</v>
      </c>
      <c r="T13" t="s">
        <v>461</v>
      </c>
    </row>
    <row r="15" spans="2:2">
      <c r="B15" s="41" t="s">
        <v>22</v>
      </c>
    </row>
    <row r="16" ht="16.5" spans="1:20">
      <c r="A16" t="s">
        <v>21</v>
      </c>
      <c r="B16" s="56" t="s">
        <v>66</v>
      </c>
      <c r="C16" s="16" t="s">
        <v>34</v>
      </c>
      <c r="D16" s="83" t="s">
        <v>35</v>
      </c>
      <c r="E16" s="84" t="s">
        <v>36</v>
      </c>
      <c r="F16" s="85" t="s">
        <v>37</v>
      </c>
      <c r="G16" s="55">
        <v>24</v>
      </c>
      <c r="H16" s="58">
        <v>6</v>
      </c>
      <c r="I16" s="90">
        <f t="shared" ref="I13:I18" si="4">G16</f>
        <v>24</v>
      </c>
      <c r="J16" s="90">
        <v>6</v>
      </c>
      <c r="K16" s="59">
        <f>I16/J16</f>
        <v>4</v>
      </c>
      <c r="L16" s="16" t="s">
        <v>38</v>
      </c>
      <c r="M16" s="91">
        <v>0.239598</v>
      </c>
      <c r="N16" s="91">
        <v>16.32</v>
      </c>
      <c r="O16" s="92">
        <f>N16*K16</f>
        <v>65.28</v>
      </c>
      <c r="P16" s="70">
        <f>K16*M16</f>
        <v>0.958392</v>
      </c>
      <c r="Q16" s="2" t="s">
        <v>439</v>
      </c>
      <c r="R16" s="94" t="s">
        <v>462</v>
      </c>
      <c r="S16" s="95" t="s">
        <v>463</v>
      </c>
      <c r="T16" t="s">
        <v>464</v>
      </c>
    </row>
    <row r="17" ht="14.25" spans="1:20">
      <c r="A17" t="s">
        <v>21</v>
      </c>
      <c r="B17" s="56"/>
      <c r="C17" s="16" t="s">
        <v>39</v>
      </c>
      <c r="D17" s="83" t="s">
        <v>40</v>
      </c>
      <c r="E17" s="84" t="s">
        <v>41</v>
      </c>
      <c r="F17" s="86" t="s">
        <v>42</v>
      </c>
      <c r="G17" s="55">
        <v>20</v>
      </c>
      <c r="H17" s="58">
        <v>10</v>
      </c>
      <c r="I17" s="93">
        <f t="shared" si="4"/>
        <v>20</v>
      </c>
      <c r="J17" s="93">
        <v>10</v>
      </c>
      <c r="K17" s="59">
        <f>I17/J17</f>
        <v>2</v>
      </c>
      <c r="L17" s="16" t="s">
        <v>43</v>
      </c>
      <c r="M17" s="47">
        <v>0.0258218</v>
      </c>
      <c r="N17" s="47">
        <v>21.5</v>
      </c>
      <c r="O17" s="92">
        <v>21.5</v>
      </c>
      <c r="P17" s="70">
        <v>0.0258218</v>
      </c>
      <c r="Q17" s="2"/>
      <c r="R17" s="96"/>
      <c r="S17" t="s">
        <v>465</v>
      </c>
      <c r="T17" t="s">
        <v>466</v>
      </c>
    </row>
    <row r="18" ht="16.5" spans="1:20">
      <c r="A18" t="s">
        <v>21</v>
      </c>
      <c r="B18" s="56"/>
      <c r="C18" s="16" t="s">
        <v>34</v>
      </c>
      <c r="D18" s="87" t="s">
        <v>44</v>
      </c>
      <c r="E18" s="88" t="s">
        <v>45</v>
      </c>
      <c r="F18" s="89" t="s">
        <v>46</v>
      </c>
      <c r="G18" s="55">
        <v>40</v>
      </c>
      <c r="H18" s="58">
        <v>10</v>
      </c>
      <c r="I18" s="90">
        <f t="shared" si="4"/>
        <v>40</v>
      </c>
      <c r="J18" s="93">
        <v>10</v>
      </c>
      <c r="K18" s="59">
        <f>G18/H18</f>
        <v>4</v>
      </c>
      <c r="L18" s="16" t="s">
        <v>47</v>
      </c>
      <c r="M18" s="91">
        <v>0.295776</v>
      </c>
      <c r="N18" s="91">
        <v>17.9</v>
      </c>
      <c r="O18" s="92">
        <v>17.9</v>
      </c>
      <c r="P18" s="70">
        <v>0.295776</v>
      </c>
      <c r="Q18" s="2"/>
      <c r="R18" s="96"/>
      <c r="S18" t="s">
        <v>467</v>
      </c>
      <c r="T18" t="s">
        <v>468</v>
      </c>
    </row>
    <row r="19" spans="11:16">
      <c r="K19" s="2">
        <f>SUM(K2:K18)</f>
        <v>120</v>
      </c>
      <c r="P19">
        <f>SUM(P2:P18)</f>
        <v>15.3733898</v>
      </c>
    </row>
  </sheetData>
  <mergeCells count="6">
    <mergeCell ref="B16:B18"/>
    <mergeCell ref="Q2:Q13"/>
    <mergeCell ref="Q16:Q18"/>
    <mergeCell ref="R2:R10"/>
    <mergeCell ref="R16:R18"/>
    <mergeCell ref="W16:W18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T10"/>
  <sheetViews>
    <sheetView workbookViewId="0">
      <pane xSplit="7" ySplit="1" topLeftCell="L2" activePane="bottomRight" state="frozen"/>
      <selection/>
      <selection pane="topRight"/>
      <selection pane="bottomLeft"/>
      <selection pane="bottomRight" activeCell="O19" sqref="O19"/>
    </sheetView>
  </sheetViews>
  <sheetFormatPr defaultColWidth="9" defaultRowHeight="13.5"/>
  <cols>
    <col min="1" max="1" width="14.5166666666667" customWidth="1"/>
    <col min="2" max="2" width="31.0083333333333" customWidth="1"/>
    <col min="3" max="3" width="25.55" customWidth="1"/>
    <col min="4" max="4" width="27.5916666666667" customWidth="1"/>
    <col min="5" max="5" width="12" customWidth="1"/>
    <col min="6" max="6" width="12.35" customWidth="1"/>
    <col min="8" max="8" width="10.5583333333333" customWidth="1"/>
    <col min="9" max="9" width="12.2666666666667" customWidth="1"/>
    <col min="11" max="11" width="9" style="2"/>
    <col min="12" max="12" width="17.65" customWidth="1"/>
    <col min="13" max="13" width="12.8"/>
    <col min="14" max="14" width="14.1833333333333" customWidth="1"/>
    <col min="15" max="15" width="12.6166666666667" customWidth="1"/>
    <col min="16" max="16" width="13.35" customWidth="1"/>
    <col min="17" max="17" width="12.5083333333333" customWidth="1"/>
    <col min="18" max="18" width="15.1833333333333" customWidth="1"/>
    <col min="19" max="19" width="20.55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spans="1:20">
      <c r="A2" s="10" t="s">
        <v>78</v>
      </c>
      <c r="B2" s="11" t="s">
        <v>257</v>
      </c>
      <c r="C2" s="12" t="s">
        <v>258</v>
      </c>
      <c r="D2" s="12" t="s">
        <v>259</v>
      </c>
      <c r="E2" s="12" t="s">
        <v>260</v>
      </c>
      <c r="F2" s="12" t="s">
        <v>261</v>
      </c>
      <c r="G2" s="12">
        <v>160</v>
      </c>
      <c r="H2" s="12">
        <v>40</v>
      </c>
      <c r="I2" s="12">
        <f>G2</f>
        <v>160</v>
      </c>
      <c r="J2" s="12">
        <f>H2</f>
        <v>40</v>
      </c>
      <c r="K2" s="75">
        <f>G2/H2</f>
        <v>4</v>
      </c>
      <c r="L2" s="12" t="s">
        <v>262</v>
      </c>
      <c r="M2" s="12">
        <v>0.036</v>
      </c>
      <c r="N2" s="12">
        <v>2.5</v>
      </c>
      <c r="O2" s="12">
        <f>N2*K2</f>
        <v>10</v>
      </c>
      <c r="P2" s="76">
        <f>M2*K2</f>
        <v>0.144</v>
      </c>
      <c r="Q2" s="2" t="s">
        <v>469</v>
      </c>
      <c r="R2" s="40" t="s">
        <v>470</v>
      </c>
      <c r="S2" t="s">
        <v>471</v>
      </c>
      <c r="T2" t="s">
        <v>472</v>
      </c>
    </row>
    <row r="3" customFormat="1" spans="1:20">
      <c r="A3" s="10" t="s">
        <v>78</v>
      </c>
      <c r="B3" s="41" t="s">
        <v>251</v>
      </c>
      <c r="C3" s="12" t="s">
        <v>263</v>
      </c>
      <c r="D3" s="12" t="s">
        <v>264</v>
      </c>
      <c r="E3" s="12" t="s">
        <v>265</v>
      </c>
      <c r="F3" s="12" t="s">
        <v>266</v>
      </c>
      <c r="G3" s="12">
        <v>110</v>
      </c>
      <c r="H3" s="12">
        <v>55</v>
      </c>
      <c r="I3" s="12">
        <f t="shared" ref="I3:I9" si="0">G3</f>
        <v>110</v>
      </c>
      <c r="J3" s="12">
        <f>H3</f>
        <v>55</v>
      </c>
      <c r="K3" s="75">
        <f t="shared" ref="K3:K9" si="1">G3/H3</f>
        <v>2</v>
      </c>
      <c r="L3" s="12" t="s">
        <v>267</v>
      </c>
      <c r="M3" s="12">
        <v>0.04</v>
      </c>
      <c r="N3" s="12">
        <v>10.5</v>
      </c>
      <c r="O3" s="12">
        <f>N3*K3</f>
        <v>21</v>
      </c>
      <c r="P3" s="76">
        <f>M3*K3</f>
        <v>0.08</v>
      </c>
      <c r="Q3" s="2"/>
      <c r="R3" s="2"/>
      <c r="S3" t="s">
        <v>473</v>
      </c>
      <c r="T3" t="s">
        <v>474</v>
      </c>
    </row>
    <row r="4" customFormat="1" spans="1:20">
      <c r="A4" s="10" t="s">
        <v>78</v>
      </c>
      <c r="B4" s="71"/>
      <c r="C4" s="72" t="s">
        <v>268</v>
      </c>
      <c r="D4" s="71" t="s">
        <v>269</v>
      </c>
      <c r="E4" s="18" t="s">
        <v>270</v>
      </c>
      <c r="F4" s="23" t="s">
        <v>271</v>
      </c>
      <c r="G4" s="71">
        <v>240</v>
      </c>
      <c r="H4" s="71">
        <v>24</v>
      </c>
      <c r="I4" s="71">
        <f t="shared" si="0"/>
        <v>240</v>
      </c>
      <c r="J4" s="71">
        <v>24</v>
      </c>
      <c r="K4" s="77">
        <f t="shared" si="1"/>
        <v>10</v>
      </c>
      <c r="L4" s="71" t="s">
        <v>272</v>
      </c>
      <c r="M4" s="12">
        <f>(45*38*40)/1000000</f>
        <v>0.0684</v>
      </c>
      <c r="N4" s="132" t="s">
        <v>273</v>
      </c>
      <c r="O4" s="12">
        <f>N4*G4</f>
        <v>169.916707496325</v>
      </c>
      <c r="P4" s="76">
        <f>M4*K4</f>
        <v>0.684</v>
      </c>
      <c r="Q4" s="2"/>
      <c r="R4" s="2"/>
      <c r="S4" t="s">
        <v>475</v>
      </c>
      <c r="T4" t="s">
        <v>476</v>
      </c>
    </row>
    <row r="7" customFormat="1" ht="14.25" spans="1:16">
      <c r="A7" s="1"/>
      <c r="B7" s="41" t="s">
        <v>312</v>
      </c>
      <c r="C7" s="43"/>
      <c r="D7" s="43"/>
      <c r="E7" s="18"/>
      <c r="F7" s="10"/>
      <c r="G7" s="66"/>
      <c r="H7" s="65"/>
      <c r="I7" s="66"/>
      <c r="J7" s="10"/>
      <c r="K7" s="36"/>
      <c r="L7" s="65"/>
      <c r="M7" s="10"/>
      <c r="N7" s="10"/>
      <c r="O7" s="10"/>
      <c r="P7" s="34"/>
    </row>
    <row r="8" customFormat="1" ht="30" customHeight="1" spans="1:19">
      <c r="A8" t="s">
        <v>275</v>
      </c>
      <c r="C8" s="18" t="s">
        <v>313</v>
      </c>
      <c r="D8" s="73" t="s">
        <v>314</v>
      </c>
      <c r="E8" s="18" t="s">
        <v>315</v>
      </c>
      <c r="F8" s="74" t="s">
        <v>316</v>
      </c>
      <c r="G8" s="8">
        <v>60</v>
      </c>
      <c r="H8" s="8">
        <v>60</v>
      </c>
      <c r="I8" s="78">
        <f t="shared" si="0"/>
        <v>60</v>
      </c>
      <c r="J8" s="8">
        <v>60</v>
      </c>
      <c r="K8" s="59">
        <f t="shared" si="1"/>
        <v>1</v>
      </c>
      <c r="L8" s="18" t="s">
        <v>317</v>
      </c>
      <c r="M8" s="18">
        <v>0.054</v>
      </c>
      <c r="N8" s="18">
        <v>12</v>
      </c>
      <c r="O8" s="18">
        <v>12</v>
      </c>
      <c r="P8" s="70">
        <v>0.054</v>
      </c>
      <c r="R8" s="40" t="s">
        <v>477</v>
      </c>
      <c r="S8" t="s">
        <v>478</v>
      </c>
    </row>
    <row r="9" customFormat="1" ht="30" customHeight="1" spans="1:19">
      <c r="A9" t="s">
        <v>275</v>
      </c>
      <c r="C9" s="18" t="s">
        <v>318</v>
      </c>
      <c r="D9" s="18" t="s">
        <v>319</v>
      </c>
      <c r="E9" s="18" t="s">
        <v>320</v>
      </c>
      <c r="F9" s="74" t="s">
        <v>321</v>
      </c>
      <c r="G9" s="8">
        <v>60</v>
      </c>
      <c r="H9" s="8">
        <v>60</v>
      </c>
      <c r="I9" s="78">
        <f t="shared" si="0"/>
        <v>60</v>
      </c>
      <c r="J9" s="8">
        <v>60</v>
      </c>
      <c r="K9" s="59">
        <f t="shared" si="1"/>
        <v>1</v>
      </c>
      <c r="L9" s="18" t="s">
        <v>317</v>
      </c>
      <c r="M9" s="18">
        <v>0.054</v>
      </c>
      <c r="N9" s="18">
        <v>12</v>
      </c>
      <c r="O9" s="18">
        <v>12</v>
      </c>
      <c r="P9" s="70">
        <v>0.054</v>
      </c>
      <c r="R9" s="2"/>
      <c r="S9" t="s">
        <v>479</v>
      </c>
    </row>
    <row r="10" spans="16:16">
      <c r="P10">
        <f>SUM(P2:P9)</f>
        <v>1.016</v>
      </c>
    </row>
  </sheetData>
  <mergeCells count="3">
    <mergeCell ref="Q2:Q4"/>
    <mergeCell ref="R2:R4"/>
    <mergeCell ref="R8:R9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T7"/>
  <sheetViews>
    <sheetView workbookViewId="0">
      <pane ySplit="1" topLeftCell="A2" activePane="bottomLeft" state="frozen"/>
      <selection/>
      <selection pane="bottomLeft" activeCell="I14" sqref="I14"/>
    </sheetView>
  </sheetViews>
  <sheetFormatPr defaultColWidth="9" defaultRowHeight="13.5" outlineLevelRow="6"/>
  <cols>
    <col min="2" max="2" width="12.8666666666667" customWidth="1"/>
    <col min="3" max="3" width="19.5083333333333" customWidth="1"/>
    <col min="4" max="4" width="20.25" customWidth="1"/>
    <col min="5" max="5" width="13.4166666666667" customWidth="1"/>
    <col min="6" max="6" width="13.6166666666667" customWidth="1"/>
    <col min="18" max="18" width="27.1333333333333" customWidth="1"/>
    <col min="19" max="19" width="23.75" customWidth="1"/>
    <col min="20" max="20" width="25.5083333333333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ht="19" customHeight="1" spans="2:16">
      <c r="B2" s="41" t="s">
        <v>274</v>
      </c>
      <c r="H2" s="18"/>
      <c r="K2" s="31"/>
      <c r="P2" s="17"/>
    </row>
    <row r="3" customFormat="1" ht="26" customHeight="1" spans="1:20">
      <c r="A3" s="1" t="s">
        <v>275</v>
      </c>
      <c r="B3" s="67" t="s">
        <v>276</v>
      </c>
      <c r="C3" s="42" t="s">
        <v>277</v>
      </c>
      <c r="D3" s="43" t="s">
        <v>278</v>
      </c>
      <c r="E3" s="46" t="s">
        <v>279</v>
      </c>
      <c r="F3" s="45" t="s">
        <v>280</v>
      </c>
      <c r="G3" s="45">
        <v>40</v>
      </c>
      <c r="H3" s="46">
        <v>10</v>
      </c>
      <c r="I3" s="45">
        <f t="shared" ref="I3:I6" si="0">G3</f>
        <v>40</v>
      </c>
      <c r="J3" s="45">
        <v>10</v>
      </c>
      <c r="K3" s="36">
        <f t="shared" ref="K3:K6" si="1">G3/H3</f>
        <v>4</v>
      </c>
      <c r="L3" s="68" t="s">
        <v>281</v>
      </c>
      <c r="M3" s="10">
        <v>0.062</v>
      </c>
      <c r="N3">
        <v>12</v>
      </c>
      <c r="O3" s="10">
        <f t="shared" ref="O3:O6" si="2">N3*K3</f>
        <v>48</v>
      </c>
      <c r="P3" s="34">
        <f t="shared" ref="P3:P6" si="3">K3*M3</f>
        <v>0.248</v>
      </c>
      <c r="R3" s="40" t="s">
        <v>480</v>
      </c>
      <c r="S3" s="1" t="s">
        <v>481</v>
      </c>
      <c r="T3" t="s">
        <v>482</v>
      </c>
    </row>
    <row r="4" customFormat="1" ht="26" customHeight="1" spans="1:20">
      <c r="A4" s="1" t="s">
        <v>275</v>
      </c>
      <c r="B4" s="67"/>
      <c r="C4" s="42" t="s">
        <v>277</v>
      </c>
      <c r="D4" s="43" t="s">
        <v>282</v>
      </c>
      <c r="E4" s="45" t="s">
        <v>283</v>
      </c>
      <c r="F4" s="45" t="s">
        <v>284</v>
      </c>
      <c r="G4" s="45">
        <v>150</v>
      </c>
      <c r="H4" s="46">
        <v>10</v>
      </c>
      <c r="I4" s="45">
        <f t="shared" si="0"/>
        <v>150</v>
      </c>
      <c r="J4" s="45">
        <v>10</v>
      </c>
      <c r="K4" s="36">
        <f t="shared" si="1"/>
        <v>15</v>
      </c>
      <c r="L4" s="68" t="s">
        <v>285</v>
      </c>
      <c r="M4">
        <v>0.062</v>
      </c>
      <c r="N4">
        <v>12</v>
      </c>
      <c r="O4" s="10">
        <f t="shared" si="2"/>
        <v>180</v>
      </c>
      <c r="P4" s="34">
        <f t="shared" si="3"/>
        <v>0.93</v>
      </c>
      <c r="R4" s="2"/>
      <c r="S4" s="1" t="s">
        <v>483</v>
      </c>
      <c r="T4" t="s">
        <v>484</v>
      </c>
    </row>
    <row r="5" customFormat="1" ht="26" customHeight="1" spans="1:20">
      <c r="A5" s="1" t="s">
        <v>275</v>
      </c>
      <c r="B5" s="67"/>
      <c r="C5" s="42" t="s">
        <v>277</v>
      </c>
      <c r="D5" s="46" t="s">
        <v>286</v>
      </c>
      <c r="E5" s="46" t="s">
        <v>287</v>
      </c>
      <c r="F5" s="45" t="s">
        <v>288</v>
      </c>
      <c r="G5" s="45">
        <v>100</v>
      </c>
      <c r="H5" s="45">
        <v>10</v>
      </c>
      <c r="I5" s="45">
        <f t="shared" si="0"/>
        <v>100</v>
      </c>
      <c r="J5" s="45">
        <v>10</v>
      </c>
      <c r="K5" s="36">
        <f t="shared" si="1"/>
        <v>10</v>
      </c>
      <c r="L5" s="68" t="s">
        <v>289</v>
      </c>
      <c r="M5" s="45">
        <f>(57*30*36)/1000000</f>
        <v>0.06156</v>
      </c>
      <c r="N5" s="45">
        <v>12</v>
      </c>
      <c r="O5" s="69">
        <f t="shared" si="2"/>
        <v>120</v>
      </c>
      <c r="P5" s="70">
        <f>M5*K5</f>
        <v>0.6156</v>
      </c>
      <c r="R5" s="2"/>
      <c r="S5" s="1" t="s">
        <v>485</v>
      </c>
      <c r="T5" t="s">
        <v>486</v>
      </c>
    </row>
    <row r="6" customFormat="1" ht="26" customHeight="1" spans="1:20">
      <c r="A6" s="1" t="s">
        <v>275</v>
      </c>
      <c r="B6" s="67"/>
      <c r="C6" s="42" t="s">
        <v>277</v>
      </c>
      <c r="D6" s="43" t="s">
        <v>290</v>
      </c>
      <c r="E6" s="46" t="s">
        <v>291</v>
      </c>
      <c r="F6" s="45" t="s">
        <v>292</v>
      </c>
      <c r="G6" s="45">
        <v>60</v>
      </c>
      <c r="H6" s="46">
        <v>6</v>
      </c>
      <c r="I6" s="45">
        <f t="shared" si="0"/>
        <v>60</v>
      </c>
      <c r="J6" s="45">
        <v>6</v>
      </c>
      <c r="K6" s="36">
        <f t="shared" si="1"/>
        <v>10</v>
      </c>
      <c r="L6" s="68" t="s">
        <v>293</v>
      </c>
      <c r="M6">
        <v>0.066</v>
      </c>
      <c r="N6">
        <v>12</v>
      </c>
      <c r="O6" s="10">
        <f t="shared" si="2"/>
        <v>120</v>
      </c>
      <c r="P6" s="34">
        <f t="shared" si="3"/>
        <v>0.66</v>
      </c>
      <c r="R6" s="2"/>
      <c r="S6" s="1" t="s">
        <v>487</v>
      </c>
      <c r="T6" t="s">
        <v>488</v>
      </c>
    </row>
    <row r="7" spans="16:16">
      <c r="P7">
        <f>SUM(P3:P6)</f>
        <v>2.4536</v>
      </c>
    </row>
  </sheetData>
  <mergeCells count="2">
    <mergeCell ref="B3:B6"/>
    <mergeCell ref="R3:R6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T8"/>
  <sheetViews>
    <sheetView workbookViewId="0">
      <pane ySplit="1" topLeftCell="A2" activePane="bottomLeft" state="frozen"/>
      <selection/>
      <selection pane="bottomLeft" activeCell="E23" sqref="E23"/>
    </sheetView>
  </sheetViews>
  <sheetFormatPr defaultColWidth="9" defaultRowHeight="13.5" outlineLevelRow="7"/>
  <cols>
    <col min="4" max="4" width="17.1333333333333" customWidth="1"/>
    <col min="5" max="5" width="11.5083333333333" customWidth="1"/>
    <col min="6" max="6" width="12" customWidth="1"/>
    <col min="11" max="11" width="6.36666666666667" customWidth="1"/>
    <col min="12" max="12" width="16.25" customWidth="1"/>
    <col min="18" max="18" width="14.8666666666667" customWidth="1"/>
    <col min="19" max="20" width="25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ht="14.25" spans="2:16">
      <c r="B2" s="41" t="s">
        <v>294</v>
      </c>
      <c r="C2" s="42"/>
      <c r="D2" s="43"/>
      <c r="E2" s="44"/>
      <c r="F2" s="45"/>
      <c r="G2" s="45"/>
      <c r="H2" s="46"/>
      <c r="I2" s="45"/>
      <c r="J2" s="45"/>
      <c r="K2" s="36"/>
      <c r="L2" s="46"/>
      <c r="M2" s="45"/>
      <c r="N2" s="45"/>
      <c r="O2" s="10"/>
      <c r="P2" s="34"/>
    </row>
    <row r="3" customFormat="1" ht="31" customHeight="1" spans="1:20">
      <c r="A3" s="1" t="s">
        <v>275</v>
      </c>
      <c r="B3" s="64"/>
      <c r="C3" s="43" t="s">
        <v>295</v>
      </c>
      <c r="D3" s="43" t="s">
        <v>296</v>
      </c>
      <c r="E3" s="18" t="s">
        <v>297</v>
      </c>
      <c r="F3" s="65" t="s">
        <v>298</v>
      </c>
      <c r="G3" s="66">
        <v>60</v>
      </c>
      <c r="H3" s="65">
        <v>6</v>
      </c>
      <c r="I3" s="66">
        <f t="shared" ref="I3:I7" si="0">G3</f>
        <v>60</v>
      </c>
      <c r="J3" s="65">
        <v>6</v>
      </c>
      <c r="K3" s="36">
        <f t="shared" ref="K3:K7" si="1">G3/H3</f>
        <v>10</v>
      </c>
      <c r="L3" s="65" t="s">
        <v>299</v>
      </c>
      <c r="M3" s="34">
        <v>0.06</v>
      </c>
      <c r="N3" s="34">
        <v>13</v>
      </c>
      <c r="O3" s="34">
        <f t="shared" ref="O3:O7" si="2">N3*K3</f>
        <v>130</v>
      </c>
      <c r="P3" s="34">
        <f t="shared" ref="P3:P7" si="3">K3*M3</f>
        <v>0.6</v>
      </c>
      <c r="R3" s="40" t="s">
        <v>489</v>
      </c>
      <c r="S3" s="1" t="s">
        <v>490</v>
      </c>
      <c r="T3" t="s">
        <v>491</v>
      </c>
    </row>
    <row r="4" customFormat="1" ht="31" customHeight="1" spans="1:20">
      <c r="A4" s="1" t="s">
        <v>275</v>
      </c>
      <c r="B4" s="64"/>
      <c r="C4" s="43" t="s">
        <v>300</v>
      </c>
      <c r="D4" s="43" t="s">
        <v>301</v>
      </c>
      <c r="E4" s="18" t="s">
        <v>302</v>
      </c>
      <c r="F4" s="18" t="s">
        <v>303</v>
      </c>
      <c r="G4" s="66">
        <v>60</v>
      </c>
      <c r="H4" s="43">
        <v>10</v>
      </c>
      <c r="I4" s="43">
        <f t="shared" si="0"/>
        <v>60</v>
      </c>
      <c r="J4" s="43">
        <v>10</v>
      </c>
      <c r="K4" s="36">
        <f t="shared" si="1"/>
        <v>6</v>
      </c>
      <c r="L4" s="43" t="s">
        <v>281</v>
      </c>
      <c r="M4" s="34">
        <v>0.062</v>
      </c>
      <c r="N4" s="34">
        <v>11.25</v>
      </c>
      <c r="O4" s="34">
        <f t="shared" si="2"/>
        <v>67.5</v>
      </c>
      <c r="P4" s="34">
        <f t="shared" si="3"/>
        <v>0.372</v>
      </c>
      <c r="R4" s="2"/>
      <c r="S4" s="1" t="s">
        <v>492</v>
      </c>
      <c r="T4" t="s">
        <v>493</v>
      </c>
    </row>
    <row r="5" customFormat="1" ht="31" customHeight="1" spans="1:20">
      <c r="A5" s="1" t="s">
        <v>275</v>
      </c>
      <c r="B5" s="43"/>
      <c r="C5" s="43" t="s">
        <v>300</v>
      </c>
      <c r="D5" s="43" t="s">
        <v>304</v>
      </c>
      <c r="E5" s="18" t="s">
        <v>305</v>
      </c>
      <c r="F5" s="10" t="s">
        <v>306</v>
      </c>
      <c r="G5" s="66">
        <v>50</v>
      </c>
      <c r="H5" s="65">
        <v>10</v>
      </c>
      <c r="I5" s="66">
        <f t="shared" si="0"/>
        <v>50</v>
      </c>
      <c r="J5" s="10">
        <v>10</v>
      </c>
      <c r="K5" s="36">
        <f t="shared" si="1"/>
        <v>5</v>
      </c>
      <c r="L5" s="65" t="s">
        <v>281</v>
      </c>
      <c r="M5" s="10">
        <v>0.062</v>
      </c>
      <c r="N5" s="10">
        <v>12.1</v>
      </c>
      <c r="O5" s="10">
        <f t="shared" si="2"/>
        <v>60.5</v>
      </c>
      <c r="P5" s="34">
        <f t="shared" si="3"/>
        <v>0.31</v>
      </c>
      <c r="R5" s="2"/>
      <c r="S5" s="1" t="s">
        <v>494</v>
      </c>
      <c r="T5" t="s">
        <v>495</v>
      </c>
    </row>
    <row r="6" customFormat="1" ht="31" customHeight="1" spans="1:20">
      <c r="A6" s="1" t="s">
        <v>275</v>
      </c>
      <c r="B6" s="64"/>
      <c r="C6" s="43" t="s">
        <v>300</v>
      </c>
      <c r="D6" s="43" t="s">
        <v>307</v>
      </c>
      <c r="E6" s="18" t="s">
        <v>308</v>
      </c>
      <c r="F6" s="10" t="s">
        <v>309</v>
      </c>
      <c r="G6" s="66">
        <v>60</v>
      </c>
      <c r="H6" s="65">
        <v>6</v>
      </c>
      <c r="I6" s="66">
        <f t="shared" si="0"/>
        <v>60</v>
      </c>
      <c r="J6" s="10">
        <v>6</v>
      </c>
      <c r="K6" s="36">
        <f t="shared" si="1"/>
        <v>10</v>
      </c>
      <c r="L6" s="65" t="s">
        <v>293</v>
      </c>
      <c r="M6" s="65">
        <v>0.066</v>
      </c>
      <c r="N6" s="65">
        <v>13</v>
      </c>
      <c r="O6" s="34">
        <f t="shared" si="2"/>
        <v>130</v>
      </c>
      <c r="P6" s="34">
        <f t="shared" si="3"/>
        <v>0.66</v>
      </c>
      <c r="R6" s="2"/>
      <c r="S6" s="1" t="s">
        <v>496</v>
      </c>
      <c r="T6" t="s">
        <v>497</v>
      </c>
    </row>
    <row r="7" customFormat="1" ht="31" customHeight="1" spans="1:20">
      <c r="A7" s="1" t="s">
        <v>275</v>
      </c>
      <c r="B7" s="64"/>
      <c r="C7" s="43" t="s">
        <v>300</v>
      </c>
      <c r="D7" s="43" t="s">
        <v>310</v>
      </c>
      <c r="E7" s="18" t="s">
        <v>311</v>
      </c>
      <c r="F7" s="10" t="s">
        <v>292</v>
      </c>
      <c r="G7" s="66">
        <v>30</v>
      </c>
      <c r="H7" s="65">
        <v>6</v>
      </c>
      <c r="I7" s="66">
        <f t="shared" si="0"/>
        <v>30</v>
      </c>
      <c r="J7" s="10">
        <v>6</v>
      </c>
      <c r="K7" s="36">
        <f t="shared" si="1"/>
        <v>5</v>
      </c>
      <c r="L7" s="65" t="s">
        <v>293</v>
      </c>
      <c r="M7" s="10">
        <v>0.066</v>
      </c>
      <c r="N7" s="10">
        <v>12.8</v>
      </c>
      <c r="O7" s="34">
        <f t="shared" si="2"/>
        <v>64</v>
      </c>
      <c r="P7" s="34">
        <f t="shared" si="3"/>
        <v>0.33</v>
      </c>
      <c r="R7" s="2"/>
      <c r="S7" s="1" t="s">
        <v>498</v>
      </c>
      <c r="T7" t="s">
        <v>499</v>
      </c>
    </row>
    <row r="8" spans="16:16">
      <c r="P8">
        <f>SUM(P3:P7)</f>
        <v>2.272</v>
      </c>
    </row>
  </sheetData>
  <mergeCells count="1">
    <mergeCell ref="R3:R7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U11"/>
  <sheetViews>
    <sheetView workbookViewId="0">
      <pane ySplit="1" topLeftCell="A2" activePane="bottomLeft" state="frozen"/>
      <selection/>
      <selection pane="bottomLeft" activeCell="P20" sqref="P20"/>
    </sheetView>
  </sheetViews>
  <sheetFormatPr defaultColWidth="9" defaultRowHeight="13.5"/>
  <cols>
    <col min="3" max="3" width="21.3083333333333" customWidth="1"/>
    <col min="4" max="4" width="20.525" customWidth="1"/>
    <col min="5" max="5" width="11.5083333333333" customWidth="1"/>
    <col min="6" max="6" width="12" customWidth="1"/>
    <col min="11" max="11" width="6.36666666666667" customWidth="1"/>
    <col min="12" max="12" width="16.25" customWidth="1"/>
    <col min="16" max="16" width="10.5333333333333"/>
    <col min="18" max="18" width="20.3333333333333" customWidth="1"/>
    <col min="19" max="20" width="25" customWidth="1"/>
    <col min="21" max="21" width="28.675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ht="14.25" spans="2:16">
      <c r="B2" s="41" t="s">
        <v>64</v>
      </c>
      <c r="C2" s="42"/>
      <c r="D2" s="43"/>
      <c r="E2" s="44"/>
      <c r="F2" s="45"/>
      <c r="G2" s="45"/>
      <c r="H2" s="46"/>
      <c r="I2" s="45"/>
      <c r="J2" s="45"/>
      <c r="K2" s="36"/>
      <c r="L2" s="46"/>
      <c r="M2" s="45"/>
      <c r="N2" s="45"/>
      <c r="O2" s="10"/>
      <c r="P2" s="34"/>
    </row>
    <row r="3" s="1" customFormat="1" ht="15" customHeight="1" spans="1:20">
      <c r="A3" s="30" t="s">
        <v>65</v>
      </c>
      <c r="B3" s="15" t="s">
        <v>66</v>
      </c>
      <c r="C3" s="47" t="s">
        <v>67</v>
      </c>
      <c r="D3" s="48" t="s">
        <v>68</v>
      </c>
      <c r="E3" s="48" t="s">
        <v>69</v>
      </c>
      <c r="F3" s="49" t="s">
        <v>70</v>
      </c>
      <c r="G3" s="50">
        <v>310</v>
      </c>
      <c r="H3" s="51">
        <v>1</v>
      </c>
      <c r="I3" s="51">
        <f>G3*6</f>
        <v>1860</v>
      </c>
      <c r="J3" s="51">
        <v>6</v>
      </c>
      <c r="K3" s="59">
        <f t="shared" ref="K3:K10" si="0">G3/H3</f>
        <v>310</v>
      </c>
      <c r="L3" s="48" t="s">
        <v>71</v>
      </c>
      <c r="M3" s="47">
        <f>(42*31*16)/1000000</f>
        <v>0.020832</v>
      </c>
      <c r="N3" s="47">
        <v>3.15</v>
      </c>
      <c r="O3" s="47">
        <f t="shared" ref="O3:O10" si="1">N3*K3</f>
        <v>976.5</v>
      </c>
      <c r="P3" s="35">
        <f t="shared" ref="P3:P10" si="2">M3*K3</f>
        <v>6.45792</v>
      </c>
      <c r="Q3" s="16" t="s">
        <v>500</v>
      </c>
      <c r="R3" s="63" t="s">
        <v>501</v>
      </c>
      <c r="S3" s="1" t="s">
        <v>502</v>
      </c>
      <c r="T3" s="1" t="s">
        <v>503</v>
      </c>
    </row>
    <row r="4" customFormat="1" ht="27" customHeight="1" spans="1:20">
      <c r="A4" s="14" t="s">
        <v>65</v>
      </c>
      <c r="B4" s="15"/>
      <c r="C4" s="16" t="s">
        <v>72</v>
      </c>
      <c r="D4" s="16" t="s">
        <v>73</v>
      </c>
      <c r="E4" s="16" t="s">
        <v>74</v>
      </c>
      <c r="F4" s="30" t="s">
        <v>75</v>
      </c>
      <c r="G4" s="8">
        <v>216</v>
      </c>
      <c r="H4" s="16">
        <v>36</v>
      </c>
      <c r="I4" s="16">
        <f>G4*2</f>
        <v>432</v>
      </c>
      <c r="J4" s="16">
        <v>72</v>
      </c>
      <c r="K4" s="29">
        <f t="shared" si="0"/>
        <v>6</v>
      </c>
      <c r="L4" s="16" t="s">
        <v>76</v>
      </c>
      <c r="M4" s="16">
        <f>(48*44*36)/1000000</f>
        <v>0.076032</v>
      </c>
      <c r="N4" s="16">
        <v>17</v>
      </c>
      <c r="O4" s="16">
        <f t="shared" si="1"/>
        <v>102</v>
      </c>
      <c r="P4" s="8">
        <f t="shared" si="2"/>
        <v>0.456192</v>
      </c>
      <c r="Q4" s="16"/>
      <c r="R4" s="16"/>
      <c r="S4" s="2" t="s">
        <v>504</v>
      </c>
      <c r="T4" s="2" t="s">
        <v>505</v>
      </c>
    </row>
    <row r="5" customFormat="1" ht="27" customHeight="1" spans="1:20">
      <c r="A5" s="14" t="s">
        <v>65</v>
      </c>
      <c r="B5" s="15"/>
      <c r="C5" s="16" t="s">
        <v>77</v>
      </c>
      <c r="D5" s="16"/>
      <c r="E5" s="16"/>
      <c r="F5" s="30"/>
      <c r="G5" s="8"/>
      <c r="H5" s="16"/>
      <c r="I5" s="16">
        <f>G4*2</f>
        <v>432</v>
      </c>
      <c r="J5" s="16">
        <v>72</v>
      </c>
      <c r="K5" s="29"/>
      <c r="L5" s="16"/>
      <c r="M5" s="16"/>
      <c r="N5" s="16"/>
      <c r="O5" s="16"/>
      <c r="P5" s="8"/>
      <c r="Q5" s="16"/>
      <c r="R5" s="16"/>
      <c r="S5" s="2"/>
      <c r="T5" s="2"/>
    </row>
    <row r="7" customFormat="1" spans="1:20">
      <c r="A7" t="s">
        <v>21</v>
      </c>
      <c r="B7" s="41" t="s">
        <v>22</v>
      </c>
      <c r="C7" s="52" t="s">
        <v>23</v>
      </c>
      <c r="D7" s="53" t="s">
        <v>24</v>
      </c>
      <c r="E7" s="52" t="s">
        <v>25</v>
      </c>
      <c r="F7" s="54" t="s">
        <v>26</v>
      </c>
      <c r="G7" s="55">
        <v>250</v>
      </c>
      <c r="H7" s="52">
        <v>1</v>
      </c>
      <c r="I7" s="52">
        <f t="shared" ref="I7:I9" si="3">G7*12</f>
        <v>3000</v>
      </c>
      <c r="J7" s="52">
        <v>12</v>
      </c>
      <c r="K7" s="60">
        <f>I7/J7</f>
        <v>250</v>
      </c>
      <c r="L7" s="61" t="s">
        <v>27</v>
      </c>
      <c r="M7" s="52">
        <v>0.021</v>
      </c>
      <c r="N7" s="52">
        <v>3.96</v>
      </c>
      <c r="O7" s="53">
        <f t="shared" si="1"/>
        <v>990</v>
      </c>
      <c r="P7" s="8">
        <f t="shared" si="2"/>
        <v>5.25</v>
      </c>
      <c r="Q7" s="2" t="s">
        <v>500</v>
      </c>
      <c r="R7" s="40" t="s">
        <v>506</v>
      </c>
      <c r="S7" t="s">
        <v>507</v>
      </c>
      <c r="T7" t="s">
        <v>508</v>
      </c>
    </row>
    <row r="8" spans="1:20">
      <c r="A8" t="s">
        <v>21</v>
      </c>
      <c r="B8" s="56" t="s">
        <v>28</v>
      </c>
      <c r="C8" s="52" t="s">
        <v>29</v>
      </c>
      <c r="D8" s="53" t="s">
        <v>30</v>
      </c>
      <c r="E8" s="52" t="s">
        <v>31</v>
      </c>
      <c r="F8" s="54" t="s">
        <v>32</v>
      </c>
      <c r="G8" s="55">
        <v>160</v>
      </c>
      <c r="H8" s="57">
        <v>8</v>
      </c>
      <c r="I8" s="57">
        <f t="shared" si="3"/>
        <v>1920</v>
      </c>
      <c r="J8" s="57">
        <v>12</v>
      </c>
      <c r="K8" s="60">
        <f t="shared" si="0"/>
        <v>20</v>
      </c>
      <c r="L8" s="62" t="s">
        <v>33</v>
      </c>
      <c r="M8" s="52">
        <v>0.04</v>
      </c>
      <c r="N8" s="52">
        <v>17.52</v>
      </c>
      <c r="O8" s="53">
        <f t="shared" si="1"/>
        <v>350.4</v>
      </c>
      <c r="P8" s="8">
        <f t="shared" si="2"/>
        <v>0.8</v>
      </c>
      <c r="Q8" s="2"/>
      <c r="R8" s="2"/>
      <c r="S8" t="s">
        <v>509</v>
      </c>
      <c r="T8" t="s">
        <v>510</v>
      </c>
    </row>
    <row r="9" spans="1:20">
      <c r="A9" t="s">
        <v>21</v>
      </c>
      <c r="B9" s="56"/>
      <c r="C9" s="52" t="s">
        <v>48</v>
      </c>
      <c r="D9" s="53" t="s">
        <v>49</v>
      </c>
      <c r="E9" s="52" t="s">
        <v>50</v>
      </c>
      <c r="F9" s="54" t="s">
        <v>51</v>
      </c>
      <c r="G9" s="55">
        <v>80</v>
      </c>
      <c r="H9" s="58">
        <v>4</v>
      </c>
      <c r="I9" s="52">
        <f t="shared" si="3"/>
        <v>960</v>
      </c>
      <c r="J9" s="52">
        <v>12</v>
      </c>
      <c r="K9" s="60">
        <f t="shared" si="0"/>
        <v>20</v>
      </c>
      <c r="L9" s="61" t="s">
        <v>52</v>
      </c>
      <c r="M9" s="52">
        <v>0.066</v>
      </c>
      <c r="N9" s="52">
        <v>12.48</v>
      </c>
      <c r="O9" s="53">
        <f t="shared" si="1"/>
        <v>249.6</v>
      </c>
      <c r="P9" s="8">
        <f t="shared" si="2"/>
        <v>1.32</v>
      </c>
      <c r="Q9" s="2"/>
      <c r="R9" s="2"/>
      <c r="S9" t="s">
        <v>511</v>
      </c>
      <c r="T9" t="s">
        <v>512</v>
      </c>
    </row>
    <row r="10" ht="42" customHeight="1" spans="1:20">
      <c r="A10" t="s">
        <v>21</v>
      </c>
      <c r="B10" s="56"/>
      <c r="C10" s="52" t="s">
        <v>53</v>
      </c>
      <c r="D10" s="53" t="s">
        <v>54</v>
      </c>
      <c r="E10" s="52" t="s">
        <v>55</v>
      </c>
      <c r="F10" s="54" t="s">
        <v>56</v>
      </c>
      <c r="G10" s="55">
        <v>80</v>
      </c>
      <c r="H10" s="58">
        <v>4</v>
      </c>
      <c r="I10" s="52">
        <f>G10*6</f>
        <v>480</v>
      </c>
      <c r="J10" s="52">
        <v>6</v>
      </c>
      <c r="K10" s="60">
        <f t="shared" si="0"/>
        <v>20</v>
      </c>
      <c r="L10" s="61" t="s">
        <v>57</v>
      </c>
      <c r="M10" s="52">
        <v>0.051</v>
      </c>
      <c r="N10" s="52">
        <v>8.64</v>
      </c>
      <c r="O10" s="53">
        <f t="shared" si="1"/>
        <v>172.8</v>
      </c>
      <c r="P10" s="8">
        <f t="shared" si="2"/>
        <v>1.02</v>
      </c>
      <c r="Q10" s="2"/>
      <c r="R10" s="2"/>
      <c r="S10" t="s">
        <v>513</v>
      </c>
      <c r="T10" t="s">
        <v>514</v>
      </c>
    </row>
    <row r="11" spans="16:16">
      <c r="P11">
        <f>SUM(P3:P10)</f>
        <v>15.304112</v>
      </c>
    </row>
  </sheetData>
  <mergeCells count="19">
    <mergeCell ref="B3:B5"/>
    <mergeCell ref="B8:B10"/>
    <mergeCell ref="E4:E5"/>
    <mergeCell ref="F4:F5"/>
    <mergeCell ref="G4:G5"/>
    <mergeCell ref="H4:H5"/>
    <mergeCell ref="K4:K5"/>
    <mergeCell ref="L4:L5"/>
    <mergeCell ref="M4:M5"/>
    <mergeCell ref="N4:N5"/>
    <mergeCell ref="O4:O5"/>
    <mergeCell ref="P4:P5"/>
    <mergeCell ref="Q3:Q5"/>
    <mergeCell ref="Q7:Q10"/>
    <mergeCell ref="R3:R5"/>
    <mergeCell ref="R7:R10"/>
    <mergeCell ref="S4:S5"/>
    <mergeCell ref="T4:T5"/>
    <mergeCell ref="U7:U10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U8"/>
  <sheetViews>
    <sheetView topLeftCell="B1" workbookViewId="0">
      <pane ySplit="1" topLeftCell="A2" activePane="bottomLeft" state="frozen"/>
      <selection/>
      <selection pane="bottomLeft" activeCell="K22" sqref="K22"/>
    </sheetView>
  </sheetViews>
  <sheetFormatPr defaultColWidth="9" defaultRowHeight="13.5" outlineLevelRow="7"/>
  <cols>
    <col min="4" max="4" width="23.5666666666667" customWidth="1"/>
    <col min="5" max="5" width="15.2083333333333" customWidth="1"/>
    <col min="6" max="6" width="14.8166666666667" customWidth="1"/>
    <col min="13" max="13" width="9.375"/>
    <col min="16" max="16" width="9.53333333333333"/>
    <col min="18" max="18" width="12.625" customWidth="1"/>
    <col min="19" max="19" width="19.875" customWidth="1"/>
    <col min="20" max="20" width="20" customWidth="1"/>
    <col min="21" max="21" width="17.2666666666667" customWidth="1"/>
  </cols>
  <sheetData>
    <row r="1" s="1" customFormat="1" ht="25" customHeight="1" spans="1:21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  <c r="U1" s="1" t="s">
        <v>515</v>
      </c>
    </row>
    <row r="2" spans="2:2">
      <c r="B2" t="s">
        <v>322</v>
      </c>
    </row>
    <row r="3" spans="1:20">
      <c r="A3" t="s">
        <v>323</v>
      </c>
      <c r="C3" t="s">
        <v>329</v>
      </c>
      <c r="D3" t="s">
        <v>330</v>
      </c>
      <c r="E3" t="s">
        <v>331</v>
      </c>
      <c r="F3" t="s">
        <v>332</v>
      </c>
      <c r="G3">
        <v>192</v>
      </c>
      <c r="H3">
        <v>6</v>
      </c>
      <c r="I3">
        <v>192</v>
      </c>
      <c r="J3">
        <v>6</v>
      </c>
      <c r="K3">
        <v>32</v>
      </c>
      <c r="L3" t="s">
        <v>333</v>
      </c>
      <c r="M3">
        <v>0.048</v>
      </c>
      <c r="N3">
        <v>6.5</v>
      </c>
      <c r="O3" s="17">
        <f>N3*K3</f>
        <v>208</v>
      </c>
      <c r="P3" s="17">
        <f>M3*K3</f>
        <v>1.536</v>
      </c>
      <c r="Q3" s="2" t="s">
        <v>516</v>
      </c>
      <c r="R3" s="40" t="s">
        <v>517</v>
      </c>
      <c r="S3" t="s">
        <v>518</v>
      </c>
      <c r="T3" t="s">
        <v>519</v>
      </c>
    </row>
    <row r="4" spans="1:20">
      <c r="A4" t="s">
        <v>323</v>
      </c>
      <c r="C4" t="s">
        <v>344</v>
      </c>
      <c r="D4" t="s">
        <v>345</v>
      </c>
      <c r="E4" t="s">
        <v>346</v>
      </c>
      <c r="F4" t="s">
        <v>347</v>
      </c>
      <c r="G4">
        <v>150</v>
      </c>
      <c r="H4">
        <v>6</v>
      </c>
      <c r="I4">
        <v>900</v>
      </c>
      <c r="J4">
        <v>36</v>
      </c>
      <c r="K4">
        <v>25</v>
      </c>
      <c r="L4" t="s">
        <v>348</v>
      </c>
      <c r="M4">
        <v>0.069741</v>
      </c>
      <c r="N4">
        <v>12.2</v>
      </c>
      <c r="O4" s="17">
        <f>N4*K4</f>
        <v>305</v>
      </c>
      <c r="P4" s="17">
        <f>M4*K4</f>
        <v>1.743525</v>
      </c>
      <c r="Q4" s="2"/>
      <c r="R4" s="40"/>
      <c r="S4" t="s">
        <v>520</v>
      </c>
      <c r="T4" t="s">
        <v>521</v>
      </c>
    </row>
    <row r="5" spans="1:20">
      <c r="A5" t="s">
        <v>323</v>
      </c>
      <c r="C5" t="s">
        <v>339</v>
      </c>
      <c r="D5" t="s">
        <v>340</v>
      </c>
      <c r="E5" t="s">
        <v>341</v>
      </c>
      <c r="F5" t="s">
        <v>342</v>
      </c>
      <c r="G5">
        <v>96</v>
      </c>
      <c r="H5">
        <v>6</v>
      </c>
      <c r="I5">
        <v>96</v>
      </c>
      <c r="J5">
        <v>6</v>
      </c>
      <c r="K5">
        <v>16</v>
      </c>
      <c r="L5" t="s">
        <v>343</v>
      </c>
      <c r="M5">
        <v>0.072</v>
      </c>
      <c r="N5">
        <v>9.3</v>
      </c>
      <c r="O5" s="17">
        <f>N5*K5</f>
        <v>148.8</v>
      </c>
      <c r="P5" s="17">
        <f>M5*K5</f>
        <v>1.152</v>
      </c>
      <c r="Q5" s="2"/>
      <c r="R5" s="40"/>
      <c r="S5" t="s">
        <v>522</v>
      </c>
      <c r="T5" t="s">
        <v>523</v>
      </c>
    </row>
    <row r="6" spans="1:20">
      <c r="A6" t="s">
        <v>323</v>
      </c>
      <c r="C6" t="s">
        <v>324</v>
      </c>
      <c r="D6" t="s">
        <v>325</v>
      </c>
      <c r="E6" t="s">
        <v>326</v>
      </c>
      <c r="F6" t="s">
        <v>327</v>
      </c>
      <c r="G6">
        <v>300</v>
      </c>
      <c r="H6">
        <v>12</v>
      </c>
      <c r="I6">
        <v>300</v>
      </c>
      <c r="J6">
        <v>12</v>
      </c>
      <c r="K6">
        <v>25</v>
      </c>
      <c r="L6" t="s">
        <v>328</v>
      </c>
      <c r="M6">
        <v>0.044</v>
      </c>
      <c r="N6">
        <v>16</v>
      </c>
      <c r="O6" s="17">
        <f>N6*K6</f>
        <v>400</v>
      </c>
      <c r="P6" s="17">
        <f>M6*K6</f>
        <v>1.1</v>
      </c>
      <c r="Q6" s="2"/>
      <c r="R6" s="40"/>
      <c r="S6" t="s">
        <v>524</v>
      </c>
      <c r="T6" t="s">
        <v>525</v>
      </c>
    </row>
    <row r="7" spans="1:20">
      <c r="A7" t="s">
        <v>323</v>
      </c>
      <c r="C7" t="s">
        <v>334</v>
      </c>
      <c r="D7" t="s">
        <v>335</v>
      </c>
      <c r="E7" t="s">
        <v>336</v>
      </c>
      <c r="F7" t="s">
        <v>337</v>
      </c>
      <c r="G7">
        <v>600</v>
      </c>
      <c r="H7">
        <v>50</v>
      </c>
      <c r="I7">
        <v>600</v>
      </c>
      <c r="J7">
        <v>50</v>
      </c>
      <c r="K7">
        <v>12</v>
      </c>
      <c r="L7" t="s">
        <v>338</v>
      </c>
      <c r="M7">
        <v>0.056</v>
      </c>
      <c r="N7">
        <v>19.3</v>
      </c>
      <c r="O7" s="17">
        <f>N7*K7</f>
        <v>231.6</v>
      </c>
      <c r="P7" s="17">
        <f>M7*K7</f>
        <v>0.672</v>
      </c>
      <c r="Q7" s="2"/>
      <c r="R7" s="40"/>
      <c r="S7" t="s">
        <v>526</v>
      </c>
      <c r="T7" t="s">
        <v>527</v>
      </c>
    </row>
    <row r="8" spans="16:16">
      <c r="P8">
        <f>SUM(P3:P7)</f>
        <v>6.203525</v>
      </c>
    </row>
  </sheetData>
  <mergeCells count="2">
    <mergeCell ref="Q3:Q7"/>
    <mergeCell ref="R3:R7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T18"/>
  <sheetViews>
    <sheetView tabSelected="1" workbookViewId="0">
      <pane ySplit="1" topLeftCell="A2" activePane="bottomLeft" state="frozen"/>
      <selection/>
      <selection pane="bottomLeft" activeCell="C24" sqref="C24"/>
    </sheetView>
  </sheetViews>
  <sheetFormatPr defaultColWidth="9" defaultRowHeight="13.5"/>
  <cols>
    <col min="1" max="1" width="14.5166666666667" customWidth="1"/>
    <col min="2" max="2" width="31.0083333333333" customWidth="1"/>
    <col min="3" max="3" width="27.9083333333333" customWidth="1"/>
    <col min="4" max="4" width="27.5916666666667" customWidth="1"/>
    <col min="5" max="5" width="16" customWidth="1"/>
    <col min="6" max="6" width="20.9333333333333" customWidth="1"/>
    <col min="8" max="8" width="10.5583333333333" customWidth="1"/>
    <col min="9" max="9" width="12.2666666666667" customWidth="1"/>
    <col min="11" max="11" width="9" style="2"/>
    <col min="12" max="12" width="17.65" customWidth="1"/>
    <col min="13" max="13" width="12.8"/>
    <col min="14" max="14" width="14.1833333333333" customWidth="1"/>
    <col min="15" max="15" width="12.6166666666667" customWidth="1"/>
    <col min="16" max="16" width="13.35" customWidth="1"/>
    <col min="17" max="17" width="12.5083333333333" customWidth="1"/>
    <col min="18" max="18" width="17.6583333333333" customWidth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 t="s">
        <v>8</v>
      </c>
      <c r="J1" s="27" t="s">
        <v>9</v>
      </c>
      <c r="K1" s="5" t="s">
        <v>10</v>
      </c>
      <c r="L1" s="2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1" t="s">
        <v>18</v>
      </c>
      <c r="T1" s="1" t="s">
        <v>19</v>
      </c>
    </row>
    <row r="2" customFormat="1" ht="25.5" spans="1:16">
      <c r="A2" s="6" t="s">
        <v>349</v>
      </c>
      <c r="B2" s="7" t="s">
        <v>350</v>
      </c>
      <c r="C2" s="1"/>
      <c r="D2" s="1"/>
      <c r="E2" s="1"/>
      <c r="F2" s="1"/>
      <c r="G2" s="8"/>
      <c r="H2" s="8"/>
      <c r="I2" s="8"/>
      <c r="J2" s="8"/>
      <c r="K2" s="1"/>
      <c r="L2" s="1"/>
      <c r="M2" s="1"/>
      <c r="N2" s="1"/>
      <c r="O2" s="1"/>
      <c r="P2" s="16"/>
    </row>
    <row r="3" customFormat="1" spans="1:16">
      <c r="A3" s="9" t="s">
        <v>351</v>
      </c>
      <c r="B3" s="1" t="s">
        <v>352</v>
      </c>
      <c r="C3" s="1"/>
      <c r="D3" s="1"/>
      <c r="E3" s="1"/>
      <c r="F3" s="1"/>
      <c r="G3" s="8"/>
      <c r="H3" s="8"/>
      <c r="I3" s="8"/>
      <c r="J3" s="8"/>
      <c r="K3" s="1"/>
      <c r="L3" s="1"/>
      <c r="M3" s="1"/>
      <c r="N3" s="1"/>
      <c r="O3" s="1"/>
      <c r="P3" s="16"/>
    </row>
    <row r="4" customFormat="1" spans="1:16">
      <c r="A4" s="10" t="s">
        <v>78</v>
      </c>
      <c r="B4" s="11" t="s">
        <v>353</v>
      </c>
      <c r="C4" s="2" t="s">
        <v>354</v>
      </c>
      <c r="D4" s="12" t="s">
        <v>355</v>
      </c>
      <c r="E4" s="13" t="s">
        <v>356</v>
      </c>
      <c r="F4" t="s">
        <v>357</v>
      </c>
      <c r="G4">
        <v>108</v>
      </c>
      <c r="H4">
        <v>6</v>
      </c>
      <c r="I4">
        <v>108</v>
      </c>
      <c r="J4">
        <v>6</v>
      </c>
      <c r="K4" s="29">
        <f t="shared" ref="K4:K6" si="0">G4/H4</f>
        <v>18</v>
      </c>
      <c r="L4" t="s">
        <v>358</v>
      </c>
      <c r="M4">
        <f>35*28*25/1000000</f>
        <v>0.0245</v>
      </c>
      <c r="N4">
        <f>1.015*H4</f>
        <v>6.09</v>
      </c>
      <c r="O4">
        <f>1.015*G4</f>
        <v>109.62</v>
      </c>
      <c r="P4">
        <f t="shared" ref="P4:P6" si="1">M4*K4</f>
        <v>0.441</v>
      </c>
    </row>
    <row r="5" customFormat="1" spans="1:16">
      <c r="A5" s="14" t="s">
        <v>65</v>
      </c>
      <c r="B5" s="15" t="s">
        <v>28</v>
      </c>
      <c r="C5" s="16" t="s">
        <v>359</v>
      </c>
      <c r="D5" s="2" t="s">
        <v>360</v>
      </c>
      <c r="E5" s="14" t="s">
        <v>361</v>
      </c>
      <c r="F5" s="14" t="s">
        <v>347</v>
      </c>
      <c r="G5" s="8">
        <v>216</v>
      </c>
      <c r="H5" s="17">
        <v>6</v>
      </c>
      <c r="I5" s="17">
        <f>G5*6</f>
        <v>1296</v>
      </c>
      <c r="J5" s="17">
        <v>36</v>
      </c>
      <c r="K5" s="29">
        <f t="shared" si="0"/>
        <v>36</v>
      </c>
      <c r="L5" s="30" t="s">
        <v>362</v>
      </c>
      <c r="M5" s="2">
        <f>(61.5*31.5*36)/1000000</f>
        <v>0.069741</v>
      </c>
      <c r="N5" s="17">
        <v>12.1</v>
      </c>
      <c r="O5" s="17">
        <f t="shared" ref="O5:O15" si="2">N5*K5</f>
        <v>435.6</v>
      </c>
      <c r="P5" s="17">
        <f t="shared" si="1"/>
        <v>2.510676</v>
      </c>
    </row>
    <row r="6" customFormat="1" spans="1:16">
      <c r="A6" t="s">
        <v>65</v>
      </c>
      <c r="B6" s="11" t="s">
        <v>363</v>
      </c>
      <c r="C6" s="16" t="s">
        <v>359</v>
      </c>
      <c r="D6" s="2" t="s">
        <v>360</v>
      </c>
      <c r="E6" s="14" t="s">
        <v>361</v>
      </c>
      <c r="F6" s="14" t="s">
        <v>347</v>
      </c>
      <c r="G6" s="8">
        <v>96</v>
      </c>
      <c r="H6" s="17">
        <v>4</v>
      </c>
      <c r="I6" s="17">
        <f>G6*6</f>
        <v>576</v>
      </c>
      <c r="J6" s="17">
        <v>24</v>
      </c>
      <c r="K6" s="29">
        <f t="shared" si="0"/>
        <v>24</v>
      </c>
      <c r="L6" s="30" t="s">
        <v>362</v>
      </c>
      <c r="M6" s="17">
        <f>(61.5*31.5*36)/1000000</f>
        <v>0.069741</v>
      </c>
      <c r="N6" s="17">
        <v>12.1</v>
      </c>
      <c r="O6" s="17">
        <f t="shared" si="2"/>
        <v>290.4</v>
      </c>
      <c r="P6" s="17">
        <f t="shared" si="1"/>
        <v>1.673784</v>
      </c>
    </row>
    <row r="10" customFormat="1" ht="15" spans="1:20">
      <c r="A10" s="10" t="s">
        <v>78</v>
      </c>
      <c r="B10" s="11" t="s">
        <v>143</v>
      </c>
      <c r="C10" t="s">
        <v>39</v>
      </c>
      <c r="D10" s="18" t="s">
        <v>217</v>
      </c>
      <c r="E10" s="18" t="s">
        <v>218</v>
      </c>
      <c r="F10" s="19" t="s">
        <v>107</v>
      </c>
      <c r="G10" s="20">
        <v>12</v>
      </c>
      <c r="H10" s="21">
        <v>6</v>
      </c>
      <c r="I10" s="10">
        <f t="shared" ref="I10:I15" si="3">G10</f>
        <v>12</v>
      </c>
      <c r="J10" s="21">
        <v>6</v>
      </c>
      <c r="K10" s="31">
        <f t="shared" ref="K10:K15" si="4">G10/H10</f>
        <v>2</v>
      </c>
      <c r="L10" s="18" t="s">
        <v>108</v>
      </c>
      <c r="M10" s="32">
        <v>0.246</v>
      </c>
      <c r="N10" s="32">
        <v>18</v>
      </c>
      <c r="O10" s="18">
        <f t="shared" si="2"/>
        <v>36</v>
      </c>
      <c r="P10" s="8">
        <f t="shared" ref="P10:P15" si="5">M10*K10</f>
        <v>0.492</v>
      </c>
      <c r="Q10" s="2" t="s">
        <v>528</v>
      </c>
      <c r="R10" s="38" t="s">
        <v>529</v>
      </c>
      <c r="S10" t="s">
        <v>530</v>
      </c>
      <c r="T10" t="s">
        <v>531</v>
      </c>
    </row>
    <row r="11" customFormat="1" ht="15" spans="1:20">
      <c r="A11" s="10" t="s">
        <v>78</v>
      </c>
      <c r="B11" s="11"/>
      <c r="C11" t="s">
        <v>34</v>
      </c>
      <c r="D11" s="18" t="s">
        <v>219</v>
      </c>
      <c r="E11" s="18" t="s">
        <v>220</v>
      </c>
      <c r="F11" s="22" t="s">
        <v>221</v>
      </c>
      <c r="G11" s="20">
        <v>20</v>
      </c>
      <c r="H11" s="21">
        <v>10</v>
      </c>
      <c r="I11" s="10">
        <f t="shared" si="3"/>
        <v>20</v>
      </c>
      <c r="J11" s="21">
        <v>10</v>
      </c>
      <c r="K11" s="31">
        <f t="shared" si="4"/>
        <v>2</v>
      </c>
      <c r="L11" s="18" t="s">
        <v>112</v>
      </c>
      <c r="M11" s="32">
        <v>0.2625</v>
      </c>
      <c r="N11" s="32">
        <v>20.275</v>
      </c>
      <c r="O11" s="18">
        <f t="shared" si="2"/>
        <v>40.55</v>
      </c>
      <c r="P11" s="8">
        <f t="shared" si="5"/>
        <v>0.525</v>
      </c>
      <c r="Q11" s="2"/>
      <c r="R11" s="39"/>
      <c r="S11" t="s">
        <v>532</v>
      </c>
      <c r="T11" t="s">
        <v>533</v>
      </c>
    </row>
    <row r="12" customFormat="1" ht="15" spans="1:20">
      <c r="A12" s="10" t="s">
        <v>78</v>
      </c>
      <c r="B12" s="11"/>
      <c r="C12" s="18" t="s">
        <v>34</v>
      </c>
      <c r="D12" s="18" t="s">
        <v>222</v>
      </c>
      <c r="E12" s="18" t="s">
        <v>223</v>
      </c>
      <c r="F12" s="19" t="s">
        <v>46</v>
      </c>
      <c r="G12" s="20">
        <v>20</v>
      </c>
      <c r="H12" s="21">
        <v>10</v>
      </c>
      <c r="I12" s="10">
        <f t="shared" si="3"/>
        <v>20</v>
      </c>
      <c r="J12" s="21">
        <v>10</v>
      </c>
      <c r="K12" s="31">
        <f t="shared" si="4"/>
        <v>2</v>
      </c>
      <c r="L12" s="18" t="s">
        <v>224</v>
      </c>
      <c r="M12" s="33">
        <v>0.303</v>
      </c>
      <c r="N12" s="33">
        <v>22.5</v>
      </c>
      <c r="O12" s="18">
        <f t="shared" si="2"/>
        <v>45</v>
      </c>
      <c r="P12" s="8">
        <f t="shared" si="5"/>
        <v>0.606</v>
      </c>
      <c r="Q12" s="2"/>
      <c r="R12" s="39"/>
      <c r="S12" t="s">
        <v>534</v>
      </c>
      <c r="T12" t="s">
        <v>535</v>
      </c>
    </row>
    <row r="13" customFormat="1" spans="1:20">
      <c r="A13" s="10" t="s">
        <v>78</v>
      </c>
      <c r="B13" s="11" t="s">
        <v>225</v>
      </c>
      <c r="C13" t="s">
        <v>226</v>
      </c>
      <c r="D13" s="1" t="s">
        <v>227</v>
      </c>
      <c r="E13" t="s">
        <v>228</v>
      </c>
      <c r="F13" s="23" t="s">
        <v>229</v>
      </c>
      <c r="G13" s="24">
        <v>12</v>
      </c>
      <c r="H13" s="10">
        <v>6</v>
      </c>
      <c r="I13" s="10">
        <f t="shared" si="3"/>
        <v>12</v>
      </c>
      <c r="J13" s="10">
        <v>6</v>
      </c>
      <c r="K13" s="31">
        <f t="shared" si="4"/>
        <v>2</v>
      </c>
      <c r="L13" s="10" t="s">
        <v>230</v>
      </c>
      <c r="M13" s="34">
        <v>0.1845</v>
      </c>
      <c r="N13" s="34">
        <v>11.4</v>
      </c>
      <c r="O13" s="10">
        <f t="shared" si="2"/>
        <v>22.8</v>
      </c>
      <c r="P13" s="35">
        <f t="shared" si="5"/>
        <v>0.369</v>
      </c>
      <c r="Q13" s="2"/>
      <c r="R13" s="39"/>
      <c r="S13" t="s">
        <v>536</v>
      </c>
      <c r="T13" t="s">
        <v>537</v>
      </c>
    </row>
    <row r="14" customFormat="1" ht="14.25" spans="1:20">
      <c r="A14" s="10" t="s">
        <v>78</v>
      </c>
      <c r="B14" s="11"/>
      <c r="C14" s="10" t="s">
        <v>231</v>
      </c>
      <c r="D14" s="20" t="s">
        <v>232</v>
      </c>
      <c r="E14" s="20" t="s">
        <v>233</v>
      </c>
      <c r="F14" s="18" t="s">
        <v>234</v>
      </c>
      <c r="G14" s="10">
        <v>12</v>
      </c>
      <c r="H14" s="10">
        <v>6</v>
      </c>
      <c r="I14" s="20">
        <f t="shared" si="3"/>
        <v>12</v>
      </c>
      <c r="J14" s="10">
        <v>6</v>
      </c>
      <c r="K14" s="36">
        <f t="shared" si="4"/>
        <v>2</v>
      </c>
      <c r="L14" s="10" t="s">
        <v>235</v>
      </c>
      <c r="M14" s="20">
        <f>87*51*54/1000000</f>
        <v>0.239598</v>
      </c>
      <c r="N14" s="34">
        <v>16</v>
      </c>
      <c r="O14" s="10">
        <f t="shared" si="2"/>
        <v>32</v>
      </c>
      <c r="P14" s="35">
        <f t="shared" si="5"/>
        <v>0.479196</v>
      </c>
      <c r="Q14" s="2"/>
      <c r="R14" s="39"/>
      <c r="S14" t="s">
        <v>538</v>
      </c>
      <c r="T14" t="s">
        <v>539</v>
      </c>
    </row>
    <row r="15" customFormat="1" ht="15" spans="1:20">
      <c r="A15" s="10" t="s">
        <v>78</v>
      </c>
      <c r="B15" s="11"/>
      <c r="C15" t="s">
        <v>236</v>
      </c>
      <c r="D15" s="18" t="s">
        <v>237</v>
      </c>
      <c r="E15" s="18" t="s">
        <v>238</v>
      </c>
      <c r="F15" s="22" t="s">
        <v>239</v>
      </c>
      <c r="G15" s="20">
        <v>8</v>
      </c>
      <c r="H15" s="21">
        <v>1</v>
      </c>
      <c r="I15" s="10">
        <f t="shared" si="3"/>
        <v>8</v>
      </c>
      <c r="J15" s="21">
        <v>1</v>
      </c>
      <c r="K15" s="36">
        <f t="shared" si="4"/>
        <v>8</v>
      </c>
      <c r="L15" s="18" t="s">
        <v>117</v>
      </c>
      <c r="M15" s="32">
        <v>0.178</v>
      </c>
      <c r="N15" s="37">
        <v>8.6</v>
      </c>
      <c r="O15" s="8">
        <f t="shared" si="2"/>
        <v>68.8</v>
      </c>
      <c r="P15" s="8">
        <f t="shared" si="5"/>
        <v>1.424</v>
      </c>
      <c r="Q15" s="2"/>
      <c r="R15" s="39"/>
      <c r="S15" t="s">
        <v>540</v>
      </c>
      <c r="T15" t="s">
        <v>541</v>
      </c>
    </row>
    <row r="17" customFormat="1" ht="14.25" spans="1:20">
      <c r="A17" s="10" t="s">
        <v>78</v>
      </c>
      <c r="B17" s="11" t="s">
        <v>542</v>
      </c>
      <c r="C17" s="10" t="s">
        <v>240</v>
      </c>
      <c r="D17" s="10" t="s">
        <v>241</v>
      </c>
      <c r="E17" s="25" t="s">
        <v>242</v>
      </c>
      <c r="F17" s="10" t="s">
        <v>243</v>
      </c>
      <c r="G17" s="10">
        <v>8</v>
      </c>
      <c r="H17" s="10">
        <v>1</v>
      </c>
      <c r="I17" s="20">
        <f>G17</f>
        <v>8</v>
      </c>
      <c r="J17" s="10">
        <v>1</v>
      </c>
      <c r="K17" s="36">
        <f>G17/H17</f>
        <v>8</v>
      </c>
      <c r="L17" s="10" t="s">
        <v>244</v>
      </c>
      <c r="M17" s="34">
        <v>0.223584</v>
      </c>
      <c r="N17" s="34">
        <v>9</v>
      </c>
      <c r="O17" s="10">
        <f>N17*K17</f>
        <v>72</v>
      </c>
      <c r="P17" s="35">
        <f>M17*K17</f>
        <v>1.788672</v>
      </c>
      <c r="Q17" s="2" t="s">
        <v>543</v>
      </c>
      <c r="R17" s="11" t="s">
        <v>544</v>
      </c>
      <c r="S17" t="s">
        <v>545</v>
      </c>
      <c r="T17" t="s">
        <v>546</v>
      </c>
    </row>
    <row r="18" spans="16:16">
      <c r="P18">
        <f>SUM(P4:P17)</f>
        <v>10.309328</v>
      </c>
    </row>
  </sheetData>
  <mergeCells count="2">
    <mergeCell ref="Q10:Q15"/>
    <mergeCell ref="R10:R15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汇总</vt:lpstr>
      <vt:lpstr>贴标要求</vt:lpstr>
      <vt:lpstr>GEU3</vt:lpstr>
      <vt:lpstr>GEU2</vt:lpstr>
      <vt:lpstr>SCK8</vt:lpstr>
      <vt:lpstr>ABQ2</vt:lpstr>
      <vt:lpstr>MIT2</vt:lpstr>
      <vt:lpstr>TCY2</vt:lpstr>
      <vt:lpstr>QXY8</vt:lpstr>
      <vt:lpstr>POC2</vt:lpstr>
      <vt:lpstr>海外仓-八爪鱼-hold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14019</dc:creator>
  <cp:lastModifiedBy>蓓蓓</cp:lastModifiedBy>
  <dcterms:created xsi:type="dcterms:W3CDTF">2023-05-12T11:15:00Z</dcterms:created>
  <dcterms:modified xsi:type="dcterms:W3CDTF">2025-09-18T07:53:52Z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F00F339A4F914554A4369BC9B0ED9230_13</vt:lpwstr>
  </property>
  <property fmtid="{D5CDD505-2E9C-101B-9397-08002B2CF9AE}" pid="4" name="KSOReadingLayout">
    <vt:bool>true</vt:bool>
  </property>
</Properties>
</file>