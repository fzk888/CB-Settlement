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</externalReferences>
  <definedNames>
    <definedName name="requiredAttributePTDMap">[1]AttributePTDMAP!$A$1:$C$27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<sst xmlns="http://schemas.openxmlformats.org/spreadsheetml/2006/main" count="42" uniqueCount="36">
  <si>
    <r>
      <rPr>
        <sz val="11"/>
        <color theme="1"/>
        <rFont val="宋体"/>
        <charset val="134"/>
      </rPr>
      <t>运营人员</t>
    </r>
  </si>
  <si>
    <r>
      <rPr>
        <sz val="11"/>
        <color theme="1"/>
        <rFont val="宋体"/>
        <charset val="134"/>
      </rPr>
      <t>柜号</t>
    </r>
  </si>
  <si>
    <r>
      <rPr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</si>
  <si>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品名</t>
    </r>
  </si>
  <si>
    <t>SKU</t>
  </si>
  <si>
    <t>FNSKU</t>
  </si>
  <si>
    <r>
      <rPr>
        <sz val="12"/>
        <color theme="1"/>
        <rFont val="宋体"/>
        <charset val="134"/>
      </rPr>
      <t>原</t>
    </r>
    <r>
      <rPr>
        <sz val="12"/>
        <color theme="1"/>
        <rFont val="Times New Roman"/>
        <charset val="134"/>
      </rPr>
      <t>ASIN</t>
    </r>
  </si>
  <si>
    <r>
      <rPr>
        <sz val="12"/>
        <color theme="1"/>
        <rFont val="宋体"/>
        <charset val="134"/>
      </rPr>
      <t>发货套数</t>
    </r>
  </si>
  <si>
    <r>
      <rPr>
        <sz val="12"/>
        <color theme="1"/>
        <rFont val="宋体"/>
        <charset val="134"/>
      </rPr>
      <t>套数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箱</t>
    </r>
  </si>
  <si>
    <r>
      <rPr>
        <b/>
        <sz val="12"/>
        <color rgb="FFFF0000"/>
        <rFont val="宋体"/>
        <charset val="134"/>
      </rPr>
      <t>拣货数量</t>
    </r>
  </si>
  <si>
    <r>
      <rPr>
        <b/>
        <sz val="12"/>
        <color theme="1"/>
        <rFont val="宋体"/>
        <charset val="134"/>
      </rPr>
      <t>个数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箱</t>
    </r>
  </si>
  <si>
    <r>
      <rPr>
        <sz val="12"/>
        <color theme="1"/>
        <rFont val="宋体"/>
        <charset val="134"/>
      </rPr>
      <t>箱数</t>
    </r>
  </si>
  <si>
    <r>
      <rPr>
        <sz val="12"/>
        <color theme="1"/>
        <rFont val="宋体"/>
        <charset val="134"/>
      </rPr>
      <t>箱规</t>
    </r>
  </si>
  <si>
    <r>
      <rPr>
        <sz val="12"/>
        <color theme="1"/>
        <rFont val="宋体"/>
        <charset val="134"/>
      </rPr>
      <t>单箱体积</t>
    </r>
  </si>
  <si>
    <r>
      <rPr>
        <sz val="12"/>
        <color theme="1"/>
        <rFont val="宋体"/>
        <charset val="134"/>
      </rPr>
      <t>单箱重量（</t>
    </r>
    <r>
      <rPr>
        <sz val="12"/>
        <color theme="1"/>
        <rFont val="Times New Roman"/>
        <charset val="134"/>
      </rPr>
      <t>kg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</si>
  <si>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总重</t>
    </r>
  </si>
  <si>
    <r>
      <rPr>
        <sz val="12"/>
        <color theme="1"/>
        <rFont val="宋体"/>
        <charset val="134"/>
      </rPr>
      <t>总体积</t>
    </r>
  </si>
  <si>
    <r>
      <rPr>
        <sz val="12"/>
        <color theme="1"/>
        <rFont val="宋体"/>
        <charset val="134"/>
      </rPr>
      <t>派送仓库</t>
    </r>
  </si>
  <si>
    <t>FBA ID</t>
  </si>
  <si>
    <r>
      <rPr>
        <sz val="11"/>
        <color theme="1"/>
        <rFont val="宋体"/>
        <charset val="134"/>
      </rPr>
      <t>货件编号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从</t>
    </r>
  </si>
  <si>
    <r>
      <rPr>
        <sz val="11"/>
        <color theme="1"/>
        <rFont val="宋体"/>
        <charset val="134"/>
      </rPr>
      <t>到</t>
    </r>
  </si>
  <si>
    <r>
      <rPr>
        <sz val="11"/>
        <color theme="1"/>
        <rFont val="宋体"/>
        <charset val="134"/>
      </rPr>
      <t>海外仓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账号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</si>
  <si>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何梦晴</t>
    </r>
  </si>
  <si>
    <r>
      <rPr>
        <sz val="11"/>
        <color theme="1"/>
        <rFont val="Times New Roman"/>
        <charset val="134"/>
      </rPr>
      <t>0612</t>
    </r>
    <r>
      <rPr>
        <sz val="11"/>
        <color theme="1"/>
        <rFont val="宋体"/>
        <charset val="134"/>
      </rPr>
      <t>柜号</t>
    </r>
    <r>
      <rPr>
        <sz val="11"/>
        <color theme="1"/>
        <rFont val="Times New Roman"/>
        <charset val="134"/>
      </rPr>
      <t xml:space="preserve">CSNU5572673
</t>
    </r>
    <r>
      <rPr>
        <sz val="11"/>
        <color rgb="FFFF0000"/>
        <rFont val="Times New Roman"/>
        <charset val="134"/>
      </rPr>
      <t>(</t>
    </r>
    <r>
      <rPr>
        <sz val="11"/>
        <color rgb="FFFF0000"/>
        <rFont val="宋体"/>
        <charset val="134"/>
      </rPr>
      <t>外箱有贴账号和</t>
    </r>
    <r>
      <rPr>
        <sz val="11"/>
        <color rgb="FFFF0000"/>
        <rFont val="Times New Roman"/>
        <charset val="134"/>
      </rPr>
      <t>ASIN FN</t>
    </r>
    <r>
      <rPr>
        <sz val="11"/>
        <color rgb="FFFF0000"/>
        <rFont val="宋体"/>
        <charset val="134"/>
      </rPr>
      <t>标签识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别</t>
    </r>
    <r>
      <rPr>
        <sz val="11"/>
        <color rgb="FFFF0000"/>
        <rFont val="Times New Roman"/>
        <charset val="134"/>
      </rPr>
      <t>)</t>
    </r>
  </si>
  <si>
    <r>
      <rPr>
        <sz val="11"/>
        <color theme="1"/>
        <rFont val="宋体"/>
        <charset val="134"/>
      </rPr>
      <t>梅森罐</t>
    </r>
    <r>
      <rPr>
        <sz val="11"/>
        <color theme="1"/>
        <rFont val="Times New Roman"/>
        <charset val="134"/>
      </rPr>
      <t>6pack</t>
    </r>
  </si>
  <si>
    <t>Mason-16oz6pcs</t>
  </si>
  <si>
    <t>X0046QLNID</t>
  </si>
  <si>
    <t>B0938GY8DW</t>
  </si>
  <si>
    <t>61.5*31.5*36cm</t>
  </si>
  <si>
    <t>GEU2</t>
  </si>
  <si>
    <r>
      <t xml:space="preserve">FBA190C6ZCNF-GEU2
</t>
    </r>
    <r>
      <rPr>
        <sz val="11"/>
        <color theme="1"/>
        <rFont val="宋体"/>
        <charset val="134"/>
      </rPr>
      <t>箱数：</t>
    </r>
    <r>
      <rPr>
        <sz val="11"/>
        <color theme="1"/>
        <rFont val="Times New Roman"/>
        <charset val="134"/>
      </rPr>
      <t>76</t>
    </r>
    <r>
      <rPr>
        <sz val="11"/>
        <color theme="1"/>
        <rFont val="宋体"/>
        <charset val="134"/>
      </rPr>
      <t>箱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总数：</t>
    </r>
    <r>
      <rPr>
        <sz val="11"/>
        <color theme="1"/>
        <rFont val="Times New Roman"/>
        <charset val="134"/>
      </rPr>
      <t>456</t>
    </r>
    <r>
      <rPr>
        <sz val="11"/>
        <color theme="1"/>
        <rFont val="宋体"/>
        <charset val="134"/>
      </rPr>
      <t>个</t>
    </r>
  </si>
  <si>
    <t>FBA190C6ZCNFU000001</t>
  </si>
  <si>
    <t>FBA190C6ZCNFU000076</t>
  </si>
  <si>
    <r>
      <rPr>
        <sz val="11"/>
        <color theme="1"/>
        <rFont val="Times New Roman"/>
        <charset val="134"/>
      </rPr>
      <t>0714</t>
    </r>
    <r>
      <rPr>
        <sz val="11"/>
        <color theme="1"/>
        <rFont val="宋体"/>
        <charset val="134"/>
      </rPr>
      <t>柜号</t>
    </r>
    <r>
      <rPr>
        <sz val="11"/>
        <color theme="1"/>
        <rFont val="Times New Roman"/>
        <charset val="134"/>
      </rPr>
      <t xml:space="preserve">XYLU8213950
</t>
    </r>
    <r>
      <rPr>
        <sz val="11"/>
        <color rgb="FFFF0000"/>
        <rFont val="Times New Roman"/>
        <charset val="134"/>
      </rPr>
      <t>(</t>
    </r>
    <r>
      <rPr>
        <sz val="11"/>
        <color rgb="FFFF0000"/>
        <rFont val="宋体"/>
        <charset val="134"/>
      </rPr>
      <t>外箱有贴账号和</t>
    </r>
    <r>
      <rPr>
        <sz val="11"/>
        <color rgb="FFFF0000"/>
        <rFont val="Times New Roman"/>
        <charset val="134"/>
      </rPr>
      <t>ASIN FN</t>
    </r>
    <r>
      <rPr>
        <sz val="11"/>
        <color rgb="FFFF0000"/>
        <rFont val="宋体"/>
        <charset val="134"/>
      </rPr>
      <t>标签识</t>
    </r>
    <r>
      <rPr>
        <sz val="11"/>
        <color rgb="FFFF0000"/>
        <rFont val="Times New Roman"/>
        <charset val="134"/>
      </rPr>
      <t xml:space="preserve">
</t>
    </r>
    <r>
      <rPr>
        <sz val="11"/>
        <color rgb="FFFF0000"/>
        <rFont val="宋体"/>
        <charset val="134"/>
      </rPr>
      <t>别</t>
    </r>
    <r>
      <rPr>
        <sz val="11"/>
        <color rgb="FFFF0000"/>
        <rFont val="Times New Roman"/>
        <charset val="134"/>
      </rPr>
      <t>)</t>
    </r>
  </si>
  <si>
    <t>已复制到总表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</si>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</sst>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11"/>
      <name val="Times New Roman"/>
      <charset val="134"/>
    </font>
    <font>
      <b/>
      <sz val="12"/>
      <color rgb="FFFF000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5D3E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5D3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zoomScale="85" zoomScaleNormal="85" workbookViewId="0">
      <pane ySplit="1" topLeftCell="A2" activePane="bottomLeft" state="frozen"/>
      <selection/>
      <selection pane="bottomLeft" activeCell="T3" sqref="T3:T5"/>
    </sheetView>
  </sheetViews>
  <sheetFormatPr defaultColWidth="8.74166666666667" defaultRowHeight="13.5"/>
  <cols>
    <col min="1" max="1" width="8.875" customWidth="1"/>
    <col min="2" max="2" width="24.8416666666667" style="3" customWidth="1"/>
    <col min="3" max="3" width="13.45" customWidth="1"/>
    <col min="4" max="4" width="12.2833333333333" style="3" customWidth="1"/>
    <col min="5" max="5" width="19.7333333333333" style="3" customWidth="1"/>
    <col min="6" max="6" width="13.3416666666667" style="3" customWidth="1"/>
    <col min="7" max="7" width="14.125" style="3" customWidth="1"/>
    <col min="8" max="8" width="10.325" style="3" customWidth="1"/>
    <col min="9" max="9" width="8.88333333333333" style="3" customWidth="1"/>
    <col min="10" max="10" width="10.325" style="3" customWidth="1"/>
    <col min="11" max="11" width="9.40833333333333" style="3" customWidth="1"/>
    <col min="12" max="12" width="8.74166666666667" style="3"/>
    <col min="13" max="13" width="15.8083333333333" style="3" customWidth="1"/>
    <col min="14" max="14" width="9.00833333333333" style="3" customWidth="1"/>
    <col min="15" max="15" width="10.45" style="3" customWidth="1"/>
    <col min="16" max="16" width="8.74166666666667" style="3"/>
    <col min="17" max="18" width="8.875" style="3" customWidth="1"/>
    <col min="19" max="19" width="20.25" customWidth="1"/>
    <col min="20" max="20" width="17.25" customWidth="1"/>
    <col min="21" max="21" width="25.35" customWidth="1"/>
    <col min="22" max="22" width="24.9666666666667" customWidth="1"/>
  </cols>
  <sheetData>
    <row r="1" s="1" customFormat="1" ht="35" customHeight="1" spans="1:22">
      <c r="A1" s="1" t="s">
        <v>0</v>
      </c>
      <c r="B1" s="4" t="s">
        <v>1</v>
      </c>
      <c r="C1" s="1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8" t="s">
        <v>9</v>
      </c>
      <c r="K1" s="19" t="s">
        <v>10</v>
      </c>
      <c r="L1" s="6" t="s">
        <v>11</v>
      </c>
      <c r="M1" s="6" t="s">
        <v>12</v>
      </c>
      <c r="N1" s="6" t="s">
        <v>13</v>
      </c>
      <c r="O1" s="20" t="s">
        <v>14</v>
      </c>
      <c r="P1" s="6" t="s">
        <v>15</v>
      </c>
      <c r="Q1" s="6" t="s">
        <v>16</v>
      </c>
      <c r="R1" s="6"/>
      <c r="S1" s="6" t="s">
        <v>17</v>
      </c>
      <c r="T1" s="23" t="s">
        <v>18</v>
      </c>
      <c r="U1" s="1" t="s">
        <v>19</v>
      </c>
      <c r="V1" s="1" t="s">
        <v>20</v>
      </c>
    </row>
    <row r="2" s="2" customFormat="1" ht="15" customHeight="1" spans="2:18">
      <c r="B2" s="4"/>
      <c r="C2" s="7" t="s">
        <v>21</v>
      </c>
      <c r="D2" s="8"/>
      <c r="E2" s="8"/>
      <c r="F2" s="8"/>
      <c r="G2" s="8"/>
      <c r="H2" s="4"/>
      <c r="I2" s="8"/>
      <c r="J2" s="8"/>
      <c r="K2" s="8"/>
      <c r="L2" s="4"/>
      <c r="M2" s="8"/>
      <c r="N2" s="8"/>
      <c r="O2" s="8"/>
      <c r="P2" s="8"/>
      <c r="Q2" s="8"/>
      <c r="R2" s="8"/>
    </row>
    <row r="3" s="1" customFormat="1" ht="70" customHeight="1" spans="1:22">
      <c r="A3" s="1" t="s">
        <v>22</v>
      </c>
      <c r="B3" s="9" t="s">
        <v>23</v>
      </c>
      <c r="D3" s="4" t="s">
        <v>24</v>
      </c>
      <c r="E3" s="10" t="s">
        <v>25</v>
      </c>
      <c r="F3" s="11" t="s">
        <v>26</v>
      </c>
      <c r="G3" s="12" t="s">
        <v>27</v>
      </c>
      <c r="H3" s="12">
        <v>240</v>
      </c>
      <c r="I3" s="12">
        <v>6</v>
      </c>
      <c r="J3" s="12">
        <f>H3*6</f>
        <v>1440</v>
      </c>
      <c r="K3" s="12">
        <v>36</v>
      </c>
      <c r="L3" s="4">
        <f>H3/I3</f>
        <v>40</v>
      </c>
      <c r="M3" s="4" t="s">
        <v>28</v>
      </c>
      <c r="N3" s="10">
        <f>(61.5*31.5*36)/1000000</f>
        <v>0.069741</v>
      </c>
      <c r="O3" s="21">
        <v>12.1</v>
      </c>
      <c r="P3" s="10">
        <f>O3*L3</f>
        <v>484</v>
      </c>
      <c r="Q3" s="4">
        <f>N3*L3</f>
        <v>2.78964</v>
      </c>
      <c r="R3" s="4">
        <f>323/5.3*Q3</f>
        <v>170.010135849057</v>
      </c>
      <c r="S3" s="4" t="s">
        <v>29</v>
      </c>
      <c r="T3" s="16" t="s">
        <v>30</v>
      </c>
      <c r="U3" s="4" t="s">
        <v>31</v>
      </c>
      <c r="V3" s="4" t="s">
        <v>32</v>
      </c>
    </row>
    <row r="4" s="1" customFormat="1" ht="25" customHeight="1" spans="2:22">
      <c r="B4" s="4"/>
      <c r="D4" s="4"/>
      <c r="E4" s="13"/>
      <c r="F4" s="11"/>
      <c r="G4" s="14"/>
      <c r="H4" s="14"/>
      <c r="I4" s="14"/>
      <c r="J4" s="14"/>
      <c r="K4" s="14"/>
      <c r="L4" s="4"/>
      <c r="M4" s="4"/>
      <c r="N4" s="13"/>
      <c r="O4" s="22"/>
      <c r="P4" s="13"/>
      <c r="Q4" s="4"/>
      <c r="R4" s="4"/>
      <c r="S4" s="4"/>
      <c r="T4" s="16"/>
      <c r="U4" s="4"/>
      <c r="V4" s="4"/>
    </row>
    <row r="5" s="2" customFormat="1" ht="60" spans="1:22">
      <c r="A5" s="15" t="s">
        <v>22</v>
      </c>
      <c r="B5" s="16" t="s">
        <v>33</v>
      </c>
      <c r="C5" s="1"/>
      <c r="D5" s="4" t="s">
        <v>24</v>
      </c>
      <c r="E5" s="8" t="s">
        <v>25</v>
      </c>
      <c r="F5" s="8" t="s">
        <v>26</v>
      </c>
      <c r="G5" s="8" t="s">
        <v>27</v>
      </c>
      <c r="H5" s="4">
        <v>216</v>
      </c>
      <c r="I5" s="8">
        <v>6</v>
      </c>
      <c r="J5" s="8">
        <f>H5*6</f>
        <v>1296</v>
      </c>
      <c r="K5" s="8">
        <v>36</v>
      </c>
      <c r="L5" s="4">
        <f>H5/I5</f>
        <v>36</v>
      </c>
      <c r="M5" s="4" t="s">
        <v>28</v>
      </c>
      <c r="N5" s="8">
        <f>(61.5*31.5*36)/1000000</f>
        <v>0.069741</v>
      </c>
      <c r="O5" s="8">
        <v>12.1</v>
      </c>
      <c r="P5" s="8">
        <f>O5*L5</f>
        <v>435.6</v>
      </c>
      <c r="Q5" s="8">
        <f>N5*L5</f>
        <v>2.510676</v>
      </c>
      <c r="R5" s="4">
        <f>323/5.3*Q5</f>
        <v>153.009122264151</v>
      </c>
      <c r="S5" s="4"/>
      <c r="T5" s="16"/>
      <c r="U5" s="4"/>
      <c r="V5" s="4"/>
    </row>
    <row r="6" ht="14.25" spans="2:19">
      <c r="B6" s="17"/>
      <c r="S6" s="24" t="s">
        <v>34</v>
      </c>
    </row>
    <row r="11" spans="8:8">
      <c r="H11" s="3" t="s">
        <v>35</v>
      </c>
    </row>
  </sheetData>
  <mergeCells count="4">
    <mergeCell ref="S3:S5"/>
    <mergeCell ref="T3:T5"/>
    <mergeCell ref="U3:U5"/>
    <mergeCell ref="V3:V5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2025-09-18T07:52:33Z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760F1A9C61EE4C609AF34174C8B148FD_13</vt:lpwstr>
  </property>
  <property fmtid="{D5CDD505-2E9C-101B-9397-08002B2CF9AE}" pid="4" name="KSOReadingLayout">
    <vt:bool>true</vt:bool>
  </property>
</Properties>
</file>