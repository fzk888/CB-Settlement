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J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<sst xmlns="http://schemas.openxmlformats.org/spreadsheetml/2006/main" count="57" uniqueCount="55">
  <si>
    <t xml:space="preserve">Serial Number
</t>
  </si>
  <si>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</si>
  <si>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</si>
  <si>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</si>
  <si>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</si>
  <si>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</si>
  <si>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</si>
  <si>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</si>
  <si>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</si>
  <si>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</si>
  <si>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</si>
  <si>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</si>
  <si>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</si>
  <si>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</si>
  <si>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warehouse code</t>
  </si>
  <si>
    <t>箱唛上的SKU</t>
  </si>
  <si>
    <t>FBA ID</t>
  </si>
  <si>
    <t>TO</t>
  </si>
  <si>
    <t>重型冰淇淋勺</t>
  </si>
  <si>
    <t>Heavy duty ice cream scoop</t>
  </si>
  <si>
    <t>KND-IceCrmScp1</t>
  </si>
  <si>
    <t>X001924JCX</t>
  </si>
  <si>
    <t>B08R6SKCVN</t>
  </si>
  <si>
    <t>17.71x14.96x9.84</t>
  </si>
  <si>
    <t>BWU2</t>
  </si>
  <si>
    <t>FBA15FXB747LU000001</t>
  </si>
  <si>
    <t>优质披萨切割机摆动刀片</t>
  </si>
  <si>
    <t xml:space="preserve">High quality pizza cutting machine swing blade
</t>
  </si>
  <si>
    <t>KND-PzaCutter14in</t>
  </si>
  <si>
    <t>X00191S58N</t>
  </si>
  <si>
    <t>B01IP5VT2O</t>
  </si>
  <si>
    <t>15x14x9</t>
  </si>
  <si>
    <t>FBA15FXB747LU000002</t>
  </si>
  <si>
    <t>FBA15FXB747LU000003</t>
  </si>
  <si>
    <t>帆布和木质秋千椅奶油色</t>
  </si>
  <si>
    <t>Canvas and wooden swing chairs in cream color</t>
  </si>
  <si>
    <t>TOY-Swing-Cream</t>
  </si>
  <si>
    <t>X00192A2DX</t>
  </si>
  <si>
    <t>B095W2MLPF</t>
  </si>
  <si>
    <t>17.745x15.8x11.115</t>
  </si>
  <si>
    <t>BWU6</t>
  </si>
  <si>
    <t xml:space="preserve">TOY-Swing-Cream
</t>
  </si>
  <si>
    <t>FBA15FXBDDH7U000021</t>
  </si>
  <si>
    <t>FBA15FXBDDH7U000023</t>
  </si>
  <si>
    <t>预调味铸铁双层荷兰烤箱</t>
  </si>
  <si>
    <t>Pre seasoned cast iron double-layer Dutch oven</t>
  </si>
  <si>
    <t>LML-DutchOven5L</t>
  </si>
  <si>
    <t>X0019167E7</t>
  </si>
  <si>
    <t>B07V32FG4Q</t>
  </si>
  <si>
    <t>13.65x12.48x11.7</t>
  </si>
  <si>
    <t xml:space="preserve">LML-DutchOven5L
</t>
  </si>
  <si>
    <t>FBA15FXBDDH7U000001</t>
  </si>
  <si>
    <t>FBA15FXBDDH7U000020</t>
  </si>
  <si>
    <t>Invoice #: 00026751</t>
  </si>
  <si>
    <t>ok  自提费未录入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</si>
</sst>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7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0"/>
      <name val="微软雅黑"/>
      <charset val="134"/>
    </font>
    <font>
      <sz val="10.5"/>
      <name val="Arial"/>
      <charset val="134"/>
    </font>
    <font>
      <sz val="9"/>
      <color rgb="FF000000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topLeftCell="E1" workbookViewId="0">
      <selection activeCell="L17" sqref="L17"/>
    </sheetView>
  </sheetViews>
  <sheetFormatPr defaultColWidth="9" defaultRowHeight="13.5"/>
  <cols>
    <col min="1" max="2" width="15.625" customWidth="1"/>
    <col min="3" max="3" width="22.125" customWidth="1"/>
    <col min="4" max="16" width="15.625" customWidth="1"/>
    <col min="17" max="17" width="26.5" customWidth="1"/>
  </cols>
  <sheetData>
    <row r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  <row r="2" ht="30" customHeight="1" spans="1:17">
      <c r="A2" s="2"/>
      <c r="B2" s="3" t="s">
        <v>18</v>
      </c>
      <c r="C2" s="4" t="s">
        <v>19</v>
      </c>
      <c r="D2" s="5" t="s">
        <v>20</v>
      </c>
      <c r="E2" s="6" t="s">
        <v>21</v>
      </c>
      <c r="F2" s="3" t="s">
        <v>22</v>
      </c>
      <c r="G2" s="4">
        <v>48</v>
      </c>
      <c r="H2" s="4">
        <v>48</v>
      </c>
      <c r="I2" s="8">
        <v>1</v>
      </c>
      <c r="J2" s="9" t="s">
        <v>23</v>
      </c>
      <c r="K2" s="4">
        <v>0.041712405504</v>
      </c>
      <c r="L2" s="10">
        <f>25.35*0.453</f>
        <v>11.48355</v>
      </c>
      <c r="M2" s="11">
        <f>I2*L2</f>
        <v>11.48355</v>
      </c>
      <c r="N2" s="12">
        <f>K2*I2</f>
        <v>0.041712405504</v>
      </c>
      <c r="O2" s="13" t="s">
        <v>24</v>
      </c>
      <c r="P2" s="5" t="s">
        <v>20</v>
      </c>
      <c r="Q2" t="s">
        <v>25</v>
      </c>
    </row>
    <row r="3" ht="30" customHeight="1" spans="1:18">
      <c r="A3" s="2"/>
      <c r="B3" s="3" t="s">
        <v>26</v>
      </c>
      <c r="C3" s="4" t="s">
        <v>27</v>
      </c>
      <c r="D3" s="5" t="s">
        <v>28</v>
      </c>
      <c r="E3" s="6" t="s">
        <v>29</v>
      </c>
      <c r="F3" s="3" t="s">
        <v>30</v>
      </c>
      <c r="G3" s="4">
        <v>72</v>
      </c>
      <c r="H3" s="4">
        <v>36</v>
      </c>
      <c r="I3" s="8">
        <v>2</v>
      </c>
      <c r="J3" s="4" t="s">
        <v>31</v>
      </c>
      <c r="K3" s="4">
        <v>0.03024</v>
      </c>
      <c r="L3" s="10">
        <f>34*0.453</f>
        <v>15.402</v>
      </c>
      <c r="M3" s="11">
        <f>I3*L3</f>
        <v>30.804</v>
      </c>
      <c r="N3" s="12">
        <f>K3*I3</f>
        <v>0.06048</v>
      </c>
      <c r="O3" s="13"/>
      <c r="P3" s="5" t="s">
        <v>28</v>
      </c>
      <c r="Q3" t="s">
        <v>32</v>
      </c>
      <c r="R3" t="s">
        <v>33</v>
      </c>
    </row>
    <row r="4" ht="30" customHeight="1" spans="1:18">
      <c r="A4" s="2"/>
      <c r="B4" s="3" t="s">
        <v>34</v>
      </c>
      <c r="C4" s="4" t="s">
        <v>35</v>
      </c>
      <c r="D4" s="5" t="s">
        <v>36</v>
      </c>
      <c r="E4" s="6" t="s">
        <v>37</v>
      </c>
      <c r="F4" s="3" t="s">
        <v>38</v>
      </c>
      <c r="G4" s="4">
        <v>18</v>
      </c>
      <c r="H4" s="4">
        <v>6</v>
      </c>
      <c r="I4" s="8">
        <v>3</v>
      </c>
      <c r="J4" s="9" t="s">
        <v>39</v>
      </c>
      <c r="K4" s="4">
        <v>0.04982470592</v>
      </c>
      <c r="L4" s="10">
        <f>25*0.453</f>
        <v>11.325</v>
      </c>
      <c r="M4" s="11">
        <f>I4*L4</f>
        <v>33.975</v>
      </c>
      <c r="N4" s="12">
        <f>K4*I4</f>
        <v>0.14947411776</v>
      </c>
      <c r="O4" s="14" t="s">
        <v>40</v>
      </c>
      <c r="P4" s="5" t="s">
        <v>41</v>
      </c>
      <c r="Q4" t="s">
        <v>42</v>
      </c>
      <c r="R4" t="s">
        <v>43</v>
      </c>
    </row>
    <row r="5" ht="30" customHeight="1" spans="1:18">
      <c r="A5" s="2"/>
      <c r="B5" s="3" t="s">
        <v>44</v>
      </c>
      <c r="C5" s="4" t="s">
        <v>45</v>
      </c>
      <c r="D5" s="5" t="s">
        <v>46</v>
      </c>
      <c r="E5" s="6" t="s">
        <v>47</v>
      </c>
      <c r="F5" s="3" t="s">
        <v>48</v>
      </c>
      <c r="G5" s="4">
        <v>40</v>
      </c>
      <c r="H5" s="4">
        <v>2</v>
      </c>
      <c r="I5" s="8">
        <v>20</v>
      </c>
      <c r="J5" s="9" t="s">
        <v>49</v>
      </c>
      <c r="K5" s="4">
        <v>0.0318898944</v>
      </c>
      <c r="L5" s="4"/>
      <c r="M5" s="11">
        <f>I5*L5</f>
        <v>0</v>
      </c>
      <c r="N5" s="12">
        <f>K5*I5</f>
        <v>0.637797888</v>
      </c>
      <c r="O5" s="14"/>
      <c r="P5" s="5" t="s">
        <v>50</v>
      </c>
      <c r="Q5" t="s">
        <v>51</v>
      </c>
      <c r="R5" t="s">
        <v>52</v>
      </c>
    </row>
    <row r="6" ht="30" customHeight="1"/>
    <row r="7" ht="30" customHeight="1" spans="7:14">
      <c r="G7">
        <f>SUM(G2:G6)</f>
        <v>178</v>
      </c>
      <c r="H7">
        <f>SUM(H2:H6)</f>
        <v>92</v>
      </c>
      <c r="I7">
        <f>SUM(I2:I6)</f>
        <v>26</v>
      </c>
      <c r="N7">
        <f>SUM(N2:N6)</f>
        <v>0.889464411264</v>
      </c>
    </row>
    <row r="8" ht="30" customHeight="1"/>
    <row r="9" spans="7:7">
      <c r="G9" s="7" t="s">
        <v>53</v>
      </c>
    </row>
    <row r="11" spans="14:14">
      <c r="N11" t="s">
        <v>54</v>
      </c>
    </row>
  </sheetData>
  <mergeCells count="3">
    <mergeCell ref="A2:A5"/>
    <mergeCell ref="O2:O3"/>
    <mergeCell ref="O4:O5"/>
  </mergeCells>
  <conditionalFormatting sqref="B2">
    <cfRule type="duplicateValues" dxfId="0" priority="7"/>
  </conditionalFormatting>
  <conditionalFormatting sqref="C2">
    <cfRule type="duplicateValues" dxfId="0" priority="8"/>
  </conditionalFormatting>
  <conditionalFormatting sqref="B3">
    <cfRule type="duplicateValues" dxfId="0" priority="5"/>
  </conditionalFormatting>
  <conditionalFormatting sqref="C3">
    <cfRule type="duplicateValues" dxfId="0" priority="6"/>
  </conditionalFormatting>
  <conditionalFormatting sqref="B4">
    <cfRule type="duplicateValues" dxfId="0" priority="3"/>
  </conditionalFormatting>
  <conditionalFormatting sqref="C4">
    <cfRule type="duplicateValues" dxfId="0" priority="4"/>
  </conditionalFormatting>
  <conditionalFormatting sqref="B5">
    <cfRule type="duplicateValues" dxfId="0" priority="1"/>
  </conditionalFormatting>
  <conditionalFormatting sqref="C5">
    <cfRule type="duplicateValues" dxfId="0" priority="2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蓓蓓</cp:lastModifiedBy>
  <dcterms:created xsi:type="dcterms:W3CDTF">2025-06-18T02:39:00Z</dcterms:created>
  <dcterms:modified xsi:type="dcterms:W3CDTF">2025-09-23T04:03:15Z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015C67BE21EC405384C4218CE12A37FC_13</vt:lpwstr>
  </property>
  <property fmtid="{D5CDD505-2E9C-101B-9397-08002B2CF9AE}" pid="3" name="KSOProductBuildVer">
    <vt:lpwstr>2052-12.1.0.22529</vt:lpwstr>
  </property>
</Properties>
</file>