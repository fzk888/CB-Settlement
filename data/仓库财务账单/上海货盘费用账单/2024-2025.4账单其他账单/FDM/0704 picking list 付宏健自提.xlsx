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H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这个是2个作为一个发，这个备货数我不是很清楚
</t>
        </r>
      </text>
    </comment>
  </commentList>
</comments>
</file>

<file path=xl/sharedStrings.xml><?xml version="1.0" encoding="utf-8"?>
<sst xmlns="http://schemas.openxmlformats.org/spreadsheetml/2006/main" count="158" uniqueCount="142">
  <si>
    <t xml:space="preserve">Serial Number
</t>
  </si>
  <si>
    <t xml:space="preserve">  中文品名</t>
  </si>
  <si>
    <t>Product name</t>
  </si>
  <si>
    <t>SKU</t>
  </si>
  <si>
    <t>FNSKU</t>
  </si>
  <si>
    <t>Original ASIN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</si>
  <si>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</si>
  <si>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</si>
  <si>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</si>
  <si>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</si>
  <si>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</si>
  <si>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</si>
  <si>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</si>
  <si>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</si>
  <si>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warehouse code</t>
  </si>
  <si>
    <t>箱唛上的SKU</t>
  </si>
  <si>
    <t>FBA ID</t>
  </si>
  <si>
    <t>TO</t>
  </si>
  <si>
    <t>硅胶厨房用具5件套</t>
  </si>
  <si>
    <t>Heavy duty ice cream scoop</t>
  </si>
  <si>
    <t>KND-SlUtensl-5pcs</t>
  </si>
  <si>
    <t>X001999ZNT</t>
  </si>
  <si>
    <t>B01A7QZ9ZM</t>
  </si>
  <si>
    <t>17x13x11.6 inch</t>
  </si>
  <si>
    <t>FBA15FYCJXVGU000021</t>
  </si>
  <si>
    <t>FBA15FYCJXVGU000024</t>
  </si>
  <si>
    <t>威士忌醒酒器和 4 个塔斯曼威士忌杯</t>
  </si>
  <si>
    <t>Whiskey awakener and 4 Tasman whiskey glasses</t>
  </si>
  <si>
    <t>KDN-DcntGlsSet-A</t>
  </si>
  <si>
    <t>X001920UI5</t>
  </si>
  <si>
    <t>B07881WCQY</t>
  </si>
  <si>
    <t>20.16x15.64x14.74</t>
  </si>
  <si>
    <t>FBA15FYCJXVGU000001</t>
  </si>
  <si>
    <t>FBA15FYCJXVGU000020</t>
  </si>
  <si>
    <t>霍巴特威士忌醒酒器和 4 个威士忌杯</t>
  </si>
  <si>
    <t>Hobart Whiskey Hanger and 4 Whiskey Cups</t>
  </si>
  <si>
    <t>KND-DcntGlsSet-B</t>
  </si>
  <si>
    <t>X001922WGX</t>
  </si>
  <si>
    <t>B07FXG4JVG</t>
  </si>
  <si>
    <t>20x15.6x14.7</t>
  </si>
  <si>
    <t>FBA15FYCKVWGU000001</t>
  </si>
  <si>
    <t>FBA15FYCKVWGU000012</t>
  </si>
  <si>
    <t>预调味铸铁煎锅 12.5"</t>
  </si>
  <si>
    <t>Pre seasoned cast iron frying pan 12.5“</t>
  </si>
  <si>
    <t>KND-Skillet-12in</t>
  </si>
  <si>
    <t>X00191G611</t>
  </si>
  <si>
    <t>B01M74A279</t>
  </si>
  <si>
    <t>17.35x13.84x11.9</t>
  </si>
  <si>
    <t>FBA15FYCKVWGU000013</t>
  </si>
  <si>
    <t>FBA15FYCKVWGU000032</t>
  </si>
  <si>
    <t>不锈钢烤架 17x12 英寸半 2 件装</t>
  </si>
  <si>
    <t>Stainless steel grill 17x12 inches and a half 2-piece set</t>
  </si>
  <si>
    <t>KND-BakRack-2Pack</t>
  </si>
  <si>
    <t>X00197YI79</t>
  </si>
  <si>
    <t>B06Y5F3NGY</t>
  </si>
  <si>
    <t>16.81x11.62x0.74</t>
  </si>
  <si>
    <t>FBA15FYCLTRXU000008</t>
  </si>
  <si>
    <t>FBA15FYCLTRXU000009</t>
  </si>
  <si>
    <t xml:space="preserve">铝板盘和架子半件 17.95x13" </t>
  </si>
  <si>
    <t>Aluminum plate plate and frame half piece 17.95x13"</t>
  </si>
  <si>
    <t>KND-BakSheets-1Set</t>
  </si>
  <si>
    <t>X001984K7B</t>
  </si>
  <si>
    <t>B01JRNNUU2</t>
  </si>
  <si>
    <t>1.17x17.55x13.07</t>
  </si>
  <si>
    <t>FBA15FYCLTRXU000010</t>
  </si>
  <si>
    <t>FBA15FYCLTRXU000012</t>
  </si>
  <si>
    <t>硅胶折叠微波炉爆米花机</t>
  </si>
  <si>
    <t>Silicone folding microwave popcorn maker</t>
  </si>
  <si>
    <t>Home-CornPopper</t>
  </si>
  <si>
    <t>X00197UUCV</t>
  </si>
  <si>
    <t>B08HJS7RR8</t>
  </si>
  <si>
    <t>2.6x8.3x8.3</t>
  </si>
  <si>
    <t>FBA15FYCLTRXU000006</t>
  </si>
  <si>
    <t>FBA15FYCLTRXU000007</t>
  </si>
  <si>
    <t>面团刮刀</t>
  </si>
  <si>
    <t>Dough scraper</t>
  </si>
  <si>
    <t>KND-DghScrpr</t>
  </si>
  <si>
    <t>X00197UW5L</t>
  </si>
  <si>
    <t>B075SQSHSH</t>
  </si>
  <si>
    <t>1.48x6.55x4.68</t>
  </si>
  <si>
    <t>FBA15FYCLTRXU000020</t>
  </si>
  <si>
    <t>不锈钢披萨皮</t>
  </si>
  <si>
    <t>Stainless steel pizza crust</t>
  </si>
  <si>
    <t>KND-PizzaPeel</t>
  </si>
  <si>
    <t>X00197JK3V</t>
  </si>
  <si>
    <t>B01FGTFBHG</t>
  </si>
  <si>
    <t>1.76x14.63x9.56</t>
  </si>
  <si>
    <t>FBA15FYCLTRXU000022</t>
  </si>
  <si>
    <t>FBA15FYCLTRXU000024</t>
  </si>
  <si>
    <t>不锈钢压蒜器</t>
  </si>
  <si>
    <t>Stainless steel garlic press</t>
  </si>
  <si>
    <t>KND-GarlicPress</t>
  </si>
  <si>
    <t>X00197QFWP</t>
  </si>
  <si>
    <t>B08HJQCKJB</t>
  </si>
  <si>
    <t>2.17x4.53x2.95</t>
  </si>
  <si>
    <t>FBA15FYCLTRXU000021</t>
  </si>
  <si>
    <t>烘焙用不锈钢擀面杖</t>
  </si>
  <si>
    <t>Stainless steel rolling pin for baking</t>
  </si>
  <si>
    <t>KND-RolllngPin</t>
  </si>
  <si>
    <t>X00197Y9VJ</t>
  </si>
  <si>
    <t>B00WS5JK10</t>
  </si>
  <si>
    <t>1.76x15.6x1.76</t>
  </si>
  <si>
    <t>FBA15FYCLTRXU000028</t>
  </si>
  <si>
    <t>塑料双面切菜板 14x10"</t>
  </si>
  <si>
    <t>Plastic double-sided cutting board 14x10"</t>
  </si>
  <si>
    <t>KND-CutBoards</t>
  </si>
  <si>
    <t>X00197MFUB</t>
  </si>
  <si>
    <t>B01A7Q7XSI</t>
  </si>
  <si>
    <t>9.76x13.97x0.55</t>
  </si>
  <si>
    <t>FBA15FYCLTRXU000018</t>
  </si>
  <si>
    <t>FBA15FYCLTRXU000019</t>
  </si>
  <si>
    <t>面团刮刀和糕点垫套装</t>
  </si>
  <si>
    <t>Dough scraper and pastry pad set</t>
  </si>
  <si>
    <t>BakingMatSet40x60</t>
  </si>
  <si>
    <t>X001928O6Z</t>
  </si>
  <si>
    <t>B081HZBM5Z</t>
  </si>
  <si>
    <t>1.42x15.75x5.12</t>
  </si>
  <si>
    <t>FBA15FYCLTRXU000001</t>
  </si>
  <si>
    <t>3 层格子蛋糕架</t>
  </si>
  <si>
    <t>3-layer checkered cake rack</t>
  </si>
  <si>
    <t>Cake-3Tier Holder</t>
  </si>
  <si>
    <t>X001924L2L</t>
  </si>
  <si>
    <t>B07RVDKZC2</t>
  </si>
  <si>
    <t>2.87x7.28x6.89</t>
  </si>
  <si>
    <t>FBA15FYCLTRXU000002</t>
  </si>
  <si>
    <t>FBA15FYCLTRXU000005</t>
  </si>
  <si>
    <t>不锈钢披萨皮特大号</t>
  </si>
  <si>
    <t>Stainless steel pizza Pete size</t>
  </si>
  <si>
    <t>KND-PzaPeel13x15</t>
  </si>
  <si>
    <t>X00191SC4Z</t>
  </si>
  <si>
    <t>B07GSJKTVM</t>
  </si>
  <si>
    <t>1.17x17.36x13.07</t>
  </si>
  <si>
    <t>FBA15FYCLTRXU000025</t>
  </si>
  <si>
    <t>FBA15FYCLTRXU000027</t>
  </si>
  <si>
    <t>铝板盘和架子半件 17.95x13" 双件装</t>
  </si>
  <si>
    <t>Aluminum plate tray and rack half piece 17.95x13 "two-piece set</t>
  </si>
  <si>
    <t>KND-BakSheets-2Set</t>
  </si>
  <si>
    <t>X00191OLH7</t>
  </si>
  <si>
    <t>B07QQFWF6B</t>
  </si>
  <si>
    <t>1.56x17.55x13.07</t>
  </si>
  <si>
    <t>FBA15FYCLTRXU000013</t>
  </si>
  <si>
    <t>FBA15FYCLTRXU000017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</si>
</sst>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topLeftCell="A4" workbookViewId="0">
      <selection activeCell="G23" sqref="G23"/>
    </sheetView>
  </sheetViews>
  <sheetFormatPr defaultColWidth="9" defaultRowHeight="13.5"/>
  <cols>
    <col min="1" max="1" width="15.625" style="2" customWidth="1"/>
    <col min="2" max="2" width="23.25" style="3" customWidth="1"/>
    <col min="3" max="3" width="25" style="3" customWidth="1"/>
    <col min="4" max="4" width="18.625" style="2" customWidth="1"/>
    <col min="5" max="6" width="15.625" style="2" customWidth="1"/>
    <col min="7" max="7" width="12" style="2" customWidth="1"/>
    <col min="8" max="8" width="20" style="2" customWidth="1"/>
    <col min="9" max="9" width="10.625" style="2" customWidth="1"/>
    <col min="10" max="11" width="15.625" style="2" hidden="1" customWidth="1"/>
    <col min="12" max="12" width="20" style="2" hidden="1" customWidth="1"/>
    <col min="13" max="13" width="15.125" style="2" hidden="1" customWidth="1"/>
    <col min="14" max="14" width="18.625" style="2" customWidth="1"/>
    <col min="15" max="15" width="10.625" style="2" customWidth="1"/>
    <col min="16" max="16" width="16.75" style="2" customWidth="1"/>
    <col min="17" max="17" width="21.875" style="2" customWidth="1"/>
    <col min="18" max="18" width="19.625" style="2" customWidth="1"/>
    <col min="19" max="16384" width="9" style="2"/>
  </cols>
  <sheetData>
    <row r="1" ht="27" spans="1:18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="1" customFormat="1" ht="30" customHeight="1" spans="1:18">
      <c r="A2" s="6">
        <v>1</v>
      </c>
      <c r="B2" s="7" t="s">
        <v>18</v>
      </c>
      <c r="C2" s="8" t="s">
        <v>19</v>
      </c>
      <c r="D2" s="7" t="s">
        <v>20</v>
      </c>
      <c r="E2" s="9" t="s">
        <v>21</v>
      </c>
      <c r="F2" s="7" t="s">
        <v>22</v>
      </c>
      <c r="G2" s="7">
        <v>48</v>
      </c>
      <c r="H2" s="7">
        <v>12</v>
      </c>
      <c r="I2" s="6">
        <f>G2/H2</f>
        <v>4</v>
      </c>
      <c r="J2" s="16" t="s">
        <v>23</v>
      </c>
      <c r="K2" s="7">
        <f>(17*13*11.6*0.000016)/12</f>
        <v>0.00341813333333333</v>
      </c>
      <c r="L2" s="17">
        <f>18.74*0.453</f>
        <v>8.48922</v>
      </c>
      <c r="M2" s="17">
        <f>L2*I2</f>
        <v>33.95688</v>
      </c>
      <c r="N2" s="6">
        <v>0.0410176</v>
      </c>
      <c r="O2" s="6"/>
      <c r="P2" s="8" t="s">
        <v>20</v>
      </c>
      <c r="Q2" s="6" t="s">
        <v>24</v>
      </c>
      <c r="R2" s="6" t="s">
        <v>25</v>
      </c>
    </row>
    <row r="3" s="1" customFormat="1" ht="30" customHeight="1" spans="1:18">
      <c r="A3" s="6">
        <v>3</v>
      </c>
      <c r="B3" s="7" t="s">
        <v>26</v>
      </c>
      <c r="C3" s="8" t="s">
        <v>27</v>
      </c>
      <c r="D3" s="7" t="s">
        <v>28</v>
      </c>
      <c r="E3" s="9" t="s">
        <v>29</v>
      </c>
      <c r="F3" s="7" t="s">
        <v>30</v>
      </c>
      <c r="G3" s="7">
        <v>60</v>
      </c>
      <c r="H3" s="7">
        <v>3</v>
      </c>
      <c r="I3" s="6">
        <f>G3/H3</f>
        <v>20</v>
      </c>
      <c r="J3" s="17" t="s">
        <v>31</v>
      </c>
      <c r="K3" s="7">
        <f>(20.16*15.64*14.74*0.000016)/3</f>
        <v>0.024786972672</v>
      </c>
      <c r="L3" s="17">
        <f>31.9*0.453</f>
        <v>14.4507</v>
      </c>
      <c r="M3" s="17">
        <f>L3*I3</f>
        <v>289.014</v>
      </c>
      <c r="N3" s="6">
        <v>0.074360918016</v>
      </c>
      <c r="O3" s="6"/>
      <c r="P3" s="6" t="s">
        <v>28</v>
      </c>
      <c r="Q3" s="6" t="s">
        <v>32</v>
      </c>
      <c r="R3" s="6" t="s">
        <v>33</v>
      </c>
    </row>
    <row r="4" s="1" customFormat="1" ht="30" customHeight="1" spans="1:18">
      <c r="A4" s="6">
        <v>4</v>
      </c>
      <c r="B4" s="10" t="s">
        <v>34</v>
      </c>
      <c r="C4" s="8" t="s">
        <v>35</v>
      </c>
      <c r="D4" s="11" t="s">
        <v>36</v>
      </c>
      <c r="E4" s="12" t="s">
        <v>37</v>
      </c>
      <c r="F4" s="11" t="s">
        <v>38</v>
      </c>
      <c r="G4" s="11">
        <v>36</v>
      </c>
      <c r="H4" s="11">
        <v>3</v>
      </c>
      <c r="I4" s="6">
        <f>G4/H4</f>
        <v>12</v>
      </c>
      <c r="J4" s="18" t="s">
        <v>39</v>
      </c>
      <c r="K4" s="11">
        <f>(20*15.6*14.7*0.000016)/3</f>
        <v>0.0244608</v>
      </c>
      <c r="L4" s="19">
        <f>33.5*0.453</f>
        <v>15.1755</v>
      </c>
      <c r="M4" s="17">
        <f>L4*I4</f>
        <v>182.106</v>
      </c>
      <c r="N4" s="6">
        <v>0.0733824</v>
      </c>
      <c r="O4" s="6"/>
      <c r="P4" s="8" t="s">
        <v>36</v>
      </c>
      <c r="Q4" s="6" t="s">
        <v>40</v>
      </c>
      <c r="R4" s="6" t="s">
        <v>41</v>
      </c>
    </row>
    <row r="5" s="1" customFormat="1" ht="30" customHeight="1" spans="1:18">
      <c r="A5" s="6">
        <v>2</v>
      </c>
      <c r="B5" s="7" t="s">
        <v>42</v>
      </c>
      <c r="C5" s="8" t="s">
        <v>43</v>
      </c>
      <c r="D5" s="7" t="s">
        <v>44</v>
      </c>
      <c r="E5" s="12" t="s">
        <v>45</v>
      </c>
      <c r="F5" s="7" t="s">
        <v>46</v>
      </c>
      <c r="G5" s="7">
        <v>60</v>
      </c>
      <c r="H5" s="7">
        <v>4</v>
      </c>
      <c r="I5" s="6">
        <f>G5/H5</f>
        <v>15</v>
      </c>
      <c r="J5" s="16" t="s">
        <v>47</v>
      </c>
      <c r="K5" s="7">
        <f>(17.35*13.84*11.9*0.000016)/4</f>
        <v>0.0114299024</v>
      </c>
      <c r="L5" s="17">
        <f>31.24*0.453</f>
        <v>14.15172</v>
      </c>
      <c r="M5" s="17">
        <f>L5*I5</f>
        <v>212.2758</v>
      </c>
      <c r="N5" s="6">
        <v>0.0457196096</v>
      </c>
      <c r="O5" s="6"/>
      <c r="P5" s="6" t="s">
        <v>44</v>
      </c>
      <c r="Q5" s="6" t="s">
        <v>48</v>
      </c>
      <c r="R5" s="6" t="s">
        <v>49</v>
      </c>
    </row>
    <row r="6" s="1" customFormat="1" ht="30" customHeight="1" spans="1:18">
      <c r="A6" s="6">
        <v>6</v>
      </c>
      <c r="B6" s="10" t="s">
        <v>50</v>
      </c>
      <c r="C6" s="8" t="s">
        <v>51</v>
      </c>
      <c r="D6" s="10" t="s">
        <v>52</v>
      </c>
      <c r="E6" s="6" t="s">
        <v>53</v>
      </c>
      <c r="F6" s="10" t="s">
        <v>54</v>
      </c>
      <c r="G6" s="10">
        <v>36</v>
      </c>
      <c r="H6" s="10">
        <v>18</v>
      </c>
      <c r="I6" s="6">
        <f t="shared" ref="I6:I17" si="0">G6/H6</f>
        <v>2</v>
      </c>
      <c r="J6" s="20" t="s">
        <v>55</v>
      </c>
      <c r="K6" s="11">
        <v>0.00236868173436899</v>
      </c>
      <c r="L6" s="10">
        <f>0.776844444444445*H6</f>
        <v>13.9832</v>
      </c>
      <c r="M6" s="17">
        <f t="shared" ref="M6:M17" si="1">L6*I6</f>
        <v>27.9664</v>
      </c>
      <c r="N6" s="6">
        <v>0.0426362712186419</v>
      </c>
      <c r="O6" s="6"/>
      <c r="P6" s="10" t="s">
        <v>52</v>
      </c>
      <c r="Q6" s="6" t="s">
        <v>56</v>
      </c>
      <c r="R6" s="6" t="s">
        <v>57</v>
      </c>
    </row>
    <row r="7" s="1" customFormat="1" ht="30" customHeight="1" spans="1:18">
      <c r="A7" s="6">
        <v>7</v>
      </c>
      <c r="B7" s="10" t="s">
        <v>58</v>
      </c>
      <c r="C7" s="8" t="s">
        <v>59</v>
      </c>
      <c r="D7" s="10" t="s">
        <v>60</v>
      </c>
      <c r="E7" s="6" t="s">
        <v>61</v>
      </c>
      <c r="F7" s="10" t="s">
        <v>62</v>
      </c>
      <c r="G7" s="10">
        <v>36</v>
      </c>
      <c r="H7" s="10">
        <v>12</v>
      </c>
      <c r="I7" s="6">
        <f t="shared" si="0"/>
        <v>3</v>
      </c>
      <c r="J7" s="20" t="s">
        <v>63</v>
      </c>
      <c r="K7" s="10">
        <v>0.00439616056798386</v>
      </c>
      <c r="L7" s="10">
        <f>1.135*H7</f>
        <v>13.62</v>
      </c>
      <c r="M7" s="17">
        <f t="shared" si="1"/>
        <v>40.86</v>
      </c>
      <c r="N7" s="6">
        <v>0.0527539268158063</v>
      </c>
      <c r="O7" s="6"/>
      <c r="P7" s="10" t="s">
        <v>60</v>
      </c>
      <c r="Q7" s="1" t="s">
        <v>64</v>
      </c>
      <c r="R7" s="6" t="s">
        <v>65</v>
      </c>
    </row>
    <row r="8" s="1" customFormat="1" ht="30" customHeight="1" spans="1:18">
      <c r="A8" s="6">
        <v>8</v>
      </c>
      <c r="B8" s="10" t="s">
        <v>66</v>
      </c>
      <c r="C8" s="8" t="s">
        <v>67</v>
      </c>
      <c r="D8" s="10" t="s">
        <v>68</v>
      </c>
      <c r="E8" s="6" t="s">
        <v>69</v>
      </c>
      <c r="F8" s="10" t="s">
        <v>70</v>
      </c>
      <c r="G8" s="10">
        <v>72</v>
      </c>
      <c r="H8" s="10">
        <v>36</v>
      </c>
      <c r="I8" s="6">
        <f t="shared" si="0"/>
        <v>2</v>
      </c>
      <c r="J8" s="20" t="s">
        <v>71</v>
      </c>
      <c r="K8" s="10">
        <v>0.00291060000674352</v>
      </c>
      <c r="L8" s="10">
        <f>0.347534260488333</f>
        <v>0.347534260488333</v>
      </c>
      <c r="M8" s="17">
        <f t="shared" si="1"/>
        <v>0.695068520976666</v>
      </c>
      <c r="N8" s="6">
        <v>0.104781600242767</v>
      </c>
      <c r="O8" s="6"/>
      <c r="P8" s="10" t="s">
        <v>68</v>
      </c>
      <c r="Q8" s="6" t="s">
        <v>72</v>
      </c>
      <c r="R8" s="6" t="s">
        <v>73</v>
      </c>
    </row>
    <row r="9" s="1" customFormat="1" ht="30" customHeight="1" spans="1:18">
      <c r="A9" s="6">
        <v>9</v>
      </c>
      <c r="B9" s="10" t="s">
        <v>74</v>
      </c>
      <c r="C9" s="8" t="s">
        <v>75</v>
      </c>
      <c r="D9" s="10" t="s">
        <v>76</v>
      </c>
      <c r="E9" s="6" t="s">
        <v>77</v>
      </c>
      <c r="F9" s="10" t="s">
        <v>78</v>
      </c>
      <c r="G9" s="10">
        <v>48</v>
      </c>
      <c r="H9" s="10">
        <v>48</v>
      </c>
      <c r="I9" s="6">
        <f t="shared" si="0"/>
        <v>1</v>
      </c>
      <c r="J9" s="20" t="s">
        <v>79</v>
      </c>
      <c r="K9" s="11">
        <v>0.000744678980192609</v>
      </c>
      <c r="L9" s="10">
        <f>0.331041666666667*H9</f>
        <v>15.89</v>
      </c>
      <c r="M9" s="17">
        <f t="shared" si="1"/>
        <v>15.89</v>
      </c>
      <c r="N9" s="6">
        <v>0.0357445910492452</v>
      </c>
      <c r="O9" s="6"/>
      <c r="P9" s="10" t="s">
        <v>76</v>
      </c>
      <c r="Q9" s="6" t="s">
        <v>80</v>
      </c>
      <c r="R9" s="6"/>
    </row>
    <row r="10" s="1" customFormat="1" ht="30" customHeight="1" spans="1:18">
      <c r="A10" s="6">
        <v>10</v>
      </c>
      <c r="B10" s="10" t="s">
        <v>81</v>
      </c>
      <c r="C10" s="8" t="s">
        <v>82</v>
      </c>
      <c r="D10" s="10" t="s">
        <v>83</v>
      </c>
      <c r="E10" s="6" t="s">
        <v>84</v>
      </c>
      <c r="F10" s="10" t="s">
        <v>85</v>
      </c>
      <c r="G10" s="10">
        <v>36</v>
      </c>
      <c r="H10" s="10">
        <v>12</v>
      </c>
      <c r="I10" s="6">
        <f t="shared" si="0"/>
        <v>3</v>
      </c>
      <c r="J10" s="20" t="s">
        <v>86</v>
      </c>
      <c r="K10" s="10">
        <v>0.00401887813117927</v>
      </c>
      <c r="L10" s="10">
        <f>0.945833333333333*H10</f>
        <v>11.35</v>
      </c>
      <c r="M10" s="17">
        <f t="shared" si="1"/>
        <v>34.05</v>
      </c>
      <c r="N10" s="6">
        <v>0.0482265375741513</v>
      </c>
      <c r="O10" s="6"/>
      <c r="P10" s="10" t="s">
        <v>83</v>
      </c>
      <c r="Q10" s="6" t="s">
        <v>87</v>
      </c>
      <c r="R10" s="6" t="s">
        <v>88</v>
      </c>
    </row>
    <row r="11" s="1" customFormat="1" ht="30" customHeight="1" spans="1:18">
      <c r="A11" s="6">
        <v>11</v>
      </c>
      <c r="B11" s="10" t="s">
        <v>89</v>
      </c>
      <c r="C11" s="8" t="s">
        <v>90</v>
      </c>
      <c r="D11" s="10" t="s">
        <v>91</v>
      </c>
      <c r="E11" s="6" t="s">
        <v>92</v>
      </c>
      <c r="F11" s="10" t="s">
        <v>93</v>
      </c>
      <c r="G11" s="10">
        <v>60</v>
      </c>
      <c r="H11" s="10">
        <v>60</v>
      </c>
      <c r="I11" s="6">
        <f t="shared" si="0"/>
        <v>1</v>
      </c>
      <c r="J11" s="20" t="s">
        <v>94</v>
      </c>
      <c r="K11" s="10">
        <v>0.0004743750010773</v>
      </c>
      <c r="L11" s="10">
        <f>0.158475622819*H11</f>
        <v>9.50853736914</v>
      </c>
      <c r="M11" s="17">
        <f t="shared" si="1"/>
        <v>9.50853736914</v>
      </c>
      <c r="N11" s="6">
        <v>0.028462500064638</v>
      </c>
      <c r="O11" s="6"/>
      <c r="P11" s="10" t="s">
        <v>91</v>
      </c>
      <c r="Q11" s="6" t="s">
        <v>95</v>
      </c>
      <c r="R11" s="6"/>
    </row>
    <row r="12" s="1" customFormat="1" ht="30" customHeight="1" spans="1:18">
      <c r="A12" s="6">
        <v>12</v>
      </c>
      <c r="B12" s="10" t="s">
        <v>96</v>
      </c>
      <c r="C12" s="8" t="s">
        <v>97</v>
      </c>
      <c r="D12" s="10" t="s">
        <v>98</v>
      </c>
      <c r="E12" s="6" t="s">
        <v>99</v>
      </c>
      <c r="F12" s="10" t="s">
        <v>100</v>
      </c>
      <c r="G12" s="10">
        <v>64</v>
      </c>
      <c r="H12" s="10">
        <v>64</v>
      </c>
      <c r="I12" s="6">
        <f t="shared" si="0"/>
        <v>1</v>
      </c>
      <c r="J12" s="20" t="s">
        <v>101</v>
      </c>
      <c r="K12" s="10">
        <v>0.00078737204202696</v>
      </c>
      <c r="L12" s="10">
        <f>0.312125*H12</f>
        <v>19.976</v>
      </c>
      <c r="M12" s="17">
        <f t="shared" si="1"/>
        <v>19.976</v>
      </c>
      <c r="N12" s="6">
        <v>0.0503918106897254</v>
      </c>
      <c r="O12" s="6"/>
      <c r="P12" s="10" t="s">
        <v>98</v>
      </c>
      <c r="Q12" s="6" t="s">
        <v>102</v>
      </c>
      <c r="R12" s="6"/>
    </row>
    <row r="13" s="1" customFormat="1" ht="30" customHeight="1" spans="1:18">
      <c r="A13" s="6">
        <v>14</v>
      </c>
      <c r="B13" s="10" t="s">
        <v>103</v>
      </c>
      <c r="C13" s="8" t="s">
        <v>104</v>
      </c>
      <c r="D13" s="11" t="s">
        <v>105</v>
      </c>
      <c r="E13" s="6" t="s">
        <v>106</v>
      </c>
      <c r="F13" s="11" t="s">
        <v>107</v>
      </c>
      <c r="G13" s="11">
        <v>32</v>
      </c>
      <c r="H13" s="11">
        <v>16</v>
      </c>
      <c r="I13" s="6">
        <f t="shared" si="0"/>
        <v>2</v>
      </c>
      <c r="J13" s="21" t="s">
        <v>108</v>
      </c>
      <c r="K13" s="11">
        <v>0.00122888166094144</v>
      </c>
      <c r="L13" s="11">
        <f>0.879625*H13</f>
        <v>14.074</v>
      </c>
      <c r="M13" s="17">
        <f t="shared" si="1"/>
        <v>28.148</v>
      </c>
      <c r="N13" s="6">
        <v>0.019662106575063</v>
      </c>
      <c r="O13" s="6"/>
      <c r="P13" s="11" t="s">
        <v>105</v>
      </c>
      <c r="Q13" s="6" t="s">
        <v>109</v>
      </c>
      <c r="R13" s="6" t="s">
        <v>110</v>
      </c>
    </row>
    <row r="14" ht="30" customHeight="1" spans="1:18">
      <c r="A14" s="13">
        <v>15</v>
      </c>
      <c r="B14" s="10" t="s">
        <v>111</v>
      </c>
      <c r="C14" s="14" t="s">
        <v>112</v>
      </c>
      <c r="D14" s="10" t="s">
        <v>113</v>
      </c>
      <c r="E14" s="13" t="s">
        <v>114</v>
      </c>
      <c r="F14" s="10" t="s">
        <v>115</v>
      </c>
      <c r="G14" s="10">
        <v>36</v>
      </c>
      <c r="H14" s="10">
        <v>36</v>
      </c>
      <c r="I14" s="13">
        <f t="shared" si="0"/>
        <v>1</v>
      </c>
      <c r="J14" s="20" t="s">
        <v>116</v>
      </c>
      <c r="K14" s="10">
        <v>0.0018720000089224</v>
      </c>
      <c r="L14" s="10">
        <f>0.529666666666667*H14</f>
        <v>19.068</v>
      </c>
      <c r="M14" s="17">
        <f t="shared" si="1"/>
        <v>19.068</v>
      </c>
      <c r="N14" s="13">
        <v>0.0673920003212064</v>
      </c>
      <c r="O14" s="13"/>
      <c r="P14" s="10" t="s">
        <v>113</v>
      </c>
      <c r="Q14" s="6" t="s">
        <v>117</v>
      </c>
      <c r="R14" s="13"/>
    </row>
    <row r="15" ht="30" customHeight="1" spans="1:18">
      <c r="A15" s="13">
        <v>16</v>
      </c>
      <c r="B15" s="10" t="s">
        <v>118</v>
      </c>
      <c r="C15" s="14" t="s">
        <v>119</v>
      </c>
      <c r="D15" s="10" t="s">
        <v>120</v>
      </c>
      <c r="E15" s="13" t="s">
        <v>121</v>
      </c>
      <c r="F15" s="10" t="s">
        <v>122</v>
      </c>
      <c r="G15" s="10">
        <v>32</v>
      </c>
      <c r="H15" s="10">
        <v>8</v>
      </c>
      <c r="I15" s="13">
        <f t="shared" si="0"/>
        <v>4</v>
      </c>
      <c r="J15" s="20" t="s">
        <v>123</v>
      </c>
      <c r="K15" s="10">
        <v>0.00236337500015916</v>
      </c>
      <c r="L15" s="10">
        <f>1.75925*H15</f>
        <v>14.074</v>
      </c>
      <c r="M15" s="17">
        <f t="shared" si="1"/>
        <v>56.296</v>
      </c>
      <c r="N15" s="13">
        <v>0.0189070000012732</v>
      </c>
      <c r="O15" s="13"/>
      <c r="P15" s="10" t="s">
        <v>120</v>
      </c>
      <c r="Q15" s="13" t="s">
        <v>124</v>
      </c>
      <c r="R15" s="13" t="s">
        <v>125</v>
      </c>
    </row>
    <row r="16" ht="30" customHeight="1" spans="1:18">
      <c r="A16" s="13">
        <v>17</v>
      </c>
      <c r="B16" s="10" t="s">
        <v>126</v>
      </c>
      <c r="C16" s="14" t="s">
        <v>127</v>
      </c>
      <c r="D16" s="10" t="s">
        <v>128</v>
      </c>
      <c r="E16" s="13" t="s">
        <v>129</v>
      </c>
      <c r="F16" s="10" t="s">
        <v>130</v>
      </c>
      <c r="G16" s="10">
        <v>30</v>
      </c>
      <c r="H16" s="10">
        <v>10</v>
      </c>
      <c r="I16" s="13">
        <f t="shared" si="0"/>
        <v>3</v>
      </c>
      <c r="J16" s="20" t="s">
        <v>131</v>
      </c>
      <c r="K16" s="10">
        <v>0.00434731433945071</v>
      </c>
      <c r="L16" s="10">
        <f>1.362*H16</f>
        <v>13.62</v>
      </c>
      <c r="M16" s="17">
        <f t="shared" si="1"/>
        <v>40.86</v>
      </c>
      <c r="N16" s="13">
        <v>0.0434731433945071</v>
      </c>
      <c r="O16" s="13"/>
      <c r="P16" s="10" t="s">
        <v>128</v>
      </c>
      <c r="Q16" s="13" t="s">
        <v>132</v>
      </c>
      <c r="R16" s="13" t="s">
        <v>133</v>
      </c>
    </row>
    <row r="17" ht="30" customHeight="1" spans="1:18">
      <c r="A17" s="13">
        <v>18</v>
      </c>
      <c r="B17" s="15" t="s">
        <v>134</v>
      </c>
      <c r="C17" s="14" t="s">
        <v>135</v>
      </c>
      <c r="D17" s="10" t="s">
        <v>136</v>
      </c>
      <c r="E17" s="13" t="s">
        <v>137</v>
      </c>
      <c r="F17" s="10" t="s">
        <v>138</v>
      </c>
      <c r="G17" s="10">
        <v>30</v>
      </c>
      <c r="H17" s="10">
        <v>6</v>
      </c>
      <c r="I17" s="13">
        <f t="shared" si="0"/>
        <v>5</v>
      </c>
      <c r="J17" s="20" t="s">
        <v>139</v>
      </c>
      <c r="K17" s="10">
        <v>0.00586154742397848</v>
      </c>
      <c r="L17" s="10">
        <f>2.3305*H17</f>
        <v>13.983</v>
      </c>
      <c r="M17" s="17">
        <f t="shared" si="1"/>
        <v>69.915</v>
      </c>
      <c r="N17" s="13">
        <v>0.0351692845438709</v>
      </c>
      <c r="O17" s="13"/>
      <c r="P17" s="10" t="s">
        <v>136</v>
      </c>
      <c r="Q17" s="13" t="s">
        <v>140</v>
      </c>
      <c r="R17" s="13" t="s">
        <v>141</v>
      </c>
    </row>
    <row r="19" spans="7:14">
      <c r="G19" s="2">
        <f t="shared" ref="G19:I19" si="2">SUM(G2:G18)</f>
        <v>716</v>
      </c>
      <c r="H19" s="2">
        <f t="shared" si="2"/>
        <v>348</v>
      </c>
      <c r="I19" s="2">
        <f t="shared" si="2"/>
        <v>79</v>
      </c>
      <c r="N19" s="2">
        <f>SUM(N2:N18)</f>
        <v>0.782081300106896</v>
      </c>
    </row>
  </sheetData>
  <conditionalFormatting sqref="B2">
    <cfRule type="duplicateValues" dxfId="0" priority="4"/>
  </conditionalFormatting>
  <conditionalFormatting sqref="B3">
    <cfRule type="duplicateValues" dxfId="0" priority="1"/>
  </conditionalFormatting>
  <conditionalFormatting sqref="B5">
    <cfRule type="duplicateValues" dxfId="0" priority="2"/>
  </conditionalFormatting>
  <conditionalFormatting sqref="B9:B17 B4">
    <cfRule type="duplicateValues" dxfId="0" priority="5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蓓蓓</cp:lastModifiedBy>
  <dcterms:created xsi:type="dcterms:W3CDTF">2025-07-03T06:56:00Z</dcterms:created>
  <dcterms:modified xsi:type="dcterms:W3CDTF">2025-07-30T03:22:32Z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EC5E455385284C399844FB3B786617B0_13</vt:lpwstr>
  </property>
  <property fmtid="{D5CDD505-2E9C-101B-9397-08002B2CF9AE}" pid="3" name="KSOProductBuildVer">
    <vt:lpwstr>2052-12.1.0.21915</vt:lpwstr>
  </property>
</Properties>
</file>