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Sheet1!$C$1:$O$3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J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<sst xmlns="http://schemas.openxmlformats.org/spreadsheetml/2006/main" count="108" uniqueCount="108">
  <si>
    <t xml:space="preserve">  中文品名</t>
  </si>
  <si>
    <t>Product name</t>
  </si>
  <si>
    <t>SKU</t>
  </si>
  <si>
    <t>FNSKU</t>
  </si>
  <si>
    <t>Original ASIN</t>
  </si>
  <si>
    <t>单个头程运费预估 180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</si>
  <si>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</si>
  <si>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</si>
  <si>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</si>
  <si>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</si>
  <si>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</si>
  <si>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</si>
  <si>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</si>
  <si>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</si>
  <si>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ID</t>
  </si>
  <si>
    <t>FBA warehouse code</t>
  </si>
  <si>
    <t>烘焙用钢披萨石</t>
  </si>
  <si>
    <t>Steel Pizza Stone for Baking</t>
  </si>
  <si>
    <t>CCF-CSH-StPzaStn</t>
  </si>
  <si>
    <t>B0F2S8MPWV</t>
  </si>
  <si>
    <t>B07DPF53MT</t>
  </si>
  <si>
    <t>38.65×35.66×5.45 cm</t>
  </si>
  <si>
    <t>铝板盘和架子半件 17.95x13" 双件装</t>
  </si>
  <si>
    <t>Aluminium Sheet Pan and Rack Set Half 17.95x13" Twin Pack</t>
  </si>
  <si>
    <t>CCF-CSH2-AlShtPnBkRk-HlfTwn</t>
  </si>
  <si>
    <t>B0F2SPWRRG</t>
  </si>
  <si>
    <t>B07QQFWF6B</t>
  </si>
  <si>
    <t>46.56×25.76×35.66 cm</t>
  </si>
  <si>
    <t>铝板盘和架四分之一 9.5x19"</t>
  </si>
  <si>
    <t>Aluminium Sheet Pan and Rack Set Quarter 9.5x19"</t>
  </si>
  <si>
    <t>CCF-CSH4-AlShtPnBkRk-HlfTwn</t>
  </si>
  <si>
    <t>B0F2SRX9KX</t>
  </si>
  <si>
    <t>B06WWQGWPW</t>
  </si>
  <si>
    <t>61.94 × 26.26 × 35.17 cm</t>
  </si>
  <si>
    <t xml:space="preserve">铝板盘和架子半件 17.95x13" </t>
  </si>
  <si>
    <t>Aluminium Sheet Pan and Rack Set Half 17.95x13"</t>
  </si>
  <si>
    <t>CCF-CSH3-AlShtPnBkRk-HlfTwn</t>
  </si>
  <si>
    <t>B0F2SSSY18</t>
  </si>
  <si>
    <t>B01JRNNUU2</t>
  </si>
  <si>
    <t>45.72 × 38.10 × 35.56 cm</t>
  </si>
  <si>
    <t>不锈钢披萨皮特大号</t>
  </si>
  <si>
    <t>Stainless Steel Pizza Peel Extra Large</t>
  </si>
  <si>
    <t>CCF-CSH-PzaPel-Xl</t>
  </si>
  <si>
    <t>B0F2T29BSQ</t>
  </si>
  <si>
    <t>B07GSJKTVM</t>
  </si>
  <si>
    <t>45.72 × 33.02 × 35.56 cm</t>
  </si>
  <si>
    <t>不锈钢披萨皮</t>
  </si>
  <si>
    <t>Stainless Steel Pizza Peel</t>
  </si>
  <si>
    <t>CCF-CSH-PzaPel</t>
  </si>
  <si>
    <t>B0F329KR45</t>
  </si>
  <si>
    <t>B01FGTFBHG</t>
  </si>
  <si>
    <t>55.88 × 40.64 × 27.94 cm</t>
  </si>
  <si>
    <t>塑料双面切菜板 14x10"</t>
  </si>
  <si>
    <t>Plastic Double Sided Cutting Board 14x10"</t>
  </si>
  <si>
    <t>CCF-CSH-PltcCtngBrd</t>
  </si>
  <si>
    <t>B0F3218VGJ</t>
  </si>
  <si>
    <t>B01A7Q7XSI</t>
  </si>
  <si>
    <t>37.08 × 25.4 × 25.4 cm</t>
  </si>
  <si>
    <t>嫩肉剂</t>
  </si>
  <si>
    <t>Meat Tenderizer</t>
  </si>
  <si>
    <t>6T-GX3J-KT8G</t>
  </si>
  <si>
    <t>B0F4W28QF6</t>
  </si>
  <si>
    <t>B01FGT2VJW</t>
  </si>
  <si>
    <t>45.72 x 30.48 x 45.72cm</t>
  </si>
  <si>
    <t>烘焙用不锈钢擀面杖</t>
  </si>
  <si>
    <t>Stainless Steel Rolling Pin for Baking</t>
  </si>
  <si>
    <t>CCF-CSH-RlngPin</t>
  </si>
  <si>
    <t>B0F325V694</t>
  </si>
  <si>
    <t>B00WS5JK10</t>
  </si>
  <si>
    <t>43.18 × 38.10m × 40.64 cm</t>
  </si>
  <si>
    <t>面团刮刀</t>
  </si>
  <si>
    <t>Dough Scraper</t>
  </si>
  <si>
    <t>CCF-CSH-DghScrpr2</t>
  </si>
  <si>
    <t>B0F482521P</t>
  </si>
  <si>
    <t>B075SQSHSH</t>
  </si>
  <si>
    <t>37.13 × 26.67 × 38.10 cm</t>
  </si>
  <si>
    <t>不锈钢烤架 17x12 英寸半 2 件装</t>
  </si>
  <si>
    <t>Stainless Steel Baking Rack 17x12" Half 2 Pack</t>
  </si>
  <si>
    <t>CCF-CSH-BkRkHlf2-2pk</t>
  </si>
  <si>
    <t>B0F4VQCDN8</t>
  </si>
  <si>
    <t>B06Y5F3NGY</t>
  </si>
  <si>
    <t>44.58 × 31.7 × 35.67 cm</t>
  </si>
  <si>
    <t>不锈钢烘焙架果冻卷10x15 2包</t>
  </si>
  <si>
    <t>Stainless Steel Baking Rack Jelly Roll 10x15" 2 pack</t>
  </si>
  <si>
    <t>CCF-CSH-BkRkJly2-2pk</t>
  </si>
  <si>
    <t>B0F4VLLHGZ</t>
  </si>
  <si>
    <t>B07YWDJGH4</t>
  </si>
  <si>
    <t>39.62 × 27.18 × 44.58 cm</t>
  </si>
  <si>
    <t>大型 14 英寸摇杆披萨刀</t>
  </si>
  <si>
    <t>Pizza Cutter Large 14" Rocker Blade</t>
  </si>
  <si>
    <t>CCF-CSH1-PzaCtr-L14</t>
  </si>
  <si>
    <t>B0F3787NXV</t>
  </si>
  <si>
    <t>B01A7PYVS4</t>
  </si>
  <si>
    <t>37.59 × 31.70 × 29.21 cm</t>
  </si>
  <si>
    <t>带切菜板的 Mezzaluna 切碎机</t>
  </si>
  <si>
    <t>Mezzaluna Chopper with Cutting Board</t>
  </si>
  <si>
    <t>CCF-CSH-MzlnaChprCtngBrd2</t>
  </si>
  <si>
    <t>B0F5VYBNDT</t>
  </si>
  <si>
    <t>B07353TRJP</t>
  </si>
  <si>
    <t>52.32 × 26.26 × 33.68 cm</t>
  </si>
  <si>
    <t>烤面包机烤盘 5 件</t>
  </si>
  <si>
    <t>Toaster Oven Pans 5 Pieces</t>
  </si>
  <si>
    <t>CCF-CSH-TstrPn5pcs</t>
  </si>
  <si>
    <t>B0F37B1PYQ</t>
  </si>
  <si>
    <t>B0722QMHF2</t>
  </si>
  <si>
    <t>61.93 × 26.26 × 39.15 cm</t>
  </si>
  <si>
    <t>领星ok</t>
  </si>
  <si>
    <t>Invoice #: 00026704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</si>
</sst>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 "/>
  </numFmts>
  <fonts count="25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1"/>
      <name val="宋体"/>
      <charset val="134"/>
      <scheme val="minor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fill"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pane ySplit="1" topLeftCell="A2" activePane="bottomLeft" state="frozen"/>
      <selection/>
      <selection pane="bottomLeft" activeCell="C22" sqref="C22"/>
    </sheetView>
  </sheetViews>
  <sheetFormatPr defaultColWidth="9" defaultRowHeight="13.5"/>
  <cols>
    <col min="1" max="1" width="22.375" customWidth="1"/>
    <col min="2" max="2" width="28.225" customWidth="1"/>
    <col min="3" max="3" width="24.75" customWidth="1"/>
    <col min="4" max="4" width="11.625" customWidth="1"/>
    <col min="5" max="6" width="12.875" customWidth="1"/>
    <col min="7" max="7" width="29.625" customWidth="1"/>
    <col min="8" max="8" width="15" customWidth="1"/>
    <col min="9" max="9" width="11" style="2" customWidth="1"/>
    <col min="10" max="10" width="28.25" style="3" customWidth="1"/>
    <col min="11" max="11" width="17.525" customWidth="1"/>
    <col min="12" max="12" width="18.9833333333333" customWidth="1"/>
    <col min="13" max="13" width="15.0083333333333" customWidth="1"/>
    <col min="14" max="14" width="15.1416666666667" customWidth="1"/>
    <col min="15" max="15" width="39.75" customWidth="1"/>
    <col min="16" max="16" width="20.1833333333333" customWidth="1"/>
  </cols>
  <sheetData>
    <row r="1" s="1" customFormat="1" ht="15" spans="1:16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</row>
    <row r="2" spans="1:14">
      <c r="A2" s="6" t="s">
        <v>16</v>
      </c>
      <c r="B2" t="s">
        <v>17</v>
      </c>
      <c r="C2" s="3" t="s">
        <v>18</v>
      </c>
      <c r="D2" s="3" t="s">
        <v>19</v>
      </c>
      <c r="E2" t="s">
        <v>20</v>
      </c>
      <c r="F2">
        <f>280/$N$17*N2/G2+0.31</f>
        <v>0.647233470891593</v>
      </c>
      <c r="G2">
        <v>33</v>
      </c>
      <c r="H2">
        <v>3</v>
      </c>
      <c r="I2" s="2">
        <v>11</v>
      </c>
      <c r="J2" s="3" t="s">
        <v>21</v>
      </c>
      <c r="K2" s="9">
        <v>0.0075122056152</v>
      </c>
      <c r="L2">
        <v>18.81</v>
      </c>
      <c r="M2">
        <f>L2*I2</f>
        <v>206.91</v>
      </c>
      <c r="N2" s="10">
        <f>K2*I2</f>
        <v>0.0826342617672</v>
      </c>
    </row>
    <row r="3" spans="1:14">
      <c r="A3" s="6" t="s">
        <v>22</v>
      </c>
      <c r="B3" t="s">
        <v>23</v>
      </c>
      <c r="C3" s="3" t="s">
        <v>24</v>
      </c>
      <c r="D3" s="3" t="s">
        <v>25</v>
      </c>
      <c r="E3" t="s">
        <v>26</v>
      </c>
      <c r="F3">
        <f t="shared" ref="F3:F16" si="0">280/$N$17*N3/G3+0.31</f>
        <v>1.27060443223666</v>
      </c>
      <c r="G3">
        <v>30</v>
      </c>
      <c r="H3">
        <v>6</v>
      </c>
      <c r="I3" s="2">
        <v>5</v>
      </c>
      <c r="J3" s="3" t="s">
        <v>27</v>
      </c>
      <c r="K3" s="9">
        <v>0.0427968077472</v>
      </c>
      <c r="L3">
        <v>13.86</v>
      </c>
      <c r="M3">
        <f t="shared" ref="M3:M16" si="1">L3*I3</f>
        <v>69.3</v>
      </c>
      <c r="N3" s="10">
        <f t="shared" ref="N3:N16" si="2">K3*I3</f>
        <v>0.213984038736</v>
      </c>
    </row>
    <row r="4" spans="1:14">
      <c r="A4" s="6" t="s">
        <v>28</v>
      </c>
      <c r="B4" t="s">
        <v>29</v>
      </c>
      <c r="C4" s="3" t="s">
        <v>30</v>
      </c>
      <c r="D4" s="3" t="s">
        <v>31</v>
      </c>
      <c r="E4" t="s">
        <v>32</v>
      </c>
      <c r="F4">
        <f t="shared" si="0"/>
        <v>0.737960680158821</v>
      </c>
      <c r="G4">
        <v>72</v>
      </c>
      <c r="H4">
        <v>18</v>
      </c>
      <c r="I4" s="2">
        <v>4</v>
      </c>
      <c r="J4" s="3" t="s">
        <v>33</v>
      </c>
      <c r="K4" s="9">
        <v>0.0571994579792</v>
      </c>
      <c r="L4">
        <v>14.85</v>
      </c>
      <c r="M4">
        <f t="shared" si="1"/>
        <v>59.4</v>
      </c>
      <c r="N4" s="10">
        <f t="shared" si="2"/>
        <v>0.2287978319168</v>
      </c>
    </row>
    <row r="5" spans="1:14">
      <c r="A5" s="6" t="s">
        <v>34</v>
      </c>
      <c r="B5" t="s">
        <v>35</v>
      </c>
      <c r="C5" s="3" t="s">
        <v>36</v>
      </c>
      <c r="D5" t="s">
        <v>37</v>
      </c>
      <c r="E5" t="s">
        <v>38</v>
      </c>
      <c r="F5">
        <f t="shared" si="0"/>
        <v>1.05046591651576</v>
      </c>
      <c r="G5">
        <v>36</v>
      </c>
      <c r="H5">
        <v>12</v>
      </c>
      <c r="I5" s="2">
        <v>3</v>
      </c>
      <c r="J5" s="3" t="s">
        <v>39</v>
      </c>
      <c r="K5" s="9">
        <v>0.0659784119436</v>
      </c>
      <c r="L5">
        <v>15.84</v>
      </c>
      <c r="M5">
        <f t="shared" si="1"/>
        <v>47.52</v>
      </c>
      <c r="N5" s="10">
        <f t="shared" si="2"/>
        <v>0.1979352358308</v>
      </c>
    </row>
    <row r="6" spans="1:14">
      <c r="A6" s="6" t="s">
        <v>40</v>
      </c>
      <c r="B6" t="s">
        <v>41</v>
      </c>
      <c r="C6" s="3" t="s">
        <v>42</v>
      </c>
      <c r="D6" t="s">
        <v>43</v>
      </c>
      <c r="E6" t="s">
        <v>44</v>
      </c>
      <c r="F6">
        <f t="shared" si="0"/>
        <v>1.04691540106241</v>
      </c>
      <c r="G6">
        <v>30</v>
      </c>
      <c r="H6">
        <v>10</v>
      </c>
      <c r="I6" s="2">
        <v>3</v>
      </c>
      <c r="J6" s="3" t="s">
        <v>45</v>
      </c>
      <c r="K6" s="9">
        <v>0.0547183725976</v>
      </c>
      <c r="L6">
        <v>13.365</v>
      </c>
      <c r="M6">
        <f t="shared" si="1"/>
        <v>40.095</v>
      </c>
      <c r="N6" s="10">
        <f t="shared" si="2"/>
        <v>0.1641551177928</v>
      </c>
    </row>
    <row r="7" spans="1:14">
      <c r="A7" s="6" t="s">
        <v>46</v>
      </c>
      <c r="B7" t="s">
        <v>47</v>
      </c>
      <c r="C7" t="s">
        <v>48</v>
      </c>
      <c r="D7" t="s">
        <v>49</v>
      </c>
      <c r="E7" t="s">
        <v>50</v>
      </c>
      <c r="F7">
        <f t="shared" si="0"/>
        <v>0.932306461844632</v>
      </c>
      <c r="G7">
        <v>48</v>
      </c>
      <c r="H7">
        <v>12</v>
      </c>
      <c r="I7" s="2">
        <v>4</v>
      </c>
      <c r="J7" s="3" t="s">
        <v>51</v>
      </c>
      <c r="K7" s="9">
        <v>0.0554499419608</v>
      </c>
      <c r="L7">
        <v>11.088</v>
      </c>
      <c r="M7">
        <f t="shared" si="1"/>
        <v>44.352</v>
      </c>
      <c r="N7" s="10">
        <f t="shared" si="2"/>
        <v>0.2217997678432</v>
      </c>
    </row>
    <row r="8" spans="1:14">
      <c r="A8" s="6" t="s">
        <v>52</v>
      </c>
      <c r="B8" t="s">
        <v>53</v>
      </c>
      <c r="C8" t="s">
        <v>54</v>
      </c>
      <c r="D8" t="s">
        <v>55</v>
      </c>
      <c r="E8" t="s">
        <v>56</v>
      </c>
      <c r="F8">
        <f t="shared" si="0"/>
        <v>0.512669903711537</v>
      </c>
      <c r="G8">
        <v>48</v>
      </c>
      <c r="H8">
        <v>16</v>
      </c>
      <c r="I8" s="2">
        <v>3</v>
      </c>
      <c r="J8" s="3" t="s">
        <v>57</v>
      </c>
      <c r="K8" s="9">
        <v>0.024078242446</v>
      </c>
      <c r="L8">
        <v>14.877</v>
      </c>
      <c r="M8">
        <f t="shared" si="1"/>
        <v>44.631</v>
      </c>
      <c r="N8" s="10">
        <f t="shared" si="2"/>
        <v>0.072234727338</v>
      </c>
    </row>
    <row r="9" ht="16" customHeight="1" spans="1:14">
      <c r="A9" s="6" t="s">
        <v>58</v>
      </c>
      <c r="B9" t="s">
        <v>59</v>
      </c>
      <c r="C9" t="s">
        <v>60</v>
      </c>
      <c r="D9" t="s">
        <v>61</v>
      </c>
      <c r="E9" t="s">
        <v>62</v>
      </c>
      <c r="F9">
        <f t="shared" si="0"/>
        <v>0.484240841648971</v>
      </c>
      <c r="G9">
        <v>48</v>
      </c>
      <c r="H9">
        <v>48</v>
      </c>
      <c r="I9" s="2">
        <v>1</v>
      </c>
      <c r="J9" s="3" t="s">
        <v>63</v>
      </c>
      <c r="K9" s="9">
        <v>0.0621021644416</v>
      </c>
      <c r="L9">
        <v>15.84</v>
      </c>
      <c r="M9">
        <f t="shared" si="1"/>
        <v>15.84</v>
      </c>
      <c r="N9" s="10">
        <f t="shared" si="2"/>
        <v>0.0621021644416</v>
      </c>
    </row>
    <row r="10" spans="1:14">
      <c r="A10" s="6" t="s">
        <v>64</v>
      </c>
      <c r="B10" t="s">
        <v>65</v>
      </c>
      <c r="C10" t="s">
        <v>66</v>
      </c>
      <c r="D10" s="7" t="s">
        <v>67</v>
      </c>
      <c r="E10" t="s">
        <v>68</v>
      </c>
      <c r="F10">
        <f t="shared" si="0"/>
        <v>0.449116790506981</v>
      </c>
      <c r="G10">
        <v>64</v>
      </c>
      <c r="H10">
        <v>64</v>
      </c>
      <c r="I10" s="2">
        <v>1</v>
      </c>
      <c r="J10" s="3" t="s">
        <v>69</v>
      </c>
      <c r="K10" s="9">
        <v>0.0661112034652</v>
      </c>
      <c r="L10">
        <v>21.78</v>
      </c>
      <c r="M10">
        <f t="shared" si="1"/>
        <v>21.78</v>
      </c>
      <c r="N10" s="10">
        <f t="shared" si="2"/>
        <v>0.0661112034652</v>
      </c>
    </row>
    <row r="11" spans="1:14">
      <c r="A11" s="6" t="s">
        <v>70</v>
      </c>
      <c r="B11" t="s">
        <v>71</v>
      </c>
      <c r="C11" s="3" t="s">
        <v>72</v>
      </c>
      <c r="D11" s="3" t="s">
        <v>73</v>
      </c>
      <c r="E11" t="s">
        <v>74</v>
      </c>
      <c r="F11">
        <f t="shared" si="0"/>
        <v>0.416398781392565</v>
      </c>
      <c r="G11">
        <v>96</v>
      </c>
      <c r="H11">
        <v>48</v>
      </c>
      <c r="I11" s="2">
        <v>2</v>
      </c>
      <c r="J11" s="3" t="s">
        <v>75</v>
      </c>
      <c r="K11" s="9">
        <v>0.0379221918116</v>
      </c>
      <c r="L11">
        <v>15.84</v>
      </c>
      <c r="M11">
        <f t="shared" si="1"/>
        <v>31.68</v>
      </c>
      <c r="N11" s="10">
        <f t="shared" si="2"/>
        <v>0.0758443836232</v>
      </c>
    </row>
    <row r="12" spans="1:14">
      <c r="A12" s="6" t="s">
        <v>76</v>
      </c>
      <c r="B12" t="s">
        <v>77</v>
      </c>
      <c r="C12" t="s">
        <v>78</v>
      </c>
      <c r="D12" s="7" t="s">
        <v>79</v>
      </c>
      <c r="E12" t="s">
        <v>80</v>
      </c>
      <c r="F12">
        <f t="shared" si="0"/>
        <v>0.687324163235349</v>
      </c>
      <c r="G12">
        <v>162</v>
      </c>
      <c r="H12">
        <v>18</v>
      </c>
      <c r="I12" s="2">
        <v>9</v>
      </c>
      <c r="J12" s="3" t="s">
        <v>81</v>
      </c>
      <c r="K12" s="9">
        <v>0.050431590144</v>
      </c>
      <c r="L12">
        <v>13.86</v>
      </c>
      <c r="M12">
        <f t="shared" si="1"/>
        <v>124.74</v>
      </c>
      <c r="N12" s="10">
        <f t="shared" si="2"/>
        <v>0.453884311296</v>
      </c>
    </row>
    <row r="13" spans="1:14">
      <c r="A13" s="6" t="s">
        <v>82</v>
      </c>
      <c r="B13" t="s">
        <v>83</v>
      </c>
      <c r="C13" t="s">
        <v>84</v>
      </c>
      <c r="D13" s="7" t="s">
        <v>85</v>
      </c>
      <c r="E13" t="s">
        <v>86</v>
      </c>
      <c r="F13">
        <f t="shared" si="0"/>
        <v>0.580219127316981</v>
      </c>
      <c r="G13">
        <v>24</v>
      </c>
      <c r="H13">
        <v>24</v>
      </c>
      <c r="I13" s="2">
        <v>1</v>
      </c>
      <c r="J13" s="3" t="s">
        <v>87</v>
      </c>
      <c r="K13" s="9">
        <v>0.0481551642</v>
      </c>
      <c r="L13">
        <v>13.365</v>
      </c>
      <c r="M13">
        <f t="shared" si="1"/>
        <v>13.365</v>
      </c>
      <c r="N13" s="10">
        <f t="shared" si="2"/>
        <v>0.0481551642</v>
      </c>
    </row>
    <row r="14" ht="15" customHeight="1" spans="1:14">
      <c r="A14" s="6" t="s">
        <v>88</v>
      </c>
      <c r="B14" t="s">
        <v>89</v>
      </c>
      <c r="C14" t="s">
        <v>90</v>
      </c>
      <c r="D14" s="7" t="s">
        <v>91</v>
      </c>
      <c r="E14" t="s">
        <v>92</v>
      </c>
      <c r="F14">
        <f t="shared" si="0"/>
        <v>0.440549502156428</v>
      </c>
      <c r="G14">
        <v>36</v>
      </c>
      <c r="H14">
        <v>36</v>
      </c>
      <c r="I14" s="2">
        <v>1</v>
      </c>
      <c r="J14" s="3" t="s">
        <v>93</v>
      </c>
      <c r="K14" s="9">
        <v>0.0348974151552</v>
      </c>
      <c r="L14">
        <v>12.87</v>
      </c>
      <c r="M14">
        <f t="shared" si="1"/>
        <v>12.87</v>
      </c>
      <c r="N14" s="10">
        <f t="shared" si="2"/>
        <v>0.0348974151552</v>
      </c>
    </row>
    <row r="15" spans="1:14">
      <c r="A15" s="6" t="s">
        <v>94</v>
      </c>
      <c r="B15" t="s">
        <v>95</v>
      </c>
      <c r="C15" t="s">
        <v>96</v>
      </c>
      <c r="D15" s="3" t="s">
        <v>97</v>
      </c>
      <c r="E15" t="s">
        <v>98</v>
      </c>
      <c r="F15">
        <f t="shared" si="0"/>
        <v>0.831364605525972</v>
      </c>
      <c r="G15">
        <v>24</v>
      </c>
      <c r="H15">
        <v>12</v>
      </c>
      <c r="I15" s="2">
        <v>2</v>
      </c>
      <c r="J15" s="3" t="s">
        <v>99</v>
      </c>
      <c r="K15" s="9">
        <v>0.0464556273948</v>
      </c>
      <c r="L15">
        <v>12.87</v>
      </c>
      <c r="M15">
        <f t="shared" si="1"/>
        <v>25.74</v>
      </c>
      <c r="N15" s="10">
        <f t="shared" si="2"/>
        <v>0.0929112547896</v>
      </c>
    </row>
    <row r="16" spans="1:14">
      <c r="A16" s="6" t="s">
        <v>100</v>
      </c>
      <c r="B16" t="s">
        <v>101</v>
      </c>
      <c r="C16" t="s">
        <v>102</v>
      </c>
      <c r="D16" s="3" t="s">
        <v>103</v>
      </c>
      <c r="E16" t="s">
        <v>104</v>
      </c>
      <c r="F16">
        <f t="shared" si="0"/>
        <v>0.667136201401439</v>
      </c>
      <c r="G16">
        <v>24</v>
      </c>
      <c r="H16">
        <v>24</v>
      </c>
      <c r="I16" s="2">
        <v>1</v>
      </c>
      <c r="J16" s="3" t="s">
        <v>105</v>
      </c>
      <c r="K16" s="9">
        <v>0.0636444673292</v>
      </c>
      <c r="L16">
        <v>14.85</v>
      </c>
      <c r="M16">
        <f t="shared" si="1"/>
        <v>14.85</v>
      </c>
      <c r="N16" s="10">
        <f t="shared" si="2"/>
        <v>0.0636444673292</v>
      </c>
    </row>
    <row r="17" spans="7:14">
      <c r="G17">
        <f>SUM(G2:G16)</f>
        <v>775</v>
      </c>
      <c r="I17" s="2">
        <f>SUM(I2:I16)</f>
        <v>51</v>
      </c>
      <c r="N17">
        <f>SUM(N2:N16)</f>
        <v>2.0790913455248</v>
      </c>
    </row>
    <row r="18" spans="6:6">
      <c r="F18" t="s">
        <v>106</v>
      </c>
    </row>
    <row r="19" ht="15" customHeight="1" spans="6:6">
      <c r="F19" s="8" t="s">
        <v>107</v>
      </c>
    </row>
    <row r="23" spans="3:14">
      <c r="C23" s="3"/>
      <c r="D23" s="3"/>
      <c r="E23" s="3"/>
      <c r="F23" s="3"/>
      <c r="G23" s="3"/>
      <c r="H23" s="3"/>
      <c r="K23" s="3"/>
      <c r="L23" s="3"/>
      <c r="N23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2025-07-24T03:11:21Z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9BFE427DDA1043738774C4B553CEEE9A_13</vt:lpwstr>
  </property>
  <property fmtid="{D5CDD505-2E9C-101B-9397-08002B2CF9AE}" pid="3" name="KSOProductBuildVer">
    <vt:lpwstr>2052-12.1.0.21915</vt:lpwstr>
  </property>
</Properties>
</file>