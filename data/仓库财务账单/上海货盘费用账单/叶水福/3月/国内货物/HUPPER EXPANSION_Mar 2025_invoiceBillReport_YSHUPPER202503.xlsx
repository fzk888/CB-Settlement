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Invoice" sheetId="5" r:id="rId1"/>
    <sheet name="InvoiceBillReport" sheetId="7" r:id="rId2"/>
    <sheet name="HandlingBillingReport" sheetId="8" r:id="rId3"/>
    <sheet name="StorageBillingRpt" sheetId="9" r:id="rId4"/>
    <sheet name="Customs Clearance With Related" sheetId="6" r:id="rId5"/>
  </sheets>
  <definedNames>
    <definedName name="_xlnm._FilterDatabase" localSheetId="3" hidden="1">StorageBillingRpt!$A$12:$S$626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<sst xmlns="http://schemas.openxmlformats.org/spreadsheetml/2006/main" count="3352" uniqueCount="207">
  <si>
    <t>INVOICE</t>
  </si>
  <si>
    <t>CUSTOMER :</t>
  </si>
  <si>
    <t>HUPPER TEK Co.,Ltd</t>
  </si>
  <si>
    <t>Invoice No :</t>
  </si>
  <si>
    <t>YSHUPPER202503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</si>
  <si>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</si>
  <si>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</si>
  <si>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</si>
  <si>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</si>
  <si>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</si>
  <si>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</si>
  <si>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</si>
  <si>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</si>
  <si>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</si>
  <si>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</si>
  <si>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</si>
  <si>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</si>
  <si>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</si>
  <si>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</si>
  <si>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</si>
  <si>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</si>
  <si>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</si>
  <si>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</si>
  <si>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</si>
  <si>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</si>
  <si>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</si>
  <si>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</si>
  <si>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</si>
  <si>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</si>
  <si>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</si>
  <si>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</si>
  <si>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</si>
  <si>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</si>
  <si>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</si>
  <si>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</si>
  <si>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</si>
  <si>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</si>
  <si>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</si>
  <si>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</si>
  <si>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</si>
  <si>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</si>
  <si>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</si>
  <si>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</si>
  <si>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</si>
  <si>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</si>
  <si>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</si>
  <si>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</si>
  <si>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</si>
  <si>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</si>
  <si>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</si>
  <si>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INVSH00701</t>
  </si>
  <si>
    <t>HUPPER_OS</t>
  </si>
  <si>
    <t>31-Mar-25</t>
  </si>
  <si>
    <t xml:space="preserve"> </t>
  </si>
  <si>
    <t>31  DAYS</t>
  </si>
  <si>
    <t>ATTN TO :</t>
  </si>
  <si>
    <t>Billing Period</t>
  </si>
  <si>
    <t>from [2025-03-01] to [2025-03-31]</t>
  </si>
  <si>
    <t>HANDLING IN - M3 [IPA]</t>
  </si>
  <si>
    <t>STORAGE - M3 [IPA]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</si>
  <si>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</si>
  <si>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</si>
  <si>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</si>
  <si>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</si>
  <si>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</si>
  <si>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</si>
  <si>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</si>
  <si>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</si>
  <si>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INVSH00701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</si>
  <si>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</si>
  <si>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</si>
  <si>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</si>
  <si>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01-03-2025 to 31-03-2025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</si>
  <si>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</si>
  <si>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</si>
  <si>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</si>
  <si>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</si>
  <si>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</si>
  <si>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</si>
  <si>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</si>
  <si>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</si>
  <si>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</si>
  <si>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</si>
  <si>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</si>
  <si>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</si>
  <si>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</si>
  <si>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</si>
  <si>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</si>
  <si>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</si>
  <si>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</si>
  <si>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</si>
  <si>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</si>
  <si>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</si>
  <si>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</si>
  <si>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HUPPERSHGRN131</t>
    </r>
  </si>
  <si>
    <r>
      <rPr>
        <sz val="9"/>
        <rFont val="等线"/>
        <charset val="0"/>
      </rPr>
      <t>UK2412024</t>
    </r>
  </si>
  <si>
    <r>
      <rPr>
        <sz val="9"/>
        <rFont val="等线"/>
        <charset val="0"/>
      </rPr>
      <t>18-03-2025</t>
    </r>
  </si>
  <si>
    <r>
      <rPr>
        <sz val="9"/>
        <rFont val="等线"/>
        <charset val="0"/>
      </rPr>
      <t>B01B3MW7CC</t>
    </r>
  </si>
  <si>
    <r>
      <rPr>
        <sz val="9"/>
        <rFont val="等线"/>
        <charset val="0"/>
      </rPr>
      <t>户外投影屏幕</t>
    </r>
  </si>
  <si>
    <r>
      <rPr>
        <sz val="9"/>
        <rFont val="等线"/>
        <charset val="0"/>
      </rPr>
      <t>HUPPERSHGRN132</t>
    </r>
  </si>
  <si>
    <r>
      <rPr>
        <sz val="9"/>
        <rFont val="等线"/>
        <charset val="0"/>
      </rPr>
      <t>UK2412022-2HQ</t>
    </r>
  </si>
  <si>
    <r>
      <rPr>
        <sz val="9"/>
        <rFont val="等线"/>
        <charset val="0"/>
      </rPr>
      <t>19-03-2025</t>
    </r>
  </si>
  <si>
    <r>
      <rPr>
        <sz val="9"/>
        <rFont val="等线"/>
        <charset val="0"/>
      </rPr>
      <t>B06ZY896ZM</t>
    </r>
  </si>
  <si>
    <r>
      <rPr>
        <sz val="9"/>
        <rFont val="等线"/>
        <charset val="0"/>
      </rPr>
      <t>汽车吸尘器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</si>
  <si>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</si>
  <si>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</si>
  <si>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</si>
  <si>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</si>
  <si>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336.08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</si>
  <si>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</si>
  <si>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</si>
  <si>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</si>
  <si>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</si>
  <si>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</si>
  <si>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</si>
  <si>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</si>
  <si>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</si>
  <si>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01-03-2025 to 01-03-2025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</si>
  <si>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</si>
  <si>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</si>
  <si>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</si>
  <si>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</si>
  <si>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</si>
  <si>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</si>
  <si>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HUPPERSHGRN122</t>
    </r>
  </si>
  <si>
    <r>
      <rPr>
        <sz val="9"/>
        <rFont val="等线"/>
        <charset val="0"/>
      </rPr>
      <t>UK2412022</t>
    </r>
  </si>
  <si>
    <r>
      <rPr>
        <sz val="9"/>
        <rFont val="等线"/>
        <charset val="0"/>
      </rPr>
      <t>20-02-2025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</si>
  <si>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</si>
  <si>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</si>
  <si>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</si>
  <si>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</si>
  <si>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1000㎡ / 1.0 DAYS  *CNY 0.7</t>
  </si>
  <si>
    <r>
      <rPr>
        <sz val="9"/>
        <rFont val="等线"/>
        <charset val="0"/>
      </rPr>
      <t>02-03-2025 to 02-03-2025</t>
    </r>
  </si>
  <si>
    <r>
      <rPr>
        <sz val="9"/>
        <rFont val="等线"/>
        <charset val="0"/>
      </rPr>
      <t>03-03-2025 to 03-03-2025</t>
    </r>
  </si>
  <si>
    <r>
      <rPr>
        <sz val="9"/>
        <rFont val="等线"/>
        <charset val="0"/>
      </rPr>
      <t>04-03-2025 to 04-03-2025</t>
    </r>
  </si>
  <si>
    <r>
      <rPr>
        <sz val="9"/>
        <rFont val="等线"/>
        <charset val="0"/>
      </rPr>
      <t>05-03-2025 to 05-03-2025</t>
    </r>
  </si>
  <si>
    <r>
      <rPr>
        <sz val="9"/>
        <rFont val="等线"/>
        <charset val="0"/>
      </rPr>
      <t>06-03-2025 to 06-03-2025</t>
    </r>
  </si>
  <si>
    <r>
      <rPr>
        <sz val="9"/>
        <rFont val="等线"/>
        <charset val="0"/>
      </rPr>
      <t>07-03-2025 to 07-03-2025</t>
    </r>
  </si>
  <si>
    <r>
      <rPr>
        <sz val="9"/>
        <rFont val="等线"/>
        <charset val="0"/>
      </rPr>
      <t>08-03-2025 to 08-03-2025</t>
    </r>
  </si>
  <si>
    <r>
      <rPr>
        <sz val="9"/>
        <rFont val="等线"/>
        <charset val="0"/>
      </rPr>
      <t>09-03-2025 to 09-03-2025</t>
    </r>
  </si>
  <si>
    <r>
      <rPr>
        <sz val="9"/>
        <rFont val="等线"/>
        <charset val="0"/>
      </rPr>
      <t>10-03-2025 to 10-03-2025</t>
    </r>
  </si>
  <si>
    <r>
      <rPr>
        <sz val="9"/>
        <rFont val="等线"/>
        <charset val="0"/>
      </rPr>
      <t>11-03-2025 to 11-03-2025</t>
    </r>
  </si>
  <si>
    <r>
      <rPr>
        <sz val="9"/>
        <rFont val="等线"/>
        <charset val="0"/>
      </rPr>
      <t>12-03-2025 to 12-03-2025</t>
    </r>
  </si>
  <si>
    <r>
      <rPr>
        <sz val="9"/>
        <rFont val="等线"/>
        <charset val="0"/>
      </rPr>
      <t>13-03-2025 to 13-03-2025</t>
    </r>
  </si>
  <si>
    <r>
      <rPr>
        <sz val="9"/>
        <rFont val="等线"/>
        <charset val="0"/>
      </rPr>
      <t>14-03-2025 to 14-03-2025</t>
    </r>
  </si>
  <si>
    <r>
      <rPr>
        <sz val="9"/>
        <rFont val="等线"/>
        <charset val="0"/>
      </rPr>
      <t>15-03-2025 to 15-03-2025</t>
    </r>
  </si>
  <si>
    <r>
      <rPr>
        <sz val="9"/>
        <rFont val="等线"/>
        <charset val="0"/>
      </rPr>
      <t>16-03-2025 to 16-03-2025</t>
    </r>
  </si>
  <si>
    <r>
      <rPr>
        <sz val="9"/>
        <rFont val="等线"/>
        <charset val="0"/>
      </rPr>
      <t>17-03-2025 to 17-03-2025</t>
    </r>
  </si>
  <si>
    <r>
      <rPr>
        <sz val="9"/>
        <rFont val="等线"/>
        <charset val="0"/>
      </rPr>
      <t>18-03-2025 to 18-03-2025</t>
    </r>
  </si>
  <si>
    <r>
      <rPr>
        <sz val="9"/>
        <rFont val="等线"/>
        <charset val="0"/>
      </rPr>
      <t>19-03-2025 to 19-03-2025</t>
    </r>
  </si>
  <si>
    <r>
      <rPr>
        <sz val="9"/>
        <rFont val="等线"/>
        <charset val="0"/>
      </rPr>
      <t>20-03-2025 to 20-03-2025</t>
    </r>
  </si>
  <si>
    <r>
      <rPr>
        <sz val="9"/>
        <rFont val="等线"/>
        <charset val="0"/>
      </rPr>
      <t>21-03-2025 to 21-03-2025</t>
    </r>
  </si>
  <si>
    <r>
      <rPr>
        <sz val="9"/>
        <rFont val="等线"/>
        <charset val="0"/>
      </rPr>
      <t>22-03-2025 to 22-03-2025</t>
    </r>
  </si>
  <si>
    <r>
      <rPr>
        <sz val="9"/>
        <rFont val="等线"/>
        <charset val="0"/>
      </rPr>
      <t>23-03-2025 to 23-03-2025</t>
    </r>
  </si>
  <si>
    <r>
      <rPr>
        <sz val="9"/>
        <rFont val="等线"/>
        <charset val="0"/>
      </rPr>
      <t>24-03-2025 to 24-03-2025</t>
    </r>
  </si>
  <si>
    <r>
      <rPr>
        <sz val="9"/>
        <rFont val="等线"/>
        <charset val="0"/>
      </rPr>
      <t>25-03-2025 to 25-03-2025</t>
    </r>
  </si>
  <si>
    <r>
      <rPr>
        <sz val="9"/>
        <rFont val="等线"/>
        <charset val="0"/>
      </rPr>
      <t>26-03-2025 to 26-03-2025</t>
    </r>
  </si>
  <si>
    <r>
      <rPr>
        <sz val="9"/>
        <rFont val="等线"/>
        <charset val="0"/>
      </rPr>
      <t>27-03-2025 to 27-03-2025</t>
    </r>
  </si>
  <si>
    <r>
      <rPr>
        <sz val="9"/>
        <rFont val="等线"/>
        <charset val="0"/>
      </rPr>
      <t>28-03-2025 to 28-03-2025</t>
    </r>
  </si>
  <si>
    <r>
      <rPr>
        <sz val="9"/>
        <rFont val="等线"/>
        <charset val="0"/>
      </rPr>
      <t>29-03-2025 to 29-03-2025</t>
    </r>
  </si>
  <si>
    <r>
      <rPr>
        <sz val="9"/>
        <rFont val="等线"/>
        <charset val="0"/>
      </rPr>
      <t>30-03-2025 to 30-03-2025</t>
    </r>
  </si>
  <si>
    <r>
      <rPr>
        <sz val="9"/>
        <rFont val="等线"/>
        <charset val="0"/>
      </rPr>
      <t>31-03-2025 to 31-03-2025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</si>
  <si>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</si>
  <si>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</si>
  <si>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31DAYS*700</t>
  </si>
  <si>
    <t>Free storage of 1500CBMs for 2months  in 2025 （From Feb 19, 2025 to Apr 19, 2025）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</si>
  <si>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</si>
  <si>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</si>
  <si>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</si>
  <si>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t>HUPPER_SH_EXPANSION</t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</si>
  <si>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</si>
  <si>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</si>
  <si>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</si>
  <si>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</si>
  <si>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01-03-2025 to 31-03-2025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</si>
  <si>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</si>
  <si>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</si>
  <si>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</si>
  <si>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</si>
  <si>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</si>
  <si>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</si>
  <si>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</si>
  <si>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</si>
  <si>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</si>
  <si>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</si>
  <si>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</si>
  <si>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</si>
  <si>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</si>
  <si>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</si>
  <si>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</si>
  <si>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</si>
  <si>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客户合同号</t>
  </si>
  <si>
    <t>商品名称</t>
  </si>
  <si>
    <t>报关服务费用</t>
  </si>
  <si>
    <t>提发货凭证</t>
  </si>
  <si>
    <t>联单费</t>
  </si>
  <si>
    <t xml:space="preserve">查验服务费
</t>
  </si>
  <si>
    <t>查验费</t>
  </si>
  <si>
    <t>合计</t>
  </si>
  <si>
    <t>UK2412022-2HQ</t>
  </si>
  <si>
    <t>汽车吸尘器</t>
  </si>
  <si>
    <t>英国进口</t>
  </si>
  <si>
    <t>224920251000017380</t>
  </si>
  <si>
    <t>户外投影屏幕</t>
  </si>
  <si>
    <t>224920251000022265</t>
  </si>
  <si>
    <t>224920251000022701</t>
  </si>
  <si>
    <t>木衣架*2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</si>
</sst>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0.00_);[Red]\(0.00\)"/>
    <numFmt numFmtId="186" formatCode="_(* #,##0.00_);_(* \(#,##0.00\);_(* &quot;-&quot;??_);_(@_)"/>
  </numFmts>
  <fonts count="61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name val="等线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9"/>
      <color indexed="8"/>
      <name val="微软雅黑"/>
      <charset val="134"/>
    </font>
    <font>
      <sz val="11"/>
      <name val="Yu Gothic"/>
      <charset val="128"/>
    </font>
    <font>
      <sz val="8"/>
      <name val="等线"/>
      <charset val="0"/>
    </font>
    <font>
      <b/>
      <sz val="13"/>
      <name val="等线"/>
      <charset val="0"/>
    </font>
    <font>
      <i/>
      <sz val="11"/>
      <name val="等线"/>
      <charset val="0"/>
    </font>
    <font>
      <sz val="8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center"/>
    </xf>
    <xf numFmtId="0" fontId="0" fillId="4" borderId="25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5" borderId="28" applyNumberFormat="0" applyAlignment="0" applyProtection="0">
      <alignment vertical="center"/>
    </xf>
    <xf numFmtId="0" fontId="46" fillId="6" borderId="29" applyNumberFormat="0" applyAlignment="0" applyProtection="0">
      <alignment vertical="center"/>
    </xf>
    <xf numFmtId="0" fontId="47" fillId="6" borderId="28" applyNumberFormat="0" applyAlignment="0" applyProtection="0">
      <alignment vertical="center"/>
    </xf>
    <xf numFmtId="0" fontId="48" fillId="7" borderId="30" applyNumberFormat="0" applyAlignment="0" applyProtection="0">
      <alignment vertical="center"/>
    </xf>
    <xf numFmtId="0" fontId="49" fillId="0" borderId="31" applyNumberFormat="0" applyFill="0" applyAlignment="0" applyProtection="0">
      <alignment vertical="center"/>
    </xf>
    <xf numFmtId="0" fontId="50" fillId="0" borderId="32" applyNumberFormat="0" applyFill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27" fillId="0" borderId="0"/>
    <xf numFmtId="176" fontId="27" fillId="0" borderId="0"/>
    <xf numFmtId="176" fontId="14" fillId="0" borderId="0" applyFont="0" applyFill="0" applyBorder="0" applyAlignment="0" applyProtection="0"/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0" xfId="0" applyFont="1">
      <alignment vertical="center"/>
    </xf>
    <xf numFmtId="177" fontId="12" fillId="0" borderId="1" xfId="0" applyNumberFormat="1" applyFont="1" applyFill="1" applyBorder="1" applyAlignment="1">
      <alignment horizontal="center" vertical="center"/>
    </xf>
    <xf numFmtId="177" fontId="12" fillId="0" borderId="2" xfId="0" applyNumberFormat="1" applyFont="1" applyFill="1" applyBorder="1" applyAlignment="1">
      <alignment horizontal="center" vertical="center" wrapText="1"/>
    </xf>
    <xf numFmtId="177" fontId="12" fillId="0" borderId="3" xfId="0" applyNumberFormat="1" applyFont="1" applyFill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 wrapText="1"/>
    </xf>
    <xf numFmtId="177" fontId="14" fillId="0" borderId="2" xfId="0" applyNumberFormat="1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5" xfId="0" applyBorder="1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 applyProtection="1">
      <alignment horizontal="center" vertical="top" wrapText="1"/>
      <protection locked="0"/>
    </xf>
    <xf numFmtId="178" fontId="17" fillId="0" borderId="0" xfId="0" applyNumberFormat="1" applyFont="1" applyFill="1" applyBorder="1" applyAlignment="1">
      <alignment horizontal="left" vertical="top" wrapText="1"/>
    </xf>
    <xf numFmtId="0" fontId="17" fillId="0" borderId="0" xfId="0" applyFont="1" applyFill="1" applyBorder="1" applyAlignment="1" applyProtection="1">
      <alignment horizontal="left" vertical="top" wrapText="1"/>
      <protection locked="0"/>
    </xf>
    <xf numFmtId="0" fontId="18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 applyProtection="1">
      <alignment horizontal="center" vertical="top" wrapText="1"/>
      <protection locked="0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 applyProtection="1">
      <alignment horizontal="left" vertical="top" wrapText="1"/>
      <protection locked="0"/>
    </xf>
    <xf numFmtId="0" fontId="20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right" wrapText="1"/>
    </xf>
    <xf numFmtId="0" fontId="19" fillId="0" borderId="0" xfId="0" applyFont="1" applyFill="1" applyBorder="1" applyAlignment="1" applyProtection="1">
      <alignment horizontal="right" wrapText="1"/>
      <protection locked="0"/>
    </xf>
    <xf numFmtId="0" fontId="19" fillId="0" borderId="0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 applyProtection="1">
      <alignment horizontal="center" vertical="top" wrapText="1"/>
      <protection locked="0"/>
    </xf>
    <xf numFmtId="179" fontId="19" fillId="0" borderId="0" xfId="0" applyNumberFormat="1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right" vertical="top" wrapText="1"/>
    </xf>
    <xf numFmtId="180" fontId="19" fillId="0" borderId="0" xfId="0" applyNumberFormat="1" applyFont="1" applyFill="1" applyBorder="1" applyAlignment="1">
      <alignment horizontal="right" vertical="top" wrapText="1"/>
    </xf>
    <xf numFmtId="181" fontId="19" fillId="0" borderId="0" xfId="0" applyNumberFormat="1" applyFont="1" applyFill="1" applyBorder="1" applyAlignment="1">
      <alignment horizontal="right" vertical="top" wrapText="1"/>
    </xf>
    <xf numFmtId="0" fontId="16" fillId="0" borderId="0" xfId="0" applyFont="1" applyFill="1" applyBorder="1" applyAlignment="1" applyProtection="1">
      <alignment wrapText="1"/>
      <protection locked="0"/>
    </xf>
    <xf numFmtId="180" fontId="22" fillId="0" borderId="0" xfId="0" applyNumberFormat="1" applyFont="1" applyFill="1" applyBorder="1" applyAlignment="1">
      <alignment horizontal="right" vertical="center" wrapText="1"/>
    </xf>
    <xf numFmtId="180" fontId="19" fillId="0" borderId="0" xfId="0" applyNumberFormat="1" applyFont="1" applyFill="1" applyBorder="1" applyAlignment="1">
      <alignment horizontal="right" vertical="center" wrapText="1"/>
    </xf>
    <xf numFmtId="0" fontId="17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 applyProtection="1">
      <alignment horizontal="right" vertical="top" wrapText="1"/>
      <protection locked="0"/>
    </xf>
    <xf numFmtId="182" fontId="19" fillId="0" borderId="0" xfId="0" applyNumberFormat="1" applyFont="1" applyFill="1" applyBorder="1" applyAlignment="1">
      <alignment horizontal="right" vertical="top" wrapText="1"/>
    </xf>
    <xf numFmtId="0" fontId="17" fillId="0" borderId="0" xfId="0" applyFont="1" applyFill="1" applyBorder="1" applyAlignment="1" applyProtection="1">
      <alignment horizontal="left" wrapText="1"/>
      <protection locked="0"/>
    </xf>
    <xf numFmtId="183" fontId="19" fillId="0" borderId="0" xfId="0" applyNumberFormat="1" applyFont="1" applyFill="1" applyBorder="1" applyAlignment="1">
      <alignment horizontal="righ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 wrapText="1"/>
    </xf>
    <xf numFmtId="184" fontId="23" fillId="0" borderId="0" xfId="0" applyNumberFormat="1" applyFont="1" applyFill="1" applyBorder="1" applyAlignment="1">
      <alignment horizontal="left" vertical="center" wrapText="1"/>
    </xf>
    <xf numFmtId="0" fontId="23" fillId="0" borderId="0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 applyProtection="1">
      <alignment horizontal="left" wrapText="1"/>
      <protection locked="0"/>
    </xf>
    <xf numFmtId="0" fontId="19" fillId="0" borderId="0" xfId="0" applyFont="1" applyFill="1" applyBorder="1" applyAlignment="1">
      <alignment horizontal="right" vertical="center" wrapText="1"/>
    </xf>
    <xf numFmtId="0" fontId="19" fillId="0" borderId="0" xfId="0" applyFont="1" applyFill="1" applyBorder="1" applyAlignment="1" applyProtection="1">
      <alignment horizontal="right" vertical="center" wrapText="1"/>
      <protection locked="0"/>
    </xf>
    <xf numFmtId="179" fontId="19" fillId="0" borderId="0" xfId="0" applyNumberFormat="1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justify" vertical="center" wrapText="1"/>
    </xf>
    <xf numFmtId="0" fontId="17" fillId="0" borderId="0" xfId="0" applyFont="1" applyFill="1" applyBorder="1" applyAlignment="1" applyProtection="1">
      <alignment horizontal="justify" vertical="center" wrapText="1"/>
      <protection locked="0"/>
    </xf>
    <xf numFmtId="0" fontId="17" fillId="0" borderId="0" xfId="0" applyFont="1" applyFill="1" applyBorder="1" applyAlignment="1">
      <alignment horizontal="left" vertical="center" wrapText="1"/>
    </xf>
    <xf numFmtId="179" fontId="17" fillId="0" borderId="0" xfId="0" applyNumberFormat="1" applyFont="1" applyFill="1" applyBorder="1" applyAlignment="1">
      <alignment horizontal="left" vertical="center" wrapText="1"/>
    </xf>
    <xf numFmtId="0" fontId="17" fillId="0" borderId="0" xfId="0" applyFont="1" applyFill="1" applyBorder="1" applyAlignment="1" applyProtection="1">
      <alignment horizontal="left" vertical="center" wrapText="1"/>
      <protection locked="0"/>
    </xf>
    <xf numFmtId="180" fontId="19" fillId="0" borderId="0" xfId="0" applyNumberFormat="1" applyFont="1" applyFill="1" applyBorder="1" applyAlignment="1">
      <alignment horizontal="right" wrapText="1"/>
    </xf>
    <xf numFmtId="181" fontId="19" fillId="0" borderId="0" xfId="0" applyNumberFormat="1" applyFont="1" applyFill="1" applyBorder="1" applyAlignment="1">
      <alignment horizontal="right" wrapText="1"/>
    </xf>
    <xf numFmtId="180" fontId="19" fillId="0" borderId="6" xfId="0" applyNumberFormat="1" applyFont="1" applyFill="1" applyBorder="1" applyAlignment="1">
      <alignment horizontal="right" vertical="center" wrapText="1"/>
    </xf>
    <xf numFmtId="0" fontId="19" fillId="0" borderId="6" xfId="0" applyFont="1" applyFill="1" applyBorder="1" applyAlignment="1" applyProtection="1">
      <alignment horizontal="right" vertical="center" wrapText="1"/>
      <protection locked="0"/>
    </xf>
    <xf numFmtId="0" fontId="19" fillId="0" borderId="6" xfId="0" applyFont="1" applyFill="1" applyBorder="1" applyAlignment="1">
      <alignment horizontal="left" vertical="top" wrapText="1"/>
    </xf>
    <xf numFmtId="0" fontId="19" fillId="0" borderId="6" xfId="0" applyFont="1" applyFill="1" applyBorder="1" applyAlignment="1" applyProtection="1">
      <alignment horizontal="left" vertical="top" wrapText="1"/>
      <protection locked="0"/>
    </xf>
    <xf numFmtId="183" fontId="19" fillId="0" borderId="6" xfId="0" applyNumberFormat="1" applyFont="1" applyFill="1" applyBorder="1" applyAlignment="1">
      <alignment horizontal="right" vertical="center" wrapText="1"/>
    </xf>
    <xf numFmtId="179" fontId="17" fillId="0" borderId="0" xfId="0" applyNumberFormat="1" applyFont="1" applyFill="1" applyBorder="1" applyAlignment="1">
      <alignment horizontal="right" vertical="top" wrapText="1"/>
    </xf>
    <xf numFmtId="0" fontId="17" fillId="0" borderId="0" xfId="0" applyFont="1" applyFill="1" applyBorder="1" applyAlignment="1" applyProtection="1">
      <alignment horizontal="right" vertical="top" wrapText="1"/>
      <protection locked="0"/>
    </xf>
    <xf numFmtId="0" fontId="17" fillId="0" borderId="0" xfId="0" applyFont="1" applyFill="1" applyBorder="1" applyAlignment="1">
      <alignment horizontal="right" vertical="top" wrapText="1"/>
    </xf>
    <xf numFmtId="185" fontId="0" fillId="0" borderId="0" xfId="0" applyNumberFormat="1">
      <alignment vertical="center"/>
    </xf>
    <xf numFmtId="176" fontId="24" fillId="0" borderId="0" xfId="52" applyFont="1"/>
    <xf numFmtId="185" fontId="24" fillId="0" borderId="0" xfId="52" applyNumberFormat="1" applyFont="1"/>
    <xf numFmtId="176" fontId="25" fillId="0" borderId="0" xfId="52" applyFont="1" applyAlignment="1">
      <alignment horizontal="center"/>
    </xf>
    <xf numFmtId="176" fontId="26" fillId="0" borderId="0" xfId="52" applyFont="1"/>
    <xf numFmtId="185" fontId="26" fillId="0" borderId="0" xfId="52" applyNumberFormat="1" applyFont="1"/>
    <xf numFmtId="176" fontId="27" fillId="0" borderId="0" xfId="52"/>
    <xf numFmtId="176" fontId="28" fillId="0" borderId="0" xfId="52" applyFont="1"/>
    <xf numFmtId="185" fontId="28" fillId="0" borderId="0" xfId="52" applyNumberFormat="1" applyFont="1"/>
    <xf numFmtId="176" fontId="26" fillId="0" borderId="0" xfId="52" applyFont="1" applyAlignment="1">
      <alignment horizontal="right"/>
    </xf>
    <xf numFmtId="176" fontId="29" fillId="0" borderId="0" xfId="53" applyFont="1" applyAlignment="1">
      <alignment vertical="center"/>
    </xf>
    <xf numFmtId="15" fontId="26" fillId="0" borderId="0" xfId="52" applyNumberFormat="1" applyFont="1" applyAlignment="1">
      <alignment horizontal="right"/>
    </xf>
    <xf numFmtId="176" fontId="30" fillId="0" borderId="0" xfId="53" applyFont="1" applyAlignment="1">
      <alignment vertical="center"/>
    </xf>
    <xf numFmtId="176" fontId="31" fillId="0" borderId="0" xfId="6" applyFont="1" applyAlignment="1" applyProtection="1"/>
    <xf numFmtId="176" fontId="32" fillId="0" borderId="0" xfId="53" applyFont="1"/>
    <xf numFmtId="176" fontId="33" fillId="0" borderId="0" xfId="53" applyFont="1"/>
    <xf numFmtId="176" fontId="34" fillId="0" borderId="7" xfId="52" applyFont="1" applyBorder="1" applyAlignment="1">
      <alignment horizontal="center" vertical="center"/>
    </xf>
    <xf numFmtId="176" fontId="34" fillId="0" borderId="8" xfId="52" applyFont="1" applyBorder="1" applyAlignment="1">
      <alignment horizontal="center" vertical="center"/>
    </xf>
    <xf numFmtId="176" fontId="34" fillId="0" borderId="9" xfId="52" applyFont="1" applyBorder="1" applyAlignment="1">
      <alignment horizontal="center" vertical="center"/>
    </xf>
    <xf numFmtId="185" fontId="34" fillId="0" borderId="10" xfId="52" applyNumberFormat="1" applyFont="1" applyBorder="1" applyAlignment="1">
      <alignment horizontal="center" vertical="center"/>
    </xf>
    <xf numFmtId="176" fontId="34" fillId="0" borderId="11" xfId="52" applyFont="1" applyBorder="1" applyAlignment="1">
      <alignment horizontal="center" vertical="center"/>
    </xf>
    <xf numFmtId="176" fontId="26" fillId="0" borderId="12" xfId="52" applyFont="1" applyBorder="1"/>
    <xf numFmtId="176" fontId="27" fillId="0" borderId="13" xfId="52" applyBorder="1"/>
    <xf numFmtId="176" fontId="27" fillId="0" borderId="14" xfId="52" applyBorder="1"/>
    <xf numFmtId="185" fontId="26" fillId="0" borderId="15" xfId="52" applyNumberFormat="1" applyFont="1" applyBorder="1" applyAlignment="1">
      <alignment vertical="center"/>
    </xf>
    <xf numFmtId="39" fontId="35" fillId="0" borderId="16" xfId="54" applyNumberFormat="1" applyFont="1" applyBorder="1" applyAlignment="1">
      <alignment horizontal="center" vertical="center"/>
    </xf>
    <xf numFmtId="176" fontId="35" fillId="0" borderId="13" xfId="52" applyFont="1" applyBorder="1" applyAlignment="1">
      <alignment horizontal="center" vertical="center"/>
    </xf>
    <xf numFmtId="186" fontId="35" fillId="0" borderId="17" xfId="52" applyNumberFormat="1" applyFont="1" applyBorder="1" applyAlignment="1">
      <alignment vertical="center"/>
    </xf>
    <xf numFmtId="185" fontId="27" fillId="0" borderId="0" xfId="53" applyNumberFormat="1"/>
    <xf numFmtId="176" fontId="27" fillId="0" borderId="15" xfId="52" applyBorder="1"/>
    <xf numFmtId="39" fontId="35" fillId="0" borderId="18" xfId="54" applyNumberFormat="1" applyFont="1" applyBorder="1" applyAlignment="1">
      <alignment horizontal="center" vertical="center"/>
    </xf>
    <xf numFmtId="176" fontId="35" fillId="0" borderId="0" xfId="52" applyFont="1" applyAlignment="1">
      <alignment horizontal="center" vertical="center"/>
    </xf>
    <xf numFmtId="186" fontId="35" fillId="0" borderId="19" xfId="52" applyNumberFormat="1" applyFont="1" applyBorder="1" applyAlignment="1">
      <alignment vertical="center"/>
    </xf>
    <xf numFmtId="176" fontId="26" fillId="0" borderId="0" xfId="52" applyFont="1" applyAlignment="1">
      <alignment vertical="center"/>
    </xf>
    <xf numFmtId="176" fontId="26" fillId="0" borderId="15" xfId="52" applyFont="1" applyBorder="1" applyAlignment="1">
      <alignment vertical="center"/>
    </xf>
    <xf numFmtId="39" fontId="26" fillId="0" borderId="18" xfId="54" applyNumberFormat="1" applyFont="1" applyBorder="1" applyAlignment="1">
      <alignment horizontal="center" vertical="center"/>
    </xf>
    <xf numFmtId="176" fontId="26" fillId="0" borderId="0" xfId="52" applyFont="1" applyAlignment="1">
      <alignment horizontal="center" vertical="center"/>
    </xf>
    <xf numFmtId="186" fontId="26" fillId="0" borderId="19" xfId="52" applyNumberFormat="1" applyFont="1" applyBorder="1" applyAlignment="1">
      <alignment vertical="center"/>
    </xf>
    <xf numFmtId="185" fontId="26" fillId="0" borderId="18" xfId="52" applyNumberFormat="1" applyFont="1" applyBorder="1" applyAlignment="1">
      <alignment vertical="center"/>
    </xf>
    <xf numFmtId="185" fontId="26" fillId="0" borderId="20" xfId="52" applyNumberFormat="1" applyFont="1" applyBorder="1" applyAlignment="1">
      <alignment vertical="center"/>
    </xf>
    <xf numFmtId="0" fontId="0" fillId="0" borderId="21" xfId="0" applyBorder="1">
      <alignment vertical="center"/>
    </xf>
    <xf numFmtId="176" fontId="27" fillId="0" borderId="20" xfId="52" applyBorder="1"/>
    <xf numFmtId="185" fontId="26" fillId="0" borderId="0" xfId="52" applyNumberFormat="1" applyFont="1" applyAlignment="1">
      <alignment vertical="center"/>
    </xf>
    <xf numFmtId="176" fontId="34" fillId="0" borderId="22" xfId="52" applyFont="1" applyBorder="1" applyAlignment="1">
      <alignment vertical="center"/>
    </xf>
    <xf numFmtId="176" fontId="34" fillId="0" borderId="23" xfId="52" applyFont="1" applyBorder="1" applyAlignment="1">
      <alignment horizontal="center" vertical="center"/>
    </xf>
    <xf numFmtId="186" fontId="34" fillId="0" borderId="24" xfId="52" applyNumberFormat="1" applyFont="1" applyBorder="1" applyAlignment="1">
      <alignment vertical="center"/>
    </xf>
    <xf numFmtId="186" fontId="24" fillId="0" borderId="0" xfId="52" applyNumberFormat="1" applyFont="1"/>
    <xf numFmtId="176" fontId="36" fillId="0" borderId="0" xfId="53" applyFont="1" applyAlignment="1">
      <alignment horizontal="center"/>
    </xf>
    <xf numFmtId="176" fontId="27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workbookViewId="0">
      <selection activeCell="A39" sqref="A39"/>
    </sheetView>
  </sheetViews>
  <sheetFormatPr defaultColWidth="9" defaultRowHeight="14.25"/>
  <cols>
    <col min="1" max="3" width="14.0833333333333" customWidth="1"/>
    <col min="4" max="4" width="9" style="93" customWidth="1"/>
    <col min="6" max="6" width="11.3333333333333" customWidth="1"/>
    <col min="7" max="7" width="18.8333333333333" customWidth="1"/>
    <col min="8" max="8" width="13.0833333333333" customWidth="1"/>
    <col min="9" max="11" width="10.3333333333333" customWidth="1"/>
  </cols>
  <sheetData>
    <row r="1" spans="1:7">
      <c r="A1" s="94"/>
      <c r="B1" s="94"/>
      <c r="C1" s="94"/>
      <c r="D1" s="95"/>
      <c r="E1" s="94"/>
      <c r="F1" s="94"/>
      <c r="G1" s="94"/>
    </row>
    <row r="2" ht="18.75" spans="1:7">
      <c r="A2" s="96" t="s">
        <v>0</v>
      </c>
      <c r="B2" s="96"/>
      <c r="C2" s="96"/>
      <c r="D2" s="96"/>
      <c r="E2" s="96"/>
      <c r="F2" s="96"/>
      <c r="G2" s="96"/>
    </row>
    <row r="3" spans="1:7">
      <c r="A3" s="94"/>
      <c r="B3" s="94"/>
      <c r="C3" s="94"/>
      <c r="D3" s="95"/>
      <c r="E3" s="94"/>
      <c r="F3" s="94"/>
      <c r="G3" s="94"/>
    </row>
    <row r="4" spans="1:7">
      <c r="A4" s="94"/>
      <c r="B4" s="94"/>
      <c r="C4" s="94"/>
      <c r="D4" s="95"/>
      <c r="E4" s="94"/>
      <c r="F4" s="94"/>
      <c r="G4" s="94"/>
    </row>
    <row r="5" ht="15" spans="1:7">
      <c r="A5" s="97" t="s">
        <v>1</v>
      </c>
      <c r="B5" s="97"/>
      <c r="C5" s="97"/>
      <c r="D5" s="98"/>
      <c r="E5" s="97"/>
      <c r="F5" s="97"/>
      <c r="G5" s="97"/>
    </row>
    <row r="6" ht="15" spans="1:7">
      <c r="A6" s="99"/>
      <c r="B6" s="99"/>
      <c r="C6" s="99"/>
      <c r="D6" s="98"/>
      <c r="E6" s="97"/>
      <c r="F6" s="97"/>
      <c r="G6" s="97"/>
    </row>
    <row r="7" ht="15" spans="1:7">
      <c r="A7" s="97" t="s">
        <v>2</v>
      </c>
      <c r="B7" s="100"/>
      <c r="C7" s="100"/>
      <c r="D7" s="101"/>
      <c r="E7" s="97"/>
      <c r="F7" s="97" t="s">
        <v>3</v>
      </c>
      <c r="G7" s="102" t="s">
        <v>4</v>
      </c>
    </row>
    <row r="8" ht="15.75" spans="1:7">
      <c r="A8" s="97" t="s">
        <v>5</v>
      </c>
      <c r="B8" s="103"/>
      <c r="C8" s="103"/>
      <c r="D8" s="101"/>
      <c r="E8" s="97"/>
      <c r="F8" s="97" t="s">
        <v>6</v>
      </c>
      <c r="G8" s="104">
        <v>45747</v>
      </c>
    </row>
    <row r="9" ht="15.75" spans="1:7">
      <c r="A9" s="97" t="s">
        <v>7</v>
      </c>
      <c r="B9" s="103"/>
      <c r="C9" s="103"/>
      <c r="D9" s="101"/>
      <c r="E9" s="97"/>
      <c r="F9" s="97" t="s">
        <v>8</v>
      </c>
      <c r="G9" s="102"/>
    </row>
    <row r="10" ht="15.75" spans="1:7">
      <c r="A10" s="97" t="s">
        <v>9</v>
      </c>
      <c r="B10" s="103"/>
      <c r="C10" s="103"/>
      <c r="D10" s="101"/>
      <c r="E10" s="97"/>
      <c r="F10" s="97" t="s">
        <v>10</v>
      </c>
      <c r="G10" s="97"/>
    </row>
    <row r="11" ht="15.75" spans="1:7">
      <c r="A11" s="103"/>
      <c r="B11" s="100"/>
      <c r="C11" s="100"/>
      <c r="D11" s="101"/>
      <c r="E11" s="97"/>
      <c r="F11" s="97"/>
      <c r="G11" s="97"/>
    </row>
    <row r="12" ht="15" spans="1:7">
      <c r="A12" s="97"/>
      <c r="B12" s="97"/>
      <c r="C12" s="97"/>
      <c r="D12" s="98"/>
      <c r="E12" s="97"/>
      <c r="F12" s="97"/>
      <c r="G12" s="97"/>
    </row>
    <row r="13" ht="15" spans="1:7">
      <c r="A13" s="97" t="s">
        <v>11</v>
      </c>
      <c r="B13" s="105" t="s">
        <v>12</v>
      </c>
      <c r="C13" s="97"/>
      <c r="D13" s="98"/>
      <c r="E13" s="97"/>
      <c r="F13" s="97"/>
      <c r="G13" s="97"/>
    </row>
    <row r="14" ht="15" spans="1:7">
      <c r="A14" s="97" t="s">
        <v>13</v>
      </c>
      <c r="B14" s="106" t="s">
        <v>14</v>
      </c>
      <c r="C14" s="107"/>
      <c r="D14" s="98"/>
      <c r="E14" s="97"/>
      <c r="F14" s="97"/>
      <c r="G14" s="97"/>
    </row>
    <row r="15" ht="15" spans="1:7">
      <c r="A15" s="97"/>
      <c r="B15" s="108"/>
      <c r="C15" s="97"/>
      <c r="D15" s="98"/>
      <c r="E15" s="97"/>
      <c r="F15" s="97"/>
      <c r="G15" s="97"/>
    </row>
    <row r="16" ht="15" spans="1:7">
      <c r="A16" s="97"/>
      <c r="B16" s="97"/>
      <c r="C16" s="97"/>
      <c r="D16" s="98"/>
      <c r="E16" s="97"/>
      <c r="F16" s="97"/>
      <c r="G16" s="97"/>
    </row>
    <row r="17" ht="15" spans="1:7">
      <c r="A17" s="94"/>
      <c r="B17" s="94"/>
      <c r="C17" s="94"/>
      <c r="D17" s="95"/>
      <c r="E17" s="94"/>
      <c r="F17" s="94"/>
      <c r="G17" s="94"/>
    </row>
    <row r="18" ht="15" spans="1:7">
      <c r="A18" s="109" t="s">
        <v>15</v>
      </c>
      <c r="B18" s="110"/>
      <c r="C18" s="111"/>
      <c r="D18" s="112" t="s">
        <v>16</v>
      </c>
      <c r="E18" s="110" t="s">
        <v>17</v>
      </c>
      <c r="F18" s="110" t="s">
        <v>18</v>
      </c>
      <c r="G18" s="113" t="s">
        <v>19</v>
      </c>
    </row>
    <row r="19" ht="15" spans="1:9">
      <c r="A19" s="114" t="s">
        <v>20</v>
      </c>
      <c r="B19" s="115"/>
      <c r="C19" s="116"/>
      <c r="D19" s="117">
        <v>336.08</v>
      </c>
      <c r="E19" s="118">
        <v>20</v>
      </c>
      <c r="F19" s="119" t="s">
        <v>21</v>
      </c>
      <c r="G19" s="120">
        <f t="shared" ref="G19:G28" si="0">D19*E19</f>
        <v>6721.6</v>
      </c>
      <c r="H19" s="121"/>
      <c r="I19" s="121"/>
    </row>
    <row r="20" ht="15" spans="1:9">
      <c r="A20" s="114" t="s">
        <v>22</v>
      </c>
      <c r="C20" s="122"/>
      <c r="D20" s="117"/>
      <c r="E20" s="123">
        <v>20</v>
      </c>
      <c r="F20" s="124" t="s">
        <v>21</v>
      </c>
      <c r="G20" s="125">
        <f t="shared" si="0"/>
        <v>0</v>
      </c>
      <c r="H20" s="121"/>
      <c r="I20" s="121"/>
    </row>
    <row r="21" ht="15" spans="1:9">
      <c r="A21" s="114" t="s">
        <v>23</v>
      </c>
      <c r="B21" s="99"/>
      <c r="C21" s="122"/>
      <c r="D21" s="117"/>
      <c r="E21" s="123">
        <v>0.7</v>
      </c>
      <c r="F21" s="124" t="s">
        <v>21</v>
      </c>
      <c r="G21" s="125">
        <f t="shared" si="0"/>
        <v>0</v>
      </c>
      <c r="H21" s="121"/>
      <c r="I21" s="121"/>
    </row>
    <row r="22" ht="15" spans="1:9">
      <c r="A22" s="114" t="s">
        <v>24</v>
      </c>
      <c r="B22" s="126"/>
      <c r="C22" s="127"/>
      <c r="D22" s="117">
        <v>4</v>
      </c>
      <c r="E22" s="128">
        <v>250</v>
      </c>
      <c r="F22" s="129" t="s">
        <v>21</v>
      </c>
      <c r="G22" s="130">
        <f t="shared" si="0"/>
        <v>1000</v>
      </c>
      <c r="H22" s="121"/>
      <c r="I22" s="121"/>
    </row>
    <row r="23" ht="15" spans="1:9">
      <c r="A23" s="114" t="s">
        <v>25</v>
      </c>
      <c r="B23" s="126"/>
      <c r="C23" s="127"/>
      <c r="D23" s="117"/>
      <c r="E23" s="128">
        <v>50</v>
      </c>
      <c r="F23" s="129" t="s">
        <v>21</v>
      </c>
      <c r="G23" s="130">
        <f t="shared" si="0"/>
        <v>0</v>
      </c>
      <c r="H23" s="121"/>
      <c r="I23" s="121"/>
    </row>
    <row r="24" ht="15" spans="1:11">
      <c r="A24" s="114" t="s">
        <v>26</v>
      </c>
      <c r="B24" s="126"/>
      <c r="C24" s="127"/>
      <c r="D24" s="117"/>
      <c r="E24" s="123"/>
      <c r="F24" s="129" t="s">
        <v>21</v>
      </c>
      <c r="G24" s="130"/>
      <c r="H24" s="121"/>
      <c r="I24" s="121"/>
      <c r="K24" s="121"/>
    </row>
    <row r="25" ht="15" spans="1:9">
      <c r="A25" s="114" t="s">
        <v>27</v>
      </c>
      <c r="B25" s="126"/>
      <c r="C25" s="127"/>
      <c r="D25" s="117"/>
      <c r="E25" s="123">
        <v>200</v>
      </c>
      <c r="F25" s="129" t="s">
        <v>21</v>
      </c>
      <c r="G25" s="130">
        <f t="shared" si="0"/>
        <v>0</v>
      </c>
      <c r="H25" s="121"/>
      <c r="I25" s="121"/>
    </row>
    <row r="26" ht="15" spans="1:9">
      <c r="A26" s="114" t="s">
        <v>28</v>
      </c>
      <c r="C26" s="122"/>
      <c r="D26" s="131"/>
      <c r="E26" s="128"/>
      <c r="F26" s="129" t="s">
        <v>21</v>
      </c>
      <c r="G26" s="130"/>
      <c r="H26" s="121"/>
      <c r="I26" s="121"/>
    </row>
    <row r="27" ht="15" spans="1:9">
      <c r="A27" s="114" t="s">
        <v>29</v>
      </c>
      <c r="C27" s="122"/>
      <c r="D27" s="131"/>
      <c r="E27" s="128">
        <v>100</v>
      </c>
      <c r="F27" s="129" t="s">
        <v>21</v>
      </c>
      <c r="G27" s="130">
        <f t="shared" si="0"/>
        <v>0</v>
      </c>
      <c r="H27" s="121"/>
      <c r="I27" s="121"/>
    </row>
    <row r="28" ht="15" spans="1:9">
      <c r="A28" s="114" t="s">
        <v>30</v>
      </c>
      <c r="B28" s="126"/>
      <c r="C28" s="122"/>
      <c r="D28" s="131">
        <v>4</v>
      </c>
      <c r="E28" s="128">
        <v>50</v>
      </c>
      <c r="F28" s="129" t="s">
        <v>21</v>
      </c>
      <c r="G28" s="130">
        <f t="shared" si="0"/>
        <v>200</v>
      </c>
      <c r="H28" s="121"/>
      <c r="I28" s="121"/>
    </row>
    <row r="29" ht="15" spans="1:9">
      <c r="A29" s="114" t="s">
        <v>31</v>
      </c>
      <c r="C29" s="122"/>
      <c r="D29" s="131"/>
      <c r="E29" s="128"/>
      <c r="F29" s="129" t="s">
        <v>21</v>
      </c>
      <c r="G29" s="130"/>
      <c r="H29" s="121"/>
      <c r="I29" s="121"/>
    </row>
    <row r="30" ht="15" spans="1:9">
      <c r="A30" s="114" t="s">
        <v>32</v>
      </c>
      <c r="C30" s="122"/>
      <c r="D30" s="117">
        <v>0</v>
      </c>
      <c r="E30" s="128">
        <v>30</v>
      </c>
      <c r="F30" s="129" t="s">
        <v>21</v>
      </c>
      <c r="G30" s="130">
        <f>D30*E30</f>
        <v>0</v>
      </c>
      <c r="H30" s="121"/>
      <c r="I30" s="121"/>
    </row>
    <row r="31" ht="18.75" spans="1:9">
      <c r="A31" s="114" t="s">
        <v>33</v>
      </c>
      <c r="C31" s="122"/>
      <c r="D31" s="117"/>
      <c r="E31" s="128">
        <v>200</v>
      </c>
      <c r="F31" s="129" t="s">
        <v>21</v>
      </c>
      <c r="G31" s="130"/>
      <c r="H31" s="121"/>
      <c r="I31" s="121"/>
    </row>
    <row r="32" ht="15" spans="1:9">
      <c r="A32" s="114" t="s">
        <v>34</v>
      </c>
      <c r="C32" s="122"/>
      <c r="D32" s="117">
        <v>0</v>
      </c>
      <c r="E32" s="128">
        <v>400</v>
      </c>
      <c r="F32" s="129" t="s">
        <v>21</v>
      </c>
      <c r="G32" s="130"/>
      <c r="H32" s="121"/>
      <c r="I32" s="121"/>
    </row>
    <row r="33" ht="15" spans="1:9">
      <c r="A33" s="114" t="s">
        <v>35</v>
      </c>
      <c r="C33" s="122"/>
      <c r="D33" s="117"/>
      <c r="E33" s="128"/>
      <c r="F33" s="129"/>
      <c r="G33" s="130"/>
      <c r="H33" s="121"/>
      <c r="I33" s="121"/>
    </row>
    <row r="34" ht="15.75" spans="1:9">
      <c r="A34" s="132" t="s">
        <v>36</v>
      </c>
      <c r="B34" s="133"/>
      <c r="C34" s="134"/>
      <c r="D34" s="132"/>
      <c r="E34" s="128"/>
      <c r="F34" s="129" t="s">
        <v>21</v>
      </c>
      <c r="G34" s="130"/>
      <c r="H34" s="121"/>
      <c r="I34" s="121"/>
    </row>
    <row r="35" ht="15.75" spans="1:9">
      <c r="A35" s="126"/>
      <c r="B35" s="126"/>
      <c r="C35" s="126"/>
      <c r="D35" s="135"/>
      <c r="E35" s="136" t="s">
        <v>37</v>
      </c>
      <c r="F35" s="137" t="s">
        <v>21</v>
      </c>
      <c r="G35" s="138">
        <f>SUM(G19:G34)</f>
        <v>7921.6</v>
      </c>
      <c r="H35" s="121"/>
      <c r="I35" s="121"/>
    </row>
    <row r="36" spans="1:8">
      <c r="A36" s="94"/>
      <c r="B36" s="94"/>
      <c r="C36" s="94"/>
      <c r="D36" s="95"/>
      <c r="E36" s="94"/>
      <c r="F36" s="94"/>
      <c r="G36" s="139"/>
      <c r="H36" s="140"/>
    </row>
    <row r="37" spans="1:8">
      <c r="A37" s="94"/>
      <c r="B37" s="94"/>
      <c r="C37" s="94"/>
      <c r="D37" s="95"/>
      <c r="E37" s="94"/>
      <c r="F37" s="94"/>
      <c r="G37" s="139"/>
      <c r="H37" s="140"/>
    </row>
    <row r="38" spans="1:13">
      <c r="A38" s="94"/>
      <c r="B38" s="94"/>
      <c r="C38" s="94"/>
      <c r="D38" s="95"/>
      <c r="E38" s="140"/>
      <c r="F38" s="140"/>
      <c r="G38" s="140"/>
      <c r="H38" s="140"/>
      <c r="I38" s="140"/>
      <c r="J38" s="140"/>
      <c r="K38" s="140"/>
      <c r="L38" s="140"/>
      <c r="M38" s="140"/>
    </row>
    <row r="39" spans="1:8">
      <c r="A39" s="140"/>
      <c r="B39" s="94"/>
      <c r="C39" s="94"/>
      <c r="D39" s="95"/>
      <c r="E39" s="94"/>
      <c r="F39" s="94"/>
      <c r="G39" s="94"/>
      <c r="H39" s="140"/>
    </row>
    <row r="40" ht="15" spans="1:8">
      <c r="A40" s="97"/>
      <c r="B40" s="97"/>
      <c r="C40" s="94"/>
      <c r="D40" s="95"/>
      <c r="F40" s="94"/>
      <c r="G40" s="94"/>
      <c r="H40" s="140"/>
    </row>
    <row r="41" ht="15" spans="1:8">
      <c r="A41" s="97" t="s">
        <v>38</v>
      </c>
      <c r="B41" s="97"/>
      <c r="C41" s="97"/>
      <c r="D41" s="95"/>
      <c r="E41" s="97" t="s">
        <v>39</v>
      </c>
      <c r="F41" s="94"/>
      <c r="G41" s="94"/>
      <c r="H41" s="140"/>
    </row>
    <row r="42" ht="15" spans="1:8">
      <c r="A42" s="97" t="s">
        <v>40</v>
      </c>
      <c r="B42" s="97"/>
      <c r="C42" s="97"/>
      <c r="D42" s="95"/>
      <c r="E42" s="97" t="s">
        <v>41</v>
      </c>
      <c r="F42" s="94"/>
      <c r="G42" s="94"/>
      <c r="H42" s="141"/>
    </row>
    <row r="43" ht="15" spans="1:7">
      <c r="A43" s="97" t="s">
        <v>42</v>
      </c>
      <c r="B43" s="97"/>
      <c r="C43" s="97"/>
      <c r="D43" s="95"/>
      <c r="E43" s="97" t="s">
        <v>43</v>
      </c>
      <c r="F43" s="94"/>
      <c r="G43" s="94"/>
    </row>
    <row r="44" ht="15" spans="1:7">
      <c r="A44" s="97" t="s">
        <v>44</v>
      </c>
      <c r="B44" s="97"/>
      <c r="C44" s="97"/>
      <c r="D44" s="95"/>
      <c r="E44" s="97" t="s">
        <v>45</v>
      </c>
      <c r="F44" s="94"/>
      <c r="G44" s="94"/>
    </row>
    <row r="45" ht="15" spans="1:7">
      <c r="A45" s="97" t="s">
        <v>46</v>
      </c>
      <c r="B45" s="97"/>
      <c r="C45" s="97"/>
      <c r="D45" s="95"/>
      <c r="E45" s="97" t="s">
        <v>47</v>
      </c>
      <c r="F45" s="94"/>
      <c r="G45" s="94"/>
    </row>
    <row r="46" ht="15" spans="1:7">
      <c r="A46" s="97"/>
      <c r="B46" s="97"/>
      <c r="C46" s="97"/>
      <c r="D46" s="95"/>
      <c r="E46" s="97" t="s">
        <v>48</v>
      </c>
      <c r="G46" s="94"/>
    </row>
    <row r="47" ht="15" spans="5:5">
      <c r="E47" s="97"/>
    </row>
  </sheetData>
  <mergeCells count="2">
    <mergeCell ref="A2:G2"/>
    <mergeCell ref="A18:C18"/>
  </mergeCells>
  <hyperlinks>
    <hyperlink ref="B14" r:id="rId1" display="liubeibei@huppertek.com" tooltip="mailto:liubeibei@huppertek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zoomScaleSheetLayoutView="60" topLeftCell="A7" workbookViewId="0">
      <selection activeCell="A18" sqref="A18"/>
    </sheetView>
  </sheetViews>
  <sheetFormatPr defaultColWidth="9" defaultRowHeight="14.25" outlineLevelCol="5"/>
  <cols>
    <col min="1" max="1" width="20" style="35" customWidth="1"/>
    <col min="2" max="2" width="25.6666666666667" style="35" customWidth="1"/>
    <col min="3" max="3" width="10.5" style="35" customWidth="1"/>
    <col min="4" max="4" width="5.66666666666667" style="35" customWidth="1"/>
    <col min="5" max="5" width="13.3333333333333" style="35" customWidth="1"/>
    <col min="6" max="6" width="24" style="35" customWidth="1"/>
    <col min="7" max="16384" width="9" style="35"/>
  </cols>
  <sheetData>
    <row r="1" ht="16" customHeight="1" spans="1:6">
      <c r="A1" s="45" t="s">
        <v>49</v>
      </c>
      <c r="B1" s="39"/>
      <c r="C1" s="39"/>
      <c r="D1" s="39"/>
      <c r="E1" s="39"/>
      <c r="F1" s="45" t="s">
        <v>50</v>
      </c>
    </row>
    <row r="2" ht="16" customHeight="1" spans="1:6">
      <c r="A2" s="45" t="s">
        <v>51</v>
      </c>
      <c r="B2" s="39"/>
      <c r="C2" s="39"/>
      <c r="D2" s="39"/>
      <c r="E2" s="39"/>
      <c r="F2" s="45" t="s">
        <v>52</v>
      </c>
    </row>
    <row r="3" ht="15" customHeight="1" spans="1:6">
      <c r="A3" s="45" t="s">
        <v>53</v>
      </c>
      <c r="B3" s="39"/>
      <c r="C3" s="39"/>
      <c r="D3" s="39"/>
      <c r="E3" s="39"/>
      <c r="F3" s="45" t="s">
        <v>54</v>
      </c>
    </row>
    <row r="4" ht="14" customHeight="1" spans="1:6">
      <c r="A4" s="45" t="s">
        <v>49</v>
      </c>
      <c r="B4" s="39"/>
      <c r="C4" s="39"/>
      <c r="D4" s="39"/>
      <c r="E4" s="39"/>
      <c r="F4" s="45" t="s">
        <v>49</v>
      </c>
    </row>
    <row r="5" ht="14" customHeight="1" spans="1:6">
      <c r="A5" s="45" t="s">
        <v>53</v>
      </c>
      <c r="B5" s="39"/>
      <c r="C5" s="39"/>
      <c r="D5" s="39"/>
      <c r="E5" s="39"/>
      <c r="F5" s="39"/>
    </row>
    <row r="6" ht="42" customHeight="1" spans="1:6">
      <c r="A6" s="45" t="s">
        <v>49</v>
      </c>
      <c r="B6" s="39"/>
      <c r="C6" s="39"/>
      <c r="D6" s="39"/>
      <c r="E6" s="39"/>
      <c r="F6" s="39"/>
    </row>
    <row r="7" ht="20" customHeight="1" spans="1:6">
      <c r="A7" s="45" t="s">
        <v>55</v>
      </c>
      <c r="B7" s="45" t="s">
        <v>49</v>
      </c>
      <c r="C7" s="39"/>
      <c r="D7" s="39"/>
      <c r="E7" s="39"/>
      <c r="F7" s="39"/>
    </row>
    <row r="8" ht="17" customHeight="1" spans="1:6">
      <c r="A8" s="45" t="s">
        <v>49</v>
      </c>
      <c r="B8" s="39"/>
      <c r="C8" s="39"/>
      <c r="D8" s="39"/>
      <c r="E8" s="39"/>
      <c r="F8" s="39"/>
    </row>
    <row r="9" ht="18" customHeight="1" spans="1:6">
      <c r="A9" s="45" t="s">
        <v>56</v>
      </c>
      <c r="B9" s="45" t="s">
        <v>49</v>
      </c>
      <c r="C9" s="39"/>
      <c r="D9" s="39"/>
      <c r="E9" s="39"/>
      <c r="F9" s="39"/>
    </row>
    <row r="10" ht="20" customHeight="1" spans="1:6">
      <c r="A10" s="45" t="s">
        <v>57</v>
      </c>
      <c r="B10" s="39"/>
      <c r="C10" s="39"/>
      <c r="D10" s="39"/>
      <c r="E10" s="39"/>
      <c r="F10" s="39"/>
    </row>
    <row r="11" ht="30" customHeight="1" spans="1:6">
      <c r="A11" s="45" t="s">
        <v>49</v>
      </c>
      <c r="B11" s="39"/>
      <c r="C11" s="39"/>
      <c r="D11" s="39"/>
      <c r="E11" s="39"/>
      <c r="F11" s="39"/>
    </row>
    <row r="12" ht="18" customHeight="1" spans="1:6">
      <c r="A12" s="45" t="s">
        <v>58</v>
      </c>
      <c r="B12" s="39"/>
      <c r="C12" s="39"/>
      <c r="D12" s="39"/>
      <c r="E12" s="90">
        <v>6721.6</v>
      </c>
      <c r="F12" s="91"/>
    </row>
    <row r="13" ht="18" customHeight="1" spans="1:6">
      <c r="A13" s="45" t="s">
        <v>59</v>
      </c>
      <c r="B13" s="39"/>
      <c r="C13" s="39"/>
      <c r="D13" s="39"/>
      <c r="E13" s="90">
        <v>0</v>
      </c>
      <c r="F13" s="91"/>
    </row>
    <row r="14" ht="16" customHeight="1" spans="1:6">
      <c r="A14" s="92" t="s">
        <v>60</v>
      </c>
      <c r="B14" s="91"/>
      <c r="C14" s="90">
        <v>6721.6</v>
      </c>
      <c r="D14" s="91"/>
      <c r="E14" s="91"/>
      <c r="F14" s="91"/>
    </row>
    <row r="15" ht="30" customHeight="1" spans="1:6">
      <c r="A15" s="45" t="s">
        <v>49</v>
      </c>
      <c r="B15" s="39"/>
      <c r="C15" s="39"/>
      <c r="D15" s="39"/>
      <c r="E15" s="39"/>
      <c r="F15" s="39"/>
    </row>
    <row r="16" ht="18" customHeight="1" spans="1:6">
      <c r="A16" s="45" t="s">
        <v>61</v>
      </c>
      <c r="B16" s="39"/>
      <c r="C16" s="39"/>
      <c r="D16" s="45" t="s">
        <v>61</v>
      </c>
      <c r="E16" s="39"/>
      <c r="F16" s="39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4"/>
  <sheetViews>
    <sheetView zoomScaleSheetLayoutView="60" topLeftCell="A14" workbookViewId="0">
      <selection activeCell="A29" sqref="A29"/>
    </sheetView>
  </sheetViews>
  <sheetFormatPr defaultColWidth="9" defaultRowHeight="14.25"/>
  <cols>
    <col min="1" max="1" width="11.1666666666667" style="35" customWidth="1"/>
    <col min="2" max="2" width="6.66666666666667" style="35" customWidth="1"/>
    <col min="3" max="3" width="3.83333333333333" style="35" customWidth="1"/>
    <col min="4" max="4" width="1.5" style="35" customWidth="1"/>
    <col min="5" max="5" width="18.5" style="35" customWidth="1"/>
    <col min="6" max="6" width="18.1666666666667" style="35" customWidth="1"/>
    <col min="7" max="7" width="13.3333333333333" style="35" customWidth="1"/>
    <col min="8" max="8" width="18.3333333333333" style="35" customWidth="1"/>
    <col min="9" max="9" width="21.3333333333333" style="35" customWidth="1"/>
    <col min="10" max="10" width="15.1666666666667" style="35" customWidth="1"/>
    <col min="11" max="11" width="0.333333333333333" style="35" customWidth="1"/>
    <col min="12" max="12" width="2" style="35" customWidth="1"/>
    <col min="13" max="13" width="10" style="35" customWidth="1"/>
    <col min="14" max="14" width="0.5" style="35" customWidth="1"/>
    <col min="15" max="15" width="12.3333333333333" style="35" customWidth="1"/>
    <col min="16" max="16" width="11.5" style="35" customWidth="1"/>
    <col min="17" max="17" width="10.3333333333333" style="35" customWidth="1"/>
    <col min="18" max="18" width="1.83333333333333" style="35" customWidth="1"/>
    <col min="19" max="19" width="16.3333333333333" style="35" customWidth="1"/>
    <col min="20" max="16384" width="9" style="35"/>
  </cols>
  <sheetData>
    <row r="1" ht="16" customHeight="1" spans="1:19">
      <c r="A1" s="65" t="s">
        <v>62</v>
      </c>
      <c r="B1" s="66">
        <v>45748.4185532406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ht="17" customHeight="1" spans="1:19">
      <c r="A2" s="68" t="s">
        <v>63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ht="14" customHeight="1" spans="1:19">
      <c r="A3" s="70" t="s">
        <v>64</v>
      </c>
      <c r="B3" s="71"/>
      <c r="C3" s="71"/>
      <c r="D3" s="72" t="s">
        <v>65</v>
      </c>
      <c r="E3" s="70" t="s">
        <v>66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ht="14" customHeight="1" spans="1:19">
      <c r="A4" s="70" t="s">
        <v>67</v>
      </c>
      <c r="B4" s="71"/>
      <c r="C4" s="71"/>
      <c r="D4" s="72" t="s">
        <v>65</v>
      </c>
      <c r="E4" s="70" t="s">
        <v>68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ht="14" customHeight="1" spans="1:19">
      <c r="A5" s="42" t="s">
        <v>69</v>
      </c>
      <c r="B5" s="43"/>
      <c r="C5" s="43"/>
      <c r="D5" s="72" t="s">
        <v>65</v>
      </c>
      <c r="E5" s="42" t="s">
        <v>70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ht="14" customHeight="1" spans="1:19">
      <c r="A6" s="70" t="s">
        <v>71</v>
      </c>
      <c r="B6" s="71"/>
      <c r="C6" s="71"/>
      <c r="D6" s="72" t="s">
        <v>65</v>
      </c>
      <c r="E6" s="70" t="s">
        <v>72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</row>
    <row r="7" ht="14" customHeight="1" spans="1:19">
      <c r="A7" s="70" t="s">
        <v>73</v>
      </c>
      <c r="B7" s="71"/>
      <c r="C7" s="71"/>
      <c r="D7" s="72" t="s">
        <v>65</v>
      </c>
      <c r="E7" s="70" t="s">
        <v>74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</row>
    <row r="8" ht="14" customHeight="1" spans="1:19">
      <c r="A8" s="70" t="s">
        <v>75</v>
      </c>
      <c r="B8" s="71"/>
      <c r="C8" s="71"/>
      <c r="D8" s="72" t="s">
        <v>65</v>
      </c>
      <c r="E8" s="70" t="s">
        <v>76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</row>
    <row r="9" ht="14" customHeight="1" spans="1:19">
      <c r="A9" s="70" t="s">
        <v>77</v>
      </c>
      <c r="B9" s="71"/>
      <c r="C9" s="71"/>
      <c r="D9" s="72" t="s">
        <v>65</v>
      </c>
      <c r="E9" s="70" t="s">
        <v>78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</row>
    <row r="10" ht="14" customHeight="1" spans="1:19">
      <c r="A10" s="42" t="s">
        <v>79</v>
      </c>
      <c r="B10" s="43"/>
      <c r="C10" s="43"/>
      <c r="D10" s="72" t="s">
        <v>65</v>
      </c>
      <c r="E10" s="42" t="s">
        <v>80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ht="17" customHeight="1" spans="1:19">
      <c r="A11" s="45" t="s">
        <v>49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ht="20" customHeight="1" spans="1:19">
      <c r="A12" s="42" t="s">
        <v>81</v>
      </c>
      <c r="B12" s="42" t="s">
        <v>82</v>
      </c>
      <c r="C12" s="43"/>
      <c r="D12" s="72" t="s">
        <v>49</v>
      </c>
      <c r="E12" s="42" t="s">
        <v>83</v>
      </c>
      <c r="F12" s="42" t="s">
        <v>84</v>
      </c>
      <c r="G12" s="42" t="s">
        <v>85</v>
      </c>
      <c r="H12" s="42" t="s">
        <v>86</v>
      </c>
      <c r="I12" s="42" t="s">
        <v>87</v>
      </c>
      <c r="J12" s="42" t="s">
        <v>88</v>
      </c>
      <c r="K12" s="43"/>
      <c r="L12" s="43"/>
      <c r="M12" s="48" t="s">
        <v>89</v>
      </c>
      <c r="N12" s="50"/>
      <c r="O12" s="52" t="s">
        <v>90</v>
      </c>
      <c r="P12" s="52" t="s">
        <v>91</v>
      </c>
      <c r="Q12" s="52" t="s">
        <v>92</v>
      </c>
      <c r="R12" s="59"/>
      <c r="S12" s="52" t="s">
        <v>93</v>
      </c>
    </row>
    <row r="13" ht="20" customHeight="1" spans="1:19">
      <c r="A13" s="73" t="s">
        <v>94</v>
      </c>
      <c r="B13" s="73" t="s">
        <v>95</v>
      </c>
      <c r="C13" s="74"/>
      <c r="D13" s="73" t="s">
        <v>49</v>
      </c>
      <c r="E13" s="73" t="s">
        <v>96</v>
      </c>
      <c r="F13" s="73" t="s">
        <v>96</v>
      </c>
      <c r="G13" s="73" t="s">
        <v>97</v>
      </c>
      <c r="H13" s="73" t="s">
        <v>97</v>
      </c>
      <c r="I13" s="73" t="s">
        <v>98</v>
      </c>
      <c r="J13" s="73" t="s">
        <v>49</v>
      </c>
      <c r="K13" s="74"/>
      <c r="L13" s="74"/>
      <c r="M13" s="83">
        <v>8</v>
      </c>
      <c r="N13" s="47"/>
      <c r="O13" s="84">
        <v>0.11</v>
      </c>
      <c r="P13" s="84">
        <v>0.91</v>
      </c>
      <c r="Q13" s="84">
        <v>0.91</v>
      </c>
      <c r="R13" s="47"/>
      <c r="S13" s="84">
        <v>0</v>
      </c>
    </row>
    <row r="14" ht="20" customHeight="1" spans="1:19">
      <c r="A14" s="73" t="s">
        <v>94</v>
      </c>
      <c r="B14" s="73" t="s">
        <v>95</v>
      </c>
      <c r="C14" s="74"/>
      <c r="D14" s="73" t="s">
        <v>49</v>
      </c>
      <c r="E14" s="73" t="s">
        <v>96</v>
      </c>
      <c r="F14" s="73" t="s">
        <v>96</v>
      </c>
      <c r="G14" s="73" t="s">
        <v>97</v>
      </c>
      <c r="H14" s="73" t="s">
        <v>97</v>
      </c>
      <c r="I14" s="73" t="s">
        <v>98</v>
      </c>
      <c r="J14" s="73" t="s">
        <v>49</v>
      </c>
      <c r="K14" s="74"/>
      <c r="L14" s="74"/>
      <c r="M14" s="83">
        <v>1692</v>
      </c>
      <c r="N14" s="47"/>
      <c r="O14" s="84">
        <v>0.11</v>
      </c>
      <c r="P14" s="84">
        <v>191.47</v>
      </c>
      <c r="Q14" s="84">
        <v>191.47</v>
      </c>
      <c r="R14" s="47"/>
      <c r="S14" s="84">
        <v>0</v>
      </c>
    </row>
    <row r="15" ht="20" customHeight="1" spans="1:19">
      <c r="A15" s="73" t="s">
        <v>94</v>
      </c>
      <c r="B15" s="73" t="s">
        <v>95</v>
      </c>
      <c r="C15" s="74"/>
      <c r="D15" s="73" t="s">
        <v>49</v>
      </c>
      <c r="E15" s="73" t="s">
        <v>96</v>
      </c>
      <c r="F15" s="73" t="s">
        <v>96</v>
      </c>
      <c r="G15" s="73" t="s">
        <v>97</v>
      </c>
      <c r="H15" s="73" t="s">
        <v>97</v>
      </c>
      <c r="I15" s="73" t="s">
        <v>98</v>
      </c>
      <c r="J15" s="73" t="s">
        <v>49</v>
      </c>
      <c r="K15" s="74"/>
      <c r="L15" s="74"/>
      <c r="M15" s="83">
        <v>10</v>
      </c>
      <c r="N15" s="47"/>
      <c r="O15" s="84">
        <v>0.11</v>
      </c>
      <c r="P15" s="84">
        <v>1.13</v>
      </c>
      <c r="Q15" s="84">
        <v>1.13</v>
      </c>
      <c r="R15" s="47"/>
      <c r="S15" s="84">
        <v>0</v>
      </c>
    </row>
    <row r="16" ht="20" customHeight="1" spans="1:19">
      <c r="A16" s="73" t="s">
        <v>99</v>
      </c>
      <c r="B16" s="73" t="s">
        <v>100</v>
      </c>
      <c r="C16" s="74"/>
      <c r="D16" s="73" t="s">
        <v>49</v>
      </c>
      <c r="E16" s="73" t="s">
        <v>101</v>
      </c>
      <c r="F16" s="73" t="s">
        <v>101</v>
      </c>
      <c r="G16" s="73" t="s">
        <v>102</v>
      </c>
      <c r="H16" s="73" t="s">
        <v>102</v>
      </c>
      <c r="I16" s="73" t="s">
        <v>103</v>
      </c>
      <c r="J16" s="73" t="s">
        <v>49</v>
      </c>
      <c r="K16" s="74"/>
      <c r="L16" s="74"/>
      <c r="M16" s="83">
        <v>180</v>
      </c>
      <c r="N16" s="47"/>
      <c r="O16" s="84">
        <v>0.01</v>
      </c>
      <c r="P16" s="84">
        <v>1.31</v>
      </c>
      <c r="Q16" s="84">
        <v>1.31</v>
      </c>
      <c r="R16" s="47"/>
      <c r="S16" s="84">
        <v>0</v>
      </c>
    </row>
    <row r="17" ht="20" customHeight="1" spans="1:19">
      <c r="A17" s="73" t="s">
        <v>99</v>
      </c>
      <c r="B17" s="73" t="s">
        <v>100</v>
      </c>
      <c r="C17" s="74"/>
      <c r="D17" s="73" t="s">
        <v>49</v>
      </c>
      <c r="E17" s="73" t="s">
        <v>101</v>
      </c>
      <c r="F17" s="73" t="s">
        <v>101</v>
      </c>
      <c r="G17" s="73" t="s">
        <v>102</v>
      </c>
      <c r="H17" s="73" t="s">
        <v>102</v>
      </c>
      <c r="I17" s="73" t="s">
        <v>103</v>
      </c>
      <c r="J17" s="73" t="s">
        <v>49</v>
      </c>
      <c r="K17" s="74"/>
      <c r="L17" s="74"/>
      <c r="M17" s="83">
        <v>156</v>
      </c>
      <c r="N17" s="47"/>
      <c r="O17" s="84">
        <v>0.01</v>
      </c>
      <c r="P17" s="84">
        <v>1.14</v>
      </c>
      <c r="Q17" s="84">
        <v>1.14</v>
      </c>
      <c r="R17" s="47"/>
      <c r="S17" s="84">
        <v>0</v>
      </c>
    </row>
    <row r="18" ht="20" customHeight="1" spans="1:19">
      <c r="A18" s="73" t="s">
        <v>99</v>
      </c>
      <c r="B18" s="73" t="s">
        <v>100</v>
      </c>
      <c r="C18" s="74"/>
      <c r="D18" s="73" t="s">
        <v>49</v>
      </c>
      <c r="E18" s="73" t="s">
        <v>101</v>
      </c>
      <c r="F18" s="73" t="s">
        <v>101</v>
      </c>
      <c r="G18" s="73" t="s">
        <v>102</v>
      </c>
      <c r="H18" s="73" t="s">
        <v>102</v>
      </c>
      <c r="I18" s="73" t="s">
        <v>103</v>
      </c>
      <c r="J18" s="73" t="s">
        <v>49</v>
      </c>
      <c r="K18" s="74"/>
      <c r="L18" s="74"/>
      <c r="M18" s="83">
        <v>24</v>
      </c>
      <c r="N18" s="47"/>
      <c r="O18" s="84">
        <v>0.01</v>
      </c>
      <c r="P18" s="84">
        <v>0.17</v>
      </c>
      <c r="Q18" s="84">
        <v>0.17</v>
      </c>
      <c r="R18" s="47"/>
      <c r="S18" s="84">
        <v>0</v>
      </c>
    </row>
    <row r="19" ht="20" customHeight="1" spans="1:19">
      <c r="A19" s="73" t="s">
        <v>99</v>
      </c>
      <c r="B19" s="73" t="s">
        <v>100</v>
      </c>
      <c r="C19" s="74"/>
      <c r="D19" s="73" t="s">
        <v>49</v>
      </c>
      <c r="E19" s="73" t="s">
        <v>101</v>
      </c>
      <c r="F19" s="73" t="s">
        <v>101</v>
      </c>
      <c r="G19" s="73" t="s">
        <v>102</v>
      </c>
      <c r="H19" s="73" t="s">
        <v>102</v>
      </c>
      <c r="I19" s="73" t="s">
        <v>103</v>
      </c>
      <c r="J19" s="73" t="s">
        <v>49</v>
      </c>
      <c r="K19" s="74"/>
      <c r="L19" s="74"/>
      <c r="M19" s="83">
        <v>19224</v>
      </c>
      <c r="N19" s="47"/>
      <c r="O19" s="84">
        <v>0.01</v>
      </c>
      <c r="P19" s="84">
        <v>139.95</v>
      </c>
      <c r="Q19" s="84">
        <v>139.95</v>
      </c>
      <c r="R19" s="47"/>
      <c r="S19" s="84">
        <v>0</v>
      </c>
    </row>
    <row r="20" ht="20" customHeight="1" spans="1:19">
      <c r="A20" s="55"/>
      <c r="B20" s="55"/>
      <c r="C20" s="75" t="s">
        <v>104</v>
      </c>
      <c r="D20" s="76"/>
      <c r="E20" s="76"/>
      <c r="F20" s="76"/>
      <c r="G20" s="76"/>
      <c r="H20" s="76"/>
      <c r="I20" s="76"/>
      <c r="J20" s="76"/>
      <c r="K20" s="55"/>
      <c r="L20" s="75" t="s">
        <v>105</v>
      </c>
      <c r="M20" s="85">
        <v>21294</v>
      </c>
      <c r="N20" s="86"/>
      <c r="O20" s="87" t="s">
        <v>49</v>
      </c>
      <c r="P20" s="88"/>
      <c r="Q20" s="89">
        <v>336.08</v>
      </c>
      <c r="R20" s="86"/>
      <c r="S20" s="89">
        <v>0</v>
      </c>
    </row>
    <row r="21" ht="19" customHeight="1" spans="1:19">
      <c r="A21" s="70" t="s">
        <v>106</v>
      </c>
      <c r="B21" s="71"/>
      <c r="C21" s="71"/>
      <c r="D21" s="72" t="s">
        <v>107</v>
      </c>
      <c r="E21" s="70" t="s">
        <v>108</v>
      </c>
      <c r="F21" s="71"/>
      <c r="G21" s="71"/>
      <c r="H21" s="71"/>
      <c r="I21" s="71"/>
      <c r="J21" s="71"/>
      <c r="K21" s="71"/>
      <c r="L21" s="71"/>
      <c r="M21" s="71"/>
      <c r="N21" s="55"/>
      <c r="O21" s="55"/>
      <c r="P21" s="55"/>
      <c r="Q21" s="55"/>
      <c r="R21" s="55"/>
      <c r="S21" s="55"/>
    </row>
    <row r="22" ht="19" customHeight="1" spans="1:19">
      <c r="A22" s="55"/>
      <c r="B22" s="55"/>
      <c r="C22" s="55"/>
      <c r="D22" s="72" t="s">
        <v>107</v>
      </c>
      <c r="E22" s="70" t="s">
        <v>109</v>
      </c>
      <c r="F22" s="77">
        <v>6721.6</v>
      </c>
      <c r="G22" s="71"/>
      <c r="H22" s="71"/>
      <c r="I22" s="71"/>
      <c r="J22" s="71"/>
      <c r="K22" s="71"/>
      <c r="L22" s="71"/>
      <c r="M22" s="71"/>
      <c r="N22" s="55"/>
      <c r="O22" s="55"/>
      <c r="P22" s="55"/>
      <c r="Q22" s="55"/>
      <c r="R22" s="55"/>
      <c r="S22" s="55"/>
    </row>
    <row r="23" ht="26" customHeight="1" spans="1:19">
      <c r="A23" s="45" t="s">
        <v>49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55"/>
      <c r="O23" s="55"/>
      <c r="P23" s="55"/>
      <c r="Q23" s="55"/>
      <c r="R23" s="55"/>
      <c r="S23" s="55"/>
    </row>
    <row r="24" ht="25" customHeight="1" spans="1:19">
      <c r="A24" s="78" t="s">
        <v>110</v>
      </c>
      <c r="B24" s="79"/>
      <c r="C24" s="79"/>
      <c r="D24" s="72" t="s">
        <v>107</v>
      </c>
      <c r="E24" s="80" t="s">
        <v>111</v>
      </c>
      <c r="F24" s="81">
        <v>6721.6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55"/>
      <c r="S24" s="55"/>
    </row>
  </sheetData>
  <mergeCells count="6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C20:J20"/>
    <mergeCell ref="M20:N20"/>
    <mergeCell ref="O20:P20"/>
    <mergeCell ref="Q20:R20"/>
    <mergeCell ref="A21:C21"/>
    <mergeCell ref="E21:M21"/>
    <mergeCell ref="F22:M22"/>
    <mergeCell ref="A23:M23"/>
    <mergeCell ref="A24:C24"/>
    <mergeCell ref="F24:Q24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626"/>
  <sheetViews>
    <sheetView zoomScaleSheetLayoutView="60" topLeftCell="A617" workbookViewId="0">
      <selection activeCell="A629" sqref="A629"/>
    </sheetView>
  </sheetViews>
  <sheetFormatPr defaultColWidth="9" defaultRowHeight="14.25"/>
  <cols>
    <col min="1" max="1" width="11.3333333333333" style="35" customWidth="1"/>
    <col min="2" max="2" width="4.5" style="35" customWidth="1"/>
    <col min="3" max="3" width="8.83333333333333" style="35" customWidth="1"/>
    <col min="4" max="4" width="1.66666666666667" style="35" customWidth="1"/>
    <col min="5" max="6" width="11.3333333333333" style="35" customWidth="1"/>
    <col min="7" max="7" width="11.5" style="35" customWidth="1"/>
    <col min="8" max="8" width="16.6666666666667" style="35" customWidth="1"/>
    <col min="9" max="9" width="6" style="35" customWidth="1"/>
    <col min="10" max="10" width="3.66666666666667" style="35" customWidth="1"/>
    <col min="11" max="11" width="8" style="35" customWidth="1"/>
    <col min="12" max="12" width="12.75" style="35" customWidth="1"/>
    <col min="13" max="13" width="8.33333333333333" style="35" customWidth="1"/>
    <col min="14" max="14" width="9.83333333333333" style="35" customWidth="1"/>
    <col min="15" max="15" width="8.83333333333333" style="35" customWidth="1"/>
    <col min="16" max="16" width="6.33333333333333" style="35" customWidth="1"/>
    <col min="17" max="17" width="3.5" style="35" customWidth="1"/>
    <col min="18" max="18" width="6" style="35" customWidth="1"/>
    <col min="19" max="19" width="10.6666666666667" style="35" customWidth="1"/>
    <col min="20" max="16384" width="9" style="35"/>
  </cols>
  <sheetData>
    <row r="1" ht="16" customHeight="1" spans="1:19">
      <c r="A1" s="36" t="s">
        <v>112</v>
      </c>
      <c r="B1" s="37"/>
      <c r="C1" s="38">
        <v>45748.4185532406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ht="19" customHeight="1" spans="1:19">
      <c r="A2" s="40" t="s">
        <v>113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ht="14" customHeight="1" spans="1:19">
      <c r="A3" s="42" t="s">
        <v>64</v>
      </c>
      <c r="B3" s="43"/>
      <c r="C3" s="43"/>
      <c r="D3" s="44" t="s">
        <v>114</v>
      </c>
      <c r="E3" s="42" t="s">
        <v>66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ht="14" customHeight="1" spans="1:19">
      <c r="A4" s="42" t="s">
        <v>67</v>
      </c>
      <c r="B4" s="43"/>
      <c r="C4" s="43"/>
      <c r="D4" s="44" t="s">
        <v>114</v>
      </c>
      <c r="E4" s="42" t="s">
        <v>68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ht="14" customHeight="1" spans="1:19">
      <c r="A5" s="42" t="s">
        <v>79</v>
      </c>
      <c r="B5" s="43"/>
      <c r="C5" s="43"/>
      <c r="D5" s="44" t="s">
        <v>114</v>
      </c>
      <c r="E5" s="42" t="s">
        <v>80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ht="14" customHeight="1" spans="1:19">
      <c r="A6" s="42" t="s">
        <v>69</v>
      </c>
      <c r="B6" s="43"/>
      <c r="C6" s="43"/>
      <c r="D6" s="44" t="s">
        <v>114</v>
      </c>
      <c r="E6" s="42" t="s">
        <v>115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</row>
    <row r="7" ht="14" customHeight="1" spans="1:19">
      <c r="A7" s="42" t="s">
        <v>116</v>
      </c>
      <c r="B7" s="43"/>
      <c r="C7" s="43"/>
      <c r="D7" s="44" t="s">
        <v>114</v>
      </c>
      <c r="E7" s="42" t="s">
        <v>117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ht="14" customHeight="1" spans="1:19">
      <c r="A8" s="42" t="s">
        <v>73</v>
      </c>
      <c r="B8" s="43"/>
      <c r="C8" s="43"/>
      <c r="D8" s="44" t="s">
        <v>114</v>
      </c>
      <c r="E8" s="42" t="s">
        <v>74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</row>
    <row r="9" ht="14" customHeight="1" spans="1:19">
      <c r="A9" s="42" t="s">
        <v>75</v>
      </c>
      <c r="B9" s="43"/>
      <c r="C9" s="43"/>
      <c r="D9" s="44" t="s">
        <v>114</v>
      </c>
      <c r="E9" s="42" t="s">
        <v>76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</row>
    <row r="10" ht="14" customHeight="1" spans="1:19">
      <c r="A10" s="42" t="s">
        <v>77</v>
      </c>
      <c r="B10" s="43"/>
      <c r="C10" s="43"/>
      <c r="D10" s="44" t="s">
        <v>114</v>
      </c>
      <c r="E10" s="42" t="s">
        <v>78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ht="17" customHeight="1" spans="1:19">
      <c r="A11" s="45" t="s">
        <v>49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ht="14" customHeight="1" spans="1:19">
      <c r="A12" s="42" t="s">
        <v>81</v>
      </c>
      <c r="B12" s="42" t="s">
        <v>82</v>
      </c>
      <c r="C12" s="43"/>
      <c r="D12" s="42" t="s">
        <v>49</v>
      </c>
      <c r="E12" s="42" t="s">
        <v>84</v>
      </c>
      <c r="F12" s="42" t="s">
        <v>85</v>
      </c>
      <c r="G12" s="42" t="s">
        <v>86</v>
      </c>
      <c r="H12" s="42" t="s">
        <v>87</v>
      </c>
      <c r="I12" s="42" t="s">
        <v>88</v>
      </c>
      <c r="J12" s="43"/>
      <c r="K12" s="52" t="s">
        <v>118</v>
      </c>
      <c r="L12" s="52" t="s">
        <v>119</v>
      </c>
      <c r="M12" s="52" t="s">
        <v>120</v>
      </c>
      <c r="N12" s="52" t="s">
        <v>121</v>
      </c>
      <c r="O12" s="52" t="s">
        <v>122</v>
      </c>
      <c r="P12" s="52" t="s">
        <v>90</v>
      </c>
      <c r="Q12" s="52" t="s">
        <v>91</v>
      </c>
      <c r="R12" s="59"/>
      <c r="S12" s="52" t="s">
        <v>123</v>
      </c>
    </row>
    <row r="13" ht="20" customHeight="1" spans="1:19">
      <c r="A13" s="42" t="s">
        <v>124</v>
      </c>
      <c r="B13" s="42" t="s">
        <v>125</v>
      </c>
      <c r="C13" s="43"/>
      <c r="D13" s="42" t="s">
        <v>49</v>
      </c>
      <c r="E13" s="42" t="s">
        <v>126</v>
      </c>
      <c r="F13" s="42" t="s">
        <v>49</v>
      </c>
      <c r="G13" s="42" t="s">
        <v>102</v>
      </c>
      <c r="H13" s="42" t="s">
        <v>103</v>
      </c>
      <c r="I13" s="42" t="s">
        <v>49</v>
      </c>
      <c r="J13" s="43"/>
      <c r="K13" s="53">
        <v>144</v>
      </c>
      <c r="L13" s="53">
        <v>144</v>
      </c>
      <c r="M13" s="53">
        <v>0</v>
      </c>
      <c r="N13" s="53">
        <v>0</v>
      </c>
      <c r="O13" s="53">
        <v>144</v>
      </c>
      <c r="P13" s="54">
        <v>0.01</v>
      </c>
      <c r="Q13" s="60">
        <v>1.05</v>
      </c>
      <c r="R13" s="59"/>
      <c r="S13" s="60">
        <v>1.05</v>
      </c>
    </row>
    <row r="14" ht="20" customHeight="1" spans="1:19">
      <c r="A14" s="42" t="s">
        <v>124</v>
      </c>
      <c r="B14" s="42" t="s">
        <v>125</v>
      </c>
      <c r="C14" s="43"/>
      <c r="D14" s="42" t="s">
        <v>49</v>
      </c>
      <c r="E14" s="42" t="s">
        <v>126</v>
      </c>
      <c r="F14" s="42" t="s">
        <v>49</v>
      </c>
      <c r="G14" s="42" t="s">
        <v>102</v>
      </c>
      <c r="H14" s="42" t="s">
        <v>103</v>
      </c>
      <c r="I14" s="42" t="s">
        <v>49</v>
      </c>
      <c r="J14" s="43"/>
      <c r="K14" s="53">
        <v>4752</v>
      </c>
      <c r="L14" s="53">
        <v>4752</v>
      </c>
      <c r="M14" s="53">
        <v>0</v>
      </c>
      <c r="N14" s="53">
        <v>0</v>
      </c>
      <c r="O14" s="53">
        <v>4752</v>
      </c>
      <c r="P14" s="54">
        <v>0.01</v>
      </c>
      <c r="Q14" s="60">
        <v>34.59</v>
      </c>
      <c r="R14" s="59"/>
      <c r="S14" s="60">
        <v>34.59</v>
      </c>
    </row>
    <row r="15" ht="20" customHeight="1" spans="1:19">
      <c r="A15" s="42" t="s">
        <v>124</v>
      </c>
      <c r="B15" s="42" t="s">
        <v>125</v>
      </c>
      <c r="C15" s="43"/>
      <c r="D15" s="42" t="s">
        <v>49</v>
      </c>
      <c r="E15" s="42" t="s">
        <v>126</v>
      </c>
      <c r="F15" s="42" t="s">
        <v>49</v>
      </c>
      <c r="G15" s="42" t="s">
        <v>102</v>
      </c>
      <c r="H15" s="42" t="s">
        <v>103</v>
      </c>
      <c r="I15" s="42" t="s">
        <v>49</v>
      </c>
      <c r="J15" s="43"/>
      <c r="K15" s="53">
        <v>34272</v>
      </c>
      <c r="L15" s="53">
        <v>34272</v>
      </c>
      <c r="M15" s="53">
        <v>0</v>
      </c>
      <c r="N15" s="53">
        <v>0</v>
      </c>
      <c r="O15" s="53">
        <v>34272</v>
      </c>
      <c r="P15" s="54">
        <v>0.01</v>
      </c>
      <c r="Q15" s="60">
        <v>249.5</v>
      </c>
      <c r="R15" s="59"/>
      <c r="S15" s="60">
        <v>249.5</v>
      </c>
    </row>
    <row r="16" ht="13" customHeight="1" spans="1:19">
      <c r="A16" s="46" t="s">
        <v>127</v>
      </c>
      <c r="B16" s="47"/>
      <c r="C16" s="47"/>
      <c r="D16" s="47"/>
      <c r="E16" s="47"/>
      <c r="F16" s="47"/>
      <c r="G16" s="47"/>
      <c r="H16" s="47"/>
      <c r="I16" s="47"/>
      <c r="J16" s="55"/>
      <c r="K16" s="46" t="s">
        <v>128</v>
      </c>
      <c r="L16" s="56">
        <v>39168</v>
      </c>
      <c r="M16" s="57">
        <v>0</v>
      </c>
      <c r="N16" s="57">
        <v>0</v>
      </c>
      <c r="O16" s="57">
        <v>39168</v>
      </c>
      <c r="P16" s="58" t="s">
        <v>49</v>
      </c>
      <c r="Q16" s="61"/>
      <c r="R16" s="61"/>
      <c r="S16" s="62">
        <v>285.14</v>
      </c>
    </row>
    <row r="17" ht="19" customHeight="1" spans="1:19">
      <c r="A17" s="42" t="s">
        <v>129</v>
      </c>
      <c r="B17" s="43"/>
      <c r="C17" s="43"/>
      <c r="D17" s="48" t="s">
        <v>130</v>
      </c>
      <c r="E17" s="49" t="s">
        <v>131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55"/>
      <c r="S17" s="55"/>
    </row>
    <row r="18" ht="19" customHeight="1" spans="1:19">
      <c r="A18" s="48" t="s">
        <v>130</v>
      </c>
      <c r="B18" s="50"/>
      <c r="C18" s="50"/>
      <c r="D18" s="48" t="s">
        <v>130</v>
      </c>
      <c r="E18" s="48" t="s">
        <v>109</v>
      </c>
      <c r="F18" s="51">
        <v>700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55"/>
      <c r="S18" s="55"/>
    </row>
    <row r="19" ht="12" customHeight="1" spans="1:19">
      <c r="A19" s="45" t="s">
        <v>49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55"/>
      <c r="S19" s="55"/>
    </row>
    <row r="20" ht="14" customHeight="1" spans="1:19">
      <c r="A20" s="42" t="s">
        <v>64</v>
      </c>
      <c r="B20" s="43"/>
      <c r="C20" s="43"/>
      <c r="D20" s="44" t="s">
        <v>114</v>
      </c>
      <c r="E20" s="42" t="s">
        <v>66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ht="14" customHeight="1" spans="1:19">
      <c r="A21" s="42" t="s">
        <v>67</v>
      </c>
      <c r="B21" s="43"/>
      <c r="C21" s="43"/>
      <c r="D21" s="44" t="s">
        <v>114</v>
      </c>
      <c r="E21" s="42" t="s">
        <v>68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ht="14" customHeight="1" spans="1:19">
      <c r="A22" s="42" t="s">
        <v>79</v>
      </c>
      <c r="B22" s="43"/>
      <c r="C22" s="43"/>
      <c r="D22" s="44" t="s">
        <v>114</v>
      </c>
      <c r="E22" s="42" t="s">
        <v>80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 ht="14" customHeight="1" spans="1:19">
      <c r="A23" s="42" t="s">
        <v>69</v>
      </c>
      <c r="B23" s="43"/>
      <c r="C23" s="43"/>
      <c r="D23" s="44" t="s">
        <v>114</v>
      </c>
      <c r="E23" s="42" t="s">
        <v>115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 ht="14" customHeight="1" spans="1:19">
      <c r="A24" s="42" t="s">
        <v>116</v>
      </c>
      <c r="B24" s="43"/>
      <c r="C24" s="43"/>
      <c r="D24" s="44" t="s">
        <v>114</v>
      </c>
      <c r="E24" s="42" t="s">
        <v>132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 ht="14" customHeight="1" spans="1:19">
      <c r="A25" s="42" t="s">
        <v>73</v>
      </c>
      <c r="B25" s="43"/>
      <c r="C25" s="43"/>
      <c r="D25" s="44" t="s">
        <v>114</v>
      </c>
      <c r="E25" s="42" t="s">
        <v>74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 ht="14" customHeight="1" spans="1:19">
      <c r="A26" s="42" t="s">
        <v>75</v>
      </c>
      <c r="B26" s="43"/>
      <c r="C26" s="43"/>
      <c r="D26" s="44" t="s">
        <v>114</v>
      </c>
      <c r="E26" s="42" t="s">
        <v>76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 ht="14" customHeight="1" spans="1:19">
      <c r="A27" s="42" t="s">
        <v>77</v>
      </c>
      <c r="B27" s="43"/>
      <c r="C27" s="43"/>
      <c r="D27" s="44" t="s">
        <v>114</v>
      </c>
      <c r="E27" s="42" t="s">
        <v>78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 ht="17" customHeight="1" spans="1:19">
      <c r="A28" s="45" t="s">
        <v>49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</row>
    <row r="29" ht="14" customHeight="1" spans="1:19">
      <c r="A29" s="42" t="s">
        <v>81</v>
      </c>
      <c r="B29" s="42" t="s">
        <v>82</v>
      </c>
      <c r="C29" s="43"/>
      <c r="D29" s="42" t="s">
        <v>49</v>
      </c>
      <c r="E29" s="42" t="s">
        <v>84</v>
      </c>
      <c r="F29" s="42" t="s">
        <v>85</v>
      </c>
      <c r="G29" s="42" t="s">
        <v>86</v>
      </c>
      <c r="H29" s="42" t="s">
        <v>87</v>
      </c>
      <c r="I29" s="42" t="s">
        <v>88</v>
      </c>
      <c r="J29" s="43"/>
      <c r="K29" s="52" t="s">
        <v>118</v>
      </c>
      <c r="L29" s="52" t="s">
        <v>119</v>
      </c>
      <c r="M29" s="52" t="s">
        <v>120</v>
      </c>
      <c r="N29" s="52" t="s">
        <v>121</v>
      </c>
      <c r="O29" s="52" t="s">
        <v>122</v>
      </c>
      <c r="P29" s="52" t="s">
        <v>90</v>
      </c>
      <c r="Q29" s="52" t="s">
        <v>91</v>
      </c>
      <c r="R29" s="59"/>
      <c r="S29" s="52" t="s">
        <v>123</v>
      </c>
    </row>
    <row r="30" ht="20" customHeight="1" spans="1:19">
      <c r="A30" s="42" t="s">
        <v>124</v>
      </c>
      <c r="B30" s="42" t="s">
        <v>125</v>
      </c>
      <c r="C30" s="43"/>
      <c r="D30" s="42" t="s">
        <v>49</v>
      </c>
      <c r="E30" s="42" t="s">
        <v>126</v>
      </c>
      <c r="F30" s="42" t="s">
        <v>49</v>
      </c>
      <c r="G30" s="42" t="s">
        <v>102</v>
      </c>
      <c r="H30" s="42" t="s">
        <v>103</v>
      </c>
      <c r="I30" s="42" t="s">
        <v>49</v>
      </c>
      <c r="J30" s="43"/>
      <c r="K30" s="53">
        <v>144</v>
      </c>
      <c r="L30" s="53">
        <v>144</v>
      </c>
      <c r="M30" s="53">
        <v>0</v>
      </c>
      <c r="N30" s="53">
        <v>0</v>
      </c>
      <c r="O30" s="53">
        <v>144</v>
      </c>
      <c r="P30" s="54">
        <v>0.01</v>
      </c>
      <c r="Q30" s="60">
        <v>1.05</v>
      </c>
      <c r="R30" s="59"/>
      <c r="S30" s="60">
        <v>1.05</v>
      </c>
    </row>
    <row r="31" ht="20" customHeight="1" spans="1:19">
      <c r="A31" s="42" t="s">
        <v>124</v>
      </c>
      <c r="B31" s="42" t="s">
        <v>125</v>
      </c>
      <c r="C31" s="43"/>
      <c r="D31" s="42" t="s">
        <v>49</v>
      </c>
      <c r="E31" s="42" t="s">
        <v>126</v>
      </c>
      <c r="F31" s="42" t="s">
        <v>49</v>
      </c>
      <c r="G31" s="42" t="s">
        <v>102</v>
      </c>
      <c r="H31" s="42" t="s">
        <v>103</v>
      </c>
      <c r="I31" s="42" t="s">
        <v>49</v>
      </c>
      <c r="J31" s="43"/>
      <c r="K31" s="53">
        <v>4752</v>
      </c>
      <c r="L31" s="53">
        <v>4752</v>
      </c>
      <c r="M31" s="53">
        <v>0</v>
      </c>
      <c r="N31" s="53">
        <v>0</v>
      </c>
      <c r="O31" s="53">
        <v>4752</v>
      </c>
      <c r="P31" s="54">
        <v>0.01</v>
      </c>
      <c r="Q31" s="60">
        <v>34.59</v>
      </c>
      <c r="R31" s="59"/>
      <c r="S31" s="60">
        <v>34.59</v>
      </c>
    </row>
    <row r="32" ht="20" customHeight="1" spans="1:19">
      <c r="A32" s="42" t="s">
        <v>124</v>
      </c>
      <c r="B32" s="42" t="s">
        <v>125</v>
      </c>
      <c r="C32" s="43"/>
      <c r="D32" s="42" t="s">
        <v>49</v>
      </c>
      <c r="E32" s="42" t="s">
        <v>126</v>
      </c>
      <c r="F32" s="42" t="s">
        <v>49</v>
      </c>
      <c r="G32" s="42" t="s">
        <v>102</v>
      </c>
      <c r="H32" s="42" t="s">
        <v>103</v>
      </c>
      <c r="I32" s="42" t="s">
        <v>49</v>
      </c>
      <c r="J32" s="43"/>
      <c r="K32" s="53">
        <v>34272</v>
      </c>
      <c r="L32" s="53">
        <v>34272</v>
      </c>
      <c r="M32" s="53">
        <v>0</v>
      </c>
      <c r="N32" s="53">
        <v>0</v>
      </c>
      <c r="O32" s="53">
        <v>34272</v>
      </c>
      <c r="P32" s="54">
        <v>0.01</v>
      </c>
      <c r="Q32" s="60">
        <v>249.5</v>
      </c>
      <c r="R32" s="59"/>
      <c r="S32" s="60">
        <v>249.5</v>
      </c>
    </row>
    <row r="33" ht="13" customHeight="1" spans="1:19">
      <c r="A33" s="46" t="s">
        <v>127</v>
      </c>
      <c r="B33" s="47"/>
      <c r="C33" s="47"/>
      <c r="D33" s="47"/>
      <c r="E33" s="47"/>
      <c r="F33" s="47"/>
      <c r="G33" s="47"/>
      <c r="H33" s="47"/>
      <c r="I33" s="47"/>
      <c r="J33" s="55"/>
      <c r="K33" s="46" t="s">
        <v>128</v>
      </c>
      <c r="L33" s="56">
        <v>39168</v>
      </c>
      <c r="M33" s="57">
        <v>0</v>
      </c>
      <c r="N33" s="57">
        <v>0</v>
      </c>
      <c r="O33" s="57">
        <v>39168</v>
      </c>
      <c r="P33" s="58" t="s">
        <v>49</v>
      </c>
      <c r="Q33" s="61"/>
      <c r="R33" s="61"/>
      <c r="S33" s="62">
        <v>285.14</v>
      </c>
    </row>
    <row r="34" ht="19" customHeight="1" spans="1:19">
      <c r="A34" s="42" t="s">
        <v>129</v>
      </c>
      <c r="B34" s="43"/>
      <c r="C34" s="43"/>
      <c r="D34" s="48" t="s">
        <v>130</v>
      </c>
      <c r="E34" s="49" t="s">
        <v>131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55"/>
      <c r="S34" s="55"/>
    </row>
    <row r="35" ht="19" customHeight="1" spans="1:19">
      <c r="A35" s="48" t="s">
        <v>130</v>
      </c>
      <c r="B35" s="50"/>
      <c r="C35" s="50"/>
      <c r="D35" s="48" t="s">
        <v>130</v>
      </c>
      <c r="E35" s="48" t="s">
        <v>109</v>
      </c>
      <c r="F35" s="51">
        <v>700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55"/>
      <c r="S35" s="55"/>
    </row>
    <row r="36" ht="12" customHeight="1" spans="1:19">
      <c r="A36" s="45" t="s">
        <v>49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55"/>
      <c r="S36" s="55"/>
    </row>
    <row r="37" ht="14" customHeight="1" spans="1:19">
      <c r="A37" s="42" t="s">
        <v>64</v>
      </c>
      <c r="B37" s="43"/>
      <c r="C37" s="43"/>
      <c r="D37" s="44" t="s">
        <v>114</v>
      </c>
      <c r="E37" s="42" t="s">
        <v>66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</row>
    <row r="38" ht="14" customHeight="1" spans="1:19">
      <c r="A38" s="42" t="s">
        <v>67</v>
      </c>
      <c r="B38" s="43"/>
      <c r="C38" s="43"/>
      <c r="D38" s="44" t="s">
        <v>114</v>
      </c>
      <c r="E38" s="42" t="s">
        <v>68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</row>
    <row r="39" ht="14" customHeight="1" spans="1:19">
      <c r="A39" s="42" t="s">
        <v>79</v>
      </c>
      <c r="B39" s="43"/>
      <c r="C39" s="43"/>
      <c r="D39" s="44" t="s">
        <v>114</v>
      </c>
      <c r="E39" s="42" t="s">
        <v>80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</row>
    <row r="40" ht="14" customHeight="1" spans="1:19">
      <c r="A40" s="42" t="s">
        <v>69</v>
      </c>
      <c r="B40" s="43"/>
      <c r="C40" s="43"/>
      <c r="D40" s="44" t="s">
        <v>114</v>
      </c>
      <c r="E40" s="42" t="s">
        <v>115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  <row r="41" ht="14" customHeight="1" spans="1:19">
      <c r="A41" s="42" t="s">
        <v>116</v>
      </c>
      <c r="B41" s="43"/>
      <c r="C41" s="43"/>
      <c r="D41" s="44" t="s">
        <v>114</v>
      </c>
      <c r="E41" s="42" t="s">
        <v>133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 ht="14" customHeight="1" spans="1:19">
      <c r="A42" s="42" t="s">
        <v>73</v>
      </c>
      <c r="B42" s="43"/>
      <c r="C42" s="43"/>
      <c r="D42" s="44" t="s">
        <v>114</v>
      </c>
      <c r="E42" s="42" t="s">
        <v>74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ht="14" customHeight="1" spans="1:19">
      <c r="A43" s="42" t="s">
        <v>75</v>
      </c>
      <c r="B43" s="43"/>
      <c r="C43" s="43"/>
      <c r="D43" s="44" t="s">
        <v>114</v>
      </c>
      <c r="E43" s="42" t="s">
        <v>76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</row>
    <row r="44" ht="14" customHeight="1" spans="1:19">
      <c r="A44" s="42" t="s">
        <v>77</v>
      </c>
      <c r="B44" s="43"/>
      <c r="C44" s="43"/>
      <c r="D44" s="44" t="s">
        <v>114</v>
      </c>
      <c r="E44" s="42" t="s">
        <v>78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</row>
    <row r="45" ht="17" customHeight="1" spans="1:19">
      <c r="A45" s="45" t="s">
        <v>49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 ht="14" customHeight="1" spans="1:19">
      <c r="A46" s="42" t="s">
        <v>81</v>
      </c>
      <c r="B46" s="42" t="s">
        <v>82</v>
      </c>
      <c r="C46" s="43"/>
      <c r="D46" s="42" t="s">
        <v>49</v>
      </c>
      <c r="E46" s="42" t="s">
        <v>84</v>
      </c>
      <c r="F46" s="42" t="s">
        <v>85</v>
      </c>
      <c r="G46" s="42" t="s">
        <v>86</v>
      </c>
      <c r="H46" s="42" t="s">
        <v>87</v>
      </c>
      <c r="I46" s="42" t="s">
        <v>88</v>
      </c>
      <c r="J46" s="43"/>
      <c r="K46" s="52" t="s">
        <v>118</v>
      </c>
      <c r="L46" s="52" t="s">
        <v>119</v>
      </c>
      <c r="M46" s="52" t="s">
        <v>120</v>
      </c>
      <c r="N46" s="52" t="s">
        <v>121</v>
      </c>
      <c r="O46" s="52" t="s">
        <v>122</v>
      </c>
      <c r="P46" s="52" t="s">
        <v>90</v>
      </c>
      <c r="Q46" s="52" t="s">
        <v>91</v>
      </c>
      <c r="R46" s="59"/>
      <c r="S46" s="52" t="s">
        <v>123</v>
      </c>
    </row>
    <row r="47" ht="20" customHeight="1" spans="1:19">
      <c r="A47" s="42" t="s">
        <v>124</v>
      </c>
      <c r="B47" s="42" t="s">
        <v>125</v>
      </c>
      <c r="C47" s="43"/>
      <c r="D47" s="42" t="s">
        <v>49</v>
      </c>
      <c r="E47" s="42" t="s">
        <v>126</v>
      </c>
      <c r="F47" s="42" t="s">
        <v>49</v>
      </c>
      <c r="G47" s="42" t="s">
        <v>102</v>
      </c>
      <c r="H47" s="42" t="s">
        <v>103</v>
      </c>
      <c r="I47" s="42" t="s">
        <v>49</v>
      </c>
      <c r="J47" s="43"/>
      <c r="K47" s="53">
        <v>144</v>
      </c>
      <c r="L47" s="53">
        <v>144</v>
      </c>
      <c r="M47" s="53">
        <v>0</v>
      </c>
      <c r="N47" s="53">
        <v>0</v>
      </c>
      <c r="O47" s="53">
        <v>144</v>
      </c>
      <c r="P47" s="54">
        <v>0.01</v>
      </c>
      <c r="Q47" s="60">
        <v>1.05</v>
      </c>
      <c r="R47" s="59"/>
      <c r="S47" s="60">
        <v>1.05</v>
      </c>
    </row>
    <row r="48" ht="20" customHeight="1" spans="1:19">
      <c r="A48" s="42" t="s">
        <v>124</v>
      </c>
      <c r="B48" s="42" t="s">
        <v>125</v>
      </c>
      <c r="C48" s="43"/>
      <c r="D48" s="42" t="s">
        <v>49</v>
      </c>
      <c r="E48" s="42" t="s">
        <v>126</v>
      </c>
      <c r="F48" s="42" t="s">
        <v>49</v>
      </c>
      <c r="G48" s="42" t="s">
        <v>102</v>
      </c>
      <c r="H48" s="42" t="s">
        <v>103</v>
      </c>
      <c r="I48" s="42" t="s">
        <v>49</v>
      </c>
      <c r="J48" s="43"/>
      <c r="K48" s="53">
        <v>4752</v>
      </c>
      <c r="L48" s="53">
        <v>4752</v>
      </c>
      <c r="M48" s="53">
        <v>0</v>
      </c>
      <c r="N48" s="53">
        <v>0</v>
      </c>
      <c r="O48" s="53">
        <v>4752</v>
      </c>
      <c r="P48" s="54">
        <v>0.01</v>
      </c>
      <c r="Q48" s="60">
        <v>34.59</v>
      </c>
      <c r="R48" s="59"/>
      <c r="S48" s="60">
        <v>34.59</v>
      </c>
    </row>
    <row r="49" ht="20" customHeight="1" spans="1:19">
      <c r="A49" s="42" t="s">
        <v>124</v>
      </c>
      <c r="B49" s="42" t="s">
        <v>125</v>
      </c>
      <c r="C49" s="43"/>
      <c r="D49" s="42" t="s">
        <v>49</v>
      </c>
      <c r="E49" s="42" t="s">
        <v>126</v>
      </c>
      <c r="F49" s="42" t="s">
        <v>49</v>
      </c>
      <c r="G49" s="42" t="s">
        <v>102</v>
      </c>
      <c r="H49" s="42" t="s">
        <v>103</v>
      </c>
      <c r="I49" s="42" t="s">
        <v>49</v>
      </c>
      <c r="J49" s="43"/>
      <c r="K49" s="53">
        <v>34272</v>
      </c>
      <c r="L49" s="53">
        <v>34272</v>
      </c>
      <c r="M49" s="53">
        <v>0</v>
      </c>
      <c r="N49" s="53">
        <v>0</v>
      </c>
      <c r="O49" s="53">
        <v>34272</v>
      </c>
      <c r="P49" s="54">
        <v>0.01</v>
      </c>
      <c r="Q49" s="60">
        <v>249.5</v>
      </c>
      <c r="R49" s="59"/>
      <c r="S49" s="60">
        <v>249.5</v>
      </c>
    </row>
    <row r="50" ht="13" customHeight="1" spans="1:19">
      <c r="A50" s="46" t="s">
        <v>127</v>
      </c>
      <c r="B50" s="47"/>
      <c r="C50" s="47"/>
      <c r="D50" s="47"/>
      <c r="E50" s="47"/>
      <c r="F50" s="47"/>
      <c r="G50" s="47"/>
      <c r="H50" s="47"/>
      <c r="I50" s="47"/>
      <c r="J50" s="55"/>
      <c r="K50" s="46" t="s">
        <v>128</v>
      </c>
      <c r="L50" s="56">
        <v>39168</v>
      </c>
      <c r="M50" s="57">
        <v>0</v>
      </c>
      <c r="N50" s="57">
        <v>0</v>
      </c>
      <c r="O50" s="57">
        <v>39168</v>
      </c>
      <c r="P50" s="58" t="s">
        <v>49</v>
      </c>
      <c r="Q50" s="61"/>
      <c r="R50" s="61"/>
      <c r="S50" s="62">
        <v>285.14</v>
      </c>
    </row>
    <row r="51" ht="19" customHeight="1" spans="1:19">
      <c r="A51" s="42" t="s">
        <v>129</v>
      </c>
      <c r="B51" s="43"/>
      <c r="C51" s="43"/>
      <c r="D51" s="48" t="s">
        <v>130</v>
      </c>
      <c r="E51" s="49" t="s">
        <v>131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55"/>
      <c r="S51" s="55"/>
    </row>
    <row r="52" ht="19" customHeight="1" spans="1:19">
      <c r="A52" s="48" t="s">
        <v>130</v>
      </c>
      <c r="B52" s="50"/>
      <c r="C52" s="50"/>
      <c r="D52" s="48" t="s">
        <v>130</v>
      </c>
      <c r="E52" s="48" t="s">
        <v>109</v>
      </c>
      <c r="F52" s="51">
        <v>700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55"/>
      <c r="S52" s="55"/>
    </row>
    <row r="53" ht="12" customHeight="1" spans="1:19">
      <c r="A53" s="45" t="s">
        <v>49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55"/>
      <c r="S53" s="55"/>
    </row>
    <row r="54" ht="14" customHeight="1" spans="1:19">
      <c r="A54" s="42" t="s">
        <v>64</v>
      </c>
      <c r="B54" s="43"/>
      <c r="C54" s="43"/>
      <c r="D54" s="44" t="s">
        <v>114</v>
      </c>
      <c r="E54" s="42" t="s">
        <v>66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 ht="14" customHeight="1" spans="1:19">
      <c r="A55" s="42" t="s">
        <v>67</v>
      </c>
      <c r="B55" s="43"/>
      <c r="C55" s="43"/>
      <c r="D55" s="44" t="s">
        <v>114</v>
      </c>
      <c r="E55" s="42" t="s">
        <v>68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ht="14" customHeight="1" spans="1:19">
      <c r="A56" s="42" t="s">
        <v>79</v>
      </c>
      <c r="B56" s="43"/>
      <c r="C56" s="43"/>
      <c r="D56" s="44" t="s">
        <v>114</v>
      </c>
      <c r="E56" s="42" t="s">
        <v>80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 ht="14" customHeight="1" spans="1:19">
      <c r="A57" s="42" t="s">
        <v>69</v>
      </c>
      <c r="B57" s="43"/>
      <c r="C57" s="43"/>
      <c r="D57" s="44" t="s">
        <v>114</v>
      </c>
      <c r="E57" s="42" t="s">
        <v>115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 ht="14" customHeight="1" spans="1:19">
      <c r="A58" s="42" t="s">
        <v>116</v>
      </c>
      <c r="B58" s="43"/>
      <c r="C58" s="43"/>
      <c r="D58" s="44" t="s">
        <v>114</v>
      </c>
      <c r="E58" s="42" t="s">
        <v>134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 ht="14" customHeight="1" spans="1:19">
      <c r="A59" s="42" t="s">
        <v>73</v>
      </c>
      <c r="B59" s="43"/>
      <c r="C59" s="43"/>
      <c r="D59" s="44" t="s">
        <v>114</v>
      </c>
      <c r="E59" s="42" t="s">
        <v>74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 ht="14" customHeight="1" spans="1:19">
      <c r="A60" s="42" t="s">
        <v>75</v>
      </c>
      <c r="B60" s="43"/>
      <c r="C60" s="43"/>
      <c r="D60" s="44" t="s">
        <v>114</v>
      </c>
      <c r="E60" s="42" t="s">
        <v>76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 ht="14" customHeight="1" spans="1:19">
      <c r="A61" s="42" t="s">
        <v>77</v>
      </c>
      <c r="B61" s="43"/>
      <c r="C61" s="43"/>
      <c r="D61" s="44" t="s">
        <v>114</v>
      </c>
      <c r="E61" s="42" t="s">
        <v>78</v>
      </c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</row>
    <row r="62" ht="17" customHeight="1" spans="1:19">
      <c r="A62" s="45" t="s">
        <v>49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</row>
    <row r="63" ht="14" customHeight="1" spans="1:19">
      <c r="A63" s="42" t="s">
        <v>81</v>
      </c>
      <c r="B63" s="42" t="s">
        <v>82</v>
      </c>
      <c r="C63" s="43"/>
      <c r="D63" s="42" t="s">
        <v>49</v>
      </c>
      <c r="E63" s="42" t="s">
        <v>84</v>
      </c>
      <c r="F63" s="42" t="s">
        <v>85</v>
      </c>
      <c r="G63" s="42" t="s">
        <v>86</v>
      </c>
      <c r="H63" s="42" t="s">
        <v>87</v>
      </c>
      <c r="I63" s="42" t="s">
        <v>88</v>
      </c>
      <c r="J63" s="43"/>
      <c r="K63" s="52" t="s">
        <v>118</v>
      </c>
      <c r="L63" s="52" t="s">
        <v>119</v>
      </c>
      <c r="M63" s="52" t="s">
        <v>120</v>
      </c>
      <c r="N63" s="52" t="s">
        <v>121</v>
      </c>
      <c r="O63" s="52" t="s">
        <v>122</v>
      </c>
      <c r="P63" s="52" t="s">
        <v>90</v>
      </c>
      <c r="Q63" s="52" t="s">
        <v>91</v>
      </c>
      <c r="R63" s="59"/>
      <c r="S63" s="52" t="s">
        <v>123</v>
      </c>
    </row>
    <row r="64" ht="20" customHeight="1" spans="1:19">
      <c r="A64" s="42" t="s">
        <v>124</v>
      </c>
      <c r="B64" s="42" t="s">
        <v>125</v>
      </c>
      <c r="C64" s="43"/>
      <c r="D64" s="42" t="s">
        <v>49</v>
      </c>
      <c r="E64" s="42" t="s">
        <v>126</v>
      </c>
      <c r="F64" s="42" t="s">
        <v>49</v>
      </c>
      <c r="G64" s="42" t="s">
        <v>102</v>
      </c>
      <c r="H64" s="42" t="s">
        <v>103</v>
      </c>
      <c r="I64" s="42" t="s">
        <v>49</v>
      </c>
      <c r="J64" s="43"/>
      <c r="K64" s="53">
        <v>144</v>
      </c>
      <c r="L64" s="53">
        <v>144</v>
      </c>
      <c r="M64" s="53">
        <v>0</v>
      </c>
      <c r="N64" s="53">
        <v>0</v>
      </c>
      <c r="O64" s="53">
        <v>144</v>
      </c>
      <c r="P64" s="54">
        <v>0.01</v>
      </c>
      <c r="Q64" s="60">
        <v>1.05</v>
      </c>
      <c r="R64" s="59"/>
      <c r="S64" s="60">
        <v>1.05</v>
      </c>
    </row>
    <row r="65" ht="20" customHeight="1" spans="1:19">
      <c r="A65" s="42" t="s">
        <v>124</v>
      </c>
      <c r="B65" s="42" t="s">
        <v>125</v>
      </c>
      <c r="C65" s="43"/>
      <c r="D65" s="42" t="s">
        <v>49</v>
      </c>
      <c r="E65" s="42" t="s">
        <v>126</v>
      </c>
      <c r="F65" s="42" t="s">
        <v>49</v>
      </c>
      <c r="G65" s="42" t="s">
        <v>102</v>
      </c>
      <c r="H65" s="42" t="s">
        <v>103</v>
      </c>
      <c r="I65" s="42" t="s">
        <v>49</v>
      </c>
      <c r="J65" s="43"/>
      <c r="K65" s="53">
        <v>4752</v>
      </c>
      <c r="L65" s="53">
        <v>4752</v>
      </c>
      <c r="M65" s="53">
        <v>0</v>
      </c>
      <c r="N65" s="53">
        <v>0</v>
      </c>
      <c r="O65" s="53">
        <v>4752</v>
      </c>
      <c r="P65" s="54">
        <v>0.01</v>
      </c>
      <c r="Q65" s="60">
        <v>34.59</v>
      </c>
      <c r="R65" s="59"/>
      <c r="S65" s="60">
        <v>34.59</v>
      </c>
    </row>
    <row r="66" ht="20" customHeight="1" spans="1:19">
      <c r="A66" s="42" t="s">
        <v>124</v>
      </c>
      <c r="B66" s="42" t="s">
        <v>125</v>
      </c>
      <c r="C66" s="43"/>
      <c r="D66" s="42" t="s">
        <v>49</v>
      </c>
      <c r="E66" s="42" t="s">
        <v>126</v>
      </c>
      <c r="F66" s="42" t="s">
        <v>49</v>
      </c>
      <c r="G66" s="42" t="s">
        <v>102</v>
      </c>
      <c r="H66" s="42" t="s">
        <v>103</v>
      </c>
      <c r="I66" s="42" t="s">
        <v>49</v>
      </c>
      <c r="J66" s="43"/>
      <c r="K66" s="53">
        <v>34272</v>
      </c>
      <c r="L66" s="53">
        <v>34272</v>
      </c>
      <c r="M66" s="53">
        <v>0</v>
      </c>
      <c r="N66" s="53">
        <v>0</v>
      </c>
      <c r="O66" s="53">
        <v>34272</v>
      </c>
      <c r="P66" s="54">
        <v>0.01</v>
      </c>
      <c r="Q66" s="60">
        <v>249.5</v>
      </c>
      <c r="R66" s="59"/>
      <c r="S66" s="60">
        <v>249.5</v>
      </c>
    </row>
    <row r="67" ht="13" customHeight="1" spans="1:19">
      <c r="A67" s="46" t="s">
        <v>127</v>
      </c>
      <c r="B67" s="47"/>
      <c r="C67" s="47"/>
      <c r="D67" s="47"/>
      <c r="E67" s="47"/>
      <c r="F67" s="47"/>
      <c r="G67" s="47"/>
      <c r="H67" s="47"/>
      <c r="I67" s="47"/>
      <c r="J67" s="55"/>
      <c r="K67" s="46" t="s">
        <v>128</v>
      </c>
      <c r="L67" s="56">
        <v>39168</v>
      </c>
      <c r="M67" s="57">
        <v>0</v>
      </c>
      <c r="N67" s="57">
        <v>0</v>
      </c>
      <c r="O67" s="57">
        <v>39168</v>
      </c>
      <c r="P67" s="58" t="s">
        <v>49</v>
      </c>
      <c r="Q67" s="61"/>
      <c r="R67" s="61"/>
      <c r="S67" s="62">
        <v>285.14</v>
      </c>
    </row>
    <row r="68" ht="19" customHeight="1" spans="1:19">
      <c r="A68" s="42" t="s">
        <v>129</v>
      </c>
      <c r="B68" s="43"/>
      <c r="C68" s="43"/>
      <c r="D68" s="48" t="s">
        <v>130</v>
      </c>
      <c r="E68" s="49" t="s">
        <v>131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55"/>
      <c r="S68" s="55"/>
    </row>
    <row r="69" ht="19" customHeight="1" spans="1:19">
      <c r="A69" s="48" t="s">
        <v>130</v>
      </c>
      <c r="B69" s="50"/>
      <c r="C69" s="50"/>
      <c r="D69" s="48" t="s">
        <v>130</v>
      </c>
      <c r="E69" s="48" t="s">
        <v>109</v>
      </c>
      <c r="F69" s="51">
        <v>700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55"/>
      <c r="S69" s="55"/>
    </row>
    <row r="70" ht="12" customHeight="1" spans="1:19">
      <c r="A70" s="45" t="s">
        <v>49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55"/>
      <c r="S70" s="55"/>
    </row>
    <row r="71" ht="14" customHeight="1" spans="1:19">
      <c r="A71" s="42" t="s">
        <v>64</v>
      </c>
      <c r="B71" s="43"/>
      <c r="C71" s="43"/>
      <c r="D71" s="44" t="s">
        <v>114</v>
      </c>
      <c r="E71" s="42" t="s">
        <v>66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</row>
    <row r="72" ht="14" customHeight="1" spans="1:19">
      <c r="A72" s="42" t="s">
        <v>67</v>
      </c>
      <c r="B72" s="43"/>
      <c r="C72" s="43"/>
      <c r="D72" s="44" t="s">
        <v>114</v>
      </c>
      <c r="E72" s="42" t="s">
        <v>68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</row>
    <row r="73" ht="14" customHeight="1" spans="1:19">
      <c r="A73" s="42" t="s">
        <v>79</v>
      </c>
      <c r="B73" s="43"/>
      <c r="C73" s="43"/>
      <c r="D73" s="44" t="s">
        <v>114</v>
      </c>
      <c r="E73" s="42" t="s">
        <v>80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</row>
    <row r="74" ht="14" customHeight="1" spans="1:19">
      <c r="A74" s="42" t="s">
        <v>69</v>
      </c>
      <c r="B74" s="43"/>
      <c r="C74" s="43"/>
      <c r="D74" s="44" t="s">
        <v>114</v>
      </c>
      <c r="E74" s="42" t="s">
        <v>115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ht="14" customHeight="1" spans="1:19">
      <c r="A75" s="42" t="s">
        <v>116</v>
      </c>
      <c r="B75" s="43"/>
      <c r="C75" s="43"/>
      <c r="D75" s="44" t="s">
        <v>114</v>
      </c>
      <c r="E75" s="42" t="s">
        <v>135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 ht="14" customHeight="1" spans="1:19">
      <c r="A76" s="42" t="s">
        <v>73</v>
      </c>
      <c r="B76" s="43"/>
      <c r="C76" s="43"/>
      <c r="D76" s="44" t="s">
        <v>114</v>
      </c>
      <c r="E76" s="42" t="s">
        <v>74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</row>
    <row r="77" ht="14" customHeight="1" spans="1:19">
      <c r="A77" s="42" t="s">
        <v>75</v>
      </c>
      <c r="B77" s="43"/>
      <c r="C77" s="43"/>
      <c r="D77" s="44" t="s">
        <v>114</v>
      </c>
      <c r="E77" s="42" t="s">
        <v>76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</row>
    <row r="78" ht="14" customHeight="1" spans="1:19">
      <c r="A78" s="42" t="s">
        <v>77</v>
      </c>
      <c r="B78" s="43"/>
      <c r="C78" s="43"/>
      <c r="D78" s="44" t="s">
        <v>114</v>
      </c>
      <c r="E78" s="42" t="s">
        <v>78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</row>
    <row r="79" ht="17" customHeight="1" spans="1:19">
      <c r="A79" s="45" t="s">
        <v>49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</row>
    <row r="80" ht="14" customHeight="1" spans="1:19">
      <c r="A80" s="42" t="s">
        <v>81</v>
      </c>
      <c r="B80" s="42" t="s">
        <v>82</v>
      </c>
      <c r="C80" s="43"/>
      <c r="D80" s="42" t="s">
        <v>49</v>
      </c>
      <c r="E80" s="42" t="s">
        <v>84</v>
      </c>
      <c r="F80" s="42" t="s">
        <v>85</v>
      </c>
      <c r="G80" s="42" t="s">
        <v>86</v>
      </c>
      <c r="H80" s="42" t="s">
        <v>87</v>
      </c>
      <c r="I80" s="42" t="s">
        <v>88</v>
      </c>
      <c r="J80" s="43"/>
      <c r="K80" s="52" t="s">
        <v>118</v>
      </c>
      <c r="L80" s="52" t="s">
        <v>119</v>
      </c>
      <c r="M80" s="52" t="s">
        <v>120</v>
      </c>
      <c r="N80" s="52" t="s">
        <v>121</v>
      </c>
      <c r="O80" s="52" t="s">
        <v>122</v>
      </c>
      <c r="P80" s="52" t="s">
        <v>90</v>
      </c>
      <c r="Q80" s="52" t="s">
        <v>91</v>
      </c>
      <c r="R80" s="59"/>
      <c r="S80" s="52" t="s">
        <v>123</v>
      </c>
    </row>
    <row r="81" ht="20" customHeight="1" spans="1:19">
      <c r="A81" s="42" t="s">
        <v>124</v>
      </c>
      <c r="B81" s="42" t="s">
        <v>125</v>
      </c>
      <c r="C81" s="43"/>
      <c r="D81" s="42" t="s">
        <v>49</v>
      </c>
      <c r="E81" s="42" t="s">
        <v>126</v>
      </c>
      <c r="F81" s="42" t="s">
        <v>49</v>
      </c>
      <c r="G81" s="42" t="s">
        <v>102</v>
      </c>
      <c r="H81" s="42" t="s">
        <v>103</v>
      </c>
      <c r="I81" s="42" t="s">
        <v>49</v>
      </c>
      <c r="J81" s="43"/>
      <c r="K81" s="53">
        <v>144</v>
      </c>
      <c r="L81" s="53">
        <v>144</v>
      </c>
      <c r="M81" s="53">
        <v>0</v>
      </c>
      <c r="N81" s="53">
        <v>0</v>
      </c>
      <c r="O81" s="53">
        <v>144</v>
      </c>
      <c r="P81" s="54">
        <v>0.01</v>
      </c>
      <c r="Q81" s="60">
        <v>1.05</v>
      </c>
      <c r="R81" s="59"/>
      <c r="S81" s="60">
        <v>1.05</v>
      </c>
    </row>
    <row r="82" ht="20" customHeight="1" spans="1:19">
      <c r="A82" s="42" t="s">
        <v>124</v>
      </c>
      <c r="B82" s="42" t="s">
        <v>125</v>
      </c>
      <c r="C82" s="43"/>
      <c r="D82" s="42" t="s">
        <v>49</v>
      </c>
      <c r="E82" s="42" t="s">
        <v>126</v>
      </c>
      <c r="F82" s="42" t="s">
        <v>49</v>
      </c>
      <c r="G82" s="42" t="s">
        <v>102</v>
      </c>
      <c r="H82" s="42" t="s">
        <v>103</v>
      </c>
      <c r="I82" s="42" t="s">
        <v>49</v>
      </c>
      <c r="J82" s="43"/>
      <c r="K82" s="53">
        <v>4752</v>
      </c>
      <c r="L82" s="53">
        <v>4752</v>
      </c>
      <c r="M82" s="53">
        <v>0</v>
      </c>
      <c r="N82" s="53">
        <v>0</v>
      </c>
      <c r="O82" s="53">
        <v>4752</v>
      </c>
      <c r="P82" s="54">
        <v>0.01</v>
      </c>
      <c r="Q82" s="60">
        <v>34.59</v>
      </c>
      <c r="R82" s="59"/>
      <c r="S82" s="60">
        <v>34.59</v>
      </c>
    </row>
    <row r="83" ht="20" customHeight="1" spans="1:19">
      <c r="A83" s="42" t="s">
        <v>124</v>
      </c>
      <c r="B83" s="42" t="s">
        <v>125</v>
      </c>
      <c r="C83" s="43"/>
      <c r="D83" s="42" t="s">
        <v>49</v>
      </c>
      <c r="E83" s="42" t="s">
        <v>126</v>
      </c>
      <c r="F83" s="42" t="s">
        <v>49</v>
      </c>
      <c r="G83" s="42" t="s">
        <v>102</v>
      </c>
      <c r="H83" s="42" t="s">
        <v>103</v>
      </c>
      <c r="I83" s="42" t="s">
        <v>49</v>
      </c>
      <c r="J83" s="43"/>
      <c r="K83" s="53">
        <v>34272</v>
      </c>
      <c r="L83" s="53">
        <v>34272</v>
      </c>
      <c r="M83" s="53">
        <v>0</v>
      </c>
      <c r="N83" s="53">
        <v>0</v>
      </c>
      <c r="O83" s="53">
        <v>34272</v>
      </c>
      <c r="P83" s="54">
        <v>0.01</v>
      </c>
      <c r="Q83" s="60">
        <v>249.5</v>
      </c>
      <c r="R83" s="59"/>
      <c r="S83" s="60">
        <v>249.5</v>
      </c>
    </row>
    <row r="84" ht="13" customHeight="1" spans="1:19">
      <c r="A84" s="46" t="s">
        <v>127</v>
      </c>
      <c r="B84" s="47"/>
      <c r="C84" s="47"/>
      <c r="D84" s="47"/>
      <c r="E84" s="47"/>
      <c r="F84" s="47"/>
      <c r="G84" s="47"/>
      <c r="H84" s="47"/>
      <c r="I84" s="47"/>
      <c r="J84" s="55"/>
      <c r="K84" s="46" t="s">
        <v>128</v>
      </c>
      <c r="L84" s="56">
        <v>39168</v>
      </c>
      <c r="M84" s="57">
        <v>0</v>
      </c>
      <c r="N84" s="57">
        <v>0</v>
      </c>
      <c r="O84" s="57">
        <v>39168</v>
      </c>
      <c r="P84" s="58" t="s">
        <v>49</v>
      </c>
      <c r="Q84" s="61"/>
      <c r="R84" s="61"/>
      <c r="S84" s="62">
        <v>285.14</v>
      </c>
    </row>
    <row r="85" ht="19" customHeight="1" spans="1:19">
      <c r="A85" s="42" t="s">
        <v>129</v>
      </c>
      <c r="B85" s="43"/>
      <c r="C85" s="43"/>
      <c r="D85" s="48" t="s">
        <v>130</v>
      </c>
      <c r="E85" s="49" t="s">
        <v>131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55"/>
      <c r="S85" s="55"/>
    </row>
    <row r="86" ht="19" customHeight="1" spans="1:19">
      <c r="A86" s="48" t="s">
        <v>130</v>
      </c>
      <c r="B86" s="50"/>
      <c r="C86" s="50"/>
      <c r="D86" s="48" t="s">
        <v>130</v>
      </c>
      <c r="E86" s="48" t="s">
        <v>109</v>
      </c>
      <c r="F86" s="51">
        <v>700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55"/>
      <c r="S86" s="55"/>
    </row>
    <row r="87" ht="12" customHeight="1" spans="1:19">
      <c r="A87" s="45" t="s">
        <v>49</v>
      </c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55"/>
      <c r="S87" s="55"/>
    </row>
    <row r="88" ht="14" customHeight="1" spans="1:19">
      <c r="A88" s="42" t="s">
        <v>64</v>
      </c>
      <c r="B88" s="43"/>
      <c r="C88" s="43"/>
      <c r="D88" s="44" t="s">
        <v>114</v>
      </c>
      <c r="E88" s="42" t="s">
        <v>66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</row>
    <row r="89" ht="14" customHeight="1" spans="1:19">
      <c r="A89" s="42" t="s">
        <v>67</v>
      </c>
      <c r="B89" s="43"/>
      <c r="C89" s="43"/>
      <c r="D89" s="44" t="s">
        <v>114</v>
      </c>
      <c r="E89" s="42" t="s">
        <v>68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</row>
    <row r="90" ht="14" customHeight="1" spans="1:19">
      <c r="A90" s="42" t="s">
        <v>79</v>
      </c>
      <c r="B90" s="43"/>
      <c r="C90" s="43"/>
      <c r="D90" s="44" t="s">
        <v>114</v>
      </c>
      <c r="E90" s="42" t="s">
        <v>80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</row>
    <row r="91" ht="14" customHeight="1" spans="1:19">
      <c r="A91" s="42" t="s">
        <v>69</v>
      </c>
      <c r="B91" s="43"/>
      <c r="C91" s="43"/>
      <c r="D91" s="44" t="s">
        <v>114</v>
      </c>
      <c r="E91" s="42" t="s">
        <v>115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</row>
    <row r="92" ht="14" customHeight="1" spans="1:19">
      <c r="A92" s="42" t="s">
        <v>116</v>
      </c>
      <c r="B92" s="43"/>
      <c r="C92" s="43"/>
      <c r="D92" s="44" t="s">
        <v>114</v>
      </c>
      <c r="E92" s="42" t="s">
        <v>136</v>
      </c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</row>
    <row r="93" ht="14" customHeight="1" spans="1:19">
      <c r="A93" s="42" t="s">
        <v>73</v>
      </c>
      <c r="B93" s="43"/>
      <c r="C93" s="43"/>
      <c r="D93" s="44" t="s">
        <v>114</v>
      </c>
      <c r="E93" s="42" t="s">
        <v>74</v>
      </c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</row>
    <row r="94" ht="14" customHeight="1" spans="1:19">
      <c r="A94" s="42" t="s">
        <v>75</v>
      </c>
      <c r="B94" s="43"/>
      <c r="C94" s="43"/>
      <c r="D94" s="44" t="s">
        <v>114</v>
      </c>
      <c r="E94" s="42" t="s">
        <v>76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</row>
    <row r="95" ht="14" customHeight="1" spans="1:19">
      <c r="A95" s="42" t="s">
        <v>77</v>
      </c>
      <c r="B95" s="43"/>
      <c r="C95" s="43"/>
      <c r="D95" s="44" t="s">
        <v>114</v>
      </c>
      <c r="E95" s="42" t="s">
        <v>78</v>
      </c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</row>
    <row r="96" ht="17" customHeight="1" spans="1:19">
      <c r="A96" s="45" t="s">
        <v>49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</row>
    <row r="97" ht="14" customHeight="1" spans="1:19">
      <c r="A97" s="42" t="s">
        <v>81</v>
      </c>
      <c r="B97" s="42" t="s">
        <v>82</v>
      </c>
      <c r="C97" s="43"/>
      <c r="D97" s="42" t="s">
        <v>49</v>
      </c>
      <c r="E97" s="42" t="s">
        <v>84</v>
      </c>
      <c r="F97" s="42" t="s">
        <v>85</v>
      </c>
      <c r="G97" s="42" t="s">
        <v>86</v>
      </c>
      <c r="H97" s="42" t="s">
        <v>87</v>
      </c>
      <c r="I97" s="42" t="s">
        <v>88</v>
      </c>
      <c r="J97" s="43"/>
      <c r="K97" s="52" t="s">
        <v>118</v>
      </c>
      <c r="L97" s="52" t="s">
        <v>119</v>
      </c>
      <c r="M97" s="52" t="s">
        <v>120</v>
      </c>
      <c r="N97" s="52" t="s">
        <v>121</v>
      </c>
      <c r="O97" s="52" t="s">
        <v>122</v>
      </c>
      <c r="P97" s="52" t="s">
        <v>90</v>
      </c>
      <c r="Q97" s="52" t="s">
        <v>91</v>
      </c>
      <c r="R97" s="59"/>
      <c r="S97" s="52" t="s">
        <v>123</v>
      </c>
    </row>
    <row r="98" ht="20" customHeight="1" spans="1:19">
      <c r="A98" s="42" t="s">
        <v>124</v>
      </c>
      <c r="B98" s="42" t="s">
        <v>125</v>
      </c>
      <c r="C98" s="43"/>
      <c r="D98" s="42" t="s">
        <v>49</v>
      </c>
      <c r="E98" s="42" t="s">
        <v>126</v>
      </c>
      <c r="F98" s="42" t="s">
        <v>49</v>
      </c>
      <c r="G98" s="42" t="s">
        <v>102</v>
      </c>
      <c r="H98" s="42" t="s">
        <v>103</v>
      </c>
      <c r="I98" s="42" t="s">
        <v>49</v>
      </c>
      <c r="J98" s="43"/>
      <c r="K98" s="53">
        <v>144</v>
      </c>
      <c r="L98" s="53">
        <v>144</v>
      </c>
      <c r="M98" s="53">
        <v>0</v>
      </c>
      <c r="N98" s="53">
        <v>0</v>
      </c>
      <c r="O98" s="53">
        <v>144</v>
      </c>
      <c r="P98" s="54">
        <v>0.01</v>
      </c>
      <c r="Q98" s="60">
        <v>1.05</v>
      </c>
      <c r="R98" s="59"/>
      <c r="S98" s="60">
        <v>1.05</v>
      </c>
    </row>
    <row r="99" ht="20" customHeight="1" spans="1:19">
      <c r="A99" s="42" t="s">
        <v>124</v>
      </c>
      <c r="B99" s="42" t="s">
        <v>125</v>
      </c>
      <c r="C99" s="43"/>
      <c r="D99" s="42" t="s">
        <v>49</v>
      </c>
      <c r="E99" s="42" t="s">
        <v>126</v>
      </c>
      <c r="F99" s="42" t="s">
        <v>49</v>
      </c>
      <c r="G99" s="42" t="s">
        <v>102</v>
      </c>
      <c r="H99" s="42" t="s">
        <v>103</v>
      </c>
      <c r="I99" s="42" t="s">
        <v>49</v>
      </c>
      <c r="J99" s="43"/>
      <c r="K99" s="53">
        <v>4752</v>
      </c>
      <c r="L99" s="53">
        <v>4752</v>
      </c>
      <c r="M99" s="53">
        <v>0</v>
      </c>
      <c r="N99" s="53">
        <v>0</v>
      </c>
      <c r="O99" s="53">
        <v>4752</v>
      </c>
      <c r="P99" s="54">
        <v>0.01</v>
      </c>
      <c r="Q99" s="60">
        <v>34.59</v>
      </c>
      <c r="R99" s="59"/>
      <c r="S99" s="60">
        <v>34.59</v>
      </c>
    </row>
    <row r="100" ht="20" customHeight="1" spans="1:19">
      <c r="A100" s="42" t="s">
        <v>124</v>
      </c>
      <c r="B100" s="42" t="s">
        <v>125</v>
      </c>
      <c r="C100" s="43"/>
      <c r="D100" s="42" t="s">
        <v>49</v>
      </c>
      <c r="E100" s="42" t="s">
        <v>126</v>
      </c>
      <c r="F100" s="42" t="s">
        <v>49</v>
      </c>
      <c r="G100" s="42" t="s">
        <v>102</v>
      </c>
      <c r="H100" s="42" t="s">
        <v>103</v>
      </c>
      <c r="I100" s="42" t="s">
        <v>49</v>
      </c>
      <c r="J100" s="43"/>
      <c r="K100" s="53">
        <v>34272</v>
      </c>
      <c r="L100" s="53">
        <v>34272</v>
      </c>
      <c r="M100" s="53">
        <v>0</v>
      </c>
      <c r="N100" s="53">
        <v>0</v>
      </c>
      <c r="O100" s="53">
        <v>34272</v>
      </c>
      <c r="P100" s="54">
        <v>0.01</v>
      </c>
      <c r="Q100" s="60">
        <v>249.5</v>
      </c>
      <c r="R100" s="59"/>
      <c r="S100" s="60">
        <v>249.5</v>
      </c>
    </row>
    <row r="101" ht="13" customHeight="1" spans="1:19">
      <c r="A101" s="46" t="s">
        <v>127</v>
      </c>
      <c r="B101" s="47"/>
      <c r="C101" s="47"/>
      <c r="D101" s="47"/>
      <c r="E101" s="47"/>
      <c r="F101" s="47"/>
      <c r="G101" s="47"/>
      <c r="H101" s="47"/>
      <c r="I101" s="47"/>
      <c r="J101" s="55"/>
      <c r="K101" s="46" t="s">
        <v>128</v>
      </c>
      <c r="L101" s="56">
        <v>39168</v>
      </c>
      <c r="M101" s="57">
        <v>0</v>
      </c>
      <c r="N101" s="57">
        <v>0</v>
      </c>
      <c r="O101" s="57">
        <v>39168</v>
      </c>
      <c r="P101" s="58" t="s">
        <v>49</v>
      </c>
      <c r="Q101" s="61"/>
      <c r="R101" s="61"/>
      <c r="S101" s="62">
        <v>285.14</v>
      </c>
    </row>
    <row r="102" ht="19" customHeight="1" spans="1:19">
      <c r="A102" s="42" t="s">
        <v>129</v>
      </c>
      <c r="B102" s="43"/>
      <c r="C102" s="43"/>
      <c r="D102" s="48" t="s">
        <v>130</v>
      </c>
      <c r="E102" s="49" t="s">
        <v>131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55"/>
      <c r="S102" s="55"/>
    </row>
    <row r="103" ht="19" customHeight="1" spans="1:19">
      <c r="A103" s="48" t="s">
        <v>130</v>
      </c>
      <c r="B103" s="50"/>
      <c r="C103" s="50"/>
      <c r="D103" s="48" t="s">
        <v>130</v>
      </c>
      <c r="E103" s="48" t="s">
        <v>109</v>
      </c>
      <c r="F103" s="51">
        <v>700</v>
      </c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55"/>
      <c r="S103" s="55"/>
    </row>
    <row r="104" ht="12" customHeight="1" spans="1:19">
      <c r="A104" s="45" t="s">
        <v>49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55"/>
      <c r="S104" s="55"/>
    </row>
    <row r="105" ht="14" customHeight="1" spans="1:19">
      <c r="A105" s="42" t="s">
        <v>64</v>
      </c>
      <c r="B105" s="43"/>
      <c r="C105" s="43"/>
      <c r="D105" s="44" t="s">
        <v>114</v>
      </c>
      <c r="E105" s="42" t="s">
        <v>66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</row>
    <row r="106" ht="14" customHeight="1" spans="1:19">
      <c r="A106" s="42" t="s">
        <v>67</v>
      </c>
      <c r="B106" s="43"/>
      <c r="C106" s="43"/>
      <c r="D106" s="44" t="s">
        <v>114</v>
      </c>
      <c r="E106" s="42" t="s">
        <v>68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</row>
    <row r="107" ht="14" customHeight="1" spans="1:19">
      <c r="A107" s="42" t="s">
        <v>79</v>
      </c>
      <c r="B107" s="43"/>
      <c r="C107" s="43"/>
      <c r="D107" s="44" t="s">
        <v>114</v>
      </c>
      <c r="E107" s="42" t="s">
        <v>80</v>
      </c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</row>
    <row r="108" ht="14" customHeight="1" spans="1:19">
      <c r="A108" s="42" t="s">
        <v>69</v>
      </c>
      <c r="B108" s="43"/>
      <c r="C108" s="43"/>
      <c r="D108" s="44" t="s">
        <v>114</v>
      </c>
      <c r="E108" s="42" t="s">
        <v>115</v>
      </c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</row>
    <row r="109" ht="14" customHeight="1" spans="1:19">
      <c r="A109" s="42" t="s">
        <v>116</v>
      </c>
      <c r="B109" s="43"/>
      <c r="C109" s="43"/>
      <c r="D109" s="44" t="s">
        <v>114</v>
      </c>
      <c r="E109" s="42" t="s">
        <v>137</v>
      </c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</row>
    <row r="110" ht="14" customHeight="1" spans="1:19">
      <c r="A110" s="42" t="s">
        <v>73</v>
      </c>
      <c r="B110" s="43"/>
      <c r="C110" s="43"/>
      <c r="D110" s="44" t="s">
        <v>114</v>
      </c>
      <c r="E110" s="42" t="s">
        <v>74</v>
      </c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</row>
    <row r="111" ht="14" customHeight="1" spans="1:19">
      <c r="A111" s="42" t="s">
        <v>75</v>
      </c>
      <c r="B111" s="43"/>
      <c r="C111" s="43"/>
      <c r="D111" s="44" t="s">
        <v>114</v>
      </c>
      <c r="E111" s="42" t="s">
        <v>76</v>
      </c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</row>
    <row r="112" ht="14" customHeight="1" spans="1:19">
      <c r="A112" s="42" t="s">
        <v>77</v>
      </c>
      <c r="B112" s="43"/>
      <c r="C112" s="43"/>
      <c r="D112" s="44" t="s">
        <v>114</v>
      </c>
      <c r="E112" s="42" t="s">
        <v>78</v>
      </c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</row>
    <row r="113" ht="17" customHeight="1" spans="1:19">
      <c r="A113" s="45" t="s">
        <v>49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</row>
    <row r="114" ht="14" customHeight="1" spans="1:19">
      <c r="A114" s="42" t="s">
        <v>81</v>
      </c>
      <c r="B114" s="42" t="s">
        <v>82</v>
      </c>
      <c r="C114" s="43"/>
      <c r="D114" s="42" t="s">
        <v>49</v>
      </c>
      <c r="E114" s="42" t="s">
        <v>84</v>
      </c>
      <c r="F114" s="42" t="s">
        <v>85</v>
      </c>
      <c r="G114" s="42" t="s">
        <v>86</v>
      </c>
      <c r="H114" s="42" t="s">
        <v>87</v>
      </c>
      <c r="I114" s="42" t="s">
        <v>88</v>
      </c>
      <c r="J114" s="43"/>
      <c r="K114" s="52" t="s">
        <v>118</v>
      </c>
      <c r="L114" s="52" t="s">
        <v>119</v>
      </c>
      <c r="M114" s="52" t="s">
        <v>120</v>
      </c>
      <c r="N114" s="52" t="s">
        <v>121</v>
      </c>
      <c r="O114" s="52" t="s">
        <v>122</v>
      </c>
      <c r="P114" s="52" t="s">
        <v>90</v>
      </c>
      <c r="Q114" s="52" t="s">
        <v>91</v>
      </c>
      <c r="R114" s="59"/>
      <c r="S114" s="52" t="s">
        <v>123</v>
      </c>
    </row>
    <row r="115" ht="20" customHeight="1" spans="1:19">
      <c r="A115" s="42" t="s">
        <v>124</v>
      </c>
      <c r="B115" s="42" t="s">
        <v>125</v>
      </c>
      <c r="C115" s="43"/>
      <c r="D115" s="42" t="s">
        <v>49</v>
      </c>
      <c r="E115" s="42" t="s">
        <v>126</v>
      </c>
      <c r="F115" s="42" t="s">
        <v>49</v>
      </c>
      <c r="G115" s="42" t="s">
        <v>102</v>
      </c>
      <c r="H115" s="42" t="s">
        <v>103</v>
      </c>
      <c r="I115" s="42" t="s">
        <v>49</v>
      </c>
      <c r="J115" s="43"/>
      <c r="K115" s="53">
        <v>144</v>
      </c>
      <c r="L115" s="53">
        <v>144</v>
      </c>
      <c r="M115" s="53">
        <v>0</v>
      </c>
      <c r="N115" s="53">
        <v>0</v>
      </c>
      <c r="O115" s="53">
        <v>144</v>
      </c>
      <c r="P115" s="54">
        <v>0.01</v>
      </c>
      <c r="Q115" s="60">
        <v>1.05</v>
      </c>
      <c r="R115" s="59"/>
      <c r="S115" s="60">
        <v>1.05</v>
      </c>
    </row>
    <row r="116" ht="20" customHeight="1" spans="1:19">
      <c r="A116" s="42" t="s">
        <v>124</v>
      </c>
      <c r="B116" s="42" t="s">
        <v>125</v>
      </c>
      <c r="C116" s="43"/>
      <c r="D116" s="42" t="s">
        <v>49</v>
      </c>
      <c r="E116" s="42" t="s">
        <v>126</v>
      </c>
      <c r="F116" s="42" t="s">
        <v>49</v>
      </c>
      <c r="G116" s="42" t="s">
        <v>102</v>
      </c>
      <c r="H116" s="42" t="s">
        <v>103</v>
      </c>
      <c r="I116" s="42" t="s">
        <v>49</v>
      </c>
      <c r="J116" s="43"/>
      <c r="K116" s="53">
        <v>4752</v>
      </c>
      <c r="L116" s="53">
        <v>4752</v>
      </c>
      <c r="M116" s="53">
        <v>0</v>
      </c>
      <c r="N116" s="53">
        <v>0</v>
      </c>
      <c r="O116" s="53">
        <v>4752</v>
      </c>
      <c r="P116" s="54">
        <v>0.01</v>
      </c>
      <c r="Q116" s="60">
        <v>34.59</v>
      </c>
      <c r="R116" s="59"/>
      <c r="S116" s="60">
        <v>34.59</v>
      </c>
    </row>
    <row r="117" ht="20" customHeight="1" spans="1:19">
      <c r="A117" s="42" t="s">
        <v>124</v>
      </c>
      <c r="B117" s="42" t="s">
        <v>125</v>
      </c>
      <c r="C117" s="43"/>
      <c r="D117" s="42" t="s">
        <v>49</v>
      </c>
      <c r="E117" s="42" t="s">
        <v>126</v>
      </c>
      <c r="F117" s="42" t="s">
        <v>49</v>
      </c>
      <c r="G117" s="42" t="s">
        <v>102</v>
      </c>
      <c r="H117" s="42" t="s">
        <v>103</v>
      </c>
      <c r="I117" s="42" t="s">
        <v>49</v>
      </c>
      <c r="J117" s="43"/>
      <c r="K117" s="53">
        <v>34272</v>
      </c>
      <c r="L117" s="53">
        <v>34272</v>
      </c>
      <c r="M117" s="53">
        <v>0</v>
      </c>
      <c r="N117" s="53">
        <v>0</v>
      </c>
      <c r="O117" s="53">
        <v>34272</v>
      </c>
      <c r="P117" s="54">
        <v>0.01</v>
      </c>
      <c r="Q117" s="60">
        <v>249.5</v>
      </c>
      <c r="R117" s="59"/>
      <c r="S117" s="60">
        <v>249.5</v>
      </c>
    </row>
    <row r="118" ht="13" customHeight="1" spans="1:19">
      <c r="A118" s="46" t="s">
        <v>127</v>
      </c>
      <c r="B118" s="47"/>
      <c r="C118" s="47"/>
      <c r="D118" s="47"/>
      <c r="E118" s="47"/>
      <c r="F118" s="47"/>
      <c r="G118" s="47"/>
      <c r="H118" s="47"/>
      <c r="I118" s="47"/>
      <c r="J118" s="55"/>
      <c r="K118" s="46" t="s">
        <v>128</v>
      </c>
      <c r="L118" s="56">
        <v>39168</v>
      </c>
      <c r="M118" s="57">
        <v>0</v>
      </c>
      <c r="N118" s="57">
        <v>0</v>
      </c>
      <c r="O118" s="57">
        <v>39168</v>
      </c>
      <c r="P118" s="58" t="s">
        <v>49</v>
      </c>
      <c r="Q118" s="61"/>
      <c r="R118" s="61"/>
      <c r="S118" s="62">
        <v>285.14</v>
      </c>
    </row>
    <row r="119" ht="19" customHeight="1" spans="1:19">
      <c r="A119" s="42" t="s">
        <v>129</v>
      </c>
      <c r="B119" s="43"/>
      <c r="C119" s="43"/>
      <c r="D119" s="48" t="s">
        <v>130</v>
      </c>
      <c r="E119" s="49" t="s">
        <v>131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55"/>
      <c r="S119" s="55"/>
    </row>
    <row r="120" ht="19" customHeight="1" spans="1:19">
      <c r="A120" s="48" t="s">
        <v>130</v>
      </c>
      <c r="B120" s="50"/>
      <c r="C120" s="50"/>
      <c r="D120" s="48" t="s">
        <v>130</v>
      </c>
      <c r="E120" s="48" t="s">
        <v>109</v>
      </c>
      <c r="F120" s="51">
        <v>700</v>
      </c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55"/>
      <c r="S120" s="55"/>
    </row>
    <row r="121" ht="12" customHeight="1" spans="1:19">
      <c r="A121" s="45" t="s">
        <v>49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55"/>
      <c r="S121" s="55"/>
    </row>
    <row r="122" ht="14" customHeight="1" spans="1:19">
      <c r="A122" s="42" t="s">
        <v>64</v>
      </c>
      <c r="B122" s="43"/>
      <c r="C122" s="43"/>
      <c r="D122" s="44" t="s">
        <v>114</v>
      </c>
      <c r="E122" s="42" t="s">
        <v>66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</row>
    <row r="123" ht="14" customHeight="1" spans="1:19">
      <c r="A123" s="42" t="s">
        <v>67</v>
      </c>
      <c r="B123" s="43"/>
      <c r="C123" s="43"/>
      <c r="D123" s="44" t="s">
        <v>114</v>
      </c>
      <c r="E123" s="42" t="s">
        <v>68</v>
      </c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</row>
    <row r="124" ht="14" customHeight="1" spans="1:19">
      <c r="A124" s="42" t="s">
        <v>79</v>
      </c>
      <c r="B124" s="43"/>
      <c r="C124" s="43"/>
      <c r="D124" s="44" t="s">
        <v>114</v>
      </c>
      <c r="E124" s="42" t="s">
        <v>80</v>
      </c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</row>
    <row r="125" ht="14" customHeight="1" spans="1:19">
      <c r="A125" s="42" t="s">
        <v>69</v>
      </c>
      <c r="B125" s="43"/>
      <c r="C125" s="43"/>
      <c r="D125" s="44" t="s">
        <v>114</v>
      </c>
      <c r="E125" s="42" t="s">
        <v>115</v>
      </c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</row>
    <row r="126" ht="14" customHeight="1" spans="1:19">
      <c r="A126" s="42" t="s">
        <v>116</v>
      </c>
      <c r="B126" s="43"/>
      <c r="C126" s="43"/>
      <c r="D126" s="44" t="s">
        <v>114</v>
      </c>
      <c r="E126" s="42" t="s">
        <v>138</v>
      </c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</row>
    <row r="127" ht="14" customHeight="1" spans="1:19">
      <c r="A127" s="42" t="s">
        <v>73</v>
      </c>
      <c r="B127" s="43"/>
      <c r="C127" s="43"/>
      <c r="D127" s="44" t="s">
        <v>114</v>
      </c>
      <c r="E127" s="42" t="s">
        <v>74</v>
      </c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</row>
    <row r="128" ht="14" customHeight="1" spans="1:19">
      <c r="A128" s="42" t="s">
        <v>75</v>
      </c>
      <c r="B128" s="43"/>
      <c r="C128" s="43"/>
      <c r="D128" s="44" t="s">
        <v>114</v>
      </c>
      <c r="E128" s="42" t="s">
        <v>76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</row>
    <row r="129" ht="14" customHeight="1" spans="1:19">
      <c r="A129" s="42" t="s">
        <v>77</v>
      </c>
      <c r="B129" s="43"/>
      <c r="C129" s="43"/>
      <c r="D129" s="44" t="s">
        <v>114</v>
      </c>
      <c r="E129" s="42" t="s">
        <v>78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</row>
    <row r="130" ht="17" customHeight="1" spans="1:19">
      <c r="A130" s="45" t="s">
        <v>49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</row>
    <row r="131" ht="14" customHeight="1" spans="1:19">
      <c r="A131" s="42" t="s">
        <v>81</v>
      </c>
      <c r="B131" s="42" t="s">
        <v>82</v>
      </c>
      <c r="C131" s="43"/>
      <c r="D131" s="42" t="s">
        <v>49</v>
      </c>
      <c r="E131" s="42" t="s">
        <v>84</v>
      </c>
      <c r="F131" s="42" t="s">
        <v>85</v>
      </c>
      <c r="G131" s="42" t="s">
        <v>86</v>
      </c>
      <c r="H131" s="42" t="s">
        <v>87</v>
      </c>
      <c r="I131" s="42" t="s">
        <v>88</v>
      </c>
      <c r="J131" s="43"/>
      <c r="K131" s="52" t="s">
        <v>118</v>
      </c>
      <c r="L131" s="52" t="s">
        <v>119</v>
      </c>
      <c r="M131" s="52" t="s">
        <v>120</v>
      </c>
      <c r="N131" s="52" t="s">
        <v>121</v>
      </c>
      <c r="O131" s="52" t="s">
        <v>122</v>
      </c>
      <c r="P131" s="52" t="s">
        <v>90</v>
      </c>
      <c r="Q131" s="52" t="s">
        <v>91</v>
      </c>
      <c r="R131" s="59"/>
      <c r="S131" s="52" t="s">
        <v>123</v>
      </c>
    </row>
    <row r="132" ht="20" customHeight="1" spans="1:19">
      <c r="A132" s="42" t="s">
        <v>124</v>
      </c>
      <c r="B132" s="42" t="s">
        <v>125</v>
      </c>
      <c r="C132" s="43"/>
      <c r="D132" s="42" t="s">
        <v>49</v>
      </c>
      <c r="E132" s="42" t="s">
        <v>126</v>
      </c>
      <c r="F132" s="42" t="s">
        <v>49</v>
      </c>
      <c r="G132" s="42" t="s">
        <v>102</v>
      </c>
      <c r="H132" s="42" t="s">
        <v>103</v>
      </c>
      <c r="I132" s="42" t="s">
        <v>49</v>
      </c>
      <c r="J132" s="43"/>
      <c r="K132" s="53">
        <v>144</v>
      </c>
      <c r="L132" s="53">
        <v>144</v>
      </c>
      <c r="M132" s="53">
        <v>0</v>
      </c>
      <c r="N132" s="53">
        <v>0</v>
      </c>
      <c r="O132" s="53">
        <v>144</v>
      </c>
      <c r="P132" s="54">
        <v>0.01</v>
      </c>
      <c r="Q132" s="60">
        <v>1.05</v>
      </c>
      <c r="R132" s="59"/>
      <c r="S132" s="60">
        <v>1.05</v>
      </c>
    </row>
    <row r="133" ht="20" customHeight="1" spans="1:19">
      <c r="A133" s="42" t="s">
        <v>124</v>
      </c>
      <c r="B133" s="42" t="s">
        <v>125</v>
      </c>
      <c r="C133" s="43"/>
      <c r="D133" s="42" t="s">
        <v>49</v>
      </c>
      <c r="E133" s="42" t="s">
        <v>126</v>
      </c>
      <c r="F133" s="42" t="s">
        <v>49</v>
      </c>
      <c r="G133" s="42" t="s">
        <v>102</v>
      </c>
      <c r="H133" s="42" t="s">
        <v>103</v>
      </c>
      <c r="I133" s="42" t="s">
        <v>49</v>
      </c>
      <c r="J133" s="43"/>
      <c r="K133" s="53">
        <v>4752</v>
      </c>
      <c r="L133" s="53">
        <v>4752</v>
      </c>
      <c r="M133" s="53">
        <v>0</v>
      </c>
      <c r="N133" s="53">
        <v>0</v>
      </c>
      <c r="O133" s="53">
        <v>4752</v>
      </c>
      <c r="P133" s="54">
        <v>0.01</v>
      </c>
      <c r="Q133" s="60">
        <v>34.59</v>
      </c>
      <c r="R133" s="59"/>
      <c r="S133" s="60">
        <v>34.59</v>
      </c>
    </row>
    <row r="134" ht="20" customHeight="1" spans="1:19">
      <c r="A134" s="42" t="s">
        <v>124</v>
      </c>
      <c r="B134" s="42" t="s">
        <v>125</v>
      </c>
      <c r="C134" s="43"/>
      <c r="D134" s="42" t="s">
        <v>49</v>
      </c>
      <c r="E134" s="42" t="s">
        <v>126</v>
      </c>
      <c r="F134" s="42" t="s">
        <v>49</v>
      </c>
      <c r="G134" s="42" t="s">
        <v>102</v>
      </c>
      <c r="H134" s="42" t="s">
        <v>103</v>
      </c>
      <c r="I134" s="42" t="s">
        <v>49</v>
      </c>
      <c r="J134" s="43"/>
      <c r="K134" s="53">
        <v>34272</v>
      </c>
      <c r="L134" s="53">
        <v>34272</v>
      </c>
      <c r="M134" s="53">
        <v>0</v>
      </c>
      <c r="N134" s="53">
        <v>0</v>
      </c>
      <c r="O134" s="53">
        <v>34272</v>
      </c>
      <c r="P134" s="54">
        <v>0.01</v>
      </c>
      <c r="Q134" s="60">
        <v>249.5</v>
      </c>
      <c r="R134" s="59"/>
      <c r="S134" s="60">
        <v>249.5</v>
      </c>
    </row>
    <row r="135" ht="13" customHeight="1" spans="1:19">
      <c r="A135" s="46" t="s">
        <v>127</v>
      </c>
      <c r="B135" s="47"/>
      <c r="C135" s="47"/>
      <c r="D135" s="47"/>
      <c r="E135" s="47"/>
      <c r="F135" s="47"/>
      <c r="G135" s="47"/>
      <c r="H135" s="47"/>
      <c r="I135" s="47"/>
      <c r="J135" s="55"/>
      <c r="K135" s="46" t="s">
        <v>128</v>
      </c>
      <c r="L135" s="56">
        <v>39168</v>
      </c>
      <c r="M135" s="57">
        <v>0</v>
      </c>
      <c r="N135" s="57">
        <v>0</v>
      </c>
      <c r="O135" s="57">
        <v>39168</v>
      </c>
      <c r="P135" s="58" t="s">
        <v>49</v>
      </c>
      <c r="Q135" s="61"/>
      <c r="R135" s="61"/>
      <c r="S135" s="62">
        <v>285.14</v>
      </c>
    </row>
    <row r="136" ht="19" customHeight="1" spans="1:19">
      <c r="A136" s="42" t="s">
        <v>129</v>
      </c>
      <c r="B136" s="43"/>
      <c r="C136" s="43"/>
      <c r="D136" s="48" t="s">
        <v>130</v>
      </c>
      <c r="E136" s="49" t="s">
        <v>131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55"/>
      <c r="S136" s="55"/>
    </row>
    <row r="137" ht="19" customHeight="1" spans="1:19">
      <c r="A137" s="48" t="s">
        <v>130</v>
      </c>
      <c r="B137" s="50"/>
      <c r="C137" s="50"/>
      <c r="D137" s="48" t="s">
        <v>130</v>
      </c>
      <c r="E137" s="48" t="s">
        <v>109</v>
      </c>
      <c r="F137" s="51">
        <v>700</v>
      </c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55"/>
      <c r="S137" s="55"/>
    </row>
    <row r="138" ht="12" customHeight="1" spans="1:19">
      <c r="A138" s="45" t="s">
        <v>49</v>
      </c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55"/>
      <c r="S138" s="55"/>
    </row>
    <row r="139" ht="14" customHeight="1" spans="1:19">
      <c r="A139" s="42" t="s">
        <v>64</v>
      </c>
      <c r="B139" s="43"/>
      <c r="C139" s="43"/>
      <c r="D139" s="44" t="s">
        <v>114</v>
      </c>
      <c r="E139" s="42" t="s">
        <v>66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</row>
    <row r="140" ht="14" customHeight="1" spans="1:19">
      <c r="A140" s="42" t="s">
        <v>67</v>
      </c>
      <c r="B140" s="43"/>
      <c r="C140" s="43"/>
      <c r="D140" s="44" t="s">
        <v>114</v>
      </c>
      <c r="E140" s="42" t="s">
        <v>68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</row>
    <row r="141" ht="14" customHeight="1" spans="1:19">
      <c r="A141" s="42" t="s">
        <v>79</v>
      </c>
      <c r="B141" s="43"/>
      <c r="C141" s="43"/>
      <c r="D141" s="44" t="s">
        <v>114</v>
      </c>
      <c r="E141" s="42" t="s">
        <v>80</v>
      </c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</row>
    <row r="142" ht="14" customHeight="1" spans="1:19">
      <c r="A142" s="42" t="s">
        <v>69</v>
      </c>
      <c r="B142" s="43"/>
      <c r="C142" s="43"/>
      <c r="D142" s="44" t="s">
        <v>114</v>
      </c>
      <c r="E142" s="42" t="s">
        <v>115</v>
      </c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</row>
    <row r="143" ht="14" customHeight="1" spans="1:19">
      <c r="A143" s="42" t="s">
        <v>116</v>
      </c>
      <c r="B143" s="43"/>
      <c r="C143" s="43"/>
      <c r="D143" s="44" t="s">
        <v>114</v>
      </c>
      <c r="E143" s="42" t="s">
        <v>139</v>
      </c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</row>
    <row r="144" ht="14" customHeight="1" spans="1:19">
      <c r="A144" s="42" t="s">
        <v>73</v>
      </c>
      <c r="B144" s="43"/>
      <c r="C144" s="43"/>
      <c r="D144" s="44" t="s">
        <v>114</v>
      </c>
      <c r="E144" s="42" t="s">
        <v>74</v>
      </c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</row>
    <row r="145" ht="14" customHeight="1" spans="1:19">
      <c r="A145" s="42" t="s">
        <v>75</v>
      </c>
      <c r="B145" s="43"/>
      <c r="C145" s="43"/>
      <c r="D145" s="44" t="s">
        <v>114</v>
      </c>
      <c r="E145" s="42" t="s">
        <v>76</v>
      </c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</row>
    <row r="146" ht="14" customHeight="1" spans="1:19">
      <c r="A146" s="42" t="s">
        <v>77</v>
      </c>
      <c r="B146" s="43"/>
      <c r="C146" s="43"/>
      <c r="D146" s="44" t="s">
        <v>114</v>
      </c>
      <c r="E146" s="42" t="s">
        <v>78</v>
      </c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</row>
    <row r="147" ht="17" customHeight="1" spans="1:19">
      <c r="A147" s="45" t="s">
        <v>49</v>
      </c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</row>
    <row r="148" ht="14" customHeight="1" spans="1:19">
      <c r="A148" s="42" t="s">
        <v>81</v>
      </c>
      <c r="B148" s="42" t="s">
        <v>82</v>
      </c>
      <c r="C148" s="43"/>
      <c r="D148" s="42" t="s">
        <v>49</v>
      </c>
      <c r="E148" s="42" t="s">
        <v>84</v>
      </c>
      <c r="F148" s="42" t="s">
        <v>85</v>
      </c>
      <c r="G148" s="42" t="s">
        <v>86</v>
      </c>
      <c r="H148" s="42" t="s">
        <v>87</v>
      </c>
      <c r="I148" s="42" t="s">
        <v>88</v>
      </c>
      <c r="J148" s="43"/>
      <c r="K148" s="52" t="s">
        <v>118</v>
      </c>
      <c r="L148" s="52" t="s">
        <v>119</v>
      </c>
      <c r="M148" s="52" t="s">
        <v>120</v>
      </c>
      <c r="N148" s="52" t="s">
        <v>121</v>
      </c>
      <c r="O148" s="52" t="s">
        <v>122</v>
      </c>
      <c r="P148" s="52" t="s">
        <v>90</v>
      </c>
      <c r="Q148" s="52" t="s">
        <v>91</v>
      </c>
      <c r="R148" s="59"/>
      <c r="S148" s="52" t="s">
        <v>123</v>
      </c>
    </row>
    <row r="149" ht="20" customHeight="1" spans="1:19">
      <c r="A149" s="42" t="s">
        <v>124</v>
      </c>
      <c r="B149" s="42" t="s">
        <v>125</v>
      </c>
      <c r="C149" s="43"/>
      <c r="D149" s="42" t="s">
        <v>49</v>
      </c>
      <c r="E149" s="42" t="s">
        <v>126</v>
      </c>
      <c r="F149" s="42" t="s">
        <v>49</v>
      </c>
      <c r="G149" s="42" t="s">
        <v>102</v>
      </c>
      <c r="H149" s="42" t="s">
        <v>103</v>
      </c>
      <c r="I149" s="42" t="s">
        <v>49</v>
      </c>
      <c r="J149" s="43"/>
      <c r="K149" s="53">
        <v>144</v>
      </c>
      <c r="L149" s="53">
        <v>144</v>
      </c>
      <c r="M149" s="53">
        <v>0</v>
      </c>
      <c r="N149" s="53">
        <v>0</v>
      </c>
      <c r="O149" s="53">
        <v>144</v>
      </c>
      <c r="P149" s="54">
        <v>0.01</v>
      </c>
      <c r="Q149" s="60">
        <v>1.05</v>
      </c>
      <c r="R149" s="59"/>
      <c r="S149" s="60">
        <v>1.05</v>
      </c>
    </row>
    <row r="150" ht="20" customHeight="1" spans="1:19">
      <c r="A150" s="42" t="s">
        <v>124</v>
      </c>
      <c r="B150" s="42" t="s">
        <v>125</v>
      </c>
      <c r="C150" s="43"/>
      <c r="D150" s="42" t="s">
        <v>49</v>
      </c>
      <c r="E150" s="42" t="s">
        <v>126</v>
      </c>
      <c r="F150" s="42" t="s">
        <v>49</v>
      </c>
      <c r="G150" s="42" t="s">
        <v>102</v>
      </c>
      <c r="H150" s="42" t="s">
        <v>103</v>
      </c>
      <c r="I150" s="42" t="s">
        <v>49</v>
      </c>
      <c r="J150" s="43"/>
      <c r="K150" s="53">
        <v>4752</v>
      </c>
      <c r="L150" s="53">
        <v>4752</v>
      </c>
      <c r="M150" s="53">
        <v>0</v>
      </c>
      <c r="N150" s="53">
        <v>0</v>
      </c>
      <c r="O150" s="53">
        <v>4752</v>
      </c>
      <c r="P150" s="54">
        <v>0.01</v>
      </c>
      <c r="Q150" s="60">
        <v>34.59</v>
      </c>
      <c r="R150" s="59"/>
      <c r="S150" s="60">
        <v>34.59</v>
      </c>
    </row>
    <row r="151" ht="20" customHeight="1" spans="1:19">
      <c r="A151" s="42" t="s">
        <v>124</v>
      </c>
      <c r="B151" s="42" t="s">
        <v>125</v>
      </c>
      <c r="C151" s="43"/>
      <c r="D151" s="42" t="s">
        <v>49</v>
      </c>
      <c r="E151" s="42" t="s">
        <v>126</v>
      </c>
      <c r="F151" s="42" t="s">
        <v>49</v>
      </c>
      <c r="G151" s="42" t="s">
        <v>102</v>
      </c>
      <c r="H151" s="42" t="s">
        <v>103</v>
      </c>
      <c r="I151" s="42" t="s">
        <v>49</v>
      </c>
      <c r="J151" s="43"/>
      <c r="K151" s="53">
        <v>34272</v>
      </c>
      <c r="L151" s="53">
        <v>34272</v>
      </c>
      <c r="M151" s="53">
        <v>0</v>
      </c>
      <c r="N151" s="53">
        <v>0</v>
      </c>
      <c r="O151" s="53">
        <v>34272</v>
      </c>
      <c r="P151" s="54">
        <v>0.01</v>
      </c>
      <c r="Q151" s="60">
        <v>249.5</v>
      </c>
      <c r="R151" s="59"/>
      <c r="S151" s="60">
        <v>249.5</v>
      </c>
    </row>
    <row r="152" ht="13" customHeight="1" spans="1:19">
      <c r="A152" s="46" t="s">
        <v>127</v>
      </c>
      <c r="B152" s="47"/>
      <c r="C152" s="47"/>
      <c r="D152" s="47"/>
      <c r="E152" s="47"/>
      <c r="F152" s="47"/>
      <c r="G152" s="47"/>
      <c r="H152" s="47"/>
      <c r="I152" s="47"/>
      <c r="J152" s="55"/>
      <c r="K152" s="46" t="s">
        <v>128</v>
      </c>
      <c r="L152" s="56">
        <v>39168</v>
      </c>
      <c r="M152" s="57">
        <v>0</v>
      </c>
      <c r="N152" s="57">
        <v>0</v>
      </c>
      <c r="O152" s="57">
        <v>39168</v>
      </c>
      <c r="P152" s="58" t="s">
        <v>49</v>
      </c>
      <c r="Q152" s="61"/>
      <c r="R152" s="61"/>
      <c r="S152" s="62">
        <v>285.14</v>
      </c>
    </row>
    <row r="153" ht="19" customHeight="1" spans="1:19">
      <c r="A153" s="42" t="s">
        <v>129</v>
      </c>
      <c r="B153" s="43"/>
      <c r="C153" s="43"/>
      <c r="D153" s="48" t="s">
        <v>130</v>
      </c>
      <c r="E153" s="49" t="s">
        <v>131</v>
      </c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55"/>
      <c r="S153" s="55"/>
    </row>
    <row r="154" ht="19" customHeight="1" spans="1:19">
      <c r="A154" s="48" t="s">
        <v>130</v>
      </c>
      <c r="B154" s="50"/>
      <c r="C154" s="50"/>
      <c r="D154" s="48" t="s">
        <v>130</v>
      </c>
      <c r="E154" s="48" t="s">
        <v>109</v>
      </c>
      <c r="F154" s="51">
        <v>700</v>
      </c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55"/>
      <c r="S154" s="55"/>
    </row>
    <row r="155" ht="12" customHeight="1" spans="1:19">
      <c r="A155" s="45" t="s">
        <v>49</v>
      </c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55"/>
      <c r="S155" s="55"/>
    </row>
    <row r="156" ht="14" customHeight="1" spans="1:19">
      <c r="A156" s="42" t="s">
        <v>64</v>
      </c>
      <c r="B156" s="43"/>
      <c r="C156" s="43"/>
      <c r="D156" s="44" t="s">
        <v>114</v>
      </c>
      <c r="E156" s="42" t="s">
        <v>66</v>
      </c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</row>
    <row r="157" ht="14" customHeight="1" spans="1:19">
      <c r="A157" s="42" t="s">
        <v>67</v>
      </c>
      <c r="B157" s="43"/>
      <c r="C157" s="43"/>
      <c r="D157" s="44" t="s">
        <v>114</v>
      </c>
      <c r="E157" s="42" t="s">
        <v>68</v>
      </c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</row>
    <row r="158" ht="14" customHeight="1" spans="1:19">
      <c r="A158" s="42" t="s">
        <v>79</v>
      </c>
      <c r="B158" s="43"/>
      <c r="C158" s="43"/>
      <c r="D158" s="44" t="s">
        <v>114</v>
      </c>
      <c r="E158" s="42" t="s">
        <v>80</v>
      </c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</row>
    <row r="159" ht="14" customHeight="1" spans="1:19">
      <c r="A159" s="42" t="s">
        <v>69</v>
      </c>
      <c r="B159" s="43"/>
      <c r="C159" s="43"/>
      <c r="D159" s="44" t="s">
        <v>114</v>
      </c>
      <c r="E159" s="42" t="s">
        <v>115</v>
      </c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</row>
    <row r="160" ht="14" customHeight="1" spans="1:19">
      <c r="A160" s="42" t="s">
        <v>116</v>
      </c>
      <c r="B160" s="43"/>
      <c r="C160" s="43"/>
      <c r="D160" s="44" t="s">
        <v>114</v>
      </c>
      <c r="E160" s="42" t="s">
        <v>140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</row>
    <row r="161" ht="14" customHeight="1" spans="1:19">
      <c r="A161" s="42" t="s">
        <v>73</v>
      </c>
      <c r="B161" s="43"/>
      <c r="C161" s="43"/>
      <c r="D161" s="44" t="s">
        <v>114</v>
      </c>
      <c r="E161" s="42" t="s">
        <v>74</v>
      </c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</row>
    <row r="162" ht="14" customHeight="1" spans="1:19">
      <c r="A162" s="42" t="s">
        <v>75</v>
      </c>
      <c r="B162" s="43"/>
      <c r="C162" s="43"/>
      <c r="D162" s="44" t="s">
        <v>114</v>
      </c>
      <c r="E162" s="42" t="s">
        <v>76</v>
      </c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</row>
    <row r="163" ht="14" customHeight="1" spans="1:19">
      <c r="A163" s="42" t="s">
        <v>77</v>
      </c>
      <c r="B163" s="43"/>
      <c r="C163" s="43"/>
      <c r="D163" s="44" t="s">
        <v>114</v>
      </c>
      <c r="E163" s="42" t="s">
        <v>78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</row>
    <row r="164" ht="17" customHeight="1" spans="1:19">
      <c r="A164" s="45" t="s">
        <v>49</v>
      </c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 ht="14" customHeight="1" spans="1:19">
      <c r="A165" s="42" t="s">
        <v>81</v>
      </c>
      <c r="B165" s="42" t="s">
        <v>82</v>
      </c>
      <c r="C165" s="43"/>
      <c r="D165" s="42" t="s">
        <v>49</v>
      </c>
      <c r="E165" s="42" t="s">
        <v>84</v>
      </c>
      <c r="F165" s="42" t="s">
        <v>85</v>
      </c>
      <c r="G165" s="42" t="s">
        <v>86</v>
      </c>
      <c r="H165" s="42" t="s">
        <v>87</v>
      </c>
      <c r="I165" s="42" t="s">
        <v>88</v>
      </c>
      <c r="J165" s="43"/>
      <c r="K165" s="52" t="s">
        <v>118</v>
      </c>
      <c r="L165" s="52" t="s">
        <v>119</v>
      </c>
      <c r="M165" s="52" t="s">
        <v>120</v>
      </c>
      <c r="N165" s="52" t="s">
        <v>121</v>
      </c>
      <c r="O165" s="52" t="s">
        <v>122</v>
      </c>
      <c r="P165" s="52" t="s">
        <v>90</v>
      </c>
      <c r="Q165" s="52" t="s">
        <v>91</v>
      </c>
      <c r="R165" s="59"/>
      <c r="S165" s="52" t="s">
        <v>123</v>
      </c>
    </row>
    <row r="166" ht="20" customHeight="1" spans="1:19">
      <c r="A166" s="42" t="s">
        <v>124</v>
      </c>
      <c r="B166" s="42" t="s">
        <v>125</v>
      </c>
      <c r="C166" s="43"/>
      <c r="D166" s="42" t="s">
        <v>49</v>
      </c>
      <c r="E166" s="42" t="s">
        <v>126</v>
      </c>
      <c r="F166" s="42" t="s">
        <v>49</v>
      </c>
      <c r="G166" s="42" t="s">
        <v>102</v>
      </c>
      <c r="H166" s="42" t="s">
        <v>103</v>
      </c>
      <c r="I166" s="42" t="s">
        <v>49</v>
      </c>
      <c r="J166" s="43"/>
      <c r="K166" s="53">
        <v>144</v>
      </c>
      <c r="L166" s="53">
        <v>144</v>
      </c>
      <c r="M166" s="53">
        <v>0</v>
      </c>
      <c r="N166" s="53">
        <v>0</v>
      </c>
      <c r="O166" s="53">
        <v>144</v>
      </c>
      <c r="P166" s="54">
        <v>0.01</v>
      </c>
      <c r="Q166" s="60">
        <v>1.05</v>
      </c>
      <c r="R166" s="59"/>
      <c r="S166" s="60">
        <v>1.05</v>
      </c>
    </row>
    <row r="167" ht="20" customHeight="1" spans="1:19">
      <c r="A167" s="42" t="s">
        <v>124</v>
      </c>
      <c r="B167" s="42" t="s">
        <v>125</v>
      </c>
      <c r="C167" s="43"/>
      <c r="D167" s="42" t="s">
        <v>49</v>
      </c>
      <c r="E167" s="42" t="s">
        <v>126</v>
      </c>
      <c r="F167" s="42" t="s">
        <v>49</v>
      </c>
      <c r="G167" s="42" t="s">
        <v>102</v>
      </c>
      <c r="H167" s="42" t="s">
        <v>103</v>
      </c>
      <c r="I167" s="42" t="s">
        <v>49</v>
      </c>
      <c r="J167" s="43"/>
      <c r="K167" s="53">
        <v>4752</v>
      </c>
      <c r="L167" s="53">
        <v>4752</v>
      </c>
      <c r="M167" s="53">
        <v>0</v>
      </c>
      <c r="N167" s="53">
        <v>0</v>
      </c>
      <c r="O167" s="53">
        <v>4752</v>
      </c>
      <c r="P167" s="54">
        <v>0.01</v>
      </c>
      <c r="Q167" s="60">
        <v>34.59</v>
      </c>
      <c r="R167" s="59"/>
      <c r="S167" s="60">
        <v>34.59</v>
      </c>
    </row>
    <row r="168" ht="20" customHeight="1" spans="1:19">
      <c r="A168" s="42" t="s">
        <v>124</v>
      </c>
      <c r="B168" s="42" t="s">
        <v>125</v>
      </c>
      <c r="C168" s="43"/>
      <c r="D168" s="42" t="s">
        <v>49</v>
      </c>
      <c r="E168" s="42" t="s">
        <v>126</v>
      </c>
      <c r="F168" s="42" t="s">
        <v>49</v>
      </c>
      <c r="G168" s="42" t="s">
        <v>102</v>
      </c>
      <c r="H168" s="42" t="s">
        <v>103</v>
      </c>
      <c r="I168" s="42" t="s">
        <v>49</v>
      </c>
      <c r="J168" s="43"/>
      <c r="K168" s="53">
        <v>34272</v>
      </c>
      <c r="L168" s="53">
        <v>34272</v>
      </c>
      <c r="M168" s="53">
        <v>0</v>
      </c>
      <c r="N168" s="53">
        <v>0</v>
      </c>
      <c r="O168" s="53">
        <v>34272</v>
      </c>
      <c r="P168" s="54">
        <v>0.01</v>
      </c>
      <c r="Q168" s="60">
        <v>249.5</v>
      </c>
      <c r="R168" s="59"/>
      <c r="S168" s="60">
        <v>249.5</v>
      </c>
    </row>
    <row r="169" ht="13" customHeight="1" spans="1:19">
      <c r="A169" s="46" t="s">
        <v>127</v>
      </c>
      <c r="B169" s="47"/>
      <c r="C169" s="47"/>
      <c r="D169" s="47"/>
      <c r="E169" s="47"/>
      <c r="F169" s="47"/>
      <c r="G169" s="47"/>
      <c r="H169" s="47"/>
      <c r="I169" s="47"/>
      <c r="J169" s="55"/>
      <c r="K169" s="46" t="s">
        <v>128</v>
      </c>
      <c r="L169" s="56">
        <v>39168</v>
      </c>
      <c r="M169" s="57">
        <v>0</v>
      </c>
      <c r="N169" s="57">
        <v>0</v>
      </c>
      <c r="O169" s="57">
        <v>39168</v>
      </c>
      <c r="P169" s="58" t="s">
        <v>49</v>
      </c>
      <c r="Q169" s="61"/>
      <c r="R169" s="61"/>
      <c r="S169" s="62">
        <v>285.14</v>
      </c>
    </row>
    <row r="170" ht="19" customHeight="1" spans="1:19">
      <c r="A170" s="42" t="s">
        <v>129</v>
      </c>
      <c r="B170" s="43"/>
      <c r="C170" s="43"/>
      <c r="D170" s="48" t="s">
        <v>130</v>
      </c>
      <c r="E170" s="49" t="s">
        <v>131</v>
      </c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55"/>
      <c r="S170" s="55"/>
    </row>
    <row r="171" ht="19" customHeight="1" spans="1:19">
      <c r="A171" s="48" t="s">
        <v>130</v>
      </c>
      <c r="B171" s="50"/>
      <c r="C171" s="50"/>
      <c r="D171" s="48" t="s">
        <v>130</v>
      </c>
      <c r="E171" s="48" t="s">
        <v>109</v>
      </c>
      <c r="F171" s="51">
        <v>700</v>
      </c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55"/>
      <c r="S171" s="55"/>
    </row>
    <row r="172" ht="12" customHeight="1" spans="1:19">
      <c r="A172" s="45" t="s">
        <v>49</v>
      </c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55"/>
      <c r="S172" s="55"/>
    </row>
    <row r="173" ht="14" customHeight="1" spans="1:19">
      <c r="A173" s="42" t="s">
        <v>64</v>
      </c>
      <c r="B173" s="43"/>
      <c r="C173" s="43"/>
      <c r="D173" s="44" t="s">
        <v>114</v>
      </c>
      <c r="E173" s="42" t="s">
        <v>66</v>
      </c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</row>
    <row r="174" ht="14" customHeight="1" spans="1:19">
      <c r="A174" s="42" t="s">
        <v>67</v>
      </c>
      <c r="B174" s="43"/>
      <c r="C174" s="43"/>
      <c r="D174" s="44" t="s">
        <v>114</v>
      </c>
      <c r="E174" s="42" t="s">
        <v>68</v>
      </c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</row>
    <row r="175" ht="14" customHeight="1" spans="1:19">
      <c r="A175" s="42" t="s">
        <v>79</v>
      </c>
      <c r="B175" s="43"/>
      <c r="C175" s="43"/>
      <c r="D175" s="44" t="s">
        <v>114</v>
      </c>
      <c r="E175" s="42" t="s">
        <v>80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</row>
    <row r="176" ht="14" customHeight="1" spans="1:19">
      <c r="A176" s="42" t="s">
        <v>69</v>
      </c>
      <c r="B176" s="43"/>
      <c r="C176" s="43"/>
      <c r="D176" s="44" t="s">
        <v>114</v>
      </c>
      <c r="E176" s="42" t="s">
        <v>115</v>
      </c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</row>
    <row r="177" ht="14" customHeight="1" spans="1:19">
      <c r="A177" s="42" t="s">
        <v>116</v>
      </c>
      <c r="B177" s="43"/>
      <c r="C177" s="43"/>
      <c r="D177" s="44" t="s">
        <v>114</v>
      </c>
      <c r="E177" s="42" t="s">
        <v>141</v>
      </c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</row>
    <row r="178" ht="14" customHeight="1" spans="1:19">
      <c r="A178" s="42" t="s">
        <v>73</v>
      </c>
      <c r="B178" s="43"/>
      <c r="C178" s="43"/>
      <c r="D178" s="44" t="s">
        <v>114</v>
      </c>
      <c r="E178" s="42" t="s">
        <v>74</v>
      </c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</row>
    <row r="179" ht="14" customHeight="1" spans="1:19">
      <c r="A179" s="42" t="s">
        <v>75</v>
      </c>
      <c r="B179" s="43"/>
      <c r="C179" s="43"/>
      <c r="D179" s="44" t="s">
        <v>114</v>
      </c>
      <c r="E179" s="42" t="s">
        <v>76</v>
      </c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</row>
    <row r="180" ht="14" customHeight="1" spans="1:19">
      <c r="A180" s="42" t="s">
        <v>77</v>
      </c>
      <c r="B180" s="43"/>
      <c r="C180" s="43"/>
      <c r="D180" s="44" t="s">
        <v>114</v>
      </c>
      <c r="E180" s="42" t="s">
        <v>78</v>
      </c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</row>
    <row r="181" ht="17" customHeight="1" spans="1:19">
      <c r="A181" s="45" t="s">
        <v>49</v>
      </c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</row>
    <row r="182" ht="14" customHeight="1" spans="1:19">
      <c r="A182" s="42" t="s">
        <v>81</v>
      </c>
      <c r="B182" s="42" t="s">
        <v>82</v>
      </c>
      <c r="C182" s="43"/>
      <c r="D182" s="42" t="s">
        <v>49</v>
      </c>
      <c r="E182" s="42" t="s">
        <v>84</v>
      </c>
      <c r="F182" s="42" t="s">
        <v>85</v>
      </c>
      <c r="G182" s="42" t="s">
        <v>86</v>
      </c>
      <c r="H182" s="42" t="s">
        <v>87</v>
      </c>
      <c r="I182" s="42" t="s">
        <v>88</v>
      </c>
      <c r="J182" s="43"/>
      <c r="K182" s="52" t="s">
        <v>118</v>
      </c>
      <c r="L182" s="52" t="s">
        <v>119</v>
      </c>
      <c r="M182" s="52" t="s">
        <v>120</v>
      </c>
      <c r="N182" s="52" t="s">
        <v>121</v>
      </c>
      <c r="O182" s="52" t="s">
        <v>122</v>
      </c>
      <c r="P182" s="52" t="s">
        <v>90</v>
      </c>
      <c r="Q182" s="52" t="s">
        <v>91</v>
      </c>
      <c r="R182" s="59"/>
      <c r="S182" s="52" t="s">
        <v>123</v>
      </c>
    </row>
    <row r="183" ht="20" customHeight="1" spans="1:19">
      <c r="A183" s="42" t="s">
        <v>124</v>
      </c>
      <c r="B183" s="42" t="s">
        <v>125</v>
      </c>
      <c r="C183" s="43"/>
      <c r="D183" s="42" t="s">
        <v>49</v>
      </c>
      <c r="E183" s="42" t="s">
        <v>126</v>
      </c>
      <c r="F183" s="42" t="s">
        <v>49</v>
      </c>
      <c r="G183" s="42" t="s">
        <v>102</v>
      </c>
      <c r="H183" s="42" t="s">
        <v>103</v>
      </c>
      <c r="I183" s="42" t="s">
        <v>49</v>
      </c>
      <c r="J183" s="43"/>
      <c r="K183" s="53">
        <v>144</v>
      </c>
      <c r="L183" s="53">
        <v>144</v>
      </c>
      <c r="M183" s="53">
        <v>0</v>
      </c>
      <c r="N183" s="53">
        <v>0</v>
      </c>
      <c r="O183" s="53">
        <v>144</v>
      </c>
      <c r="P183" s="54">
        <v>0.01</v>
      </c>
      <c r="Q183" s="60">
        <v>1.05</v>
      </c>
      <c r="R183" s="59"/>
      <c r="S183" s="60">
        <v>1.05</v>
      </c>
    </row>
    <row r="184" ht="20" customHeight="1" spans="1:19">
      <c r="A184" s="42" t="s">
        <v>124</v>
      </c>
      <c r="B184" s="42" t="s">
        <v>125</v>
      </c>
      <c r="C184" s="43"/>
      <c r="D184" s="42" t="s">
        <v>49</v>
      </c>
      <c r="E184" s="42" t="s">
        <v>126</v>
      </c>
      <c r="F184" s="42" t="s">
        <v>49</v>
      </c>
      <c r="G184" s="42" t="s">
        <v>102</v>
      </c>
      <c r="H184" s="42" t="s">
        <v>103</v>
      </c>
      <c r="I184" s="42" t="s">
        <v>49</v>
      </c>
      <c r="J184" s="43"/>
      <c r="K184" s="53">
        <v>4752</v>
      </c>
      <c r="L184" s="53">
        <v>4752</v>
      </c>
      <c r="M184" s="53">
        <v>0</v>
      </c>
      <c r="N184" s="53">
        <v>0</v>
      </c>
      <c r="O184" s="53">
        <v>4752</v>
      </c>
      <c r="P184" s="54">
        <v>0.01</v>
      </c>
      <c r="Q184" s="60">
        <v>34.59</v>
      </c>
      <c r="R184" s="59"/>
      <c r="S184" s="60">
        <v>34.59</v>
      </c>
    </row>
    <row r="185" ht="20" customHeight="1" spans="1:19">
      <c r="A185" s="42" t="s">
        <v>124</v>
      </c>
      <c r="B185" s="42" t="s">
        <v>125</v>
      </c>
      <c r="C185" s="43"/>
      <c r="D185" s="42" t="s">
        <v>49</v>
      </c>
      <c r="E185" s="42" t="s">
        <v>126</v>
      </c>
      <c r="F185" s="42" t="s">
        <v>49</v>
      </c>
      <c r="G185" s="42" t="s">
        <v>102</v>
      </c>
      <c r="H185" s="42" t="s">
        <v>103</v>
      </c>
      <c r="I185" s="42" t="s">
        <v>49</v>
      </c>
      <c r="J185" s="43"/>
      <c r="K185" s="53">
        <v>34272</v>
      </c>
      <c r="L185" s="53">
        <v>34272</v>
      </c>
      <c r="M185" s="53">
        <v>0</v>
      </c>
      <c r="N185" s="53">
        <v>0</v>
      </c>
      <c r="O185" s="53">
        <v>34272</v>
      </c>
      <c r="P185" s="54">
        <v>0.01</v>
      </c>
      <c r="Q185" s="60">
        <v>249.5</v>
      </c>
      <c r="R185" s="59"/>
      <c r="S185" s="60">
        <v>249.5</v>
      </c>
    </row>
    <row r="186" ht="13" customHeight="1" spans="1:19">
      <c r="A186" s="46" t="s">
        <v>127</v>
      </c>
      <c r="B186" s="47"/>
      <c r="C186" s="47"/>
      <c r="D186" s="47"/>
      <c r="E186" s="47"/>
      <c r="F186" s="47"/>
      <c r="G186" s="47"/>
      <c r="H186" s="47"/>
      <c r="I186" s="47"/>
      <c r="J186" s="55"/>
      <c r="K186" s="46" t="s">
        <v>128</v>
      </c>
      <c r="L186" s="56">
        <v>39168</v>
      </c>
      <c r="M186" s="57">
        <v>0</v>
      </c>
      <c r="N186" s="57">
        <v>0</v>
      </c>
      <c r="O186" s="57">
        <v>39168</v>
      </c>
      <c r="P186" s="58" t="s">
        <v>49</v>
      </c>
      <c r="Q186" s="61"/>
      <c r="R186" s="61"/>
      <c r="S186" s="62">
        <v>285.14</v>
      </c>
    </row>
    <row r="187" ht="19" customHeight="1" spans="1:19">
      <c r="A187" s="42" t="s">
        <v>129</v>
      </c>
      <c r="B187" s="43"/>
      <c r="C187" s="43"/>
      <c r="D187" s="48" t="s">
        <v>130</v>
      </c>
      <c r="E187" s="49" t="s">
        <v>131</v>
      </c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55"/>
      <c r="S187" s="55"/>
    </row>
    <row r="188" ht="19" customHeight="1" spans="1:19">
      <c r="A188" s="48" t="s">
        <v>130</v>
      </c>
      <c r="B188" s="50"/>
      <c r="C188" s="50"/>
      <c r="D188" s="48" t="s">
        <v>130</v>
      </c>
      <c r="E188" s="48" t="s">
        <v>109</v>
      </c>
      <c r="F188" s="51">
        <v>700</v>
      </c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55"/>
      <c r="S188" s="55"/>
    </row>
    <row r="189" ht="12" customHeight="1" spans="1:19">
      <c r="A189" s="45" t="s">
        <v>49</v>
      </c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55"/>
      <c r="S189" s="55"/>
    </row>
    <row r="190" ht="14" customHeight="1" spans="1:19">
      <c r="A190" s="42" t="s">
        <v>64</v>
      </c>
      <c r="B190" s="43"/>
      <c r="C190" s="43"/>
      <c r="D190" s="44" t="s">
        <v>114</v>
      </c>
      <c r="E190" s="42" t="s">
        <v>66</v>
      </c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</row>
    <row r="191" ht="14" customHeight="1" spans="1:19">
      <c r="A191" s="42" t="s">
        <v>67</v>
      </c>
      <c r="B191" s="43"/>
      <c r="C191" s="43"/>
      <c r="D191" s="44" t="s">
        <v>114</v>
      </c>
      <c r="E191" s="42" t="s">
        <v>68</v>
      </c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</row>
    <row r="192" ht="14" customHeight="1" spans="1:19">
      <c r="A192" s="42" t="s">
        <v>79</v>
      </c>
      <c r="B192" s="43"/>
      <c r="C192" s="43"/>
      <c r="D192" s="44" t="s">
        <v>114</v>
      </c>
      <c r="E192" s="42" t="s">
        <v>80</v>
      </c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</row>
    <row r="193" ht="14" customHeight="1" spans="1:19">
      <c r="A193" s="42" t="s">
        <v>69</v>
      </c>
      <c r="B193" s="43"/>
      <c r="C193" s="43"/>
      <c r="D193" s="44" t="s">
        <v>114</v>
      </c>
      <c r="E193" s="42" t="s">
        <v>115</v>
      </c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</row>
    <row r="194" ht="14" customHeight="1" spans="1:19">
      <c r="A194" s="42" t="s">
        <v>116</v>
      </c>
      <c r="B194" s="43"/>
      <c r="C194" s="43"/>
      <c r="D194" s="44" t="s">
        <v>114</v>
      </c>
      <c r="E194" s="42" t="s">
        <v>142</v>
      </c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 ht="14" customHeight="1" spans="1:19">
      <c r="A195" s="42" t="s">
        <v>73</v>
      </c>
      <c r="B195" s="43"/>
      <c r="C195" s="43"/>
      <c r="D195" s="44" t="s">
        <v>114</v>
      </c>
      <c r="E195" s="42" t="s">
        <v>74</v>
      </c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 ht="14" customHeight="1" spans="1:19">
      <c r="A196" s="42" t="s">
        <v>75</v>
      </c>
      <c r="B196" s="43"/>
      <c r="C196" s="43"/>
      <c r="D196" s="44" t="s">
        <v>114</v>
      </c>
      <c r="E196" s="42" t="s">
        <v>76</v>
      </c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 ht="14" customHeight="1" spans="1:19">
      <c r="A197" s="42" t="s">
        <v>77</v>
      </c>
      <c r="B197" s="43"/>
      <c r="C197" s="43"/>
      <c r="D197" s="44" t="s">
        <v>114</v>
      </c>
      <c r="E197" s="42" t="s">
        <v>78</v>
      </c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 ht="17" customHeight="1" spans="1:19">
      <c r="A198" s="45" t="s">
        <v>49</v>
      </c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</row>
    <row r="199" ht="14" customHeight="1" spans="1:19">
      <c r="A199" s="42" t="s">
        <v>81</v>
      </c>
      <c r="B199" s="42" t="s">
        <v>82</v>
      </c>
      <c r="C199" s="43"/>
      <c r="D199" s="42" t="s">
        <v>49</v>
      </c>
      <c r="E199" s="42" t="s">
        <v>84</v>
      </c>
      <c r="F199" s="42" t="s">
        <v>85</v>
      </c>
      <c r="G199" s="42" t="s">
        <v>86</v>
      </c>
      <c r="H199" s="42" t="s">
        <v>87</v>
      </c>
      <c r="I199" s="42" t="s">
        <v>88</v>
      </c>
      <c r="J199" s="43"/>
      <c r="K199" s="52" t="s">
        <v>118</v>
      </c>
      <c r="L199" s="52" t="s">
        <v>119</v>
      </c>
      <c r="M199" s="52" t="s">
        <v>120</v>
      </c>
      <c r="N199" s="52" t="s">
        <v>121</v>
      </c>
      <c r="O199" s="52" t="s">
        <v>122</v>
      </c>
      <c r="P199" s="52" t="s">
        <v>90</v>
      </c>
      <c r="Q199" s="52" t="s">
        <v>91</v>
      </c>
      <c r="R199" s="59"/>
      <c r="S199" s="52" t="s">
        <v>123</v>
      </c>
    </row>
    <row r="200" ht="20" customHeight="1" spans="1:19">
      <c r="A200" s="42" t="s">
        <v>124</v>
      </c>
      <c r="B200" s="42" t="s">
        <v>125</v>
      </c>
      <c r="C200" s="43"/>
      <c r="D200" s="42" t="s">
        <v>49</v>
      </c>
      <c r="E200" s="42" t="s">
        <v>126</v>
      </c>
      <c r="F200" s="42" t="s">
        <v>49</v>
      </c>
      <c r="G200" s="42" t="s">
        <v>102</v>
      </c>
      <c r="H200" s="42" t="s">
        <v>103</v>
      </c>
      <c r="I200" s="42" t="s">
        <v>49</v>
      </c>
      <c r="J200" s="43"/>
      <c r="K200" s="53">
        <v>144</v>
      </c>
      <c r="L200" s="53">
        <v>144</v>
      </c>
      <c r="M200" s="53">
        <v>0</v>
      </c>
      <c r="N200" s="53">
        <v>0</v>
      </c>
      <c r="O200" s="53">
        <v>144</v>
      </c>
      <c r="P200" s="54">
        <v>0.01</v>
      </c>
      <c r="Q200" s="60">
        <v>1.05</v>
      </c>
      <c r="R200" s="59"/>
      <c r="S200" s="60">
        <v>1.05</v>
      </c>
    </row>
    <row r="201" ht="20" customHeight="1" spans="1:19">
      <c r="A201" s="42" t="s">
        <v>124</v>
      </c>
      <c r="B201" s="42" t="s">
        <v>125</v>
      </c>
      <c r="C201" s="43"/>
      <c r="D201" s="42" t="s">
        <v>49</v>
      </c>
      <c r="E201" s="42" t="s">
        <v>126</v>
      </c>
      <c r="F201" s="42" t="s">
        <v>49</v>
      </c>
      <c r="G201" s="42" t="s">
        <v>102</v>
      </c>
      <c r="H201" s="42" t="s">
        <v>103</v>
      </c>
      <c r="I201" s="42" t="s">
        <v>49</v>
      </c>
      <c r="J201" s="43"/>
      <c r="K201" s="53">
        <v>4752</v>
      </c>
      <c r="L201" s="53">
        <v>4752</v>
      </c>
      <c r="M201" s="53">
        <v>0</v>
      </c>
      <c r="N201" s="53">
        <v>0</v>
      </c>
      <c r="O201" s="53">
        <v>4752</v>
      </c>
      <c r="P201" s="54">
        <v>0.01</v>
      </c>
      <c r="Q201" s="60">
        <v>34.59</v>
      </c>
      <c r="R201" s="59"/>
      <c r="S201" s="60">
        <v>34.59</v>
      </c>
    </row>
    <row r="202" ht="20" customHeight="1" spans="1:19">
      <c r="A202" s="42" t="s">
        <v>124</v>
      </c>
      <c r="B202" s="42" t="s">
        <v>125</v>
      </c>
      <c r="C202" s="43"/>
      <c r="D202" s="42" t="s">
        <v>49</v>
      </c>
      <c r="E202" s="42" t="s">
        <v>126</v>
      </c>
      <c r="F202" s="42" t="s">
        <v>49</v>
      </c>
      <c r="G202" s="42" t="s">
        <v>102</v>
      </c>
      <c r="H202" s="42" t="s">
        <v>103</v>
      </c>
      <c r="I202" s="42" t="s">
        <v>49</v>
      </c>
      <c r="J202" s="43"/>
      <c r="K202" s="53">
        <v>34272</v>
      </c>
      <c r="L202" s="53">
        <v>34272</v>
      </c>
      <c r="M202" s="53">
        <v>0</v>
      </c>
      <c r="N202" s="53">
        <v>0</v>
      </c>
      <c r="O202" s="53">
        <v>34272</v>
      </c>
      <c r="P202" s="54">
        <v>0.01</v>
      </c>
      <c r="Q202" s="60">
        <v>249.5</v>
      </c>
      <c r="R202" s="59"/>
      <c r="S202" s="60">
        <v>249.5</v>
      </c>
    </row>
    <row r="203" ht="13" customHeight="1" spans="1:19">
      <c r="A203" s="46" t="s">
        <v>127</v>
      </c>
      <c r="B203" s="47"/>
      <c r="C203" s="47"/>
      <c r="D203" s="47"/>
      <c r="E203" s="47"/>
      <c r="F203" s="47"/>
      <c r="G203" s="47"/>
      <c r="H203" s="47"/>
      <c r="I203" s="47"/>
      <c r="J203" s="55"/>
      <c r="K203" s="46" t="s">
        <v>128</v>
      </c>
      <c r="L203" s="56">
        <v>39168</v>
      </c>
      <c r="M203" s="57">
        <v>0</v>
      </c>
      <c r="N203" s="57">
        <v>0</v>
      </c>
      <c r="O203" s="57">
        <v>39168</v>
      </c>
      <c r="P203" s="58" t="s">
        <v>49</v>
      </c>
      <c r="Q203" s="61"/>
      <c r="R203" s="61"/>
      <c r="S203" s="62">
        <v>285.14</v>
      </c>
    </row>
    <row r="204" ht="19" customHeight="1" spans="1:19">
      <c r="A204" s="42" t="s">
        <v>129</v>
      </c>
      <c r="B204" s="43"/>
      <c r="C204" s="43"/>
      <c r="D204" s="48" t="s">
        <v>130</v>
      </c>
      <c r="E204" s="49" t="s">
        <v>131</v>
      </c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55"/>
      <c r="S204" s="55"/>
    </row>
    <row r="205" ht="19" customHeight="1" spans="1:19">
      <c r="A205" s="48" t="s">
        <v>130</v>
      </c>
      <c r="B205" s="50"/>
      <c r="C205" s="50"/>
      <c r="D205" s="48" t="s">
        <v>130</v>
      </c>
      <c r="E205" s="48" t="s">
        <v>109</v>
      </c>
      <c r="F205" s="51">
        <v>700</v>
      </c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55"/>
      <c r="S205" s="55"/>
    </row>
    <row r="206" ht="12" customHeight="1" spans="1:19">
      <c r="A206" s="45" t="s">
        <v>49</v>
      </c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55"/>
      <c r="S206" s="55"/>
    </row>
    <row r="207" ht="14" customHeight="1" spans="1:19">
      <c r="A207" s="42" t="s">
        <v>64</v>
      </c>
      <c r="B207" s="43"/>
      <c r="C207" s="43"/>
      <c r="D207" s="44" t="s">
        <v>114</v>
      </c>
      <c r="E207" s="42" t="s">
        <v>66</v>
      </c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 ht="14" customHeight="1" spans="1:19">
      <c r="A208" s="42" t="s">
        <v>67</v>
      </c>
      <c r="B208" s="43"/>
      <c r="C208" s="43"/>
      <c r="D208" s="44" t="s">
        <v>114</v>
      </c>
      <c r="E208" s="42" t="s">
        <v>68</v>
      </c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 ht="14" customHeight="1" spans="1:19">
      <c r="A209" s="42" t="s">
        <v>79</v>
      </c>
      <c r="B209" s="43"/>
      <c r="C209" s="43"/>
      <c r="D209" s="44" t="s">
        <v>114</v>
      </c>
      <c r="E209" s="42" t="s">
        <v>80</v>
      </c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 ht="14" customHeight="1" spans="1:19">
      <c r="A210" s="42" t="s">
        <v>69</v>
      </c>
      <c r="B210" s="43"/>
      <c r="C210" s="43"/>
      <c r="D210" s="44" t="s">
        <v>114</v>
      </c>
      <c r="E210" s="42" t="s">
        <v>115</v>
      </c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 ht="14" customHeight="1" spans="1:19">
      <c r="A211" s="42" t="s">
        <v>116</v>
      </c>
      <c r="B211" s="43"/>
      <c r="C211" s="43"/>
      <c r="D211" s="44" t="s">
        <v>114</v>
      </c>
      <c r="E211" s="42" t="s">
        <v>143</v>
      </c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 ht="14" customHeight="1" spans="1:19">
      <c r="A212" s="42" t="s">
        <v>73</v>
      </c>
      <c r="B212" s="43"/>
      <c r="C212" s="43"/>
      <c r="D212" s="44" t="s">
        <v>114</v>
      </c>
      <c r="E212" s="42" t="s">
        <v>74</v>
      </c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ht="14" customHeight="1" spans="1:19">
      <c r="A213" s="42" t="s">
        <v>75</v>
      </c>
      <c r="B213" s="43"/>
      <c r="C213" s="43"/>
      <c r="D213" s="44" t="s">
        <v>114</v>
      </c>
      <c r="E213" s="42" t="s">
        <v>76</v>
      </c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 ht="14" customHeight="1" spans="1:19">
      <c r="A214" s="42" t="s">
        <v>77</v>
      </c>
      <c r="B214" s="43"/>
      <c r="C214" s="43"/>
      <c r="D214" s="44" t="s">
        <v>114</v>
      </c>
      <c r="E214" s="42" t="s">
        <v>78</v>
      </c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 ht="17" customHeight="1" spans="1:19">
      <c r="A215" s="45" t="s">
        <v>49</v>
      </c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</row>
    <row r="216" ht="14" customHeight="1" spans="1:19">
      <c r="A216" s="42" t="s">
        <v>81</v>
      </c>
      <c r="B216" s="42" t="s">
        <v>82</v>
      </c>
      <c r="C216" s="43"/>
      <c r="D216" s="42" t="s">
        <v>49</v>
      </c>
      <c r="E216" s="42" t="s">
        <v>84</v>
      </c>
      <c r="F216" s="42" t="s">
        <v>85</v>
      </c>
      <c r="G216" s="42" t="s">
        <v>86</v>
      </c>
      <c r="H216" s="42" t="s">
        <v>87</v>
      </c>
      <c r="I216" s="42" t="s">
        <v>88</v>
      </c>
      <c r="J216" s="43"/>
      <c r="K216" s="52" t="s">
        <v>118</v>
      </c>
      <c r="L216" s="52" t="s">
        <v>119</v>
      </c>
      <c r="M216" s="52" t="s">
        <v>120</v>
      </c>
      <c r="N216" s="52" t="s">
        <v>121</v>
      </c>
      <c r="O216" s="52" t="s">
        <v>122</v>
      </c>
      <c r="P216" s="52" t="s">
        <v>90</v>
      </c>
      <c r="Q216" s="52" t="s">
        <v>91</v>
      </c>
      <c r="R216" s="59"/>
      <c r="S216" s="52" t="s">
        <v>123</v>
      </c>
    </row>
    <row r="217" ht="20" customHeight="1" spans="1:19">
      <c r="A217" s="42" t="s">
        <v>124</v>
      </c>
      <c r="B217" s="42" t="s">
        <v>125</v>
      </c>
      <c r="C217" s="43"/>
      <c r="D217" s="42" t="s">
        <v>49</v>
      </c>
      <c r="E217" s="42" t="s">
        <v>126</v>
      </c>
      <c r="F217" s="42" t="s">
        <v>49</v>
      </c>
      <c r="G217" s="42" t="s">
        <v>102</v>
      </c>
      <c r="H217" s="42" t="s">
        <v>103</v>
      </c>
      <c r="I217" s="42" t="s">
        <v>49</v>
      </c>
      <c r="J217" s="43"/>
      <c r="K217" s="53">
        <v>144</v>
      </c>
      <c r="L217" s="53">
        <v>144</v>
      </c>
      <c r="M217" s="53">
        <v>0</v>
      </c>
      <c r="N217" s="53">
        <v>0</v>
      </c>
      <c r="O217" s="53">
        <v>144</v>
      </c>
      <c r="P217" s="54">
        <v>0.01</v>
      </c>
      <c r="Q217" s="60">
        <v>1.05</v>
      </c>
      <c r="R217" s="59"/>
      <c r="S217" s="60">
        <v>1.05</v>
      </c>
    </row>
    <row r="218" ht="20" customHeight="1" spans="1:19">
      <c r="A218" s="42" t="s">
        <v>124</v>
      </c>
      <c r="B218" s="42" t="s">
        <v>125</v>
      </c>
      <c r="C218" s="43"/>
      <c r="D218" s="42" t="s">
        <v>49</v>
      </c>
      <c r="E218" s="42" t="s">
        <v>126</v>
      </c>
      <c r="F218" s="42" t="s">
        <v>49</v>
      </c>
      <c r="G218" s="42" t="s">
        <v>102</v>
      </c>
      <c r="H218" s="42" t="s">
        <v>103</v>
      </c>
      <c r="I218" s="42" t="s">
        <v>49</v>
      </c>
      <c r="J218" s="43"/>
      <c r="K218" s="53">
        <v>4752</v>
      </c>
      <c r="L218" s="53">
        <v>4752</v>
      </c>
      <c r="M218" s="53">
        <v>0</v>
      </c>
      <c r="N218" s="53">
        <v>0</v>
      </c>
      <c r="O218" s="53">
        <v>4752</v>
      </c>
      <c r="P218" s="54">
        <v>0.01</v>
      </c>
      <c r="Q218" s="60">
        <v>34.59</v>
      </c>
      <c r="R218" s="59"/>
      <c r="S218" s="60">
        <v>34.59</v>
      </c>
    </row>
    <row r="219" ht="20" customHeight="1" spans="1:19">
      <c r="A219" s="42" t="s">
        <v>124</v>
      </c>
      <c r="B219" s="42" t="s">
        <v>125</v>
      </c>
      <c r="C219" s="43"/>
      <c r="D219" s="42" t="s">
        <v>49</v>
      </c>
      <c r="E219" s="42" t="s">
        <v>126</v>
      </c>
      <c r="F219" s="42" t="s">
        <v>49</v>
      </c>
      <c r="G219" s="42" t="s">
        <v>102</v>
      </c>
      <c r="H219" s="42" t="s">
        <v>103</v>
      </c>
      <c r="I219" s="42" t="s">
        <v>49</v>
      </c>
      <c r="J219" s="43"/>
      <c r="K219" s="53">
        <v>34272</v>
      </c>
      <c r="L219" s="53">
        <v>34272</v>
      </c>
      <c r="M219" s="53">
        <v>0</v>
      </c>
      <c r="N219" s="53">
        <v>0</v>
      </c>
      <c r="O219" s="53">
        <v>34272</v>
      </c>
      <c r="P219" s="54">
        <v>0.01</v>
      </c>
      <c r="Q219" s="60">
        <v>249.5</v>
      </c>
      <c r="R219" s="59"/>
      <c r="S219" s="60">
        <v>249.5</v>
      </c>
    </row>
    <row r="220" ht="13" customHeight="1" spans="1:19">
      <c r="A220" s="46" t="s">
        <v>127</v>
      </c>
      <c r="B220" s="47"/>
      <c r="C220" s="47"/>
      <c r="D220" s="47"/>
      <c r="E220" s="47"/>
      <c r="F220" s="47"/>
      <c r="G220" s="47"/>
      <c r="H220" s="47"/>
      <c r="I220" s="47"/>
      <c r="J220" s="55"/>
      <c r="K220" s="46" t="s">
        <v>128</v>
      </c>
      <c r="L220" s="56">
        <v>39168</v>
      </c>
      <c r="M220" s="57">
        <v>0</v>
      </c>
      <c r="N220" s="57">
        <v>0</v>
      </c>
      <c r="O220" s="57">
        <v>39168</v>
      </c>
      <c r="P220" s="58" t="s">
        <v>49</v>
      </c>
      <c r="Q220" s="61"/>
      <c r="R220" s="61"/>
      <c r="S220" s="62">
        <v>285.14</v>
      </c>
    </row>
    <row r="221" ht="19" customHeight="1" spans="1:19">
      <c r="A221" s="42" t="s">
        <v>129</v>
      </c>
      <c r="B221" s="43"/>
      <c r="C221" s="43"/>
      <c r="D221" s="48" t="s">
        <v>130</v>
      </c>
      <c r="E221" s="49" t="s">
        <v>131</v>
      </c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55"/>
      <c r="S221" s="55"/>
    </row>
    <row r="222" ht="19" customHeight="1" spans="1:19">
      <c r="A222" s="48" t="s">
        <v>130</v>
      </c>
      <c r="B222" s="50"/>
      <c r="C222" s="50"/>
      <c r="D222" s="48" t="s">
        <v>130</v>
      </c>
      <c r="E222" s="48" t="s">
        <v>109</v>
      </c>
      <c r="F222" s="51">
        <v>700</v>
      </c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55"/>
      <c r="S222" s="55"/>
    </row>
    <row r="223" ht="12" customHeight="1" spans="1:19">
      <c r="A223" s="45" t="s">
        <v>49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55"/>
      <c r="S223" s="55"/>
    </row>
    <row r="224" ht="14" customHeight="1" spans="1:19">
      <c r="A224" s="42" t="s">
        <v>64</v>
      </c>
      <c r="B224" s="43"/>
      <c r="C224" s="43"/>
      <c r="D224" s="44" t="s">
        <v>114</v>
      </c>
      <c r="E224" s="42" t="s">
        <v>66</v>
      </c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 ht="14" customHeight="1" spans="1:19">
      <c r="A225" s="42" t="s">
        <v>67</v>
      </c>
      <c r="B225" s="43"/>
      <c r="C225" s="43"/>
      <c r="D225" s="44" t="s">
        <v>114</v>
      </c>
      <c r="E225" s="42" t="s">
        <v>68</v>
      </c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 ht="14" customHeight="1" spans="1:19">
      <c r="A226" s="42" t="s">
        <v>79</v>
      </c>
      <c r="B226" s="43"/>
      <c r="C226" s="43"/>
      <c r="D226" s="44" t="s">
        <v>114</v>
      </c>
      <c r="E226" s="42" t="s">
        <v>80</v>
      </c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 ht="14" customHeight="1" spans="1:19">
      <c r="A227" s="42" t="s">
        <v>69</v>
      </c>
      <c r="B227" s="43"/>
      <c r="C227" s="43"/>
      <c r="D227" s="44" t="s">
        <v>114</v>
      </c>
      <c r="E227" s="42" t="s">
        <v>115</v>
      </c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 ht="14" customHeight="1" spans="1:19">
      <c r="A228" s="42" t="s">
        <v>116</v>
      </c>
      <c r="B228" s="43"/>
      <c r="C228" s="43"/>
      <c r="D228" s="44" t="s">
        <v>114</v>
      </c>
      <c r="E228" s="42" t="s">
        <v>144</v>
      </c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 ht="14" customHeight="1" spans="1:19">
      <c r="A229" s="42" t="s">
        <v>73</v>
      </c>
      <c r="B229" s="43"/>
      <c r="C229" s="43"/>
      <c r="D229" s="44" t="s">
        <v>114</v>
      </c>
      <c r="E229" s="42" t="s">
        <v>74</v>
      </c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 ht="14" customHeight="1" spans="1:19">
      <c r="A230" s="42" t="s">
        <v>75</v>
      </c>
      <c r="B230" s="43"/>
      <c r="C230" s="43"/>
      <c r="D230" s="44" t="s">
        <v>114</v>
      </c>
      <c r="E230" s="42" t="s">
        <v>76</v>
      </c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 ht="14" customHeight="1" spans="1:19">
      <c r="A231" s="42" t="s">
        <v>77</v>
      </c>
      <c r="B231" s="43"/>
      <c r="C231" s="43"/>
      <c r="D231" s="44" t="s">
        <v>114</v>
      </c>
      <c r="E231" s="42" t="s">
        <v>78</v>
      </c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 ht="17" customHeight="1" spans="1:19">
      <c r="A232" s="45" t="s">
        <v>49</v>
      </c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</row>
    <row r="233" ht="14" customHeight="1" spans="1:19">
      <c r="A233" s="42" t="s">
        <v>81</v>
      </c>
      <c r="B233" s="42" t="s">
        <v>82</v>
      </c>
      <c r="C233" s="43"/>
      <c r="D233" s="42" t="s">
        <v>49</v>
      </c>
      <c r="E233" s="42" t="s">
        <v>84</v>
      </c>
      <c r="F233" s="42" t="s">
        <v>85</v>
      </c>
      <c r="G233" s="42" t="s">
        <v>86</v>
      </c>
      <c r="H233" s="42" t="s">
        <v>87</v>
      </c>
      <c r="I233" s="42" t="s">
        <v>88</v>
      </c>
      <c r="J233" s="43"/>
      <c r="K233" s="52" t="s">
        <v>118</v>
      </c>
      <c r="L233" s="52" t="s">
        <v>119</v>
      </c>
      <c r="M233" s="52" t="s">
        <v>120</v>
      </c>
      <c r="N233" s="52" t="s">
        <v>121</v>
      </c>
      <c r="O233" s="52" t="s">
        <v>122</v>
      </c>
      <c r="P233" s="52" t="s">
        <v>90</v>
      </c>
      <c r="Q233" s="52" t="s">
        <v>91</v>
      </c>
      <c r="R233" s="59"/>
      <c r="S233" s="52" t="s">
        <v>123</v>
      </c>
    </row>
    <row r="234" ht="20" customHeight="1" spans="1:19">
      <c r="A234" s="42" t="s">
        <v>124</v>
      </c>
      <c r="B234" s="42" t="s">
        <v>125</v>
      </c>
      <c r="C234" s="43"/>
      <c r="D234" s="42" t="s">
        <v>49</v>
      </c>
      <c r="E234" s="42" t="s">
        <v>126</v>
      </c>
      <c r="F234" s="42" t="s">
        <v>49</v>
      </c>
      <c r="G234" s="42" t="s">
        <v>102</v>
      </c>
      <c r="H234" s="42" t="s">
        <v>103</v>
      </c>
      <c r="I234" s="42" t="s">
        <v>49</v>
      </c>
      <c r="J234" s="43"/>
      <c r="K234" s="53">
        <v>144</v>
      </c>
      <c r="L234" s="53">
        <v>144</v>
      </c>
      <c r="M234" s="53">
        <v>0</v>
      </c>
      <c r="N234" s="53">
        <v>0</v>
      </c>
      <c r="O234" s="53">
        <v>144</v>
      </c>
      <c r="P234" s="54">
        <v>0.01</v>
      </c>
      <c r="Q234" s="60">
        <v>1.05</v>
      </c>
      <c r="R234" s="59"/>
      <c r="S234" s="60">
        <v>1.05</v>
      </c>
    </row>
    <row r="235" ht="20" customHeight="1" spans="1:19">
      <c r="A235" s="42" t="s">
        <v>124</v>
      </c>
      <c r="B235" s="42" t="s">
        <v>125</v>
      </c>
      <c r="C235" s="43"/>
      <c r="D235" s="42" t="s">
        <v>49</v>
      </c>
      <c r="E235" s="42" t="s">
        <v>126</v>
      </c>
      <c r="F235" s="42" t="s">
        <v>49</v>
      </c>
      <c r="G235" s="42" t="s">
        <v>102</v>
      </c>
      <c r="H235" s="42" t="s">
        <v>103</v>
      </c>
      <c r="I235" s="42" t="s">
        <v>49</v>
      </c>
      <c r="J235" s="43"/>
      <c r="K235" s="53">
        <v>4752</v>
      </c>
      <c r="L235" s="53">
        <v>4752</v>
      </c>
      <c r="M235" s="53">
        <v>0</v>
      </c>
      <c r="N235" s="53">
        <v>0</v>
      </c>
      <c r="O235" s="53">
        <v>4752</v>
      </c>
      <c r="P235" s="54">
        <v>0.01</v>
      </c>
      <c r="Q235" s="60">
        <v>34.59</v>
      </c>
      <c r="R235" s="59"/>
      <c r="S235" s="60">
        <v>34.59</v>
      </c>
    </row>
    <row r="236" ht="20" customHeight="1" spans="1:19">
      <c r="A236" s="42" t="s">
        <v>124</v>
      </c>
      <c r="B236" s="42" t="s">
        <v>125</v>
      </c>
      <c r="C236" s="43"/>
      <c r="D236" s="42" t="s">
        <v>49</v>
      </c>
      <c r="E236" s="42" t="s">
        <v>126</v>
      </c>
      <c r="F236" s="42" t="s">
        <v>49</v>
      </c>
      <c r="G236" s="42" t="s">
        <v>102</v>
      </c>
      <c r="H236" s="42" t="s">
        <v>103</v>
      </c>
      <c r="I236" s="42" t="s">
        <v>49</v>
      </c>
      <c r="J236" s="43"/>
      <c r="K236" s="53">
        <v>34272</v>
      </c>
      <c r="L236" s="53">
        <v>34272</v>
      </c>
      <c r="M236" s="53">
        <v>0</v>
      </c>
      <c r="N236" s="53">
        <v>0</v>
      </c>
      <c r="O236" s="53">
        <v>34272</v>
      </c>
      <c r="P236" s="54">
        <v>0.01</v>
      </c>
      <c r="Q236" s="60">
        <v>249.5</v>
      </c>
      <c r="R236" s="59"/>
      <c r="S236" s="60">
        <v>249.5</v>
      </c>
    </row>
    <row r="237" ht="13" customHeight="1" spans="1:19">
      <c r="A237" s="46" t="s">
        <v>127</v>
      </c>
      <c r="B237" s="47"/>
      <c r="C237" s="47"/>
      <c r="D237" s="47"/>
      <c r="E237" s="47"/>
      <c r="F237" s="47"/>
      <c r="G237" s="47"/>
      <c r="H237" s="47"/>
      <c r="I237" s="47"/>
      <c r="J237" s="55"/>
      <c r="K237" s="46" t="s">
        <v>128</v>
      </c>
      <c r="L237" s="56">
        <v>39168</v>
      </c>
      <c r="M237" s="57">
        <v>0</v>
      </c>
      <c r="N237" s="57">
        <v>0</v>
      </c>
      <c r="O237" s="57">
        <v>39168</v>
      </c>
      <c r="P237" s="58" t="s">
        <v>49</v>
      </c>
      <c r="Q237" s="61"/>
      <c r="R237" s="61"/>
      <c r="S237" s="62">
        <v>285.14</v>
      </c>
    </row>
    <row r="238" ht="19" customHeight="1" spans="1:19">
      <c r="A238" s="42" t="s">
        <v>129</v>
      </c>
      <c r="B238" s="43"/>
      <c r="C238" s="43"/>
      <c r="D238" s="48" t="s">
        <v>130</v>
      </c>
      <c r="E238" s="49" t="s">
        <v>131</v>
      </c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55"/>
      <c r="S238" s="55"/>
    </row>
    <row r="239" ht="19" customHeight="1" spans="1:19">
      <c r="A239" s="48" t="s">
        <v>130</v>
      </c>
      <c r="B239" s="50"/>
      <c r="C239" s="50"/>
      <c r="D239" s="48" t="s">
        <v>130</v>
      </c>
      <c r="E239" s="48" t="s">
        <v>109</v>
      </c>
      <c r="F239" s="51">
        <v>700</v>
      </c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55"/>
      <c r="S239" s="55"/>
    </row>
    <row r="240" ht="12" customHeight="1" spans="1:19">
      <c r="A240" s="45" t="s">
        <v>49</v>
      </c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55"/>
      <c r="S240" s="55"/>
    </row>
    <row r="241" ht="14" customHeight="1" spans="1:19">
      <c r="A241" s="42" t="s">
        <v>64</v>
      </c>
      <c r="B241" s="43"/>
      <c r="C241" s="43"/>
      <c r="D241" s="44" t="s">
        <v>114</v>
      </c>
      <c r="E241" s="42" t="s">
        <v>66</v>
      </c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 ht="14" customHeight="1" spans="1:19">
      <c r="A242" s="42" t="s">
        <v>67</v>
      </c>
      <c r="B242" s="43"/>
      <c r="C242" s="43"/>
      <c r="D242" s="44" t="s">
        <v>114</v>
      </c>
      <c r="E242" s="42" t="s">
        <v>68</v>
      </c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 ht="14" customHeight="1" spans="1:19">
      <c r="A243" s="42" t="s">
        <v>79</v>
      </c>
      <c r="B243" s="43"/>
      <c r="C243" s="43"/>
      <c r="D243" s="44" t="s">
        <v>114</v>
      </c>
      <c r="E243" s="42" t="s">
        <v>80</v>
      </c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 ht="14" customHeight="1" spans="1:19">
      <c r="A244" s="42" t="s">
        <v>69</v>
      </c>
      <c r="B244" s="43"/>
      <c r="C244" s="43"/>
      <c r="D244" s="44" t="s">
        <v>114</v>
      </c>
      <c r="E244" s="42" t="s">
        <v>115</v>
      </c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 ht="14" customHeight="1" spans="1:19">
      <c r="A245" s="42" t="s">
        <v>116</v>
      </c>
      <c r="B245" s="43"/>
      <c r="C245" s="43"/>
      <c r="D245" s="44" t="s">
        <v>114</v>
      </c>
      <c r="E245" s="42" t="s">
        <v>145</v>
      </c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 ht="14" customHeight="1" spans="1:19">
      <c r="A246" s="42" t="s">
        <v>73</v>
      </c>
      <c r="B246" s="43"/>
      <c r="C246" s="43"/>
      <c r="D246" s="44" t="s">
        <v>114</v>
      </c>
      <c r="E246" s="42" t="s">
        <v>74</v>
      </c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 ht="14" customHeight="1" spans="1:19">
      <c r="A247" s="42" t="s">
        <v>75</v>
      </c>
      <c r="B247" s="43"/>
      <c r="C247" s="43"/>
      <c r="D247" s="44" t="s">
        <v>114</v>
      </c>
      <c r="E247" s="42" t="s">
        <v>76</v>
      </c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 ht="14" customHeight="1" spans="1:19">
      <c r="A248" s="42" t="s">
        <v>77</v>
      </c>
      <c r="B248" s="43"/>
      <c r="C248" s="43"/>
      <c r="D248" s="44" t="s">
        <v>114</v>
      </c>
      <c r="E248" s="42" t="s">
        <v>78</v>
      </c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 ht="17" customHeight="1" spans="1:19">
      <c r="A249" s="45" t="s">
        <v>49</v>
      </c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 ht="14" customHeight="1" spans="1:19">
      <c r="A250" s="42" t="s">
        <v>81</v>
      </c>
      <c r="B250" s="42" t="s">
        <v>82</v>
      </c>
      <c r="C250" s="43"/>
      <c r="D250" s="42" t="s">
        <v>49</v>
      </c>
      <c r="E250" s="42" t="s">
        <v>84</v>
      </c>
      <c r="F250" s="42" t="s">
        <v>85</v>
      </c>
      <c r="G250" s="42" t="s">
        <v>86</v>
      </c>
      <c r="H250" s="42" t="s">
        <v>87</v>
      </c>
      <c r="I250" s="42" t="s">
        <v>88</v>
      </c>
      <c r="J250" s="43"/>
      <c r="K250" s="52" t="s">
        <v>118</v>
      </c>
      <c r="L250" s="52" t="s">
        <v>119</v>
      </c>
      <c r="M250" s="52" t="s">
        <v>120</v>
      </c>
      <c r="N250" s="52" t="s">
        <v>121</v>
      </c>
      <c r="O250" s="52" t="s">
        <v>122</v>
      </c>
      <c r="P250" s="52" t="s">
        <v>90</v>
      </c>
      <c r="Q250" s="52" t="s">
        <v>91</v>
      </c>
      <c r="R250" s="59"/>
      <c r="S250" s="52" t="s">
        <v>123</v>
      </c>
    </row>
    <row r="251" ht="20" customHeight="1" spans="1:19">
      <c r="A251" s="42" t="s">
        <v>124</v>
      </c>
      <c r="B251" s="42" t="s">
        <v>125</v>
      </c>
      <c r="C251" s="43"/>
      <c r="D251" s="42" t="s">
        <v>49</v>
      </c>
      <c r="E251" s="42" t="s">
        <v>126</v>
      </c>
      <c r="F251" s="42" t="s">
        <v>49</v>
      </c>
      <c r="G251" s="42" t="s">
        <v>102</v>
      </c>
      <c r="H251" s="42" t="s">
        <v>103</v>
      </c>
      <c r="I251" s="42" t="s">
        <v>49</v>
      </c>
      <c r="J251" s="43"/>
      <c r="K251" s="53">
        <v>144</v>
      </c>
      <c r="L251" s="53">
        <v>144</v>
      </c>
      <c r="M251" s="53">
        <v>0</v>
      </c>
      <c r="N251" s="53">
        <v>0</v>
      </c>
      <c r="O251" s="53">
        <v>144</v>
      </c>
      <c r="P251" s="54">
        <v>0.01</v>
      </c>
      <c r="Q251" s="60">
        <v>1.05</v>
      </c>
      <c r="R251" s="59"/>
      <c r="S251" s="60">
        <v>1.05</v>
      </c>
    </row>
    <row r="252" ht="20" customHeight="1" spans="1:19">
      <c r="A252" s="42" t="s">
        <v>124</v>
      </c>
      <c r="B252" s="42" t="s">
        <v>125</v>
      </c>
      <c r="C252" s="43"/>
      <c r="D252" s="42" t="s">
        <v>49</v>
      </c>
      <c r="E252" s="42" t="s">
        <v>126</v>
      </c>
      <c r="F252" s="42" t="s">
        <v>49</v>
      </c>
      <c r="G252" s="42" t="s">
        <v>102</v>
      </c>
      <c r="H252" s="42" t="s">
        <v>103</v>
      </c>
      <c r="I252" s="42" t="s">
        <v>49</v>
      </c>
      <c r="J252" s="43"/>
      <c r="K252" s="53">
        <v>4752</v>
      </c>
      <c r="L252" s="53">
        <v>4752</v>
      </c>
      <c r="M252" s="53">
        <v>0</v>
      </c>
      <c r="N252" s="53">
        <v>0</v>
      </c>
      <c r="O252" s="53">
        <v>4752</v>
      </c>
      <c r="P252" s="54">
        <v>0.01</v>
      </c>
      <c r="Q252" s="60">
        <v>34.59</v>
      </c>
      <c r="R252" s="59"/>
      <c r="S252" s="60">
        <v>34.59</v>
      </c>
    </row>
    <row r="253" ht="20" customHeight="1" spans="1:19">
      <c r="A253" s="42" t="s">
        <v>124</v>
      </c>
      <c r="B253" s="42" t="s">
        <v>125</v>
      </c>
      <c r="C253" s="43"/>
      <c r="D253" s="42" t="s">
        <v>49</v>
      </c>
      <c r="E253" s="42" t="s">
        <v>126</v>
      </c>
      <c r="F253" s="42" t="s">
        <v>49</v>
      </c>
      <c r="G253" s="42" t="s">
        <v>102</v>
      </c>
      <c r="H253" s="42" t="s">
        <v>103</v>
      </c>
      <c r="I253" s="42" t="s">
        <v>49</v>
      </c>
      <c r="J253" s="43"/>
      <c r="K253" s="53">
        <v>34272</v>
      </c>
      <c r="L253" s="53">
        <v>34272</v>
      </c>
      <c r="M253" s="53">
        <v>0</v>
      </c>
      <c r="N253" s="53">
        <v>0</v>
      </c>
      <c r="O253" s="53">
        <v>34272</v>
      </c>
      <c r="P253" s="54">
        <v>0.01</v>
      </c>
      <c r="Q253" s="60">
        <v>249.5</v>
      </c>
      <c r="R253" s="59"/>
      <c r="S253" s="60">
        <v>249.5</v>
      </c>
    </row>
    <row r="254" ht="13" customHeight="1" spans="1:19">
      <c r="A254" s="46" t="s">
        <v>127</v>
      </c>
      <c r="B254" s="47"/>
      <c r="C254" s="47"/>
      <c r="D254" s="47"/>
      <c r="E254" s="47"/>
      <c r="F254" s="47"/>
      <c r="G254" s="47"/>
      <c r="H254" s="47"/>
      <c r="I254" s="47"/>
      <c r="J254" s="55"/>
      <c r="K254" s="46" t="s">
        <v>128</v>
      </c>
      <c r="L254" s="56">
        <v>39168</v>
      </c>
      <c r="M254" s="57">
        <v>0</v>
      </c>
      <c r="N254" s="57">
        <v>0</v>
      </c>
      <c r="O254" s="57">
        <v>39168</v>
      </c>
      <c r="P254" s="58" t="s">
        <v>49</v>
      </c>
      <c r="Q254" s="61"/>
      <c r="R254" s="61"/>
      <c r="S254" s="62">
        <v>285.14</v>
      </c>
    </row>
    <row r="255" ht="19" customHeight="1" spans="1:19">
      <c r="A255" s="42" t="s">
        <v>129</v>
      </c>
      <c r="B255" s="43"/>
      <c r="C255" s="43"/>
      <c r="D255" s="48" t="s">
        <v>130</v>
      </c>
      <c r="E255" s="49" t="s">
        <v>131</v>
      </c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55"/>
      <c r="S255" s="55"/>
    </row>
    <row r="256" ht="19" customHeight="1" spans="1:19">
      <c r="A256" s="48" t="s">
        <v>130</v>
      </c>
      <c r="B256" s="50"/>
      <c r="C256" s="50"/>
      <c r="D256" s="48" t="s">
        <v>130</v>
      </c>
      <c r="E256" s="48" t="s">
        <v>109</v>
      </c>
      <c r="F256" s="51">
        <v>700</v>
      </c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55"/>
      <c r="S256" s="55"/>
    </row>
    <row r="257" ht="12" customHeight="1" spans="1:19">
      <c r="A257" s="45" t="s">
        <v>49</v>
      </c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55"/>
      <c r="S257" s="55"/>
    </row>
    <row r="258" ht="14" customHeight="1" spans="1:19">
      <c r="A258" s="42" t="s">
        <v>64</v>
      </c>
      <c r="B258" s="43"/>
      <c r="C258" s="43"/>
      <c r="D258" s="44" t="s">
        <v>114</v>
      </c>
      <c r="E258" s="42" t="s">
        <v>66</v>
      </c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 ht="14" customHeight="1" spans="1:19">
      <c r="A259" s="42" t="s">
        <v>67</v>
      </c>
      <c r="B259" s="43"/>
      <c r="C259" s="43"/>
      <c r="D259" s="44" t="s">
        <v>114</v>
      </c>
      <c r="E259" s="42" t="s">
        <v>68</v>
      </c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 ht="14" customHeight="1" spans="1:19">
      <c r="A260" s="42" t="s">
        <v>79</v>
      </c>
      <c r="B260" s="43"/>
      <c r="C260" s="43"/>
      <c r="D260" s="44" t="s">
        <v>114</v>
      </c>
      <c r="E260" s="42" t="s">
        <v>80</v>
      </c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 ht="14" customHeight="1" spans="1:19">
      <c r="A261" s="42" t="s">
        <v>69</v>
      </c>
      <c r="B261" s="43"/>
      <c r="C261" s="43"/>
      <c r="D261" s="44" t="s">
        <v>114</v>
      </c>
      <c r="E261" s="42" t="s">
        <v>115</v>
      </c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 ht="14" customHeight="1" spans="1:19">
      <c r="A262" s="42" t="s">
        <v>116</v>
      </c>
      <c r="B262" s="43"/>
      <c r="C262" s="43"/>
      <c r="D262" s="44" t="s">
        <v>114</v>
      </c>
      <c r="E262" s="42" t="s">
        <v>146</v>
      </c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 ht="14" customHeight="1" spans="1:19">
      <c r="A263" s="42" t="s">
        <v>73</v>
      </c>
      <c r="B263" s="43"/>
      <c r="C263" s="43"/>
      <c r="D263" s="44" t="s">
        <v>114</v>
      </c>
      <c r="E263" s="42" t="s">
        <v>74</v>
      </c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 ht="14" customHeight="1" spans="1:19">
      <c r="A264" s="42" t="s">
        <v>75</v>
      </c>
      <c r="B264" s="43"/>
      <c r="C264" s="43"/>
      <c r="D264" s="44" t="s">
        <v>114</v>
      </c>
      <c r="E264" s="42" t="s">
        <v>76</v>
      </c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 ht="14" customHeight="1" spans="1:19">
      <c r="A265" s="42" t="s">
        <v>77</v>
      </c>
      <c r="B265" s="43"/>
      <c r="C265" s="43"/>
      <c r="D265" s="44" t="s">
        <v>114</v>
      </c>
      <c r="E265" s="42" t="s">
        <v>78</v>
      </c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 ht="17" customHeight="1" spans="1:19">
      <c r="A266" s="45" t="s">
        <v>49</v>
      </c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</row>
    <row r="267" ht="14" customHeight="1" spans="1:19">
      <c r="A267" s="42" t="s">
        <v>81</v>
      </c>
      <c r="B267" s="42" t="s">
        <v>82</v>
      </c>
      <c r="C267" s="43"/>
      <c r="D267" s="42" t="s">
        <v>49</v>
      </c>
      <c r="E267" s="42" t="s">
        <v>84</v>
      </c>
      <c r="F267" s="42" t="s">
        <v>85</v>
      </c>
      <c r="G267" s="42" t="s">
        <v>86</v>
      </c>
      <c r="H267" s="42" t="s">
        <v>87</v>
      </c>
      <c r="I267" s="42" t="s">
        <v>88</v>
      </c>
      <c r="J267" s="43"/>
      <c r="K267" s="52" t="s">
        <v>118</v>
      </c>
      <c r="L267" s="52" t="s">
        <v>119</v>
      </c>
      <c r="M267" s="52" t="s">
        <v>120</v>
      </c>
      <c r="N267" s="52" t="s">
        <v>121</v>
      </c>
      <c r="O267" s="52" t="s">
        <v>122</v>
      </c>
      <c r="P267" s="52" t="s">
        <v>90</v>
      </c>
      <c r="Q267" s="52" t="s">
        <v>91</v>
      </c>
      <c r="R267" s="59"/>
      <c r="S267" s="52" t="s">
        <v>123</v>
      </c>
    </row>
    <row r="268" ht="20" customHeight="1" spans="1:19">
      <c r="A268" s="42" t="s">
        <v>124</v>
      </c>
      <c r="B268" s="42" t="s">
        <v>125</v>
      </c>
      <c r="C268" s="43"/>
      <c r="D268" s="42" t="s">
        <v>49</v>
      </c>
      <c r="E268" s="42" t="s">
        <v>126</v>
      </c>
      <c r="F268" s="42" t="s">
        <v>49</v>
      </c>
      <c r="G268" s="42" t="s">
        <v>102</v>
      </c>
      <c r="H268" s="42" t="s">
        <v>103</v>
      </c>
      <c r="I268" s="42" t="s">
        <v>49</v>
      </c>
      <c r="J268" s="43"/>
      <c r="K268" s="53">
        <v>144</v>
      </c>
      <c r="L268" s="53">
        <v>144</v>
      </c>
      <c r="M268" s="53">
        <v>0</v>
      </c>
      <c r="N268" s="53">
        <v>0</v>
      </c>
      <c r="O268" s="53">
        <v>144</v>
      </c>
      <c r="P268" s="54">
        <v>0.01</v>
      </c>
      <c r="Q268" s="60">
        <v>1.05</v>
      </c>
      <c r="R268" s="59"/>
      <c r="S268" s="60">
        <v>1.05</v>
      </c>
    </row>
    <row r="269" ht="20" customHeight="1" spans="1:19">
      <c r="A269" s="42" t="s">
        <v>124</v>
      </c>
      <c r="B269" s="42" t="s">
        <v>125</v>
      </c>
      <c r="C269" s="43"/>
      <c r="D269" s="42" t="s">
        <v>49</v>
      </c>
      <c r="E269" s="42" t="s">
        <v>126</v>
      </c>
      <c r="F269" s="42" t="s">
        <v>49</v>
      </c>
      <c r="G269" s="42" t="s">
        <v>102</v>
      </c>
      <c r="H269" s="42" t="s">
        <v>103</v>
      </c>
      <c r="I269" s="42" t="s">
        <v>49</v>
      </c>
      <c r="J269" s="43"/>
      <c r="K269" s="53">
        <v>4752</v>
      </c>
      <c r="L269" s="53">
        <v>4752</v>
      </c>
      <c r="M269" s="53">
        <v>0</v>
      </c>
      <c r="N269" s="53">
        <v>0</v>
      </c>
      <c r="O269" s="53">
        <v>4752</v>
      </c>
      <c r="P269" s="54">
        <v>0.01</v>
      </c>
      <c r="Q269" s="60">
        <v>34.59</v>
      </c>
      <c r="R269" s="59"/>
      <c r="S269" s="60">
        <v>34.59</v>
      </c>
    </row>
    <row r="270" ht="20" customHeight="1" spans="1:19">
      <c r="A270" s="42" t="s">
        <v>124</v>
      </c>
      <c r="B270" s="42" t="s">
        <v>125</v>
      </c>
      <c r="C270" s="43"/>
      <c r="D270" s="42" t="s">
        <v>49</v>
      </c>
      <c r="E270" s="42" t="s">
        <v>126</v>
      </c>
      <c r="F270" s="42" t="s">
        <v>49</v>
      </c>
      <c r="G270" s="42" t="s">
        <v>102</v>
      </c>
      <c r="H270" s="42" t="s">
        <v>103</v>
      </c>
      <c r="I270" s="42" t="s">
        <v>49</v>
      </c>
      <c r="J270" s="43"/>
      <c r="K270" s="53">
        <v>34272</v>
      </c>
      <c r="L270" s="53">
        <v>34272</v>
      </c>
      <c r="M270" s="53">
        <v>0</v>
      </c>
      <c r="N270" s="53">
        <v>0</v>
      </c>
      <c r="O270" s="53">
        <v>34272</v>
      </c>
      <c r="P270" s="54">
        <v>0.01</v>
      </c>
      <c r="Q270" s="60">
        <v>249.5</v>
      </c>
      <c r="R270" s="59"/>
      <c r="S270" s="60">
        <v>249.5</v>
      </c>
    </row>
    <row r="271" ht="13" customHeight="1" spans="1:19">
      <c r="A271" s="46" t="s">
        <v>127</v>
      </c>
      <c r="B271" s="47"/>
      <c r="C271" s="47"/>
      <c r="D271" s="47"/>
      <c r="E271" s="47"/>
      <c r="F271" s="47"/>
      <c r="G271" s="47"/>
      <c r="H271" s="47"/>
      <c r="I271" s="47"/>
      <c r="J271" s="55"/>
      <c r="K271" s="46" t="s">
        <v>128</v>
      </c>
      <c r="L271" s="56">
        <v>39168</v>
      </c>
      <c r="M271" s="57">
        <v>0</v>
      </c>
      <c r="N271" s="57">
        <v>0</v>
      </c>
      <c r="O271" s="57">
        <v>39168</v>
      </c>
      <c r="P271" s="58" t="s">
        <v>49</v>
      </c>
      <c r="Q271" s="61"/>
      <c r="R271" s="61"/>
      <c r="S271" s="62">
        <v>285.14</v>
      </c>
    </row>
    <row r="272" ht="19" customHeight="1" spans="1:19">
      <c r="A272" s="42" t="s">
        <v>129</v>
      </c>
      <c r="B272" s="43"/>
      <c r="C272" s="43"/>
      <c r="D272" s="48" t="s">
        <v>130</v>
      </c>
      <c r="E272" s="49" t="s">
        <v>131</v>
      </c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55"/>
      <c r="S272" s="55"/>
    </row>
    <row r="273" ht="19" customHeight="1" spans="1:19">
      <c r="A273" s="48" t="s">
        <v>130</v>
      </c>
      <c r="B273" s="50"/>
      <c r="C273" s="50"/>
      <c r="D273" s="48" t="s">
        <v>130</v>
      </c>
      <c r="E273" s="48" t="s">
        <v>109</v>
      </c>
      <c r="F273" s="51">
        <v>700</v>
      </c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55"/>
      <c r="S273" s="55"/>
    </row>
    <row r="274" ht="12" customHeight="1" spans="1:19">
      <c r="A274" s="45" t="s">
        <v>49</v>
      </c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55"/>
      <c r="S274" s="55"/>
    </row>
    <row r="275" ht="14" customHeight="1" spans="1:19">
      <c r="A275" s="42" t="s">
        <v>64</v>
      </c>
      <c r="B275" s="43"/>
      <c r="C275" s="43"/>
      <c r="D275" s="44" t="s">
        <v>114</v>
      </c>
      <c r="E275" s="42" t="s">
        <v>66</v>
      </c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 ht="14" customHeight="1" spans="1:19">
      <c r="A276" s="42" t="s">
        <v>67</v>
      </c>
      <c r="B276" s="43"/>
      <c r="C276" s="43"/>
      <c r="D276" s="44" t="s">
        <v>114</v>
      </c>
      <c r="E276" s="42" t="s">
        <v>68</v>
      </c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 ht="14" customHeight="1" spans="1:19">
      <c r="A277" s="42" t="s">
        <v>79</v>
      </c>
      <c r="B277" s="43"/>
      <c r="C277" s="43"/>
      <c r="D277" s="44" t="s">
        <v>114</v>
      </c>
      <c r="E277" s="42" t="s">
        <v>80</v>
      </c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 ht="14" customHeight="1" spans="1:19">
      <c r="A278" s="42" t="s">
        <v>69</v>
      </c>
      <c r="B278" s="43"/>
      <c r="C278" s="43"/>
      <c r="D278" s="44" t="s">
        <v>114</v>
      </c>
      <c r="E278" s="42" t="s">
        <v>115</v>
      </c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 ht="14" customHeight="1" spans="1:19">
      <c r="A279" s="42" t="s">
        <v>116</v>
      </c>
      <c r="B279" s="43"/>
      <c r="C279" s="43"/>
      <c r="D279" s="44" t="s">
        <v>114</v>
      </c>
      <c r="E279" s="42" t="s">
        <v>147</v>
      </c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 ht="14" customHeight="1" spans="1:19">
      <c r="A280" s="42" t="s">
        <v>73</v>
      </c>
      <c r="B280" s="43"/>
      <c r="C280" s="43"/>
      <c r="D280" s="44" t="s">
        <v>114</v>
      </c>
      <c r="E280" s="42" t="s">
        <v>74</v>
      </c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 ht="14" customHeight="1" spans="1:19">
      <c r="A281" s="42" t="s">
        <v>75</v>
      </c>
      <c r="B281" s="43"/>
      <c r="C281" s="43"/>
      <c r="D281" s="44" t="s">
        <v>114</v>
      </c>
      <c r="E281" s="42" t="s">
        <v>76</v>
      </c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 ht="14" customHeight="1" spans="1:19">
      <c r="A282" s="42" t="s">
        <v>77</v>
      </c>
      <c r="B282" s="43"/>
      <c r="C282" s="43"/>
      <c r="D282" s="44" t="s">
        <v>114</v>
      </c>
      <c r="E282" s="42" t="s">
        <v>78</v>
      </c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 ht="17" customHeight="1" spans="1:19">
      <c r="A283" s="45" t="s">
        <v>49</v>
      </c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</row>
    <row r="284" ht="14" customHeight="1" spans="1:19">
      <c r="A284" s="42" t="s">
        <v>81</v>
      </c>
      <c r="B284" s="42" t="s">
        <v>82</v>
      </c>
      <c r="C284" s="43"/>
      <c r="D284" s="42" t="s">
        <v>49</v>
      </c>
      <c r="E284" s="42" t="s">
        <v>84</v>
      </c>
      <c r="F284" s="42" t="s">
        <v>85</v>
      </c>
      <c r="G284" s="42" t="s">
        <v>86</v>
      </c>
      <c r="H284" s="42" t="s">
        <v>87</v>
      </c>
      <c r="I284" s="42" t="s">
        <v>88</v>
      </c>
      <c r="J284" s="43"/>
      <c r="K284" s="52" t="s">
        <v>118</v>
      </c>
      <c r="L284" s="52" t="s">
        <v>119</v>
      </c>
      <c r="M284" s="52" t="s">
        <v>120</v>
      </c>
      <c r="N284" s="52" t="s">
        <v>121</v>
      </c>
      <c r="O284" s="52" t="s">
        <v>122</v>
      </c>
      <c r="P284" s="52" t="s">
        <v>90</v>
      </c>
      <c r="Q284" s="52" t="s">
        <v>91</v>
      </c>
      <c r="R284" s="59"/>
      <c r="S284" s="52" t="s">
        <v>123</v>
      </c>
    </row>
    <row r="285" ht="20" customHeight="1" spans="1:19">
      <c r="A285" s="42" t="s">
        <v>124</v>
      </c>
      <c r="B285" s="42" t="s">
        <v>125</v>
      </c>
      <c r="C285" s="43"/>
      <c r="D285" s="42" t="s">
        <v>49</v>
      </c>
      <c r="E285" s="42" t="s">
        <v>126</v>
      </c>
      <c r="F285" s="42" t="s">
        <v>49</v>
      </c>
      <c r="G285" s="42" t="s">
        <v>102</v>
      </c>
      <c r="H285" s="42" t="s">
        <v>103</v>
      </c>
      <c r="I285" s="42" t="s">
        <v>49</v>
      </c>
      <c r="J285" s="43"/>
      <c r="K285" s="53">
        <v>144</v>
      </c>
      <c r="L285" s="53">
        <v>144</v>
      </c>
      <c r="M285" s="53">
        <v>0</v>
      </c>
      <c r="N285" s="53">
        <v>0</v>
      </c>
      <c r="O285" s="53">
        <v>144</v>
      </c>
      <c r="P285" s="54">
        <v>0.01</v>
      </c>
      <c r="Q285" s="60">
        <v>1.05</v>
      </c>
      <c r="R285" s="59"/>
      <c r="S285" s="60">
        <v>1.05</v>
      </c>
    </row>
    <row r="286" ht="20" customHeight="1" spans="1:19">
      <c r="A286" s="42" t="s">
        <v>124</v>
      </c>
      <c r="B286" s="42" t="s">
        <v>125</v>
      </c>
      <c r="C286" s="43"/>
      <c r="D286" s="42" t="s">
        <v>49</v>
      </c>
      <c r="E286" s="42" t="s">
        <v>126</v>
      </c>
      <c r="F286" s="42" t="s">
        <v>49</v>
      </c>
      <c r="G286" s="42" t="s">
        <v>102</v>
      </c>
      <c r="H286" s="42" t="s">
        <v>103</v>
      </c>
      <c r="I286" s="42" t="s">
        <v>49</v>
      </c>
      <c r="J286" s="43"/>
      <c r="K286" s="53">
        <v>4752</v>
      </c>
      <c r="L286" s="53">
        <v>4752</v>
      </c>
      <c r="M286" s="53">
        <v>0</v>
      </c>
      <c r="N286" s="53">
        <v>0</v>
      </c>
      <c r="O286" s="53">
        <v>4752</v>
      </c>
      <c r="P286" s="54">
        <v>0.01</v>
      </c>
      <c r="Q286" s="60">
        <v>34.59</v>
      </c>
      <c r="R286" s="59"/>
      <c r="S286" s="60">
        <v>34.59</v>
      </c>
    </row>
    <row r="287" ht="20" customHeight="1" spans="1:19">
      <c r="A287" s="42" t="s">
        <v>124</v>
      </c>
      <c r="B287" s="42" t="s">
        <v>125</v>
      </c>
      <c r="C287" s="43"/>
      <c r="D287" s="42" t="s">
        <v>49</v>
      </c>
      <c r="E287" s="42" t="s">
        <v>126</v>
      </c>
      <c r="F287" s="42" t="s">
        <v>49</v>
      </c>
      <c r="G287" s="42" t="s">
        <v>102</v>
      </c>
      <c r="H287" s="42" t="s">
        <v>103</v>
      </c>
      <c r="I287" s="42" t="s">
        <v>49</v>
      </c>
      <c r="J287" s="43"/>
      <c r="K287" s="53">
        <v>34272</v>
      </c>
      <c r="L287" s="53">
        <v>34272</v>
      </c>
      <c r="M287" s="53">
        <v>0</v>
      </c>
      <c r="N287" s="53">
        <v>0</v>
      </c>
      <c r="O287" s="53">
        <v>34272</v>
      </c>
      <c r="P287" s="54">
        <v>0.01</v>
      </c>
      <c r="Q287" s="60">
        <v>249.5</v>
      </c>
      <c r="R287" s="59"/>
      <c r="S287" s="60">
        <v>249.5</v>
      </c>
    </row>
    <row r="288" ht="13" customHeight="1" spans="1:19">
      <c r="A288" s="46" t="s">
        <v>127</v>
      </c>
      <c r="B288" s="47"/>
      <c r="C288" s="47"/>
      <c r="D288" s="47"/>
      <c r="E288" s="47"/>
      <c r="F288" s="47"/>
      <c r="G288" s="47"/>
      <c r="H288" s="47"/>
      <c r="I288" s="47"/>
      <c r="J288" s="55"/>
      <c r="K288" s="46" t="s">
        <v>128</v>
      </c>
      <c r="L288" s="56">
        <v>39168</v>
      </c>
      <c r="M288" s="57">
        <v>0</v>
      </c>
      <c r="N288" s="57">
        <v>0</v>
      </c>
      <c r="O288" s="57">
        <v>39168</v>
      </c>
      <c r="P288" s="58" t="s">
        <v>49</v>
      </c>
      <c r="Q288" s="61"/>
      <c r="R288" s="61"/>
      <c r="S288" s="62">
        <v>285.14</v>
      </c>
    </row>
    <row r="289" ht="19" customHeight="1" spans="1:19">
      <c r="A289" s="42" t="s">
        <v>129</v>
      </c>
      <c r="B289" s="43"/>
      <c r="C289" s="43"/>
      <c r="D289" s="48" t="s">
        <v>130</v>
      </c>
      <c r="E289" s="49" t="s">
        <v>131</v>
      </c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55"/>
      <c r="S289" s="55"/>
    </row>
    <row r="290" ht="19" customHeight="1" spans="1:19">
      <c r="A290" s="48" t="s">
        <v>130</v>
      </c>
      <c r="B290" s="50"/>
      <c r="C290" s="50"/>
      <c r="D290" s="48" t="s">
        <v>130</v>
      </c>
      <c r="E290" s="48" t="s">
        <v>109</v>
      </c>
      <c r="F290" s="51">
        <v>700</v>
      </c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55"/>
      <c r="S290" s="55"/>
    </row>
    <row r="291" ht="12" customHeight="1" spans="1:19">
      <c r="A291" s="45" t="s">
        <v>49</v>
      </c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55"/>
      <c r="S291" s="55"/>
    </row>
    <row r="292" ht="14" customHeight="1" spans="1:19">
      <c r="A292" s="42" t="s">
        <v>64</v>
      </c>
      <c r="B292" s="43"/>
      <c r="C292" s="43"/>
      <c r="D292" s="44" t="s">
        <v>114</v>
      </c>
      <c r="E292" s="42" t="s">
        <v>66</v>
      </c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 ht="14" customHeight="1" spans="1:19">
      <c r="A293" s="42" t="s">
        <v>67</v>
      </c>
      <c r="B293" s="43"/>
      <c r="C293" s="43"/>
      <c r="D293" s="44" t="s">
        <v>114</v>
      </c>
      <c r="E293" s="42" t="s">
        <v>68</v>
      </c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 ht="14" customHeight="1" spans="1:19">
      <c r="A294" s="42" t="s">
        <v>79</v>
      </c>
      <c r="B294" s="43"/>
      <c r="C294" s="43"/>
      <c r="D294" s="44" t="s">
        <v>114</v>
      </c>
      <c r="E294" s="42" t="s">
        <v>80</v>
      </c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 ht="14" customHeight="1" spans="1:19">
      <c r="A295" s="42" t="s">
        <v>69</v>
      </c>
      <c r="B295" s="43"/>
      <c r="C295" s="43"/>
      <c r="D295" s="44" t="s">
        <v>114</v>
      </c>
      <c r="E295" s="42" t="s">
        <v>115</v>
      </c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 ht="14" customHeight="1" spans="1:19">
      <c r="A296" s="42" t="s">
        <v>116</v>
      </c>
      <c r="B296" s="43"/>
      <c r="C296" s="43"/>
      <c r="D296" s="44" t="s">
        <v>114</v>
      </c>
      <c r="E296" s="42" t="s">
        <v>148</v>
      </c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 ht="14" customHeight="1" spans="1:19">
      <c r="A297" s="42" t="s">
        <v>73</v>
      </c>
      <c r="B297" s="43"/>
      <c r="C297" s="43"/>
      <c r="D297" s="44" t="s">
        <v>114</v>
      </c>
      <c r="E297" s="42" t="s">
        <v>74</v>
      </c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 ht="14" customHeight="1" spans="1:19">
      <c r="A298" s="42" t="s">
        <v>75</v>
      </c>
      <c r="B298" s="43"/>
      <c r="C298" s="43"/>
      <c r="D298" s="44" t="s">
        <v>114</v>
      </c>
      <c r="E298" s="42" t="s">
        <v>76</v>
      </c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 ht="14" customHeight="1" spans="1:19">
      <c r="A299" s="42" t="s">
        <v>77</v>
      </c>
      <c r="B299" s="43"/>
      <c r="C299" s="43"/>
      <c r="D299" s="44" t="s">
        <v>114</v>
      </c>
      <c r="E299" s="42" t="s">
        <v>78</v>
      </c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 ht="17" customHeight="1" spans="1:19">
      <c r="A300" s="45" t="s">
        <v>49</v>
      </c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</row>
    <row r="301" ht="14" customHeight="1" spans="1:19">
      <c r="A301" s="42" t="s">
        <v>81</v>
      </c>
      <c r="B301" s="42" t="s">
        <v>82</v>
      </c>
      <c r="C301" s="43"/>
      <c r="D301" s="42" t="s">
        <v>49</v>
      </c>
      <c r="E301" s="42" t="s">
        <v>84</v>
      </c>
      <c r="F301" s="42" t="s">
        <v>85</v>
      </c>
      <c r="G301" s="42" t="s">
        <v>86</v>
      </c>
      <c r="H301" s="42" t="s">
        <v>87</v>
      </c>
      <c r="I301" s="42" t="s">
        <v>88</v>
      </c>
      <c r="J301" s="43"/>
      <c r="K301" s="52" t="s">
        <v>118</v>
      </c>
      <c r="L301" s="52" t="s">
        <v>119</v>
      </c>
      <c r="M301" s="52" t="s">
        <v>120</v>
      </c>
      <c r="N301" s="52" t="s">
        <v>121</v>
      </c>
      <c r="O301" s="52" t="s">
        <v>122</v>
      </c>
      <c r="P301" s="52" t="s">
        <v>90</v>
      </c>
      <c r="Q301" s="52" t="s">
        <v>91</v>
      </c>
      <c r="R301" s="59"/>
      <c r="S301" s="52" t="s">
        <v>123</v>
      </c>
    </row>
    <row r="302" ht="20" customHeight="1" spans="1:19">
      <c r="A302" s="42" t="s">
        <v>124</v>
      </c>
      <c r="B302" s="42" t="s">
        <v>125</v>
      </c>
      <c r="C302" s="43"/>
      <c r="D302" s="42" t="s">
        <v>49</v>
      </c>
      <c r="E302" s="42" t="s">
        <v>126</v>
      </c>
      <c r="F302" s="42" t="s">
        <v>49</v>
      </c>
      <c r="G302" s="42" t="s">
        <v>102</v>
      </c>
      <c r="H302" s="42" t="s">
        <v>103</v>
      </c>
      <c r="I302" s="42" t="s">
        <v>49</v>
      </c>
      <c r="J302" s="43"/>
      <c r="K302" s="53">
        <v>144</v>
      </c>
      <c r="L302" s="53">
        <v>144</v>
      </c>
      <c r="M302" s="53">
        <v>0</v>
      </c>
      <c r="N302" s="53">
        <v>0</v>
      </c>
      <c r="O302" s="53">
        <v>144</v>
      </c>
      <c r="P302" s="54">
        <v>0.01</v>
      </c>
      <c r="Q302" s="60">
        <v>1.05</v>
      </c>
      <c r="R302" s="59"/>
      <c r="S302" s="60">
        <v>1.05</v>
      </c>
    </row>
    <row r="303" ht="20" customHeight="1" spans="1:19">
      <c r="A303" s="42" t="s">
        <v>124</v>
      </c>
      <c r="B303" s="42" t="s">
        <v>125</v>
      </c>
      <c r="C303" s="43"/>
      <c r="D303" s="42" t="s">
        <v>49</v>
      </c>
      <c r="E303" s="42" t="s">
        <v>126</v>
      </c>
      <c r="F303" s="42" t="s">
        <v>49</v>
      </c>
      <c r="G303" s="42" t="s">
        <v>102</v>
      </c>
      <c r="H303" s="42" t="s">
        <v>103</v>
      </c>
      <c r="I303" s="42" t="s">
        <v>49</v>
      </c>
      <c r="J303" s="43"/>
      <c r="K303" s="53">
        <v>34272</v>
      </c>
      <c r="L303" s="53">
        <v>34272</v>
      </c>
      <c r="M303" s="53">
        <v>0</v>
      </c>
      <c r="N303" s="53">
        <v>0</v>
      </c>
      <c r="O303" s="53">
        <v>34272</v>
      </c>
      <c r="P303" s="54">
        <v>0.01</v>
      </c>
      <c r="Q303" s="60">
        <v>249.5</v>
      </c>
      <c r="R303" s="59"/>
      <c r="S303" s="60">
        <v>249.5</v>
      </c>
    </row>
    <row r="304" ht="20" customHeight="1" spans="1:19">
      <c r="A304" s="42" t="s">
        <v>124</v>
      </c>
      <c r="B304" s="42" t="s">
        <v>125</v>
      </c>
      <c r="C304" s="43"/>
      <c r="D304" s="42" t="s">
        <v>49</v>
      </c>
      <c r="E304" s="42" t="s">
        <v>126</v>
      </c>
      <c r="F304" s="42" t="s">
        <v>49</v>
      </c>
      <c r="G304" s="42" t="s">
        <v>102</v>
      </c>
      <c r="H304" s="42" t="s">
        <v>103</v>
      </c>
      <c r="I304" s="42" t="s">
        <v>49</v>
      </c>
      <c r="J304" s="43"/>
      <c r="K304" s="53">
        <v>4752</v>
      </c>
      <c r="L304" s="53">
        <v>4752</v>
      </c>
      <c r="M304" s="53">
        <v>0</v>
      </c>
      <c r="N304" s="53">
        <v>0</v>
      </c>
      <c r="O304" s="53">
        <v>4752</v>
      </c>
      <c r="P304" s="54">
        <v>0.01</v>
      </c>
      <c r="Q304" s="60">
        <v>34.59</v>
      </c>
      <c r="R304" s="59"/>
      <c r="S304" s="60">
        <v>34.59</v>
      </c>
    </row>
    <row r="305" ht="20" customHeight="1" spans="1:19">
      <c r="A305" s="42" t="s">
        <v>94</v>
      </c>
      <c r="B305" s="42" t="s">
        <v>95</v>
      </c>
      <c r="C305" s="43"/>
      <c r="D305" s="42" t="s">
        <v>49</v>
      </c>
      <c r="E305" s="42" t="s">
        <v>96</v>
      </c>
      <c r="F305" s="42" t="s">
        <v>49</v>
      </c>
      <c r="G305" s="42" t="s">
        <v>97</v>
      </c>
      <c r="H305" s="42" t="s">
        <v>98</v>
      </c>
      <c r="I305" s="42" t="s">
        <v>49</v>
      </c>
      <c r="J305" s="43"/>
      <c r="K305" s="53">
        <v>10</v>
      </c>
      <c r="L305" s="53">
        <v>0</v>
      </c>
      <c r="M305" s="53">
        <v>10</v>
      </c>
      <c r="N305" s="53">
        <v>0</v>
      </c>
      <c r="O305" s="53">
        <v>10</v>
      </c>
      <c r="P305" s="54">
        <v>0.11</v>
      </c>
      <c r="Q305" s="60">
        <v>1.13</v>
      </c>
      <c r="R305" s="59"/>
      <c r="S305" s="60">
        <v>1.13</v>
      </c>
    </row>
    <row r="306" ht="20" customHeight="1" spans="1:19">
      <c r="A306" s="42" t="s">
        <v>94</v>
      </c>
      <c r="B306" s="42" t="s">
        <v>95</v>
      </c>
      <c r="C306" s="43"/>
      <c r="D306" s="42" t="s">
        <v>49</v>
      </c>
      <c r="E306" s="42" t="s">
        <v>96</v>
      </c>
      <c r="F306" s="42" t="s">
        <v>49</v>
      </c>
      <c r="G306" s="42" t="s">
        <v>97</v>
      </c>
      <c r="H306" s="42" t="s">
        <v>98</v>
      </c>
      <c r="I306" s="42" t="s">
        <v>49</v>
      </c>
      <c r="J306" s="43"/>
      <c r="K306" s="53">
        <v>1692</v>
      </c>
      <c r="L306" s="53">
        <v>0</v>
      </c>
      <c r="M306" s="53">
        <v>1692</v>
      </c>
      <c r="N306" s="53">
        <v>0</v>
      </c>
      <c r="O306" s="53">
        <v>1692</v>
      </c>
      <c r="P306" s="54">
        <v>0.11</v>
      </c>
      <c r="Q306" s="60">
        <v>191.47</v>
      </c>
      <c r="R306" s="59"/>
      <c r="S306" s="60">
        <v>191.47</v>
      </c>
    </row>
    <row r="307" ht="20" customHeight="1" spans="1:19">
      <c r="A307" s="42" t="s">
        <v>94</v>
      </c>
      <c r="B307" s="42" t="s">
        <v>95</v>
      </c>
      <c r="C307" s="43"/>
      <c r="D307" s="42" t="s">
        <v>49</v>
      </c>
      <c r="E307" s="42" t="s">
        <v>96</v>
      </c>
      <c r="F307" s="42" t="s">
        <v>49</v>
      </c>
      <c r="G307" s="42" t="s">
        <v>97</v>
      </c>
      <c r="H307" s="42" t="s">
        <v>98</v>
      </c>
      <c r="I307" s="42" t="s">
        <v>49</v>
      </c>
      <c r="J307" s="43"/>
      <c r="K307" s="53">
        <v>8</v>
      </c>
      <c r="L307" s="53">
        <v>0</v>
      </c>
      <c r="M307" s="53">
        <v>8</v>
      </c>
      <c r="N307" s="53">
        <v>0</v>
      </c>
      <c r="O307" s="53">
        <v>8</v>
      </c>
      <c r="P307" s="54">
        <v>0.11</v>
      </c>
      <c r="Q307" s="60">
        <v>0.91</v>
      </c>
      <c r="R307" s="59"/>
      <c r="S307" s="60">
        <v>0.91</v>
      </c>
    </row>
    <row r="308" ht="13" customHeight="1" spans="1:19">
      <c r="A308" s="46" t="s">
        <v>127</v>
      </c>
      <c r="B308" s="47"/>
      <c r="C308" s="47"/>
      <c r="D308" s="47"/>
      <c r="E308" s="47"/>
      <c r="F308" s="47"/>
      <c r="G308" s="47"/>
      <c r="H308" s="47"/>
      <c r="I308" s="47"/>
      <c r="J308" s="55"/>
      <c r="K308" s="46" t="s">
        <v>128</v>
      </c>
      <c r="L308" s="56">
        <v>39168</v>
      </c>
      <c r="M308" s="57">
        <v>1710</v>
      </c>
      <c r="N308" s="57">
        <v>0</v>
      </c>
      <c r="O308" s="57">
        <v>40878</v>
      </c>
      <c r="P308" s="58" t="s">
        <v>49</v>
      </c>
      <c r="Q308" s="61"/>
      <c r="R308" s="61"/>
      <c r="S308" s="62">
        <v>478.65</v>
      </c>
    </row>
    <row r="309" ht="19" customHeight="1" spans="1:19">
      <c r="A309" s="42" t="s">
        <v>129</v>
      </c>
      <c r="B309" s="43"/>
      <c r="C309" s="43"/>
      <c r="D309" s="48" t="s">
        <v>130</v>
      </c>
      <c r="E309" s="49" t="s">
        <v>131</v>
      </c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55"/>
      <c r="S309" s="55"/>
    </row>
    <row r="310" ht="19" customHeight="1" spans="1:19">
      <c r="A310" s="48" t="s">
        <v>130</v>
      </c>
      <c r="B310" s="50"/>
      <c r="C310" s="50"/>
      <c r="D310" s="48" t="s">
        <v>130</v>
      </c>
      <c r="E310" s="48" t="s">
        <v>109</v>
      </c>
      <c r="F310" s="51">
        <v>700</v>
      </c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55"/>
      <c r="S310" s="55"/>
    </row>
    <row r="311" ht="12" customHeight="1" spans="1:19">
      <c r="A311" s="45" t="s">
        <v>49</v>
      </c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55"/>
      <c r="S311" s="55"/>
    </row>
    <row r="312" ht="14" customHeight="1" spans="1:19">
      <c r="A312" s="42" t="s">
        <v>64</v>
      </c>
      <c r="B312" s="43"/>
      <c r="C312" s="43"/>
      <c r="D312" s="44" t="s">
        <v>114</v>
      </c>
      <c r="E312" s="42" t="s">
        <v>66</v>
      </c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</row>
    <row r="313" ht="14" customHeight="1" spans="1:19">
      <c r="A313" s="42" t="s">
        <v>67</v>
      </c>
      <c r="B313" s="43"/>
      <c r="C313" s="43"/>
      <c r="D313" s="44" t="s">
        <v>114</v>
      </c>
      <c r="E313" s="42" t="s">
        <v>68</v>
      </c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 ht="14" customHeight="1" spans="1:19">
      <c r="A314" s="42" t="s">
        <v>79</v>
      </c>
      <c r="B314" s="43"/>
      <c r="C314" s="43"/>
      <c r="D314" s="44" t="s">
        <v>114</v>
      </c>
      <c r="E314" s="42" t="s">
        <v>80</v>
      </c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</row>
    <row r="315" ht="14" customHeight="1" spans="1:19">
      <c r="A315" s="42" t="s">
        <v>69</v>
      </c>
      <c r="B315" s="43"/>
      <c r="C315" s="43"/>
      <c r="D315" s="44" t="s">
        <v>114</v>
      </c>
      <c r="E315" s="42" t="s">
        <v>115</v>
      </c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 ht="14" customHeight="1" spans="1:19">
      <c r="A316" s="42" t="s">
        <v>116</v>
      </c>
      <c r="B316" s="43"/>
      <c r="C316" s="43"/>
      <c r="D316" s="44" t="s">
        <v>114</v>
      </c>
      <c r="E316" s="42" t="s">
        <v>149</v>
      </c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</row>
    <row r="317" ht="14" customHeight="1" spans="1:19">
      <c r="A317" s="42" t="s">
        <v>73</v>
      </c>
      <c r="B317" s="43"/>
      <c r="C317" s="43"/>
      <c r="D317" s="44" t="s">
        <v>114</v>
      </c>
      <c r="E317" s="42" t="s">
        <v>74</v>
      </c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</row>
    <row r="318" ht="14" customHeight="1" spans="1:19">
      <c r="A318" s="42" t="s">
        <v>75</v>
      </c>
      <c r="B318" s="43"/>
      <c r="C318" s="43"/>
      <c r="D318" s="44" t="s">
        <v>114</v>
      </c>
      <c r="E318" s="42" t="s">
        <v>76</v>
      </c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</row>
    <row r="319" ht="14" customHeight="1" spans="1:19">
      <c r="A319" s="42" t="s">
        <v>77</v>
      </c>
      <c r="B319" s="43"/>
      <c r="C319" s="43"/>
      <c r="D319" s="44" t="s">
        <v>114</v>
      </c>
      <c r="E319" s="42" t="s">
        <v>78</v>
      </c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</row>
    <row r="320" ht="17" customHeight="1" spans="1:19">
      <c r="A320" s="45" t="s">
        <v>49</v>
      </c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</row>
    <row r="321" ht="14" customHeight="1" spans="1:19">
      <c r="A321" s="42" t="s">
        <v>81</v>
      </c>
      <c r="B321" s="42" t="s">
        <v>82</v>
      </c>
      <c r="C321" s="43"/>
      <c r="D321" s="42" t="s">
        <v>49</v>
      </c>
      <c r="E321" s="42" t="s">
        <v>84</v>
      </c>
      <c r="F321" s="42" t="s">
        <v>85</v>
      </c>
      <c r="G321" s="42" t="s">
        <v>86</v>
      </c>
      <c r="H321" s="42" t="s">
        <v>87</v>
      </c>
      <c r="I321" s="42" t="s">
        <v>88</v>
      </c>
      <c r="J321" s="43"/>
      <c r="K321" s="52" t="s">
        <v>118</v>
      </c>
      <c r="L321" s="52" t="s">
        <v>119</v>
      </c>
      <c r="M321" s="52" t="s">
        <v>120</v>
      </c>
      <c r="N321" s="52" t="s">
        <v>121</v>
      </c>
      <c r="O321" s="52" t="s">
        <v>122</v>
      </c>
      <c r="P321" s="52" t="s">
        <v>90</v>
      </c>
      <c r="Q321" s="52" t="s">
        <v>91</v>
      </c>
      <c r="R321" s="59"/>
      <c r="S321" s="52" t="s">
        <v>123</v>
      </c>
    </row>
    <row r="322" ht="20" customHeight="1" spans="1:19">
      <c r="A322" s="42" t="s">
        <v>124</v>
      </c>
      <c r="B322" s="42" t="s">
        <v>125</v>
      </c>
      <c r="C322" s="43"/>
      <c r="D322" s="42" t="s">
        <v>49</v>
      </c>
      <c r="E322" s="42" t="s">
        <v>126</v>
      </c>
      <c r="F322" s="42" t="s">
        <v>49</v>
      </c>
      <c r="G322" s="42" t="s">
        <v>102</v>
      </c>
      <c r="H322" s="42" t="s">
        <v>103</v>
      </c>
      <c r="I322" s="42" t="s">
        <v>49</v>
      </c>
      <c r="J322" s="43"/>
      <c r="K322" s="53">
        <v>144</v>
      </c>
      <c r="L322" s="53">
        <v>144</v>
      </c>
      <c r="M322" s="53">
        <v>0</v>
      </c>
      <c r="N322" s="53">
        <v>0</v>
      </c>
      <c r="O322" s="53">
        <v>144</v>
      </c>
      <c r="P322" s="54">
        <v>0.01</v>
      </c>
      <c r="Q322" s="60">
        <v>1.05</v>
      </c>
      <c r="R322" s="59"/>
      <c r="S322" s="60">
        <v>1.05</v>
      </c>
    </row>
    <row r="323" ht="20" customHeight="1" spans="1:19">
      <c r="A323" s="42" t="s">
        <v>124</v>
      </c>
      <c r="B323" s="42" t="s">
        <v>125</v>
      </c>
      <c r="C323" s="43"/>
      <c r="D323" s="42" t="s">
        <v>49</v>
      </c>
      <c r="E323" s="42" t="s">
        <v>126</v>
      </c>
      <c r="F323" s="42" t="s">
        <v>49</v>
      </c>
      <c r="G323" s="42" t="s">
        <v>102</v>
      </c>
      <c r="H323" s="42" t="s">
        <v>103</v>
      </c>
      <c r="I323" s="42" t="s">
        <v>49</v>
      </c>
      <c r="J323" s="43"/>
      <c r="K323" s="53">
        <v>4752</v>
      </c>
      <c r="L323" s="53">
        <v>4752</v>
      </c>
      <c r="M323" s="53">
        <v>0</v>
      </c>
      <c r="N323" s="53">
        <v>0</v>
      </c>
      <c r="O323" s="53">
        <v>4752</v>
      </c>
      <c r="P323" s="54">
        <v>0.01</v>
      </c>
      <c r="Q323" s="60">
        <v>34.59</v>
      </c>
      <c r="R323" s="59"/>
      <c r="S323" s="60">
        <v>34.59</v>
      </c>
    </row>
    <row r="324" ht="20" customHeight="1" spans="1:19">
      <c r="A324" s="42" t="s">
        <v>124</v>
      </c>
      <c r="B324" s="42" t="s">
        <v>125</v>
      </c>
      <c r="C324" s="43"/>
      <c r="D324" s="42" t="s">
        <v>49</v>
      </c>
      <c r="E324" s="42" t="s">
        <v>126</v>
      </c>
      <c r="F324" s="42" t="s">
        <v>49</v>
      </c>
      <c r="G324" s="42" t="s">
        <v>102</v>
      </c>
      <c r="H324" s="42" t="s">
        <v>103</v>
      </c>
      <c r="I324" s="42" t="s">
        <v>49</v>
      </c>
      <c r="J324" s="43"/>
      <c r="K324" s="53">
        <v>34272</v>
      </c>
      <c r="L324" s="53">
        <v>34272</v>
      </c>
      <c r="M324" s="53">
        <v>0</v>
      </c>
      <c r="N324" s="53">
        <v>0</v>
      </c>
      <c r="O324" s="53">
        <v>34272</v>
      </c>
      <c r="P324" s="54">
        <v>0.01</v>
      </c>
      <c r="Q324" s="60">
        <v>249.5</v>
      </c>
      <c r="R324" s="59"/>
      <c r="S324" s="60">
        <v>249.5</v>
      </c>
    </row>
    <row r="325" ht="20" customHeight="1" spans="1:19">
      <c r="A325" s="42" t="s">
        <v>94</v>
      </c>
      <c r="B325" s="42" t="s">
        <v>95</v>
      </c>
      <c r="C325" s="43"/>
      <c r="D325" s="42" t="s">
        <v>49</v>
      </c>
      <c r="E325" s="42" t="s">
        <v>96</v>
      </c>
      <c r="F325" s="42" t="s">
        <v>49</v>
      </c>
      <c r="G325" s="42" t="s">
        <v>97</v>
      </c>
      <c r="H325" s="42" t="s">
        <v>98</v>
      </c>
      <c r="I325" s="42" t="s">
        <v>49</v>
      </c>
      <c r="J325" s="43"/>
      <c r="K325" s="53">
        <v>8</v>
      </c>
      <c r="L325" s="53">
        <v>8</v>
      </c>
      <c r="M325" s="53">
        <v>0</v>
      </c>
      <c r="N325" s="53">
        <v>0</v>
      </c>
      <c r="O325" s="53">
        <v>8</v>
      </c>
      <c r="P325" s="54">
        <v>0.11</v>
      </c>
      <c r="Q325" s="60">
        <v>0.91</v>
      </c>
      <c r="R325" s="59"/>
      <c r="S325" s="60">
        <v>0.91</v>
      </c>
    </row>
    <row r="326" ht="20" customHeight="1" spans="1:19">
      <c r="A326" s="42" t="s">
        <v>94</v>
      </c>
      <c r="B326" s="42" t="s">
        <v>95</v>
      </c>
      <c r="C326" s="43"/>
      <c r="D326" s="42" t="s">
        <v>49</v>
      </c>
      <c r="E326" s="42" t="s">
        <v>96</v>
      </c>
      <c r="F326" s="42" t="s">
        <v>49</v>
      </c>
      <c r="G326" s="42" t="s">
        <v>97</v>
      </c>
      <c r="H326" s="42" t="s">
        <v>98</v>
      </c>
      <c r="I326" s="42" t="s">
        <v>49</v>
      </c>
      <c r="J326" s="43"/>
      <c r="K326" s="53">
        <v>1692</v>
      </c>
      <c r="L326" s="53">
        <v>1692</v>
      </c>
      <c r="M326" s="53">
        <v>0</v>
      </c>
      <c r="N326" s="53">
        <v>0</v>
      </c>
      <c r="O326" s="53">
        <v>1692</v>
      </c>
      <c r="P326" s="54">
        <v>0.11</v>
      </c>
      <c r="Q326" s="60">
        <v>191.47</v>
      </c>
      <c r="R326" s="59"/>
      <c r="S326" s="60">
        <v>191.47</v>
      </c>
    </row>
    <row r="327" ht="20" customHeight="1" spans="1:19">
      <c r="A327" s="42" t="s">
        <v>94</v>
      </c>
      <c r="B327" s="42" t="s">
        <v>95</v>
      </c>
      <c r="C327" s="43"/>
      <c r="D327" s="42" t="s">
        <v>49</v>
      </c>
      <c r="E327" s="42" t="s">
        <v>96</v>
      </c>
      <c r="F327" s="42" t="s">
        <v>49</v>
      </c>
      <c r="G327" s="42" t="s">
        <v>97</v>
      </c>
      <c r="H327" s="42" t="s">
        <v>98</v>
      </c>
      <c r="I327" s="42" t="s">
        <v>49</v>
      </c>
      <c r="J327" s="43"/>
      <c r="K327" s="53">
        <v>10</v>
      </c>
      <c r="L327" s="53">
        <v>10</v>
      </c>
      <c r="M327" s="53">
        <v>0</v>
      </c>
      <c r="N327" s="53">
        <v>0</v>
      </c>
      <c r="O327" s="53">
        <v>10</v>
      </c>
      <c r="P327" s="54">
        <v>0.11</v>
      </c>
      <c r="Q327" s="60">
        <v>1.13</v>
      </c>
      <c r="R327" s="59"/>
      <c r="S327" s="60">
        <v>1.13</v>
      </c>
    </row>
    <row r="328" ht="20" customHeight="1" spans="1:19">
      <c r="A328" s="42" t="s">
        <v>99</v>
      </c>
      <c r="B328" s="42" t="s">
        <v>100</v>
      </c>
      <c r="C328" s="43"/>
      <c r="D328" s="42" t="s">
        <v>49</v>
      </c>
      <c r="E328" s="42" t="s">
        <v>101</v>
      </c>
      <c r="F328" s="42" t="s">
        <v>49</v>
      </c>
      <c r="G328" s="42" t="s">
        <v>102</v>
      </c>
      <c r="H328" s="42" t="s">
        <v>103</v>
      </c>
      <c r="I328" s="42" t="s">
        <v>49</v>
      </c>
      <c r="J328" s="43"/>
      <c r="K328" s="53">
        <v>24</v>
      </c>
      <c r="L328" s="53">
        <v>0</v>
      </c>
      <c r="M328" s="53">
        <v>24</v>
      </c>
      <c r="N328" s="53">
        <v>0</v>
      </c>
      <c r="O328" s="53">
        <v>24</v>
      </c>
      <c r="P328" s="54">
        <v>0.01</v>
      </c>
      <c r="Q328" s="60">
        <v>0.17</v>
      </c>
      <c r="R328" s="59"/>
      <c r="S328" s="60">
        <v>0.17</v>
      </c>
    </row>
    <row r="329" ht="20" customHeight="1" spans="1:19">
      <c r="A329" s="42" t="s">
        <v>99</v>
      </c>
      <c r="B329" s="42" t="s">
        <v>100</v>
      </c>
      <c r="C329" s="43"/>
      <c r="D329" s="42" t="s">
        <v>49</v>
      </c>
      <c r="E329" s="42" t="s">
        <v>101</v>
      </c>
      <c r="F329" s="42" t="s">
        <v>49</v>
      </c>
      <c r="G329" s="42" t="s">
        <v>102</v>
      </c>
      <c r="H329" s="42" t="s">
        <v>103</v>
      </c>
      <c r="I329" s="42" t="s">
        <v>49</v>
      </c>
      <c r="J329" s="43"/>
      <c r="K329" s="53">
        <v>180</v>
      </c>
      <c r="L329" s="53">
        <v>0</v>
      </c>
      <c r="M329" s="53">
        <v>180</v>
      </c>
      <c r="N329" s="53">
        <v>0</v>
      </c>
      <c r="O329" s="53">
        <v>180</v>
      </c>
      <c r="P329" s="54">
        <v>0.01</v>
      </c>
      <c r="Q329" s="60">
        <v>1.31</v>
      </c>
      <c r="R329" s="59"/>
      <c r="S329" s="60">
        <v>1.31</v>
      </c>
    </row>
    <row r="330" ht="20" customHeight="1" spans="1:19">
      <c r="A330" s="42" t="s">
        <v>99</v>
      </c>
      <c r="B330" s="42" t="s">
        <v>100</v>
      </c>
      <c r="C330" s="43"/>
      <c r="D330" s="42" t="s">
        <v>49</v>
      </c>
      <c r="E330" s="42" t="s">
        <v>101</v>
      </c>
      <c r="F330" s="42" t="s">
        <v>49</v>
      </c>
      <c r="G330" s="42" t="s">
        <v>102</v>
      </c>
      <c r="H330" s="42" t="s">
        <v>103</v>
      </c>
      <c r="I330" s="42" t="s">
        <v>49</v>
      </c>
      <c r="J330" s="43"/>
      <c r="K330" s="53">
        <v>156</v>
      </c>
      <c r="L330" s="53">
        <v>0</v>
      </c>
      <c r="M330" s="53">
        <v>156</v>
      </c>
      <c r="N330" s="53">
        <v>0</v>
      </c>
      <c r="O330" s="53">
        <v>156</v>
      </c>
      <c r="P330" s="54">
        <v>0.01</v>
      </c>
      <c r="Q330" s="60">
        <v>1.14</v>
      </c>
      <c r="R330" s="59"/>
      <c r="S330" s="60">
        <v>1.14</v>
      </c>
    </row>
    <row r="331" ht="20" customHeight="1" spans="1:19">
      <c r="A331" s="42" t="s">
        <v>99</v>
      </c>
      <c r="B331" s="42" t="s">
        <v>100</v>
      </c>
      <c r="C331" s="43"/>
      <c r="D331" s="42" t="s">
        <v>49</v>
      </c>
      <c r="E331" s="42" t="s">
        <v>101</v>
      </c>
      <c r="F331" s="42" t="s">
        <v>49</v>
      </c>
      <c r="G331" s="42" t="s">
        <v>102</v>
      </c>
      <c r="H331" s="42" t="s">
        <v>103</v>
      </c>
      <c r="I331" s="42" t="s">
        <v>49</v>
      </c>
      <c r="J331" s="43"/>
      <c r="K331" s="53">
        <v>19224</v>
      </c>
      <c r="L331" s="53">
        <v>0</v>
      </c>
      <c r="M331" s="53">
        <v>19224</v>
      </c>
      <c r="N331" s="53">
        <v>0</v>
      </c>
      <c r="O331" s="53">
        <v>19224</v>
      </c>
      <c r="P331" s="54">
        <v>0.01</v>
      </c>
      <c r="Q331" s="60">
        <v>139.95</v>
      </c>
      <c r="R331" s="59"/>
      <c r="S331" s="60">
        <v>139.95</v>
      </c>
    </row>
    <row r="332" ht="13" customHeight="1" spans="1:19">
      <c r="A332" s="46" t="s">
        <v>127</v>
      </c>
      <c r="B332" s="47"/>
      <c r="C332" s="47"/>
      <c r="D332" s="47"/>
      <c r="E332" s="47"/>
      <c r="F332" s="47"/>
      <c r="G332" s="47"/>
      <c r="H332" s="47"/>
      <c r="I332" s="47"/>
      <c r="J332" s="55"/>
      <c r="K332" s="46" t="s">
        <v>128</v>
      </c>
      <c r="L332" s="56">
        <v>40878</v>
      </c>
      <c r="M332" s="57">
        <v>19584</v>
      </c>
      <c r="N332" s="57">
        <v>0</v>
      </c>
      <c r="O332" s="57">
        <v>60462</v>
      </c>
      <c r="P332" s="58" t="s">
        <v>49</v>
      </c>
      <c r="Q332" s="61"/>
      <c r="R332" s="61"/>
      <c r="S332" s="62">
        <v>621.22</v>
      </c>
    </row>
    <row r="333" ht="19" customHeight="1" spans="1:19">
      <c r="A333" s="42" t="s">
        <v>129</v>
      </c>
      <c r="B333" s="43"/>
      <c r="C333" s="43"/>
      <c r="D333" s="48" t="s">
        <v>130</v>
      </c>
      <c r="E333" s="49" t="s">
        <v>131</v>
      </c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55"/>
      <c r="S333" s="55"/>
    </row>
    <row r="334" ht="19" customHeight="1" spans="1:19">
      <c r="A334" s="48" t="s">
        <v>130</v>
      </c>
      <c r="B334" s="50"/>
      <c r="C334" s="50"/>
      <c r="D334" s="48" t="s">
        <v>130</v>
      </c>
      <c r="E334" s="48" t="s">
        <v>109</v>
      </c>
      <c r="F334" s="51">
        <v>700</v>
      </c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55"/>
      <c r="S334" s="55"/>
    </row>
    <row r="335" ht="12" customHeight="1" spans="1:19">
      <c r="A335" s="45" t="s">
        <v>49</v>
      </c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55"/>
      <c r="S335" s="55"/>
    </row>
    <row r="336" ht="14" customHeight="1" spans="1:19">
      <c r="A336" s="42" t="s">
        <v>64</v>
      </c>
      <c r="B336" s="43"/>
      <c r="C336" s="43"/>
      <c r="D336" s="44" t="s">
        <v>114</v>
      </c>
      <c r="E336" s="42" t="s">
        <v>66</v>
      </c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 ht="14" customHeight="1" spans="1:19">
      <c r="A337" s="42" t="s">
        <v>67</v>
      </c>
      <c r="B337" s="43"/>
      <c r="C337" s="43"/>
      <c r="D337" s="44" t="s">
        <v>114</v>
      </c>
      <c r="E337" s="42" t="s">
        <v>68</v>
      </c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</row>
    <row r="338" ht="14" customHeight="1" spans="1:19">
      <c r="A338" s="42" t="s">
        <v>79</v>
      </c>
      <c r="B338" s="43"/>
      <c r="C338" s="43"/>
      <c r="D338" s="44" t="s">
        <v>114</v>
      </c>
      <c r="E338" s="42" t="s">
        <v>80</v>
      </c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</row>
    <row r="339" ht="14" customHeight="1" spans="1:19">
      <c r="A339" s="42" t="s">
        <v>69</v>
      </c>
      <c r="B339" s="43"/>
      <c r="C339" s="43"/>
      <c r="D339" s="44" t="s">
        <v>114</v>
      </c>
      <c r="E339" s="42" t="s">
        <v>115</v>
      </c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</row>
    <row r="340" ht="14" customHeight="1" spans="1:19">
      <c r="A340" s="42" t="s">
        <v>116</v>
      </c>
      <c r="B340" s="43"/>
      <c r="C340" s="43"/>
      <c r="D340" s="44" t="s">
        <v>114</v>
      </c>
      <c r="E340" s="42" t="s">
        <v>150</v>
      </c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</row>
    <row r="341" ht="14" customHeight="1" spans="1:19">
      <c r="A341" s="42" t="s">
        <v>73</v>
      </c>
      <c r="B341" s="43"/>
      <c r="C341" s="43"/>
      <c r="D341" s="44" t="s">
        <v>114</v>
      </c>
      <c r="E341" s="42" t="s">
        <v>74</v>
      </c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</row>
    <row r="342" ht="14" customHeight="1" spans="1:19">
      <c r="A342" s="42" t="s">
        <v>75</v>
      </c>
      <c r="B342" s="43"/>
      <c r="C342" s="43"/>
      <c r="D342" s="44" t="s">
        <v>114</v>
      </c>
      <c r="E342" s="42" t="s">
        <v>76</v>
      </c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</row>
    <row r="343" ht="14" customHeight="1" spans="1:19">
      <c r="A343" s="42" t="s">
        <v>77</v>
      </c>
      <c r="B343" s="43"/>
      <c r="C343" s="43"/>
      <c r="D343" s="44" t="s">
        <v>114</v>
      </c>
      <c r="E343" s="42" t="s">
        <v>78</v>
      </c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</row>
    <row r="344" ht="17" customHeight="1" spans="1:19">
      <c r="A344" s="45" t="s">
        <v>49</v>
      </c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</row>
    <row r="345" ht="14" customHeight="1" spans="1:19">
      <c r="A345" s="42" t="s">
        <v>81</v>
      </c>
      <c r="B345" s="42" t="s">
        <v>82</v>
      </c>
      <c r="C345" s="43"/>
      <c r="D345" s="42" t="s">
        <v>49</v>
      </c>
      <c r="E345" s="42" t="s">
        <v>84</v>
      </c>
      <c r="F345" s="42" t="s">
        <v>85</v>
      </c>
      <c r="G345" s="42" t="s">
        <v>86</v>
      </c>
      <c r="H345" s="42" t="s">
        <v>87</v>
      </c>
      <c r="I345" s="42" t="s">
        <v>88</v>
      </c>
      <c r="J345" s="43"/>
      <c r="K345" s="52" t="s">
        <v>118</v>
      </c>
      <c r="L345" s="52" t="s">
        <v>119</v>
      </c>
      <c r="M345" s="52" t="s">
        <v>120</v>
      </c>
      <c r="N345" s="52" t="s">
        <v>121</v>
      </c>
      <c r="O345" s="52" t="s">
        <v>122</v>
      </c>
      <c r="P345" s="52" t="s">
        <v>90</v>
      </c>
      <c r="Q345" s="52" t="s">
        <v>91</v>
      </c>
      <c r="R345" s="59"/>
      <c r="S345" s="52" t="s">
        <v>123</v>
      </c>
    </row>
    <row r="346" ht="20" customHeight="1" spans="1:19">
      <c r="A346" s="42" t="s">
        <v>124</v>
      </c>
      <c r="B346" s="42" t="s">
        <v>125</v>
      </c>
      <c r="C346" s="43"/>
      <c r="D346" s="42" t="s">
        <v>49</v>
      </c>
      <c r="E346" s="42" t="s">
        <v>126</v>
      </c>
      <c r="F346" s="42" t="s">
        <v>49</v>
      </c>
      <c r="G346" s="42" t="s">
        <v>102</v>
      </c>
      <c r="H346" s="42" t="s">
        <v>103</v>
      </c>
      <c r="I346" s="42" t="s">
        <v>49</v>
      </c>
      <c r="J346" s="43"/>
      <c r="K346" s="53">
        <v>4752</v>
      </c>
      <c r="L346" s="53">
        <v>4752</v>
      </c>
      <c r="M346" s="53">
        <v>0</v>
      </c>
      <c r="N346" s="53">
        <v>0</v>
      </c>
      <c r="O346" s="53">
        <v>4752</v>
      </c>
      <c r="P346" s="54">
        <v>0.01</v>
      </c>
      <c r="Q346" s="60">
        <v>34.59</v>
      </c>
      <c r="R346" s="59"/>
      <c r="S346" s="60">
        <v>34.59</v>
      </c>
    </row>
    <row r="347" ht="20" customHeight="1" spans="1:19">
      <c r="A347" s="42" t="s">
        <v>124</v>
      </c>
      <c r="B347" s="42" t="s">
        <v>125</v>
      </c>
      <c r="C347" s="43"/>
      <c r="D347" s="42" t="s">
        <v>49</v>
      </c>
      <c r="E347" s="42" t="s">
        <v>126</v>
      </c>
      <c r="F347" s="42" t="s">
        <v>49</v>
      </c>
      <c r="G347" s="42" t="s">
        <v>102</v>
      </c>
      <c r="H347" s="42" t="s">
        <v>103</v>
      </c>
      <c r="I347" s="42" t="s">
        <v>49</v>
      </c>
      <c r="J347" s="43"/>
      <c r="K347" s="53">
        <v>34272</v>
      </c>
      <c r="L347" s="53">
        <v>34272</v>
      </c>
      <c r="M347" s="53">
        <v>0</v>
      </c>
      <c r="N347" s="53">
        <v>0</v>
      </c>
      <c r="O347" s="53">
        <v>34272</v>
      </c>
      <c r="P347" s="54">
        <v>0.01</v>
      </c>
      <c r="Q347" s="60">
        <v>249.5</v>
      </c>
      <c r="R347" s="59"/>
      <c r="S347" s="60">
        <v>249.5</v>
      </c>
    </row>
    <row r="348" ht="20" customHeight="1" spans="1:19">
      <c r="A348" s="42" t="s">
        <v>124</v>
      </c>
      <c r="B348" s="42" t="s">
        <v>125</v>
      </c>
      <c r="C348" s="43"/>
      <c r="D348" s="42" t="s">
        <v>49</v>
      </c>
      <c r="E348" s="42" t="s">
        <v>126</v>
      </c>
      <c r="F348" s="42" t="s">
        <v>49</v>
      </c>
      <c r="G348" s="42" t="s">
        <v>102</v>
      </c>
      <c r="H348" s="42" t="s">
        <v>103</v>
      </c>
      <c r="I348" s="42" t="s">
        <v>49</v>
      </c>
      <c r="J348" s="43"/>
      <c r="K348" s="53">
        <v>144</v>
      </c>
      <c r="L348" s="53">
        <v>144</v>
      </c>
      <c r="M348" s="53">
        <v>0</v>
      </c>
      <c r="N348" s="53">
        <v>0</v>
      </c>
      <c r="O348" s="53">
        <v>144</v>
      </c>
      <c r="P348" s="54">
        <v>0.01</v>
      </c>
      <c r="Q348" s="60">
        <v>1.05</v>
      </c>
      <c r="R348" s="59"/>
      <c r="S348" s="60">
        <v>1.05</v>
      </c>
    </row>
    <row r="349" ht="20" customHeight="1" spans="1:19">
      <c r="A349" s="42" t="s">
        <v>94</v>
      </c>
      <c r="B349" s="42" t="s">
        <v>95</v>
      </c>
      <c r="C349" s="43"/>
      <c r="D349" s="42" t="s">
        <v>49</v>
      </c>
      <c r="E349" s="42" t="s">
        <v>96</v>
      </c>
      <c r="F349" s="42" t="s">
        <v>49</v>
      </c>
      <c r="G349" s="42" t="s">
        <v>97</v>
      </c>
      <c r="H349" s="42" t="s">
        <v>98</v>
      </c>
      <c r="I349" s="42" t="s">
        <v>49</v>
      </c>
      <c r="J349" s="43"/>
      <c r="K349" s="53">
        <v>10</v>
      </c>
      <c r="L349" s="53">
        <v>10</v>
      </c>
      <c r="M349" s="53">
        <v>0</v>
      </c>
      <c r="N349" s="53">
        <v>0</v>
      </c>
      <c r="O349" s="53">
        <v>10</v>
      </c>
      <c r="P349" s="54">
        <v>0.11</v>
      </c>
      <c r="Q349" s="60">
        <v>1.13</v>
      </c>
      <c r="R349" s="59"/>
      <c r="S349" s="60">
        <v>1.13</v>
      </c>
    </row>
    <row r="350" ht="20" customHeight="1" spans="1:19">
      <c r="A350" s="42" t="s">
        <v>94</v>
      </c>
      <c r="B350" s="42" t="s">
        <v>95</v>
      </c>
      <c r="C350" s="43"/>
      <c r="D350" s="42" t="s">
        <v>49</v>
      </c>
      <c r="E350" s="42" t="s">
        <v>96</v>
      </c>
      <c r="F350" s="42" t="s">
        <v>49</v>
      </c>
      <c r="G350" s="42" t="s">
        <v>97</v>
      </c>
      <c r="H350" s="42" t="s">
        <v>98</v>
      </c>
      <c r="I350" s="42" t="s">
        <v>49</v>
      </c>
      <c r="J350" s="43"/>
      <c r="K350" s="53">
        <v>1692</v>
      </c>
      <c r="L350" s="53">
        <v>1692</v>
      </c>
      <c r="M350" s="53">
        <v>0</v>
      </c>
      <c r="N350" s="53">
        <v>0</v>
      </c>
      <c r="O350" s="53">
        <v>1692</v>
      </c>
      <c r="P350" s="54">
        <v>0.11</v>
      </c>
      <c r="Q350" s="60">
        <v>191.47</v>
      </c>
      <c r="R350" s="59"/>
      <c r="S350" s="60">
        <v>191.47</v>
      </c>
    </row>
    <row r="351" ht="20" customHeight="1" spans="1:19">
      <c r="A351" s="42" t="s">
        <v>94</v>
      </c>
      <c r="B351" s="42" t="s">
        <v>95</v>
      </c>
      <c r="C351" s="43"/>
      <c r="D351" s="42" t="s">
        <v>49</v>
      </c>
      <c r="E351" s="42" t="s">
        <v>96</v>
      </c>
      <c r="F351" s="42" t="s">
        <v>49</v>
      </c>
      <c r="G351" s="42" t="s">
        <v>97</v>
      </c>
      <c r="H351" s="42" t="s">
        <v>98</v>
      </c>
      <c r="I351" s="42" t="s">
        <v>49</v>
      </c>
      <c r="J351" s="43"/>
      <c r="K351" s="53">
        <v>8</v>
      </c>
      <c r="L351" s="53">
        <v>8</v>
      </c>
      <c r="M351" s="53">
        <v>0</v>
      </c>
      <c r="N351" s="53">
        <v>0</v>
      </c>
      <c r="O351" s="53">
        <v>8</v>
      </c>
      <c r="P351" s="54">
        <v>0.11</v>
      </c>
      <c r="Q351" s="60">
        <v>0.91</v>
      </c>
      <c r="R351" s="59"/>
      <c r="S351" s="60">
        <v>0.91</v>
      </c>
    </row>
    <row r="352" ht="20" customHeight="1" spans="1:19">
      <c r="A352" s="42" t="s">
        <v>99</v>
      </c>
      <c r="B352" s="42" t="s">
        <v>100</v>
      </c>
      <c r="C352" s="43"/>
      <c r="D352" s="42" t="s">
        <v>49</v>
      </c>
      <c r="E352" s="42" t="s">
        <v>101</v>
      </c>
      <c r="F352" s="42" t="s">
        <v>49</v>
      </c>
      <c r="G352" s="42" t="s">
        <v>102</v>
      </c>
      <c r="H352" s="42" t="s">
        <v>103</v>
      </c>
      <c r="I352" s="42" t="s">
        <v>49</v>
      </c>
      <c r="J352" s="43"/>
      <c r="K352" s="53">
        <v>19224</v>
      </c>
      <c r="L352" s="53">
        <v>19224</v>
      </c>
      <c r="M352" s="53">
        <v>0</v>
      </c>
      <c r="N352" s="53">
        <v>0</v>
      </c>
      <c r="O352" s="53">
        <v>19224</v>
      </c>
      <c r="P352" s="54">
        <v>0.01</v>
      </c>
      <c r="Q352" s="60">
        <v>139.95</v>
      </c>
      <c r="R352" s="59"/>
      <c r="S352" s="60">
        <v>139.95</v>
      </c>
    </row>
    <row r="353" ht="20" customHeight="1" spans="1:19">
      <c r="A353" s="42" t="s">
        <v>99</v>
      </c>
      <c r="B353" s="42" t="s">
        <v>100</v>
      </c>
      <c r="C353" s="43"/>
      <c r="D353" s="42" t="s">
        <v>49</v>
      </c>
      <c r="E353" s="42" t="s">
        <v>101</v>
      </c>
      <c r="F353" s="42" t="s">
        <v>49</v>
      </c>
      <c r="G353" s="42" t="s">
        <v>102</v>
      </c>
      <c r="H353" s="42" t="s">
        <v>103</v>
      </c>
      <c r="I353" s="42" t="s">
        <v>49</v>
      </c>
      <c r="J353" s="43"/>
      <c r="K353" s="53">
        <v>156</v>
      </c>
      <c r="L353" s="53">
        <v>156</v>
      </c>
      <c r="M353" s="53">
        <v>0</v>
      </c>
      <c r="N353" s="53">
        <v>0</v>
      </c>
      <c r="O353" s="53">
        <v>156</v>
      </c>
      <c r="P353" s="54">
        <v>0.01</v>
      </c>
      <c r="Q353" s="60">
        <v>1.14</v>
      </c>
      <c r="R353" s="59"/>
      <c r="S353" s="60">
        <v>1.14</v>
      </c>
    </row>
    <row r="354" ht="20" customHeight="1" spans="1:19">
      <c r="A354" s="42" t="s">
        <v>99</v>
      </c>
      <c r="B354" s="42" t="s">
        <v>100</v>
      </c>
      <c r="C354" s="43"/>
      <c r="D354" s="42" t="s">
        <v>49</v>
      </c>
      <c r="E354" s="42" t="s">
        <v>101</v>
      </c>
      <c r="F354" s="42" t="s">
        <v>49</v>
      </c>
      <c r="G354" s="42" t="s">
        <v>102</v>
      </c>
      <c r="H354" s="42" t="s">
        <v>103</v>
      </c>
      <c r="I354" s="42" t="s">
        <v>49</v>
      </c>
      <c r="J354" s="43"/>
      <c r="K354" s="53">
        <v>180</v>
      </c>
      <c r="L354" s="53">
        <v>180</v>
      </c>
      <c r="M354" s="53">
        <v>0</v>
      </c>
      <c r="N354" s="53">
        <v>0</v>
      </c>
      <c r="O354" s="53">
        <v>180</v>
      </c>
      <c r="P354" s="54">
        <v>0.01</v>
      </c>
      <c r="Q354" s="60">
        <v>1.31</v>
      </c>
      <c r="R354" s="59"/>
      <c r="S354" s="60">
        <v>1.31</v>
      </c>
    </row>
    <row r="355" ht="20" customHeight="1" spans="1:19">
      <c r="A355" s="42" t="s">
        <v>99</v>
      </c>
      <c r="B355" s="42" t="s">
        <v>100</v>
      </c>
      <c r="C355" s="43"/>
      <c r="D355" s="42" t="s">
        <v>49</v>
      </c>
      <c r="E355" s="42" t="s">
        <v>101</v>
      </c>
      <c r="F355" s="42" t="s">
        <v>49</v>
      </c>
      <c r="G355" s="42" t="s">
        <v>102</v>
      </c>
      <c r="H355" s="42" t="s">
        <v>103</v>
      </c>
      <c r="I355" s="42" t="s">
        <v>49</v>
      </c>
      <c r="J355" s="43"/>
      <c r="K355" s="53">
        <v>24</v>
      </c>
      <c r="L355" s="53">
        <v>24</v>
      </c>
      <c r="M355" s="53">
        <v>0</v>
      </c>
      <c r="N355" s="53">
        <v>0</v>
      </c>
      <c r="O355" s="53">
        <v>24</v>
      </c>
      <c r="P355" s="54">
        <v>0.01</v>
      </c>
      <c r="Q355" s="60">
        <v>0.17</v>
      </c>
      <c r="R355" s="59"/>
      <c r="S355" s="60">
        <v>0.17</v>
      </c>
    </row>
    <row r="356" ht="13" customHeight="1" spans="1:19">
      <c r="A356" s="46" t="s">
        <v>127</v>
      </c>
      <c r="B356" s="47"/>
      <c r="C356" s="47"/>
      <c r="D356" s="47"/>
      <c r="E356" s="47"/>
      <c r="F356" s="47"/>
      <c r="G356" s="47"/>
      <c r="H356" s="47"/>
      <c r="I356" s="47"/>
      <c r="J356" s="55"/>
      <c r="K356" s="46" t="s">
        <v>128</v>
      </c>
      <c r="L356" s="56">
        <v>60462</v>
      </c>
      <c r="M356" s="57">
        <v>0</v>
      </c>
      <c r="N356" s="57">
        <v>0</v>
      </c>
      <c r="O356" s="57">
        <v>60462</v>
      </c>
      <c r="P356" s="58" t="s">
        <v>49</v>
      </c>
      <c r="Q356" s="61"/>
      <c r="R356" s="61"/>
      <c r="S356" s="62">
        <v>621.22</v>
      </c>
    </row>
    <row r="357" ht="19" customHeight="1" spans="1:19">
      <c r="A357" s="42" t="s">
        <v>129</v>
      </c>
      <c r="B357" s="43"/>
      <c r="C357" s="43"/>
      <c r="D357" s="48" t="s">
        <v>130</v>
      </c>
      <c r="E357" s="49" t="s">
        <v>131</v>
      </c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55"/>
      <c r="S357" s="55"/>
    </row>
    <row r="358" ht="19" customHeight="1" spans="1:19">
      <c r="A358" s="48" t="s">
        <v>130</v>
      </c>
      <c r="B358" s="50"/>
      <c r="C358" s="50"/>
      <c r="D358" s="48" t="s">
        <v>130</v>
      </c>
      <c r="E358" s="48" t="s">
        <v>109</v>
      </c>
      <c r="F358" s="51">
        <v>700</v>
      </c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55"/>
      <c r="S358" s="55"/>
    </row>
    <row r="359" ht="12" customHeight="1" spans="1:19">
      <c r="A359" s="45" t="s">
        <v>49</v>
      </c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55"/>
      <c r="S359" s="55"/>
    </row>
    <row r="360" ht="14" customHeight="1" spans="1:19">
      <c r="A360" s="42" t="s">
        <v>64</v>
      </c>
      <c r="B360" s="43"/>
      <c r="C360" s="43"/>
      <c r="D360" s="44" t="s">
        <v>114</v>
      </c>
      <c r="E360" s="42" t="s">
        <v>66</v>
      </c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</row>
    <row r="361" ht="14" customHeight="1" spans="1:19">
      <c r="A361" s="42" t="s">
        <v>67</v>
      </c>
      <c r="B361" s="43"/>
      <c r="C361" s="43"/>
      <c r="D361" s="44" t="s">
        <v>114</v>
      </c>
      <c r="E361" s="42" t="s">
        <v>68</v>
      </c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</row>
    <row r="362" ht="14" customHeight="1" spans="1:19">
      <c r="A362" s="42" t="s">
        <v>79</v>
      </c>
      <c r="B362" s="43"/>
      <c r="C362" s="43"/>
      <c r="D362" s="44" t="s">
        <v>114</v>
      </c>
      <c r="E362" s="42" t="s">
        <v>80</v>
      </c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</row>
    <row r="363" ht="14" customHeight="1" spans="1:19">
      <c r="A363" s="42" t="s">
        <v>69</v>
      </c>
      <c r="B363" s="43"/>
      <c r="C363" s="43"/>
      <c r="D363" s="44" t="s">
        <v>114</v>
      </c>
      <c r="E363" s="42" t="s">
        <v>115</v>
      </c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</row>
    <row r="364" ht="14" customHeight="1" spans="1:19">
      <c r="A364" s="42" t="s">
        <v>116</v>
      </c>
      <c r="B364" s="43"/>
      <c r="C364" s="43"/>
      <c r="D364" s="44" t="s">
        <v>114</v>
      </c>
      <c r="E364" s="42" t="s">
        <v>151</v>
      </c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</row>
    <row r="365" ht="14" customHeight="1" spans="1:19">
      <c r="A365" s="42" t="s">
        <v>73</v>
      </c>
      <c r="B365" s="43"/>
      <c r="C365" s="43"/>
      <c r="D365" s="44" t="s">
        <v>114</v>
      </c>
      <c r="E365" s="42" t="s">
        <v>74</v>
      </c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</row>
    <row r="366" ht="14" customHeight="1" spans="1:19">
      <c r="A366" s="42" t="s">
        <v>75</v>
      </c>
      <c r="B366" s="43"/>
      <c r="C366" s="43"/>
      <c r="D366" s="44" t="s">
        <v>114</v>
      </c>
      <c r="E366" s="42" t="s">
        <v>76</v>
      </c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</row>
    <row r="367" ht="14" customHeight="1" spans="1:19">
      <c r="A367" s="42" t="s">
        <v>77</v>
      </c>
      <c r="B367" s="43"/>
      <c r="C367" s="43"/>
      <c r="D367" s="44" t="s">
        <v>114</v>
      </c>
      <c r="E367" s="42" t="s">
        <v>78</v>
      </c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</row>
    <row r="368" ht="17" customHeight="1" spans="1:19">
      <c r="A368" s="45" t="s">
        <v>49</v>
      </c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</row>
    <row r="369" ht="14" customHeight="1" spans="1:19">
      <c r="A369" s="42" t="s">
        <v>81</v>
      </c>
      <c r="B369" s="42" t="s">
        <v>82</v>
      </c>
      <c r="C369" s="43"/>
      <c r="D369" s="42" t="s">
        <v>49</v>
      </c>
      <c r="E369" s="42" t="s">
        <v>84</v>
      </c>
      <c r="F369" s="42" t="s">
        <v>85</v>
      </c>
      <c r="G369" s="42" t="s">
        <v>86</v>
      </c>
      <c r="H369" s="42" t="s">
        <v>87</v>
      </c>
      <c r="I369" s="42" t="s">
        <v>88</v>
      </c>
      <c r="J369" s="43"/>
      <c r="K369" s="52" t="s">
        <v>118</v>
      </c>
      <c r="L369" s="52" t="s">
        <v>119</v>
      </c>
      <c r="M369" s="52" t="s">
        <v>120</v>
      </c>
      <c r="N369" s="52" t="s">
        <v>121</v>
      </c>
      <c r="O369" s="52" t="s">
        <v>122</v>
      </c>
      <c r="P369" s="52" t="s">
        <v>90</v>
      </c>
      <c r="Q369" s="52" t="s">
        <v>91</v>
      </c>
      <c r="R369" s="59"/>
      <c r="S369" s="52" t="s">
        <v>123</v>
      </c>
    </row>
    <row r="370" ht="20" customHeight="1" spans="1:19">
      <c r="A370" s="42" t="s">
        <v>124</v>
      </c>
      <c r="B370" s="42" t="s">
        <v>125</v>
      </c>
      <c r="C370" s="43"/>
      <c r="D370" s="42" t="s">
        <v>49</v>
      </c>
      <c r="E370" s="42" t="s">
        <v>126</v>
      </c>
      <c r="F370" s="42" t="s">
        <v>49</v>
      </c>
      <c r="G370" s="42" t="s">
        <v>102</v>
      </c>
      <c r="H370" s="42" t="s">
        <v>103</v>
      </c>
      <c r="I370" s="42" t="s">
        <v>49</v>
      </c>
      <c r="J370" s="43"/>
      <c r="K370" s="53">
        <v>4752</v>
      </c>
      <c r="L370" s="53">
        <v>4752</v>
      </c>
      <c r="M370" s="53">
        <v>0</v>
      </c>
      <c r="N370" s="53">
        <v>0</v>
      </c>
      <c r="O370" s="53">
        <v>4752</v>
      </c>
      <c r="P370" s="54">
        <v>0.01</v>
      </c>
      <c r="Q370" s="60">
        <v>34.59</v>
      </c>
      <c r="R370" s="59"/>
      <c r="S370" s="60">
        <v>34.59</v>
      </c>
    </row>
    <row r="371" ht="20" customHeight="1" spans="1:19">
      <c r="A371" s="42" t="s">
        <v>124</v>
      </c>
      <c r="B371" s="42" t="s">
        <v>125</v>
      </c>
      <c r="C371" s="43"/>
      <c r="D371" s="42" t="s">
        <v>49</v>
      </c>
      <c r="E371" s="42" t="s">
        <v>126</v>
      </c>
      <c r="F371" s="42" t="s">
        <v>49</v>
      </c>
      <c r="G371" s="42" t="s">
        <v>102</v>
      </c>
      <c r="H371" s="42" t="s">
        <v>103</v>
      </c>
      <c r="I371" s="42" t="s">
        <v>49</v>
      </c>
      <c r="J371" s="43"/>
      <c r="K371" s="53">
        <v>34272</v>
      </c>
      <c r="L371" s="53">
        <v>34272</v>
      </c>
      <c r="M371" s="53">
        <v>0</v>
      </c>
      <c r="N371" s="53">
        <v>0</v>
      </c>
      <c r="O371" s="53">
        <v>34272</v>
      </c>
      <c r="P371" s="54">
        <v>0.01</v>
      </c>
      <c r="Q371" s="60">
        <v>249.5</v>
      </c>
      <c r="R371" s="59"/>
      <c r="S371" s="60">
        <v>249.5</v>
      </c>
    </row>
    <row r="372" ht="20" customHeight="1" spans="1:19">
      <c r="A372" s="42" t="s">
        <v>124</v>
      </c>
      <c r="B372" s="42" t="s">
        <v>125</v>
      </c>
      <c r="C372" s="43"/>
      <c r="D372" s="42" t="s">
        <v>49</v>
      </c>
      <c r="E372" s="42" t="s">
        <v>126</v>
      </c>
      <c r="F372" s="42" t="s">
        <v>49</v>
      </c>
      <c r="G372" s="42" t="s">
        <v>102</v>
      </c>
      <c r="H372" s="42" t="s">
        <v>103</v>
      </c>
      <c r="I372" s="42" t="s">
        <v>49</v>
      </c>
      <c r="J372" s="43"/>
      <c r="K372" s="53">
        <v>144</v>
      </c>
      <c r="L372" s="53">
        <v>144</v>
      </c>
      <c r="M372" s="53">
        <v>0</v>
      </c>
      <c r="N372" s="53">
        <v>0</v>
      </c>
      <c r="O372" s="53">
        <v>144</v>
      </c>
      <c r="P372" s="54">
        <v>0.01</v>
      </c>
      <c r="Q372" s="60">
        <v>1.05</v>
      </c>
      <c r="R372" s="59"/>
      <c r="S372" s="60">
        <v>1.05</v>
      </c>
    </row>
    <row r="373" ht="20" customHeight="1" spans="1:19">
      <c r="A373" s="42" t="s">
        <v>94</v>
      </c>
      <c r="B373" s="42" t="s">
        <v>95</v>
      </c>
      <c r="C373" s="43"/>
      <c r="D373" s="42" t="s">
        <v>49</v>
      </c>
      <c r="E373" s="42" t="s">
        <v>96</v>
      </c>
      <c r="F373" s="42" t="s">
        <v>49</v>
      </c>
      <c r="G373" s="42" t="s">
        <v>97</v>
      </c>
      <c r="H373" s="42" t="s">
        <v>98</v>
      </c>
      <c r="I373" s="42" t="s">
        <v>49</v>
      </c>
      <c r="J373" s="43"/>
      <c r="K373" s="53">
        <v>10</v>
      </c>
      <c r="L373" s="53">
        <v>10</v>
      </c>
      <c r="M373" s="53">
        <v>0</v>
      </c>
      <c r="N373" s="53">
        <v>0</v>
      </c>
      <c r="O373" s="53">
        <v>10</v>
      </c>
      <c r="P373" s="54">
        <v>0.11</v>
      </c>
      <c r="Q373" s="60">
        <v>1.13</v>
      </c>
      <c r="R373" s="59"/>
      <c r="S373" s="60">
        <v>1.13</v>
      </c>
    </row>
    <row r="374" ht="20" customHeight="1" spans="1:19">
      <c r="A374" s="42" t="s">
        <v>94</v>
      </c>
      <c r="B374" s="42" t="s">
        <v>95</v>
      </c>
      <c r="C374" s="43"/>
      <c r="D374" s="42" t="s">
        <v>49</v>
      </c>
      <c r="E374" s="42" t="s">
        <v>96</v>
      </c>
      <c r="F374" s="42" t="s">
        <v>49</v>
      </c>
      <c r="G374" s="42" t="s">
        <v>97</v>
      </c>
      <c r="H374" s="42" t="s">
        <v>98</v>
      </c>
      <c r="I374" s="42" t="s">
        <v>49</v>
      </c>
      <c r="J374" s="43"/>
      <c r="K374" s="53">
        <v>1692</v>
      </c>
      <c r="L374" s="53">
        <v>1692</v>
      </c>
      <c r="M374" s="53">
        <v>0</v>
      </c>
      <c r="N374" s="53">
        <v>0</v>
      </c>
      <c r="O374" s="53">
        <v>1692</v>
      </c>
      <c r="P374" s="54">
        <v>0.11</v>
      </c>
      <c r="Q374" s="60">
        <v>191.47</v>
      </c>
      <c r="R374" s="59"/>
      <c r="S374" s="60">
        <v>191.47</v>
      </c>
    </row>
    <row r="375" ht="20" customHeight="1" spans="1:19">
      <c r="A375" s="42" t="s">
        <v>94</v>
      </c>
      <c r="B375" s="42" t="s">
        <v>95</v>
      </c>
      <c r="C375" s="43"/>
      <c r="D375" s="42" t="s">
        <v>49</v>
      </c>
      <c r="E375" s="42" t="s">
        <v>96</v>
      </c>
      <c r="F375" s="42" t="s">
        <v>49</v>
      </c>
      <c r="G375" s="42" t="s">
        <v>97</v>
      </c>
      <c r="H375" s="42" t="s">
        <v>98</v>
      </c>
      <c r="I375" s="42" t="s">
        <v>49</v>
      </c>
      <c r="J375" s="43"/>
      <c r="K375" s="53">
        <v>8</v>
      </c>
      <c r="L375" s="53">
        <v>8</v>
      </c>
      <c r="M375" s="53">
        <v>0</v>
      </c>
      <c r="N375" s="53">
        <v>0</v>
      </c>
      <c r="O375" s="53">
        <v>8</v>
      </c>
      <c r="P375" s="54">
        <v>0.11</v>
      </c>
      <c r="Q375" s="60">
        <v>0.91</v>
      </c>
      <c r="R375" s="59"/>
      <c r="S375" s="60">
        <v>0.91</v>
      </c>
    </row>
    <row r="376" ht="20" customHeight="1" spans="1:19">
      <c r="A376" s="42" t="s">
        <v>99</v>
      </c>
      <c r="B376" s="42" t="s">
        <v>100</v>
      </c>
      <c r="C376" s="43"/>
      <c r="D376" s="42" t="s">
        <v>49</v>
      </c>
      <c r="E376" s="42" t="s">
        <v>101</v>
      </c>
      <c r="F376" s="42" t="s">
        <v>49</v>
      </c>
      <c r="G376" s="42" t="s">
        <v>102</v>
      </c>
      <c r="H376" s="42" t="s">
        <v>103</v>
      </c>
      <c r="I376" s="42" t="s">
        <v>49</v>
      </c>
      <c r="J376" s="43"/>
      <c r="K376" s="53">
        <v>19224</v>
      </c>
      <c r="L376" s="53">
        <v>19224</v>
      </c>
      <c r="M376" s="53">
        <v>0</v>
      </c>
      <c r="N376" s="53">
        <v>0</v>
      </c>
      <c r="O376" s="53">
        <v>19224</v>
      </c>
      <c r="P376" s="54">
        <v>0.01</v>
      </c>
      <c r="Q376" s="60">
        <v>139.95</v>
      </c>
      <c r="R376" s="59"/>
      <c r="S376" s="60">
        <v>139.95</v>
      </c>
    </row>
    <row r="377" ht="20" customHeight="1" spans="1:19">
      <c r="A377" s="42" t="s">
        <v>99</v>
      </c>
      <c r="B377" s="42" t="s">
        <v>100</v>
      </c>
      <c r="C377" s="43"/>
      <c r="D377" s="42" t="s">
        <v>49</v>
      </c>
      <c r="E377" s="42" t="s">
        <v>101</v>
      </c>
      <c r="F377" s="42" t="s">
        <v>49</v>
      </c>
      <c r="G377" s="42" t="s">
        <v>102</v>
      </c>
      <c r="H377" s="42" t="s">
        <v>103</v>
      </c>
      <c r="I377" s="42" t="s">
        <v>49</v>
      </c>
      <c r="J377" s="43"/>
      <c r="K377" s="53">
        <v>156</v>
      </c>
      <c r="L377" s="53">
        <v>156</v>
      </c>
      <c r="M377" s="53">
        <v>0</v>
      </c>
      <c r="N377" s="53">
        <v>0</v>
      </c>
      <c r="O377" s="53">
        <v>156</v>
      </c>
      <c r="P377" s="54">
        <v>0.01</v>
      </c>
      <c r="Q377" s="60">
        <v>1.14</v>
      </c>
      <c r="R377" s="59"/>
      <c r="S377" s="60">
        <v>1.14</v>
      </c>
    </row>
    <row r="378" ht="20" customHeight="1" spans="1:19">
      <c r="A378" s="42" t="s">
        <v>99</v>
      </c>
      <c r="B378" s="42" t="s">
        <v>100</v>
      </c>
      <c r="C378" s="43"/>
      <c r="D378" s="42" t="s">
        <v>49</v>
      </c>
      <c r="E378" s="42" t="s">
        <v>101</v>
      </c>
      <c r="F378" s="42" t="s">
        <v>49</v>
      </c>
      <c r="G378" s="42" t="s">
        <v>102</v>
      </c>
      <c r="H378" s="42" t="s">
        <v>103</v>
      </c>
      <c r="I378" s="42" t="s">
        <v>49</v>
      </c>
      <c r="J378" s="43"/>
      <c r="K378" s="53">
        <v>180</v>
      </c>
      <c r="L378" s="53">
        <v>180</v>
      </c>
      <c r="M378" s="53">
        <v>0</v>
      </c>
      <c r="N378" s="53">
        <v>0</v>
      </c>
      <c r="O378" s="53">
        <v>180</v>
      </c>
      <c r="P378" s="54">
        <v>0.01</v>
      </c>
      <c r="Q378" s="60">
        <v>1.31</v>
      </c>
      <c r="R378" s="59"/>
      <c r="S378" s="60">
        <v>1.31</v>
      </c>
    </row>
    <row r="379" ht="20" customHeight="1" spans="1:19">
      <c r="A379" s="42" t="s">
        <v>99</v>
      </c>
      <c r="B379" s="42" t="s">
        <v>100</v>
      </c>
      <c r="C379" s="43"/>
      <c r="D379" s="42" t="s">
        <v>49</v>
      </c>
      <c r="E379" s="42" t="s">
        <v>101</v>
      </c>
      <c r="F379" s="42" t="s">
        <v>49</v>
      </c>
      <c r="G379" s="42" t="s">
        <v>102</v>
      </c>
      <c r="H379" s="42" t="s">
        <v>103</v>
      </c>
      <c r="I379" s="42" t="s">
        <v>49</v>
      </c>
      <c r="J379" s="43"/>
      <c r="K379" s="53">
        <v>24</v>
      </c>
      <c r="L379" s="53">
        <v>24</v>
      </c>
      <c r="M379" s="53">
        <v>0</v>
      </c>
      <c r="N379" s="53">
        <v>0</v>
      </c>
      <c r="O379" s="53">
        <v>24</v>
      </c>
      <c r="P379" s="54">
        <v>0.01</v>
      </c>
      <c r="Q379" s="60">
        <v>0.17</v>
      </c>
      <c r="R379" s="59"/>
      <c r="S379" s="60">
        <v>0.17</v>
      </c>
    </row>
    <row r="380" ht="13" customHeight="1" spans="1:19">
      <c r="A380" s="46" t="s">
        <v>127</v>
      </c>
      <c r="B380" s="47"/>
      <c r="C380" s="47"/>
      <c r="D380" s="47"/>
      <c r="E380" s="47"/>
      <c r="F380" s="47"/>
      <c r="G380" s="47"/>
      <c r="H380" s="47"/>
      <c r="I380" s="47"/>
      <c r="J380" s="55"/>
      <c r="K380" s="46" t="s">
        <v>128</v>
      </c>
      <c r="L380" s="56">
        <v>60462</v>
      </c>
      <c r="M380" s="57">
        <v>0</v>
      </c>
      <c r="N380" s="57">
        <v>0</v>
      </c>
      <c r="O380" s="57">
        <v>60462</v>
      </c>
      <c r="P380" s="58" t="s">
        <v>49</v>
      </c>
      <c r="Q380" s="61"/>
      <c r="R380" s="61"/>
      <c r="S380" s="62">
        <v>621.22</v>
      </c>
    </row>
    <row r="381" ht="19" customHeight="1" spans="1:19">
      <c r="A381" s="42" t="s">
        <v>129</v>
      </c>
      <c r="B381" s="43"/>
      <c r="C381" s="43"/>
      <c r="D381" s="48" t="s">
        <v>130</v>
      </c>
      <c r="E381" s="49" t="s">
        <v>131</v>
      </c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55"/>
      <c r="S381" s="55"/>
    </row>
    <row r="382" ht="19" customHeight="1" spans="1:19">
      <c r="A382" s="48" t="s">
        <v>130</v>
      </c>
      <c r="B382" s="50"/>
      <c r="C382" s="50"/>
      <c r="D382" s="48" t="s">
        <v>130</v>
      </c>
      <c r="E382" s="48" t="s">
        <v>109</v>
      </c>
      <c r="F382" s="51">
        <v>700</v>
      </c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55"/>
      <c r="S382" s="55"/>
    </row>
    <row r="383" ht="12" customHeight="1" spans="1:19">
      <c r="A383" s="45" t="s">
        <v>49</v>
      </c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55"/>
      <c r="S383" s="55"/>
    </row>
    <row r="384" ht="14" customHeight="1" spans="1:19">
      <c r="A384" s="42" t="s">
        <v>64</v>
      </c>
      <c r="B384" s="43"/>
      <c r="C384" s="43"/>
      <c r="D384" s="44" t="s">
        <v>114</v>
      </c>
      <c r="E384" s="42" t="s">
        <v>66</v>
      </c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</row>
    <row r="385" ht="14" customHeight="1" spans="1:19">
      <c r="A385" s="42" t="s">
        <v>67</v>
      </c>
      <c r="B385" s="43"/>
      <c r="C385" s="43"/>
      <c r="D385" s="44" t="s">
        <v>114</v>
      </c>
      <c r="E385" s="42" t="s">
        <v>68</v>
      </c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</row>
    <row r="386" ht="14" customHeight="1" spans="1:19">
      <c r="A386" s="42" t="s">
        <v>79</v>
      </c>
      <c r="B386" s="43"/>
      <c r="C386" s="43"/>
      <c r="D386" s="44" t="s">
        <v>114</v>
      </c>
      <c r="E386" s="42" t="s">
        <v>80</v>
      </c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</row>
    <row r="387" ht="14" customHeight="1" spans="1:19">
      <c r="A387" s="42" t="s">
        <v>69</v>
      </c>
      <c r="B387" s="43"/>
      <c r="C387" s="43"/>
      <c r="D387" s="44" t="s">
        <v>114</v>
      </c>
      <c r="E387" s="42" t="s">
        <v>115</v>
      </c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</row>
    <row r="388" ht="14" customHeight="1" spans="1:19">
      <c r="A388" s="42" t="s">
        <v>116</v>
      </c>
      <c r="B388" s="43"/>
      <c r="C388" s="43"/>
      <c r="D388" s="44" t="s">
        <v>114</v>
      </c>
      <c r="E388" s="42" t="s">
        <v>152</v>
      </c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</row>
    <row r="389" ht="14" customHeight="1" spans="1:19">
      <c r="A389" s="42" t="s">
        <v>73</v>
      </c>
      <c r="B389" s="43"/>
      <c r="C389" s="43"/>
      <c r="D389" s="44" t="s">
        <v>114</v>
      </c>
      <c r="E389" s="42" t="s">
        <v>74</v>
      </c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</row>
    <row r="390" ht="14" customHeight="1" spans="1:19">
      <c r="A390" s="42" t="s">
        <v>75</v>
      </c>
      <c r="B390" s="43"/>
      <c r="C390" s="43"/>
      <c r="D390" s="44" t="s">
        <v>114</v>
      </c>
      <c r="E390" s="42" t="s">
        <v>76</v>
      </c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</row>
    <row r="391" ht="14" customHeight="1" spans="1:19">
      <c r="A391" s="42" t="s">
        <v>77</v>
      </c>
      <c r="B391" s="43"/>
      <c r="C391" s="43"/>
      <c r="D391" s="44" t="s">
        <v>114</v>
      </c>
      <c r="E391" s="42" t="s">
        <v>78</v>
      </c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</row>
    <row r="392" ht="17" customHeight="1" spans="1:19">
      <c r="A392" s="45" t="s">
        <v>49</v>
      </c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</row>
    <row r="393" ht="14" customHeight="1" spans="1:19">
      <c r="A393" s="42" t="s">
        <v>81</v>
      </c>
      <c r="B393" s="42" t="s">
        <v>82</v>
      </c>
      <c r="C393" s="43"/>
      <c r="D393" s="42" t="s">
        <v>49</v>
      </c>
      <c r="E393" s="42" t="s">
        <v>84</v>
      </c>
      <c r="F393" s="42" t="s">
        <v>85</v>
      </c>
      <c r="G393" s="42" t="s">
        <v>86</v>
      </c>
      <c r="H393" s="42" t="s">
        <v>87</v>
      </c>
      <c r="I393" s="42" t="s">
        <v>88</v>
      </c>
      <c r="J393" s="43"/>
      <c r="K393" s="52" t="s">
        <v>118</v>
      </c>
      <c r="L393" s="52" t="s">
        <v>119</v>
      </c>
      <c r="M393" s="52" t="s">
        <v>120</v>
      </c>
      <c r="N393" s="52" t="s">
        <v>121</v>
      </c>
      <c r="O393" s="52" t="s">
        <v>122</v>
      </c>
      <c r="P393" s="52" t="s">
        <v>90</v>
      </c>
      <c r="Q393" s="52" t="s">
        <v>91</v>
      </c>
      <c r="R393" s="59"/>
      <c r="S393" s="52" t="s">
        <v>123</v>
      </c>
    </row>
    <row r="394" ht="20" customHeight="1" spans="1:19">
      <c r="A394" s="42" t="s">
        <v>124</v>
      </c>
      <c r="B394" s="42" t="s">
        <v>125</v>
      </c>
      <c r="C394" s="43"/>
      <c r="D394" s="42" t="s">
        <v>49</v>
      </c>
      <c r="E394" s="42" t="s">
        <v>126</v>
      </c>
      <c r="F394" s="42" t="s">
        <v>49</v>
      </c>
      <c r="G394" s="42" t="s">
        <v>102</v>
      </c>
      <c r="H394" s="42" t="s">
        <v>103</v>
      </c>
      <c r="I394" s="42" t="s">
        <v>49</v>
      </c>
      <c r="J394" s="43"/>
      <c r="K394" s="53">
        <v>4752</v>
      </c>
      <c r="L394" s="53">
        <v>4752</v>
      </c>
      <c r="M394" s="53">
        <v>0</v>
      </c>
      <c r="N394" s="53">
        <v>0</v>
      </c>
      <c r="O394" s="53">
        <v>4752</v>
      </c>
      <c r="P394" s="54">
        <v>0.01</v>
      </c>
      <c r="Q394" s="60">
        <v>34.59</v>
      </c>
      <c r="R394" s="59"/>
      <c r="S394" s="60">
        <v>34.59</v>
      </c>
    </row>
    <row r="395" ht="20" customHeight="1" spans="1:19">
      <c r="A395" s="42" t="s">
        <v>124</v>
      </c>
      <c r="B395" s="42" t="s">
        <v>125</v>
      </c>
      <c r="C395" s="43"/>
      <c r="D395" s="42" t="s">
        <v>49</v>
      </c>
      <c r="E395" s="42" t="s">
        <v>126</v>
      </c>
      <c r="F395" s="42" t="s">
        <v>49</v>
      </c>
      <c r="G395" s="42" t="s">
        <v>102</v>
      </c>
      <c r="H395" s="42" t="s">
        <v>103</v>
      </c>
      <c r="I395" s="42" t="s">
        <v>49</v>
      </c>
      <c r="J395" s="43"/>
      <c r="K395" s="53">
        <v>34272</v>
      </c>
      <c r="L395" s="53">
        <v>34272</v>
      </c>
      <c r="M395" s="53">
        <v>0</v>
      </c>
      <c r="N395" s="53">
        <v>0</v>
      </c>
      <c r="O395" s="53">
        <v>34272</v>
      </c>
      <c r="P395" s="54">
        <v>0.01</v>
      </c>
      <c r="Q395" s="60">
        <v>249.5</v>
      </c>
      <c r="R395" s="59"/>
      <c r="S395" s="60">
        <v>249.5</v>
      </c>
    </row>
    <row r="396" ht="20" customHeight="1" spans="1:19">
      <c r="A396" s="42" t="s">
        <v>124</v>
      </c>
      <c r="B396" s="42" t="s">
        <v>125</v>
      </c>
      <c r="C396" s="43"/>
      <c r="D396" s="42" t="s">
        <v>49</v>
      </c>
      <c r="E396" s="42" t="s">
        <v>126</v>
      </c>
      <c r="F396" s="42" t="s">
        <v>49</v>
      </c>
      <c r="G396" s="42" t="s">
        <v>102</v>
      </c>
      <c r="H396" s="42" t="s">
        <v>103</v>
      </c>
      <c r="I396" s="42" t="s">
        <v>49</v>
      </c>
      <c r="J396" s="43"/>
      <c r="K396" s="53">
        <v>144</v>
      </c>
      <c r="L396" s="53">
        <v>144</v>
      </c>
      <c r="M396" s="53">
        <v>0</v>
      </c>
      <c r="N396" s="53">
        <v>0</v>
      </c>
      <c r="O396" s="53">
        <v>144</v>
      </c>
      <c r="P396" s="54">
        <v>0.01</v>
      </c>
      <c r="Q396" s="60">
        <v>1.05</v>
      </c>
      <c r="R396" s="59"/>
      <c r="S396" s="60">
        <v>1.05</v>
      </c>
    </row>
    <row r="397" ht="20" customHeight="1" spans="1:19">
      <c r="A397" s="42" t="s">
        <v>94</v>
      </c>
      <c r="B397" s="42" t="s">
        <v>95</v>
      </c>
      <c r="C397" s="43"/>
      <c r="D397" s="42" t="s">
        <v>49</v>
      </c>
      <c r="E397" s="42" t="s">
        <v>96</v>
      </c>
      <c r="F397" s="42" t="s">
        <v>49</v>
      </c>
      <c r="G397" s="42" t="s">
        <v>97</v>
      </c>
      <c r="H397" s="42" t="s">
        <v>98</v>
      </c>
      <c r="I397" s="42" t="s">
        <v>49</v>
      </c>
      <c r="J397" s="43"/>
      <c r="K397" s="53">
        <v>10</v>
      </c>
      <c r="L397" s="53">
        <v>10</v>
      </c>
      <c r="M397" s="53">
        <v>0</v>
      </c>
      <c r="N397" s="53">
        <v>0</v>
      </c>
      <c r="O397" s="53">
        <v>10</v>
      </c>
      <c r="P397" s="54">
        <v>0.11</v>
      </c>
      <c r="Q397" s="60">
        <v>1.13</v>
      </c>
      <c r="R397" s="59"/>
      <c r="S397" s="60">
        <v>1.13</v>
      </c>
    </row>
    <row r="398" ht="20" customHeight="1" spans="1:19">
      <c r="A398" s="42" t="s">
        <v>94</v>
      </c>
      <c r="B398" s="42" t="s">
        <v>95</v>
      </c>
      <c r="C398" s="43"/>
      <c r="D398" s="42" t="s">
        <v>49</v>
      </c>
      <c r="E398" s="42" t="s">
        <v>96</v>
      </c>
      <c r="F398" s="42" t="s">
        <v>49</v>
      </c>
      <c r="G398" s="42" t="s">
        <v>97</v>
      </c>
      <c r="H398" s="42" t="s">
        <v>98</v>
      </c>
      <c r="I398" s="42" t="s">
        <v>49</v>
      </c>
      <c r="J398" s="43"/>
      <c r="K398" s="53">
        <v>1692</v>
      </c>
      <c r="L398" s="53">
        <v>1692</v>
      </c>
      <c r="M398" s="53">
        <v>0</v>
      </c>
      <c r="N398" s="53">
        <v>0</v>
      </c>
      <c r="O398" s="53">
        <v>1692</v>
      </c>
      <c r="P398" s="54">
        <v>0.11</v>
      </c>
      <c r="Q398" s="60">
        <v>191.47</v>
      </c>
      <c r="R398" s="59"/>
      <c r="S398" s="60">
        <v>191.47</v>
      </c>
    </row>
    <row r="399" ht="20" customHeight="1" spans="1:19">
      <c r="A399" s="42" t="s">
        <v>94</v>
      </c>
      <c r="B399" s="42" t="s">
        <v>95</v>
      </c>
      <c r="C399" s="43"/>
      <c r="D399" s="42" t="s">
        <v>49</v>
      </c>
      <c r="E399" s="42" t="s">
        <v>96</v>
      </c>
      <c r="F399" s="42" t="s">
        <v>49</v>
      </c>
      <c r="G399" s="42" t="s">
        <v>97</v>
      </c>
      <c r="H399" s="42" t="s">
        <v>98</v>
      </c>
      <c r="I399" s="42" t="s">
        <v>49</v>
      </c>
      <c r="J399" s="43"/>
      <c r="K399" s="53">
        <v>8</v>
      </c>
      <c r="L399" s="53">
        <v>8</v>
      </c>
      <c r="M399" s="53">
        <v>0</v>
      </c>
      <c r="N399" s="53">
        <v>0</v>
      </c>
      <c r="O399" s="53">
        <v>8</v>
      </c>
      <c r="P399" s="54">
        <v>0.11</v>
      </c>
      <c r="Q399" s="60">
        <v>0.91</v>
      </c>
      <c r="R399" s="59"/>
      <c r="S399" s="60">
        <v>0.91</v>
      </c>
    </row>
    <row r="400" ht="20" customHeight="1" spans="1:19">
      <c r="A400" s="42" t="s">
        <v>99</v>
      </c>
      <c r="B400" s="42" t="s">
        <v>100</v>
      </c>
      <c r="C400" s="43"/>
      <c r="D400" s="42" t="s">
        <v>49</v>
      </c>
      <c r="E400" s="42" t="s">
        <v>101</v>
      </c>
      <c r="F400" s="42" t="s">
        <v>49</v>
      </c>
      <c r="G400" s="42" t="s">
        <v>102</v>
      </c>
      <c r="H400" s="42" t="s">
        <v>103</v>
      </c>
      <c r="I400" s="42" t="s">
        <v>49</v>
      </c>
      <c r="J400" s="43"/>
      <c r="K400" s="53">
        <v>19224</v>
      </c>
      <c r="L400" s="53">
        <v>19224</v>
      </c>
      <c r="M400" s="53">
        <v>0</v>
      </c>
      <c r="N400" s="53">
        <v>0</v>
      </c>
      <c r="O400" s="53">
        <v>19224</v>
      </c>
      <c r="P400" s="54">
        <v>0.01</v>
      </c>
      <c r="Q400" s="60">
        <v>139.95</v>
      </c>
      <c r="R400" s="59"/>
      <c r="S400" s="60">
        <v>139.95</v>
      </c>
    </row>
    <row r="401" ht="20" customHeight="1" spans="1:19">
      <c r="A401" s="42" t="s">
        <v>99</v>
      </c>
      <c r="B401" s="42" t="s">
        <v>100</v>
      </c>
      <c r="C401" s="43"/>
      <c r="D401" s="42" t="s">
        <v>49</v>
      </c>
      <c r="E401" s="42" t="s">
        <v>101</v>
      </c>
      <c r="F401" s="42" t="s">
        <v>49</v>
      </c>
      <c r="G401" s="42" t="s">
        <v>102</v>
      </c>
      <c r="H401" s="42" t="s">
        <v>103</v>
      </c>
      <c r="I401" s="42" t="s">
        <v>49</v>
      </c>
      <c r="J401" s="43"/>
      <c r="K401" s="53">
        <v>156</v>
      </c>
      <c r="L401" s="53">
        <v>156</v>
      </c>
      <c r="M401" s="53">
        <v>0</v>
      </c>
      <c r="N401" s="53">
        <v>0</v>
      </c>
      <c r="O401" s="53">
        <v>156</v>
      </c>
      <c r="P401" s="54">
        <v>0.01</v>
      </c>
      <c r="Q401" s="60">
        <v>1.14</v>
      </c>
      <c r="R401" s="59"/>
      <c r="S401" s="60">
        <v>1.14</v>
      </c>
    </row>
    <row r="402" ht="20" customHeight="1" spans="1:19">
      <c r="A402" s="42" t="s">
        <v>99</v>
      </c>
      <c r="B402" s="42" t="s">
        <v>100</v>
      </c>
      <c r="C402" s="43"/>
      <c r="D402" s="42" t="s">
        <v>49</v>
      </c>
      <c r="E402" s="42" t="s">
        <v>101</v>
      </c>
      <c r="F402" s="42" t="s">
        <v>49</v>
      </c>
      <c r="G402" s="42" t="s">
        <v>102</v>
      </c>
      <c r="H402" s="42" t="s">
        <v>103</v>
      </c>
      <c r="I402" s="42" t="s">
        <v>49</v>
      </c>
      <c r="J402" s="43"/>
      <c r="K402" s="53">
        <v>180</v>
      </c>
      <c r="L402" s="53">
        <v>180</v>
      </c>
      <c r="M402" s="53">
        <v>0</v>
      </c>
      <c r="N402" s="53">
        <v>0</v>
      </c>
      <c r="O402" s="53">
        <v>180</v>
      </c>
      <c r="P402" s="54">
        <v>0.01</v>
      </c>
      <c r="Q402" s="60">
        <v>1.31</v>
      </c>
      <c r="R402" s="59"/>
      <c r="S402" s="60">
        <v>1.31</v>
      </c>
    </row>
    <row r="403" ht="20" customHeight="1" spans="1:19">
      <c r="A403" s="42" t="s">
        <v>99</v>
      </c>
      <c r="B403" s="42" t="s">
        <v>100</v>
      </c>
      <c r="C403" s="43"/>
      <c r="D403" s="42" t="s">
        <v>49</v>
      </c>
      <c r="E403" s="42" t="s">
        <v>101</v>
      </c>
      <c r="F403" s="42" t="s">
        <v>49</v>
      </c>
      <c r="G403" s="42" t="s">
        <v>102</v>
      </c>
      <c r="H403" s="42" t="s">
        <v>103</v>
      </c>
      <c r="I403" s="42" t="s">
        <v>49</v>
      </c>
      <c r="J403" s="43"/>
      <c r="K403" s="53">
        <v>24</v>
      </c>
      <c r="L403" s="53">
        <v>24</v>
      </c>
      <c r="M403" s="53">
        <v>0</v>
      </c>
      <c r="N403" s="53">
        <v>0</v>
      </c>
      <c r="O403" s="53">
        <v>24</v>
      </c>
      <c r="P403" s="54">
        <v>0.01</v>
      </c>
      <c r="Q403" s="60">
        <v>0.17</v>
      </c>
      <c r="R403" s="59"/>
      <c r="S403" s="60">
        <v>0.17</v>
      </c>
    </row>
    <row r="404" ht="13" customHeight="1" spans="1:19">
      <c r="A404" s="46" t="s">
        <v>127</v>
      </c>
      <c r="B404" s="47"/>
      <c r="C404" s="47"/>
      <c r="D404" s="47"/>
      <c r="E404" s="47"/>
      <c r="F404" s="47"/>
      <c r="G404" s="47"/>
      <c r="H404" s="47"/>
      <c r="I404" s="47"/>
      <c r="J404" s="55"/>
      <c r="K404" s="46" t="s">
        <v>128</v>
      </c>
      <c r="L404" s="56">
        <v>60462</v>
      </c>
      <c r="M404" s="57">
        <v>0</v>
      </c>
      <c r="N404" s="57">
        <v>0</v>
      </c>
      <c r="O404" s="57">
        <v>60462</v>
      </c>
      <c r="P404" s="58" t="s">
        <v>49</v>
      </c>
      <c r="Q404" s="61"/>
      <c r="R404" s="61"/>
      <c r="S404" s="62">
        <v>621.22</v>
      </c>
    </row>
    <row r="405" ht="19" customHeight="1" spans="1:19">
      <c r="A405" s="42" t="s">
        <v>129</v>
      </c>
      <c r="B405" s="43"/>
      <c r="C405" s="43"/>
      <c r="D405" s="48" t="s">
        <v>130</v>
      </c>
      <c r="E405" s="49" t="s">
        <v>131</v>
      </c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55"/>
      <c r="S405" s="55"/>
    </row>
    <row r="406" ht="19" customHeight="1" spans="1:19">
      <c r="A406" s="48" t="s">
        <v>130</v>
      </c>
      <c r="B406" s="50"/>
      <c r="C406" s="50"/>
      <c r="D406" s="48" t="s">
        <v>130</v>
      </c>
      <c r="E406" s="48" t="s">
        <v>109</v>
      </c>
      <c r="F406" s="51">
        <v>700</v>
      </c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55"/>
      <c r="S406" s="55"/>
    </row>
    <row r="407" ht="12" customHeight="1" spans="1:19">
      <c r="A407" s="45" t="s">
        <v>49</v>
      </c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55"/>
      <c r="S407" s="55"/>
    </row>
    <row r="408" ht="14" customHeight="1" spans="1:19">
      <c r="A408" s="42" t="s">
        <v>64</v>
      </c>
      <c r="B408" s="43"/>
      <c r="C408" s="43"/>
      <c r="D408" s="44" t="s">
        <v>114</v>
      </c>
      <c r="E408" s="42" t="s">
        <v>66</v>
      </c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</row>
    <row r="409" ht="14" customHeight="1" spans="1:19">
      <c r="A409" s="42" t="s">
        <v>67</v>
      </c>
      <c r="B409" s="43"/>
      <c r="C409" s="43"/>
      <c r="D409" s="44" t="s">
        <v>114</v>
      </c>
      <c r="E409" s="42" t="s">
        <v>68</v>
      </c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</row>
    <row r="410" ht="14" customHeight="1" spans="1:19">
      <c r="A410" s="42" t="s">
        <v>79</v>
      </c>
      <c r="B410" s="43"/>
      <c r="C410" s="43"/>
      <c r="D410" s="44" t="s">
        <v>114</v>
      </c>
      <c r="E410" s="42" t="s">
        <v>80</v>
      </c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</row>
    <row r="411" ht="14" customHeight="1" spans="1:19">
      <c r="A411" s="42" t="s">
        <v>69</v>
      </c>
      <c r="B411" s="43"/>
      <c r="C411" s="43"/>
      <c r="D411" s="44" t="s">
        <v>114</v>
      </c>
      <c r="E411" s="42" t="s">
        <v>115</v>
      </c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</row>
    <row r="412" ht="14" customHeight="1" spans="1:19">
      <c r="A412" s="42" t="s">
        <v>116</v>
      </c>
      <c r="B412" s="43"/>
      <c r="C412" s="43"/>
      <c r="D412" s="44" t="s">
        <v>114</v>
      </c>
      <c r="E412" s="42" t="s">
        <v>153</v>
      </c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</row>
    <row r="413" ht="14" customHeight="1" spans="1:19">
      <c r="A413" s="42" t="s">
        <v>73</v>
      </c>
      <c r="B413" s="43"/>
      <c r="C413" s="43"/>
      <c r="D413" s="44" t="s">
        <v>114</v>
      </c>
      <c r="E413" s="42" t="s">
        <v>74</v>
      </c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</row>
    <row r="414" ht="14" customHeight="1" spans="1:19">
      <c r="A414" s="42" t="s">
        <v>75</v>
      </c>
      <c r="B414" s="43"/>
      <c r="C414" s="43"/>
      <c r="D414" s="44" t="s">
        <v>114</v>
      </c>
      <c r="E414" s="42" t="s">
        <v>76</v>
      </c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</row>
    <row r="415" ht="14" customHeight="1" spans="1:19">
      <c r="A415" s="42" t="s">
        <v>77</v>
      </c>
      <c r="B415" s="43"/>
      <c r="C415" s="43"/>
      <c r="D415" s="44" t="s">
        <v>114</v>
      </c>
      <c r="E415" s="42" t="s">
        <v>78</v>
      </c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</row>
    <row r="416" ht="17" customHeight="1" spans="1:19">
      <c r="A416" s="45" t="s">
        <v>49</v>
      </c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</row>
    <row r="417" ht="14" customHeight="1" spans="1:19">
      <c r="A417" s="42" t="s">
        <v>81</v>
      </c>
      <c r="B417" s="42" t="s">
        <v>82</v>
      </c>
      <c r="C417" s="43"/>
      <c r="D417" s="42" t="s">
        <v>49</v>
      </c>
      <c r="E417" s="42" t="s">
        <v>84</v>
      </c>
      <c r="F417" s="42" t="s">
        <v>85</v>
      </c>
      <c r="G417" s="42" t="s">
        <v>86</v>
      </c>
      <c r="H417" s="42" t="s">
        <v>87</v>
      </c>
      <c r="I417" s="42" t="s">
        <v>88</v>
      </c>
      <c r="J417" s="43"/>
      <c r="K417" s="52" t="s">
        <v>118</v>
      </c>
      <c r="L417" s="52" t="s">
        <v>119</v>
      </c>
      <c r="M417" s="52" t="s">
        <v>120</v>
      </c>
      <c r="N417" s="52" t="s">
        <v>121</v>
      </c>
      <c r="O417" s="52" t="s">
        <v>122</v>
      </c>
      <c r="P417" s="52" t="s">
        <v>90</v>
      </c>
      <c r="Q417" s="52" t="s">
        <v>91</v>
      </c>
      <c r="R417" s="59"/>
      <c r="S417" s="52" t="s">
        <v>123</v>
      </c>
    </row>
    <row r="418" ht="20" customHeight="1" spans="1:19">
      <c r="A418" s="42" t="s">
        <v>124</v>
      </c>
      <c r="B418" s="42" t="s">
        <v>125</v>
      </c>
      <c r="C418" s="43"/>
      <c r="D418" s="42" t="s">
        <v>49</v>
      </c>
      <c r="E418" s="42" t="s">
        <v>126</v>
      </c>
      <c r="F418" s="42" t="s">
        <v>49</v>
      </c>
      <c r="G418" s="42" t="s">
        <v>102</v>
      </c>
      <c r="H418" s="42" t="s">
        <v>103</v>
      </c>
      <c r="I418" s="42" t="s">
        <v>49</v>
      </c>
      <c r="J418" s="43"/>
      <c r="K418" s="53">
        <v>4752</v>
      </c>
      <c r="L418" s="53">
        <v>4752</v>
      </c>
      <c r="M418" s="53">
        <v>0</v>
      </c>
      <c r="N418" s="53">
        <v>0</v>
      </c>
      <c r="O418" s="53">
        <v>4752</v>
      </c>
      <c r="P418" s="54">
        <v>0.01</v>
      </c>
      <c r="Q418" s="60">
        <v>34.59</v>
      </c>
      <c r="R418" s="59"/>
      <c r="S418" s="60">
        <v>34.59</v>
      </c>
    </row>
    <row r="419" ht="20" customHeight="1" spans="1:19">
      <c r="A419" s="42" t="s">
        <v>124</v>
      </c>
      <c r="B419" s="42" t="s">
        <v>125</v>
      </c>
      <c r="C419" s="43"/>
      <c r="D419" s="42" t="s">
        <v>49</v>
      </c>
      <c r="E419" s="42" t="s">
        <v>126</v>
      </c>
      <c r="F419" s="42" t="s">
        <v>49</v>
      </c>
      <c r="G419" s="42" t="s">
        <v>102</v>
      </c>
      <c r="H419" s="42" t="s">
        <v>103</v>
      </c>
      <c r="I419" s="42" t="s">
        <v>49</v>
      </c>
      <c r="J419" s="43"/>
      <c r="K419" s="53">
        <v>34272</v>
      </c>
      <c r="L419" s="53">
        <v>34272</v>
      </c>
      <c r="M419" s="53">
        <v>0</v>
      </c>
      <c r="N419" s="53">
        <v>0</v>
      </c>
      <c r="O419" s="53">
        <v>34272</v>
      </c>
      <c r="P419" s="54">
        <v>0.01</v>
      </c>
      <c r="Q419" s="60">
        <v>249.5</v>
      </c>
      <c r="R419" s="59"/>
      <c r="S419" s="60">
        <v>249.5</v>
      </c>
    </row>
    <row r="420" ht="20" customHeight="1" spans="1:19">
      <c r="A420" s="42" t="s">
        <v>124</v>
      </c>
      <c r="B420" s="42" t="s">
        <v>125</v>
      </c>
      <c r="C420" s="43"/>
      <c r="D420" s="42" t="s">
        <v>49</v>
      </c>
      <c r="E420" s="42" t="s">
        <v>126</v>
      </c>
      <c r="F420" s="42" t="s">
        <v>49</v>
      </c>
      <c r="G420" s="42" t="s">
        <v>102</v>
      </c>
      <c r="H420" s="42" t="s">
        <v>103</v>
      </c>
      <c r="I420" s="42" t="s">
        <v>49</v>
      </c>
      <c r="J420" s="43"/>
      <c r="K420" s="53">
        <v>144</v>
      </c>
      <c r="L420" s="53">
        <v>144</v>
      </c>
      <c r="M420" s="53">
        <v>0</v>
      </c>
      <c r="N420" s="53">
        <v>0</v>
      </c>
      <c r="O420" s="53">
        <v>144</v>
      </c>
      <c r="P420" s="54">
        <v>0.01</v>
      </c>
      <c r="Q420" s="60">
        <v>1.05</v>
      </c>
      <c r="R420" s="59"/>
      <c r="S420" s="60">
        <v>1.05</v>
      </c>
    </row>
    <row r="421" ht="20" customHeight="1" spans="1:19">
      <c r="A421" s="42" t="s">
        <v>94</v>
      </c>
      <c r="B421" s="42" t="s">
        <v>95</v>
      </c>
      <c r="C421" s="43"/>
      <c r="D421" s="42" t="s">
        <v>49</v>
      </c>
      <c r="E421" s="42" t="s">
        <v>96</v>
      </c>
      <c r="F421" s="42" t="s">
        <v>49</v>
      </c>
      <c r="G421" s="42" t="s">
        <v>97</v>
      </c>
      <c r="H421" s="42" t="s">
        <v>98</v>
      </c>
      <c r="I421" s="42" t="s">
        <v>49</v>
      </c>
      <c r="J421" s="43"/>
      <c r="K421" s="53">
        <v>10</v>
      </c>
      <c r="L421" s="53">
        <v>10</v>
      </c>
      <c r="M421" s="53">
        <v>0</v>
      </c>
      <c r="N421" s="53">
        <v>0</v>
      </c>
      <c r="O421" s="53">
        <v>10</v>
      </c>
      <c r="P421" s="54">
        <v>0.11</v>
      </c>
      <c r="Q421" s="60">
        <v>1.13</v>
      </c>
      <c r="R421" s="59"/>
      <c r="S421" s="60">
        <v>1.13</v>
      </c>
    </row>
    <row r="422" ht="20" customHeight="1" spans="1:19">
      <c r="A422" s="42" t="s">
        <v>94</v>
      </c>
      <c r="B422" s="42" t="s">
        <v>95</v>
      </c>
      <c r="C422" s="43"/>
      <c r="D422" s="42" t="s">
        <v>49</v>
      </c>
      <c r="E422" s="42" t="s">
        <v>96</v>
      </c>
      <c r="F422" s="42" t="s">
        <v>49</v>
      </c>
      <c r="G422" s="42" t="s">
        <v>97</v>
      </c>
      <c r="H422" s="42" t="s">
        <v>98</v>
      </c>
      <c r="I422" s="42" t="s">
        <v>49</v>
      </c>
      <c r="J422" s="43"/>
      <c r="K422" s="53">
        <v>1692</v>
      </c>
      <c r="L422" s="53">
        <v>1692</v>
      </c>
      <c r="M422" s="53">
        <v>0</v>
      </c>
      <c r="N422" s="53">
        <v>0</v>
      </c>
      <c r="O422" s="53">
        <v>1692</v>
      </c>
      <c r="P422" s="54">
        <v>0.11</v>
      </c>
      <c r="Q422" s="60">
        <v>191.47</v>
      </c>
      <c r="R422" s="59"/>
      <c r="S422" s="60">
        <v>191.47</v>
      </c>
    </row>
    <row r="423" ht="20" customHeight="1" spans="1:19">
      <c r="A423" s="42" t="s">
        <v>94</v>
      </c>
      <c r="B423" s="42" t="s">
        <v>95</v>
      </c>
      <c r="C423" s="43"/>
      <c r="D423" s="42" t="s">
        <v>49</v>
      </c>
      <c r="E423" s="42" t="s">
        <v>96</v>
      </c>
      <c r="F423" s="42" t="s">
        <v>49</v>
      </c>
      <c r="G423" s="42" t="s">
        <v>97</v>
      </c>
      <c r="H423" s="42" t="s">
        <v>98</v>
      </c>
      <c r="I423" s="42" t="s">
        <v>49</v>
      </c>
      <c r="J423" s="43"/>
      <c r="K423" s="53">
        <v>8</v>
      </c>
      <c r="L423" s="53">
        <v>8</v>
      </c>
      <c r="M423" s="53">
        <v>0</v>
      </c>
      <c r="N423" s="53">
        <v>0</v>
      </c>
      <c r="O423" s="53">
        <v>8</v>
      </c>
      <c r="P423" s="54">
        <v>0.11</v>
      </c>
      <c r="Q423" s="60">
        <v>0.91</v>
      </c>
      <c r="R423" s="59"/>
      <c r="S423" s="60">
        <v>0.91</v>
      </c>
    </row>
    <row r="424" ht="20" customHeight="1" spans="1:19">
      <c r="A424" s="42" t="s">
        <v>99</v>
      </c>
      <c r="B424" s="42" t="s">
        <v>100</v>
      </c>
      <c r="C424" s="43"/>
      <c r="D424" s="42" t="s">
        <v>49</v>
      </c>
      <c r="E424" s="42" t="s">
        <v>101</v>
      </c>
      <c r="F424" s="42" t="s">
        <v>49</v>
      </c>
      <c r="G424" s="42" t="s">
        <v>102</v>
      </c>
      <c r="H424" s="42" t="s">
        <v>103</v>
      </c>
      <c r="I424" s="42" t="s">
        <v>49</v>
      </c>
      <c r="J424" s="43"/>
      <c r="K424" s="53">
        <v>19224</v>
      </c>
      <c r="L424" s="53">
        <v>19224</v>
      </c>
      <c r="M424" s="53">
        <v>0</v>
      </c>
      <c r="N424" s="53">
        <v>0</v>
      </c>
      <c r="O424" s="53">
        <v>19224</v>
      </c>
      <c r="P424" s="54">
        <v>0.01</v>
      </c>
      <c r="Q424" s="60">
        <v>139.95</v>
      </c>
      <c r="R424" s="59"/>
      <c r="S424" s="60">
        <v>139.95</v>
      </c>
    </row>
    <row r="425" ht="20" customHeight="1" spans="1:19">
      <c r="A425" s="42" t="s">
        <v>99</v>
      </c>
      <c r="B425" s="42" t="s">
        <v>100</v>
      </c>
      <c r="C425" s="43"/>
      <c r="D425" s="42" t="s">
        <v>49</v>
      </c>
      <c r="E425" s="42" t="s">
        <v>101</v>
      </c>
      <c r="F425" s="42" t="s">
        <v>49</v>
      </c>
      <c r="G425" s="42" t="s">
        <v>102</v>
      </c>
      <c r="H425" s="42" t="s">
        <v>103</v>
      </c>
      <c r="I425" s="42" t="s">
        <v>49</v>
      </c>
      <c r="J425" s="43"/>
      <c r="K425" s="53">
        <v>156</v>
      </c>
      <c r="L425" s="53">
        <v>156</v>
      </c>
      <c r="M425" s="53">
        <v>0</v>
      </c>
      <c r="N425" s="53">
        <v>0</v>
      </c>
      <c r="O425" s="53">
        <v>156</v>
      </c>
      <c r="P425" s="54">
        <v>0.01</v>
      </c>
      <c r="Q425" s="60">
        <v>1.14</v>
      </c>
      <c r="R425" s="59"/>
      <c r="S425" s="60">
        <v>1.14</v>
      </c>
    </row>
    <row r="426" ht="20" customHeight="1" spans="1:19">
      <c r="A426" s="42" t="s">
        <v>99</v>
      </c>
      <c r="B426" s="42" t="s">
        <v>100</v>
      </c>
      <c r="C426" s="43"/>
      <c r="D426" s="42" t="s">
        <v>49</v>
      </c>
      <c r="E426" s="42" t="s">
        <v>101</v>
      </c>
      <c r="F426" s="42" t="s">
        <v>49</v>
      </c>
      <c r="G426" s="42" t="s">
        <v>102</v>
      </c>
      <c r="H426" s="42" t="s">
        <v>103</v>
      </c>
      <c r="I426" s="42" t="s">
        <v>49</v>
      </c>
      <c r="J426" s="43"/>
      <c r="K426" s="53">
        <v>180</v>
      </c>
      <c r="L426" s="53">
        <v>180</v>
      </c>
      <c r="M426" s="53">
        <v>0</v>
      </c>
      <c r="N426" s="53">
        <v>0</v>
      </c>
      <c r="O426" s="53">
        <v>180</v>
      </c>
      <c r="P426" s="54">
        <v>0.01</v>
      </c>
      <c r="Q426" s="60">
        <v>1.31</v>
      </c>
      <c r="R426" s="59"/>
      <c r="S426" s="60">
        <v>1.31</v>
      </c>
    </row>
    <row r="427" ht="20" customHeight="1" spans="1:19">
      <c r="A427" s="42" t="s">
        <v>99</v>
      </c>
      <c r="B427" s="42" t="s">
        <v>100</v>
      </c>
      <c r="C427" s="43"/>
      <c r="D427" s="42" t="s">
        <v>49</v>
      </c>
      <c r="E427" s="42" t="s">
        <v>101</v>
      </c>
      <c r="F427" s="42" t="s">
        <v>49</v>
      </c>
      <c r="G427" s="42" t="s">
        <v>102</v>
      </c>
      <c r="H427" s="42" t="s">
        <v>103</v>
      </c>
      <c r="I427" s="42" t="s">
        <v>49</v>
      </c>
      <c r="J427" s="43"/>
      <c r="K427" s="53">
        <v>24</v>
      </c>
      <c r="L427" s="53">
        <v>24</v>
      </c>
      <c r="M427" s="53">
        <v>0</v>
      </c>
      <c r="N427" s="53">
        <v>0</v>
      </c>
      <c r="O427" s="53">
        <v>24</v>
      </c>
      <c r="P427" s="54">
        <v>0.01</v>
      </c>
      <c r="Q427" s="60">
        <v>0.17</v>
      </c>
      <c r="R427" s="59"/>
      <c r="S427" s="60">
        <v>0.17</v>
      </c>
    </row>
    <row r="428" ht="13" customHeight="1" spans="1:19">
      <c r="A428" s="46" t="s">
        <v>127</v>
      </c>
      <c r="B428" s="47"/>
      <c r="C428" s="47"/>
      <c r="D428" s="47"/>
      <c r="E428" s="47"/>
      <c r="F428" s="47"/>
      <c r="G428" s="47"/>
      <c r="H428" s="47"/>
      <c r="I428" s="47"/>
      <c r="J428" s="55"/>
      <c r="K428" s="46" t="s">
        <v>128</v>
      </c>
      <c r="L428" s="56">
        <v>60462</v>
      </c>
      <c r="M428" s="57">
        <v>0</v>
      </c>
      <c r="N428" s="57">
        <v>0</v>
      </c>
      <c r="O428" s="57">
        <v>60462</v>
      </c>
      <c r="P428" s="58" t="s">
        <v>49</v>
      </c>
      <c r="Q428" s="61"/>
      <c r="R428" s="61"/>
      <c r="S428" s="62">
        <v>621.22</v>
      </c>
    </row>
    <row r="429" ht="19" customHeight="1" spans="1:19">
      <c r="A429" s="42" t="s">
        <v>129</v>
      </c>
      <c r="B429" s="43"/>
      <c r="C429" s="43"/>
      <c r="D429" s="48" t="s">
        <v>130</v>
      </c>
      <c r="E429" s="49" t="s">
        <v>131</v>
      </c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55"/>
      <c r="S429" s="55"/>
    </row>
    <row r="430" ht="19" customHeight="1" spans="1:19">
      <c r="A430" s="48" t="s">
        <v>130</v>
      </c>
      <c r="B430" s="50"/>
      <c r="C430" s="50"/>
      <c r="D430" s="48" t="s">
        <v>130</v>
      </c>
      <c r="E430" s="48" t="s">
        <v>109</v>
      </c>
      <c r="F430" s="51">
        <v>700</v>
      </c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55"/>
      <c r="S430" s="55"/>
    </row>
    <row r="431" ht="12" customHeight="1" spans="1:19">
      <c r="A431" s="45" t="s">
        <v>49</v>
      </c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55"/>
      <c r="S431" s="55"/>
    </row>
    <row r="432" ht="14" customHeight="1" spans="1:19">
      <c r="A432" s="42" t="s">
        <v>64</v>
      </c>
      <c r="B432" s="43"/>
      <c r="C432" s="43"/>
      <c r="D432" s="44" t="s">
        <v>114</v>
      </c>
      <c r="E432" s="42" t="s">
        <v>66</v>
      </c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</row>
    <row r="433" ht="14" customHeight="1" spans="1:19">
      <c r="A433" s="42" t="s">
        <v>67</v>
      </c>
      <c r="B433" s="43"/>
      <c r="C433" s="43"/>
      <c r="D433" s="44" t="s">
        <v>114</v>
      </c>
      <c r="E433" s="42" t="s">
        <v>68</v>
      </c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</row>
    <row r="434" ht="14" customHeight="1" spans="1:19">
      <c r="A434" s="42" t="s">
        <v>79</v>
      </c>
      <c r="B434" s="43"/>
      <c r="C434" s="43"/>
      <c r="D434" s="44" t="s">
        <v>114</v>
      </c>
      <c r="E434" s="42" t="s">
        <v>80</v>
      </c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</row>
    <row r="435" ht="14" customHeight="1" spans="1:19">
      <c r="A435" s="42" t="s">
        <v>69</v>
      </c>
      <c r="B435" s="43"/>
      <c r="C435" s="43"/>
      <c r="D435" s="44" t="s">
        <v>114</v>
      </c>
      <c r="E435" s="42" t="s">
        <v>115</v>
      </c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</row>
    <row r="436" ht="14" customHeight="1" spans="1:19">
      <c r="A436" s="42" t="s">
        <v>116</v>
      </c>
      <c r="B436" s="43"/>
      <c r="C436" s="43"/>
      <c r="D436" s="44" t="s">
        <v>114</v>
      </c>
      <c r="E436" s="42" t="s">
        <v>154</v>
      </c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</row>
    <row r="437" ht="14" customHeight="1" spans="1:19">
      <c r="A437" s="42" t="s">
        <v>73</v>
      </c>
      <c r="B437" s="43"/>
      <c r="C437" s="43"/>
      <c r="D437" s="44" t="s">
        <v>114</v>
      </c>
      <c r="E437" s="42" t="s">
        <v>74</v>
      </c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 ht="14" customHeight="1" spans="1:19">
      <c r="A438" s="42" t="s">
        <v>75</v>
      </c>
      <c r="B438" s="43"/>
      <c r="C438" s="43"/>
      <c r="D438" s="44" t="s">
        <v>114</v>
      </c>
      <c r="E438" s="42" t="s">
        <v>76</v>
      </c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</row>
    <row r="439" ht="14" customHeight="1" spans="1:19">
      <c r="A439" s="42" t="s">
        <v>77</v>
      </c>
      <c r="B439" s="43"/>
      <c r="C439" s="43"/>
      <c r="D439" s="44" t="s">
        <v>114</v>
      </c>
      <c r="E439" s="42" t="s">
        <v>78</v>
      </c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</row>
    <row r="440" ht="17" customHeight="1" spans="1:19">
      <c r="A440" s="45" t="s">
        <v>49</v>
      </c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</row>
    <row r="441" ht="14" customHeight="1" spans="1:19">
      <c r="A441" s="42" t="s">
        <v>81</v>
      </c>
      <c r="B441" s="42" t="s">
        <v>82</v>
      </c>
      <c r="C441" s="43"/>
      <c r="D441" s="42" t="s">
        <v>49</v>
      </c>
      <c r="E441" s="42" t="s">
        <v>84</v>
      </c>
      <c r="F441" s="42" t="s">
        <v>85</v>
      </c>
      <c r="G441" s="42" t="s">
        <v>86</v>
      </c>
      <c r="H441" s="42" t="s">
        <v>87</v>
      </c>
      <c r="I441" s="42" t="s">
        <v>88</v>
      </c>
      <c r="J441" s="43"/>
      <c r="K441" s="52" t="s">
        <v>118</v>
      </c>
      <c r="L441" s="52" t="s">
        <v>119</v>
      </c>
      <c r="M441" s="52" t="s">
        <v>120</v>
      </c>
      <c r="N441" s="52" t="s">
        <v>121</v>
      </c>
      <c r="O441" s="52" t="s">
        <v>122</v>
      </c>
      <c r="P441" s="52" t="s">
        <v>90</v>
      </c>
      <c r="Q441" s="52" t="s">
        <v>91</v>
      </c>
      <c r="R441" s="59"/>
      <c r="S441" s="52" t="s">
        <v>123</v>
      </c>
    </row>
    <row r="442" ht="20" customHeight="1" spans="1:19">
      <c r="A442" s="42" t="s">
        <v>124</v>
      </c>
      <c r="B442" s="42" t="s">
        <v>125</v>
      </c>
      <c r="C442" s="43"/>
      <c r="D442" s="42" t="s">
        <v>49</v>
      </c>
      <c r="E442" s="42" t="s">
        <v>126</v>
      </c>
      <c r="F442" s="42" t="s">
        <v>49</v>
      </c>
      <c r="G442" s="42" t="s">
        <v>102</v>
      </c>
      <c r="H442" s="42" t="s">
        <v>103</v>
      </c>
      <c r="I442" s="42" t="s">
        <v>49</v>
      </c>
      <c r="J442" s="43"/>
      <c r="K442" s="53">
        <v>4752</v>
      </c>
      <c r="L442" s="53">
        <v>4752</v>
      </c>
      <c r="M442" s="53">
        <v>0</v>
      </c>
      <c r="N442" s="53">
        <v>0</v>
      </c>
      <c r="O442" s="53">
        <v>4752</v>
      </c>
      <c r="P442" s="54">
        <v>0.01</v>
      </c>
      <c r="Q442" s="60">
        <v>34.59</v>
      </c>
      <c r="R442" s="59"/>
      <c r="S442" s="60">
        <v>34.59</v>
      </c>
    </row>
    <row r="443" ht="20" customHeight="1" spans="1:19">
      <c r="A443" s="42" t="s">
        <v>124</v>
      </c>
      <c r="B443" s="42" t="s">
        <v>125</v>
      </c>
      <c r="C443" s="43"/>
      <c r="D443" s="42" t="s">
        <v>49</v>
      </c>
      <c r="E443" s="42" t="s">
        <v>126</v>
      </c>
      <c r="F443" s="42" t="s">
        <v>49</v>
      </c>
      <c r="G443" s="42" t="s">
        <v>102</v>
      </c>
      <c r="H443" s="42" t="s">
        <v>103</v>
      </c>
      <c r="I443" s="42" t="s">
        <v>49</v>
      </c>
      <c r="J443" s="43"/>
      <c r="K443" s="53">
        <v>34272</v>
      </c>
      <c r="L443" s="53">
        <v>34272</v>
      </c>
      <c r="M443" s="53">
        <v>0</v>
      </c>
      <c r="N443" s="53">
        <v>0</v>
      </c>
      <c r="O443" s="53">
        <v>34272</v>
      </c>
      <c r="P443" s="54">
        <v>0.01</v>
      </c>
      <c r="Q443" s="60">
        <v>249.5</v>
      </c>
      <c r="R443" s="59"/>
      <c r="S443" s="60">
        <v>249.5</v>
      </c>
    </row>
    <row r="444" ht="20" customHeight="1" spans="1:19">
      <c r="A444" s="42" t="s">
        <v>124</v>
      </c>
      <c r="B444" s="42" t="s">
        <v>125</v>
      </c>
      <c r="C444" s="43"/>
      <c r="D444" s="42" t="s">
        <v>49</v>
      </c>
      <c r="E444" s="42" t="s">
        <v>126</v>
      </c>
      <c r="F444" s="42" t="s">
        <v>49</v>
      </c>
      <c r="G444" s="42" t="s">
        <v>102</v>
      </c>
      <c r="H444" s="42" t="s">
        <v>103</v>
      </c>
      <c r="I444" s="42" t="s">
        <v>49</v>
      </c>
      <c r="J444" s="43"/>
      <c r="K444" s="53">
        <v>144</v>
      </c>
      <c r="L444" s="53">
        <v>144</v>
      </c>
      <c r="M444" s="53">
        <v>0</v>
      </c>
      <c r="N444" s="53">
        <v>0</v>
      </c>
      <c r="O444" s="53">
        <v>144</v>
      </c>
      <c r="P444" s="54">
        <v>0.01</v>
      </c>
      <c r="Q444" s="60">
        <v>1.05</v>
      </c>
      <c r="R444" s="59"/>
      <c r="S444" s="60">
        <v>1.05</v>
      </c>
    </row>
    <row r="445" ht="20" customHeight="1" spans="1:19">
      <c r="A445" s="42" t="s">
        <v>94</v>
      </c>
      <c r="B445" s="42" t="s">
        <v>95</v>
      </c>
      <c r="C445" s="43"/>
      <c r="D445" s="42" t="s">
        <v>49</v>
      </c>
      <c r="E445" s="42" t="s">
        <v>96</v>
      </c>
      <c r="F445" s="42" t="s">
        <v>49</v>
      </c>
      <c r="G445" s="42" t="s">
        <v>97</v>
      </c>
      <c r="H445" s="42" t="s">
        <v>98</v>
      </c>
      <c r="I445" s="42" t="s">
        <v>49</v>
      </c>
      <c r="J445" s="43"/>
      <c r="K445" s="53">
        <v>10</v>
      </c>
      <c r="L445" s="53">
        <v>10</v>
      </c>
      <c r="M445" s="53">
        <v>0</v>
      </c>
      <c r="N445" s="53">
        <v>0</v>
      </c>
      <c r="O445" s="53">
        <v>10</v>
      </c>
      <c r="P445" s="54">
        <v>0.11</v>
      </c>
      <c r="Q445" s="60">
        <v>1.13</v>
      </c>
      <c r="R445" s="59"/>
      <c r="S445" s="60">
        <v>1.13</v>
      </c>
    </row>
    <row r="446" ht="20" customHeight="1" spans="1:19">
      <c r="A446" s="42" t="s">
        <v>94</v>
      </c>
      <c r="B446" s="42" t="s">
        <v>95</v>
      </c>
      <c r="C446" s="43"/>
      <c r="D446" s="42" t="s">
        <v>49</v>
      </c>
      <c r="E446" s="42" t="s">
        <v>96</v>
      </c>
      <c r="F446" s="42" t="s">
        <v>49</v>
      </c>
      <c r="G446" s="42" t="s">
        <v>97</v>
      </c>
      <c r="H446" s="42" t="s">
        <v>98</v>
      </c>
      <c r="I446" s="42" t="s">
        <v>49</v>
      </c>
      <c r="J446" s="43"/>
      <c r="K446" s="53">
        <v>1692</v>
      </c>
      <c r="L446" s="53">
        <v>1692</v>
      </c>
      <c r="M446" s="53">
        <v>0</v>
      </c>
      <c r="N446" s="53">
        <v>0</v>
      </c>
      <c r="O446" s="53">
        <v>1692</v>
      </c>
      <c r="P446" s="54">
        <v>0.11</v>
      </c>
      <c r="Q446" s="60">
        <v>191.47</v>
      </c>
      <c r="R446" s="59"/>
      <c r="S446" s="60">
        <v>191.47</v>
      </c>
    </row>
    <row r="447" ht="20" customHeight="1" spans="1:19">
      <c r="A447" s="42" t="s">
        <v>94</v>
      </c>
      <c r="B447" s="42" t="s">
        <v>95</v>
      </c>
      <c r="C447" s="43"/>
      <c r="D447" s="42" t="s">
        <v>49</v>
      </c>
      <c r="E447" s="42" t="s">
        <v>96</v>
      </c>
      <c r="F447" s="42" t="s">
        <v>49</v>
      </c>
      <c r="G447" s="42" t="s">
        <v>97</v>
      </c>
      <c r="H447" s="42" t="s">
        <v>98</v>
      </c>
      <c r="I447" s="42" t="s">
        <v>49</v>
      </c>
      <c r="J447" s="43"/>
      <c r="K447" s="53">
        <v>8</v>
      </c>
      <c r="L447" s="53">
        <v>8</v>
      </c>
      <c r="M447" s="53">
        <v>0</v>
      </c>
      <c r="N447" s="53">
        <v>0</v>
      </c>
      <c r="O447" s="53">
        <v>8</v>
      </c>
      <c r="P447" s="54">
        <v>0.11</v>
      </c>
      <c r="Q447" s="60">
        <v>0.91</v>
      </c>
      <c r="R447" s="59"/>
      <c r="S447" s="60">
        <v>0.91</v>
      </c>
    </row>
    <row r="448" ht="20" customHeight="1" spans="1:19">
      <c r="A448" s="42" t="s">
        <v>99</v>
      </c>
      <c r="B448" s="42" t="s">
        <v>100</v>
      </c>
      <c r="C448" s="43"/>
      <c r="D448" s="42" t="s">
        <v>49</v>
      </c>
      <c r="E448" s="42" t="s">
        <v>101</v>
      </c>
      <c r="F448" s="42" t="s">
        <v>49</v>
      </c>
      <c r="G448" s="42" t="s">
        <v>102</v>
      </c>
      <c r="H448" s="42" t="s">
        <v>103</v>
      </c>
      <c r="I448" s="42" t="s">
        <v>49</v>
      </c>
      <c r="J448" s="43"/>
      <c r="K448" s="53">
        <v>19224</v>
      </c>
      <c r="L448" s="53">
        <v>19224</v>
      </c>
      <c r="M448" s="53">
        <v>0</v>
      </c>
      <c r="N448" s="53">
        <v>0</v>
      </c>
      <c r="O448" s="53">
        <v>19224</v>
      </c>
      <c r="P448" s="54">
        <v>0.01</v>
      </c>
      <c r="Q448" s="60">
        <v>139.95</v>
      </c>
      <c r="R448" s="59"/>
      <c r="S448" s="60">
        <v>139.95</v>
      </c>
    </row>
    <row r="449" ht="20" customHeight="1" spans="1:19">
      <c r="A449" s="42" t="s">
        <v>99</v>
      </c>
      <c r="B449" s="42" t="s">
        <v>100</v>
      </c>
      <c r="C449" s="43"/>
      <c r="D449" s="42" t="s">
        <v>49</v>
      </c>
      <c r="E449" s="42" t="s">
        <v>101</v>
      </c>
      <c r="F449" s="42" t="s">
        <v>49</v>
      </c>
      <c r="G449" s="42" t="s">
        <v>102</v>
      </c>
      <c r="H449" s="42" t="s">
        <v>103</v>
      </c>
      <c r="I449" s="42" t="s">
        <v>49</v>
      </c>
      <c r="J449" s="43"/>
      <c r="K449" s="53">
        <v>156</v>
      </c>
      <c r="L449" s="53">
        <v>156</v>
      </c>
      <c r="M449" s="53">
        <v>0</v>
      </c>
      <c r="N449" s="53">
        <v>0</v>
      </c>
      <c r="O449" s="53">
        <v>156</v>
      </c>
      <c r="P449" s="54">
        <v>0.01</v>
      </c>
      <c r="Q449" s="60">
        <v>1.14</v>
      </c>
      <c r="R449" s="59"/>
      <c r="S449" s="60">
        <v>1.14</v>
      </c>
    </row>
    <row r="450" ht="20" customHeight="1" spans="1:19">
      <c r="A450" s="42" t="s">
        <v>99</v>
      </c>
      <c r="B450" s="42" t="s">
        <v>100</v>
      </c>
      <c r="C450" s="43"/>
      <c r="D450" s="42" t="s">
        <v>49</v>
      </c>
      <c r="E450" s="42" t="s">
        <v>101</v>
      </c>
      <c r="F450" s="42" t="s">
        <v>49</v>
      </c>
      <c r="G450" s="42" t="s">
        <v>102</v>
      </c>
      <c r="H450" s="42" t="s">
        <v>103</v>
      </c>
      <c r="I450" s="42" t="s">
        <v>49</v>
      </c>
      <c r="J450" s="43"/>
      <c r="K450" s="53">
        <v>180</v>
      </c>
      <c r="L450" s="53">
        <v>180</v>
      </c>
      <c r="M450" s="53">
        <v>0</v>
      </c>
      <c r="N450" s="53">
        <v>0</v>
      </c>
      <c r="O450" s="53">
        <v>180</v>
      </c>
      <c r="P450" s="54">
        <v>0.01</v>
      </c>
      <c r="Q450" s="60">
        <v>1.31</v>
      </c>
      <c r="R450" s="59"/>
      <c r="S450" s="60">
        <v>1.31</v>
      </c>
    </row>
    <row r="451" ht="20" customHeight="1" spans="1:19">
      <c r="A451" s="42" t="s">
        <v>99</v>
      </c>
      <c r="B451" s="42" t="s">
        <v>100</v>
      </c>
      <c r="C451" s="43"/>
      <c r="D451" s="42" t="s">
        <v>49</v>
      </c>
      <c r="E451" s="42" t="s">
        <v>101</v>
      </c>
      <c r="F451" s="42" t="s">
        <v>49</v>
      </c>
      <c r="G451" s="42" t="s">
        <v>102</v>
      </c>
      <c r="H451" s="42" t="s">
        <v>103</v>
      </c>
      <c r="I451" s="42" t="s">
        <v>49</v>
      </c>
      <c r="J451" s="43"/>
      <c r="K451" s="53">
        <v>24</v>
      </c>
      <c r="L451" s="53">
        <v>24</v>
      </c>
      <c r="M451" s="53">
        <v>0</v>
      </c>
      <c r="N451" s="53">
        <v>0</v>
      </c>
      <c r="O451" s="53">
        <v>24</v>
      </c>
      <c r="P451" s="54">
        <v>0.01</v>
      </c>
      <c r="Q451" s="60">
        <v>0.17</v>
      </c>
      <c r="R451" s="59"/>
      <c r="S451" s="60">
        <v>0.17</v>
      </c>
    </row>
    <row r="452" ht="13" customHeight="1" spans="1:19">
      <c r="A452" s="46" t="s">
        <v>127</v>
      </c>
      <c r="B452" s="47"/>
      <c r="C452" s="47"/>
      <c r="D452" s="47"/>
      <c r="E452" s="47"/>
      <c r="F452" s="47"/>
      <c r="G452" s="47"/>
      <c r="H452" s="47"/>
      <c r="I452" s="47"/>
      <c r="J452" s="55"/>
      <c r="K452" s="46" t="s">
        <v>128</v>
      </c>
      <c r="L452" s="56">
        <v>60462</v>
      </c>
      <c r="M452" s="57">
        <v>0</v>
      </c>
      <c r="N452" s="57">
        <v>0</v>
      </c>
      <c r="O452" s="57">
        <v>60462</v>
      </c>
      <c r="P452" s="58" t="s">
        <v>49</v>
      </c>
      <c r="Q452" s="61"/>
      <c r="R452" s="61"/>
      <c r="S452" s="62">
        <v>621.22</v>
      </c>
    </row>
    <row r="453" ht="19" customHeight="1" spans="1:19">
      <c r="A453" s="42" t="s">
        <v>129</v>
      </c>
      <c r="B453" s="43"/>
      <c r="C453" s="43"/>
      <c r="D453" s="48" t="s">
        <v>130</v>
      </c>
      <c r="E453" s="49" t="s">
        <v>131</v>
      </c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55"/>
      <c r="S453" s="55"/>
    </row>
    <row r="454" ht="19" customHeight="1" spans="1:19">
      <c r="A454" s="48" t="s">
        <v>130</v>
      </c>
      <c r="B454" s="50"/>
      <c r="C454" s="50"/>
      <c r="D454" s="48" t="s">
        <v>130</v>
      </c>
      <c r="E454" s="48" t="s">
        <v>109</v>
      </c>
      <c r="F454" s="51">
        <v>700</v>
      </c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55"/>
      <c r="S454" s="55"/>
    </row>
    <row r="455" ht="12" customHeight="1" spans="1:19">
      <c r="A455" s="45" t="s">
        <v>49</v>
      </c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55"/>
      <c r="S455" s="55"/>
    </row>
    <row r="456" ht="14" customHeight="1" spans="1:19">
      <c r="A456" s="42" t="s">
        <v>64</v>
      </c>
      <c r="B456" s="43"/>
      <c r="C456" s="43"/>
      <c r="D456" s="44" t="s">
        <v>114</v>
      </c>
      <c r="E456" s="42" t="s">
        <v>66</v>
      </c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</row>
    <row r="457" ht="14" customHeight="1" spans="1:19">
      <c r="A457" s="42" t="s">
        <v>67</v>
      </c>
      <c r="B457" s="43"/>
      <c r="C457" s="43"/>
      <c r="D457" s="44" t="s">
        <v>114</v>
      </c>
      <c r="E457" s="42" t="s">
        <v>68</v>
      </c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</row>
    <row r="458" ht="14" customHeight="1" spans="1:19">
      <c r="A458" s="42" t="s">
        <v>79</v>
      </c>
      <c r="B458" s="43"/>
      <c r="C458" s="43"/>
      <c r="D458" s="44" t="s">
        <v>114</v>
      </c>
      <c r="E458" s="42" t="s">
        <v>80</v>
      </c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</row>
    <row r="459" ht="14" customHeight="1" spans="1:19">
      <c r="A459" s="42" t="s">
        <v>69</v>
      </c>
      <c r="B459" s="43"/>
      <c r="C459" s="43"/>
      <c r="D459" s="44" t="s">
        <v>114</v>
      </c>
      <c r="E459" s="42" t="s">
        <v>115</v>
      </c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</row>
    <row r="460" ht="14" customHeight="1" spans="1:19">
      <c r="A460" s="42" t="s">
        <v>116</v>
      </c>
      <c r="B460" s="43"/>
      <c r="C460" s="43"/>
      <c r="D460" s="44" t="s">
        <v>114</v>
      </c>
      <c r="E460" s="42" t="s">
        <v>155</v>
      </c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 ht="14" customHeight="1" spans="1:19">
      <c r="A461" s="42" t="s">
        <v>73</v>
      </c>
      <c r="B461" s="43"/>
      <c r="C461" s="43"/>
      <c r="D461" s="44" t="s">
        <v>114</v>
      </c>
      <c r="E461" s="42" t="s">
        <v>74</v>
      </c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</row>
    <row r="462" ht="14" customHeight="1" spans="1:19">
      <c r="A462" s="42" t="s">
        <v>75</v>
      </c>
      <c r="B462" s="43"/>
      <c r="C462" s="43"/>
      <c r="D462" s="44" t="s">
        <v>114</v>
      </c>
      <c r="E462" s="42" t="s">
        <v>76</v>
      </c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3" ht="14" customHeight="1" spans="1:19">
      <c r="A463" s="42" t="s">
        <v>77</v>
      </c>
      <c r="B463" s="43"/>
      <c r="C463" s="43"/>
      <c r="D463" s="44" t="s">
        <v>114</v>
      </c>
      <c r="E463" s="42" t="s">
        <v>78</v>
      </c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</row>
    <row r="464" ht="17" customHeight="1" spans="1:19">
      <c r="A464" s="45" t="s">
        <v>49</v>
      </c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</row>
    <row r="465" ht="14" customHeight="1" spans="1:19">
      <c r="A465" s="42" t="s">
        <v>81</v>
      </c>
      <c r="B465" s="42" t="s">
        <v>82</v>
      </c>
      <c r="C465" s="43"/>
      <c r="D465" s="42" t="s">
        <v>49</v>
      </c>
      <c r="E465" s="42" t="s">
        <v>84</v>
      </c>
      <c r="F465" s="42" t="s">
        <v>85</v>
      </c>
      <c r="G465" s="42" t="s">
        <v>86</v>
      </c>
      <c r="H465" s="42" t="s">
        <v>87</v>
      </c>
      <c r="I465" s="42" t="s">
        <v>88</v>
      </c>
      <c r="J465" s="43"/>
      <c r="K465" s="52" t="s">
        <v>118</v>
      </c>
      <c r="L465" s="52" t="s">
        <v>119</v>
      </c>
      <c r="M465" s="52" t="s">
        <v>120</v>
      </c>
      <c r="N465" s="52" t="s">
        <v>121</v>
      </c>
      <c r="O465" s="52" t="s">
        <v>122</v>
      </c>
      <c r="P465" s="52" t="s">
        <v>90</v>
      </c>
      <c r="Q465" s="52" t="s">
        <v>91</v>
      </c>
      <c r="R465" s="59"/>
      <c r="S465" s="52" t="s">
        <v>123</v>
      </c>
    </row>
    <row r="466" ht="20" customHeight="1" spans="1:19">
      <c r="A466" s="42" t="s">
        <v>124</v>
      </c>
      <c r="B466" s="42" t="s">
        <v>125</v>
      </c>
      <c r="C466" s="43"/>
      <c r="D466" s="42" t="s">
        <v>49</v>
      </c>
      <c r="E466" s="42" t="s">
        <v>126</v>
      </c>
      <c r="F466" s="42" t="s">
        <v>49</v>
      </c>
      <c r="G466" s="42" t="s">
        <v>102</v>
      </c>
      <c r="H466" s="42" t="s">
        <v>103</v>
      </c>
      <c r="I466" s="42" t="s">
        <v>49</v>
      </c>
      <c r="J466" s="43"/>
      <c r="K466" s="53">
        <v>144</v>
      </c>
      <c r="L466" s="53">
        <v>144</v>
      </c>
      <c r="M466" s="53">
        <v>0</v>
      </c>
      <c r="N466" s="53">
        <v>0</v>
      </c>
      <c r="O466" s="53">
        <v>144</v>
      </c>
      <c r="P466" s="54">
        <v>0.01</v>
      </c>
      <c r="Q466" s="60">
        <v>1.05</v>
      </c>
      <c r="R466" s="59"/>
      <c r="S466" s="60">
        <v>1.05</v>
      </c>
    </row>
    <row r="467" ht="20" customHeight="1" spans="1:19">
      <c r="A467" s="42" t="s">
        <v>124</v>
      </c>
      <c r="B467" s="42" t="s">
        <v>125</v>
      </c>
      <c r="C467" s="43"/>
      <c r="D467" s="42" t="s">
        <v>49</v>
      </c>
      <c r="E467" s="42" t="s">
        <v>126</v>
      </c>
      <c r="F467" s="42" t="s">
        <v>49</v>
      </c>
      <c r="G467" s="42" t="s">
        <v>102</v>
      </c>
      <c r="H467" s="42" t="s">
        <v>103</v>
      </c>
      <c r="I467" s="42" t="s">
        <v>49</v>
      </c>
      <c r="J467" s="43"/>
      <c r="K467" s="53">
        <v>34272</v>
      </c>
      <c r="L467" s="53">
        <v>34272</v>
      </c>
      <c r="M467" s="53">
        <v>0</v>
      </c>
      <c r="N467" s="53">
        <v>0</v>
      </c>
      <c r="O467" s="53">
        <v>34272</v>
      </c>
      <c r="P467" s="54">
        <v>0.01</v>
      </c>
      <c r="Q467" s="60">
        <v>249.5</v>
      </c>
      <c r="R467" s="59"/>
      <c r="S467" s="60">
        <v>249.5</v>
      </c>
    </row>
    <row r="468" ht="20" customHeight="1" spans="1:19">
      <c r="A468" s="42" t="s">
        <v>124</v>
      </c>
      <c r="B468" s="42" t="s">
        <v>125</v>
      </c>
      <c r="C468" s="43"/>
      <c r="D468" s="42" t="s">
        <v>49</v>
      </c>
      <c r="E468" s="42" t="s">
        <v>126</v>
      </c>
      <c r="F468" s="42" t="s">
        <v>49</v>
      </c>
      <c r="G468" s="42" t="s">
        <v>102</v>
      </c>
      <c r="H468" s="42" t="s">
        <v>103</v>
      </c>
      <c r="I468" s="42" t="s">
        <v>49</v>
      </c>
      <c r="J468" s="43"/>
      <c r="K468" s="53">
        <v>4752</v>
      </c>
      <c r="L468" s="53">
        <v>4752</v>
      </c>
      <c r="M468" s="53">
        <v>0</v>
      </c>
      <c r="N468" s="53">
        <v>0</v>
      </c>
      <c r="O468" s="53">
        <v>4752</v>
      </c>
      <c r="P468" s="54">
        <v>0.01</v>
      </c>
      <c r="Q468" s="60">
        <v>34.59</v>
      </c>
      <c r="R468" s="59"/>
      <c r="S468" s="60">
        <v>34.59</v>
      </c>
    </row>
    <row r="469" ht="20" customHeight="1" spans="1:19">
      <c r="A469" s="42" t="s">
        <v>94</v>
      </c>
      <c r="B469" s="42" t="s">
        <v>95</v>
      </c>
      <c r="C469" s="43"/>
      <c r="D469" s="42" t="s">
        <v>49</v>
      </c>
      <c r="E469" s="42" t="s">
        <v>96</v>
      </c>
      <c r="F469" s="42" t="s">
        <v>49</v>
      </c>
      <c r="G469" s="42" t="s">
        <v>97</v>
      </c>
      <c r="H469" s="42" t="s">
        <v>98</v>
      </c>
      <c r="I469" s="42" t="s">
        <v>49</v>
      </c>
      <c r="J469" s="43"/>
      <c r="K469" s="53">
        <v>10</v>
      </c>
      <c r="L469" s="53">
        <v>10</v>
      </c>
      <c r="M469" s="53">
        <v>0</v>
      </c>
      <c r="N469" s="53">
        <v>0</v>
      </c>
      <c r="O469" s="53">
        <v>10</v>
      </c>
      <c r="P469" s="54">
        <v>0.11</v>
      </c>
      <c r="Q469" s="60">
        <v>1.13</v>
      </c>
      <c r="R469" s="59"/>
      <c r="S469" s="60">
        <v>1.13</v>
      </c>
    </row>
    <row r="470" ht="20" customHeight="1" spans="1:19">
      <c r="A470" s="42" t="s">
        <v>94</v>
      </c>
      <c r="B470" s="42" t="s">
        <v>95</v>
      </c>
      <c r="C470" s="43"/>
      <c r="D470" s="42" t="s">
        <v>49</v>
      </c>
      <c r="E470" s="42" t="s">
        <v>96</v>
      </c>
      <c r="F470" s="42" t="s">
        <v>49</v>
      </c>
      <c r="G470" s="42" t="s">
        <v>97</v>
      </c>
      <c r="H470" s="42" t="s">
        <v>98</v>
      </c>
      <c r="I470" s="42" t="s">
        <v>49</v>
      </c>
      <c r="J470" s="43"/>
      <c r="K470" s="53">
        <v>1692</v>
      </c>
      <c r="L470" s="53">
        <v>1692</v>
      </c>
      <c r="M470" s="53">
        <v>0</v>
      </c>
      <c r="N470" s="53">
        <v>0</v>
      </c>
      <c r="O470" s="53">
        <v>1692</v>
      </c>
      <c r="P470" s="54">
        <v>0.11</v>
      </c>
      <c r="Q470" s="60">
        <v>191.47</v>
      </c>
      <c r="R470" s="59"/>
      <c r="S470" s="60">
        <v>191.47</v>
      </c>
    </row>
    <row r="471" ht="20" customHeight="1" spans="1:19">
      <c r="A471" s="42" t="s">
        <v>94</v>
      </c>
      <c r="B471" s="42" t="s">
        <v>95</v>
      </c>
      <c r="C471" s="43"/>
      <c r="D471" s="42" t="s">
        <v>49</v>
      </c>
      <c r="E471" s="42" t="s">
        <v>96</v>
      </c>
      <c r="F471" s="42" t="s">
        <v>49</v>
      </c>
      <c r="G471" s="42" t="s">
        <v>97</v>
      </c>
      <c r="H471" s="42" t="s">
        <v>98</v>
      </c>
      <c r="I471" s="42" t="s">
        <v>49</v>
      </c>
      <c r="J471" s="43"/>
      <c r="K471" s="53">
        <v>8</v>
      </c>
      <c r="L471" s="53">
        <v>8</v>
      </c>
      <c r="M471" s="53">
        <v>0</v>
      </c>
      <c r="N471" s="53">
        <v>0</v>
      </c>
      <c r="O471" s="53">
        <v>8</v>
      </c>
      <c r="P471" s="54">
        <v>0.11</v>
      </c>
      <c r="Q471" s="60">
        <v>0.91</v>
      </c>
      <c r="R471" s="59"/>
      <c r="S471" s="60">
        <v>0.91</v>
      </c>
    </row>
    <row r="472" ht="20" customHeight="1" spans="1:19">
      <c r="A472" s="42" t="s">
        <v>99</v>
      </c>
      <c r="B472" s="42" t="s">
        <v>100</v>
      </c>
      <c r="C472" s="43"/>
      <c r="D472" s="42" t="s">
        <v>49</v>
      </c>
      <c r="E472" s="42" t="s">
        <v>101</v>
      </c>
      <c r="F472" s="42" t="s">
        <v>49</v>
      </c>
      <c r="G472" s="42" t="s">
        <v>102</v>
      </c>
      <c r="H472" s="42" t="s">
        <v>103</v>
      </c>
      <c r="I472" s="42" t="s">
        <v>49</v>
      </c>
      <c r="J472" s="43"/>
      <c r="K472" s="53">
        <v>19224</v>
      </c>
      <c r="L472" s="53">
        <v>19224</v>
      </c>
      <c r="M472" s="53">
        <v>0</v>
      </c>
      <c r="N472" s="53">
        <v>0</v>
      </c>
      <c r="O472" s="53">
        <v>19224</v>
      </c>
      <c r="P472" s="54">
        <v>0.01</v>
      </c>
      <c r="Q472" s="60">
        <v>139.95</v>
      </c>
      <c r="R472" s="59"/>
      <c r="S472" s="60">
        <v>139.95</v>
      </c>
    </row>
    <row r="473" ht="20" customHeight="1" spans="1:19">
      <c r="A473" s="42" t="s">
        <v>99</v>
      </c>
      <c r="B473" s="42" t="s">
        <v>100</v>
      </c>
      <c r="C473" s="43"/>
      <c r="D473" s="42" t="s">
        <v>49</v>
      </c>
      <c r="E473" s="42" t="s">
        <v>101</v>
      </c>
      <c r="F473" s="42" t="s">
        <v>49</v>
      </c>
      <c r="G473" s="42" t="s">
        <v>102</v>
      </c>
      <c r="H473" s="42" t="s">
        <v>103</v>
      </c>
      <c r="I473" s="42" t="s">
        <v>49</v>
      </c>
      <c r="J473" s="43"/>
      <c r="K473" s="53">
        <v>156</v>
      </c>
      <c r="L473" s="53">
        <v>156</v>
      </c>
      <c r="M473" s="53">
        <v>0</v>
      </c>
      <c r="N473" s="53">
        <v>0</v>
      </c>
      <c r="O473" s="53">
        <v>156</v>
      </c>
      <c r="P473" s="54">
        <v>0.01</v>
      </c>
      <c r="Q473" s="60">
        <v>1.14</v>
      </c>
      <c r="R473" s="59"/>
      <c r="S473" s="60">
        <v>1.14</v>
      </c>
    </row>
    <row r="474" ht="20" customHeight="1" spans="1:19">
      <c r="A474" s="42" t="s">
        <v>99</v>
      </c>
      <c r="B474" s="42" t="s">
        <v>100</v>
      </c>
      <c r="C474" s="43"/>
      <c r="D474" s="42" t="s">
        <v>49</v>
      </c>
      <c r="E474" s="42" t="s">
        <v>101</v>
      </c>
      <c r="F474" s="42" t="s">
        <v>49</v>
      </c>
      <c r="G474" s="42" t="s">
        <v>102</v>
      </c>
      <c r="H474" s="42" t="s">
        <v>103</v>
      </c>
      <c r="I474" s="42" t="s">
        <v>49</v>
      </c>
      <c r="J474" s="43"/>
      <c r="K474" s="53">
        <v>180</v>
      </c>
      <c r="L474" s="53">
        <v>180</v>
      </c>
      <c r="M474" s="53">
        <v>0</v>
      </c>
      <c r="N474" s="53">
        <v>0</v>
      </c>
      <c r="O474" s="53">
        <v>180</v>
      </c>
      <c r="P474" s="54">
        <v>0.01</v>
      </c>
      <c r="Q474" s="60">
        <v>1.31</v>
      </c>
      <c r="R474" s="59"/>
      <c r="S474" s="60">
        <v>1.31</v>
      </c>
    </row>
    <row r="475" ht="20" customHeight="1" spans="1:19">
      <c r="A475" s="42" t="s">
        <v>99</v>
      </c>
      <c r="B475" s="42" t="s">
        <v>100</v>
      </c>
      <c r="C475" s="43"/>
      <c r="D475" s="42" t="s">
        <v>49</v>
      </c>
      <c r="E475" s="42" t="s">
        <v>101</v>
      </c>
      <c r="F475" s="42" t="s">
        <v>49</v>
      </c>
      <c r="G475" s="42" t="s">
        <v>102</v>
      </c>
      <c r="H475" s="42" t="s">
        <v>103</v>
      </c>
      <c r="I475" s="42" t="s">
        <v>49</v>
      </c>
      <c r="J475" s="43"/>
      <c r="K475" s="53">
        <v>24</v>
      </c>
      <c r="L475" s="53">
        <v>24</v>
      </c>
      <c r="M475" s="53">
        <v>0</v>
      </c>
      <c r="N475" s="53">
        <v>0</v>
      </c>
      <c r="O475" s="53">
        <v>24</v>
      </c>
      <c r="P475" s="54">
        <v>0.01</v>
      </c>
      <c r="Q475" s="60">
        <v>0.17</v>
      </c>
      <c r="R475" s="59"/>
      <c r="S475" s="60">
        <v>0.17</v>
      </c>
    </row>
    <row r="476" ht="13" customHeight="1" spans="1:19">
      <c r="A476" s="46" t="s">
        <v>127</v>
      </c>
      <c r="B476" s="47"/>
      <c r="C476" s="47"/>
      <c r="D476" s="47"/>
      <c r="E476" s="47"/>
      <c r="F476" s="47"/>
      <c r="G476" s="47"/>
      <c r="H476" s="47"/>
      <c r="I476" s="47"/>
      <c r="J476" s="55"/>
      <c r="K476" s="46" t="s">
        <v>128</v>
      </c>
      <c r="L476" s="56">
        <v>60462</v>
      </c>
      <c r="M476" s="57">
        <v>0</v>
      </c>
      <c r="N476" s="57">
        <v>0</v>
      </c>
      <c r="O476" s="57">
        <v>60462</v>
      </c>
      <c r="P476" s="58" t="s">
        <v>49</v>
      </c>
      <c r="Q476" s="61"/>
      <c r="R476" s="61"/>
      <c r="S476" s="62">
        <v>621.22</v>
      </c>
    </row>
    <row r="477" ht="19" customHeight="1" spans="1:19">
      <c r="A477" s="42" t="s">
        <v>129</v>
      </c>
      <c r="B477" s="43"/>
      <c r="C477" s="43"/>
      <c r="D477" s="48" t="s">
        <v>130</v>
      </c>
      <c r="E477" s="49" t="s">
        <v>131</v>
      </c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55"/>
      <c r="S477" s="55"/>
    </row>
    <row r="478" ht="19" customHeight="1" spans="1:19">
      <c r="A478" s="48" t="s">
        <v>130</v>
      </c>
      <c r="B478" s="50"/>
      <c r="C478" s="50"/>
      <c r="D478" s="48" t="s">
        <v>130</v>
      </c>
      <c r="E478" s="48" t="s">
        <v>109</v>
      </c>
      <c r="F478" s="51">
        <v>700</v>
      </c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55"/>
      <c r="S478" s="55"/>
    </row>
    <row r="479" ht="12" customHeight="1" spans="1:19">
      <c r="A479" s="45" t="s">
        <v>49</v>
      </c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55"/>
      <c r="S479" s="55"/>
    </row>
    <row r="480" ht="14" customHeight="1" spans="1:19">
      <c r="A480" s="42" t="s">
        <v>64</v>
      </c>
      <c r="B480" s="43"/>
      <c r="C480" s="43"/>
      <c r="D480" s="44" t="s">
        <v>114</v>
      </c>
      <c r="E480" s="42" t="s">
        <v>66</v>
      </c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</row>
    <row r="481" ht="14" customHeight="1" spans="1:19">
      <c r="A481" s="42" t="s">
        <v>67</v>
      </c>
      <c r="B481" s="43"/>
      <c r="C481" s="43"/>
      <c r="D481" s="44" t="s">
        <v>114</v>
      </c>
      <c r="E481" s="42" t="s">
        <v>68</v>
      </c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</row>
    <row r="482" ht="14" customHeight="1" spans="1:19">
      <c r="A482" s="42" t="s">
        <v>79</v>
      </c>
      <c r="B482" s="43"/>
      <c r="C482" s="43"/>
      <c r="D482" s="44" t="s">
        <v>114</v>
      </c>
      <c r="E482" s="42" t="s">
        <v>80</v>
      </c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</row>
    <row r="483" ht="14" customHeight="1" spans="1:19">
      <c r="A483" s="42" t="s">
        <v>69</v>
      </c>
      <c r="B483" s="43"/>
      <c r="C483" s="43"/>
      <c r="D483" s="44" t="s">
        <v>114</v>
      </c>
      <c r="E483" s="42" t="s">
        <v>115</v>
      </c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</row>
    <row r="484" ht="14" customHeight="1" spans="1:19">
      <c r="A484" s="42" t="s">
        <v>116</v>
      </c>
      <c r="B484" s="43"/>
      <c r="C484" s="43"/>
      <c r="D484" s="44" t="s">
        <v>114</v>
      </c>
      <c r="E484" s="42" t="s">
        <v>156</v>
      </c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</row>
    <row r="485" ht="14" customHeight="1" spans="1:19">
      <c r="A485" s="42" t="s">
        <v>73</v>
      </c>
      <c r="B485" s="43"/>
      <c r="C485" s="43"/>
      <c r="D485" s="44" t="s">
        <v>114</v>
      </c>
      <c r="E485" s="42" t="s">
        <v>74</v>
      </c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</row>
    <row r="486" ht="14" customHeight="1" spans="1:19">
      <c r="A486" s="42" t="s">
        <v>75</v>
      </c>
      <c r="B486" s="43"/>
      <c r="C486" s="43"/>
      <c r="D486" s="44" t="s">
        <v>114</v>
      </c>
      <c r="E486" s="42" t="s">
        <v>76</v>
      </c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</row>
    <row r="487" ht="14" customHeight="1" spans="1:19">
      <c r="A487" s="42" t="s">
        <v>77</v>
      </c>
      <c r="B487" s="43"/>
      <c r="C487" s="43"/>
      <c r="D487" s="44" t="s">
        <v>114</v>
      </c>
      <c r="E487" s="42" t="s">
        <v>78</v>
      </c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</row>
    <row r="488" ht="17" customHeight="1" spans="1:19">
      <c r="A488" s="45" t="s">
        <v>49</v>
      </c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</row>
    <row r="489" ht="14" customHeight="1" spans="1:19">
      <c r="A489" s="42" t="s">
        <v>81</v>
      </c>
      <c r="B489" s="42" t="s">
        <v>82</v>
      </c>
      <c r="C489" s="43"/>
      <c r="D489" s="42" t="s">
        <v>49</v>
      </c>
      <c r="E489" s="42" t="s">
        <v>84</v>
      </c>
      <c r="F489" s="42" t="s">
        <v>85</v>
      </c>
      <c r="G489" s="42" t="s">
        <v>86</v>
      </c>
      <c r="H489" s="42" t="s">
        <v>87</v>
      </c>
      <c r="I489" s="42" t="s">
        <v>88</v>
      </c>
      <c r="J489" s="43"/>
      <c r="K489" s="52" t="s">
        <v>118</v>
      </c>
      <c r="L489" s="52" t="s">
        <v>119</v>
      </c>
      <c r="M489" s="52" t="s">
        <v>120</v>
      </c>
      <c r="N489" s="52" t="s">
        <v>121</v>
      </c>
      <c r="O489" s="52" t="s">
        <v>122</v>
      </c>
      <c r="P489" s="52" t="s">
        <v>90</v>
      </c>
      <c r="Q489" s="52" t="s">
        <v>91</v>
      </c>
      <c r="R489" s="59"/>
      <c r="S489" s="52" t="s">
        <v>123</v>
      </c>
    </row>
    <row r="490" ht="20" customHeight="1" spans="1:19">
      <c r="A490" s="42" t="s">
        <v>124</v>
      </c>
      <c r="B490" s="42" t="s">
        <v>125</v>
      </c>
      <c r="C490" s="43"/>
      <c r="D490" s="42" t="s">
        <v>49</v>
      </c>
      <c r="E490" s="42" t="s">
        <v>126</v>
      </c>
      <c r="F490" s="42" t="s">
        <v>49</v>
      </c>
      <c r="G490" s="42" t="s">
        <v>102</v>
      </c>
      <c r="H490" s="42" t="s">
        <v>103</v>
      </c>
      <c r="I490" s="42" t="s">
        <v>49</v>
      </c>
      <c r="J490" s="43"/>
      <c r="K490" s="53">
        <v>144</v>
      </c>
      <c r="L490" s="53">
        <v>144</v>
      </c>
      <c r="M490" s="53">
        <v>0</v>
      </c>
      <c r="N490" s="53">
        <v>0</v>
      </c>
      <c r="O490" s="53">
        <v>144</v>
      </c>
      <c r="P490" s="54">
        <v>0.01</v>
      </c>
      <c r="Q490" s="60">
        <v>1.05</v>
      </c>
      <c r="R490" s="59"/>
      <c r="S490" s="60">
        <v>1.05</v>
      </c>
    </row>
    <row r="491" ht="20" customHeight="1" spans="1:19">
      <c r="A491" s="42" t="s">
        <v>124</v>
      </c>
      <c r="B491" s="42" t="s">
        <v>125</v>
      </c>
      <c r="C491" s="43"/>
      <c r="D491" s="42" t="s">
        <v>49</v>
      </c>
      <c r="E491" s="42" t="s">
        <v>126</v>
      </c>
      <c r="F491" s="42" t="s">
        <v>49</v>
      </c>
      <c r="G491" s="42" t="s">
        <v>102</v>
      </c>
      <c r="H491" s="42" t="s">
        <v>103</v>
      </c>
      <c r="I491" s="42" t="s">
        <v>49</v>
      </c>
      <c r="J491" s="43"/>
      <c r="K491" s="53">
        <v>34272</v>
      </c>
      <c r="L491" s="53">
        <v>34272</v>
      </c>
      <c r="M491" s="53">
        <v>0</v>
      </c>
      <c r="N491" s="53">
        <v>0</v>
      </c>
      <c r="O491" s="53">
        <v>34272</v>
      </c>
      <c r="P491" s="54">
        <v>0.01</v>
      </c>
      <c r="Q491" s="60">
        <v>249.5</v>
      </c>
      <c r="R491" s="59"/>
      <c r="S491" s="60">
        <v>249.5</v>
      </c>
    </row>
    <row r="492" ht="20" customHeight="1" spans="1:19">
      <c r="A492" s="42" t="s">
        <v>124</v>
      </c>
      <c r="B492" s="42" t="s">
        <v>125</v>
      </c>
      <c r="C492" s="43"/>
      <c r="D492" s="42" t="s">
        <v>49</v>
      </c>
      <c r="E492" s="42" t="s">
        <v>126</v>
      </c>
      <c r="F492" s="42" t="s">
        <v>49</v>
      </c>
      <c r="G492" s="42" t="s">
        <v>102</v>
      </c>
      <c r="H492" s="42" t="s">
        <v>103</v>
      </c>
      <c r="I492" s="42" t="s">
        <v>49</v>
      </c>
      <c r="J492" s="43"/>
      <c r="K492" s="53">
        <v>4752</v>
      </c>
      <c r="L492" s="53">
        <v>4752</v>
      </c>
      <c r="M492" s="53">
        <v>0</v>
      </c>
      <c r="N492" s="53">
        <v>0</v>
      </c>
      <c r="O492" s="53">
        <v>4752</v>
      </c>
      <c r="P492" s="54">
        <v>0.01</v>
      </c>
      <c r="Q492" s="60">
        <v>34.59</v>
      </c>
      <c r="R492" s="59"/>
      <c r="S492" s="60">
        <v>34.59</v>
      </c>
    </row>
    <row r="493" ht="20" customHeight="1" spans="1:19">
      <c r="A493" s="42" t="s">
        <v>94</v>
      </c>
      <c r="B493" s="42" t="s">
        <v>95</v>
      </c>
      <c r="C493" s="43"/>
      <c r="D493" s="42" t="s">
        <v>49</v>
      </c>
      <c r="E493" s="42" t="s">
        <v>96</v>
      </c>
      <c r="F493" s="42" t="s">
        <v>49</v>
      </c>
      <c r="G493" s="42" t="s">
        <v>97</v>
      </c>
      <c r="H493" s="42" t="s">
        <v>98</v>
      </c>
      <c r="I493" s="42" t="s">
        <v>49</v>
      </c>
      <c r="J493" s="43"/>
      <c r="K493" s="53">
        <v>10</v>
      </c>
      <c r="L493" s="53">
        <v>10</v>
      </c>
      <c r="M493" s="53">
        <v>0</v>
      </c>
      <c r="N493" s="53">
        <v>0</v>
      </c>
      <c r="O493" s="53">
        <v>10</v>
      </c>
      <c r="P493" s="54">
        <v>0.11</v>
      </c>
      <c r="Q493" s="60">
        <v>1.13</v>
      </c>
      <c r="R493" s="59"/>
      <c r="S493" s="60">
        <v>1.13</v>
      </c>
    </row>
    <row r="494" ht="20" customHeight="1" spans="1:19">
      <c r="A494" s="42" t="s">
        <v>94</v>
      </c>
      <c r="B494" s="42" t="s">
        <v>95</v>
      </c>
      <c r="C494" s="43"/>
      <c r="D494" s="42" t="s">
        <v>49</v>
      </c>
      <c r="E494" s="42" t="s">
        <v>96</v>
      </c>
      <c r="F494" s="42" t="s">
        <v>49</v>
      </c>
      <c r="G494" s="42" t="s">
        <v>97</v>
      </c>
      <c r="H494" s="42" t="s">
        <v>98</v>
      </c>
      <c r="I494" s="42" t="s">
        <v>49</v>
      </c>
      <c r="J494" s="43"/>
      <c r="K494" s="53">
        <v>1692</v>
      </c>
      <c r="L494" s="53">
        <v>1692</v>
      </c>
      <c r="M494" s="53">
        <v>0</v>
      </c>
      <c r="N494" s="53">
        <v>0</v>
      </c>
      <c r="O494" s="53">
        <v>1692</v>
      </c>
      <c r="P494" s="54">
        <v>0.11</v>
      </c>
      <c r="Q494" s="60">
        <v>191.47</v>
      </c>
      <c r="R494" s="59"/>
      <c r="S494" s="60">
        <v>191.47</v>
      </c>
    </row>
    <row r="495" ht="20" customHeight="1" spans="1:19">
      <c r="A495" s="42" t="s">
        <v>94</v>
      </c>
      <c r="B495" s="42" t="s">
        <v>95</v>
      </c>
      <c r="C495" s="43"/>
      <c r="D495" s="42" t="s">
        <v>49</v>
      </c>
      <c r="E495" s="42" t="s">
        <v>96</v>
      </c>
      <c r="F495" s="42" t="s">
        <v>49</v>
      </c>
      <c r="G495" s="42" t="s">
        <v>97</v>
      </c>
      <c r="H495" s="42" t="s">
        <v>98</v>
      </c>
      <c r="I495" s="42" t="s">
        <v>49</v>
      </c>
      <c r="J495" s="43"/>
      <c r="K495" s="53">
        <v>8</v>
      </c>
      <c r="L495" s="53">
        <v>8</v>
      </c>
      <c r="M495" s="53">
        <v>0</v>
      </c>
      <c r="N495" s="53">
        <v>0</v>
      </c>
      <c r="O495" s="53">
        <v>8</v>
      </c>
      <c r="P495" s="54">
        <v>0.11</v>
      </c>
      <c r="Q495" s="60">
        <v>0.91</v>
      </c>
      <c r="R495" s="59"/>
      <c r="S495" s="60">
        <v>0.91</v>
      </c>
    </row>
    <row r="496" ht="20" customHeight="1" spans="1:19">
      <c r="A496" s="42" t="s">
        <v>99</v>
      </c>
      <c r="B496" s="42" t="s">
        <v>100</v>
      </c>
      <c r="C496" s="43"/>
      <c r="D496" s="42" t="s">
        <v>49</v>
      </c>
      <c r="E496" s="42" t="s">
        <v>101</v>
      </c>
      <c r="F496" s="42" t="s">
        <v>49</v>
      </c>
      <c r="G496" s="42" t="s">
        <v>102</v>
      </c>
      <c r="H496" s="42" t="s">
        <v>103</v>
      </c>
      <c r="I496" s="42" t="s">
        <v>49</v>
      </c>
      <c r="J496" s="43"/>
      <c r="K496" s="53">
        <v>19224</v>
      </c>
      <c r="L496" s="53">
        <v>19224</v>
      </c>
      <c r="M496" s="53">
        <v>0</v>
      </c>
      <c r="N496" s="53">
        <v>0</v>
      </c>
      <c r="O496" s="53">
        <v>19224</v>
      </c>
      <c r="P496" s="54">
        <v>0.01</v>
      </c>
      <c r="Q496" s="60">
        <v>139.95</v>
      </c>
      <c r="R496" s="59"/>
      <c r="S496" s="60">
        <v>139.95</v>
      </c>
    </row>
    <row r="497" ht="20" customHeight="1" spans="1:19">
      <c r="A497" s="42" t="s">
        <v>99</v>
      </c>
      <c r="B497" s="42" t="s">
        <v>100</v>
      </c>
      <c r="C497" s="43"/>
      <c r="D497" s="42" t="s">
        <v>49</v>
      </c>
      <c r="E497" s="42" t="s">
        <v>101</v>
      </c>
      <c r="F497" s="42" t="s">
        <v>49</v>
      </c>
      <c r="G497" s="42" t="s">
        <v>102</v>
      </c>
      <c r="H497" s="42" t="s">
        <v>103</v>
      </c>
      <c r="I497" s="42" t="s">
        <v>49</v>
      </c>
      <c r="J497" s="43"/>
      <c r="K497" s="53">
        <v>156</v>
      </c>
      <c r="L497" s="53">
        <v>156</v>
      </c>
      <c r="M497" s="53">
        <v>0</v>
      </c>
      <c r="N497" s="53">
        <v>0</v>
      </c>
      <c r="O497" s="53">
        <v>156</v>
      </c>
      <c r="P497" s="54">
        <v>0.01</v>
      </c>
      <c r="Q497" s="60">
        <v>1.14</v>
      </c>
      <c r="R497" s="59"/>
      <c r="S497" s="60">
        <v>1.14</v>
      </c>
    </row>
    <row r="498" ht="20" customHeight="1" spans="1:19">
      <c r="A498" s="42" t="s">
        <v>99</v>
      </c>
      <c r="B498" s="42" t="s">
        <v>100</v>
      </c>
      <c r="C498" s="43"/>
      <c r="D498" s="42" t="s">
        <v>49</v>
      </c>
      <c r="E498" s="42" t="s">
        <v>101</v>
      </c>
      <c r="F498" s="42" t="s">
        <v>49</v>
      </c>
      <c r="G498" s="42" t="s">
        <v>102</v>
      </c>
      <c r="H498" s="42" t="s">
        <v>103</v>
      </c>
      <c r="I498" s="42" t="s">
        <v>49</v>
      </c>
      <c r="J498" s="43"/>
      <c r="K498" s="53">
        <v>180</v>
      </c>
      <c r="L498" s="53">
        <v>180</v>
      </c>
      <c r="M498" s="53">
        <v>0</v>
      </c>
      <c r="N498" s="53">
        <v>0</v>
      </c>
      <c r="O498" s="53">
        <v>180</v>
      </c>
      <c r="P498" s="54">
        <v>0.01</v>
      </c>
      <c r="Q498" s="60">
        <v>1.31</v>
      </c>
      <c r="R498" s="59"/>
      <c r="S498" s="60">
        <v>1.31</v>
      </c>
    </row>
    <row r="499" ht="20" customHeight="1" spans="1:19">
      <c r="A499" s="42" t="s">
        <v>99</v>
      </c>
      <c r="B499" s="42" t="s">
        <v>100</v>
      </c>
      <c r="C499" s="43"/>
      <c r="D499" s="42" t="s">
        <v>49</v>
      </c>
      <c r="E499" s="42" t="s">
        <v>101</v>
      </c>
      <c r="F499" s="42" t="s">
        <v>49</v>
      </c>
      <c r="G499" s="42" t="s">
        <v>102</v>
      </c>
      <c r="H499" s="42" t="s">
        <v>103</v>
      </c>
      <c r="I499" s="42" t="s">
        <v>49</v>
      </c>
      <c r="J499" s="43"/>
      <c r="K499" s="53">
        <v>24</v>
      </c>
      <c r="L499" s="53">
        <v>24</v>
      </c>
      <c r="M499" s="53">
        <v>0</v>
      </c>
      <c r="N499" s="53">
        <v>0</v>
      </c>
      <c r="O499" s="53">
        <v>24</v>
      </c>
      <c r="P499" s="54">
        <v>0.01</v>
      </c>
      <c r="Q499" s="60">
        <v>0.17</v>
      </c>
      <c r="R499" s="59"/>
      <c r="S499" s="60">
        <v>0.17</v>
      </c>
    </row>
    <row r="500" ht="13" customHeight="1" spans="1:19">
      <c r="A500" s="46" t="s">
        <v>127</v>
      </c>
      <c r="B500" s="47"/>
      <c r="C500" s="47"/>
      <c r="D500" s="47"/>
      <c r="E500" s="47"/>
      <c r="F500" s="47"/>
      <c r="G500" s="47"/>
      <c r="H500" s="47"/>
      <c r="I500" s="47"/>
      <c r="J500" s="55"/>
      <c r="K500" s="46" t="s">
        <v>128</v>
      </c>
      <c r="L500" s="56">
        <v>60462</v>
      </c>
      <c r="M500" s="57">
        <v>0</v>
      </c>
      <c r="N500" s="57">
        <v>0</v>
      </c>
      <c r="O500" s="57">
        <v>60462</v>
      </c>
      <c r="P500" s="58" t="s">
        <v>49</v>
      </c>
      <c r="Q500" s="61"/>
      <c r="R500" s="61"/>
      <c r="S500" s="62">
        <v>621.22</v>
      </c>
    </row>
    <row r="501" ht="19" customHeight="1" spans="1:19">
      <c r="A501" s="42" t="s">
        <v>129</v>
      </c>
      <c r="B501" s="43"/>
      <c r="C501" s="43"/>
      <c r="D501" s="48" t="s">
        <v>130</v>
      </c>
      <c r="E501" s="49" t="s">
        <v>131</v>
      </c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55"/>
      <c r="S501" s="55"/>
    </row>
    <row r="502" ht="19" customHeight="1" spans="1:19">
      <c r="A502" s="48" t="s">
        <v>130</v>
      </c>
      <c r="B502" s="50"/>
      <c r="C502" s="50"/>
      <c r="D502" s="48" t="s">
        <v>130</v>
      </c>
      <c r="E502" s="48" t="s">
        <v>109</v>
      </c>
      <c r="F502" s="51">
        <v>700</v>
      </c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55"/>
      <c r="S502" s="55"/>
    </row>
    <row r="503" ht="12" customHeight="1" spans="1:19">
      <c r="A503" s="45" t="s">
        <v>49</v>
      </c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55"/>
      <c r="S503" s="55"/>
    </row>
    <row r="504" ht="14" customHeight="1" spans="1:19">
      <c r="A504" s="42" t="s">
        <v>64</v>
      </c>
      <c r="B504" s="43"/>
      <c r="C504" s="43"/>
      <c r="D504" s="44" t="s">
        <v>114</v>
      </c>
      <c r="E504" s="42" t="s">
        <v>66</v>
      </c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</row>
    <row r="505" ht="14" customHeight="1" spans="1:19">
      <c r="A505" s="42" t="s">
        <v>67</v>
      </c>
      <c r="B505" s="43"/>
      <c r="C505" s="43"/>
      <c r="D505" s="44" t="s">
        <v>114</v>
      </c>
      <c r="E505" s="42" t="s">
        <v>68</v>
      </c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</row>
    <row r="506" ht="14" customHeight="1" spans="1:19">
      <c r="A506" s="42" t="s">
        <v>79</v>
      </c>
      <c r="B506" s="43"/>
      <c r="C506" s="43"/>
      <c r="D506" s="44" t="s">
        <v>114</v>
      </c>
      <c r="E506" s="42" t="s">
        <v>80</v>
      </c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</row>
    <row r="507" ht="14" customHeight="1" spans="1:19">
      <c r="A507" s="42" t="s">
        <v>69</v>
      </c>
      <c r="B507" s="43"/>
      <c r="C507" s="43"/>
      <c r="D507" s="44" t="s">
        <v>114</v>
      </c>
      <c r="E507" s="42" t="s">
        <v>115</v>
      </c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</row>
    <row r="508" ht="14" customHeight="1" spans="1:19">
      <c r="A508" s="42" t="s">
        <v>116</v>
      </c>
      <c r="B508" s="43"/>
      <c r="C508" s="43"/>
      <c r="D508" s="44" t="s">
        <v>114</v>
      </c>
      <c r="E508" s="42" t="s">
        <v>157</v>
      </c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</row>
    <row r="509" ht="14" customHeight="1" spans="1:19">
      <c r="A509" s="42" t="s">
        <v>73</v>
      </c>
      <c r="B509" s="43"/>
      <c r="C509" s="43"/>
      <c r="D509" s="44" t="s">
        <v>114</v>
      </c>
      <c r="E509" s="42" t="s">
        <v>74</v>
      </c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</row>
    <row r="510" ht="14" customHeight="1" spans="1:19">
      <c r="A510" s="42" t="s">
        <v>75</v>
      </c>
      <c r="B510" s="43"/>
      <c r="C510" s="43"/>
      <c r="D510" s="44" t="s">
        <v>114</v>
      </c>
      <c r="E510" s="42" t="s">
        <v>76</v>
      </c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</row>
    <row r="511" ht="14" customHeight="1" spans="1:19">
      <c r="A511" s="42" t="s">
        <v>77</v>
      </c>
      <c r="B511" s="43"/>
      <c r="C511" s="43"/>
      <c r="D511" s="44" t="s">
        <v>114</v>
      </c>
      <c r="E511" s="42" t="s">
        <v>78</v>
      </c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</row>
    <row r="512" ht="17" customHeight="1" spans="1:19">
      <c r="A512" s="45" t="s">
        <v>49</v>
      </c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</row>
    <row r="513" ht="14" customHeight="1" spans="1:19">
      <c r="A513" s="42" t="s">
        <v>81</v>
      </c>
      <c r="B513" s="42" t="s">
        <v>82</v>
      </c>
      <c r="C513" s="43"/>
      <c r="D513" s="42" t="s">
        <v>49</v>
      </c>
      <c r="E513" s="42" t="s">
        <v>84</v>
      </c>
      <c r="F513" s="42" t="s">
        <v>85</v>
      </c>
      <c r="G513" s="42" t="s">
        <v>86</v>
      </c>
      <c r="H513" s="42" t="s">
        <v>87</v>
      </c>
      <c r="I513" s="42" t="s">
        <v>88</v>
      </c>
      <c r="J513" s="43"/>
      <c r="K513" s="52" t="s">
        <v>118</v>
      </c>
      <c r="L513" s="52" t="s">
        <v>119</v>
      </c>
      <c r="M513" s="52" t="s">
        <v>120</v>
      </c>
      <c r="N513" s="52" t="s">
        <v>121</v>
      </c>
      <c r="O513" s="52" t="s">
        <v>122</v>
      </c>
      <c r="P513" s="52" t="s">
        <v>90</v>
      </c>
      <c r="Q513" s="52" t="s">
        <v>91</v>
      </c>
      <c r="R513" s="59"/>
      <c r="S513" s="52" t="s">
        <v>123</v>
      </c>
    </row>
    <row r="514" ht="20" customHeight="1" spans="1:19">
      <c r="A514" s="42" t="s">
        <v>124</v>
      </c>
      <c r="B514" s="42" t="s">
        <v>125</v>
      </c>
      <c r="C514" s="43"/>
      <c r="D514" s="42" t="s">
        <v>49</v>
      </c>
      <c r="E514" s="42" t="s">
        <v>126</v>
      </c>
      <c r="F514" s="42" t="s">
        <v>49</v>
      </c>
      <c r="G514" s="42" t="s">
        <v>102</v>
      </c>
      <c r="H514" s="42" t="s">
        <v>103</v>
      </c>
      <c r="I514" s="42" t="s">
        <v>49</v>
      </c>
      <c r="J514" s="43"/>
      <c r="K514" s="53">
        <v>144</v>
      </c>
      <c r="L514" s="53">
        <v>144</v>
      </c>
      <c r="M514" s="53">
        <v>0</v>
      </c>
      <c r="N514" s="53">
        <v>0</v>
      </c>
      <c r="O514" s="53">
        <v>144</v>
      </c>
      <c r="P514" s="54">
        <v>0.01</v>
      </c>
      <c r="Q514" s="60">
        <v>1.05</v>
      </c>
      <c r="R514" s="59"/>
      <c r="S514" s="60">
        <v>1.05</v>
      </c>
    </row>
    <row r="515" ht="20" customHeight="1" spans="1:19">
      <c r="A515" s="42" t="s">
        <v>124</v>
      </c>
      <c r="B515" s="42" t="s">
        <v>125</v>
      </c>
      <c r="C515" s="43"/>
      <c r="D515" s="42" t="s">
        <v>49</v>
      </c>
      <c r="E515" s="42" t="s">
        <v>126</v>
      </c>
      <c r="F515" s="42" t="s">
        <v>49</v>
      </c>
      <c r="G515" s="42" t="s">
        <v>102</v>
      </c>
      <c r="H515" s="42" t="s">
        <v>103</v>
      </c>
      <c r="I515" s="42" t="s">
        <v>49</v>
      </c>
      <c r="J515" s="43"/>
      <c r="K515" s="53">
        <v>34272</v>
      </c>
      <c r="L515" s="53">
        <v>34272</v>
      </c>
      <c r="M515" s="53">
        <v>0</v>
      </c>
      <c r="N515" s="53">
        <v>0</v>
      </c>
      <c r="O515" s="53">
        <v>34272</v>
      </c>
      <c r="P515" s="54">
        <v>0.01</v>
      </c>
      <c r="Q515" s="60">
        <v>249.5</v>
      </c>
      <c r="R515" s="59"/>
      <c r="S515" s="60">
        <v>249.5</v>
      </c>
    </row>
    <row r="516" ht="20" customHeight="1" spans="1:19">
      <c r="A516" s="42" t="s">
        <v>124</v>
      </c>
      <c r="B516" s="42" t="s">
        <v>125</v>
      </c>
      <c r="C516" s="43"/>
      <c r="D516" s="42" t="s">
        <v>49</v>
      </c>
      <c r="E516" s="42" t="s">
        <v>126</v>
      </c>
      <c r="F516" s="42" t="s">
        <v>49</v>
      </c>
      <c r="G516" s="42" t="s">
        <v>102</v>
      </c>
      <c r="H516" s="42" t="s">
        <v>103</v>
      </c>
      <c r="I516" s="42" t="s">
        <v>49</v>
      </c>
      <c r="J516" s="43"/>
      <c r="K516" s="53">
        <v>4752</v>
      </c>
      <c r="L516" s="53">
        <v>4752</v>
      </c>
      <c r="M516" s="53">
        <v>0</v>
      </c>
      <c r="N516" s="53">
        <v>0</v>
      </c>
      <c r="O516" s="53">
        <v>4752</v>
      </c>
      <c r="P516" s="54">
        <v>0.01</v>
      </c>
      <c r="Q516" s="60">
        <v>34.59</v>
      </c>
      <c r="R516" s="59"/>
      <c r="S516" s="60">
        <v>34.59</v>
      </c>
    </row>
    <row r="517" ht="20" customHeight="1" spans="1:19">
      <c r="A517" s="42" t="s">
        <v>94</v>
      </c>
      <c r="B517" s="42" t="s">
        <v>95</v>
      </c>
      <c r="C517" s="43"/>
      <c r="D517" s="42" t="s">
        <v>49</v>
      </c>
      <c r="E517" s="42" t="s">
        <v>96</v>
      </c>
      <c r="F517" s="42" t="s">
        <v>49</v>
      </c>
      <c r="G517" s="42" t="s">
        <v>97</v>
      </c>
      <c r="H517" s="42" t="s">
        <v>98</v>
      </c>
      <c r="I517" s="42" t="s">
        <v>49</v>
      </c>
      <c r="J517" s="43"/>
      <c r="K517" s="53">
        <v>10</v>
      </c>
      <c r="L517" s="53">
        <v>10</v>
      </c>
      <c r="M517" s="53">
        <v>0</v>
      </c>
      <c r="N517" s="53">
        <v>0</v>
      </c>
      <c r="O517" s="53">
        <v>10</v>
      </c>
      <c r="P517" s="54">
        <v>0.11</v>
      </c>
      <c r="Q517" s="60">
        <v>1.13</v>
      </c>
      <c r="R517" s="59"/>
      <c r="S517" s="60">
        <v>1.13</v>
      </c>
    </row>
    <row r="518" ht="20" customHeight="1" spans="1:19">
      <c r="A518" s="42" t="s">
        <v>94</v>
      </c>
      <c r="B518" s="42" t="s">
        <v>95</v>
      </c>
      <c r="C518" s="43"/>
      <c r="D518" s="42" t="s">
        <v>49</v>
      </c>
      <c r="E518" s="42" t="s">
        <v>96</v>
      </c>
      <c r="F518" s="42" t="s">
        <v>49</v>
      </c>
      <c r="G518" s="42" t="s">
        <v>97</v>
      </c>
      <c r="H518" s="42" t="s">
        <v>98</v>
      </c>
      <c r="I518" s="42" t="s">
        <v>49</v>
      </c>
      <c r="J518" s="43"/>
      <c r="K518" s="53">
        <v>1692</v>
      </c>
      <c r="L518" s="53">
        <v>1692</v>
      </c>
      <c r="M518" s="53">
        <v>0</v>
      </c>
      <c r="N518" s="53">
        <v>0</v>
      </c>
      <c r="O518" s="53">
        <v>1692</v>
      </c>
      <c r="P518" s="54">
        <v>0.11</v>
      </c>
      <c r="Q518" s="60">
        <v>191.47</v>
      </c>
      <c r="R518" s="59"/>
      <c r="S518" s="60">
        <v>191.47</v>
      </c>
    </row>
    <row r="519" ht="20" customHeight="1" spans="1:19">
      <c r="A519" s="42" t="s">
        <v>94</v>
      </c>
      <c r="B519" s="42" t="s">
        <v>95</v>
      </c>
      <c r="C519" s="43"/>
      <c r="D519" s="42" t="s">
        <v>49</v>
      </c>
      <c r="E519" s="42" t="s">
        <v>96</v>
      </c>
      <c r="F519" s="42" t="s">
        <v>49</v>
      </c>
      <c r="G519" s="42" t="s">
        <v>97</v>
      </c>
      <c r="H519" s="42" t="s">
        <v>98</v>
      </c>
      <c r="I519" s="42" t="s">
        <v>49</v>
      </c>
      <c r="J519" s="43"/>
      <c r="K519" s="53">
        <v>8</v>
      </c>
      <c r="L519" s="53">
        <v>8</v>
      </c>
      <c r="M519" s="53">
        <v>0</v>
      </c>
      <c r="N519" s="53">
        <v>0</v>
      </c>
      <c r="O519" s="53">
        <v>8</v>
      </c>
      <c r="P519" s="54">
        <v>0.11</v>
      </c>
      <c r="Q519" s="60">
        <v>0.91</v>
      </c>
      <c r="R519" s="59"/>
      <c r="S519" s="60">
        <v>0.91</v>
      </c>
    </row>
    <row r="520" ht="20" customHeight="1" spans="1:19">
      <c r="A520" s="42" t="s">
        <v>99</v>
      </c>
      <c r="B520" s="42" t="s">
        <v>100</v>
      </c>
      <c r="C520" s="43"/>
      <c r="D520" s="42" t="s">
        <v>49</v>
      </c>
      <c r="E520" s="42" t="s">
        <v>101</v>
      </c>
      <c r="F520" s="42" t="s">
        <v>49</v>
      </c>
      <c r="G520" s="42" t="s">
        <v>102</v>
      </c>
      <c r="H520" s="42" t="s">
        <v>103</v>
      </c>
      <c r="I520" s="42" t="s">
        <v>49</v>
      </c>
      <c r="J520" s="43"/>
      <c r="K520" s="53">
        <v>19224</v>
      </c>
      <c r="L520" s="53">
        <v>19224</v>
      </c>
      <c r="M520" s="53">
        <v>0</v>
      </c>
      <c r="N520" s="53">
        <v>0</v>
      </c>
      <c r="O520" s="53">
        <v>19224</v>
      </c>
      <c r="P520" s="54">
        <v>0.01</v>
      </c>
      <c r="Q520" s="60">
        <v>139.95</v>
      </c>
      <c r="R520" s="59"/>
      <c r="S520" s="60">
        <v>139.95</v>
      </c>
    </row>
    <row r="521" ht="20" customHeight="1" spans="1:19">
      <c r="A521" s="42" t="s">
        <v>99</v>
      </c>
      <c r="B521" s="42" t="s">
        <v>100</v>
      </c>
      <c r="C521" s="43"/>
      <c r="D521" s="42" t="s">
        <v>49</v>
      </c>
      <c r="E521" s="42" t="s">
        <v>101</v>
      </c>
      <c r="F521" s="42" t="s">
        <v>49</v>
      </c>
      <c r="G521" s="42" t="s">
        <v>102</v>
      </c>
      <c r="H521" s="42" t="s">
        <v>103</v>
      </c>
      <c r="I521" s="42" t="s">
        <v>49</v>
      </c>
      <c r="J521" s="43"/>
      <c r="K521" s="53">
        <v>156</v>
      </c>
      <c r="L521" s="53">
        <v>156</v>
      </c>
      <c r="M521" s="53">
        <v>0</v>
      </c>
      <c r="N521" s="53">
        <v>0</v>
      </c>
      <c r="O521" s="53">
        <v>156</v>
      </c>
      <c r="P521" s="54">
        <v>0.01</v>
      </c>
      <c r="Q521" s="60">
        <v>1.14</v>
      </c>
      <c r="R521" s="59"/>
      <c r="S521" s="60">
        <v>1.14</v>
      </c>
    </row>
    <row r="522" ht="20" customHeight="1" spans="1:19">
      <c r="A522" s="42" t="s">
        <v>99</v>
      </c>
      <c r="B522" s="42" t="s">
        <v>100</v>
      </c>
      <c r="C522" s="43"/>
      <c r="D522" s="42" t="s">
        <v>49</v>
      </c>
      <c r="E522" s="42" t="s">
        <v>101</v>
      </c>
      <c r="F522" s="42" t="s">
        <v>49</v>
      </c>
      <c r="G522" s="42" t="s">
        <v>102</v>
      </c>
      <c r="H522" s="42" t="s">
        <v>103</v>
      </c>
      <c r="I522" s="42" t="s">
        <v>49</v>
      </c>
      <c r="J522" s="43"/>
      <c r="K522" s="53">
        <v>180</v>
      </c>
      <c r="L522" s="53">
        <v>180</v>
      </c>
      <c r="M522" s="53">
        <v>0</v>
      </c>
      <c r="N522" s="53">
        <v>0</v>
      </c>
      <c r="O522" s="53">
        <v>180</v>
      </c>
      <c r="P522" s="54">
        <v>0.01</v>
      </c>
      <c r="Q522" s="60">
        <v>1.31</v>
      </c>
      <c r="R522" s="59"/>
      <c r="S522" s="60">
        <v>1.31</v>
      </c>
    </row>
    <row r="523" ht="20" customHeight="1" spans="1:19">
      <c r="A523" s="42" t="s">
        <v>99</v>
      </c>
      <c r="B523" s="42" t="s">
        <v>100</v>
      </c>
      <c r="C523" s="43"/>
      <c r="D523" s="42" t="s">
        <v>49</v>
      </c>
      <c r="E523" s="42" t="s">
        <v>101</v>
      </c>
      <c r="F523" s="42" t="s">
        <v>49</v>
      </c>
      <c r="G523" s="42" t="s">
        <v>102</v>
      </c>
      <c r="H523" s="42" t="s">
        <v>103</v>
      </c>
      <c r="I523" s="42" t="s">
        <v>49</v>
      </c>
      <c r="J523" s="43"/>
      <c r="K523" s="53">
        <v>24</v>
      </c>
      <c r="L523" s="53">
        <v>24</v>
      </c>
      <c r="M523" s="53">
        <v>0</v>
      </c>
      <c r="N523" s="53">
        <v>0</v>
      </c>
      <c r="O523" s="53">
        <v>24</v>
      </c>
      <c r="P523" s="54">
        <v>0.01</v>
      </c>
      <c r="Q523" s="60">
        <v>0.17</v>
      </c>
      <c r="R523" s="59"/>
      <c r="S523" s="60">
        <v>0.17</v>
      </c>
    </row>
    <row r="524" ht="13" customHeight="1" spans="1:19">
      <c r="A524" s="46" t="s">
        <v>127</v>
      </c>
      <c r="B524" s="47"/>
      <c r="C524" s="47"/>
      <c r="D524" s="47"/>
      <c r="E524" s="47"/>
      <c r="F524" s="47"/>
      <c r="G524" s="47"/>
      <c r="H524" s="47"/>
      <c r="I524" s="47"/>
      <c r="J524" s="55"/>
      <c r="K524" s="46" t="s">
        <v>128</v>
      </c>
      <c r="L524" s="56">
        <v>60462</v>
      </c>
      <c r="M524" s="57">
        <v>0</v>
      </c>
      <c r="N524" s="57">
        <v>0</v>
      </c>
      <c r="O524" s="57">
        <v>60462</v>
      </c>
      <c r="P524" s="58" t="s">
        <v>49</v>
      </c>
      <c r="Q524" s="61"/>
      <c r="R524" s="61"/>
      <c r="S524" s="62">
        <v>621.22</v>
      </c>
    </row>
    <row r="525" ht="19" customHeight="1" spans="1:19">
      <c r="A525" s="42" t="s">
        <v>129</v>
      </c>
      <c r="B525" s="43"/>
      <c r="C525" s="43"/>
      <c r="D525" s="48" t="s">
        <v>130</v>
      </c>
      <c r="E525" s="49" t="s">
        <v>131</v>
      </c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55"/>
      <c r="S525" s="55"/>
    </row>
    <row r="526" ht="19" customHeight="1" spans="1:19">
      <c r="A526" s="48" t="s">
        <v>130</v>
      </c>
      <c r="B526" s="50"/>
      <c r="C526" s="50"/>
      <c r="D526" s="48" t="s">
        <v>130</v>
      </c>
      <c r="E526" s="48" t="s">
        <v>109</v>
      </c>
      <c r="F526" s="51">
        <v>700</v>
      </c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55"/>
      <c r="S526" s="55"/>
    </row>
    <row r="527" ht="12" customHeight="1" spans="1:19">
      <c r="A527" s="45" t="s">
        <v>49</v>
      </c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55"/>
      <c r="S527" s="55"/>
    </row>
    <row r="528" ht="14" customHeight="1" spans="1:19">
      <c r="A528" s="42" t="s">
        <v>64</v>
      </c>
      <c r="B528" s="43"/>
      <c r="C528" s="43"/>
      <c r="D528" s="44" t="s">
        <v>114</v>
      </c>
      <c r="E528" s="42" t="s">
        <v>66</v>
      </c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</row>
    <row r="529" ht="14" customHeight="1" spans="1:19">
      <c r="A529" s="42" t="s">
        <v>67</v>
      </c>
      <c r="B529" s="43"/>
      <c r="C529" s="43"/>
      <c r="D529" s="44" t="s">
        <v>114</v>
      </c>
      <c r="E529" s="42" t="s">
        <v>68</v>
      </c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</row>
    <row r="530" ht="14" customHeight="1" spans="1:19">
      <c r="A530" s="42" t="s">
        <v>79</v>
      </c>
      <c r="B530" s="43"/>
      <c r="C530" s="43"/>
      <c r="D530" s="44" t="s">
        <v>114</v>
      </c>
      <c r="E530" s="42" t="s">
        <v>80</v>
      </c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</row>
    <row r="531" ht="14" customHeight="1" spans="1:19">
      <c r="A531" s="42" t="s">
        <v>69</v>
      </c>
      <c r="B531" s="43"/>
      <c r="C531" s="43"/>
      <c r="D531" s="44" t="s">
        <v>114</v>
      </c>
      <c r="E531" s="42" t="s">
        <v>115</v>
      </c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</row>
    <row r="532" ht="14" customHeight="1" spans="1:19">
      <c r="A532" s="42" t="s">
        <v>116</v>
      </c>
      <c r="B532" s="43"/>
      <c r="C532" s="43"/>
      <c r="D532" s="44" t="s">
        <v>114</v>
      </c>
      <c r="E532" s="42" t="s">
        <v>158</v>
      </c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</row>
    <row r="533" ht="14" customHeight="1" spans="1:19">
      <c r="A533" s="42" t="s">
        <v>73</v>
      </c>
      <c r="B533" s="43"/>
      <c r="C533" s="43"/>
      <c r="D533" s="44" t="s">
        <v>114</v>
      </c>
      <c r="E533" s="42" t="s">
        <v>74</v>
      </c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</row>
    <row r="534" ht="14" customHeight="1" spans="1:19">
      <c r="A534" s="42" t="s">
        <v>75</v>
      </c>
      <c r="B534" s="43"/>
      <c r="C534" s="43"/>
      <c r="D534" s="44" t="s">
        <v>114</v>
      </c>
      <c r="E534" s="42" t="s">
        <v>76</v>
      </c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</row>
    <row r="535" ht="14" customHeight="1" spans="1:19">
      <c r="A535" s="42" t="s">
        <v>77</v>
      </c>
      <c r="B535" s="43"/>
      <c r="C535" s="43"/>
      <c r="D535" s="44" t="s">
        <v>114</v>
      </c>
      <c r="E535" s="42" t="s">
        <v>78</v>
      </c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</row>
    <row r="536" ht="17" customHeight="1" spans="1:19">
      <c r="A536" s="45" t="s">
        <v>49</v>
      </c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</row>
    <row r="537" ht="14" customHeight="1" spans="1:19">
      <c r="A537" s="42" t="s">
        <v>81</v>
      </c>
      <c r="B537" s="42" t="s">
        <v>82</v>
      </c>
      <c r="C537" s="43"/>
      <c r="D537" s="42" t="s">
        <v>49</v>
      </c>
      <c r="E537" s="42" t="s">
        <v>84</v>
      </c>
      <c r="F537" s="42" t="s">
        <v>85</v>
      </c>
      <c r="G537" s="42" t="s">
        <v>86</v>
      </c>
      <c r="H537" s="42" t="s">
        <v>87</v>
      </c>
      <c r="I537" s="42" t="s">
        <v>88</v>
      </c>
      <c r="J537" s="43"/>
      <c r="K537" s="52" t="s">
        <v>118</v>
      </c>
      <c r="L537" s="52" t="s">
        <v>119</v>
      </c>
      <c r="M537" s="52" t="s">
        <v>120</v>
      </c>
      <c r="N537" s="52" t="s">
        <v>121</v>
      </c>
      <c r="O537" s="52" t="s">
        <v>122</v>
      </c>
      <c r="P537" s="52" t="s">
        <v>90</v>
      </c>
      <c r="Q537" s="52" t="s">
        <v>91</v>
      </c>
      <c r="R537" s="59"/>
      <c r="S537" s="52" t="s">
        <v>123</v>
      </c>
    </row>
    <row r="538" ht="20" customHeight="1" spans="1:19">
      <c r="A538" s="42" t="s">
        <v>124</v>
      </c>
      <c r="B538" s="42" t="s">
        <v>125</v>
      </c>
      <c r="C538" s="43"/>
      <c r="D538" s="42" t="s">
        <v>49</v>
      </c>
      <c r="E538" s="42" t="s">
        <v>126</v>
      </c>
      <c r="F538" s="42" t="s">
        <v>49</v>
      </c>
      <c r="G538" s="42" t="s">
        <v>102</v>
      </c>
      <c r="H538" s="42" t="s">
        <v>103</v>
      </c>
      <c r="I538" s="42" t="s">
        <v>49</v>
      </c>
      <c r="J538" s="43"/>
      <c r="K538" s="53">
        <v>144</v>
      </c>
      <c r="L538" s="53">
        <v>144</v>
      </c>
      <c r="M538" s="53">
        <v>0</v>
      </c>
      <c r="N538" s="53">
        <v>0</v>
      </c>
      <c r="O538" s="53">
        <v>144</v>
      </c>
      <c r="P538" s="54">
        <v>0.01</v>
      </c>
      <c r="Q538" s="60">
        <v>1.05</v>
      </c>
      <c r="R538" s="59"/>
      <c r="S538" s="60">
        <v>1.05</v>
      </c>
    </row>
    <row r="539" ht="20" customHeight="1" spans="1:19">
      <c r="A539" s="42" t="s">
        <v>124</v>
      </c>
      <c r="B539" s="42" t="s">
        <v>125</v>
      </c>
      <c r="C539" s="43"/>
      <c r="D539" s="42" t="s">
        <v>49</v>
      </c>
      <c r="E539" s="42" t="s">
        <v>126</v>
      </c>
      <c r="F539" s="42" t="s">
        <v>49</v>
      </c>
      <c r="G539" s="42" t="s">
        <v>102</v>
      </c>
      <c r="H539" s="42" t="s">
        <v>103</v>
      </c>
      <c r="I539" s="42" t="s">
        <v>49</v>
      </c>
      <c r="J539" s="43"/>
      <c r="K539" s="53">
        <v>34272</v>
      </c>
      <c r="L539" s="53">
        <v>34272</v>
      </c>
      <c r="M539" s="53">
        <v>0</v>
      </c>
      <c r="N539" s="53">
        <v>0</v>
      </c>
      <c r="O539" s="53">
        <v>34272</v>
      </c>
      <c r="P539" s="54">
        <v>0.01</v>
      </c>
      <c r="Q539" s="60">
        <v>249.5</v>
      </c>
      <c r="R539" s="59"/>
      <c r="S539" s="60">
        <v>249.5</v>
      </c>
    </row>
    <row r="540" ht="20" customHeight="1" spans="1:19">
      <c r="A540" s="42" t="s">
        <v>124</v>
      </c>
      <c r="B540" s="42" t="s">
        <v>125</v>
      </c>
      <c r="C540" s="43"/>
      <c r="D540" s="42" t="s">
        <v>49</v>
      </c>
      <c r="E540" s="42" t="s">
        <v>126</v>
      </c>
      <c r="F540" s="42" t="s">
        <v>49</v>
      </c>
      <c r="G540" s="42" t="s">
        <v>102</v>
      </c>
      <c r="H540" s="42" t="s">
        <v>103</v>
      </c>
      <c r="I540" s="42" t="s">
        <v>49</v>
      </c>
      <c r="J540" s="43"/>
      <c r="K540" s="53">
        <v>4752</v>
      </c>
      <c r="L540" s="53">
        <v>4752</v>
      </c>
      <c r="M540" s="53">
        <v>0</v>
      </c>
      <c r="N540" s="53">
        <v>0</v>
      </c>
      <c r="O540" s="53">
        <v>4752</v>
      </c>
      <c r="P540" s="54">
        <v>0.01</v>
      </c>
      <c r="Q540" s="60">
        <v>34.59</v>
      </c>
      <c r="R540" s="59"/>
      <c r="S540" s="60">
        <v>34.59</v>
      </c>
    </row>
    <row r="541" ht="20" customHeight="1" spans="1:19">
      <c r="A541" s="42" t="s">
        <v>94</v>
      </c>
      <c r="B541" s="42" t="s">
        <v>95</v>
      </c>
      <c r="C541" s="43"/>
      <c r="D541" s="42" t="s">
        <v>49</v>
      </c>
      <c r="E541" s="42" t="s">
        <v>96</v>
      </c>
      <c r="F541" s="42" t="s">
        <v>49</v>
      </c>
      <c r="G541" s="42" t="s">
        <v>97</v>
      </c>
      <c r="H541" s="42" t="s">
        <v>98</v>
      </c>
      <c r="I541" s="42" t="s">
        <v>49</v>
      </c>
      <c r="J541" s="43"/>
      <c r="K541" s="53">
        <v>10</v>
      </c>
      <c r="L541" s="53">
        <v>10</v>
      </c>
      <c r="M541" s="53">
        <v>0</v>
      </c>
      <c r="N541" s="53">
        <v>0</v>
      </c>
      <c r="O541" s="53">
        <v>10</v>
      </c>
      <c r="P541" s="54">
        <v>0.11</v>
      </c>
      <c r="Q541" s="60">
        <v>1.13</v>
      </c>
      <c r="R541" s="59"/>
      <c r="S541" s="60">
        <v>1.13</v>
      </c>
    </row>
    <row r="542" ht="20" customHeight="1" spans="1:19">
      <c r="A542" s="42" t="s">
        <v>94</v>
      </c>
      <c r="B542" s="42" t="s">
        <v>95</v>
      </c>
      <c r="C542" s="43"/>
      <c r="D542" s="42" t="s">
        <v>49</v>
      </c>
      <c r="E542" s="42" t="s">
        <v>96</v>
      </c>
      <c r="F542" s="42" t="s">
        <v>49</v>
      </c>
      <c r="G542" s="42" t="s">
        <v>97</v>
      </c>
      <c r="H542" s="42" t="s">
        <v>98</v>
      </c>
      <c r="I542" s="42" t="s">
        <v>49</v>
      </c>
      <c r="J542" s="43"/>
      <c r="K542" s="53">
        <v>1692</v>
      </c>
      <c r="L542" s="53">
        <v>1692</v>
      </c>
      <c r="M542" s="53">
        <v>0</v>
      </c>
      <c r="N542" s="53">
        <v>0</v>
      </c>
      <c r="O542" s="53">
        <v>1692</v>
      </c>
      <c r="P542" s="54">
        <v>0.11</v>
      </c>
      <c r="Q542" s="60">
        <v>191.47</v>
      </c>
      <c r="R542" s="59"/>
      <c r="S542" s="60">
        <v>191.47</v>
      </c>
    </row>
    <row r="543" ht="20" customHeight="1" spans="1:19">
      <c r="A543" s="42" t="s">
        <v>94</v>
      </c>
      <c r="B543" s="42" t="s">
        <v>95</v>
      </c>
      <c r="C543" s="43"/>
      <c r="D543" s="42" t="s">
        <v>49</v>
      </c>
      <c r="E543" s="42" t="s">
        <v>96</v>
      </c>
      <c r="F543" s="42" t="s">
        <v>49</v>
      </c>
      <c r="G543" s="42" t="s">
        <v>97</v>
      </c>
      <c r="H543" s="42" t="s">
        <v>98</v>
      </c>
      <c r="I543" s="42" t="s">
        <v>49</v>
      </c>
      <c r="J543" s="43"/>
      <c r="K543" s="53">
        <v>8</v>
      </c>
      <c r="L543" s="53">
        <v>8</v>
      </c>
      <c r="M543" s="53">
        <v>0</v>
      </c>
      <c r="N543" s="53">
        <v>0</v>
      </c>
      <c r="O543" s="53">
        <v>8</v>
      </c>
      <c r="P543" s="54">
        <v>0.11</v>
      </c>
      <c r="Q543" s="60">
        <v>0.91</v>
      </c>
      <c r="R543" s="59"/>
      <c r="S543" s="60">
        <v>0.91</v>
      </c>
    </row>
    <row r="544" ht="20" customHeight="1" spans="1:19">
      <c r="A544" s="42" t="s">
        <v>99</v>
      </c>
      <c r="B544" s="42" t="s">
        <v>100</v>
      </c>
      <c r="C544" s="43"/>
      <c r="D544" s="42" t="s">
        <v>49</v>
      </c>
      <c r="E544" s="42" t="s">
        <v>101</v>
      </c>
      <c r="F544" s="42" t="s">
        <v>49</v>
      </c>
      <c r="G544" s="42" t="s">
        <v>102</v>
      </c>
      <c r="H544" s="42" t="s">
        <v>103</v>
      </c>
      <c r="I544" s="42" t="s">
        <v>49</v>
      </c>
      <c r="J544" s="43"/>
      <c r="K544" s="53">
        <v>19224</v>
      </c>
      <c r="L544" s="53">
        <v>19224</v>
      </c>
      <c r="M544" s="53">
        <v>0</v>
      </c>
      <c r="N544" s="53">
        <v>0</v>
      </c>
      <c r="O544" s="53">
        <v>19224</v>
      </c>
      <c r="P544" s="54">
        <v>0.01</v>
      </c>
      <c r="Q544" s="60">
        <v>139.95</v>
      </c>
      <c r="R544" s="59"/>
      <c r="S544" s="60">
        <v>139.95</v>
      </c>
    </row>
    <row r="545" ht="20" customHeight="1" spans="1:19">
      <c r="A545" s="42" t="s">
        <v>99</v>
      </c>
      <c r="B545" s="42" t="s">
        <v>100</v>
      </c>
      <c r="C545" s="43"/>
      <c r="D545" s="42" t="s">
        <v>49</v>
      </c>
      <c r="E545" s="42" t="s">
        <v>101</v>
      </c>
      <c r="F545" s="42" t="s">
        <v>49</v>
      </c>
      <c r="G545" s="42" t="s">
        <v>102</v>
      </c>
      <c r="H545" s="42" t="s">
        <v>103</v>
      </c>
      <c r="I545" s="42" t="s">
        <v>49</v>
      </c>
      <c r="J545" s="43"/>
      <c r="K545" s="53">
        <v>156</v>
      </c>
      <c r="L545" s="53">
        <v>156</v>
      </c>
      <c r="M545" s="53">
        <v>0</v>
      </c>
      <c r="N545" s="53">
        <v>0</v>
      </c>
      <c r="O545" s="53">
        <v>156</v>
      </c>
      <c r="P545" s="54">
        <v>0.01</v>
      </c>
      <c r="Q545" s="60">
        <v>1.14</v>
      </c>
      <c r="R545" s="59"/>
      <c r="S545" s="60">
        <v>1.14</v>
      </c>
    </row>
    <row r="546" ht="20" customHeight="1" spans="1:19">
      <c r="A546" s="42" t="s">
        <v>99</v>
      </c>
      <c r="B546" s="42" t="s">
        <v>100</v>
      </c>
      <c r="C546" s="43"/>
      <c r="D546" s="42" t="s">
        <v>49</v>
      </c>
      <c r="E546" s="42" t="s">
        <v>101</v>
      </c>
      <c r="F546" s="42" t="s">
        <v>49</v>
      </c>
      <c r="G546" s="42" t="s">
        <v>102</v>
      </c>
      <c r="H546" s="42" t="s">
        <v>103</v>
      </c>
      <c r="I546" s="42" t="s">
        <v>49</v>
      </c>
      <c r="J546" s="43"/>
      <c r="K546" s="53">
        <v>180</v>
      </c>
      <c r="L546" s="53">
        <v>180</v>
      </c>
      <c r="M546" s="53">
        <v>0</v>
      </c>
      <c r="N546" s="53">
        <v>0</v>
      </c>
      <c r="O546" s="53">
        <v>180</v>
      </c>
      <c r="P546" s="54">
        <v>0.01</v>
      </c>
      <c r="Q546" s="60">
        <v>1.31</v>
      </c>
      <c r="R546" s="59"/>
      <c r="S546" s="60">
        <v>1.31</v>
      </c>
    </row>
    <row r="547" ht="20" customHeight="1" spans="1:19">
      <c r="A547" s="42" t="s">
        <v>99</v>
      </c>
      <c r="B547" s="42" t="s">
        <v>100</v>
      </c>
      <c r="C547" s="43"/>
      <c r="D547" s="42" t="s">
        <v>49</v>
      </c>
      <c r="E547" s="42" t="s">
        <v>101</v>
      </c>
      <c r="F547" s="42" t="s">
        <v>49</v>
      </c>
      <c r="G547" s="42" t="s">
        <v>102</v>
      </c>
      <c r="H547" s="42" t="s">
        <v>103</v>
      </c>
      <c r="I547" s="42" t="s">
        <v>49</v>
      </c>
      <c r="J547" s="43"/>
      <c r="K547" s="53">
        <v>24</v>
      </c>
      <c r="L547" s="53">
        <v>24</v>
      </c>
      <c r="M547" s="53">
        <v>0</v>
      </c>
      <c r="N547" s="53">
        <v>0</v>
      </c>
      <c r="O547" s="53">
        <v>24</v>
      </c>
      <c r="P547" s="54">
        <v>0.01</v>
      </c>
      <c r="Q547" s="60">
        <v>0.17</v>
      </c>
      <c r="R547" s="59"/>
      <c r="S547" s="60">
        <v>0.17</v>
      </c>
    </row>
    <row r="548" ht="13" customHeight="1" spans="1:19">
      <c r="A548" s="46" t="s">
        <v>127</v>
      </c>
      <c r="B548" s="47"/>
      <c r="C548" s="47"/>
      <c r="D548" s="47"/>
      <c r="E548" s="47"/>
      <c r="F548" s="47"/>
      <c r="G548" s="47"/>
      <c r="H548" s="47"/>
      <c r="I548" s="47"/>
      <c r="J548" s="55"/>
      <c r="K548" s="46" t="s">
        <v>128</v>
      </c>
      <c r="L548" s="56">
        <v>60462</v>
      </c>
      <c r="M548" s="57">
        <v>0</v>
      </c>
      <c r="N548" s="57">
        <v>0</v>
      </c>
      <c r="O548" s="57">
        <v>60462</v>
      </c>
      <c r="P548" s="58" t="s">
        <v>49</v>
      </c>
      <c r="Q548" s="61"/>
      <c r="R548" s="61"/>
      <c r="S548" s="62">
        <v>621.22</v>
      </c>
    </row>
    <row r="549" ht="19" customHeight="1" spans="1:19">
      <c r="A549" s="42" t="s">
        <v>129</v>
      </c>
      <c r="B549" s="43"/>
      <c r="C549" s="43"/>
      <c r="D549" s="48" t="s">
        <v>130</v>
      </c>
      <c r="E549" s="49" t="s">
        <v>131</v>
      </c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55"/>
      <c r="S549" s="55"/>
    </row>
    <row r="550" ht="19" customHeight="1" spans="1:19">
      <c r="A550" s="48" t="s">
        <v>130</v>
      </c>
      <c r="B550" s="50"/>
      <c r="C550" s="50"/>
      <c r="D550" s="48" t="s">
        <v>130</v>
      </c>
      <c r="E550" s="48" t="s">
        <v>109</v>
      </c>
      <c r="F550" s="51">
        <v>700</v>
      </c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55"/>
      <c r="S550" s="55"/>
    </row>
    <row r="551" ht="12" customHeight="1" spans="1:19">
      <c r="A551" s="45" t="s">
        <v>49</v>
      </c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55"/>
      <c r="S551" s="55"/>
    </row>
    <row r="552" ht="14" customHeight="1" spans="1:19">
      <c r="A552" s="42" t="s">
        <v>64</v>
      </c>
      <c r="B552" s="43"/>
      <c r="C552" s="43"/>
      <c r="D552" s="44" t="s">
        <v>114</v>
      </c>
      <c r="E552" s="42" t="s">
        <v>66</v>
      </c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</row>
    <row r="553" ht="14" customHeight="1" spans="1:19">
      <c r="A553" s="42" t="s">
        <v>67</v>
      </c>
      <c r="B553" s="43"/>
      <c r="C553" s="43"/>
      <c r="D553" s="44" t="s">
        <v>114</v>
      </c>
      <c r="E553" s="42" t="s">
        <v>68</v>
      </c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</row>
    <row r="554" ht="14" customHeight="1" spans="1:19">
      <c r="A554" s="42" t="s">
        <v>79</v>
      </c>
      <c r="B554" s="43"/>
      <c r="C554" s="43"/>
      <c r="D554" s="44" t="s">
        <v>114</v>
      </c>
      <c r="E554" s="42" t="s">
        <v>80</v>
      </c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</row>
    <row r="555" ht="14" customHeight="1" spans="1:19">
      <c r="A555" s="42" t="s">
        <v>69</v>
      </c>
      <c r="B555" s="43"/>
      <c r="C555" s="43"/>
      <c r="D555" s="44" t="s">
        <v>114</v>
      </c>
      <c r="E555" s="42" t="s">
        <v>115</v>
      </c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</row>
    <row r="556" ht="14" customHeight="1" spans="1:19">
      <c r="A556" s="42" t="s">
        <v>116</v>
      </c>
      <c r="B556" s="43"/>
      <c r="C556" s="43"/>
      <c r="D556" s="44" t="s">
        <v>114</v>
      </c>
      <c r="E556" s="42" t="s">
        <v>159</v>
      </c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</row>
    <row r="557" ht="14" customHeight="1" spans="1:19">
      <c r="A557" s="42" t="s">
        <v>73</v>
      </c>
      <c r="B557" s="43"/>
      <c r="C557" s="43"/>
      <c r="D557" s="44" t="s">
        <v>114</v>
      </c>
      <c r="E557" s="42" t="s">
        <v>74</v>
      </c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</row>
    <row r="558" ht="14" customHeight="1" spans="1:19">
      <c r="A558" s="42" t="s">
        <v>75</v>
      </c>
      <c r="B558" s="43"/>
      <c r="C558" s="43"/>
      <c r="D558" s="44" t="s">
        <v>114</v>
      </c>
      <c r="E558" s="42" t="s">
        <v>76</v>
      </c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</row>
    <row r="559" ht="14" customHeight="1" spans="1:19">
      <c r="A559" s="42" t="s">
        <v>77</v>
      </c>
      <c r="B559" s="43"/>
      <c r="C559" s="43"/>
      <c r="D559" s="44" t="s">
        <v>114</v>
      </c>
      <c r="E559" s="42" t="s">
        <v>78</v>
      </c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</row>
    <row r="560" ht="17" customHeight="1" spans="1:19">
      <c r="A560" s="45" t="s">
        <v>49</v>
      </c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 ht="14" customHeight="1" spans="1:19">
      <c r="A561" s="42" t="s">
        <v>81</v>
      </c>
      <c r="B561" s="42" t="s">
        <v>82</v>
      </c>
      <c r="C561" s="43"/>
      <c r="D561" s="42" t="s">
        <v>49</v>
      </c>
      <c r="E561" s="42" t="s">
        <v>84</v>
      </c>
      <c r="F561" s="42" t="s">
        <v>85</v>
      </c>
      <c r="G561" s="42" t="s">
        <v>86</v>
      </c>
      <c r="H561" s="42" t="s">
        <v>87</v>
      </c>
      <c r="I561" s="42" t="s">
        <v>88</v>
      </c>
      <c r="J561" s="43"/>
      <c r="K561" s="52" t="s">
        <v>118</v>
      </c>
      <c r="L561" s="52" t="s">
        <v>119</v>
      </c>
      <c r="M561" s="52" t="s">
        <v>120</v>
      </c>
      <c r="N561" s="52" t="s">
        <v>121</v>
      </c>
      <c r="O561" s="52" t="s">
        <v>122</v>
      </c>
      <c r="P561" s="52" t="s">
        <v>90</v>
      </c>
      <c r="Q561" s="52" t="s">
        <v>91</v>
      </c>
      <c r="R561" s="59"/>
      <c r="S561" s="52" t="s">
        <v>123</v>
      </c>
    </row>
    <row r="562" ht="20" customHeight="1" spans="1:19">
      <c r="A562" s="42" t="s">
        <v>124</v>
      </c>
      <c r="B562" s="42" t="s">
        <v>125</v>
      </c>
      <c r="C562" s="43"/>
      <c r="D562" s="42" t="s">
        <v>49</v>
      </c>
      <c r="E562" s="42" t="s">
        <v>126</v>
      </c>
      <c r="F562" s="42" t="s">
        <v>49</v>
      </c>
      <c r="G562" s="42" t="s">
        <v>102</v>
      </c>
      <c r="H562" s="42" t="s">
        <v>103</v>
      </c>
      <c r="I562" s="42" t="s">
        <v>49</v>
      </c>
      <c r="J562" s="43"/>
      <c r="K562" s="53">
        <v>144</v>
      </c>
      <c r="L562" s="53">
        <v>144</v>
      </c>
      <c r="M562" s="53">
        <v>0</v>
      </c>
      <c r="N562" s="53">
        <v>0</v>
      </c>
      <c r="O562" s="53">
        <v>144</v>
      </c>
      <c r="P562" s="54">
        <v>0.01</v>
      </c>
      <c r="Q562" s="60">
        <v>1.05</v>
      </c>
      <c r="R562" s="59"/>
      <c r="S562" s="60">
        <v>1.05</v>
      </c>
    </row>
    <row r="563" ht="20" customHeight="1" spans="1:19">
      <c r="A563" s="42" t="s">
        <v>124</v>
      </c>
      <c r="B563" s="42" t="s">
        <v>125</v>
      </c>
      <c r="C563" s="43"/>
      <c r="D563" s="42" t="s">
        <v>49</v>
      </c>
      <c r="E563" s="42" t="s">
        <v>126</v>
      </c>
      <c r="F563" s="42" t="s">
        <v>49</v>
      </c>
      <c r="G563" s="42" t="s">
        <v>102</v>
      </c>
      <c r="H563" s="42" t="s">
        <v>103</v>
      </c>
      <c r="I563" s="42" t="s">
        <v>49</v>
      </c>
      <c r="J563" s="43"/>
      <c r="K563" s="53">
        <v>34272</v>
      </c>
      <c r="L563" s="53">
        <v>34272</v>
      </c>
      <c r="M563" s="53">
        <v>0</v>
      </c>
      <c r="N563" s="53">
        <v>0</v>
      </c>
      <c r="O563" s="53">
        <v>34272</v>
      </c>
      <c r="P563" s="54">
        <v>0.01</v>
      </c>
      <c r="Q563" s="60">
        <v>249.5</v>
      </c>
      <c r="R563" s="59"/>
      <c r="S563" s="60">
        <v>249.5</v>
      </c>
    </row>
    <row r="564" ht="20" customHeight="1" spans="1:19">
      <c r="A564" s="42" t="s">
        <v>124</v>
      </c>
      <c r="B564" s="42" t="s">
        <v>125</v>
      </c>
      <c r="C564" s="43"/>
      <c r="D564" s="42" t="s">
        <v>49</v>
      </c>
      <c r="E564" s="42" t="s">
        <v>126</v>
      </c>
      <c r="F564" s="42" t="s">
        <v>49</v>
      </c>
      <c r="G564" s="42" t="s">
        <v>102</v>
      </c>
      <c r="H564" s="42" t="s">
        <v>103</v>
      </c>
      <c r="I564" s="42" t="s">
        <v>49</v>
      </c>
      <c r="J564" s="43"/>
      <c r="K564" s="53">
        <v>4752</v>
      </c>
      <c r="L564" s="53">
        <v>4752</v>
      </c>
      <c r="M564" s="53">
        <v>0</v>
      </c>
      <c r="N564" s="53">
        <v>0</v>
      </c>
      <c r="O564" s="53">
        <v>4752</v>
      </c>
      <c r="P564" s="54">
        <v>0.01</v>
      </c>
      <c r="Q564" s="60">
        <v>34.59</v>
      </c>
      <c r="R564" s="59"/>
      <c r="S564" s="60">
        <v>34.59</v>
      </c>
    </row>
    <row r="565" ht="20" customHeight="1" spans="1:19">
      <c r="A565" s="42" t="s">
        <v>94</v>
      </c>
      <c r="B565" s="42" t="s">
        <v>95</v>
      </c>
      <c r="C565" s="43"/>
      <c r="D565" s="42" t="s">
        <v>49</v>
      </c>
      <c r="E565" s="42" t="s">
        <v>96</v>
      </c>
      <c r="F565" s="42" t="s">
        <v>49</v>
      </c>
      <c r="G565" s="42" t="s">
        <v>97</v>
      </c>
      <c r="H565" s="42" t="s">
        <v>98</v>
      </c>
      <c r="I565" s="42" t="s">
        <v>49</v>
      </c>
      <c r="J565" s="43"/>
      <c r="K565" s="53">
        <v>10</v>
      </c>
      <c r="L565" s="53">
        <v>10</v>
      </c>
      <c r="M565" s="53">
        <v>0</v>
      </c>
      <c r="N565" s="53">
        <v>0</v>
      </c>
      <c r="O565" s="53">
        <v>10</v>
      </c>
      <c r="P565" s="54">
        <v>0.11</v>
      </c>
      <c r="Q565" s="60">
        <v>1.13</v>
      </c>
      <c r="R565" s="59"/>
      <c r="S565" s="60">
        <v>1.13</v>
      </c>
    </row>
    <row r="566" ht="20" customHeight="1" spans="1:19">
      <c r="A566" s="42" t="s">
        <v>94</v>
      </c>
      <c r="B566" s="42" t="s">
        <v>95</v>
      </c>
      <c r="C566" s="43"/>
      <c r="D566" s="42" t="s">
        <v>49</v>
      </c>
      <c r="E566" s="42" t="s">
        <v>96</v>
      </c>
      <c r="F566" s="42" t="s">
        <v>49</v>
      </c>
      <c r="G566" s="42" t="s">
        <v>97</v>
      </c>
      <c r="H566" s="42" t="s">
        <v>98</v>
      </c>
      <c r="I566" s="42" t="s">
        <v>49</v>
      </c>
      <c r="J566" s="43"/>
      <c r="K566" s="53">
        <v>1692</v>
      </c>
      <c r="L566" s="53">
        <v>1692</v>
      </c>
      <c r="M566" s="53">
        <v>0</v>
      </c>
      <c r="N566" s="53">
        <v>0</v>
      </c>
      <c r="O566" s="53">
        <v>1692</v>
      </c>
      <c r="P566" s="54">
        <v>0.11</v>
      </c>
      <c r="Q566" s="60">
        <v>191.47</v>
      </c>
      <c r="R566" s="59"/>
      <c r="S566" s="60">
        <v>191.47</v>
      </c>
    </row>
    <row r="567" ht="20" customHeight="1" spans="1:19">
      <c r="A567" s="42" t="s">
        <v>94</v>
      </c>
      <c r="B567" s="42" t="s">
        <v>95</v>
      </c>
      <c r="C567" s="43"/>
      <c r="D567" s="42" t="s">
        <v>49</v>
      </c>
      <c r="E567" s="42" t="s">
        <v>96</v>
      </c>
      <c r="F567" s="42" t="s">
        <v>49</v>
      </c>
      <c r="G567" s="42" t="s">
        <v>97</v>
      </c>
      <c r="H567" s="42" t="s">
        <v>98</v>
      </c>
      <c r="I567" s="42" t="s">
        <v>49</v>
      </c>
      <c r="J567" s="43"/>
      <c r="K567" s="53">
        <v>8</v>
      </c>
      <c r="L567" s="53">
        <v>8</v>
      </c>
      <c r="M567" s="53">
        <v>0</v>
      </c>
      <c r="N567" s="53">
        <v>0</v>
      </c>
      <c r="O567" s="53">
        <v>8</v>
      </c>
      <c r="P567" s="54">
        <v>0.11</v>
      </c>
      <c r="Q567" s="60">
        <v>0.91</v>
      </c>
      <c r="R567" s="59"/>
      <c r="S567" s="60">
        <v>0.91</v>
      </c>
    </row>
    <row r="568" ht="20" customHeight="1" spans="1:19">
      <c r="A568" s="42" t="s">
        <v>99</v>
      </c>
      <c r="B568" s="42" t="s">
        <v>100</v>
      </c>
      <c r="C568" s="43"/>
      <c r="D568" s="42" t="s">
        <v>49</v>
      </c>
      <c r="E568" s="42" t="s">
        <v>101</v>
      </c>
      <c r="F568" s="42" t="s">
        <v>49</v>
      </c>
      <c r="G568" s="42" t="s">
        <v>102</v>
      </c>
      <c r="H568" s="42" t="s">
        <v>103</v>
      </c>
      <c r="I568" s="42" t="s">
        <v>49</v>
      </c>
      <c r="J568" s="43"/>
      <c r="K568" s="53">
        <v>19224</v>
      </c>
      <c r="L568" s="53">
        <v>19224</v>
      </c>
      <c r="M568" s="53">
        <v>0</v>
      </c>
      <c r="N568" s="53">
        <v>0</v>
      </c>
      <c r="O568" s="53">
        <v>19224</v>
      </c>
      <c r="P568" s="54">
        <v>0.01</v>
      </c>
      <c r="Q568" s="60">
        <v>139.95</v>
      </c>
      <c r="R568" s="59"/>
      <c r="S568" s="60">
        <v>139.95</v>
      </c>
    </row>
    <row r="569" ht="20" customHeight="1" spans="1:19">
      <c r="A569" s="42" t="s">
        <v>99</v>
      </c>
      <c r="B569" s="42" t="s">
        <v>100</v>
      </c>
      <c r="C569" s="43"/>
      <c r="D569" s="42" t="s">
        <v>49</v>
      </c>
      <c r="E569" s="42" t="s">
        <v>101</v>
      </c>
      <c r="F569" s="42" t="s">
        <v>49</v>
      </c>
      <c r="G569" s="42" t="s">
        <v>102</v>
      </c>
      <c r="H569" s="42" t="s">
        <v>103</v>
      </c>
      <c r="I569" s="42" t="s">
        <v>49</v>
      </c>
      <c r="J569" s="43"/>
      <c r="K569" s="53">
        <v>156</v>
      </c>
      <c r="L569" s="53">
        <v>156</v>
      </c>
      <c r="M569" s="53">
        <v>0</v>
      </c>
      <c r="N569" s="53">
        <v>0</v>
      </c>
      <c r="O569" s="53">
        <v>156</v>
      </c>
      <c r="P569" s="54">
        <v>0.01</v>
      </c>
      <c r="Q569" s="60">
        <v>1.14</v>
      </c>
      <c r="R569" s="59"/>
      <c r="S569" s="60">
        <v>1.14</v>
      </c>
    </row>
    <row r="570" ht="20" customHeight="1" spans="1:19">
      <c r="A570" s="42" t="s">
        <v>99</v>
      </c>
      <c r="B570" s="42" t="s">
        <v>100</v>
      </c>
      <c r="C570" s="43"/>
      <c r="D570" s="42" t="s">
        <v>49</v>
      </c>
      <c r="E570" s="42" t="s">
        <v>101</v>
      </c>
      <c r="F570" s="42" t="s">
        <v>49</v>
      </c>
      <c r="G570" s="42" t="s">
        <v>102</v>
      </c>
      <c r="H570" s="42" t="s">
        <v>103</v>
      </c>
      <c r="I570" s="42" t="s">
        <v>49</v>
      </c>
      <c r="J570" s="43"/>
      <c r="K570" s="53">
        <v>180</v>
      </c>
      <c r="L570" s="53">
        <v>180</v>
      </c>
      <c r="M570" s="53">
        <v>0</v>
      </c>
      <c r="N570" s="53">
        <v>0</v>
      </c>
      <c r="O570" s="53">
        <v>180</v>
      </c>
      <c r="P570" s="54">
        <v>0.01</v>
      </c>
      <c r="Q570" s="60">
        <v>1.31</v>
      </c>
      <c r="R570" s="59"/>
      <c r="S570" s="60">
        <v>1.31</v>
      </c>
    </row>
    <row r="571" ht="20" customHeight="1" spans="1:19">
      <c r="A571" s="42" t="s">
        <v>99</v>
      </c>
      <c r="B571" s="42" t="s">
        <v>100</v>
      </c>
      <c r="C571" s="43"/>
      <c r="D571" s="42" t="s">
        <v>49</v>
      </c>
      <c r="E571" s="42" t="s">
        <v>101</v>
      </c>
      <c r="F571" s="42" t="s">
        <v>49</v>
      </c>
      <c r="G571" s="42" t="s">
        <v>102</v>
      </c>
      <c r="H571" s="42" t="s">
        <v>103</v>
      </c>
      <c r="I571" s="42" t="s">
        <v>49</v>
      </c>
      <c r="J571" s="43"/>
      <c r="K571" s="53">
        <v>24</v>
      </c>
      <c r="L571" s="53">
        <v>24</v>
      </c>
      <c r="M571" s="53">
        <v>0</v>
      </c>
      <c r="N571" s="53">
        <v>0</v>
      </c>
      <c r="O571" s="53">
        <v>24</v>
      </c>
      <c r="P571" s="54">
        <v>0.01</v>
      </c>
      <c r="Q571" s="60">
        <v>0.17</v>
      </c>
      <c r="R571" s="59"/>
      <c r="S571" s="60">
        <v>0.17</v>
      </c>
    </row>
    <row r="572" ht="13" customHeight="1" spans="1:19">
      <c r="A572" s="46" t="s">
        <v>127</v>
      </c>
      <c r="B572" s="47"/>
      <c r="C572" s="47"/>
      <c r="D572" s="47"/>
      <c r="E572" s="47"/>
      <c r="F572" s="47"/>
      <c r="G572" s="47"/>
      <c r="H572" s="47"/>
      <c r="I572" s="47"/>
      <c r="J572" s="55"/>
      <c r="K572" s="46" t="s">
        <v>128</v>
      </c>
      <c r="L572" s="56">
        <v>60462</v>
      </c>
      <c r="M572" s="57">
        <v>0</v>
      </c>
      <c r="N572" s="57">
        <v>0</v>
      </c>
      <c r="O572" s="57">
        <v>60462</v>
      </c>
      <c r="P572" s="58" t="s">
        <v>49</v>
      </c>
      <c r="Q572" s="61"/>
      <c r="R572" s="61"/>
      <c r="S572" s="62">
        <v>621.22</v>
      </c>
    </row>
    <row r="573" ht="19" customHeight="1" spans="1:19">
      <c r="A573" s="42" t="s">
        <v>129</v>
      </c>
      <c r="B573" s="43"/>
      <c r="C573" s="43"/>
      <c r="D573" s="48" t="s">
        <v>130</v>
      </c>
      <c r="E573" s="49" t="s">
        <v>131</v>
      </c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55"/>
      <c r="S573" s="55"/>
    </row>
    <row r="574" ht="19" customHeight="1" spans="1:19">
      <c r="A574" s="48" t="s">
        <v>130</v>
      </c>
      <c r="B574" s="50"/>
      <c r="C574" s="50"/>
      <c r="D574" s="48" t="s">
        <v>130</v>
      </c>
      <c r="E574" s="48" t="s">
        <v>109</v>
      </c>
      <c r="F574" s="51">
        <v>700</v>
      </c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55"/>
      <c r="S574" s="55"/>
    </row>
    <row r="575" ht="12" customHeight="1" spans="1:19">
      <c r="A575" s="45" t="s">
        <v>49</v>
      </c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55"/>
      <c r="S575" s="55"/>
    </row>
    <row r="576" ht="14" customHeight="1" spans="1:19">
      <c r="A576" s="42" t="s">
        <v>64</v>
      </c>
      <c r="B576" s="43"/>
      <c r="C576" s="43"/>
      <c r="D576" s="44" t="s">
        <v>114</v>
      </c>
      <c r="E576" s="42" t="s">
        <v>66</v>
      </c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</row>
    <row r="577" ht="14" customHeight="1" spans="1:19">
      <c r="A577" s="42" t="s">
        <v>67</v>
      </c>
      <c r="B577" s="43"/>
      <c r="C577" s="43"/>
      <c r="D577" s="44" t="s">
        <v>114</v>
      </c>
      <c r="E577" s="42" t="s">
        <v>68</v>
      </c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</row>
    <row r="578" ht="14" customHeight="1" spans="1:19">
      <c r="A578" s="42" t="s">
        <v>79</v>
      </c>
      <c r="B578" s="43"/>
      <c r="C578" s="43"/>
      <c r="D578" s="44" t="s">
        <v>114</v>
      </c>
      <c r="E578" s="42" t="s">
        <v>80</v>
      </c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</row>
    <row r="579" ht="14" customHeight="1" spans="1:19">
      <c r="A579" s="42" t="s">
        <v>69</v>
      </c>
      <c r="B579" s="43"/>
      <c r="C579" s="43"/>
      <c r="D579" s="44" t="s">
        <v>114</v>
      </c>
      <c r="E579" s="42" t="s">
        <v>115</v>
      </c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</row>
    <row r="580" ht="14" customHeight="1" spans="1:19">
      <c r="A580" s="42" t="s">
        <v>116</v>
      </c>
      <c r="B580" s="43"/>
      <c r="C580" s="43"/>
      <c r="D580" s="44" t="s">
        <v>114</v>
      </c>
      <c r="E580" s="42" t="s">
        <v>160</v>
      </c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</row>
    <row r="581" ht="14" customHeight="1" spans="1:19">
      <c r="A581" s="42" t="s">
        <v>73</v>
      </c>
      <c r="B581" s="43"/>
      <c r="C581" s="43"/>
      <c r="D581" s="44" t="s">
        <v>114</v>
      </c>
      <c r="E581" s="42" t="s">
        <v>74</v>
      </c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</row>
    <row r="582" ht="14" customHeight="1" spans="1:19">
      <c r="A582" s="42" t="s">
        <v>75</v>
      </c>
      <c r="B582" s="43"/>
      <c r="C582" s="43"/>
      <c r="D582" s="44" t="s">
        <v>114</v>
      </c>
      <c r="E582" s="42" t="s">
        <v>76</v>
      </c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</row>
    <row r="583" ht="14" customHeight="1" spans="1:19">
      <c r="A583" s="42" t="s">
        <v>77</v>
      </c>
      <c r="B583" s="43"/>
      <c r="C583" s="43"/>
      <c r="D583" s="44" t="s">
        <v>114</v>
      </c>
      <c r="E583" s="42" t="s">
        <v>78</v>
      </c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</row>
    <row r="584" ht="17" customHeight="1" spans="1:19">
      <c r="A584" s="45" t="s">
        <v>49</v>
      </c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</row>
    <row r="585" ht="14" customHeight="1" spans="1:19">
      <c r="A585" s="42" t="s">
        <v>81</v>
      </c>
      <c r="B585" s="42" t="s">
        <v>82</v>
      </c>
      <c r="C585" s="43"/>
      <c r="D585" s="42" t="s">
        <v>49</v>
      </c>
      <c r="E585" s="42" t="s">
        <v>84</v>
      </c>
      <c r="F585" s="42" t="s">
        <v>85</v>
      </c>
      <c r="G585" s="42" t="s">
        <v>86</v>
      </c>
      <c r="H585" s="42" t="s">
        <v>87</v>
      </c>
      <c r="I585" s="42" t="s">
        <v>88</v>
      </c>
      <c r="J585" s="43"/>
      <c r="K585" s="52" t="s">
        <v>118</v>
      </c>
      <c r="L585" s="52" t="s">
        <v>119</v>
      </c>
      <c r="M585" s="52" t="s">
        <v>120</v>
      </c>
      <c r="N585" s="52" t="s">
        <v>121</v>
      </c>
      <c r="O585" s="52" t="s">
        <v>122</v>
      </c>
      <c r="P585" s="52" t="s">
        <v>90</v>
      </c>
      <c r="Q585" s="52" t="s">
        <v>91</v>
      </c>
      <c r="R585" s="59"/>
      <c r="S585" s="52" t="s">
        <v>123</v>
      </c>
    </row>
    <row r="586" ht="20" customHeight="1" spans="1:19">
      <c r="A586" s="42" t="s">
        <v>124</v>
      </c>
      <c r="B586" s="42" t="s">
        <v>125</v>
      </c>
      <c r="C586" s="43"/>
      <c r="D586" s="42" t="s">
        <v>49</v>
      </c>
      <c r="E586" s="42" t="s">
        <v>126</v>
      </c>
      <c r="F586" s="42" t="s">
        <v>49</v>
      </c>
      <c r="G586" s="42" t="s">
        <v>102</v>
      </c>
      <c r="H586" s="42" t="s">
        <v>103</v>
      </c>
      <c r="I586" s="42" t="s">
        <v>49</v>
      </c>
      <c r="J586" s="43"/>
      <c r="K586" s="53">
        <v>144</v>
      </c>
      <c r="L586" s="53">
        <v>144</v>
      </c>
      <c r="M586" s="53">
        <v>0</v>
      </c>
      <c r="N586" s="53">
        <v>0</v>
      </c>
      <c r="O586" s="53">
        <v>144</v>
      </c>
      <c r="P586" s="54">
        <v>0.01</v>
      </c>
      <c r="Q586" s="60">
        <v>1.05</v>
      </c>
      <c r="R586" s="59"/>
      <c r="S586" s="60">
        <v>1.05</v>
      </c>
    </row>
    <row r="587" ht="20" customHeight="1" spans="1:19">
      <c r="A587" s="42" t="s">
        <v>124</v>
      </c>
      <c r="B587" s="42" t="s">
        <v>125</v>
      </c>
      <c r="C587" s="43"/>
      <c r="D587" s="42" t="s">
        <v>49</v>
      </c>
      <c r="E587" s="42" t="s">
        <v>126</v>
      </c>
      <c r="F587" s="42" t="s">
        <v>49</v>
      </c>
      <c r="G587" s="42" t="s">
        <v>102</v>
      </c>
      <c r="H587" s="42" t="s">
        <v>103</v>
      </c>
      <c r="I587" s="42" t="s">
        <v>49</v>
      </c>
      <c r="J587" s="43"/>
      <c r="K587" s="53">
        <v>34272</v>
      </c>
      <c r="L587" s="53">
        <v>34272</v>
      </c>
      <c r="M587" s="53">
        <v>0</v>
      </c>
      <c r="N587" s="53">
        <v>0</v>
      </c>
      <c r="O587" s="53">
        <v>34272</v>
      </c>
      <c r="P587" s="54">
        <v>0.01</v>
      </c>
      <c r="Q587" s="60">
        <v>249.5</v>
      </c>
      <c r="R587" s="59"/>
      <c r="S587" s="60">
        <v>249.5</v>
      </c>
    </row>
    <row r="588" ht="20" customHeight="1" spans="1:19">
      <c r="A588" s="42" t="s">
        <v>124</v>
      </c>
      <c r="B588" s="42" t="s">
        <v>125</v>
      </c>
      <c r="C588" s="43"/>
      <c r="D588" s="42" t="s">
        <v>49</v>
      </c>
      <c r="E588" s="42" t="s">
        <v>126</v>
      </c>
      <c r="F588" s="42" t="s">
        <v>49</v>
      </c>
      <c r="G588" s="42" t="s">
        <v>102</v>
      </c>
      <c r="H588" s="42" t="s">
        <v>103</v>
      </c>
      <c r="I588" s="42" t="s">
        <v>49</v>
      </c>
      <c r="J588" s="43"/>
      <c r="K588" s="53">
        <v>4752</v>
      </c>
      <c r="L588" s="53">
        <v>4752</v>
      </c>
      <c r="M588" s="53">
        <v>0</v>
      </c>
      <c r="N588" s="53">
        <v>0</v>
      </c>
      <c r="O588" s="53">
        <v>4752</v>
      </c>
      <c r="P588" s="54">
        <v>0.01</v>
      </c>
      <c r="Q588" s="60">
        <v>34.59</v>
      </c>
      <c r="R588" s="59"/>
      <c r="S588" s="60">
        <v>34.59</v>
      </c>
    </row>
    <row r="589" ht="20" customHeight="1" spans="1:19">
      <c r="A589" s="42" t="s">
        <v>94</v>
      </c>
      <c r="B589" s="42" t="s">
        <v>95</v>
      </c>
      <c r="C589" s="43"/>
      <c r="D589" s="42" t="s">
        <v>49</v>
      </c>
      <c r="E589" s="42" t="s">
        <v>96</v>
      </c>
      <c r="F589" s="42" t="s">
        <v>49</v>
      </c>
      <c r="G589" s="42" t="s">
        <v>97</v>
      </c>
      <c r="H589" s="42" t="s">
        <v>98</v>
      </c>
      <c r="I589" s="42" t="s">
        <v>49</v>
      </c>
      <c r="J589" s="43"/>
      <c r="K589" s="53">
        <v>10</v>
      </c>
      <c r="L589" s="53">
        <v>10</v>
      </c>
      <c r="M589" s="53">
        <v>0</v>
      </c>
      <c r="N589" s="53">
        <v>0</v>
      </c>
      <c r="O589" s="53">
        <v>10</v>
      </c>
      <c r="P589" s="54">
        <v>0.11</v>
      </c>
      <c r="Q589" s="60">
        <v>1.13</v>
      </c>
      <c r="R589" s="59"/>
      <c r="S589" s="60">
        <v>1.13</v>
      </c>
    </row>
    <row r="590" ht="20" customHeight="1" spans="1:19">
      <c r="A590" s="42" t="s">
        <v>94</v>
      </c>
      <c r="B590" s="42" t="s">
        <v>95</v>
      </c>
      <c r="C590" s="43"/>
      <c r="D590" s="42" t="s">
        <v>49</v>
      </c>
      <c r="E590" s="42" t="s">
        <v>96</v>
      </c>
      <c r="F590" s="42" t="s">
        <v>49</v>
      </c>
      <c r="G590" s="42" t="s">
        <v>97</v>
      </c>
      <c r="H590" s="42" t="s">
        <v>98</v>
      </c>
      <c r="I590" s="42" t="s">
        <v>49</v>
      </c>
      <c r="J590" s="43"/>
      <c r="K590" s="53">
        <v>1692</v>
      </c>
      <c r="L590" s="53">
        <v>1692</v>
      </c>
      <c r="M590" s="53">
        <v>0</v>
      </c>
      <c r="N590" s="53">
        <v>0</v>
      </c>
      <c r="O590" s="53">
        <v>1692</v>
      </c>
      <c r="P590" s="54">
        <v>0.11</v>
      </c>
      <c r="Q590" s="60">
        <v>191.47</v>
      </c>
      <c r="R590" s="59"/>
      <c r="S590" s="60">
        <v>191.47</v>
      </c>
    </row>
    <row r="591" ht="20" customHeight="1" spans="1:19">
      <c r="A591" s="42" t="s">
        <v>94</v>
      </c>
      <c r="B591" s="42" t="s">
        <v>95</v>
      </c>
      <c r="C591" s="43"/>
      <c r="D591" s="42" t="s">
        <v>49</v>
      </c>
      <c r="E591" s="42" t="s">
        <v>96</v>
      </c>
      <c r="F591" s="42" t="s">
        <v>49</v>
      </c>
      <c r="G591" s="42" t="s">
        <v>97</v>
      </c>
      <c r="H591" s="42" t="s">
        <v>98</v>
      </c>
      <c r="I591" s="42" t="s">
        <v>49</v>
      </c>
      <c r="J591" s="43"/>
      <c r="K591" s="53">
        <v>8</v>
      </c>
      <c r="L591" s="53">
        <v>8</v>
      </c>
      <c r="M591" s="53">
        <v>0</v>
      </c>
      <c r="N591" s="53">
        <v>0</v>
      </c>
      <c r="O591" s="53">
        <v>8</v>
      </c>
      <c r="P591" s="54">
        <v>0.11</v>
      </c>
      <c r="Q591" s="60">
        <v>0.91</v>
      </c>
      <c r="R591" s="59"/>
      <c r="S591" s="60">
        <v>0.91</v>
      </c>
    </row>
    <row r="592" ht="20" customHeight="1" spans="1:19">
      <c r="A592" s="42" t="s">
        <v>99</v>
      </c>
      <c r="B592" s="42" t="s">
        <v>100</v>
      </c>
      <c r="C592" s="43"/>
      <c r="D592" s="42" t="s">
        <v>49</v>
      </c>
      <c r="E592" s="42" t="s">
        <v>101</v>
      </c>
      <c r="F592" s="42" t="s">
        <v>49</v>
      </c>
      <c r="G592" s="42" t="s">
        <v>102</v>
      </c>
      <c r="H592" s="42" t="s">
        <v>103</v>
      </c>
      <c r="I592" s="42" t="s">
        <v>49</v>
      </c>
      <c r="J592" s="43"/>
      <c r="K592" s="53">
        <v>19224</v>
      </c>
      <c r="L592" s="53">
        <v>19224</v>
      </c>
      <c r="M592" s="53">
        <v>0</v>
      </c>
      <c r="N592" s="53">
        <v>0</v>
      </c>
      <c r="O592" s="53">
        <v>19224</v>
      </c>
      <c r="P592" s="54">
        <v>0.01</v>
      </c>
      <c r="Q592" s="60">
        <v>139.95</v>
      </c>
      <c r="R592" s="59"/>
      <c r="S592" s="60">
        <v>139.95</v>
      </c>
    </row>
    <row r="593" ht="20" customHeight="1" spans="1:19">
      <c r="A593" s="42" t="s">
        <v>99</v>
      </c>
      <c r="B593" s="42" t="s">
        <v>100</v>
      </c>
      <c r="C593" s="43"/>
      <c r="D593" s="42" t="s">
        <v>49</v>
      </c>
      <c r="E593" s="42" t="s">
        <v>101</v>
      </c>
      <c r="F593" s="42" t="s">
        <v>49</v>
      </c>
      <c r="G593" s="42" t="s">
        <v>102</v>
      </c>
      <c r="H593" s="42" t="s">
        <v>103</v>
      </c>
      <c r="I593" s="42" t="s">
        <v>49</v>
      </c>
      <c r="J593" s="43"/>
      <c r="K593" s="53">
        <v>156</v>
      </c>
      <c r="L593" s="53">
        <v>156</v>
      </c>
      <c r="M593" s="53">
        <v>0</v>
      </c>
      <c r="N593" s="53">
        <v>0</v>
      </c>
      <c r="O593" s="53">
        <v>156</v>
      </c>
      <c r="P593" s="54">
        <v>0.01</v>
      </c>
      <c r="Q593" s="60">
        <v>1.14</v>
      </c>
      <c r="R593" s="59"/>
      <c r="S593" s="60">
        <v>1.14</v>
      </c>
    </row>
    <row r="594" ht="20" customHeight="1" spans="1:19">
      <c r="A594" s="42" t="s">
        <v>99</v>
      </c>
      <c r="B594" s="42" t="s">
        <v>100</v>
      </c>
      <c r="C594" s="43"/>
      <c r="D594" s="42" t="s">
        <v>49</v>
      </c>
      <c r="E594" s="42" t="s">
        <v>101</v>
      </c>
      <c r="F594" s="42" t="s">
        <v>49</v>
      </c>
      <c r="G594" s="42" t="s">
        <v>102</v>
      </c>
      <c r="H594" s="42" t="s">
        <v>103</v>
      </c>
      <c r="I594" s="42" t="s">
        <v>49</v>
      </c>
      <c r="J594" s="43"/>
      <c r="K594" s="53">
        <v>180</v>
      </c>
      <c r="L594" s="53">
        <v>180</v>
      </c>
      <c r="M594" s="53">
        <v>0</v>
      </c>
      <c r="N594" s="53">
        <v>0</v>
      </c>
      <c r="O594" s="53">
        <v>180</v>
      </c>
      <c r="P594" s="54">
        <v>0.01</v>
      </c>
      <c r="Q594" s="60">
        <v>1.31</v>
      </c>
      <c r="R594" s="59"/>
      <c r="S594" s="60">
        <v>1.31</v>
      </c>
    </row>
    <row r="595" ht="20" customHeight="1" spans="1:19">
      <c r="A595" s="42" t="s">
        <v>99</v>
      </c>
      <c r="B595" s="42" t="s">
        <v>100</v>
      </c>
      <c r="C595" s="43"/>
      <c r="D595" s="42" t="s">
        <v>49</v>
      </c>
      <c r="E595" s="42" t="s">
        <v>101</v>
      </c>
      <c r="F595" s="42" t="s">
        <v>49</v>
      </c>
      <c r="G595" s="42" t="s">
        <v>102</v>
      </c>
      <c r="H595" s="42" t="s">
        <v>103</v>
      </c>
      <c r="I595" s="42" t="s">
        <v>49</v>
      </c>
      <c r="J595" s="43"/>
      <c r="K595" s="53">
        <v>24</v>
      </c>
      <c r="L595" s="53">
        <v>24</v>
      </c>
      <c r="M595" s="53">
        <v>0</v>
      </c>
      <c r="N595" s="53">
        <v>0</v>
      </c>
      <c r="O595" s="53">
        <v>24</v>
      </c>
      <c r="P595" s="54">
        <v>0.01</v>
      </c>
      <c r="Q595" s="60">
        <v>0.17</v>
      </c>
      <c r="R595" s="59"/>
      <c r="S595" s="60">
        <v>0.17</v>
      </c>
    </row>
    <row r="596" ht="13" customHeight="1" spans="1:19">
      <c r="A596" s="46" t="s">
        <v>127</v>
      </c>
      <c r="B596" s="47"/>
      <c r="C596" s="47"/>
      <c r="D596" s="47"/>
      <c r="E596" s="47"/>
      <c r="F596" s="47"/>
      <c r="G596" s="47"/>
      <c r="H596" s="47"/>
      <c r="I596" s="47"/>
      <c r="J596" s="55"/>
      <c r="K596" s="46" t="s">
        <v>128</v>
      </c>
      <c r="L596" s="56">
        <v>60462</v>
      </c>
      <c r="M596" s="57">
        <v>0</v>
      </c>
      <c r="N596" s="57">
        <v>0</v>
      </c>
      <c r="O596" s="57">
        <v>60462</v>
      </c>
      <c r="P596" s="58" t="s">
        <v>49</v>
      </c>
      <c r="Q596" s="61"/>
      <c r="R596" s="61"/>
      <c r="S596" s="62">
        <v>621.22</v>
      </c>
    </row>
    <row r="597" ht="19" customHeight="1" spans="1:19">
      <c r="A597" s="42" t="s">
        <v>129</v>
      </c>
      <c r="B597" s="43"/>
      <c r="C597" s="43"/>
      <c r="D597" s="48" t="s">
        <v>130</v>
      </c>
      <c r="E597" s="49" t="s">
        <v>131</v>
      </c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55"/>
      <c r="S597" s="55"/>
    </row>
    <row r="598" ht="19" customHeight="1" spans="1:19">
      <c r="A598" s="48" t="s">
        <v>130</v>
      </c>
      <c r="B598" s="50"/>
      <c r="C598" s="50"/>
      <c r="D598" s="48" t="s">
        <v>130</v>
      </c>
      <c r="E598" s="48" t="s">
        <v>109</v>
      </c>
      <c r="F598" s="51">
        <v>700</v>
      </c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55"/>
      <c r="S598" s="55"/>
    </row>
    <row r="599" ht="12" customHeight="1" spans="1:19">
      <c r="A599" s="45" t="s">
        <v>49</v>
      </c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55"/>
      <c r="S599" s="55"/>
    </row>
    <row r="600" ht="14" customHeight="1" spans="1:19">
      <c r="A600" s="42" t="s">
        <v>64</v>
      </c>
      <c r="B600" s="43"/>
      <c r="C600" s="43"/>
      <c r="D600" s="44" t="s">
        <v>114</v>
      </c>
      <c r="E600" s="42" t="s">
        <v>66</v>
      </c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</row>
    <row r="601" ht="14" customHeight="1" spans="1:19">
      <c r="A601" s="42" t="s">
        <v>67</v>
      </c>
      <c r="B601" s="43"/>
      <c r="C601" s="43"/>
      <c r="D601" s="44" t="s">
        <v>114</v>
      </c>
      <c r="E601" s="42" t="s">
        <v>68</v>
      </c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</row>
    <row r="602" ht="14" customHeight="1" spans="1:19">
      <c r="A602" s="42" t="s">
        <v>79</v>
      </c>
      <c r="B602" s="43"/>
      <c r="C602" s="43"/>
      <c r="D602" s="44" t="s">
        <v>114</v>
      </c>
      <c r="E602" s="42" t="s">
        <v>80</v>
      </c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</row>
    <row r="603" ht="14" customHeight="1" spans="1:19">
      <c r="A603" s="42" t="s">
        <v>69</v>
      </c>
      <c r="B603" s="43"/>
      <c r="C603" s="43"/>
      <c r="D603" s="44" t="s">
        <v>114</v>
      </c>
      <c r="E603" s="42" t="s">
        <v>115</v>
      </c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</row>
    <row r="604" ht="14" customHeight="1" spans="1:19">
      <c r="A604" s="42" t="s">
        <v>116</v>
      </c>
      <c r="B604" s="43"/>
      <c r="C604" s="43"/>
      <c r="D604" s="44" t="s">
        <v>114</v>
      </c>
      <c r="E604" s="42" t="s">
        <v>161</v>
      </c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</row>
    <row r="605" ht="14" customHeight="1" spans="1:19">
      <c r="A605" s="42" t="s">
        <v>73</v>
      </c>
      <c r="B605" s="43"/>
      <c r="C605" s="43"/>
      <c r="D605" s="44" t="s">
        <v>114</v>
      </c>
      <c r="E605" s="42" t="s">
        <v>74</v>
      </c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</row>
    <row r="606" ht="14" customHeight="1" spans="1:19">
      <c r="A606" s="42" t="s">
        <v>75</v>
      </c>
      <c r="B606" s="43"/>
      <c r="C606" s="43"/>
      <c r="D606" s="44" t="s">
        <v>114</v>
      </c>
      <c r="E606" s="42" t="s">
        <v>76</v>
      </c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</row>
    <row r="607" ht="14" customHeight="1" spans="1:19">
      <c r="A607" s="42" t="s">
        <v>77</v>
      </c>
      <c r="B607" s="43"/>
      <c r="C607" s="43"/>
      <c r="D607" s="44" t="s">
        <v>114</v>
      </c>
      <c r="E607" s="42" t="s">
        <v>78</v>
      </c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</row>
    <row r="608" ht="17" customHeight="1" spans="1:19">
      <c r="A608" s="45" t="s">
        <v>49</v>
      </c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</row>
    <row r="609" ht="14" customHeight="1" spans="1:19">
      <c r="A609" s="42" t="s">
        <v>81</v>
      </c>
      <c r="B609" s="42" t="s">
        <v>82</v>
      </c>
      <c r="C609" s="43"/>
      <c r="D609" s="42" t="s">
        <v>49</v>
      </c>
      <c r="E609" s="42" t="s">
        <v>84</v>
      </c>
      <c r="F609" s="42" t="s">
        <v>85</v>
      </c>
      <c r="G609" s="42" t="s">
        <v>86</v>
      </c>
      <c r="H609" s="42" t="s">
        <v>87</v>
      </c>
      <c r="I609" s="42" t="s">
        <v>88</v>
      </c>
      <c r="J609" s="43"/>
      <c r="K609" s="52" t="s">
        <v>118</v>
      </c>
      <c r="L609" s="52" t="s">
        <v>119</v>
      </c>
      <c r="M609" s="52" t="s">
        <v>120</v>
      </c>
      <c r="N609" s="52" t="s">
        <v>121</v>
      </c>
      <c r="O609" s="52" t="s">
        <v>122</v>
      </c>
      <c r="P609" s="52" t="s">
        <v>90</v>
      </c>
      <c r="Q609" s="52" t="s">
        <v>91</v>
      </c>
      <c r="R609" s="59"/>
      <c r="S609" s="52" t="s">
        <v>123</v>
      </c>
    </row>
    <row r="610" ht="20" customHeight="1" spans="1:19">
      <c r="A610" s="42" t="s">
        <v>124</v>
      </c>
      <c r="B610" s="42" t="s">
        <v>125</v>
      </c>
      <c r="C610" s="43"/>
      <c r="D610" s="42" t="s">
        <v>49</v>
      </c>
      <c r="E610" s="42" t="s">
        <v>126</v>
      </c>
      <c r="F610" s="42" t="s">
        <v>49</v>
      </c>
      <c r="G610" s="42" t="s">
        <v>102</v>
      </c>
      <c r="H610" s="42" t="s">
        <v>103</v>
      </c>
      <c r="I610" s="42" t="s">
        <v>49</v>
      </c>
      <c r="J610" s="43"/>
      <c r="K610" s="53">
        <v>4752</v>
      </c>
      <c r="L610" s="53">
        <v>4752</v>
      </c>
      <c r="M610" s="53">
        <v>0</v>
      </c>
      <c r="N610" s="53">
        <v>0</v>
      </c>
      <c r="O610" s="53">
        <v>4752</v>
      </c>
      <c r="P610" s="54">
        <v>0.01</v>
      </c>
      <c r="Q610" s="60">
        <v>34.59</v>
      </c>
      <c r="R610" s="59"/>
      <c r="S610" s="60">
        <v>34.59</v>
      </c>
    </row>
    <row r="611" ht="20" customHeight="1" spans="1:19">
      <c r="A611" s="42" t="s">
        <v>124</v>
      </c>
      <c r="B611" s="42" t="s">
        <v>125</v>
      </c>
      <c r="C611" s="43"/>
      <c r="D611" s="42" t="s">
        <v>49</v>
      </c>
      <c r="E611" s="42" t="s">
        <v>126</v>
      </c>
      <c r="F611" s="42" t="s">
        <v>49</v>
      </c>
      <c r="G611" s="42" t="s">
        <v>102</v>
      </c>
      <c r="H611" s="42" t="s">
        <v>103</v>
      </c>
      <c r="I611" s="42" t="s">
        <v>49</v>
      </c>
      <c r="J611" s="43"/>
      <c r="K611" s="53">
        <v>144</v>
      </c>
      <c r="L611" s="53">
        <v>144</v>
      </c>
      <c r="M611" s="53">
        <v>0</v>
      </c>
      <c r="N611" s="53">
        <v>0</v>
      </c>
      <c r="O611" s="53">
        <v>144</v>
      </c>
      <c r="P611" s="54">
        <v>0.01</v>
      </c>
      <c r="Q611" s="60">
        <v>1.05</v>
      </c>
      <c r="R611" s="59"/>
      <c r="S611" s="60">
        <v>1.05</v>
      </c>
    </row>
    <row r="612" ht="20" customHeight="1" spans="1:19">
      <c r="A612" s="42" t="s">
        <v>124</v>
      </c>
      <c r="B612" s="42" t="s">
        <v>125</v>
      </c>
      <c r="C612" s="43"/>
      <c r="D612" s="42" t="s">
        <v>49</v>
      </c>
      <c r="E612" s="42" t="s">
        <v>126</v>
      </c>
      <c r="F612" s="42" t="s">
        <v>49</v>
      </c>
      <c r="G612" s="42" t="s">
        <v>102</v>
      </c>
      <c r="H612" s="42" t="s">
        <v>103</v>
      </c>
      <c r="I612" s="42" t="s">
        <v>49</v>
      </c>
      <c r="J612" s="43"/>
      <c r="K612" s="53">
        <v>34272</v>
      </c>
      <c r="L612" s="53">
        <v>34272</v>
      </c>
      <c r="M612" s="53">
        <v>0</v>
      </c>
      <c r="N612" s="53">
        <v>0</v>
      </c>
      <c r="O612" s="53">
        <v>34272</v>
      </c>
      <c r="P612" s="54">
        <v>0.01</v>
      </c>
      <c r="Q612" s="60">
        <v>249.5</v>
      </c>
      <c r="R612" s="59"/>
      <c r="S612" s="60">
        <v>249.5</v>
      </c>
    </row>
    <row r="613" ht="20" customHeight="1" spans="1:19">
      <c r="A613" s="42" t="s">
        <v>94</v>
      </c>
      <c r="B613" s="42" t="s">
        <v>95</v>
      </c>
      <c r="C613" s="43"/>
      <c r="D613" s="42" t="s">
        <v>49</v>
      </c>
      <c r="E613" s="42" t="s">
        <v>96</v>
      </c>
      <c r="F613" s="42" t="s">
        <v>49</v>
      </c>
      <c r="G613" s="42" t="s">
        <v>97</v>
      </c>
      <c r="H613" s="42" t="s">
        <v>98</v>
      </c>
      <c r="I613" s="42" t="s">
        <v>49</v>
      </c>
      <c r="J613" s="43"/>
      <c r="K613" s="53">
        <v>10</v>
      </c>
      <c r="L613" s="53">
        <v>10</v>
      </c>
      <c r="M613" s="53">
        <v>0</v>
      </c>
      <c r="N613" s="53">
        <v>0</v>
      </c>
      <c r="O613" s="53">
        <v>10</v>
      </c>
      <c r="P613" s="54">
        <v>0.11</v>
      </c>
      <c r="Q613" s="60">
        <v>1.13</v>
      </c>
      <c r="R613" s="59"/>
      <c r="S613" s="60">
        <v>1.13</v>
      </c>
    </row>
    <row r="614" ht="20" customHeight="1" spans="1:19">
      <c r="A614" s="42" t="s">
        <v>94</v>
      </c>
      <c r="B614" s="42" t="s">
        <v>95</v>
      </c>
      <c r="C614" s="43"/>
      <c r="D614" s="42" t="s">
        <v>49</v>
      </c>
      <c r="E614" s="42" t="s">
        <v>96</v>
      </c>
      <c r="F614" s="42" t="s">
        <v>49</v>
      </c>
      <c r="G614" s="42" t="s">
        <v>97</v>
      </c>
      <c r="H614" s="42" t="s">
        <v>98</v>
      </c>
      <c r="I614" s="42" t="s">
        <v>49</v>
      </c>
      <c r="J614" s="43"/>
      <c r="K614" s="53">
        <v>1692</v>
      </c>
      <c r="L614" s="53">
        <v>1692</v>
      </c>
      <c r="M614" s="53">
        <v>0</v>
      </c>
      <c r="N614" s="53">
        <v>0</v>
      </c>
      <c r="O614" s="53">
        <v>1692</v>
      </c>
      <c r="P614" s="54">
        <v>0.11</v>
      </c>
      <c r="Q614" s="60">
        <v>191.47</v>
      </c>
      <c r="R614" s="59"/>
      <c r="S614" s="60">
        <v>191.47</v>
      </c>
    </row>
    <row r="615" ht="20" customHeight="1" spans="1:19">
      <c r="A615" s="42" t="s">
        <v>94</v>
      </c>
      <c r="B615" s="42" t="s">
        <v>95</v>
      </c>
      <c r="C615" s="43"/>
      <c r="D615" s="42" t="s">
        <v>49</v>
      </c>
      <c r="E615" s="42" t="s">
        <v>96</v>
      </c>
      <c r="F615" s="42" t="s">
        <v>49</v>
      </c>
      <c r="G615" s="42" t="s">
        <v>97</v>
      </c>
      <c r="H615" s="42" t="s">
        <v>98</v>
      </c>
      <c r="I615" s="42" t="s">
        <v>49</v>
      </c>
      <c r="J615" s="43"/>
      <c r="K615" s="53">
        <v>8</v>
      </c>
      <c r="L615" s="53">
        <v>8</v>
      </c>
      <c r="M615" s="53">
        <v>0</v>
      </c>
      <c r="N615" s="53">
        <v>0</v>
      </c>
      <c r="O615" s="53">
        <v>8</v>
      </c>
      <c r="P615" s="54">
        <v>0.11</v>
      </c>
      <c r="Q615" s="60">
        <v>0.91</v>
      </c>
      <c r="R615" s="59"/>
      <c r="S615" s="60">
        <v>0.91</v>
      </c>
    </row>
    <row r="616" ht="20" customHeight="1" spans="1:19">
      <c r="A616" s="42" t="s">
        <v>99</v>
      </c>
      <c r="B616" s="42" t="s">
        <v>100</v>
      </c>
      <c r="C616" s="43"/>
      <c r="D616" s="42" t="s">
        <v>49</v>
      </c>
      <c r="E616" s="42" t="s">
        <v>101</v>
      </c>
      <c r="F616" s="42" t="s">
        <v>49</v>
      </c>
      <c r="G616" s="42" t="s">
        <v>102</v>
      </c>
      <c r="H616" s="42" t="s">
        <v>103</v>
      </c>
      <c r="I616" s="42" t="s">
        <v>49</v>
      </c>
      <c r="J616" s="43"/>
      <c r="K616" s="53">
        <v>24</v>
      </c>
      <c r="L616" s="53">
        <v>24</v>
      </c>
      <c r="M616" s="53">
        <v>0</v>
      </c>
      <c r="N616" s="53">
        <v>0</v>
      </c>
      <c r="O616" s="53">
        <v>24</v>
      </c>
      <c r="P616" s="54">
        <v>0.01</v>
      </c>
      <c r="Q616" s="60">
        <v>0.17</v>
      </c>
      <c r="R616" s="59"/>
      <c r="S616" s="60">
        <v>0.17</v>
      </c>
    </row>
    <row r="617" ht="20" customHeight="1" spans="1:19">
      <c r="A617" s="42" t="s">
        <v>99</v>
      </c>
      <c r="B617" s="42" t="s">
        <v>100</v>
      </c>
      <c r="C617" s="43"/>
      <c r="D617" s="42" t="s">
        <v>49</v>
      </c>
      <c r="E617" s="42" t="s">
        <v>101</v>
      </c>
      <c r="F617" s="42" t="s">
        <v>49</v>
      </c>
      <c r="G617" s="42" t="s">
        <v>102</v>
      </c>
      <c r="H617" s="42" t="s">
        <v>103</v>
      </c>
      <c r="I617" s="42" t="s">
        <v>49</v>
      </c>
      <c r="J617" s="43"/>
      <c r="K617" s="53">
        <v>156</v>
      </c>
      <c r="L617" s="53">
        <v>156</v>
      </c>
      <c r="M617" s="53">
        <v>0</v>
      </c>
      <c r="N617" s="53">
        <v>0</v>
      </c>
      <c r="O617" s="53">
        <v>156</v>
      </c>
      <c r="P617" s="54">
        <v>0.01</v>
      </c>
      <c r="Q617" s="60">
        <v>1.14</v>
      </c>
      <c r="R617" s="59"/>
      <c r="S617" s="60">
        <v>1.14</v>
      </c>
    </row>
    <row r="618" ht="20" customHeight="1" spans="1:19">
      <c r="A618" s="42" t="s">
        <v>99</v>
      </c>
      <c r="B618" s="42" t="s">
        <v>100</v>
      </c>
      <c r="C618" s="43"/>
      <c r="D618" s="42" t="s">
        <v>49</v>
      </c>
      <c r="E618" s="42" t="s">
        <v>101</v>
      </c>
      <c r="F618" s="42" t="s">
        <v>49</v>
      </c>
      <c r="G618" s="42" t="s">
        <v>102</v>
      </c>
      <c r="H618" s="42" t="s">
        <v>103</v>
      </c>
      <c r="I618" s="42" t="s">
        <v>49</v>
      </c>
      <c r="J618" s="43"/>
      <c r="K618" s="53">
        <v>180</v>
      </c>
      <c r="L618" s="53">
        <v>180</v>
      </c>
      <c r="M618" s="53">
        <v>0</v>
      </c>
      <c r="N618" s="53">
        <v>0</v>
      </c>
      <c r="O618" s="53">
        <v>180</v>
      </c>
      <c r="P618" s="54">
        <v>0.01</v>
      </c>
      <c r="Q618" s="60">
        <v>1.31</v>
      </c>
      <c r="R618" s="59"/>
      <c r="S618" s="60">
        <v>1.31</v>
      </c>
    </row>
    <row r="619" ht="20" customHeight="1" spans="1:19">
      <c r="A619" s="42" t="s">
        <v>99</v>
      </c>
      <c r="B619" s="42" t="s">
        <v>100</v>
      </c>
      <c r="C619" s="43"/>
      <c r="D619" s="42" t="s">
        <v>49</v>
      </c>
      <c r="E619" s="42" t="s">
        <v>101</v>
      </c>
      <c r="F619" s="42" t="s">
        <v>49</v>
      </c>
      <c r="G619" s="42" t="s">
        <v>102</v>
      </c>
      <c r="H619" s="42" t="s">
        <v>103</v>
      </c>
      <c r="I619" s="42" t="s">
        <v>49</v>
      </c>
      <c r="J619" s="43"/>
      <c r="K619" s="53">
        <v>19224</v>
      </c>
      <c r="L619" s="53">
        <v>19224</v>
      </c>
      <c r="M619" s="53">
        <v>0</v>
      </c>
      <c r="N619" s="53">
        <v>0</v>
      </c>
      <c r="O619" s="53">
        <v>19224</v>
      </c>
      <c r="P619" s="54">
        <v>0.01</v>
      </c>
      <c r="Q619" s="60">
        <v>139.95</v>
      </c>
      <c r="R619" s="59"/>
      <c r="S619" s="60">
        <v>139.95</v>
      </c>
    </row>
    <row r="620" ht="13" customHeight="1" spans="1:19">
      <c r="A620" s="46" t="s">
        <v>127</v>
      </c>
      <c r="B620" s="47"/>
      <c r="C620" s="47"/>
      <c r="D620" s="47"/>
      <c r="E620" s="47"/>
      <c r="F620" s="47"/>
      <c r="G620" s="47"/>
      <c r="H620" s="47"/>
      <c r="I620" s="47"/>
      <c r="J620" s="55"/>
      <c r="K620" s="46" t="s">
        <v>128</v>
      </c>
      <c r="L620" s="56">
        <v>60462</v>
      </c>
      <c r="M620" s="57">
        <v>0</v>
      </c>
      <c r="N620" s="57">
        <v>0</v>
      </c>
      <c r="O620" s="57">
        <v>60462</v>
      </c>
      <c r="P620" s="58" t="s">
        <v>49</v>
      </c>
      <c r="Q620" s="61"/>
      <c r="R620" s="61"/>
      <c r="S620" s="62">
        <v>621.22</v>
      </c>
    </row>
    <row r="621" ht="19" customHeight="1" spans="1:19">
      <c r="A621" s="42" t="s">
        <v>129</v>
      </c>
      <c r="B621" s="43"/>
      <c r="C621" s="43"/>
      <c r="D621" s="48" t="s">
        <v>130</v>
      </c>
      <c r="E621" s="49" t="s">
        <v>131</v>
      </c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55"/>
      <c r="S621" s="55"/>
    </row>
    <row r="622" ht="19" customHeight="1" spans="1:19">
      <c r="A622" s="48" t="s">
        <v>130</v>
      </c>
      <c r="B622" s="50"/>
      <c r="C622" s="50"/>
      <c r="D622" s="48" t="s">
        <v>130</v>
      </c>
      <c r="E622" s="48" t="s">
        <v>109</v>
      </c>
      <c r="F622" s="51">
        <v>700</v>
      </c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55"/>
      <c r="S622" s="55"/>
    </row>
    <row r="623" ht="12" customHeight="1" spans="1:19">
      <c r="A623" s="45" t="s">
        <v>49</v>
      </c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55"/>
      <c r="S623" s="55"/>
    </row>
    <row r="624" ht="23" customHeight="1" spans="1:19">
      <c r="A624" s="42" t="s">
        <v>162</v>
      </c>
      <c r="B624" s="43"/>
      <c r="C624" s="43"/>
      <c r="D624" s="63" t="s">
        <v>163</v>
      </c>
      <c r="E624" s="48" t="s">
        <v>109</v>
      </c>
      <c r="F624" s="51">
        <v>0</v>
      </c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</row>
    <row r="625" spans="6:19">
      <c r="F625" s="51" t="s">
        <v>164</v>
      </c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</row>
    <row r="626" spans="6:12">
      <c r="F626" s="64" t="s">
        <v>165</v>
      </c>
      <c r="G626" s="64"/>
      <c r="H626" s="64"/>
      <c r="I626" s="64"/>
      <c r="J626" s="64"/>
      <c r="K626" s="64"/>
      <c r="L626" s="64"/>
    </row>
  </sheetData>
  <autoFilter xmlns:etc="http://www.wps.cn/officeDocument/2017/etCustomData" ref="A12:S626" etc:filterBottomFollowUsedRange="0">
    <extLst/>
  </autoFilter>
  <mergeCells count="140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A237:I237"/>
    <mergeCell ref="P237:R237"/>
    <mergeCell ref="A238:C238"/>
    <mergeCell ref="E238:Q238"/>
    <mergeCell ref="A239:C239"/>
    <mergeCell ref="F239:Q239"/>
    <mergeCell ref="A240:Q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S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A254:I254"/>
    <mergeCell ref="P254:R254"/>
    <mergeCell ref="A255:C255"/>
    <mergeCell ref="E255:Q255"/>
    <mergeCell ref="A256:C256"/>
    <mergeCell ref="F256:Q256"/>
    <mergeCell ref="A257:Q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S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A288:I288"/>
    <mergeCell ref="P288:R288"/>
    <mergeCell ref="A289:C289"/>
    <mergeCell ref="E289:Q289"/>
    <mergeCell ref="A290:C290"/>
    <mergeCell ref="F290:Q290"/>
    <mergeCell ref="A291:Q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S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A308:I308"/>
    <mergeCell ref="P308:R308"/>
    <mergeCell ref="A309:C309"/>
    <mergeCell ref="E309:Q309"/>
    <mergeCell ref="A310:C310"/>
    <mergeCell ref="F310:Q310"/>
    <mergeCell ref="A311:Q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C317"/>
    <mergeCell ref="E317:S317"/>
    <mergeCell ref="A318:C318"/>
    <mergeCell ref="E318:S318"/>
    <mergeCell ref="A319:C319"/>
    <mergeCell ref="E319:S319"/>
    <mergeCell ref="A320:S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A332:I332"/>
    <mergeCell ref="P332:R332"/>
    <mergeCell ref="A333:C333"/>
    <mergeCell ref="E333:Q333"/>
    <mergeCell ref="A334:C334"/>
    <mergeCell ref="F334:Q334"/>
    <mergeCell ref="A335:Q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C340"/>
    <mergeCell ref="E340:S340"/>
    <mergeCell ref="A341:C341"/>
    <mergeCell ref="E341:S341"/>
    <mergeCell ref="A342:C342"/>
    <mergeCell ref="E342:S342"/>
    <mergeCell ref="A343:C343"/>
    <mergeCell ref="E343:S343"/>
    <mergeCell ref="A344:S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A380:I380"/>
    <mergeCell ref="P380:R380"/>
    <mergeCell ref="A381:C381"/>
    <mergeCell ref="E381:Q381"/>
    <mergeCell ref="A382:C382"/>
    <mergeCell ref="F382:Q382"/>
    <mergeCell ref="A383:Q383"/>
    <mergeCell ref="A384:C384"/>
    <mergeCell ref="E384:S384"/>
    <mergeCell ref="A385:C385"/>
    <mergeCell ref="E385:S385"/>
    <mergeCell ref="A386:C386"/>
    <mergeCell ref="E386:S386"/>
    <mergeCell ref="A387:C387"/>
    <mergeCell ref="E387:S387"/>
    <mergeCell ref="A388:C388"/>
    <mergeCell ref="E388:S388"/>
    <mergeCell ref="A389:C389"/>
    <mergeCell ref="E389:S389"/>
    <mergeCell ref="A390:C390"/>
    <mergeCell ref="E390:S390"/>
    <mergeCell ref="A391:C391"/>
    <mergeCell ref="E391:S391"/>
    <mergeCell ref="A392:S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A404:I404"/>
    <mergeCell ref="P404:R404"/>
    <mergeCell ref="A405:C405"/>
    <mergeCell ref="E405:Q405"/>
    <mergeCell ref="A406:C406"/>
    <mergeCell ref="F406:Q406"/>
    <mergeCell ref="A407:Q407"/>
    <mergeCell ref="A408:C408"/>
    <mergeCell ref="E408:S408"/>
    <mergeCell ref="A409:C409"/>
    <mergeCell ref="E409:S409"/>
    <mergeCell ref="A410:C410"/>
    <mergeCell ref="E410:S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S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A428:I428"/>
    <mergeCell ref="P428:R428"/>
    <mergeCell ref="A429:C429"/>
    <mergeCell ref="E429:Q429"/>
    <mergeCell ref="A430:C430"/>
    <mergeCell ref="F430:Q430"/>
    <mergeCell ref="A431:Q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S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A452:I452"/>
    <mergeCell ref="P452:R452"/>
    <mergeCell ref="A453:C453"/>
    <mergeCell ref="E453:Q453"/>
    <mergeCell ref="A454:C454"/>
    <mergeCell ref="F454:Q454"/>
    <mergeCell ref="A455:Q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S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A476:I476"/>
    <mergeCell ref="P476:R476"/>
    <mergeCell ref="A477:C477"/>
    <mergeCell ref="E477:Q477"/>
    <mergeCell ref="A478:C478"/>
    <mergeCell ref="F478:Q478"/>
    <mergeCell ref="A479:Q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C487"/>
    <mergeCell ref="E487:S487"/>
    <mergeCell ref="A488:S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A500:I500"/>
    <mergeCell ref="P500:R500"/>
    <mergeCell ref="A501:C501"/>
    <mergeCell ref="E501:Q501"/>
    <mergeCell ref="A502:C502"/>
    <mergeCell ref="F502:Q502"/>
    <mergeCell ref="A503:Q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C511"/>
    <mergeCell ref="E511:S511"/>
    <mergeCell ref="A512:S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A548:I548"/>
    <mergeCell ref="P548:R548"/>
    <mergeCell ref="A549:C549"/>
    <mergeCell ref="E549:Q549"/>
    <mergeCell ref="A550:C550"/>
    <mergeCell ref="F550:Q550"/>
    <mergeCell ref="A551:Q551"/>
    <mergeCell ref="A552:C552"/>
    <mergeCell ref="E552:S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S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A572:I572"/>
    <mergeCell ref="P572:R572"/>
    <mergeCell ref="A573:C573"/>
    <mergeCell ref="E573:Q573"/>
    <mergeCell ref="A574:C574"/>
    <mergeCell ref="F574:Q574"/>
    <mergeCell ref="A575:Q575"/>
    <mergeCell ref="A576:C576"/>
    <mergeCell ref="E576:S576"/>
    <mergeCell ref="A577:C577"/>
    <mergeCell ref="E577:S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S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A596:I596"/>
    <mergeCell ref="P596:R596"/>
    <mergeCell ref="A597:C597"/>
    <mergeCell ref="E597:Q597"/>
    <mergeCell ref="A598:C598"/>
    <mergeCell ref="F598:Q598"/>
    <mergeCell ref="A599:Q599"/>
    <mergeCell ref="A600:C600"/>
    <mergeCell ref="E600:S600"/>
    <mergeCell ref="A601:C601"/>
    <mergeCell ref="E601:S601"/>
    <mergeCell ref="A602:C602"/>
    <mergeCell ref="E602:S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S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A620:I620"/>
    <mergeCell ref="P620:R620"/>
    <mergeCell ref="A621:C621"/>
    <mergeCell ref="E621:Q621"/>
    <mergeCell ref="A622:C622"/>
    <mergeCell ref="F622:Q622"/>
    <mergeCell ref="A623:Q623"/>
    <mergeCell ref="A624:C624"/>
    <mergeCell ref="F624:S624"/>
    <mergeCell ref="F625:S625"/>
    <mergeCell ref="F626:L626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25"/>
  <sheetViews>
    <sheetView topLeftCell="A4" workbookViewId="0">
      <selection activeCell="A29" sqref="A29"/>
    </sheetView>
  </sheetViews>
  <sheetFormatPr defaultColWidth="9" defaultRowHeight="14.25"/>
  <cols>
    <col min="1" max="1" width="11.8333333333333" customWidth="1"/>
    <col min="2" max="2" width="32.0833333333333" customWidth="1"/>
    <col min="3" max="3" width="12.25" customWidth="1"/>
    <col min="4" max="4" width="24.8333333333333" customWidth="1"/>
    <col min="5" max="5" width="21.5" customWidth="1"/>
    <col min="6" max="6" width="12.0833333333333" customWidth="1"/>
    <col min="7" max="7" width="16.8333333333333" customWidth="1"/>
    <col min="8" max="8" width="14.75" customWidth="1"/>
    <col min="9" max="9" width="9.75" customWidth="1"/>
  </cols>
  <sheetData>
    <row r="1" ht="19" customHeight="1" spans="1:8">
      <c r="A1" s="2" t="s">
        <v>166</v>
      </c>
      <c r="B1" s="2"/>
      <c r="C1" s="2"/>
      <c r="D1" s="2"/>
      <c r="E1" s="2"/>
      <c r="F1" s="2"/>
      <c r="G1" s="2"/>
      <c r="H1" s="2"/>
    </row>
    <row r="2" ht="14.15" customHeight="1" spans="1:8">
      <c r="A2" s="3" t="s">
        <v>167</v>
      </c>
      <c r="B2" s="4"/>
      <c r="C2" s="5" t="s">
        <v>168</v>
      </c>
      <c r="D2" s="6" t="s">
        <v>169</v>
      </c>
      <c r="E2" s="3"/>
      <c r="F2" s="3"/>
      <c r="G2" s="3"/>
      <c r="H2" s="3"/>
    </row>
    <row r="3" ht="14.15" customHeight="1" spans="1:8">
      <c r="A3" s="3" t="s">
        <v>170</v>
      </c>
      <c r="B3" s="4"/>
      <c r="C3" s="5" t="s">
        <v>168</v>
      </c>
      <c r="D3" s="6" t="s">
        <v>171</v>
      </c>
      <c r="E3" s="3"/>
      <c r="F3" s="3"/>
      <c r="G3" s="3"/>
      <c r="H3" s="3"/>
    </row>
    <row r="4" ht="14.15" customHeight="1" spans="1:8">
      <c r="A4" s="3" t="s">
        <v>172</v>
      </c>
      <c r="B4" s="4"/>
      <c r="C4" s="5" t="s">
        <v>168</v>
      </c>
      <c r="D4" s="6" t="s">
        <v>171</v>
      </c>
      <c r="E4" s="3"/>
      <c r="F4" s="3"/>
      <c r="G4" s="3"/>
      <c r="H4" s="3"/>
    </row>
    <row r="5" ht="11.25" customHeight="1" spans="1:8">
      <c r="A5" s="3" t="s">
        <v>173</v>
      </c>
      <c r="B5" s="4"/>
      <c r="C5" s="5" t="s">
        <v>168</v>
      </c>
      <c r="D5" s="6" t="s">
        <v>174</v>
      </c>
      <c r="E5" s="3"/>
      <c r="F5" s="3"/>
      <c r="G5" s="3"/>
      <c r="H5" s="3"/>
    </row>
    <row r="6" ht="11.25" customHeight="1" spans="1:8">
      <c r="A6" s="3"/>
      <c r="B6" s="4"/>
      <c r="C6" s="5"/>
      <c r="D6" s="6"/>
      <c r="E6" s="4"/>
      <c r="F6" s="4"/>
      <c r="G6" s="4"/>
      <c r="H6" s="4"/>
    </row>
    <row r="7" s="1" customFormat="1" spans="1:235">
      <c r="A7" s="7" t="s">
        <v>175</v>
      </c>
      <c r="B7" s="8" t="s">
        <v>176</v>
      </c>
      <c r="C7" s="9"/>
      <c r="D7" s="10" t="s">
        <v>177</v>
      </c>
      <c r="E7" s="10" t="s">
        <v>178</v>
      </c>
      <c r="F7" s="10" t="s">
        <v>179</v>
      </c>
      <c r="G7" s="10" t="s">
        <v>180</v>
      </c>
      <c r="H7" s="10" t="s">
        <v>181</v>
      </c>
      <c r="I7" s="30"/>
      <c r="K7" s="31"/>
      <c r="L7" s="32"/>
      <c r="M7" s="30"/>
      <c r="P7" s="31"/>
      <c r="Q7" s="34"/>
      <c r="R7" s="31"/>
      <c r="S7" s="31"/>
      <c r="T7" s="32"/>
      <c r="U7" s="30"/>
      <c r="X7" s="31"/>
      <c r="Y7" s="34"/>
      <c r="Z7" s="31"/>
      <c r="AA7" s="31"/>
      <c r="AB7" s="32"/>
      <c r="AC7" s="30"/>
      <c r="AF7" s="31"/>
      <c r="AG7" s="34"/>
      <c r="AH7" s="31"/>
      <c r="AI7" s="31"/>
      <c r="AJ7" s="32"/>
      <c r="AK7" s="30"/>
      <c r="AN7" s="31"/>
      <c r="AO7" s="34"/>
      <c r="AP7" s="31"/>
      <c r="AQ7" s="31"/>
      <c r="AR7" s="32"/>
      <c r="AS7" s="30"/>
      <c r="AV7" s="31"/>
      <c r="AW7" s="34"/>
      <c r="AX7" s="31"/>
      <c r="AY7" s="31"/>
      <c r="AZ7" s="32"/>
      <c r="BA7" s="30"/>
      <c r="BD7" s="31"/>
      <c r="BE7" s="34"/>
      <c r="BF7" s="31"/>
      <c r="BG7" s="31"/>
      <c r="BH7" s="32"/>
      <c r="BI7" s="30"/>
      <c r="BL7" s="31"/>
      <c r="BM7" s="34"/>
      <c r="BN7" s="31"/>
      <c r="BO7" s="31"/>
      <c r="BP7" s="32"/>
      <c r="BQ7" s="30"/>
      <c r="BT7" s="31"/>
      <c r="BU7" s="34"/>
      <c r="BV7" s="31"/>
      <c r="BW7" s="31"/>
      <c r="BX7" s="32"/>
      <c r="BY7" s="30"/>
      <c r="CB7" s="31"/>
      <c r="CC7" s="34"/>
      <c r="CD7" s="31"/>
      <c r="CE7" s="31"/>
      <c r="CF7" s="32"/>
      <c r="CG7" s="30"/>
      <c r="CJ7" s="31"/>
      <c r="CK7" s="34"/>
      <c r="CL7" s="31"/>
      <c r="CM7" s="31"/>
      <c r="CN7" s="32"/>
      <c r="CO7" s="30"/>
      <c r="CR7" s="31"/>
      <c r="CS7" s="34"/>
      <c r="CT7" s="31"/>
      <c r="CU7" s="31"/>
      <c r="CV7" s="32"/>
      <c r="CW7" s="30"/>
      <c r="CZ7" s="31"/>
      <c r="DA7" s="34"/>
      <c r="DB7" s="31"/>
      <c r="DC7" s="31"/>
      <c r="DD7" s="32"/>
      <c r="DE7" s="30"/>
      <c r="DH7" s="31"/>
      <c r="DI7" s="34"/>
      <c r="DJ7" s="31"/>
      <c r="DK7" s="31"/>
      <c r="DL7" s="32"/>
      <c r="DM7" s="30"/>
      <c r="DP7" s="31"/>
      <c r="DQ7" s="34"/>
      <c r="DR7" s="31"/>
      <c r="DS7" s="31"/>
      <c r="DT7" s="32"/>
      <c r="DU7" s="30"/>
      <c r="DX7" s="31"/>
      <c r="DY7" s="34"/>
      <c r="DZ7" s="31"/>
      <c r="EA7" s="31"/>
      <c r="EB7" s="32"/>
      <c r="EC7" s="30"/>
      <c r="EF7" s="31"/>
      <c r="EG7" s="34"/>
      <c r="EH7" s="31"/>
      <c r="EI7" s="31"/>
      <c r="EJ7" s="32"/>
      <c r="EK7" s="30"/>
      <c r="EN7" s="31"/>
      <c r="EO7" s="34"/>
      <c r="EP7" s="31"/>
      <c r="EQ7" s="31"/>
      <c r="ER7" s="32"/>
      <c r="ES7" s="30"/>
      <c r="EV7" s="31"/>
      <c r="EW7" s="34"/>
      <c r="EX7" s="31"/>
      <c r="EY7" s="31"/>
      <c r="EZ7" s="32"/>
      <c r="FA7" s="30"/>
      <c r="FD7" s="31"/>
      <c r="FE7" s="34"/>
      <c r="FF7" s="31"/>
      <c r="FG7" s="31"/>
      <c r="FH7" s="32"/>
      <c r="FI7" s="30"/>
      <c r="FL7" s="31"/>
      <c r="FM7" s="34"/>
      <c r="FN7" s="31"/>
      <c r="FO7" s="31"/>
      <c r="FP7" s="32"/>
      <c r="FQ7" s="30"/>
      <c r="FT7" s="31"/>
      <c r="FU7" s="34"/>
      <c r="FV7" s="31"/>
      <c r="FW7" s="31"/>
      <c r="FX7" s="32"/>
      <c r="FY7" s="30"/>
      <c r="GB7" s="31"/>
      <c r="GC7" s="34"/>
      <c r="GD7" s="31"/>
      <c r="GE7" s="31"/>
      <c r="GF7" s="32"/>
      <c r="GG7" s="30"/>
      <c r="GJ7" s="31"/>
      <c r="GK7" s="34"/>
      <c r="GL7" s="31"/>
      <c r="GM7" s="31"/>
      <c r="GN7" s="32"/>
      <c r="GO7" s="30"/>
      <c r="GR7" s="31"/>
      <c r="GS7" s="34"/>
      <c r="GT7" s="31"/>
      <c r="GU7" s="31"/>
      <c r="GV7" s="32"/>
      <c r="GW7" s="30"/>
      <c r="GZ7" s="31"/>
      <c r="HA7" s="34"/>
      <c r="HB7" s="31"/>
      <c r="HC7" s="31"/>
      <c r="HD7" s="32"/>
      <c r="HE7" s="30"/>
      <c r="HH7" s="31"/>
      <c r="HI7" s="34"/>
      <c r="HJ7" s="31"/>
      <c r="HK7" s="31"/>
      <c r="HL7" s="32"/>
      <c r="HM7" s="30"/>
      <c r="HP7" s="31"/>
      <c r="HQ7" s="34"/>
      <c r="HR7" s="31"/>
      <c r="HS7" s="31"/>
      <c r="HT7" s="32"/>
      <c r="HU7" s="30"/>
      <c r="HX7" s="31"/>
      <c r="HY7" s="34"/>
      <c r="HZ7" s="31"/>
      <c r="IA7" s="31"/>
    </row>
    <row r="8" s="1" customFormat="1" ht="16.5" customHeight="1" spans="1:8">
      <c r="A8" s="11">
        <v>1</v>
      </c>
      <c r="B8" s="12" t="s">
        <v>182</v>
      </c>
      <c r="C8" s="13"/>
      <c r="D8" s="10">
        <v>250</v>
      </c>
      <c r="E8" s="14" t="s">
        <v>183</v>
      </c>
      <c r="F8" s="10">
        <v>4</v>
      </c>
      <c r="G8" s="10">
        <f>D8*F8</f>
        <v>1000</v>
      </c>
      <c r="H8" s="10"/>
    </row>
    <row r="9" s="1" customFormat="1" spans="1:8">
      <c r="A9" s="11">
        <v>2</v>
      </c>
      <c r="B9" s="15" t="s">
        <v>25</v>
      </c>
      <c r="C9" s="13"/>
      <c r="D9" s="10">
        <v>50</v>
      </c>
      <c r="E9" s="14" t="s">
        <v>184</v>
      </c>
      <c r="F9" s="10"/>
      <c r="G9" s="10">
        <f t="shared" ref="G9:G14" si="0">D9*F9</f>
        <v>0</v>
      </c>
      <c r="H9" s="10"/>
    </row>
    <row r="10" s="1" customFormat="1" spans="1:8">
      <c r="A10" s="11">
        <v>3</v>
      </c>
      <c r="B10" s="12" t="s">
        <v>185</v>
      </c>
      <c r="C10" s="13"/>
      <c r="D10" s="10"/>
      <c r="E10" s="14" t="s">
        <v>183</v>
      </c>
      <c r="F10" s="10"/>
      <c r="G10" s="10">
        <f t="shared" si="0"/>
        <v>0</v>
      </c>
      <c r="H10" s="10" t="s">
        <v>186</v>
      </c>
    </row>
    <row r="11" s="1" customFormat="1" spans="1:8">
      <c r="A11" s="11">
        <v>4</v>
      </c>
      <c r="B11" s="12" t="s">
        <v>187</v>
      </c>
      <c r="C11" s="13"/>
      <c r="D11" s="10">
        <v>200</v>
      </c>
      <c r="E11" s="14" t="s">
        <v>183</v>
      </c>
      <c r="F11" s="10"/>
      <c r="G11" s="10">
        <f t="shared" si="0"/>
        <v>0</v>
      </c>
      <c r="H11" s="10"/>
    </row>
    <row r="12" s="1" customFormat="1" spans="1:8">
      <c r="A12" s="11">
        <v>5</v>
      </c>
      <c r="B12" s="12" t="s">
        <v>188</v>
      </c>
      <c r="C12" s="13"/>
      <c r="D12" s="10"/>
      <c r="E12" s="14" t="s">
        <v>183</v>
      </c>
      <c r="F12" s="10"/>
      <c r="G12" s="10">
        <f t="shared" si="0"/>
        <v>0</v>
      </c>
      <c r="H12" s="10" t="s">
        <v>186</v>
      </c>
    </row>
    <row r="13" s="1" customFormat="1" spans="1:8">
      <c r="A13" s="11">
        <v>6</v>
      </c>
      <c r="B13" s="12" t="s">
        <v>189</v>
      </c>
      <c r="C13" s="13"/>
      <c r="D13" s="10">
        <v>100</v>
      </c>
      <c r="E13" s="14" t="s">
        <v>183</v>
      </c>
      <c r="F13" s="10"/>
      <c r="G13" s="10">
        <f t="shared" si="0"/>
        <v>0</v>
      </c>
      <c r="H13" s="10"/>
    </row>
    <row r="14" s="1" customFormat="1" spans="1:8">
      <c r="A14" s="11">
        <v>7</v>
      </c>
      <c r="B14" s="12" t="s">
        <v>190</v>
      </c>
      <c r="C14" s="13"/>
      <c r="D14" s="10">
        <v>50</v>
      </c>
      <c r="E14" s="14" t="s">
        <v>183</v>
      </c>
      <c r="F14" s="10">
        <v>4</v>
      </c>
      <c r="G14" s="10">
        <f t="shared" si="0"/>
        <v>200</v>
      </c>
      <c r="H14" s="10"/>
    </row>
    <row r="15" spans="1:8">
      <c r="A15" s="16"/>
      <c r="B15" s="16"/>
      <c r="C15" s="16"/>
      <c r="D15" s="16"/>
      <c r="E15" s="16"/>
      <c r="F15" s="16"/>
      <c r="G15" s="16"/>
      <c r="H15" s="16"/>
    </row>
    <row r="21" ht="27" spans="1:9">
      <c r="A21" s="17" t="s">
        <v>191</v>
      </c>
      <c r="B21" s="18" t="s">
        <v>192</v>
      </c>
      <c r="C21" s="19" t="s">
        <v>193</v>
      </c>
      <c r="D21" s="20" t="s">
        <v>194</v>
      </c>
      <c r="E21" s="19" t="s">
        <v>195</v>
      </c>
      <c r="F21" s="21" t="s">
        <v>196</v>
      </c>
      <c r="G21" s="22" t="s">
        <v>197</v>
      </c>
      <c r="H21" s="23" t="s">
        <v>198</v>
      </c>
      <c r="I21" s="33"/>
    </row>
    <row r="22" ht="27" spans="1:9">
      <c r="A22" s="24" t="s">
        <v>199</v>
      </c>
      <c r="B22" s="25" t="s">
        <v>200</v>
      </c>
      <c r="C22" s="26">
        <v>250</v>
      </c>
      <c r="D22" s="27">
        <v>50</v>
      </c>
      <c r="E22" s="26" t="s">
        <v>49</v>
      </c>
      <c r="F22" s="28"/>
      <c r="G22" s="28"/>
      <c r="H22" s="29">
        <f>SUM(C22:G22)</f>
        <v>300</v>
      </c>
      <c r="I22" s="33" t="s">
        <v>201</v>
      </c>
    </row>
    <row r="23" ht="27" spans="1:9">
      <c r="A23" s="24" t="s">
        <v>202</v>
      </c>
      <c r="B23" s="25" t="s">
        <v>203</v>
      </c>
      <c r="C23" s="26">
        <v>250</v>
      </c>
      <c r="D23" s="27">
        <v>50</v>
      </c>
      <c r="E23" s="26" t="s">
        <v>49</v>
      </c>
      <c r="F23" s="28"/>
      <c r="G23" s="28" t="s">
        <v>49</v>
      </c>
      <c r="H23" s="29">
        <f>SUM(C23:G23)</f>
        <v>300</v>
      </c>
      <c r="I23" s="33" t="s">
        <v>201</v>
      </c>
    </row>
    <row r="24" ht="27" spans="1:9">
      <c r="A24" s="24" t="s">
        <v>204</v>
      </c>
      <c r="B24" s="25" t="s">
        <v>200</v>
      </c>
      <c r="C24" s="26">
        <v>250</v>
      </c>
      <c r="D24" s="27">
        <v>50</v>
      </c>
      <c r="E24" s="26" t="s">
        <v>49</v>
      </c>
      <c r="F24" s="28" t="s">
        <v>49</v>
      </c>
      <c r="G24" s="28" t="s">
        <v>49</v>
      </c>
      <c r="H24" s="29">
        <f>SUM(C24:G24)</f>
        <v>300</v>
      </c>
      <c r="I24" s="33" t="s">
        <v>201</v>
      </c>
    </row>
    <row r="25" ht="27" spans="1:9">
      <c r="A25" s="24" t="s">
        <v>205</v>
      </c>
      <c r="B25" s="25" t="s">
        <v>206</v>
      </c>
      <c r="C25" s="26">
        <v>250</v>
      </c>
      <c r="D25" s="27">
        <v>50</v>
      </c>
      <c r="E25" s="26" t="s">
        <v>49</v>
      </c>
      <c r="F25" s="28" t="s">
        <v>49</v>
      </c>
      <c r="G25" s="28" t="s">
        <v>49</v>
      </c>
      <c r="H25" s="29">
        <f>SUM(C25:G25)</f>
        <v>300</v>
      </c>
      <c r="I25" s="33" t="s">
        <v>201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B22">
    <cfRule type="expression" dxfId="0" priority="2" stopIfTrue="1">
      <formula>AND(COUNTIF(#REF!,B22)&gt;1,NOT(ISBLANK(B22)))</formula>
    </cfRule>
  </conditionalFormatting>
  <conditionalFormatting sqref="D22:D25">
    <cfRule type="expression" dxfId="0" priority="1" stopIfTrue="1">
      <formula>AND(COUNTIF(#REF!,D22)&gt;1,NOT(ISBLANK(D22)))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4C1F71A-B6DE-4B09-908F-03B44977EF4F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InvoiceBillReport</vt:lpstr>
      <vt:lpstr>HandlingBillingReport</vt:lpstr>
      <vt:lpstr>StorageBillingRpt</vt:lpstr>
      <vt:lpstr>Customs Clearance With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2024-02-01T05:43:00Z</dcterms:created>
  <dcterms:modified xsi:type="dcterms:W3CDTF">2025-04-03T05:37:50Z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DEB3DAD3F5CA40F983D50979987FA045_13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