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<sst xmlns="http://schemas.openxmlformats.org/spreadsheetml/2006/main" count="129" uniqueCount="87">
  <si>
    <t>INVOICE</t>
  </si>
  <si>
    <t>CUSTOMER :</t>
  </si>
  <si>
    <t>HUPPER TEK Co.,Ltd</t>
  </si>
  <si>
    <t>Invoice No :</t>
  </si>
  <si>
    <t>YSHUPPER202504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</si>
  <si>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</si>
  <si>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</si>
  <si>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</si>
  <si>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</si>
  <si>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</si>
  <si>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</si>
  <si>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</si>
  <si>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Ms. Liu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</si>
  <si>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</si>
  <si>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</si>
  <si>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</si>
  <si>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</si>
  <si>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</si>
  <si>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</si>
  <si>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</si>
  <si>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</si>
  <si>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</si>
  <si>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r>
      <rPr>
        <sz val="10"/>
        <rFont val="Arial"/>
        <charset val="134"/>
      </rPr>
      <t>TSP-</t>
    </r>
    <r>
      <rPr>
        <sz val="10"/>
        <rFont val="宋体"/>
        <charset val="134"/>
      </rPr>
      <t>上海</t>
    </r>
  </si>
  <si>
    <t xml:space="preserve">Container Discharge </t>
  </si>
  <si>
    <t>4.22美国备货清单AGL1</t>
  </si>
  <si>
    <t xml:space="preserve">Container Overtime Discharge </t>
  </si>
  <si>
    <t>Container Pre-Pick up</t>
  </si>
  <si>
    <t>Seafreight</t>
  </si>
  <si>
    <t>USD</t>
  </si>
  <si>
    <r>
      <rPr>
        <sz val="9"/>
        <color theme="1"/>
        <rFont val="SansSerif"/>
        <charset val="134"/>
      </rPr>
      <t>YMMU6789125/W237030868-3.21</t>
    </r>
    <r>
      <rPr>
        <sz val="9"/>
        <color theme="1"/>
        <rFont val="宋体"/>
        <charset val="134"/>
      </rPr>
      <t>美国备货海运费</t>
    </r>
  </si>
  <si>
    <t>Local Fee</t>
  </si>
  <si>
    <t>W237030868 Local Charges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</si>
  <si>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</si>
  <si>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</si>
  <si>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</si>
  <si>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</si>
  <si>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</si>
  <si>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</si>
  <si>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</si>
  <si>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</si>
  <si>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</si>
  <si>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</si>
  <si>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</si>
  <si>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</si>
  <si>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</si>
  <si>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</si>
  <si>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</si>
  <si>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</si>
  <si>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</si>
  <si>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</si>
  <si>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</si>
  <si>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</si>
  <si>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</si>
  <si>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</si>
  <si>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</si>
  <si>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</si>
  <si>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</si>
  <si>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</si>
  <si>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</si>
  <si>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</si>
  <si>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</si>
  <si>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</si>
  <si>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</si>
  <si>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</si>
  <si>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</si>
  <si>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r>
      <rPr>
        <sz val="9"/>
        <color theme="1"/>
        <rFont val="SansSerif"/>
        <charset val="134"/>
      </rPr>
      <t>248893029</t>
    </r>
    <r>
      <rPr>
        <sz val="9"/>
        <color theme="1"/>
        <rFont val="DengXian"/>
        <charset val="134"/>
      </rPr>
      <t>进口6*40</t>
    </r>
    <r>
      <rPr>
        <sz val="9"/>
        <color theme="1"/>
        <rFont val="Calibri"/>
        <charset val="134"/>
      </rPr>
      <t>HQ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Calibri"/>
        <charset val="134"/>
      </rPr>
      <t>248794479</t>
    </r>
    <r>
      <rPr>
        <sz val="9"/>
        <color theme="1"/>
        <rFont val="Microsoft YaHei UI"/>
        <charset val="134"/>
      </rPr>
      <t>进口</t>
    </r>
    <r>
      <rPr>
        <sz val="9"/>
        <color theme="1"/>
        <rFont val="Calibri"/>
        <charset val="134"/>
      </rPr>
      <t>4*40HQ</t>
    </r>
  </si>
  <si>
    <t>UK2504007-CN
UK2504007-CN B06ZY896ZM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</si>
  <si>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</si>
  <si>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</si>
  <si>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249428295</t>
    </r>
    <r>
      <rPr>
        <sz val="9"/>
        <color theme="1"/>
        <rFont val="Microsoft YaHei UI"/>
        <charset val="134"/>
      </rPr>
      <t>进口</t>
    </r>
    <r>
      <rPr>
        <sz val="9"/>
        <color theme="1"/>
        <rFont val="Calibri"/>
        <charset val="134"/>
      </rPr>
      <t>4*40HQ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Calibri"/>
        <charset val="134"/>
      </rPr>
      <t>CHN2195298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Calibri"/>
        <charset val="134"/>
      </rPr>
      <t>W237030868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</t>
    </r>
  </si>
  <si>
    <t>UK2501052-CN
CAAU5977881/CHN2195298    4.22  AGL1
YMMU6789125/W237030868    3.21</t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</si>
  <si>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</si>
  <si>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</si>
  <si>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</si>
  <si>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</si>
  <si>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r>
      <rPr>
        <sz val="9"/>
        <color theme="1"/>
        <rFont val="SansSerif"/>
        <charset val="134"/>
      </rPr>
      <t>CHN2195298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
W237030868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</t>
    </r>
  </si>
  <si>
    <t>Container Overtime Discharge  落箱超期费</t>
  </si>
  <si>
    <t>Detention 压车费</t>
  </si>
  <si>
    <t>Customs seals Transportataion 关封车运输</t>
  </si>
  <si>
    <t>others其他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</si>
  <si>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月发美国两柜子的总</t>
    </r>
  </si>
  <si>
    <t>FREIGHT BILLING REPORT</t>
  </si>
  <si>
    <t>Total Amount  (USD)</t>
  </si>
  <si>
    <r>
      <rPr>
        <sz val="9"/>
        <color rgb="FF000000"/>
        <rFont val="微软雅黑"/>
        <charset val="134"/>
      </rPr>
      <t xml:space="preserve">W237030868 </t>
    </r>
    <r>
      <rPr>
        <sz val="9"/>
        <color rgb="FF000000"/>
        <rFont val="Calibri"/>
        <charset val="134"/>
      </rPr>
      <t>Sea Freight</t>
    </r>
  </si>
  <si>
    <t>美金成本上+USD100/SHIPMENT</t>
  </si>
  <si>
    <t xml:space="preserve"> 人民币是+  RMB100/Container， +8%（船公司Local费用）</t>
  </si>
  <si>
    <r>
      <rPr>
        <sz val="9"/>
        <color theme="1"/>
        <rFont val="SansSerif"/>
        <charset val="134"/>
      </rPr>
      <t>YMMU6789125/W237030868-3.21</t>
    </r>
    <r>
      <rPr>
        <sz val="9"/>
        <color theme="1"/>
        <rFont val="宋体"/>
        <charset val="134"/>
      </rPr>
      <t>美国备货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</si>
</sst>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51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rgb="FF000000"/>
      <name val="微软雅黑"/>
      <charset val="134"/>
    </font>
    <font>
      <sz val="9"/>
      <color theme="1"/>
      <name val="等线"/>
      <charset val="134"/>
    </font>
    <font>
      <sz val="11"/>
      <color rgb="FF000000"/>
      <name val="STSong-Light-UniGB-UCS2-H"/>
      <charset val="134"/>
    </font>
    <font>
      <sz val="9"/>
      <color theme="1"/>
      <name val="微软雅黑"/>
      <charset val="134"/>
    </font>
    <font>
      <sz val="10"/>
      <name val="Arial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10"/>
      <name val="宋体"/>
      <charset val="134"/>
    </font>
    <font>
      <sz val="9"/>
      <color rgb="FF000000"/>
      <name val="Calibri"/>
      <charset val="134"/>
    </font>
    <font>
      <sz val="9"/>
      <color theme="1"/>
      <name val="Microsoft YaHei UI"/>
      <charset val="134"/>
    </font>
    <font>
      <sz val="9"/>
      <color theme="1"/>
      <name val="Calibri"/>
      <charset val="134"/>
    </font>
    <font>
      <sz val="9"/>
      <color theme="1"/>
      <name val="DengXian"/>
      <charset val="134"/>
    </font>
    <font>
      <sz val="8"/>
      <name val="等线"/>
      <charset val="134"/>
    </font>
    <font>
      <sz val="11"/>
      <name val="Yu Gothic"/>
      <charset val="128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5" applyNumberFormat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32" fillId="4" borderId="15" applyNumberFormat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2" fillId="0" borderId="0"/>
    <xf numFmtId="176" fontId="12" fillId="0" borderId="0"/>
    <xf numFmtId="176" fontId="41" fillId="0" borderId="0" applyFont="0" applyFill="0" applyBorder="0" applyAlignment="0" applyProtection="0"/>
  </cellStyleXfs>
  <cellXfs count="67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8" fillId="0" borderId="0" xfId="49" applyFont="1" applyAlignment="1">
      <alignment horizontal="left"/>
    </xf>
    <xf numFmtId="0" fontId="7" fillId="0" borderId="0" xfId="49" applyFont="1">
      <alignment vertical="center"/>
    </xf>
    <xf numFmtId="0" fontId="9" fillId="0" borderId="0" xfId="49" applyFont="1" applyAlignment="1">
      <alignment horizontal="center" vertical="center" wrapText="1"/>
    </xf>
    <xf numFmtId="0" fontId="7" fillId="0" borderId="0" xfId="49" applyFont="1" applyAlignment="1">
      <alignment horizontal="left"/>
    </xf>
    <xf numFmtId="0" fontId="10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1" fillId="0" borderId="0" xfId="49" applyFont="1" applyAlignment="1">
      <alignment horizontal="left"/>
    </xf>
    <xf numFmtId="177" fontId="12" fillId="0" borderId="0" xfId="53" applyNumberFormat="1" applyFont="1"/>
    <xf numFmtId="0" fontId="0" fillId="0" borderId="0" xfId="49" applyAlignment="1">
      <alignment vertical="center" wrapText="1"/>
    </xf>
    <xf numFmtId="177" fontId="0" fillId="0" borderId="0" xfId="0" applyNumberFormat="1">
      <alignment vertical="center"/>
    </xf>
    <xf numFmtId="176" fontId="13" fillId="0" borderId="0" xfId="52" applyFont="1"/>
    <xf numFmtId="177" fontId="13" fillId="0" borderId="0" xfId="52" applyNumberFormat="1" applyFont="1"/>
    <xf numFmtId="176" fontId="14" fillId="0" borderId="0" xfId="52" applyFont="1" applyAlignment="1">
      <alignment horizontal="center"/>
    </xf>
    <xf numFmtId="176" fontId="15" fillId="0" borderId="0" xfId="52" applyFont="1"/>
    <xf numFmtId="177" fontId="15" fillId="0" borderId="0" xfId="52" applyNumberFormat="1" applyFont="1"/>
    <xf numFmtId="176" fontId="12" fillId="0" borderId="0" xfId="52"/>
    <xf numFmtId="176" fontId="16" fillId="0" borderId="0" xfId="52" applyFont="1"/>
    <xf numFmtId="177" fontId="16" fillId="0" borderId="0" xfId="52" applyNumberFormat="1" applyFont="1"/>
    <xf numFmtId="176" fontId="15" fillId="0" borderId="0" xfId="52" applyFont="1" applyAlignment="1">
      <alignment horizontal="right"/>
    </xf>
    <xf numFmtId="176" fontId="17" fillId="0" borderId="0" xfId="53" applyFont="1" applyAlignment="1">
      <alignment vertical="center"/>
    </xf>
    <xf numFmtId="15" fontId="15" fillId="0" borderId="0" xfId="52" applyNumberFormat="1" applyFont="1" applyAlignment="1">
      <alignment horizontal="right"/>
    </xf>
    <xf numFmtId="176" fontId="18" fillId="0" borderId="0" xfId="6" applyAlignment="1" applyProtection="1"/>
    <xf numFmtId="176" fontId="19" fillId="0" borderId="0" xfId="53" applyFont="1"/>
    <xf numFmtId="176" fontId="20" fillId="0" borderId="0" xfId="53" applyFont="1"/>
    <xf numFmtId="176" fontId="21" fillId="0" borderId="1" xfId="52" applyFont="1" applyBorder="1" applyAlignment="1">
      <alignment horizontal="center" vertical="center"/>
    </xf>
    <xf numFmtId="176" fontId="21" fillId="0" borderId="2" xfId="52" applyFont="1" applyBorder="1" applyAlignment="1">
      <alignment horizontal="center" vertical="center"/>
    </xf>
    <xf numFmtId="176" fontId="21" fillId="0" borderId="3" xfId="52" applyFont="1" applyBorder="1" applyAlignment="1">
      <alignment horizontal="center" vertical="center"/>
    </xf>
    <xf numFmtId="177" fontId="21" fillId="0" borderId="4" xfId="52" applyNumberFormat="1" applyFont="1" applyBorder="1" applyAlignment="1">
      <alignment horizontal="center" vertical="center"/>
    </xf>
    <xf numFmtId="176" fontId="21" fillId="0" borderId="5" xfId="52" applyFont="1" applyBorder="1" applyAlignment="1">
      <alignment horizontal="center" vertical="center"/>
    </xf>
    <xf numFmtId="176" fontId="12" fillId="0" borderId="6" xfId="52" applyBorder="1"/>
    <xf numFmtId="177" fontId="15" fillId="0" borderId="7" xfId="52" applyNumberFormat="1" applyFont="1" applyBorder="1" applyAlignment="1">
      <alignment vertical="center"/>
    </xf>
    <xf numFmtId="39" fontId="15" fillId="0" borderId="7" xfId="54" applyNumberFormat="1" applyFont="1" applyBorder="1" applyAlignment="1">
      <alignment horizontal="center" vertical="center"/>
    </xf>
    <xf numFmtId="176" fontId="15" fillId="0" borderId="0" xfId="52" applyFont="1" applyAlignment="1">
      <alignment horizontal="center" vertical="center"/>
    </xf>
    <xf numFmtId="178" fontId="15" fillId="0" borderId="7" xfId="52" applyNumberFormat="1" applyFont="1" applyBorder="1" applyAlignment="1">
      <alignment vertical="center"/>
    </xf>
    <xf numFmtId="177" fontId="15" fillId="0" borderId="6" xfId="52" applyNumberFormat="1" applyFont="1" applyBorder="1" applyAlignment="1">
      <alignment vertical="center"/>
    </xf>
    <xf numFmtId="177" fontId="12" fillId="0" borderId="0" xfId="53" applyNumberFormat="1"/>
    <xf numFmtId="176" fontId="15" fillId="0" borderId="8" xfId="52" applyFont="1" applyBorder="1" applyAlignment="1">
      <alignment vertical="center"/>
    </xf>
    <xf numFmtId="176" fontId="15" fillId="0" borderId="9" xfId="52" applyFont="1" applyBorder="1" applyAlignment="1">
      <alignment vertical="center"/>
    </xf>
    <xf numFmtId="176" fontId="15" fillId="0" borderId="10" xfId="52" applyFont="1" applyBorder="1" applyAlignment="1">
      <alignment vertical="center"/>
    </xf>
    <xf numFmtId="177" fontId="15" fillId="0" borderId="10" xfId="52" applyNumberFormat="1" applyFont="1" applyBorder="1" applyAlignment="1">
      <alignment vertical="center"/>
    </xf>
    <xf numFmtId="39" fontId="15" fillId="0" borderId="11" xfId="54" applyNumberFormat="1" applyFont="1" applyBorder="1" applyAlignment="1">
      <alignment horizontal="center" vertical="center"/>
    </xf>
    <xf numFmtId="176" fontId="15" fillId="0" borderId="9" xfId="52" applyFont="1" applyBorder="1" applyAlignment="1">
      <alignment horizontal="center" vertical="center"/>
    </xf>
    <xf numFmtId="178" fontId="15" fillId="0" borderId="11" xfId="52" applyNumberFormat="1" applyFont="1" applyBorder="1" applyAlignment="1">
      <alignment vertical="center"/>
    </xf>
    <xf numFmtId="176" fontId="15" fillId="0" borderId="0" xfId="52" applyFont="1" applyAlignment="1">
      <alignment vertical="center"/>
    </xf>
    <xf numFmtId="177" fontId="15" fillId="0" borderId="0" xfId="52" applyNumberFormat="1" applyFont="1" applyAlignment="1">
      <alignment vertical="center"/>
    </xf>
    <xf numFmtId="176" fontId="21" fillId="0" borderId="8" xfId="52" applyFont="1" applyBorder="1" applyAlignment="1">
      <alignment vertical="center"/>
    </xf>
    <xf numFmtId="176" fontId="21" fillId="0" borderId="9" xfId="52" applyFont="1" applyBorder="1" applyAlignment="1">
      <alignment horizontal="center" vertical="center"/>
    </xf>
    <xf numFmtId="178" fontId="21" fillId="0" borderId="10" xfId="52" applyNumberFormat="1" applyFont="1" applyBorder="1" applyAlignment="1">
      <alignment vertical="center"/>
    </xf>
    <xf numFmtId="176" fontId="13" fillId="0" borderId="0" xfId="52" applyFont="1" applyAlignment="1">
      <alignment vertical="center"/>
    </xf>
    <xf numFmtId="177" fontId="13" fillId="0" borderId="0" xfId="52" applyNumberFormat="1" applyFont="1" applyAlignment="1">
      <alignment vertical="center"/>
    </xf>
    <xf numFmtId="176" fontId="22" fillId="0" borderId="0" xfId="53" applyFont="1" applyAlignment="1">
      <alignment horizontal="center"/>
    </xf>
    <xf numFmtId="178" fontId="13" fillId="0" borderId="0" xfId="52" applyNumberFormat="1" applyFont="1"/>
    <xf numFmtId="176" fontId="12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opLeftCell="A13" workbookViewId="0">
      <selection activeCell="G23" sqref="G23"/>
    </sheetView>
  </sheetViews>
  <sheetFormatPr defaultColWidth="9" defaultRowHeight="14.25"/>
  <cols>
    <col min="1" max="3" width="14.1083333333333" customWidth="1"/>
    <col min="4" max="4" width="9" style="23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4"/>
      <c r="B1" s="24"/>
      <c r="C1" s="24"/>
      <c r="D1" s="25"/>
      <c r="E1" s="24"/>
      <c r="F1" s="24"/>
      <c r="G1" s="24"/>
    </row>
    <row r="2" ht="18.75" spans="1:7">
      <c r="A2" s="26" t="s">
        <v>0</v>
      </c>
      <c r="B2" s="26"/>
      <c r="C2" s="26"/>
      <c r="D2" s="26"/>
      <c r="E2" s="26"/>
      <c r="F2" s="26"/>
      <c r="G2" s="26"/>
    </row>
    <row r="3" spans="1:7">
      <c r="A3" s="24"/>
      <c r="B3" s="24"/>
      <c r="C3" s="24"/>
      <c r="D3" s="25"/>
      <c r="E3" s="24"/>
      <c r="F3" s="24"/>
      <c r="G3" s="24"/>
    </row>
    <row r="4" spans="1:7">
      <c r="A4" s="24"/>
      <c r="B4" s="24"/>
      <c r="C4" s="24"/>
      <c r="D4" s="25"/>
      <c r="E4" s="24"/>
      <c r="F4" s="24"/>
      <c r="G4" s="24"/>
    </row>
    <row r="5" ht="15" spans="1:7">
      <c r="A5" s="27" t="s">
        <v>1</v>
      </c>
      <c r="B5" s="27"/>
      <c r="C5" s="27"/>
      <c r="D5" s="28"/>
      <c r="E5" s="27"/>
      <c r="F5" s="27"/>
      <c r="G5" s="27"/>
    </row>
    <row r="6" ht="15" spans="1:7">
      <c r="A6" s="29"/>
      <c r="B6" s="29"/>
      <c r="C6" s="29"/>
      <c r="D6" s="28"/>
      <c r="E6" s="27"/>
      <c r="F6" s="27"/>
      <c r="G6" s="27"/>
    </row>
    <row r="7" ht="15" spans="1:7">
      <c r="A7" s="27" t="s">
        <v>2</v>
      </c>
      <c r="B7" s="30"/>
      <c r="C7" s="30"/>
      <c r="D7" s="31"/>
      <c r="E7" s="27"/>
      <c r="F7" s="27" t="s">
        <v>3</v>
      </c>
      <c r="G7" s="32" t="s">
        <v>4</v>
      </c>
    </row>
    <row r="8" ht="15.75" spans="1:7">
      <c r="A8" s="27" t="s">
        <v>5</v>
      </c>
      <c r="B8" s="33"/>
      <c r="C8" s="33"/>
      <c r="D8" s="31"/>
      <c r="E8" s="27"/>
      <c r="F8" s="27" t="s">
        <v>6</v>
      </c>
      <c r="G8" s="34">
        <v>45777</v>
      </c>
    </row>
    <row r="9" ht="15.75" spans="1:7">
      <c r="A9" s="27" t="s">
        <v>7</v>
      </c>
      <c r="B9" s="33"/>
      <c r="C9" s="33"/>
      <c r="D9" s="31"/>
      <c r="E9" s="27"/>
      <c r="F9" s="27" t="s">
        <v>8</v>
      </c>
      <c r="G9" s="32"/>
    </row>
    <row r="10" ht="15.75" spans="1:7">
      <c r="A10" s="27" t="s">
        <v>9</v>
      </c>
      <c r="B10" s="33"/>
      <c r="C10" s="33"/>
      <c r="D10" s="31"/>
      <c r="E10" s="27"/>
      <c r="F10" s="27" t="s">
        <v>10</v>
      </c>
      <c r="G10" s="27"/>
    </row>
    <row r="11" ht="15.75" spans="1:7">
      <c r="A11" s="33"/>
      <c r="B11" s="30"/>
      <c r="C11" s="30"/>
      <c r="D11" s="31"/>
      <c r="E11" s="27"/>
      <c r="F11" s="27"/>
      <c r="G11" s="27"/>
    </row>
    <row r="12" ht="15" spans="1:7">
      <c r="A12" s="27"/>
      <c r="B12" s="27"/>
      <c r="C12" s="27"/>
      <c r="D12" s="28"/>
      <c r="E12" s="27"/>
      <c r="F12" s="27"/>
      <c r="G12" s="27"/>
    </row>
    <row r="13" ht="15.75" spans="1:7">
      <c r="A13" s="27" t="s">
        <v>11</v>
      </c>
      <c r="B13" s="33" t="s">
        <v>12</v>
      </c>
      <c r="C13" s="27"/>
      <c r="D13" s="28"/>
      <c r="E13" s="27"/>
      <c r="F13" s="27"/>
      <c r="G13" s="27"/>
    </row>
    <row r="14" ht="15" spans="1:7">
      <c r="A14" s="27" t="s">
        <v>13</v>
      </c>
      <c r="B14" s="35" t="s">
        <v>14</v>
      </c>
      <c r="C14" s="36"/>
      <c r="D14" s="28"/>
      <c r="E14" s="27"/>
      <c r="F14" s="27"/>
      <c r="G14" s="27"/>
    </row>
    <row r="15" ht="15" spans="1:7">
      <c r="A15" s="27"/>
      <c r="B15" s="37"/>
      <c r="C15" s="27"/>
      <c r="D15" s="28"/>
      <c r="E15" s="27"/>
      <c r="F15" s="27"/>
      <c r="G15" s="27"/>
    </row>
    <row r="16" ht="15" spans="1:7">
      <c r="A16" s="27"/>
      <c r="B16" s="27"/>
      <c r="C16" s="27"/>
      <c r="D16" s="28"/>
      <c r="E16" s="27"/>
      <c r="F16" s="27"/>
      <c r="G16" s="27"/>
    </row>
    <row r="17" ht="15" spans="1:7">
      <c r="A17" s="24"/>
      <c r="B17" s="24"/>
      <c r="C17" s="24"/>
      <c r="D17" s="25"/>
      <c r="E17" s="24"/>
      <c r="F17" s="24"/>
      <c r="G17" s="24"/>
    </row>
    <row r="18" ht="15" spans="1:7">
      <c r="A18" s="38" t="s">
        <v>15</v>
      </c>
      <c r="B18" s="39"/>
      <c r="C18" s="40"/>
      <c r="D18" s="41" t="s">
        <v>16</v>
      </c>
      <c r="E18" s="39" t="s">
        <v>17</v>
      </c>
      <c r="F18" s="39" t="s">
        <v>18</v>
      </c>
      <c r="G18" s="42" t="s">
        <v>19</v>
      </c>
    </row>
    <row r="19" ht="15" spans="1:9">
      <c r="A19" s="27" t="s">
        <v>20</v>
      </c>
      <c r="C19" s="43"/>
      <c r="D19" s="44">
        <v>1</v>
      </c>
      <c r="E19" s="45">
        <v>22660</v>
      </c>
      <c r="F19" s="46" t="s">
        <v>21</v>
      </c>
      <c r="G19" s="47">
        <f t="shared" ref="G19:G28" si="0">D19*E19</f>
        <v>22660</v>
      </c>
      <c r="H19" s="21" t="s">
        <v>22</v>
      </c>
      <c r="I19" s="49"/>
    </row>
    <row r="20" ht="15" spans="1:9">
      <c r="A20" s="27" t="s">
        <v>23</v>
      </c>
      <c r="C20" s="43"/>
      <c r="D20" s="48">
        <v>2</v>
      </c>
      <c r="E20" s="45">
        <v>340</v>
      </c>
      <c r="F20" s="46" t="s">
        <v>21</v>
      </c>
      <c r="G20" s="47">
        <f t="shared" si="0"/>
        <v>680</v>
      </c>
      <c r="H20" s="1" t="s">
        <v>24</v>
      </c>
      <c r="I20" s="49"/>
    </row>
    <row r="21" ht="15" spans="1:9">
      <c r="A21" s="27" t="s">
        <v>25</v>
      </c>
      <c r="C21" s="43"/>
      <c r="D21" s="48"/>
      <c r="E21" s="45">
        <v>31</v>
      </c>
      <c r="F21" s="46" t="s">
        <v>21</v>
      </c>
      <c r="G21" s="47">
        <f t="shared" si="0"/>
        <v>0</v>
      </c>
      <c r="H21" s="49"/>
      <c r="I21" s="49"/>
    </row>
    <row r="22" ht="15" spans="1:9">
      <c r="A22" s="27" t="s">
        <v>26</v>
      </c>
      <c r="C22" s="43"/>
      <c r="D22" s="48"/>
      <c r="E22" s="45">
        <v>450</v>
      </c>
      <c r="F22" s="46" t="s">
        <v>21</v>
      </c>
      <c r="G22" s="47">
        <f t="shared" si="0"/>
        <v>0</v>
      </c>
      <c r="H22" s="49"/>
      <c r="I22" s="49"/>
    </row>
    <row r="23" ht="15" spans="1:9">
      <c r="A23" s="27" t="s">
        <v>27</v>
      </c>
      <c r="C23" s="43"/>
      <c r="D23" s="48">
        <v>1</v>
      </c>
      <c r="E23" s="45">
        <v>1935</v>
      </c>
      <c r="F23" s="46" t="s">
        <v>28</v>
      </c>
      <c r="G23" s="47">
        <f t="shared" si="0"/>
        <v>1935</v>
      </c>
      <c r="H23" s="16" t="s">
        <v>29</v>
      </c>
      <c r="I23" s="49"/>
    </row>
    <row r="24" ht="15" spans="1:9">
      <c r="A24" s="27" t="s">
        <v>30</v>
      </c>
      <c r="C24" s="43"/>
      <c r="D24" s="48">
        <v>1</v>
      </c>
      <c r="E24" s="45">
        <v>2908</v>
      </c>
      <c r="F24" s="46" t="s">
        <v>21</v>
      </c>
      <c r="G24" s="47">
        <f t="shared" si="0"/>
        <v>2908</v>
      </c>
      <c r="H24" s="16" t="s">
        <v>31</v>
      </c>
      <c r="I24" s="49"/>
    </row>
    <row r="25" ht="18.75" spans="1:9">
      <c r="A25" s="27" t="s">
        <v>32</v>
      </c>
      <c r="C25" s="43"/>
      <c r="D25" s="48"/>
      <c r="E25" s="45">
        <v>200</v>
      </c>
      <c r="F25" s="46" t="s">
        <v>21</v>
      </c>
      <c r="G25" s="47">
        <f t="shared" si="0"/>
        <v>0</v>
      </c>
      <c r="H25" s="49"/>
      <c r="I25" s="49"/>
    </row>
    <row r="26" ht="15" spans="1:9">
      <c r="A26" s="20" t="s">
        <v>33</v>
      </c>
      <c r="C26" s="43"/>
      <c r="D26" s="48"/>
      <c r="E26" s="45">
        <v>1200</v>
      </c>
      <c r="F26" s="46" t="s">
        <v>21</v>
      </c>
      <c r="G26" s="47">
        <f t="shared" si="0"/>
        <v>0</v>
      </c>
      <c r="H26" s="49"/>
      <c r="I26" s="49"/>
    </row>
    <row r="27" ht="15" spans="1:9">
      <c r="A27" s="16" t="s">
        <v>34</v>
      </c>
      <c r="C27" s="43"/>
      <c r="D27" s="48"/>
      <c r="E27" s="45">
        <v>920</v>
      </c>
      <c r="F27" s="46" t="s">
        <v>21</v>
      </c>
      <c r="G27" s="47">
        <f t="shared" si="0"/>
        <v>0</v>
      </c>
      <c r="H27" s="49"/>
      <c r="I27" s="49"/>
    </row>
    <row r="28" ht="15" spans="1:9">
      <c r="A28" s="16" t="s">
        <v>35</v>
      </c>
      <c r="C28" s="43"/>
      <c r="D28" s="48"/>
      <c r="E28" s="45">
        <v>385</v>
      </c>
      <c r="F28" s="46" t="s">
        <v>21</v>
      </c>
      <c r="G28" s="47">
        <f t="shared" si="0"/>
        <v>0</v>
      </c>
      <c r="H28" s="49"/>
      <c r="I28" s="49"/>
    </row>
    <row r="29" ht="15" spans="1:9">
      <c r="A29" s="27" t="s">
        <v>36</v>
      </c>
      <c r="C29" s="43"/>
      <c r="D29" s="48"/>
      <c r="E29" s="45"/>
      <c r="F29" s="46" t="s">
        <v>21</v>
      </c>
      <c r="G29" s="47">
        <f>SUM(G19:G22)+G24</f>
        <v>26248</v>
      </c>
      <c r="H29" s="49"/>
      <c r="I29" s="49"/>
    </row>
    <row r="30" ht="15.75" spans="1:9">
      <c r="A30" s="50" t="s">
        <v>36</v>
      </c>
      <c r="B30" s="51"/>
      <c r="C30" s="52"/>
      <c r="D30" s="53"/>
      <c r="E30" s="54"/>
      <c r="F30" s="55" t="s">
        <v>28</v>
      </c>
      <c r="G30" s="56">
        <f>G23</f>
        <v>1935</v>
      </c>
      <c r="H30" s="49"/>
      <c r="I30" s="49"/>
    </row>
    <row r="31" ht="15.75" spans="1:9">
      <c r="A31" s="57"/>
      <c r="B31" s="57"/>
      <c r="C31" s="57"/>
      <c r="D31" s="58"/>
      <c r="E31" s="59" t="s">
        <v>37</v>
      </c>
      <c r="F31" s="60" t="s">
        <v>21</v>
      </c>
      <c r="G31" s="61">
        <f>G29</f>
        <v>26248</v>
      </c>
      <c r="H31" s="49"/>
      <c r="I31" s="49"/>
    </row>
    <row r="32" ht="15" spans="1:10">
      <c r="A32" s="62"/>
      <c r="B32" s="62"/>
      <c r="C32" s="62"/>
      <c r="D32" s="63"/>
      <c r="E32" s="59" t="s">
        <v>37</v>
      </c>
      <c r="F32" s="60" t="s">
        <v>28</v>
      </c>
      <c r="G32" s="61">
        <f>G30</f>
        <v>1935</v>
      </c>
      <c r="H32" s="64"/>
      <c r="I32" s="49"/>
      <c r="J32" s="49"/>
    </row>
    <row r="33" spans="1:8">
      <c r="A33" s="24"/>
      <c r="B33" s="24"/>
      <c r="C33" s="24"/>
      <c r="D33" s="25"/>
      <c r="E33" s="24"/>
      <c r="F33" s="24"/>
      <c r="G33" s="65"/>
      <c r="H33" s="64"/>
    </row>
    <row r="34" spans="1:8">
      <c r="A34" s="24"/>
      <c r="B34" s="24"/>
      <c r="C34" s="24"/>
      <c r="D34" s="25"/>
      <c r="E34" s="24"/>
      <c r="F34" s="24"/>
      <c r="G34" s="65"/>
      <c r="H34" s="64"/>
    </row>
    <row r="35" spans="1:13">
      <c r="A35" s="24"/>
      <c r="B35" s="24"/>
      <c r="C35" s="24"/>
      <c r="D35" s="25"/>
      <c r="E35" s="64"/>
      <c r="F35" s="64"/>
      <c r="G35" s="64"/>
      <c r="H35" s="64"/>
      <c r="I35" s="64"/>
      <c r="J35" s="64"/>
      <c r="K35" s="64"/>
      <c r="L35" s="64"/>
      <c r="M35" s="64"/>
    </row>
    <row r="36" spans="1:8">
      <c r="A36" s="64"/>
      <c r="B36" s="24"/>
      <c r="C36" s="24"/>
      <c r="D36" s="25"/>
      <c r="E36" s="24"/>
      <c r="F36" s="24"/>
      <c r="G36" s="24"/>
      <c r="H36" s="64"/>
    </row>
    <row r="37" ht="15" spans="1:8">
      <c r="A37" s="27"/>
      <c r="B37" s="27"/>
      <c r="C37" s="24"/>
      <c r="D37" s="25"/>
      <c r="F37" s="24"/>
      <c r="G37" s="24"/>
      <c r="H37" s="64"/>
    </row>
    <row r="38" ht="15" spans="1:8">
      <c r="A38" s="27" t="s">
        <v>38</v>
      </c>
      <c r="B38" s="27"/>
      <c r="C38" s="27"/>
      <c r="D38" s="25"/>
      <c r="E38" s="27" t="s">
        <v>39</v>
      </c>
      <c r="F38" s="24"/>
      <c r="G38" s="24"/>
      <c r="H38" s="64"/>
    </row>
    <row r="39" ht="15" spans="1:8">
      <c r="A39" s="27" t="s">
        <v>40</v>
      </c>
      <c r="B39" s="27"/>
      <c r="C39" s="27"/>
      <c r="D39" s="25"/>
      <c r="E39" s="27" t="s">
        <v>41</v>
      </c>
      <c r="F39" s="24"/>
      <c r="G39" s="24"/>
      <c r="H39" s="66"/>
    </row>
    <row r="40" ht="15" spans="1:7">
      <c r="A40" s="27" t="s">
        <v>42</v>
      </c>
      <c r="B40" s="27"/>
      <c r="C40" s="27"/>
      <c r="D40" s="25"/>
      <c r="E40" s="27" t="s">
        <v>43</v>
      </c>
      <c r="F40" s="24"/>
      <c r="G40" s="24"/>
    </row>
    <row r="41" ht="15" spans="1:7">
      <c r="A41" s="27" t="s">
        <v>44</v>
      </c>
      <c r="B41" s="27"/>
      <c r="C41" s="27"/>
      <c r="D41" s="25"/>
      <c r="E41" s="27" t="s">
        <v>45</v>
      </c>
      <c r="F41" s="24"/>
      <c r="G41" s="24"/>
    </row>
    <row r="42" ht="15" spans="1:7">
      <c r="A42" s="27" t="s">
        <v>46</v>
      </c>
      <c r="B42" s="27"/>
      <c r="C42" s="27"/>
      <c r="D42" s="25"/>
      <c r="E42" s="27" t="s">
        <v>47</v>
      </c>
      <c r="F42" s="24"/>
      <c r="G42" s="24"/>
    </row>
    <row r="43" ht="15" spans="1:7">
      <c r="A43" s="27"/>
      <c r="B43" s="27"/>
      <c r="C43" s="27"/>
      <c r="D43" s="25"/>
      <c r="E43" s="27" t="s">
        <v>48</v>
      </c>
      <c r="G43" s="24"/>
    </row>
    <row r="44" ht="15" spans="5:5">
      <c r="E44" s="27"/>
    </row>
  </sheetData>
  <mergeCells count="3">
    <mergeCell ref="A2:G2"/>
    <mergeCell ref="A18:C18"/>
    <mergeCell ref="A30:C30"/>
  </mergeCells>
  <hyperlinks>
    <hyperlink ref="B14" r:id="rId1" display="liubeibei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G19" sqref="G19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4.1083333333333" style="1" customWidth="1"/>
    <col min="9" max="9" width="47.625" style="1" customWidth="1"/>
    <col min="10" max="16384" width="9" style="1"/>
  </cols>
  <sheetData>
    <row r="1" ht="16.5" customHeight="1" spans="1:8">
      <c r="A1" s="2" t="s">
        <v>49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50</v>
      </c>
      <c r="B2" s="4"/>
      <c r="C2" s="5" t="s">
        <v>51</v>
      </c>
      <c r="D2" s="3" t="s">
        <v>52</v>
      </c>
      <c r="E2" s="3"/>
      <c r="F2" s="3"/>
      <c r="G2" s="3"/>
      <c r="H2" s="3"/>
    </row>
    <row r="3" customHeight="1" spans="1:8">
      <c r="A3" s="3" t="s">
        <v>53</v>
      </c>
      <c r="B3" s="4"/>
      <c r="C3" s="5" t="s">
        <v>51</v>
      </c>
      <c r="D3" s="3"/>
      <c r="E3" s="3"/>
      <c r="F3" s="3"/>
      <c r="G3" s="3"/>
      <c r="H3" s="3"/>
    </row>
    <row r="4" customHeight="1" spans="1:8">
      <c r="A4" s="3" t="s">
        <v>54</v>
      </c>
      <c r="B4" s="4"/>
      <c r="C4" s="5" t="s">
        <v>51</v>
      </c>
      <c r="D4" s="3"/>
      <c r="E4" s="3"/>
      <c r="F4" s="3"/>
      <c r="G4" s="3"/>
      <c r="H4" s="3"/>
    </row>
    <row r="5" customHeight="1" spans="1:8">
      <c r="A5" s="3" t="s">
        <v>55</v>
      </c>
      <c r="B5" s="4"/>
      <c r="C5" s="5" t="s">
        <v>51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56</v>
      </c>
      <c r="B7" s="9" t="s">
        <v>57</v>
      </c>
      <c r="C7" s="10"/>
      <c r="D7" s="11" t="s">
        <v>58</v>
      </c>
      <c r="E7" s="11" t="s">
        <v>59</v>
      </c>
      <c r="F7" s="11" t="s">
        <v>60</v>
      </c>
      <c r="G7" s="11" t="s">
        <v>61</v>
      </c>
      <c r="H7" s="11" t="s">
        <v>62</v>
      </c>
    </row>
    <row r="8" ht="48" customHeight="1" spans="1:9">
      <c r="A8" s="12">
        <v>1</v>
      </c>
      <c r="B8" s="16" t="s">
        <v>63</v>
      </c>
      <c r="C8" s="14"/>
      <c r="D8" s="18">
        <v>1339</v>
      </c>
      <c r="E8" s="15" t="s">
        <v>64</v>
      </c>
      <c r="F8" s="11">
        <v>10</v>
      </c>
      <c r="G8" s="11">
        <f>D8*F8</f>
        <v>13390</v>
      </c>
      <c r="H8" s="11" t="s">
        <v>65</v>
      </c>
      <c r="I8" s="22" t="s">
        <v>66</v>
      </c>
    </row>
    <row r="9" spans="1:8">
      <c r="A9" s="12">
        <v>2</v>
      </c>
      <c r="B9" s="16" t="s">
        <v>63</v>
      </c>
      <c r="C9" s="14"/>
      <c r="D9" s="18">
        <v>1009</v>
      </c>
      <c r="E9" s="15" t="s">
        <v>67</v>
      </c>
      <c r="F9" s="11"/>
      <c r="G9" s="11">
        <f t="shared" ref="G9:G14" si="0">D9*F9</f>
        <v>0</v>
      </c>
      <c r="H9" s="11"/>
    </row>
    <row r="10" ht="42.75" spans="1:10">
      <c r="A10" s="12">
        <v>3</v>
      </c>
      <c r="B10" s="19" t="s">
        <v>68</v>
      </c>
      <c r="C10" s="14"/>
      <c r="D10" s="18">
        <v>1545</v>
      </c>
      <c r="E10" s="15" t="s">
        <v>64</v>
      </c>
      <c r="F10" s="11">
        <v>6</v>
      </c>
      <c r="G10" s="11">
        <f t="shared" si="0"/>
        <v>9270</v>
      </c>
      <c r="H10" s="11" t="s">
        <v>69</v>
      </c>
      <c r="I10" s="22" t="s">
        <v>70</v>
      </c>
      <c r="J10" s="1">
        <f>1545*4</f>
        <v>6180</v>
      </c>
    </row>
    <row r="11" spans="1:10">
      <c r="A11" s="12">
        <v>4</v>
      </c>
      <c r="B11" s="16" t="s">
        <v>71</v>
      </c>
      <c r="C11" s="14"/>
      <c r="D11" s="18">
        <v>1339</v>
      </c>
      <c r="E11" s="15" t="s">
        <v>67</v>
      </c>
      <c r="F11" s="11"/>
      <c r="G11" s="11">
        <f t="shared" si="0"/>
        <v>0</v>
      </c>
      <c r="H11" s="11"/>
      <c r="J11" s="1">
        <f>1545*2</f>
        <v>3090</v>
      </c>
    </row>
    <row r="12" spans="1:8">
      <c r="A12" s="12">
        <v>5</v>
      </c>
      <c r="B12" s="20" t="s">
        <v>72</v>
      </c>
      <c r="C12" s="14"/>
      <c r="D12" s="18">
        <v>450</v>
      </c>
      <c r="E12" s="15" t="s">
        <v>73</v>
      </c>
      <c r="F12" s="11"/>
      <c r="G12" s="11">
        <f t="shared" si="0"/>
        <v>0</v>
      </c>
      <c r="H12" s="11"/>
    </row>
    <row r="13" ht="24" spans="1:9">
      <c r="A13" s="12">
        <v>6</v>
      </c>
      <c r="B13" s="20" t="s">
        <v>74</v>
      </c>
      <c r="C13" s="14"/>
      <c r="D13" s="18">
        <v>340</v>
      </c>
      <c r="E13" s="15" t="s">
        <v>73</v>
      </c>
      <c r="F13" s="11">
        <v>2</v>
      </c>
      <c r="G13" s="11">
        <f t="shared" si="0"/>
        <v>680</v>
      </c>
      <c r="H13" s="11" t="s">
        <v>75</v>
      </c>
      <c r="I13" s="1" t="s">
        <v>24</v>
      </c>
    </row>
    <row r="14" spans="1:8">
      <c r="A14" s="12">
        <v>7</v>
      </c>
      <c r="B14" s="20" t="s">
        <v>76</v>
      </c>
      <c r="C14" s="14"/>
      <c r="D14" s="18">
        <v>31</v>
      </c>
      <c r="E14" s="15" t="s">
        <v>64</v>
      </c>
      <c r="F14" s="11"/>
      <c r="G14" s="11">
        <f t="shared" si="0"/>
        <v>0</v>
      </c>
      <c r="H14" s="11"/>
    </row>
    <row r="15" spans="1:8">
      <c r="A15" s="12">
        <v>8</v>
      </c>
      <c r="B15" s="20" t="s">
        <v>77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6" t="s">
        <v>78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6" t="s">
        <v>79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6"/>
      <c r="C18" s="14"/>
      <c r="D18" s="11"/>
      <c r="E18" s="15"/>
      <c r="F18" s="11"/>
      <c r="G18" s="11"/>
      <c r="H18" s="11"/>
    </row>
    <row r="19" spans="7:7">
      <c r="G19" s="1">
        <v>3805.12</v>
      </c>
    </row>
    <row r="20" spans="7:7">
      <c r="G20" s="1">
        <f>1545*2</f>
        <v>3090</v>
      </c>
    </row>
    <row r="21" spans="7:7">
      <c r="G21" s="11">
        <v>2908</v>
      </c>
    </row>
    <row r="23" spans="7:8">
      <c r="G23" s="1">
        <f>G13+G19+G20+G21</f>
        <v>10483.12</v>
      </c>
      <c r="H23" s="21" t="s">
        <v>80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H8" sqref="H8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0" width="10.75" style="1" customWidth="1"/>
    <col min="11" max="16384" width="9" style="1"/>
  </cols>
  <sheetData>
    <row r="1" ht="16.5" customHeight="1" spans="1:9">
      <c r="A1" s="2" t="s">
        <v>81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50</v>
      </c>
      <c r="B2" s="4"/>
      <c r="C2" s="5" t="s">
        <v>51</v>
      </c>
      <c r="D2" s="3" t="s">
        <v>52</v>
      </c>
      <c r="E2" s="3"/>
      <c r="F2" s="3"/>
      <c r="G2" s="3"/>
      <c r="H2" s="3"/>
      <c r="I2" s="3"/>
    </row>
    <row r="3" customHeight="1" spans="1:9">
      <c r="A3" s="3" t="s">
        <v>53</v>
      </c>
      <c r="B3" s="4"/>
      <c r="C3" s="5" t="s">
        <v>51</v>
      </c>
      <c r="D3" s="3"/>
      <c r="E3" s="3"/>
      <c r="F3" s="3"/>
      <c r="G3" s="3"/>
      <c r="H3" s="3"/>
      <c r="I3" s="3"/>
    </row>
    <row r="4" customHeight="1" spans="1:9">
      <c r="A4" s="3" t="s">
        <v>54</v>
      </c>
      <c r="B4" s="4"/>
      <c r="C4" s="5" t="s">
        <v>51</v>
      </c>
      <c r="D4" s="3"/>
      <c r="E4" s="3"/>
      <c r="F4" s="3"/>
      <c r="G4" s="3"/>
      <c r="H4" s="3"/>
      <c r="I4" s="3"/>
    </row>
    <row r="5" customHeight="1" spans="1:9">
      <c r="A5" s="3" t="s">
        <v>55</v>
      </c>
      <c r="B5" s="4"/>
      <c r="C5" s="5" t="s">
        <v>51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56</v>
      </c>
      <c r="B7" s="9" t="s">
        <v>57</v>
      </c>
      <c r="C7" s="10"/>
      <c r="D7" s="11" t="s">
        <v>58</v>
      </c>
      <c r="E7" s="11" t="s">
        <v>59</v>
      </c>
      <c r="F7" s="11" t="s">
        <v>60</v>
      </c>
      <c r="G7" s="11" t="s">
        <v>61</v>
      </c>
      <c r="H7" s="11" t="s">
        <v>82</v>
      </c>
      <c r="I7" s="11" t="s">
        <v>62</v>
      </c>
    </row>
    <row r="8" ht="35.25" spans="1:10">
      <c r="A8" s="12">
        <v>1</v>
      </c>
      <c r="B8" s="13" t="s">
        <v>83</v>
      </c>
      <c r="C8" s="14"/>
      <c r="D8" s="11">
        <v>1935</v>
      </c>
      <c r="E8" s="15" t="s">
        <v>64</v>
      </c>
      <c r="F8" s="11">
        <v>1</v>
      </c>
      <c r="G8" s="11"/>
      <c r="H8" s="11">
        <f>D8*F8</f>
        <v>1935</v>
      </c>
      <c r="J8" s="11" t="s">
        <v>84</v>
      </c>
    </row>
    <row r="9" spans="1:10">
      <c r="A9" s="12"/>
      <c r="B9" s="16" t="s">
        <v>31</v>
      </c>
      <c r="C9" s="14"/>
      <c r="D9" s="11">
        <v>2908</v>
      </c>
      <c r="E9" s="15" t="s">
        <v>64</v>
      </c>
      <c r="F9" s="11">
        <v>1</v>
      </c>
      <c r="G9" s="11">
        <f>D9*F9</f>
        <v>2908</v>
      </c>
      <c r="H9" s="11"/>
      <c r="I9" s="11"/>
      <c r="J9" s="1" t="s">
        <v>85</v>
      </c>
    </row>
    <row r="10" spans="1:10">
      <c r="A10" s="12"/>
      <c r="B10" s="16"/>
      <c r="C10" s="14"/>
      <c r="D10" s="11"/>
      <c r="E10" s="15"/>
      <c r="F10" s="11"/>
      <c r="H10" s="11"/>
      <c r="I10" s="11"/>
      <c r="J10" s="17">
        <v>2600</v>
      </c>
    </row>
    <row r="11" spans="2:10">
      <c r="B11" s="16" t="s">
        <v>86</v>
      </c>
      <c r="J11" s="1">
        <f>100+2600*0.08</f>
        <v>308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2025-05-26T06:28:03Z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68C72A77D40245CA99FA5D929EAC04F9_13</vt:lpwstr>
  </property>
  <property fmtid="{D5CDD505-2E9C-101B-9397-08002B2CF9AE}" pid="3" name="KSOProductBuildVer">
    <vt:lpwstr>2052-12.1.0.21171</vt:lpwstr>
  </property>
</Properties>
</file>