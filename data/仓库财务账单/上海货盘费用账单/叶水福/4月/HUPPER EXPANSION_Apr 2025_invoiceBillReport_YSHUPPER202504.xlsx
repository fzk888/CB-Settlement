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Invoice" sheetId="5" r:id="rId1"/>
    <sheet name="InvoiceBillReport" sheetId="10" r:id="rId2"/>
    <sheet name="HandlingBillingReport" sheetId="11" r:id="rId3"/>
    <sheet name="StorageBillingRpt" sheetId="12" r:id="rId4"/>
    <sheet name="Customs Clearance With Related" sheetId="6" r:id="rId5"/>
  </sheets>
  <definedNames>
    <definedName name="_xlnm._FilterDatabase" localSheetId="3" hidden="1">StorageBillingRpt!$A$12:$S$1129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<sst xmlns="http://schemas.openxmlformats.org/spreadsheetml/2006/main" count="7272" uniqueCount="228">
  <si>
    <t>INVOICE</t>
  </si>
  <si>
    <t>CUSTOMER :</t>
  </si>
  <si>
    <t>HUPPER TEK Co.,Ltd</t>
  </si>
  <si>
    <t>Invoice No :</t>
  </si>
  <si>
    <t>YSHUPPER202504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</si>
  <si>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</si>
  <si>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</si>
  <si>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</si>
  <si>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</si>
  <si>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</si>
  <si>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</si>
  <si>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</si>
  <si>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</si>
  <si>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</si>
  <si>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</si>
  <si>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TSP-上海</t>
  </si>
  <si>
    <t>Details of Charges</t>
  </si>
  <si>
    <t>Quantity</t>
  </si>
  <si>
    <t>Unit Rate</t>
  </si>
  <si>
    <t>Currency</t>
  </si>
  <si>
    <t>Amount</t>
  </si>
  <si>
    <t>Handling In</t>
  </si>
  <si>
    <t>RMB</t>
  </si>
  <si>
    <t>欧美各一半</t>
  </si>
  <si>
    <t>Handling Out</t>
  </si>
  <si>
    <t>Storage</t>
  </si>
  <si>
    <t>ok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</si>
  <si>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</si>
  <si>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</si>
  <si>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</si>
  <si>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</si>
  <si>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</si>
  <si>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</si>
  <si>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</si>
  <si>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</si>
  <si>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</si>
  <si>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</si>
  <si>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</si>
  <si>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</si>
  <si>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</si>
  <si>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</si>
  <si>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</si>
  <si>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</si>
  <si>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</si>
  <si>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</si>
  <si>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</si>
  <si>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</si>
  <si>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</si>
  <si>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</si>
  <si>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</si>
  <si>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</si>
  <si>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</si>
  <si>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</si>
  <si>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INVSH00704</t>
  </si>
  <si>
    <t>HUPPER_OS</t>
  </si>
  <si>
    <t>30-Apr-25</t>
  </si>
  <si>
    <t xml:space="preserve"> </t>
  </si>
  <si>
    <t>30  DAYS</t>
  </si>
  <si>
    <t>ATTN TO :</t>
  </si>
  <si>
    <t>Billing Period</t>
  </si>
  <si>
    <t>from [2025-04-01] to [2025-04-30]</t>
  </si>
  <si>
    <t>HANDLING IN - M3 [IPA]</t>
  </si>
  <si>
    <t>STORAGE - M3 [IPA]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</si>
  <si>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</si>
  <si>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</si>
  <si>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</si>
  <si>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</si>
  <si>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</si>
  <si>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</si>
  <si>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</si>
  <si>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</si>
  <si>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INVSH00704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</si>
  <si>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</si>
  <si>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</si>
  <si>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</si>
  <si>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01-04-2025 to 30-04-2025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</si>
  <si>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</si>
  <si>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</si>
  <si>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</si>
  <si>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</si>
  <si>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</si>
  <si>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</si>
  <si>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</si>
  <si>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</si>
  <si>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</si>
  <si>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</si>
  <si>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</si>
  <si>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</si>
  <si>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</si>
  <si>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</si>
  <si>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</si>
  <si>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</si>
  <si>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</si>
  <si>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</si>
  <si>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</si>
  <si>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</si>
  <si>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</si>
  <si>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HUPPERSHGRN141</t>
    </r>
  </si>
  <si>
    <t>UK2504007-CN</t>
  </si>
  <si>
    <r>
      <rPr>
        <sz val="9"/>
        <rFont val="等线"/>
        <charset val="0"/>
      </rPr>
      <t>02-04-2025</t>
    </r>
  </si>
  <si>
    <r>
      <rPr>
        <sz val="9"/>
        <rFont val="等线"/>
        <charset val="0"/>
      </rPr>
      <t>B01B3MW7CC</t>
    </r>
  </si>
  <si>
    <r>
      <rPr>
        <sz val="9"/>
        <rFont val="等线"/>
        <charset val="0"/>
      </rPr>
      <t>户外投影屏幕</t>
    </r>
  </si>
  <si>
    <r>
      <rPr>
        <sz val="9"/>
        <rFont val="等线"/>
        <charset val="0"/>
      </rPr>
      <t>UK2504007-CN</t>
    </r>
  </si>
  <si>
    <r>
      <rPr>
        <sz val="9"/>
        <rFont val="等线"/>
        <charset val="0"/>
      </rPr>
      <t>B078NRXBLN</t>
    </r>
  </si>
  <si>
    <r>
      <rPr>
        <sz val="9"/>
        <rFont val="等线"/>
        <charset val="0"/>
      </rPr>
      <t>木衣架</t>
    </r>
  </si>
  <si>
    <r>
      <rPr>
        <sz val="9"/>
        <rFont val="等线"/>
        <charset val="0"/>
      </rPr>
      <t>HUPPERSHGRN142</t>
    </r>
  </si>
  <si>
    <r>
      <rPr>
        <sz val="9"/>
        <rFont val="等线"/>
        <charset val="0"/>
      </rPr>
      <t>UK2504007</t>
    </r>
  </si>
  <si>
    <r>
      <rPr>
        <sz val="9"/>
        <rFont val="等线"/>
        <charset val="0"/>
      </rPr>
      <t>03-04-2025</t>
    </r>
  </si>
  <si>
    <r>
      <rPr>
        <sz val="9"/>
        <rFont val="等线"/>
        <charset val="0"/>
      </rPr>
      <t>B06ZY896ZM</t>
    </r>
  </si>
  <si>
    <r>
      <rPr>
        <sz val="9"/>
        <rFont val="等线"/>
        <charset val="0"/>
      </rPr>
      <t>汽车吸尘器</t>
    </r>
  </si>
  <si>
    <r>
      <rPr>
        <sz val="9"/>
        <rFont val="等线"/>
        <charset val="0"/>
      </rPr>
      <t>HUPPERSHGRN144</t>
    </r>
  </si>
  <si>
    <r>
      <rPr>
        <sz val="9"/>
        <rFont val="等线"/>
        <charset val="0"/>
      </rPr>
      <t>UK2501052-CN</t>
    </r>
  </si>
  <si>
    <r>
      <rPr>
        <sz val="9"/>
        <rFont val="等线"/>
        <charset val="0"/>
      </rPr>
      <t>24-04-2025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</si>
  <si>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</si>
  <si>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</si>
  <si>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</si>
  <si>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</si>
  <si>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r>
      <rPr>
        <sz val="9"/>
        <rFont val="等线"/>
        <charset val="0"/>
      </rPr>
      <t>957.43 * CNY 20.0</t>
    </r>
  </si>
  <si>
    <t>14个柜子</t>
  </si>
  <si>
    <r>
      <rPr>
        <sz val="9"/>
        <rFont val="等线"/>
        <charset val="0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</si>
  <si>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</si>
  <si>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</si>
  <si>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</si>
  <si>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</si>
  <si>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</si>
  <si>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</si>
  <si>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</si>
  <si>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01-04-2025 to 01-04-2025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</si>
  <si>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</si>
  <si>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</si>
  <si>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</si>
  <si>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</si>
  <si>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</si>
  <si>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</si>
  <si>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HUPPERSHGRN122</t>
    </r>
  </si>
  <si>
    <r>
      <rPr>
        <sz val="9"/>
        <rFont val="等线"/>
        <charset val="0"/>
      </rPr>
      <t>UK2412022</t>
    </r>
  </si>
  <si>
    <r>
      <rPr>
        <sz val="9"/>
        <rFont val="等线"/>
        <charset val="0"/>
      </rPr>
      <t>20-02-2025</t>
    </r>
  </si>
  <si>
    <r>
      <rPr>
        <sz val="9"/>
        <rFont val="等线"/>
        <charset val="0"/>
      </rPr>
      <t>HUPPERSHGRN131</t>
    </r>
  </si>
  <si>
    <r>
      <rPr>
        <sz val="9"/>
        <rFont val="等线"/>
        <charset val="0"/>
      </rPr>
      <t>UK2412024</t>
    </r>
  </si>
  <si>
    <r>
      <rPr>
        <sz val="9"/>
        <rFont val="等线"/>
        <charset val="0"/>
      </rPr>
      <t>18-03-2025</t>
    </r>
  </si>
  <si>
    <r>
      <rPr>
        <sz val="9"/>
        <rFont val="等线"/>
        <charset val="0"/>
      </rPr>
      <t>HUPPERSHGRN132</t>
    </r>
  </si>
  <si>
    <r>
      <rPr>
        <sz val="9"/>
        <rFont val="等线"/>
        <charset val="0"/>
      </rPr>
      <t>UK2412022-2HQ</t>
    </r>
  </si>
  <si>
    <r>
      <rPr>
        <sz val="9"/>
        <rFont val="等线"/>
        <charset val="0"/>
      </rPr>
      <t>19-03-2025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</si>
  <si>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</si>
  <si>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</si>
  <si>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</si>
  <si>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</si>
  <si>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1000㎡ / 1.0 DAYS  *CNY 0.7</t>
  </si>
  <si>
    <r>
      <rPr>
        <sz val="9"/>
        <rFont val="等线"/>
        <charset val="0"/>
      </rPr>
      <t>02-04-2025 to 02-04-2025</t>
    </r>
  </si>
  <si>
    <r>
      <rPr>
        <sz val="9"/>
        <rFont val="等线"/>
        <charset val="0"/>
      </rPr>
      <t>03-04-2025 to 03-04-2025</t>
    </r>
  </si>
  <si>
    <r>
      <rPr>
        <sz val="9"/>
        <rFont val="等线"/>
        <charset val="0"/>
      </rPr>
      <t>04-04-2025 to 04-04-2025</t>
    </r>
  </si>
  <si>
    <r>
      <rPr>
        <sz val="9"/>
        <rFont val="等线"/>
        <charset val="0"/>
      </rPr>
      <t>05-04-2025 to 05-04-2025</t>
    </r>
  </si>
  <si>
    <r>
      <rPr>
        <sz val="9"/>
        <rFont val="等线"/>
        <charset val="0"/>
      </rPr>
      <t>06-04-2025 to 06-04-2025</t>
    </r>
  </si>
  <si>
    <r>
      <rPr>
        <sz val="9"/>
        <rFont val="等线"/>
        <charset val="0"/>
      </rPr>
      <t>07-04-2025 to 07-04-2025</t>
    </r>
  </si>
  <si>
    <r>
      <rPr>
        <sz val="9"/>
        <rFont val="等线"/>
        <charset val="0"/>
      </rPr>
      <t>08-04-2025 to 08-04-2025</t>
    </r>
  </si>
  <si>
    <r>
      <rPr>
        <sz val="9"/>
        <rFont val="等线"/>
        <charset val="0"/>
      </rPr>
      <t>09-04-2025 to 09-04-2025</t>
    </r>
  </si>
  <si>
    <r>
      <rPr>
        <sz val="9"/>
        <rFont val="等线"/>
        <charset val="0"/>
      </rPr>
      <t>10-04-2025 to 10-04-2025</t>
    </r>
  </si>
  <si>
    <r>
      <rPr>
        <sz val="9"/>
        <rFont val="等线"/>
        <charset val="0"/>
      </rPr>
      <t>11-04-2025 to 11-04-2025</t>
    </r>
  </si>
  <si>
    <r>
      <rPr>
        <sz val="9"/>
        <rFont val="等线"/>
        <charset val="0"/>
      </rPr>
      <t>12-04-2025 to 12-04-2025</t>
    </r>
  </si>
  <si>
    <r>
      <rPr>
        <sz val="9"/>
        <rFont val="等线"/>
        <charset val="0"/>
      </rPr>
      <t>13-04-2025 to 13-04-2025</t>
    </r>
  </si>
  <si>
    <r>
      <rPr>
        <sz val="9"/>
        <rFont val="等线"/>
        <charset val="0"/>
      </rPr>
      <t>14-04-2025 to 14-04-2025</t>
    </r>
  </si>
  <si>
    <r>
      <rPr>
        <sz val="9"/>
        <rFont val="等线"/>
        <charset val="0"/>
      </rPr>
      <t>15-04-2025 to 15-04-2025</t>
    </r>
  </si>
  <si>
    <r>
      <rPr>
        <sz val="9"/>
        <rFont val="等线"/>
        <charset val="0"/>
      </rPr>
      <t>16-04-2025 to 16-04-2025</t>
    </r>
  </si>
  <si>
    <r>
      <rPr>
        <sz val="9"/>
        <rFont val="等线"/>
        <charset val="0"/>
      </rPr>
      <t>17-04-2025 to 17-04-2025</t>
    </r>
  </si>
  <si>
    <r>
      <rPr>
        <sz val="9"/>
        <rFont val="等线"/>
        <charset val="0"/>
      </rPr>
      <t>18-04-2025 to 18-04-2025</t>
    </r>
  </si>
  <si>
    <r>
      <rPr>
        <sz val="9"/>
        <rFont val="等线"/>
        <charset val="0"/>
      </rPr>
      <t>19-04-2025 to 19-04-2025</t>
    </r>
  </si>
  <si>
    <r>
      <rPr>
        <sz val="9"/>
        <rFont val="等线"/>
        <charset val="0"/>
      </rPr>
      <t>20-04-2025 to 20-04-2025</t>
    </r>
  </si>
  <si>
    <r>
      <rPr>
        <sz val="9"/>
        <rFont val="等线"/>
        <charset val="0"/>
      </rPr>
      <t>21-04-2025 to 21-04-2025</t>
    </r>
  </si>
  <si>
    <r>
      <rPr>
        <sz val="9"/>
        <rFont val="等线"/>
        <charset val="0"/>
      </rPr>
      <t>22-04-2025 to 22-04-2025</t>
    </r>
  </si>
  <si>
    <r>
      <rPr>
        <sz val="9"/>
        <rFont val="等线"/>
        <charset val="0"/>
      </rPr>
      <t>23-04-2025 to 23-04-2025</t>
    </r>
  </si>
  <si>
    <r>
      <rPr>
        <sz val="9"/>
        <rFont val="等线"/>
        <charset val="0"/>
      </rPr>
      <t>24-04-2025 to 24-04-2025</t>
    </r>
  </si>
  <si>
    <r>
      <rPr>
        <sz val="9"/>
        <rFont val="等线"/>
        <charset val="0"/>
      </rPr>
      <t>25-04-2025 to 25-04-2025</t>
    </r>
  </si>
  <si>
    <r>
      <rPr>
        <sz val="9"/>
        <rFont val="等线"/>
        <charset val="0"/>
      </rPr>
      <t>26-04-2025 to 26-04-2025</t>
    </r>
  </si>
  <si>
    <r>
      <rPr>
        <sz val="9"/>
        <rFont val="等线"/>
        <charset val="0"/>
      </rPr>
      <t>27-04-2025 to 27-04-2025</t>
    </r>
  </si>
  <si>
    <r>
      <rPr>
        <sz val="9"/>
        <rFont val="等线"/>
        <charset val="0"/>
      </rPr>
      <t>28-04-2025 to 28-04-2025</t>
    </r>
  </si>
  <si>
    <r>
      <rPr>
        <sz val="9"/>
        <rFont val="等线"/>
        <charset val="0"/>
      </rPr>
      <t>29-04-2025 to 29-04-2025</t>
    </r>
  </si>
  <si>
    <r>
      <rPr>
        <sz val="9"/>
        <rFont val="等线"/>
        <charset val="0"/>
      </rPr>
      <t>30-04-2025 to 30-04-2025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</si>
  <si>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</si>
  <si>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</si>
  <si>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12DAYS*700+908.41</t>
  </si>
  <si>
    <t>Free storage of 1500CBMs for 2months in 2025 （From Feb 19, 2025 to Apr 18, 2025）</t>
  </si>
  <si>
    <t>日期</t>
  </si>
  <si>
    <r>
      <rPr>
        <b/>
        <sz val="11"/>
        <color theme="1"/>
        <rFont val="DengXian"/>
        <charset val="0"/>
      </rPr>
      <t>国</t>
    </r>
    <r>
      <rPr>
        <b/>
        <sz val="11"/>
        <color indexed="8"/>
        <rFont val="DengXian"/>
        <charset val="0"/>
      </rPr>
      <t>外1000平</t>
    </r>
    <r>
      <rPr>
        <b/>
        <sz val="11"/>
        <color indexed="8"/>
        <rFont val="DengXian"/>
        <charset val="0"/>
      </rPr>
      <t>/1500方</t>
    </r>
    <r>
      <rPr>
        <b/>
        <sz val="11"/>
        <color indexed="8"/>
        <rFont val="DengXian"/>
        <charset val="0"/>
      </rPr>
      <t>(CBM)</t>
    </r>
  </si>
  <si>
    <t>正常仓储费</t>
  </si>
  <si>
    <r>
      <rPr>
        <b/>
        <sz val="11"/>
        <color indexed="8"/>
        <rFont val="等线"/>
        <charset val="0"/>
      </rPr>
      <t>超出</t>
    </r>
    <r>
      <rPr>
        <b/>
        <sz val="11"/>
        <color indexed="8"/>
        <rFont val="Calibri"/>
        <charset val="0"/>
      </rPr>
      <t>(CBM)</t>
    </r>
  </si>
  <si>
    <t>扣减后(CBM)</t>
  </si>
  <si>
    <t>超出费用</t>
  </si>
  <si>
    <t>Free</t>
  </si>
  <si>
    <t>2月18-4月18免</t>
  </si>
  <si>
    <t>固定1500立方每天700</t>
  </si>
  <si>
    <t>超出1500立方的费用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</si>
  <si>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</si>
  <si>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</si>
  <si>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</si>
  <si>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t>HUPPER_SH_EXPANSION</t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</si>
  <si>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</si>
  <si>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</si>
  <si>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</si>
  <si>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</si>
  <si>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01-04-2025 to 30-04-2025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</si>
  <si>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</si>
  <si>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</si>
  <si>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</si>
  <si>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</si>
  <si>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</si>
  <si>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</si>
  <si>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</si>
  <si>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</si>
  <si>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</si>
  <si>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</si>
  <si>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</si>
  <si>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</si>
  <si>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</si>
  <si>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</si>
  <si>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</si>
  <si>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</si>
  <si>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合同号</t>
  </si>
  <si>
    <t>商品名称</t>
  </si>
  <si>
    <t>报关服务费用</t>
  </si>
  <si>
    <t>提发货凭证</t>
  </si>
  <si>
    <t>联单费</t>
  </si>
  <si>
    <t xml:space="preserve">查验服务费
</t>
  </si>
  <si>
    <t>查验费</t>
  </si>
  <si>
    <t>合计</t>
  </si>
  <si>
    <t>224920251000033050</t>
  </si>
  <si>
    <t>木衣架</t>
  </si>
  <si>
    <t>英国进口</t>
  </si>
  <si>
    <t>224920251000027287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</si>
</sst>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&quot;￥&quot;#,##0.00_);[Red]\(&quot;￥&quot;#,##0.00\)"/>
    <numFmt numFmtId="185" formatCode="m/d/yy\ h:mm:ss\ \a"/>
    <numFmt numFmtId="186" formatCode="0.00_);[Red]\(0.00\)"/>
    <numFmt numFmtId="187" formatCode="_(* #,##0.00_);_(* \(#,##0.00\);_(* &quot;-&quot;??_);_(@_)"/>
  </numFmts>
  <fonts count="71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1"/>
      <color theme="1"/>
      <name val="等线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0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8"/>
      <color rgb="FF000000"/>
      <name val="SansSerif"/>
      <charset val="0"/>
    </font>
    <font>
      <sz val="9"/>
      <name val="等线"/>
      <charset val="0"/>
    </font>
    <font>
      <sz val="9"/>
      <color rgb="FF333333"/>
      <name val="SansSerif"/>
      <charset val="0"/>
    </font>
    <font>
      <b/>
      <sz val="11"/>
      <color theme="1"/>
      <name val="DengXian"/>
      <charset val="0"/>
    </font>
    <font>
      <b/>
      <sz val="11"/>
      <color theme="1"/>
      <name val="Calibri"/>
      <charset val="0"/>
    </font>
    <font>
      <sz val="11"/>
      <color rgb="FF000000"/>
      <name val="Calibri"/>
      <charset val="0"/>
    </font>
    <font>
      <sz val="11"/>
      <color theme="1"/>
      <name val="Calibri"/>
      <charset val="0"/>
    </font>
    <font>
      <i/>
      <sz val="11"/>
      <color rgb="FF000000"/>
      <name val="SansSerif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indexed="8"/>
      <name val="宋体"/>
      <charset val="134"/>
    </font>
    <font>
      <sz val="11"/>
      <name val="Yu Gothic"/>
      <charset val="128"/>
    </font>
    <font>
      <b/>
      <sz val="11"/>
      <color indexed="8"/>
      <name val="DengXian"/>
      <charset val="0"/>
    </font>
    <font>
      <sz val="11"/>
      <name val="宋体"/>
      <charset val="134"/>
    </font>
    <font>
      <sz val="8"/>
      <name val="等线"/>
      <charset val="0"/>
    </font>
    <font>
      <sz val="8"/>
      <name val="等线"/>
      <charset val="134"/>
    </font>
    <font>
      <sz val="9"/>
      <color indexed="8"/>
      <name val="微软雅黑"/>
      <charset val="134"/>
    </font>
    <font>
      <i/>
      <sz val="11"/>
      <name val="等线"/>
      <charset val="0"/>
    </font>
    <font>
      <b/>
      <sz val="11"/>
      <color indexed="8"/>
      <name val="等线"/>
      <charset val="0"/>
    </font>
    <font>
      <b/>
      <sz val="11"/>
      <color indexed="8"/>
      <name val="Calibri"/>
      <charset val="0"/>
    </font>
    <font>
      <b/>
      <sz val="13"/>
      <name val="等线"/>
      <charset val="0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center"/>
    </xf>
    <xf numFmtId="0" fontId="0" fillId="6" borderId="28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9" fillId="0" borderId="3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7" borderId="31" applyNumberFormat="0" applyAlignment="0" applyProtection="0">
      <alignment vertical="center"/>
    </xf>
    <xf numFmtId="0" fontId="51" fillId="8" borderId="32" applyNumberFormat="0" applyAlignment="0" applyProtection="0">
      <alignment vertical="center"/>
    </xf>
    <xf numFmtId="0" fontId="52" fillId="8" borderId="31" applyNumberFormat="0" applyAlignment="0" applyProtection="0">
      <alignment vertical="center"/>
    </xf>
    <xf numFmtId="0" fontId="53" fillId="9" borderId="33" applyNumberFormat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5" fillId="0" borderId="35" applyNumberFormat="0" applyFill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32" fillId="0" borderId="0"/>
    <xf numFmtId="176" fontId="32" fillId="0" borderId="0"/>
    <xf numFmtId="176" fontId="60" fillId="0" borderId="0" applyFont="0" applyFill="0" applyBorder="0" applyAlignment="0" applyProtection="0"/>
  </cellStyleXfs>
  <cellXfs count="15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1" fillId="0" borderId="0" xfId="0" applyFont="1">
      <alignment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177" fontId="12" fillId="0" borderId="2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 wrapText="1"/>
    </xf>
    <xf numFmtId="0" fontId="14" fillId="0" borderId="2" xfId="0" applyNumberFormat="1" applyFont="1" applyFill="1" applyBorder="1" applyAlignment="1">
      <alignment horizontal="center" vertical="center" wrapText="1"/>
    </xf>
    <xf numFmtId="177" fontId="13" fillId="0" borderId="3" xfId="0" applyNumberFormat="1" applyFont="1" applyFill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3" fillId="0" borderId="3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6" fillId="0" borderId="5" xfId="0" applyFont="1" applyBorder="1">
      <alignment vertical="center"/>
    </xf>
    <xf numFmtId="0" fontId="15" fillId="0" borderId="0" xfId="0" applyFont="1" applyAlignment="1">
      <alignment horizontal="center" vertical="center" wrapText="1"/>
    </xf>
    <xf numFmtId="0" fontId="17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center" vertical="top" wrapText="1"/>
    </xf>
    <xf numFmtId="0" fontId="18" fillId="0" borderId="0" xfId="0" applyFont="1" applyFill="1" applyBorder="1" applyAlignment="1" applyProtection="1">
      <alignment horizontal="center" vertical="top" wrapText="1"/>
      <protection locked="0"/>
    </xf>
    <xf numFmtId="178" fontId="18" fillId="0" borderId="0" xfId="0" applyNumberFormat="1" applyFont="1" applyFill="1" applyBorder="1" applyAlignment="1">
      <alignment horizontal="left" vertical="top" wrapText="1"/>
    </xf>
    <xf numFmtId="0" fontId="18" fillId="0" borderId="0" xfId="0" applyFont="1" applyFill="1" applyBorder="1" applyAlignment="1" applyProtection="1">
      <alignment horizontal="left" vertical="top" wrapText="1"/>
      <protection locked="0"/>
    </xf>
    <xf numFmtId="0" fontId="19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 applyProtection="1">
      <alignment horizontal="center" vertical="top" wrapText="1"/>
      <protection locked="0"/>
    </xf>
    <xf numFmtId="0" fontId="20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 applyProtection="1">
      <alignment horizontal="left" vertical="top" wrapText="1"/>
      <protection locked="0"/>
    </xf>
    <xf numFmtId="0" fontId="21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right" wrapText="1"/>
    </xf>
    <xf numFmtId="0" fontId="20" fillId="0" borderId="0" xfId="0" applyFont="1" applyFill="1" applyBorder="1" applyAlignment="1" applyProtection="1">
      <alignment horizontal="right" wrapText="1"/>
      <protection locked="0"/>
    </xf>
    <xf numFmtId="0" fontId="20" fillId="0" borderId="0" xfId="0" applyFont="1" applyFill="1" applyBorder="1" applyAlignment="1">
      <alignment horizontal="center" vertical="top" wrapText="1"/>
    </xf>
    <xf numFmtId="0" fontId="22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 applyProtection="1">
      <alignment horizontal="center" vertical="top" wrapText="1"/>
      <protection locked="0"/>
    </xf>
    <xf numFmtId="179" fontId="20" fillId="0" borderId="0" xfId="0" applyNumberFormat="1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right" vertical="top" wrapText="1"/>
    </xf>
    <xf numFmtId="180" fontId="20" fillId="0" borderId="0" xfId="0" applyNumberFormat="1" applyFont="1" applyFill="1" applyBorder="1" applyAlignment="1">
      <alignment horizontal="right" vertical="top" wrapText="1"/>
    </xf>
    <xf numFmtId="181" fontId="20" fillId="0" borderId="0" xfId="0" applyNumberFormat="1" applyFont="1" applyFill="1" applyBorder="1" applyAlignment="1">
      <alignment horizontal="right" vertical="top" wrapText="1"/>
    </xf>
    <xf numFmtId="0" fontId="17" fillId="0" borderId="0" xfId="0" applyFont="1" applyFill="1" applyBorder="1" applyAlignment="1" applyProtection="1">
      <alignment wrapText="1"/>
      <protection locked="0"/>
    </xf>
    <xf numFmtId="180" fontId="23" fillId="0" borderId="0" xfId="0" applyNumberFormat="1" applyFont="1" applyFill="1" applyBorder="1" applyAlignment="1">
      <alignment horizontal="right" vertical="center" wrapText="1"/>
    </xf>
    <xf numFmtId="180" fontId="20" fillId="0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 applyProtection="1">
      <alignment horizontal="right" vertical="top" wrapText="1"/>
      <protection locked="0"/>
    </xf>
    <xf numFmtId="182" fontId="20" fillId="0" borderId="0" xfId="0" applyNumberFormat="1" applyFont="1" applyFill="1" applyBorder="1" applyAlignment="1">
      <alignment horizontal="right" vertical="top" wrapText="1"/>
    </xf>
    <xf numFmtId="0" fontId="18" fillId="0" borderId="0" xfId="0" applyFont="1" applyFill="1" applyBorder="1" applyAlignment="1" applyProtection="1">
      <alignment horizontal="left" wrapText="1"/>
      <protection locked="0"/>
    </xf>
    <xf numFmtId="183" fontId="20" fillId="0" borderId="0" xfId="0" applyNumberFormat="1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left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184" fontId="24" fillId="4" borderId="2" xfId="0" applyNumberFormat="1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14" fontId="26" fillId="0" borderId="2" xfId="0" applyNumberFormat="1" applyFont="1" applyFill="1" applyBorder="1" applyAlignment="1">
      <alignment horizontal="right" vertical="top" wrapText="1"/>
    </xf>
    <xf numFmtId="0" fontId="26" fillId="5" borderId="2" xfId="0" applyFont="1" applyFill="1" applyBorder="1" applyAlignment="1">
      <alignment horizontal="right" vertical="top" wrapText="1"/>
    </xf>
    <xf numFmtId="0" fontId="26" fillId="5" borderId="2" xfId="0" applyFont="1" applyFill="1" applyBorder="1" applyAlignment="1" applyProtection="1">
      <alignment horizontal="right" vertical="top" wrapText="1"/>
      <protection locked="0"/>
    </xf>
    <xf numFmtId="184" fontId="26" fillId="5" borderId="2" xfId="0" applyNumberFormat="1" applyFont="1" applyFill="1" applyBorder="1" applyAlignment="1">
      <alignment horizontal="center" vertical="top" wrapText="1"/>
    </xf>
    <xf numFmtId="0" fontId="27" fillId="0" borderId="0" xfId="0" applyFont="1" applyFill="1" applyBorder="1" applyAlignment="1">
      <alignment horizontal="right" vertical="center"/>
    </xf>
    <xf numFmtId="184" fontId="25" fillId="0" borderId="0" xfId="0" applyNumberFormat="1" applyFont="1" applyFill="1" applyBorder="1" applyAlignment="1">
      <alignment vertical="center"/>
    </xf>
    <xf numFmtId="184" fontId="25" fillId="0" borderId="0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right" vertical="center" wrapText="1"/>
    </xf>
    <xf numFmtId="185" fontId="28" fillId="0" borderId="0" xfId="0" applyNumberFormat="1" applyFont="1" applyFill="1" applyBorder="1" applyAlignment="1">
      <alignment horizontal="left" vertical="center" wrapText="1"/>
    </xf>
    <xf numFmtId="0" fontId="28" fillId="0" borderId="0" xfId="0" applyFont="1" applyFill="1" applyBorder="1" applyAlignment="1" applyProtection="1">
      <alignment horizontal="left" vertical="center" wrapText="1"/>
      <protection locked="0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 applyProtection="1">
      <alignment horizontal="left" vertical="center" wrapText="1"/>
      <protection locked="0"/>
    </xf>
    <xf numFmtId="0" fontId="18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wrapText="1"/>
    </xf>
    <xf numFmtId="0" fontId="22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 applyProtection="1">
      <alignment horizontal="left" wrapText="1"/>
      <protection locked="0"/>
    </xf>
    <xf numFmtId="0" fontId="20" fillId="0" borderId="0" xfId="0" applyFont="1" applyFill="1" applyBorder="1" applyAlignment="1">
      <alignment horizontal="right" vertical="center" wrapText="1"/>
    </xf>
    <xf numFmtId="0" fontId="20" fillId="0" borderId="0" xfId="0" applyFont="1" applyFill="1" applyBorder="1" applyAlignment="1" applyProtection="1">
      <alignment horizontal="right" vertical="center" wrapText="1"/>
      <protection locked="0"/>
    </xf>
    <xf numFmtId="179" fontId="20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justify" vertical="center" wrapText="1"/>
    </xf>
    <xf numFmtId="0" fontId="18" fillId="0" borderId="0" xfId="0" applyFont="1" applyFill="1" applyBorder="1" applyAlignment="1" applyProtection="1">
      <alignment horizontal="justify" vertical="center" wrapText="1"/>
      <protection locked="0"/>
    </xf>
    <xf numFmtId="0" fontId="18" fillId="0" borderId="0" xfId="0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Fill="1" applyBorder="1" applyAlignment="1" applyProtection="1">
      <alignment horizontal="left" vertical="center" wrapText="1"/>
      <protection locked="0"/>
    </xf>
    <xf numFmtId="180" fontId="20" fillId="0" borderId="0" xfId="0" applyNumberFormat="1" applyFont="1" applyFill="1" applyBorder="1" applyAlignment="1">
      <alignment horizontal="right" wrapText="1"/>
    </xf>
    <xf numFmtId="181" fontId="20" fillId="0" borderId="0" xfId="0" applyNumberFormat="1" applyFont="1" applyFill="1" applyBorder="1" applyAlignment="1">
      <alignment horizontal="right" wrapText="1"/>
    </xf>
    <xf numFmtId="180" fontId="20" fillId="0" borderId="9" xfId="0" applyNumberFormat="1" applyFont="1" applyFill="1" applyBorder="1" applyAlignment="1">
      <alignment horizontal="right" vertical="center" wrapText="1"/>
    </xf>
    <xf numFmtId="0" fontId="20" fillId="0" borderId="9" xfId="0" applyFont="1" applyFill="1" applyBorder="1" applyAlignment="1" applyProtection="1">
      <alignment horizontal="right" vertical="center" wrapText="1"/>
      <protection locked="0"/>
    </xf>
    <xf numFmtId="0" fontId="20" fillId="0" borderId="9" xfId="0" applyFont="1" applyFill="1" applyBorder="1" applyAlignment="1">
      <alignment horizontal="left" vertical="top" wrapText="1"/>
    </xf>
    <xf numFmtId="0" fontId="20" fillId="0" borderId="9" xfId="0" applyFont="1" applyFill="1" applyBorder="1" applyAlignment="1" applyProtection="1">
      <alignment horizontal="left" vertical="top" wrapText="1"/>
      <protection locked="0"/>
    </xf>
    <xf numFmtId="183" fontId="20" fillId="0" borderId="9" xfId="0" applyNumberFormat="1" applyFont="1" applyFill="1" applyBorder="1" applyAlignment="1">
      <alignment horizontal="right" vertical="center" wrapText="1"/>
    </xf>
    <xf numFmtId="179" fontId="18" fillId="0" borderId="0" xfId="0" applyNumberFormat="1" applyFont="1" applyFill="1" applyBorder="1" applyAlignment="1">
      <alignment horizontal="right" vertical="top" wrapText="1"/>
    </xf>
    <xf numFmtId="0" fontId="18" fillId="0" borderId="0" xfId="0" applyFont="1" applyFill="1" applyBorder="1" applyAlignment="1" applyProtection="1">
      <alignment horizontal="right" vertical="top" wrapText="1"/>
      <protection locked="0"/>
    </xf>
    <xf numFmtId="0" fontId="18" fillId="0" borderId="0" xfId="0" applyFont="1" applyFill="1" applyBorder="1" applyAlignment="1">
      <alignment horizontal="right" vertical="top" wrapText="1"/>
    </xf>
    <xf numFmtId="186" fontId="0" fillId="0" borderId="0" xfId="0" applyNumberFormat="1">
      <alignment vertical="center"/>
    </xf>
    <xf numFmtId="176" fontId="29" fillId="0" borderId="0" xfId="52" applyFont="1"/>
    <xf numFmtId="186" fontId="29" fillId="0" borderId="0" xfId="52" applyNumberFormat="1" applyFont="1"/>
    <xf numFmtId="176" fontId="30" fillId="0" borderId="0" xfId="52" applyFont="1" applyAlignment="1">
      <alignment horizontal="center"/>
    </xf>
    <xf numFmtId="176" fontId="31" fillId="0" borderId="0" xfId="52" applyFont="1"/>
    <xf numFmtId="186" fontId="31" fillId="0" borderId="0" xfId="52" applyNumberFormat="1" applyFont="1"/>
    <xf numFmtId="176" fontId="32" fillId="0" borderId="0" xfId="52"/>
    <xf numFmtId="176" fontId="33" fillId="0" borderId="0" xfId="52" applyFont="1"/>
    <xf numFmtId="186" fontId="33" fillId="0" borderId="0" xfId="52" applyNumberFormat="1" applyFont="1"/>
    <xf numFmtId="176" fontId="31" fillId="0" borderId="0" xfId="52" applyFont="1" applyAlignment="1">
      <alignment horizontal="right"/>
    </xf>
    <xf numFmtId="176" fontId="34" fillId="0" borderId="0" xfId="53" applyFont="1" applyAlignment="1">
      <alignment vertical="center"/>
    </xf>
    <xf numFmtId="15" fontId="31" fillId="0" borderId="0" xfId="52" applyNumberFormat="1" applyFont="1" applyAlignment="1">
      <alignment horizontal="right"/>
    </xf>
    <xf numFmtId="176" fontId="35" fillId="0" borderId="0" xfId="53" applyFont="1" applyAlignment="1">
      <alignment vertical="center"/>
    </xf>
    <xf numFmtId="176" fontId="36" fillId="0" borderId="0" xfId="6" applyFont="1" applyAlignment="1" applyProtection="1"/>
    <xf numFmtId="176" fontId="37" fillId="0" borderId="0" xfId="53" applyFont="1"/>
    <xf numFmtId="176" fontId="38" fillId="0" borderId="0" xfId="53" applyFont="1"/>
    <xf numFmtId="176" fontId="39" fillId="0" borderId="10" xfId="52" applyFont="1" applyBorder="1" applyAlignment="1">
      <alignment horizontal="center" vertical="center"/>
    </xf>
    <xf numFmtId="176" fontId="39" fillId="0" borderId="11" xfId="52" applyFont="1" applyBorder="1" applyAlignment="1">
      <alignment horizontal="center" vertical="center"/>
    </xf>
    <xf numFmtId="176" fontId="39" fillId="0" borderId="12" xfId="52" applyFont="1" applyBorder="1" applyAlignment="1">
      <alignment horizontal="center" vertical="center"/>
    </xf>
    <xf numFmtId="186" fontId="39" fillId="0" borderId="13" xfId="52" applyNumberFormat="1" applyFont="1" applyBorder="1" applyAlignment="1">
      <alignment horizontal="center" vertical="center"/>
    </xf>
    <xf numFmtId="176" fontId="39" fillId="0" borderId="14" xfId="52" applyFont="1" applyBorder="1" applyAlignment="1">
      <alignment horizontal="center" vertical="center"/>
    </xf>
    <xf numFmtId="176" fontId="31" fillId="0" borderId="15" xfId="52" applyFont="1" applyBorder="1"/>
    <xf numFmtId="176" fontId="32" fillId="0" borderId="16" xfId="52" applyBorder="1"/>
    <xf numFmtId="176" fontId="32" fillId="0" borderId="17" xfId="52" applyBorder="1"/>
    <xf numFmtId="186" fontId="31" fillId="0" borderId="18" xfId="52" applyNumberFormat="1" applyFont="1" applyBorder="1" applyAlignment="1">
      <alignment vertical="center"/>
    </xf>
    <xf numFmtId="39" fontId="40" fillId="0" borderId="19" xfId="54" applyNumberFormat="1" applyFont="1" applyBorder="1" applyAlignment="1">
      <alignment horizontal="center" vertical="center"/>
    </xf>
    <xf numFmtId="176" fontId="40" fillId="0" borderId="16" xfId="52" applyFont="1" applyBorder="1" applyAlignment="1">
      <alignment horizontal="center" vertical="center"/>
    </xf>
    <xf numFmtId="187" fontId="40" fillId="0" borderId="20" xfId="52" applyNumberFormat="1" applyFont="1" applyBorder="1" applyAlignment="1">
      <alignment vertical="center"/>
    </xf>
    <xf numFmtId="186" fontId="13" fillId="0" borderId="0" xfId="53" applyNumberFormat="1" applyFont="1"/>
    <xf numFmtId="176" fontId="32" fillId="0" borderId="18" xfId="52" applyBorder="1"/>
    <xf numFmtId="39" fontId="40" fillId="0" borderId="21" xfId="54" applyNumberFormat="1" applyFont="1" applyBorder="1" applyAlignment="1">
      <alignment horizontal="center" vertical="center"/>
    </xf>
    <xf numFmtId="176" fontId="40" fillId="0" borderId="0" xfId="52" applyFont="1" applyAlignment="1">
      <alignment horizontal="center" vertical="center"/>
    </xf>
    <xf numFmtId="187" fontId="40" fillId="0" borderId="22" xfId="52" applyNumberFormat="1" applyFont="1" applyBorder="1" applyAlignment="1">
      <alignment vertical="center"/>
    </xf>
    <xf numFmtId="186" fontId="32" fillId="0" borderId="0" xfId="53" applyNumberFormat="1"/>
    <xf numFmtId="176" fontId="31" fillId="0" borderId="0" xfId="52" applyFont="1" applyAlignment="1">
      <alignment vertical="center"/>
    </xf>
    <xf numFmtId="176" fontId="31" fillId="0" borderId="18" xfId="52" applyFont="1" applyBorder="1" applyAlignment="1">
      <alignment vertical="center"/>
    </xf>
    <xf numFmtId="39" fontId="31" fillId="0" borderId="21" xfId="54" applyNumberFormat="1" applyFont="1" applyBorder="1" applyAlignment="1">
      <alignment horizontal="center" vertical="center"/>
    </xf>
    <xf numFmtId="176" fontId="31" fillId="0" borderId="0" xfId="52" applyFont="1" applyAlignment="1">
      <alignment horizontal="center" vertical="center"/>
    </xf>
    <xf numFmtId="187" fontId="31" fillId="0" borderId="22" xfId="52" applyNumberFormat="1" applyFont="1" applyBorder="1" applyAlignment="1">
      <alignment vertical="center"/>
    </xf>
    <xf numFmtId="186" fontId="31" fillId="0" borderId="21" xfId="52" applyNumberFormat="1" applyFont="1" applyBorder="1" applyAlignment="1">
      <alignment vertical="center"/>
    </xf>
    <xf numFmtId="186" fontId="31" fillId="0" borderId="23" xfId="52" applyNumberFormat="1" applyFont="1" applyBorder="1" applyAlignment="1">
      <alignment vertical="center"/>
    </xf>
    <xf numFmtId="0" fontId="0" fillId="0" borderId="24" xfId="0" applyBorder="1">
      <alignment vertical="center"/>
    </xf>
    <xf numFmtId="176" fontId="32" fillId="0" borderId="23" xfId="52" applyBorder="1"/>
    <xf numFmtId="186" fontId="31" fillId="0" borderId="0" xfId="52" applyNumberFormat="1" applyFont="1" applyAlignment="1">
      <alignment vertical="center"/>
    </xf>
    <xf numFmtId="176" fontId="39" fillId="0" borderId="25" xfId="52" applyFont="1" applyBorder="1" applyAlignment="1">
      <alignment vertical="center"/>
    </xf>
    <xf numFmtId="176" fontId="39" fillId="0" borderId="26" xfId="52" applyFont="1" applyBorder="1" applyAlignment="1">
      <alignment horizontal="center" vertical="center"/>
    </xf>
    <xf numFmtId="187" fontId="39" fillId="0" borderId="27" xfId="52" applyNumberFormat="1" applyFont="1" applyBorder="1" applyAlignment="1">
      <alignment vertical="center"/>
    </xf>
    <xf numFmtId="187" fontId="29" fillId="0" borderId="0" xfId="52" applyNumberFormat="1" applyFont="1"/>
    <xf numFmtId="176" fontId="41" fillId="0" borderId="0" xfId="53" applyFont="1" applyAlignment="1">
      <alignment horizontal="center"/>
    </xf>
    <xf numFmtId="176" fontId="32" fillId="0" borderId="0" xfId="53"/>
    <xf numFmtId="0" fontId="13" fillId="0" borderId="4" xfId="0" applyNumberFormat="1" applyFont="1" applyFill="1" applyBorder="1" applyAlignment="1" quotePrefix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dxfs count="1">
    <dxf>
      <font>
        <color indexed="20"/>
      </font>
      <fill>
        <patternFill patternType="solid"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beibei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topLeftCell="A7" workbookViewId="0">
      <selection activeCell="H19" sqref="H19"/>
    </sheetView>
  </sheetViews>
  <sheetFormatPr defaultColWidth="9" defaultRowHeight="14.25"/>
  <cols>
    <col min="1" max="3" width="14.0833333333333" customWidth="1"/>
    <col min="4" max="4" width="9" style="107" customWidth="1"/>
    <col min="6" max="6" width="11.3333333333333" customWidth="1"/>
    <col min="7" max="7" width="18.8333333333333" customWidth="1"/>
    <col min="8" max="8" width="13.0833333333333" customWidth="1"/>
    <col min="9" max="11" width="10.3333333333333" customWidth="1"/>
  </cols>
  <sheetData>
    <row r="1" spans="1:7">
      <c r="A1" s="108"/>
      <c r="B1" s="108"/>
      <c r="C1" s="108"/>
      <c r="D1" s="109"/>
      <c r="E1" s="108"/>
      <c r="F1" s="108"/>
      <c r="G1" s="108"/>
    </row>
    <row r="2" ht="18.75" spans="1:7">
      <c r="A2" s="110" t="s">
        <v>0</v>
      </c>
      <c r="B2" s="110"/>
      <c r="C2" s="110"/>
      <c r="D2" s="110"/>
      <c r="E2" s="110"/>
      <c r="F2" s="110"/>
      <c r="G2" s="110"/>
    </row>
    <row r="3" spans="1:7">
      <c r="A3" s="108"/>
      <c r="B3" s="108"/>
      <c r="C3" s="108"/>
      <c r="D3" s="109"/>
      <c r="E3" s="108"/>
      <c r="F3" s="108"/>
      <c r="G3" s="108"/>
    </row>
    <row r="4" spans="1:7">
      <c r="A4" s="108"/>
      <c r="B4" s="108"/>
      <c r="C4" s="108"/>
      <c r="D4" s="109"/>
      <c r="E4" s="108"/>
      <c r="F4" s="108"/>
      <c r="G4" s="108"/>
    </row>
    <row r="5" ht="15" spans="1:7">
      <c r="A5" s="111" t="s">
        <v>1</v>
      </c>
      <c r="B5" s="111"/>
      <c r="C5" s="111"/>
      <c r="D5" s="112"/>
      <c r="E5" s="111"/>
      <c r="F5" s="111"/>
      <c r="G5" s="111"/>
    </row>
    <row r="6" ht="15" spans="1:7">
      <c r="A6" s="113"/>
      <c r="B6" s="113"/>
      <c r="C6" s="113"/>
      <c r="D6" s="112"/>
      <c r="E6" s="111"/>
      <c r="F6" s="111"/>
      <c r="G6" s="111"/>
    </row>
    <row r="7" ht="15" spans="1:7">
      <c r="A7" s="111" t="s">
        <v>2</v>
      </c>
      <c r="B7" s="114"/>
      <c r="C7" s="114"/>
      <c r="D7" s="115"/>
      <c r="E7" s="111"/>
      <c r="F7" s="111" t="s">
        <v>3</v>
      </c>
      <c r="G7" s="116" t="s">
        <v>4</v>
      </c>
    </row>
    <row r="8" ht="15.75" spans="1:7">
      <c r="A8" s="111" t="s">
        <v>5</v>
      </c>
      <c r="B8" s="117"/>
      <c r="C8" s="117"/>
      <c r="D8" s="115"/>
      <c r="E8" s="111"/>
      <c r="F8" s="111" t="s">
        <v>6</v>
      </c>
      <c r="G8" s="118">
        <v>45777</v>
      </c>
    </row>
    <row r="9" ht="15.75" spans="1:7">
      <c r="A9" s="111" t="s">
        <v>7</v>
      </c>
      <c r="B9" s="117"/>
      <c r="C9" s="117"/>
      <c r="D9" s="115"/>
      <c r="E9" s="111"/>
      <c r="F9" s="111" t="s">
        <v>8</v>
      </c>
      <c r="G9" s="116"/>
    </row>
    <row r="10" ht="15.75" spans="1:7">
      <c r="A10" s="111" t="s">
        <v>9</v>
      </c>
      <c r="B10" s="117"/>
      <c r="C10" s="117"/>
      <c r="D10" s="115"/>
      <c r="E10" s="111"/>
      <c r="F10" s="111" t="s">
        <v>10</v>
      </c>
      <c r="G10" s="111"/>
    </row>
    <row r="11" ht="15.75" spans="1:7">
      <c r="A11" s="117"/>
      <c r="B11" s="114"/>
      <c r="C11" s="114"/>
      <c r="D11" s="115"/>
      <c r="E11" s="111"/>
      <c r="F11" s="111"/>
      <c r="G11" s="111"/>
    </row>
    <row r="12" ht="15" spans="1:7">
      <c r="A12" s="111"/>
      <c r="B12" s="111"/>
      <c r="C12" s="111"/>
      <c r="D12" s="112"/>
      <c r="E12" s="111"/>
      <c r="F12" s="111"/>
      <c r="G12" s="111"/>
    </row>
    <row r="13" ht="15" spans="1:7">
      <c r="A13" s="111" t="s">
        <v>11</v>
      </c>
      <c r="B13" s="119" t="s">
        <v>12</v>
      </c>
      <c r="C13" s="111"/>
      <c r="D13" s="112"/>
      <c r="E13" s="111"/>
      <c r="F13" s="111"/>
      <c r="G13" s="111"/>
    </row>
    <row r="14" ht="15" spans="1:7">
      <c r="A14" s="111" t="s">
        <v>13</v>
      </c>
      <c r="B14" s="120" t="s">
        <v>14</v>
      </c>
      <c r="C14" s="121"/>
      <c r="D14" s="112"/>
      <c r="E14" s="111"/>
      <c r="F14" s="111"/>
      <c r="G14" s="111"/>
    </row>
    <row r="15" ht="15" spans="1:7">
      <c r="A15" s="111"/>
      <c r="B15" s="122"/>
      <c r="C15" s="111"/>
      <c r="D15" s="112"/>
      <c r="E15" s="111"/>
      <c r="F15" s="111"/>
      <c r="G15" s="111"/>
    </row>
    <row r="16" ht="15" spans="1:8">
      <c r="A16" s="111"/>
      <c r="B16" s="111"/>
      <c r="C16" s="111"/>
      <c r="D16" s="112"/>
      <c r="E16" s="111"/>
      <c r="F16" s="111"/>
      <c r="G16" s="111"/>
      <c r="H16" t="s">
        <v>15</v>
      </c>
    </row>
    <row r="17" ht="15" spans="1:7">
      <c r="A17" s="108"/>
      <c r="B17" s="108"/>
      <c r="C17" s="108"/>
      <c r="D17" s="109"/>
      <c r="E17" s="108"/>
      <c r="F17" s="108"/>
      <c r="G17" s="108"/>
    </row>
    <row r="18" ht="15" spans="1:7">
      <c r="A18" s="123" t="s">
        <v>16</v>
      </c>
      <c r="B18" s="124"/>
      <c r="C18" s="125"/>
      <c r="D18" s="126" t="s">
        <v>17</v>
      </c>
      <c r="E18" s="124" t="s">
        <v>18</v>
      </c>
      <c r="F18" s="124" t="s">
        <v>19</v>
      </c>
      <c r="G18" s="127" t="s">
        <v>20</v>
      </c>
    </row>
    <row r="19" ht="15" spans="1:9">
      <c r="A19" s="128" t="s">
        <v>21</v>
      </c>
      <c r="B19" s="129"/>
      <c r="C19" s="130"/>
      <c r="D19" s="131">
        <f>HandlingBillingReport!Q29</f>
        <v>957.43</v>
      </c>
      <c r="E19" s="132">
        <v>20</v>
      </c>
      <c r="F19" s="133" t="s">
        <v>22</v>
      </c>
      <c r="G19" s="134">
        <f>D19*E19</f>
        <v>19148.6</v>
      </c>
      <c r="H19" s="135" t="s">
        <v>23</v>
      </c>
      <c r="I19" s="140"/>
    </row>
    <row r="20" ht="15" spans="1:9">
      <c r="A20" s="128" t="s">
        <v>24</v>
      </c>
      <c r="C20" s="136"/>
      <c r="D20" s="131"/>
      <c r="E20" s="137">
        <v>20</v>
      </c>
      <c r="F20" s="138" t="s">
        <v>22</v>
      </c>
      <c r="G20" s="139">
        <f>D20*E20</f>
        <v>0</v>
      </c>
      <c r="H20" s="140"/>
      <c r="I20" s="140"/>
    </row>
    <row r="21" ht="15" spans="1:9">
      <c r="A21" s="128" t="s">
        <v>25</v>
      </c>
      <c r="B21" s="113"/>
      <c r="C21" s="136"/>
      <c r="D21" s="131"/>
      <c r="E21" s="137">
        <v>0.7</v>
      </c>
      <c r="F21" s="138" t="s">
        <v>22</v>
      </c>
      <c r="G21" s="139">
        <f>InvoiceBillReport!E13</f>
        <v>9308.41</v>
      </c>
      <c r="H21" s="140" t="s">
        <v>26</v>
      </c>
      <c r="I21" s="140"/>
    </row>
    <row r="22" ht="15" spans="1:9">
      <c r="A22" s="128" t="s">
        <v>27</v>
      </c>
      <c r="B22" s="141"/>
      <c r="C22" s="142"/>
      <c r="D22" s="131">
        <v>2</v>
      </c>
      <c r="E22" s="143">
        <v>250</v>
      </c>
      <c r="F22" s="144" t="s">
        <v>22</v>
      </c>
      <c r="G22" s="145">
        <f>D22*E22</f>
        <v>500</v>
      </c>
      <c r="H22" s="140"/>
      <c r="I22" s="140"/>
    </row>
    <row r="23" ht="15" spans="1:9">
      <c r="A23" s="128" t="s">
        <v>28</v>
      </c>
      <c r="B23" s="141"/>
      <c r="C23" s="142"/>
      <c r="D23" s="131"/>
      <c r="E23" s="143">
        <v>50</v>
      </c>
      <c r="F23" s="144" t="s">
        <v>22</v>
      </c>
      <c r="G23" s="145">
        <f>D23*E23</f>
        <v>0</v>
      </c>
      <c r="H23" s="140"/>
      <c r="I23" s="140"/>
    </row>
    <row r="24" ht="15" spans="1:11">
      <c r="A24" s="128" t="s">
        <v>29</v>
      </c>
      <c r="B24" s="141"/>
      <c r="C24" s="142"/>
      <c r="D24" s="131">
        <v>1</v>
      </c>
      <c r="E24" s="137">
        <v>1480</v>
      </c>
      <c r="F24" s="144" t="s">
        <v>22</v>
      </c>
      <c r="G24" s="145">
        <f>D24*E24*1.08</f>
        <v>1598.4</v>
      </c>
      <c r="H24" s="140"/>
      <c r="I24" s="140"/>
      <c r="K24" s="140"/>
    </row>
    <row r="25" ht="15" spans="1:9">
      <c r="A25" s="128" t="s">
        <v>30</v>
      </c>
      <c r="B25" s="141"/>
      <c r="C25" s="142"/>
      <c r="D25" s="131">
        <v>1</v>
      </c>
      <c r="E25" s="137">
        <v>200</v>
      </c>
      <c r="F25" s="144" t="s">
        <v>22</v>
      </c>
      <c r="G25" s="145">
        <f t="shared" ref="G25:G30" si="0">D25*E25</f>
        <v>200</v>
      </c>
      <c r="H25" s="140"/>
      <c r="I25" s="140"/>
    </row>
    <row r="26" ht="15" spans="1:9">
      <c r="A26" s="128" t="s">
        <v>31</v>
      </c>
      <c r="C26" s="136"/>
      <c r="D26" s="146"/>
      <c r="E26" s="143"/>
      <c r="F26" s="144" t="s">
        <v>22</v>
      </c>
      <c r="G26" s="145">
        <f t="shared" si="0"/>
        <v>0</v>
      </c>
      <c r="H26" s="140"/>
      <c r="I26" s="140"/>
    </row>
    <row r="27" ht="15" spans="1:9">
      <c r="A27" s="128" t="s">
        <v>32</v>
      </c>
      <c r="C27" s="136"/>
      <c r="D27" s="146"/>
      <c r="E27" s="143">
        <v>100</v>
      </c>
      <c r="F27" s="144" t="s">
        <v>22</v>
      </c>
      <c r="G27" s="145">
        <f t="shared" si="0"/>
        <v>0</v>
      </c>
      <c r="H27" s="140"/>
      <c r="I27" s="140"/>
    </row>
    <row r="28" ht="15" spans="1:9">
      <c r="A28" s="128" t="s">
        <v>33</v>
      </c>
      <c r="B28" s="141"/>
      <c r="C28" s="136"/>
      <c r="D28" s="146">
        <v>2</v>
      </c>
      <c r="E28" s="143">
        <v>50</v>
      </c>
      <c r="F28" s="144" t="s">
        <v>22</v>
      </c>
      <c r="G28" s="145">
        <f t="shared" si="0"/>
        <v>100</v>
      </c>
      <c r="H28" s="140"/>
      <c r="I28" s="140"/>
    </row>
    <row r="29" ht="15" spans="1:9">
      <c r="A29" s="128" t="s">
        <v>34</v>
      </c>
      <c r="C29" s="136"/>
      <c r="D29" s="146"/>
      <c r="E29" s="143"/>
      <c r="F29" s="144" t="s">
        <v>22</v>
      </c>
      <c r="G29" s="145">
        <f t="shared" si="0"/>
        <v>0</v>
      </c>
      <c r="H29" s="140"/>
      <c r="I29" s="140"/>
    </row>
    <row r="30" ht="15" spans="1:9">
      <c r="A30" s="128" t="s">
        <v>35</v>
      </c>
      <c r="C30" s="136"/>
      <c r="D30" s="131">
        <v>0</v>
      </c>
      <c r="E30" s="143">
        <v>30</v>
      </c>
      <c r="F30" s="144" t="s">
        <v>22</v>
      </c>
      <c r="G30" s="145">
        <f t="shared" si="0"/>
        <v>0</v>
      </c>
      <c r="H30" s="140"/>
      <c r="I30" s="140"/>
    </row>
    <row r="31" ht="18.75" spans="1:9">
      <c r="A31" s="128" t="s">
        <v>36</v>
      </c>
      <c r="C31" s="136"/>
      <c r="D31" s="131"/>
      <c r="E31" s="143">
        <v>200</v>
      </c>
      <c r="F31" s="144" t="s">
        <v>22</v>
      </c>
      <c r="G31" s="145"/>
      <c r="H31" s="140"/>
      <c r="I31" s="140"/>
    </row>
    <row r="32" ht="15" spans="1:9">
      <c r="A32" s="128" t="s">
        <v>37</v>
      </c>
      <c r="C32" s="136"/>
      <c r="D32" s="131">
        <v>0</v>
      </c>
      <c r="E32" s="143">
        <v>400</v>
      </c>
      <c r="F32" s="144" t="s">
        <v>22</v>
      </c>
      <c r="G32" s="145"/>
      <c r="H32" s="140"/>
      <c r="I32" s="140"/>
    </row>
    <row r="33" ht="15" spans="1:9">
      <c r="A33" s="128" t="s">
        <v>38</v>
      </c>
      <c r="C33" s="136"/>
      <c r="D33" s="131"/>
      <c r="E33" s="143"/>
      <c r="F33" s="144"/>
      <c r="G33" s="145"/>
      <c r="H33" s="140"/>
      <c r="I33" s="140"/>
    </row>
    <row r="34" ht="15.75" spans="1:9">
      <c r="A34" s="147" t="s">
        <v>39</v>
      </c>
      <c r="B34" s="148"/>
      <c r="C34" s="149"/>
      <c r="D34" s="147"/>
      <c r="E34" s="143"/>
      <c r="F34" s="144" t="s">
        <v>22</v>
      </c>
      <c r="G34" s="145"/>
      <c r="H34" s="140"/>
      <c r="I34" s="140"/>
    </row>
    <row r="35" ht="15.75" spans="1:9">
      <c r="A35" s="141"/>
      <c r="B35" s="141"/>
      <c r="C35" s="141"/>
      <c r="D35" s="150"/>
      <c r="E35" s="151" t="s">
        <v>40</v>
      </c>
      <c r="F35" s="152" t="s">
        <v>22</v>
      </c>
      <c r="G35" s="153">
        <f>SUM(G19:G34)</f>
        <v>30855.41</v>
      </c>
      <c r="H35" s="140"/>
      <c r="I35" s="140"/>
    </row>
    <row r="36" spans="1:8">
      <c r="A36" s="108"/>
      <c r="B36" s="108"/>
      <c r="C36" s="108"/>
      <c r="D36" s="109"/>
      <c r="E36" s="108"/>
      <c r="F36" s="108"/>
      <c r="G36" s="154"/>
      <c r="H36" s="155"/>
    </row>
    <row r="37" spans="1:8">
      <c r="A37" s="108"/>
      <c r="B37" s="108"/>
      <c r="C37" s="108"/>
      <c r="D37" s="109"/>
      <c r="E37" s="108"/>
      <c r="F37" s="108"/>
      <c r="G37" s="154"/>
      <c r="H37" s="155"/>
    </row>
    <row r="38" spans="1:13">
      <c r="A38" s="108"/>
      <c r="B38" s="108"/>
      <c r="C38" s="108"/>
      <c r="D38" s="109"/>
      <c r="E38" s="155"/>
      <c r="F38" s="155"/>
      <c r="G38" s="155"/>
      <c r="H38" s="155"/>
      <c r="I38" s="155"/>
      <c r="J38" s="155"/>
      <c r="K38" s="155"/>
      <c r="L38" s="155"/>
      <c r="M38" s="155"/>
    </row>
    <row r="39" spans="1:8">
      <c r="A39" s="155"/>
      <c r="B39" s="108"/>
      <c r="C39" s="108"/>
      <c r="D39" s="109"/>
      <c r="E39" s="108"/>
      <c r="F39" s="108"/>
      <c r="G39" s="108"/>
      <c r="H39" s="155"/>
    </row>
    <row r="40" ht="15" spans="1:8">
      <c r="A40" s="111"/>
      <c r="B40" s="111"/>
      <c r="C40" s="108"/>
      <c r="D40" s="109"/>
      <c r="F40" s="108"/>
      <c r="G40" s="108"/>
      <c r="H40" s="155"/>
    </row>
    <row r="41" ht="15" spans="1:8">
      <c r="A41" s="111" t="s">
        <v>41</v>
      </c>
      <c r="B41" s="111"/>
      <c r="C41" s="111"/>
      <c r="D41" s="109"/>
      <c r="E41" s="111" t="s">
        <v>42</v>
      </c>
      <c r="F41" s="108"/>
      <c r="G41" s="108"/>
      <c r="H41" s="155"/>
    </row>
    <row r="42" ht="15" spans="1:8">
      <c r="A42" s="111" t="s">
        <v>43</v>
      </c>
      <c r="B42" s="111"/>
      <c r="C42" s="111"/>
      <c r="D42" s="109"/>
      <c r="E42" s="111" t="s">
        <v>44</v>
      </c>
      <c r="F42" s="108"/>
      <c r="G42" s="108"/>
      <c r="H42" s="156"/>
    </row>
    <row r="43" ht="15" spans="1:7">
      <c r="A43" s="111" t="s">
        <v>45</v>
      </c>
      <c r="B43" s="111"/>
      <c r="C43" s="111"/>
      <c r="D43" s="109"/>
      <c r="E43" s="111" t="s">
        <v>46</v>
      </c>
      <c r="F43" s="108"/>
      <c r="G43" s="108"/>
    </row>
    <row r="44" ht="15" spans="1:7">
      <c r="A44" s="111" t="s">
        <v>47</v>
      </c>
      <c r="B44" s="111"/>
      <c r="C44" s="111"/>
      <c r="D44" s="109"/>
      <c r="E44" s="111" t="s">
        <v>48</v>
      </c>
      <c r="F44" s="108"/>
      <c r="G44" s="108"/>
    </row>
    <row r="45" ht="15" spans="1:7">
      <c r="A45" s="111" t="s">
        <v>49</v>
      </c>
      <c r="B45" s="111"/>
      <c r="C45" s="111"/>
      <c r="D45" s="109"/>
      <c r="E45" s="111" t="s">
        <v>50</v>
      </c>
      <c r="F45" s="108"/>
      <c r="G45" s="108"/>
    </row>
    <row r="46" ht="15" spans="1:7">
      <c r="A46" s="111"/>
      <c r="B46" s="111"/>
      <c r="C46" s="111"/>
      <c r="D46" s="109"/>
      <c r="E46" s="111" t="s">
        <v>51</v>
      </c>
      <c r="G46" s="108"/>
    </row>
    <row r="47" ht="15" spans="5:5">
      <c r="E47" s="111"/>
    </row>
  </sheetData>
  <mergeCells count="2">
    <mergeCell ref="A2:G2"/>
    <mergeCell ref="A18:C18"/>
  </mergeCells>
  <hyperlinks>
    <hyperlink ref="B14" r:id="rId1" display="liubeibei@huppertek.com" tooltip="mailto:liubeibei@huppertek.com"/>
  </hyperlink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6"/>
  <sheetViews>
    <sheetView zoomScaleSheetLayoutView="60" topLeftCell="A6" workbookViewId="0">
      <selection activeCell="A17" sqref="A17"/>
    </sheetView>
  </sheetViews>
  <sheetFormatPr defaultColWidth="9" defaultRowHeight="14.25" outlineLevelCol="5"/>
  <cols>
    <col min="1" max="1" width="20" style="36" customWidth="1"/>
    <col min="2" max="2" width="25.6666666666667" style="36" customWidth="1"/>
    <col min="3" max="3" width="10.5" style="36" customWidth="1"/>
    <col min="4" max="4" width="5.66666666666667" style="36" customWidth="1"/>
    <col min="5" max="5" width="13.3333333333333" style="36" customWidth="1"/>
    <col min="6" max="6" width="24" style="36" customWidth="1"/>
    <col min="7" max="16384" width="9" style="36"/>
  </cols>
  <sheetData>
    <row r="1" ht="16" customHeight="1" spans="1:6">
      <c r="A1" s="46" t="s">
        <v>52</v>
      </c>
      <c r="B1" s="40"/>
      <c r="C1" s="40"/>
      <c r="D1" s="40"/>
      <c r="E1" s="40"/>
      <c r="F1" s="46" t="s">
        <v>53</v>
      </c>
    </row>
    <row r="2" ht="16" customHeight="1" spans="1:6">
      <c r="A2" s="46" t="s">
        <v>54</v>
      </c>
      <c r="B2" s="40"/>
      <c r="C2" s="40"/>
      <c r="D2" s="40"/>
      <c r="E2" s="40"/>
      <c r="F2" s="46" t="s">
        <v>55</v>
      </c>
    </row>
    <row r="3" ht="15" customHeight="1" spans="1:6">
      <c r="A3" s="46" t="s">
        <v>56</v>
      </c>
      <c r="B3" s="40"/>
      <c r="C3" s="40"/>
      <c r="D3" s="40"/>
      <c r="E3" s="40"/>
      <c r="F3" s="46" t="s">
        <v>57</v>
      </c>
    </row>
    <row r="4" ht="14" customHeight="1" spans="1:6">
      <c r="A4" s="46" t="s">
        <v>52</v>
      </c>
      <c r="B4" s="40"/>
      <c r="C4" s="40"/>
      <c r="D4" s="40"/>
      <c r="E4" s="40"/>
      <c r="F4" s="46" t="s">
        <v>52</v>
      </c>
    </row>
    <row r="5" ht="14" customHeight="1" spans="1:6">
      <c r="A5" s="46" t="s">
        <v>56</v>
      </c>
      <c r="B5" s="40"/>
      <c r="C5" s="40"/>
      <c r="D5" s="40"/>
      <c r="E5" s="40"/>
      <c r="F5" s="40"/>
    </row>
    <row r="6" ht="42" customHeight="1" spans="1:6">
      <c r="A6" s="46" t="s">
        <v>52</v>
      </c>
      <c r="B6" s="40"/>
      <c r="C6" s="40"/>
      <c r="D6" s="40"/>
      <c r="E6" s="40"/>
      <c r="F6" s="40"/>
    </row>
    <row r="7" ht="20" customHeight="1" spans="1:6">
      <c r="A7" s="46" t="s">
        <v>58</v>
      </c>
      <c r="B7" s="46" t="s">
        <v>52</v>
      </c>
      <c r="C7" s="40"/>
      <c r="D7" s="40"/>
      <c r="E7" s="40"/>
      <c r="F7" s="40"/>
    </row>
    <row r="8" ht="17" customHeight="1" spans="1:6">
      <c r="A8" s="46" t="s">
        <v>52</v>
      </c>
      <c r="B8" s="40"/>
      <c r="C8" s="40"/>
      <c r="D8" s="40"/>
      <c r="E8" s="40"/>
      <c r="F8" s="40"/>
    </row>
    <row r="9" ht="18" customHeight="1" spans="1:6">
      <c r="A9" s="46" t="s">
        <v>59</v>
      </c>
      <c r="B9" s="46" t="s">
        <v>52</v>
      </c>
      <c r="C9" s="40"/>
      <c r="D9" s="40"/>
      <c r="E9" s="40"/>
      <c r="F9" s="40"/>
    </row>
    <row r="10" ht="20" customHeight="1" spans="1:6">
      <c r="A10" s="46" t="s">
        <v>60</v>
      </c>
      <c r="B10" s="40"/>
      <c r="C10" s="40"/>
      <c r="D10" s="40"/>
      <c r="E10" s="40"/>
      <c r="F10" s="40"/>
    </row>
    <row r="11" ht="30" customHeight="1" spans="1:6">
      <c r="A11" s="46" t="s">
        <v>52</v>
      </c>
      <c r="B11" s="40"/>
      <c r="C11" s="40"/>
      <c r="D11" s="40"/>
      <c r="E11" s="40"/>
      <c r="F11" s="40"/>
    </row>
    <row r="12" ht="18" customHeight="1" spans="1:6">
      <c r="A12" s="46" t="s">
        <v>61</v>
      </c>
      <c r="B12" s="40"/>
      <c r="C12" s="40"/>
      <c r="D12" s="40"/>
      <c r="E12" s="104">
        <v>19148.6</v>
      </c>
      <c r="F12" s="105"/>
    </row>
    <row r="13" ht="18" customHeight="1" spans="1:6">
      <c r="A13" s="46" t="s">
        <v>62</v>
      </c>
      <c r="B13" s="40"/>
      <c r="C13" s="40"/>
      <c r="D13" s="40"/>
      <c r="E13" s="104">
        <v>9308.41</v>
      </c>
      <c r="F13" s="105"/>
    </row>
    <row r="14" ht="16" customHeight="1" spans="1:6">
      <c r="A14" s="106" t="s">
        <v>63</v>
      </c>
      <c r="B14" s="105"/>
      <c r="C14" s="104">
        <v>28457.01</v>
      </c>
      <c r="D14" s="105"/>
      <c r="E14" s="105"/>
      <c r="F14" s="105"/>
    </row>
    <row r="15" ht="30" customHeight="1" spans="1:6">
      <c r="A15" s="46" t="s">
        <v>52</v>
      </c>
      <c r="B15" s="40"/>
      <c r="C15" s="40"/>
      <c r="D15" s="40"/>
      <c r="E15" s="40"/>
      <c r="F15" s="40"/>
    </row>
    <row r="16" ht="18" customHeight="1" spans="1:6">
      <c r="A16" s="46" t="s">
        <v>64</v>
      </c>
      <c r="B16" s="40"/>
      <c r="C16" s="40"/>
      <c r="D16" s="46" t="s">
        <v>64</v>
      </c>
      <c r="E16" s="40"/>
      <c r="F16" s="40"/>
    </row>
  </sheetData>
  <mergeCells count="21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B14"/>
    <mergeCell ref="C14:F14"/>
    <mergeCell ref="A15:F15"/>
    <mergeCell ref="A16:C16"/>
    <mergeCell ref="D16:F16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3"/>
  <sheetViews>
    <sheetView zoomScaleSheetLayoutView="60" topLeftCell="A16" workbookViewId="0">
      <selection activeCell="R30" sqref="R30"/>
    </sheetView>
  </sheetViews>
  <sheetFormatPr defaultColWidth="9" defaultRowHeight="14.25"/>
  <cols>
    <col min="1" max="1" width="11.1666666666667" style="36" customWidth="1"/>
    <col min="2" max="2" width="6.66666666666667" style="36" customWidth="1"/>
    <col min="3" max="3" width="9.5" style="36" customWidth="1"/>
    <col min="4" max="4" width="1.5" style="36" customWidth="1"/>
    <col min="5" max="5" width="18.5" style="36" customWidth="1"/>
    <col min="6" max="6" width="18.1666666666667" style="36" customWidth="1"/>
    <col min="7" max="7" width="13.3333333333333" style="36" customWidth="1"/>
    <col min="8" max="8" width="18.3333333333333" style="36" customWidth="1"/>
    <col min="9" max="9" width="21.3333333333333" style="36" customWidth="1"/>
    <col min="10" max="10" width="15.1666666666667" style="36" customWidth="1"/>
    <col min="11" max="11" width="0.333333333333333" style="36" customWidth="1"/>
    <col min="12" max="12" width="2" style="36" customWidth="1"/>
    <col min="13" max="13" width="10" style="36" customWidth="1"/>
    <col min="14" max="14" width="0.5" style="36" customWidth="1"/>
    <col min="15" max="15" width="12.3333333333333" style="36" customWidth="1"/>
    <col min="16" max="16" width="11.5" style="36" customWidth="1"/>
    <col min="17" max="17" width="10.3333333333333" style="36" customWidth="1"/>
    <col min="18" max="18" width="7" style="36" customWidth="1"/>
    <col min="19" max="19" width="16.3333333333333" style="36" customWidth="1"/>
    <col min="20" max="16384" width="9" style="36"/>
  </cols>
  <sheetData>
    <row r="1" ht="16" customHeight="1" spans="1:19">
      <c r="A1" s="78" t="s">
        <v>65</v>
      </c>
      <c r="B1" s="79">
        <v>45778.9090625001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</row>
    <row r="2" ht="17" customHeight="1" spans="1:19">
      <c r="A2" s="81" t="s">
        <v>66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</row>
    <row r="3" ht="14" customHeight="1" spans="1:19">
      <c r="A3" s="83" t="s">
        <v>67</v>
      </c>
      <c r="B3" s="84"/>
      <c r="C3" s="84"/>
      <c r="D3" s="85" t="s">
        <v>68</v>
      </c>
      <c r="E3" s="83" t="s">
        <v>69</v>
      </c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</row>
    <row r="4" ht="14" customHeight="1" spans="1:19">
      <c r="A4" s="83" t="s">
        <v>70</v>
      </c>
      <c r="B4" s="84"/>
      <c r="C4" s="84"/>
      <c r="D4" s="85" t="s">
        <v>68</v>
      </c>
      <c r="E4" s="83" t="s">
        <v>71</v>
      </c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</row>
    <row r="5" ht="14" customHeight="1" spans="1:19">
      <c r="A5" s="43" t="s">
        <v>72</v>
      </c>
      <c r="B5" s="44"/>
      <c r="C5" s="44"/>
      <c r="D5" s="85" t="s">
        <v>68</v>
      </c>
      <c r="E5" s="43" t="s">
        <v>73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</row>
    <row r="6" ht="14" customHeight="1" spans="1:19">
      <c r="A6" s="83" t="s">
        <v>74</v>
      </c>
      <c r="B6" s="84"/>
      <c r="C6" s="84"/>
      <c r="D6" s="85" t="s">
        <v>68</v>
      </c>
      <c r="E6" s="83" t="s">
        <v>75</v>
      </c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</row>
    <row r="7" ht="14" customHeight="1" spans="1:19">
      <c r="A7" s="83" t="s">
        <v>76</v>
      </c>
      <c r="B7" s="84"/>
      <c r="C7" s="84"/>
      <c r="D7" s="85" t="s">
        <v>68</v>
      </c>
      <c r="E7" s="83" t="s">
        <v>77</v>
      </c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</row>
    <row r="8" ht="14" customHeight="1" spans="1:19">
      <c r="A8" s="83" t="s">
        <v>78</v>
      </c>
      <c r="B8" s="84"/>
      <c r="C8" s="84"/>
      <c r="D8" s="85" t="s">
        <v>68</v>
      </c>
      <c r="E8" s="83" t="s">
        <v>79</v>
      </c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</row>
    <row r="9" ht="14" customHeight="1" spans="1:19">
      <c r="A9" s="83" t="s">
        <v>80</v>
      </c>
      <c r="B9" s="84"/>
      <c r="C9" s="84"/>
      <c r="D9" s="85" t="s">
        <v>68</v>
      </c>
      <c r="E9" s="83" t="s">
        <v>81</v>
      </c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</row>
    <row r="10" ht="14" customHeight="1" spans="1:19">
      <c r="A10" s="43" t="s">
        <v>82</v>
      </c>
      <c r="B10" s="44"/>
      <c r="C10" s="44"/>
      <c r="D10" s="85" t="s">
        <v>68</v>
      </c>
      <c r="E10" s="43" t="s">
        <v>83</v>
      </c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</row>
    <row r="11" ht="17" customHeight="1" spans="1:19">
      <c r="A11" s="46" t="s">
        <v>52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</row>
    <row r="12" ht="20" customHeight="1" spans="1:19">
      <c r="A12" s="43" t="s">
        <v>84</v>
      </c>
      <c r="B12" s="43" t="s">
        <v>85</v>
      </c>
      <c r="C12" s="44"/>
      <c r="D12" s="85" t="s">
        <v>52</v>
      </c>
      <c r="E12" s="43" t="s">
        <v>86</v>
      </c>
      <c r="F12" s="43" t="s">
        <v>87</v>
      </c>
      <c r="G12" s="43" t="s">
        <v>88</v>
      </c>
      <c r="H12" s="43" t="s">
        <v>89</v>
      </c>
      <c r="I12" s="43" t="s">
        <v>90</v>
      </c>
      <c r="J12" s="43" t="s">
        <v>91</v>
      </c>
      <c r="K12" s="44"/>
      <c r="L12" s="44"/>
      <c r="M12" s="49" t="s">
        <v>92</v>
      </c>
      <c r="N12" s="51"/>
      <c r="O12" s="53" t="s">
        <v>93</v>
      </c>
      <c r="P12" s="53" t="s">
        <v>94</v>
      </c>
      <c r="Q12" s="53" t="s">
        <v>95</v>
      </c>
      <c r="R12" s="60"/>
      <c r="S12" s="53" t="s">
        <v>96</v>
      </c>
    </row>
    <row r="13" ht="20" customHeight="1" spans="1:19">
      <c r="A13" s="86" t="s">
        <v>97</v>
      </c>
      <c r="B13" s="87" t="s">
        <v>98</v>
      </c>
      <c r="C13" s="88"/>
      <c r="D13" s="86" t="s">
        <v>52</v>
      </c>
      <c r="E13" s="86" t="s">
        <v>99</v>
      </c>
      <c r="F13" s="86" t="s">
        <v>99</v>
      </c>
      <c r="G13" s="86" t="s">
        <v>100</v>
      </c>
      <c r="H13" s="86" t="s">
        <v>100</v>
      </c>
      <c r="I13" s="86" t="s">
        <v>101</v>
      </c>
      <c r="J13" s="86" t="s">
        <v>52</v>
      </c>
      <c r="K13" s="88"/>
      <c r="L13" s="88"/>
      <c r="M13" s="97">
        <v>1092</v>
      </c>
      <c r="N13" s="48"/>
      <c r="O13" s="98">
        <v>0.11</v>
      </c>
      <c r="P13" s="98">
        <v>123.57</v>
      </c>
      <c r="Q13" s="98">
        <v>123.57</v>
      </c>
      <c r="R13" s="48"/>
      <c r="S13" s="98">
        <v>0</v>
      </c>
    </row>
    <row r="14" ht="20" customHeight="1" spans="1:19">
      <c r="A14" s="86" t="s">
        <v>97</v>
      </c>
      <c r="B14" s="86" t="s">
        <v>102</v>
      </c>
      <c r="C14" s="88"/>
      <c r="D14" s="86" t="s">
        <v>52</v>
      </c>
      <c r="E14" s="86" t="s">
        <v>99</v>
      </c>
      <c r="F14" s="86" t="s">
        <v>99</v>
      </c>
      <c r="G14" s="86" t="s">
        <v>100</v>
      </c>
      <c r="H14" s="86" t="s">
        <v>100</v>
      </c>
      <c r="I14" s="86" t="s">
        <v>101</v>
      </c>
      <c r="J14" s="86" t="s">
        <v>52</v>
      </c>
      <c r="K14" s="88"/>
      <c r="L14" s="88"/>
      <c r="M14" s="97">
        <v>3</v>
      </c>
      <c r="N14" s="48"/>
      <c r="O14" s="98">
        <v>0.11</v>
      </c>
      <c r="P14" s="98">
        <v>0.34</v>
      </c>
      <c r="Q14" s="98">
        <v>0.34</v>
      </c>
      <c r="R14" s="48"/>
      <c r="S14" s="98">
        <v>0</v>
      </c>
    </row>
    <row r="15" ht="20" customHeight="1" spans="1:19">
      <c r="A15" s="86" t="s">
        <v>97</v>
      </c>
      <c r="B15" s="86" t="s">
        <v>102</v>
      </c>
      <c r="C15" s="88"/>
      <c r="D15" s="86" t="s">
        <v>52</v>
      </c>
      <c r="E15" s="86" t="s">
        <v>99</v>
      </c>
      <c r="F15" s="86" t="s">
        <v>99</v>
      </c>
      <c r="G15" s="86" t="s">
        <v>100</v>
      </c>
      <c r="H15" s="86" t="s">
        <v>100</v>
      </c>
      <c r="I15" s="86" t="s">
        <v>101</v>
      </c>
      <c r="J15" s="86" t="s">
        <v>52</v>
      </c>
      <c r="K15" s="88"/>
      <c r="L15" s="88"/>
      <c r="M15" s="97">
        <v>4</v>
      </c>
      <c r="N15" s="48"/>
      <c r="O15" s="98">
        <v>0.11</v>
      </c>
      <c r="P15" s="98">
        <v>0.45</v>
      </c>
      <c r="Q15" s="98">
        <v>0.45</v>
      </c>
      <c r="R15" s="48"/>
      <c r="S15" s="98">
        <v>0</v>
      </c>
    </row>
    <row r="16" ht="20" customHeight="1" spans="1:19">
      <c r="A16" s="86" t="s">
        <v>97</v>
      </c>
      <c r="B16" s="86" t="s">
        <v>102</v>
      </c>
      <c r="C16" s="88"/>
      <c r="D16" s="86" t="s">
        <v>52</v>
      </c>
      <c r="E16" s="86" t="s">
        <v>99</v>
      </c>
      <c r="F16" s="86" t="s">
        <v>99</v>
      </c>
      <c r="G16" s="86" t="s">
        <v>100</v>
      </c>
      <c r="H16" s="86" t="s">
        <v>100</v>
      </c>
      <c r="I16" s="86" t="s">
        <v>101</v>
      </c>
      <c r="J16" s="86" t="s">
        <v>52</v>
      </c>
      <c r="K16" s="88"/>
      <c r="L16" s="88"/>
      <c r="M16" s="97">
        <v>1</v>
      </c>
      <c r="N16" s="48"/>
      <c r="O16" s="98">
        <v>0.11</v>
      </c>
      <c r="P16" s="98">
        <v>0.11</v>
      </c>
      <c r="Q16" s="98">
        <v>0.11</v>
      </c>
      <c r="R16" s="48"/>
      <c r="S16" s="98">
        <v>0</v>
      </c>
    </row>
    <row r="17" ht="20" customHeight="1" spans="1:19">
      <c r="A17" s="86" t="s">
        <v>97</v>
      </c>
      <c r="B17" s="86" t="s">
        <v>102</v>
      </c>
      <c r="C17" s="88"/>
      <c r="D17" s="86" t="s">
        <v>52</v>
      </c>
      <c r="E17" s="86" t="s">
        <v>99</v>
      </c>
      <c r="F17" s="86" t="s">
        <v>99</v>
      </c>
      <c r="G17" s="86" t="s">
        <v>103</v>
      </c>
      <c r="H17" s="86" t="s">
        <v>103</v>
      </c>
      <c r="I17" s="86" t="s">
        <v>104</v>
      </c>
      <c r="J17" s="86" t="s">
        <v>52</v>
      </c>
      <c r="K17" s="88"/>
      <c r="L17" s="88"/>
      <c r="M17" s="97">
        <v>14148</v>
      </c>
      <c r="N17" s="48"/>
      <c r="O17" s="98">
        <v>0.02</v>
      </c>
      <c r="P17" s="98">
        <v>272.75</v>
      </c>
      <c r="Q17" s="98">
        <v>272.75</v>
      </c>
      <c r="R17" s="48"/>
      <c r="S17" s="98">
        <v>0</v>
      </c>
    </row>
    <row r="18" ht="20" customHeight="1" spans="1:19">
      <c r="A18" s="86" t="s">
        <v>97</v>
      </c>
      <c r="B18" s="86" t="s">
        <v>102</v>
      </c>
      <c r="C18" s="88"/>
      <c r="D18" s="86" t="s">
        <v>52</v>
      </c>
      <c r="E18" s="86" t="s">
        <v>99</v>
      </c>
      <c r="F18" s="86" t="s">
        <v>99</v>
      </c>
      <c r="G18" s="86" t="s">
        <v>103</v>
      </c>
      <c r="H18" s="86" t="s">
        <v>103</v>
      </c>
      <c r="I18" s="86" t="s">
        <v>104</v>
      </c>
      <c r="J18" s="86" t="s">
        <v>52</v>
      </c>
      <c r="K18" s="88"/>
      <c r="L18" s="88"/>
      <c r="M18" s="97">
        <v>56</v>
      </c>
      <c r="N18" s="48"/>
      <c r="O18" s="98">
        <v>0.02</v>
      </c>
      <c r="P18" s="98">
        <v>1.08</v>
      </c>
      <c r="Q18" s="98">
        <v>1.08</v>
      </c>
      <c r="R18" s="48"/>
      <c r="S18" s="98">
        <v>0</v>
      </c>
    </row>
    <row r="19" ht="20" customHeight="1" spans="1:19">
      <c r="A19" s="86" t="s">
        <v>97</v>
      </c>
      <c r="B19" s="86" t="s">
        <v>102</v>
      </c>
      <c r="C19" s="88"/>
      <c r="D19" s="86" t="s">
        <v>52</v>
      </c>
      <c r="E19" s="86" t="s">
        <v>99</v>
      </c>
      <c r="F19" s="86" t="s">
        <v>99</v>
      </c>
      <c r="G19" s="86" t="s">
        <v>103</v>
      </c>
      <c r="H19" s="86" t="s">
        <v>103</v>
      </c>
      <c r="I19" s="86" t="s">
        <v>104</v>
      </c>
      <c r="J19" s="86" t="s">
        <v>52</v>
      </c>
      <c r="K19" s="88"/>
      <c r="L19" s="88"/>
      <c r="M19" s="97">
        <v>4</v>
      </c>
      <c r="N19" s="48"/>
      <c r="O19" s="98">
        <v>0.02</v>
      </c>
      <c r="P19" s="98">
        <v>0.08</v>
      </c>
      <c r="Q19" s="98">
        <v>0.08</v>
      </c>
      <c r="R19" s="48"/>
      <c r="S19" s="98">
        <v>0</v>
      </c>
    </row>
    <row r="20" ht="20" customHeight="1" spans="1:19">
      <c r="A20" s="86" t="s">
        <v>105</v>
      </c>
      <c r="B20" s="86" t="s">
        <v>106</v>
      </c>
      <c r="C20" s="88"/>
      <c r="D20" s="86" t="s">
        <v>52</v>
      </c>
      <c r="E20" s="86" t="s">
        <v>107</v>
      </c>
      <c r="F20" s="86" t="s">
        <v>107</v>
      </c>
      <c r="G20" s="86" t="s">
        <v>108</v>
      </c>
      <c r="H20" s="86" t="s">
        <v>108</v>
      </c>
      <c r="I20" s="86" t="s">
        <v>109</v>
      </c>
      <c r="J20" s="86" t="s">
        <v>52</v>
      </c>
      <c r="K20" s="88"/>
      <c r="L20" s="88"/>
      <c r="M20" s="97">
        <v>20736</v>
      </c>
      <c r="N20" s="48"/>
      <c r="O20" s="98">
        <v>0.01</v>
      </c>
      <c r="P20" s="98">
        <v>150.96</v>
      </c>
      <c r="Q20" s="98">
        <v>150.96</v>
      </c>
      <c r="R20" s="48"/>
      <c r="S20" s="98">
        <v>0</v>
      </c>
    </row>
    <row r="21" ht="20" customHeight="1" spans="1:19">
      <c r="A21" s="86" t="s">
        <v>105</v>
      </c>
      <c r="B21" s="86" t="s">
        <v>106</v>
      </c>
      <c r="C21" s="88"/>
      <c r="D21" s="86" t="s">
        <v>52</v>
      </c>
      <c r="E21" s="86" t="s">
        <v>107</v>
      </c>
      <c r="F21" s="86" t="s">
        <v>107</v>
      </c>
      <c r="G21" s="86" t="s">
        <v>108</v>
      </c>
      <c r="H21" s="86" t="s">
        <v>108</v>
      </c>
      <c r="I21" s="86" t="s">
        <v>109</v>
      </c>
      <c r="J21" s="86" t="s">
        <v>52</v>
      </c>
      <c r="K21" s="88"/>
      <c r="L21" s="88"/>
      <c r="M21" s="97">
        <v>252</v>
      </c>
      <c r="N21" s="48"/>
      <c r="O21" s="98">
        <v>0.01</v>
      </c>
      <c r="P21" s="98">
        <v>1.83</v>
      </c>
      <c r="Q21" s="98">
        <v>1.83</v>
      </c>
      <c r="R21" s="48"/>
      <c r="S21" s="98">
        <v>0</v>
      </c>
    </row>
    <row r="22" ht="20" customHeight="1" spans="1:19">
      <c r="A22" s="86" t="s">
        <v>105</v>
      </c>
      <c r="B22" s="86" t="s">
        <v>106</v>
      </c>
      <c r="C22" s="88"/>
      <c r="D22" s="86" t="s">
        <v>52</v>
      </c>
      <c r="E22" s="86" t="s">
        <v>107</v>
      </c>
      <c r="F22" s="86" t="s">
        <v>107</v>
      </c>
      <c r="G22" s="86" t="s">
        <v>108</v>
      </c>
      <c r="H22" s="86" t="s">
        <v>108</v>
      </c>
      <c r="I22" s="86" t="s">
        <v>109</v>
      </c>
      <c r="J22" s="86" t="s">
        <v>52</v>
      </c>
      <c r="K22" s="88"/>
      <c r="L22" s="88"/>
      <c r="M22" s="97">
        <v>9360</v>
      </c>
      <c r="N22" s="48"/>
      <c r="O22" s="98">
        <v>0.01</v>
      </c>
      <c r="P22" s="98">
        <v>68.14</v>
      </c>
      <c r="Q22" s="98">
        <v>68.14</v>
      </c>
      <c r="R22" s="48"/>
      <c r="S22" s="98">
        <v>0</v>
      </c>
    </row>
    <row r="23" ht="20" customHeight="1" spans="1:19">
      <c r="A23" s="86" t="s">
        <v>105</v>
      </c>
      <c r="B23" s="86" t="s">
        <v>106</v>
      </c>
      <c r="C23" s="88"/>
      <c r="D23" s="86" t="s">
        <v>52</v>
      </c>
      <c r="E23" s="86" t="s">
        <v>107</v>
      </c>
      <c r="F23" s="86" t="s">
        <v>107</v>
      </c>
      <c r="G23" s="86" t="s">
        <v>108</v>
      </c>
      <c r="H23" s="86" t="s">
        <v>108</v>
      </c>
      <c r="I23" s="86" t="s">
        <v>109</v>
      </c>
      <c r="J23" s="86" t="s">
        <v>52</v>
      </c>
      <c r="K23" s="88"/>
      <c r="L23" s="88"/>
      <c r="M23" s="97">
        <v>8640</v>
      </c>
      <c r="N23" s="48"/>
      <c r="O23" s="98">
        <v>0.01</v>
      </c>
      <c r="P23" s="98">
        <v>62.9</v>
      </c>
      <c r="Q23" s="98">
        <v>62.9</v>
      </c>
      <c r="R23" s="48"/>
      <c r="S23" s="98">
        <v>0</v>
      </c>
    </row>
    <row r="24" ht="20" customHeight="1" spans="1:19">
      <c r="A24" s="86" t="s">
        <v>105</v>
      </c>
      <c r="B24" s="86" t="s">
        <v>106</v>
      </c>
      <c r="C24" s="88"/>
      <c r="D24" s="86" t="s">
        <v>52</v>
      </c>
      <c r="E24" s="86" t="s">
        <v>107</v>
      </c>
      <c r="F24" s="86" t="s">
        <v>107</v>
      </c>
      <c r="G24" s="86" t="s">
        <v>108</v>
      </c>
      <c r="H24" s="86" t="s">
        <v>108</v>
      </c>
      <c r="I24" s="86" t="s">
        <v>109</v>
      </c>
      <c r="J24" s="86" t="s">
        <v>52</v>
      </c>
      <c r="K24" s="88"/>
      <c r="L24" s="88"/>
      <c r="M24" s="97">
        <v>180</v>
      </c>
      <c r="N24" s="48"/>
      <c r="O24" s="98">
        <v>0.01</v>
      </c>
      <c r="P24" s="98">
        <v>1.31</v>
      </c>
      <c r="Q24" s="98">
        <v>1.31</v>
      </c>
      <c r="R24" s="48"/>
      <c r="S24" s="98">
        <v>0</v>
      </c>
    </row>
    <row r="25" ht="20" customHeight="1" spans="1:19">
      <c r="A25" s="86" t="s">
        <v>110</v>
      </c>
      <c r="B25" s="86" t="s">
        <v>111</v>
      </c>
      <c r="C25" s="88"/>
      <c r="D25" s="86" t="s">
        <v>52</v>
      </c>
      <c r="E25" s="86" t="s">
        <v>112</v>
      </c>
      <c r="F25" s="86" t="s">
        <v>112</v>
      </c>
      <c r="G25" s="86" t="s">
        <v>103</v>
      </c>
      <c r="H25" s="86" t="s">
        <v>103</v>
      </c>
      <c r="I25" s="86" t="s">
        <v>104</v>
      </c>
      <c r="J25" s="86" t="s">
        <v>52</v>
      </c>
      <c r="K25" s="88"/>
      <c r="L25" s="88"/>
      <c r="M25" s="97">
        <v>72</v>
      </c>
      <c r="N25" s="48"/>
      <c r="O25" s="98">
        <v>0.02</v>
      </c>
      <c r="P25" s="98">
        <v>1.39</v>
      </c>
      <c r="Q25" s="98">
        <v>1.39</v>
      </c>
      <c r="R25" s="48"/>
      <c r="S25" s="98">
        <v>0</v>
      </c>
    </row>
    <row r="26" ht="20" customHeight="1" spans="1:19">
      <c r="A26" s="86" t="s">
        <v>110</v>
      </c>
      <c r="B26" s="86" t="s">
        <v>111</v>
      </c>
      <c r="C26" s="88"/>
      <c r="D26" s="86" t="s">
        <v>52</v>
      </c>
      <c r="E26" s="86" t="s">
        <v>112</v>
      </c>
      <c r="F26" s="86" t="s">
        <v>112</v>
      </c>
      <c r="G26" s="86" t="s">
        <v>103</v>
      </c>
      <c r="H26" s="86" t="s">
        <v>103</v>
      </c>
      <c r="I26" s="86" t="s">
        <v>104</v>
      </c>
      <c r="J26" s="86" t="s">
        <v>52</v>
      </c>
      <c r="K26" s="88"/>
      <c r="L26" s="88"/>
      <c r="M26" s="97">
        <v>14112</v>
      </c>
      <c r="N26" s="48"/>
      <c r="O26" s="98">
        <v>0.02</v>
      </c>
      <c r="P26" s="98">
        <v>272.05</v>
      </c>
      <c r="Q26" s="98">
        <v>272.05</v>
      </c>
      <c r="R26" s="48"/>
      <c r="S26" s="98">
        <v>0</v>
      </c>
    </row>
    <row r="27" ht="20" customHeight="1" spans="1:19">
      <c r="A27" s="86" t="s">
        <v>110</v>
      </c>
      <c r="B27" s="86" t="s">
        <v>111</v>
      </c>
      <c r="C27" s="88"/>
      <c r="D27" s="86" t="s">
        <v>52</v>
      </c>
      <c r="E27" s="86" t="s">
        <v>112</v>
      </c>
      <c r="F27" s="86" t="s">
        <v>112</v>
      </c>
      <c r="G27" s="86" t="s">
        <v>103</v>
      </c>
      <c r="H27" s="86" t="s">
        <v>103</v>
      </c>
      <c r="I27" s="86" t="s">
        <v>104</v>
      </c>
      <c r="J27" s="86" t="s">
        <v>52</v>
      </c>
      <c r="K27" s="88"/>
      <c r="L27" s="88"/>
      <c r="M27" s="97">
        <v>20</v>
      </c>
      <c r="N27" s="48"/>
      <c r="O27" s="98">
        <v>0.02</v>
      </c>
      <c r="P27" s="98">
        <v>0.39</v>
      </c>
      <c r="Q27" s="98">
        <v>0.39</v>
      </c>
      <c r="R27" s="48"/>
      <c r="S27" s="98">
        <v>0</v>
      </c>
    </row>
    <row r="28" ht="20" customHeight="1" spans="1:19">
      <c r="A28" s="86" t="s">
        <v>110</v>
      </c>
      <c r="B28" s="86" t="s">
        <v>111</v>
      </c>
      <c r="C28" s="88"/>
      <c r="D28" s="86" t="s">
        <v>52</v>
      </c>
      <c r="E28" s="86" t="s">
        <v>112</v>
      </c>
      <c r="F28" s="86" t="s">
        <v>112</v>
      </c>
      <c r="G28" s="86" t="s">
        <v>103</v>
      </c>
      <c r="H28" s="86" t="s">
        <v>103</v>
      </c>
      <c r="I28" s="86" t="s">
        <v>104</v>
      </c>
      <c r="J28" s="86" t="s">
        <v>52</v>
      </c>
      <c r="K28" s="88"/>
      <c r="L28" s="88"/>
      <c r="M28" s="97">
        <v>4</v>
      </c>
      <c r="N28" s="48"/>
      <c r="O28" s="98">
        <v>0.02</v>
      </c>
      <c r="P28" s="98">
        <v>0.08</v>
      </c>
      <c r="Q28" s="98">
        <v>0.08</v>
      </c>
      <c r="R28" s="48"/>
      <c r="S28" s="98">
        <v>0</v>
      </c>
    </row>
    <row r="29" ht="20" customHeight="1" spans="1:19">
      <c r="A29" s="56"/>
      <c r="B29" s="56"/>
      <c r="C29" s="89" t="s">
        <v>113</v>
      </c>
      <c r="D29" s="90"/>
      <c r="E29" s="90"/>
      <c r="F29" s="90"/>
      <c r="G29" s="90"/>
      <c r="H29" s="90"/>
      <c r="I29" s="90"/>
      <c r="J29" s="90"/>
      <c r="K29" s="56"/>
      <c r="L29" s="89" t="s">
        <v>114</v>
      </c>
      <c r="M29" s="99">
        <v>68684</v>
      </c>
      <c r="N29" s="100"/>
      <c r="O29" s="101" t="s">
        <v>52</v>
      </c>
      <c r="P29" s="102"/>
      <c r="Q29" s="103">
        <v>957.43</v>
      </c>
      <c r="R29" s="100"/>
      <c r="S29" s="103">
        <v>0</v>
      </c>
    </row>
    <row r="30" ht="29" customHeight="1" spans="1:19">
      <c r="A30" s="83" t="s">
        <v>115</v>
      </c>
      <c r="B30" s="84"/>
      <c r="C30" s="84"/>
      <c r="D30" s="85" t="s">
        <v>116</v>
      </c>
      <c r="E30" s="83" t="s">
        <v>117</v>
      </c>
      <c r="F30" s="84"/>
      <c r="G30" s="84"/>
      <c r="H30" s="84"/>
      <c r="I30" s="84"/>
      <c r="J30" s="84"/>
      <c r="K30" s="84"/>
      <c r="L30" s="84"/>
      <c r="M30" s="84"/>
      <c r="N30" s="56"/>
      <c r="O30" s="56"/>
      <c r="P30" s="56"/>
      <c r="Q30" s="56"/>
      <c r="R30" s="56" t="s">
        <v>118</v>
      </c>
      <c r="S30" s="56"/>
    </row>
    <row r="31" ht="19" customHeight="1" spans="1:19">
      <c r="A31" s="56"/>
      <c r="B31" s="56"/>
      <c r="C31" s="56"/>
      <c r="D31" s="85" t="s">
        <v>116</v>
      </c>
      <c r="E31" s="83" t="s">
        <v>119</v>
      </c>
      <c r="F31" s="91">
        <v>19148.6</v>
      </c>
      <c r="G31" s="84"/>
      <c r="H31" s="84"/>
      <c r="I31" s="84"/>
      <c r="J31" s="84"/>
      <c r="K31" s="84"/>
      <c r="L31" s="84"/>
      <c r="M31" s="84"/>
      <c r="N31" s="56"/>
      <c r="O31" s="56"/>
      <c r="P31" s="56"/>
      <c r="Q31" s="56"/>
      <c r="R31" s="56"/>
      <c r="S31" s="56"/>
    </row>
    <row r="32" ht="26" customHeight="1" spans="1:19">
      <c r="A32" s="46" t="s">
        <v>52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56"/>
      <c r="O32" s="56"/>
      <c r="P32" s="56"/>
      <c r="Q32" s="56"/>
      <c r="R32" s="56"/>
      <c r="S32" s="56"/>
    </row>
    <row r="33" ht="25" customHeight="1" spans="1:19">
      <c r="A33" s="92" t="s">
        <v>120</v>
      </c>
      <c r="B33" s="93"/>
      <c r="C33" s="93"/>
      <c r="D33" s="85" t="s">
        <v>116</v>
      </c>
      <c r="E33" s="94" t="s">
        <v>121</v>
      </c>
      <c r="F33" s="95">
        <v>19148.6</v>
      </c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56"/>
      <c r="S33" s="56"/>
    </row>
  </sheetData>
  <mergeCells count="9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C29:J29"/>
    <mergeCell ref="M29:N29"/>
    <mergeCell ref="O29:P29"/>
    <mergeCell ref="Q29:R29"/>
    <mergeCell ref="A30:C30"/>
    <mergeCell ref="E30:M30"/>
    <mergeCell ref="F31:M31"/>
    <mergeCell ref="A32:M32"/>
    <mergeCell ref="A33:C33"/>
    <mergeCell ref="F33:Q33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129"/>
  <sheetViews>
    <sheetView zoomScaleSheetLayoutView="60" topLeftCell="A1095" workbookViewId="0">
      <selection activeCell="I1131" sqref="I1131"/>
    </sheetView>
  </sheetViews>
  <sheetFormatPr defaultColWidth="9" defaultRowHeight="14.25"/>
  <cols>
    <col min="1" max="1" width="11.3333333333333" style="36" customWidth="1"/>
    <col min="2" max="2" width="4.5" style="36" customWidth="1"/>
    <col min="3" max="3" width="8.83333333333333" style="36" customWidth="1"/>
    <col min="4" max="4" width="1.66666666666667" style="36" customWidth="1"/>
    <col min="5" max="6" width="11.3333333333333" style="36" customWidth="1"/>
    <col min="7" max="7" width="11.5" style="36" customWidth="1"/>
    <col min="8" max="8" width="16.6666666666667" style="36" customWidth="1"/>
    <col min="9" max="9" width="13" style="36" customWidth="1"/>
    <col min="10" max="10" width="10.0833333333333" style="36" customWidth="1"/>
    <col min="11" max="11" width="15.625" style="36" customWidth="1"/>
    <col min="12" max="12" width="12.8333333333333" style="36" customWidth="1"/>
    <col min="13" max="13" width="8.33333333333333" style="36" customWidth="1"/>
    <col min="14" max="14" width="9.83333333333333" style="36" customWidth="1"/>
    <col min="15" max="15" width="8.83333333333333" style="36" customWidth="1"/>
    <col min="16" max="16" width="6.33333333333333" style="36" customWidth="1"/>
    <col min="17" max="17" width="3.5" style="36" customWidth="1"/>
    <col min="18" max="18" width="6" style="36" customWidth="1"/>
    <col min="19" max="19" width="10.6666666666667" style="36" customWidth="1"/>
    <col min="20" max="16384" width="9" style="36"/>
  </cols>
  <sheetData>
    <row r="1" ht="16" customHeight="1" spans="1:19">
      <c r="A1" s="37" t="s">
        <v>122</v>
      </c>
      <c r="B1" s="38"/>
      <c r="C1" s="39">
        <v>45778.9090625001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ht="19" customHeight="1" spans="1:19">
      <c r="A2" s="41" t="s">
        <v>123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ht="14" customHeight="1" spans="1:19">
      <c r="A3" s="43" t="s">
        <v>67</v>
      </c>
      <c r="B3" s="44"/>
      <c r="C3" s="44"/>
      <c r="D3" s="45" t="s">
        <v>124</v>
      </c>
      <c r="E3" s="43" t="s">
        <v>69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ht="14" customHeight="1" spans="1:19">
      <c r="A4" s="43" t="s">
        <v>70</v>
      </c>
      <c r="B4" s="44"/>
      <c r="C4" s="44"/>
      <c r="D4" s="45" t="s">
        <v>124</v>
      </c>
      <c r="E4" s="43" t="s">
        <v>71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</row>
    <row r="5" ht="14" customHeight="1" spans="1:19">
      <c r="A5" s="43" t="s">
        <v>82</v>
      </c>
      <c r="B5" s="44"/>
      <c r="C5" s="44"/>
      <c r="D5" s="45" t="s">
        <v>124</v>
      </c>
      <c r="E5" s="43" t="s">
        <v>83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</row>
    <row r="6" ht="14" customHeight="1" spans="1:19">
      <c r="A6" s="43" t="s">
        <v>72</v>
      </c>
      <c r="B6" s="44"/>
      <c r="C6" s="44"/>
      <c r="D6" s="45" t="s">
        <v>124</v>
      </c>
      <c r="E6" s="43" t="s">
        <v>125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</row>
    <row r="7" ht="14" customHeight="1" spans="1:19">
      <c r="A7" s="43" t="s">
        <v>126</v>
      </c>
      <c r="B7" s="44"/>
      <c r="C7" s="44"/>
      <c r="D7" s="45" t="s">
        <v>124</v>
      </c>
      <c r="E7" s="43" t="s">
        <v>127</v>
      </c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</row>
    <row r="8" ht="14" customHeight="1" spans="1:19">
      <c r="A8" s="43" t="s">
        <v>76</v>
      </c>
      <c r="B8" s="44"/>
      <c r="C8" s="44"/>
      <c r="D8" s="45" t="s">
        <v>124</v>
      </c>
      <c r="E8" s="43" t="s">
        <v>77</v>
      </c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</row>
    <row r="9" ht="14" customHeight="1" spans="1:19">
      <c r="A9" s="43" t="s">
        <v>78</v>
      </c>
      <c r="B9" s="44"/>
      <c r="C9" s="44"/>
      <c r="D9" s="45" t="s">
        <v>124</v>
      </c>
      <c r="E9" s="43" t="s">
        <v>79</v>
      </c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</row>
    <row r="10" ht="14" customHeight="1" spans="1:19">
      <c r="A10" s="43" t="s">
        <v>80</v>
      </c>
      <c r="B10" s="44"/>
      <c r="C10" s="44"/>
      <c r="D10" s="45" t="s">
        <v>124</v>
      </c>
      <c r="E10" s="43" t="s">
        <v>81</v>
      </c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</row>
    <row r="11" ht="17" customHeight="1" spans="1:19">
      <c r="A11" s="46" t="s">
        <v>52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</row>
    <row r="12" ht="14" customHeight="1" spans="1:19">
      <c r="A12" s="43" t="s">
        <v>84</v>
      </c>
      <c r="B12" s="43" t="s">
        <v>85</v>
      </c>
      <c r="C12" s="44"/>
      <c r="D12" s="43" t="s">
        <v>52</v>
      </c>
      <c r="E12" s="43" t="s">
        <v>87</v>
      </c>
      <c r="F12" s="43" t="s">
        <v>88</v>
      </c>
      <c r="G12" s="43" t="s">
        <v>89</v>
      </c>
      <c r="H12" s="43" t="s">
        <v>90</v>
      </c>
      <c r="I12" s="43" t="s">
        <v>91</v>
      </c>
      <c r="J12" s="44"/>
      <c r="K12" s="53" t="s">
        <v>128</v>
      </c>
      <c r="L12" s="53" t="s">
        <v>129</v>
      </c>
      <c r="M12" s="53" t="s">
        <v>130</v>
      </c>
      <c r="N12" s="53" t="s">
        <v>131</v>
      </c>
      <c r="O12" s="53" t="s">
        <v>132</v>
      </c>
      <c r="P12" s="53" t="s">
        <v>93</v>
      </c>
      <c r="Q12" s="53" t="s">
        <v>94</v>
      </c>
      <c r="R12" s="60"/>
      <c r="S12" s="53" t="s">
        <v>133</v>
      </c>
    </row>
    <row r="13" ht="20" customHeight="1" spans="1:19">
      <c r="A13" s="43" t="s">
        <v>134</v>
      </c>
      <c r="B13" s="43" t="s">
        <v>135</v>
      </c>
      <c r="C13" s="44"/>
      <c r="D13" s="43" t="s">
        <v>52</v>
      </c>
      <c r="E13" s="43" t="s">
        <v>136</v>
      </c>
      <c r="F13" s="43" t="s">
        <v>52</v>
      </c>
      <c r="G13" s="43" t="s">
        <v>108</v>
      </c>
      <c r="H13" s="43" t="s">
        <v>109</v>
      </c>
      <c r="I13" s="43" t="s">
        <v>52</v>
      </c>
      <c r="J13" s="44"/>
      <c r="K13" s="54">
        <v>144</v>
      </c>
      <c r="L13" s="54">
        <v>144</v>
      </c>
      <c r="M13" s="54">
        <v>0</v>
      </c>
      <c r="N13" s="54">
        <v>0</v>
      </c>
      <c r="O13" s="54">
        <v>144</v>
      </c>
      <c r="P13" s="55">
        <v>0.01</v>
      </c>
      <c r="Q13" s="61">
        <v>1.05</v>
      </c>
      <c r="R13" s="60"/>
      <c r="S13" s="61">
        <v>1.05</v>
      </c>
    </row>
    <row r="14" ht="20" customHeight="1" spans="1:19">
      <c r="A14" s="43" t="s">
        <v>134</v>
      </c>
      <c r="B14" s="43" t="s">
        <v>135</v>
      </c>
      <c r="C14" s="44"/>
      <c r="D14" s="43" t="s">
        <v>52</v>
      </c>
      <c r="E14" s="43" t="s">
        <v>136</v>
      </c>
      <c r="F14" s="43" t="s">
        <v>52</v>
      </c>
      <c r="G14" s="43" t="s">
        <v>108</v>
      </c>
      <c r="H14" s="43" t="s">
        <v>109</v>
      </c>
      <c r="I14" s="43" t="s">
        <v>52</v>
      </c>
      <c r="J14" s="44"/>
      <c r="K14" s="54">
        <v>34272</v>
      </c>
      <c r="L14" s="54">
        <v>34272</v>
      </c>
      <c r="M14" s="54">
        <v>0</v>
      </c>
      <c r="N14" s="54">
        <v>0</v>
      </c>
      <c r="O14" s="54">
        <v>34272</v>
      </c>
      <c r="P14" s="55">
        <v>0.01</v>
      </c>
      <c r="Q14" s="61">
        <v>249.5</v>
      </c>
      <c r="R14" s="60"/>
      <c r="S14" s="61">
        <v>249.5</v>
      </c>
    </row>
    <row r="15" ht="20" customHeight="1" spans="1:19">
      <c r="A15" s="43" t="s">
        <v>134</v>
      </c>
      <c r="B15" s="43" t="s">
        <v>135</v>
      </c>
      <c r="C15" s="44"/>
      <c r="D15" s="43" t="s">
        <v>52</v>
      </c>
      <c r="E15" s="43" t="s">
        <v>136</v>
      </c>
      <c r="F15" s="43" t="s">
        <v>52</v>
      </c>
      <c r="G15" s="43" t="s">
        <v>108</v>
      </c>
      <c r="H15" s="43" t="s">
        <v>109</v>
      </c>
      <c r="I15" s="43" t="s">
        <v>52</v>
      </c>
      <c r="J15" s="44"/>
      <c r="K15" s="54">
        <v>4752</v>
      </c>
      <c r="L15" s="54">
        <v>4752</v>
      </c>
      <c r="M15" s="54">
        <v>0</v>
      </c>
      <c r="N15" s="54">
        <v>0</v>
      </c>
      <c r="O15" s="54">
        <v>4752</v>
      </c>
      <c r="P15" s="55">
        <v>0.01</v>
      </c>
      <c r="Q15" s="61">
        <v>34.59</v>
      </c>
      <c r="R15" s="60"/>
      <c r="S15" s="61">
        <v>34.59</v>
      </c>
    </row>
    <row r="16" ht="20" customHeight="1" spans="1:19">
      <c r="A16" s="43" t="s">
        <v>137</v>
      </c>
      <c r="B16" s="43" t="s">
        <v>138</v>
      </c>
      <c r="C16" s="44"/>
      <c r="D16" s="43" t="s">
        <v>52</v>
      </c>
      <c r="E16" s="43" t="s">
        <v>139</v>
      </c>
      <c r="F16" s="43" t="s">
        <v>52</v>
      </c>
      <c r="G16" s="43" t="s">
        <v>100</v>
      </c>
      <c r="H16" s="43" t="s">
        <v>101</v>
      </c>
      <c r="I16" s="43" t="s">
        <v>52</v>
      </c>
      <c r="J16" s="44"/>
      <c r="K16" s="54">
        <v>1692</v>
      </c>
      <c r="L16" s="54">
        <v>1692</v>
      </c>
      <c r="M16" s="54">
        <v>0</v>
      </c>
      <c r="N16" s="54">
        <v>0</v>
      </c>
      <c r="O16" s="54">
        <v>1692</v>
      </c>
      <c r="P16" s="55">
        <v>0.11</v>
      </c>
      <c r="Q16" s="61">
        <v>191.47</v>
      </c>
      <c r="R16" s="60"/>
      <c r="S16" s="61">
        <v>191.47</v>
      </c>
    </row>
    <row r="17" ht="20" customHeight="1" spans="1:19">
      <c r="A17" s="43" t="s">
        <v>137</v>
      </c>
      <c r="B17" s="43" t="s">
        <v>138</v>
      </c>
      <c r="C17" s="44"/>
      <c r="D17" s="43" t="s">
        <v>52</v>
      </c>
      <c r="E17" s="43" t="s">
        <v>139</v>
      </c>
      <c r="F17" s="43" t="s">
        <v>52</v>
      </c>
      <c r="G17" s="43" t="s">
        <v>100</v>
      </c>
      <c r="H17" s="43" t="s">
        <v>101</v>
      </c>
      <c r="I17" s="43" t="s">
        <v>52</v>
      </c>
      <c r="J17" s="44"/>
      <c r="K17" s="54">
        <v>8</v>
      </c>
      <c r="L17" s="54">
        <v>8</v>
      </c>
      <c r="M17" s="54">
        <v>0</v>
      </c>
      <c r="N17" s="54">
        <v>0</v>
      </c>
      <c r="O17" s="54">
        <v>8</v>
      </c>
      <c r="P17" s="55">
        <v>0.11</v>
      </c>
      <c r="Q17" s="61">
        <v>0.91</v>
      </c>
      <c r="R17" s="60"/>
      <c r="S17" s="61">
        <v>0.91</v>
      </c>
    </row>
    <row r="18" ht="20" customHeight="1" spans="1:19">
      <c r="A18" s="43" t="s">
        <v>137</v>
      </c>
      <c r="B18" s="43" t="s">
        <v>138</v>
      </c>
      <c r="C18" s="44"/>
      <c r="D18" s="43" t="s">
        <v>52</v>
      </c>
      <c r="E18" s="43" t="s">
        <v>139</v>
      </c>
      <c r="F18" s="43" t="s">
        <v>52</v>
      </c>
      <c r="G18" s="43" t="s">
        <v>100</v>
      </c>
      <c r="H18" s="43" t="s">
        <v>101</v>
      </c>
      <c r="I18" s="43" t="s">
        <v>52</v>
      </c>
      <c r="J18" s="44"/>
      <c r="K18" s="54">
        <v>10</v>
      </c>
      <c r="L18" s="54">
        <v>10</v>
      </c>
      <c r="M18" s="54">
        <v>0</v>
      </c>
      <c r="N18" s="54">
        <v>0</v>
      </c>
      <c r="O18" s="54">
        <v>10</v>
      </c>
      <c r="P18" s="55">
        <v>0.11</v>
      </c>
      <c r="Q18" s="61">
        <v>1.13</v>
      </c>
      <c r="R18" s="60"/>
      <c r="S18" s="61">
        <v>1.13</v>
      </c>
    </row>
    <row r="19" ht="20" customHeight="1" spans="1:19">
      <c r="A19" s="43" t="s">
        <v>140</v>
      </c>
      <c r="B19" s="43" t="s">
        <v>141</v>
      </c>
      <c r="C19" s="44"/>
      <c r="D19" s="43" t="s">
        <v>52</v>
      </c>
      <c r="E19" s="43" t="s">
        <v>142</v>
      </c>
      <c r="F19" s="43" t="s">
        <v>52</v>
      </c>
      <c r="G19" s="43" t="s">
        <v>108</v>
      </c>
      <c r="H19" s="43" t="s">
        <v>109</v>
      </c>
      <c r="I19" s="43" t="s">
        <v>52</v>
      </c>
      <c r="J19" s="44"/>
      <c r="K19" s="54">
        <v>24</v>
      </c>
      <c r="L19" s="54">
        <v>24</v>
      </c>
      <c r="M19" s="54">
        <v>0</v>
      </c>
      <c r="N19" s="54">
        <v>0</v>
      </c>
      <c r="O19" s="54">
        <v>24</v>
      </c>
      <c r="P19" s="55">
        <v>0.01</v>
      </c>
      <c r="Q19" s="61">
        <v>0.17</v>
      </c>
      <c r="R19" s="60"/>
      <c r="S19" s="61">
        <v>0.17</v>
      </c>
    </row>
    <row r="20" ht="20" customHeight="1" spans="1:19">
      <c r="A20" s="43" t="s">
        <v>140</v>
      </c>
      <c r="B20" s="43" t="s">
        <v>141</v>
      </c>
      <c r="C20" s="44"/>
      <c r="D20" s="43" t="s">
        <v>52</v>
      </c>
      <c r="E20" s="43" t="s">
        <v>142</v>
      </c>
      <c r="F20" s="43" t="s">
        <v>52</v>
      </c>
      <c r="G20" s="43" t="s">
        <v>108</v>
      </c>
      <c r="H20" s="43" t="s">
        <v>109</v>
      </c>
      <c r="I20" s="43" t="s">
        <v>52</v>
      </c>
      <c r="J20" s="44"/>
      <c r="K20" s="54">
        <v>19224</v>
      </c>
      <c r="L20" s="54">
        <v>19224</v>
      </c>
      <c r="M20" s="54">
        <v>0</v>
      </c>
      <c r="N20" s="54">
        <v>0</v>
      </c>
      <c r="O20" s="54">
        <v>19224</v>
      </c>
      <c r="P20" s="55">
        <v>0.01</v>
      </c>
      <c r="Q20" s="61">
        <v>139.95</v>
      </c>
      <c r="R20" s="60"/>
      <c r="S20" s="61">
        <v>139.95</v>
      </c>
    </row>
    <row r="21" ht="20" customHeight="1" spans="1:19">
      <c r="A21" s="43" t="s">
        <v>140</v>
      </c>
      <c r="B21" s="43" t="s">
        <v>141</v>
      </c>
      <c r="C21" s="44"/>
      <c r="D21" s="43" t="s">
        <v>52</v>
      </c>
      <c r="E21" s="43" t="s">
        <v>142</v>
      </c>
      <c r="F21" s="43" t="s">
        <v>52</v>
      </c>
      <c r="G21" s="43" t="s">
        <v>108</v>
      </c>
      <c r="H21" s="43" t="s">
        <v>109</v>
      </c>
      <c r="I21" s="43" t="s">
        <v>52</v>
      </c>
      <c r="J21" s="44"/>
      <c r="K21" s="54">
        <v>156</v>
      </c>
      <c r="L21" s="54">
        <v>156</v>
      </c>
      <c r="M21" s="54">
        <v>0</v>
      </c>
      <c r="N21" s="54">
        <v>0</v>
      </c>
      <c r="O21" s="54">
        <v>156</v>
      </c>
      <c r="P21" s="55">
        <v>0.01</v>
      </c>
      <c r="Q21" s="61">
        <v>1.14</v>
      </c>
      <c r="R21" s="60"/>
      <c r="S21" s="61">
        <v>1.14</v>
      </c>
    </row>
    <row r="22" ht="20" customHeight="1" spans="1:19">
      <c r="A22" s="43" t="s">
        <v>140</v>
      </c>
      <c r="B22" s="43" t="s">
        <v>141</v>
      </c>
      <c r="C22" s="44"/>
      <c r="D22" s="43" t="s">
        <v>52</v>
      </c>
      <c r="E22" s="43" t="s">
        <v>142</v>
      </c>
      <c r="F22" s="43" t="s">
        <v>52</v>
      </c>
      <c r="G22" s="43" t="s">
        <v>108</v>
      </c>
      <c r="H22" s="43" t="s">
        <v>109</v>
      </c>
      <c r="I22" s="43" t="s">
        <v>52</v>
      </c>
      <c r="J22" s="44"/>
      <c r="K22" s="54">
        <v>180</v>
      </c>
      <c r="L22" s="54">
        <v>180</v>
      </c>
      <c r="M22" s="54">
        <v>0</v>
      </c>
      <c r="N22" s="54">
        <v>0</v>
      </c>
      <c r="O22" s="54">
        <v>180</v>
      </c>
      <c r="P22" s="55">
        <v>0.01</v>
      </c>
      <c r="Q22" s="61">
        <v>1.31</v>
      </c>
      <c r="R22" s="60"/>
      <c r="S22" s="61">
        <v>1.31</v>
      </c>
    </row>
    <row r="23" ht="13" customHeight="1" spans="1:19">
      <c r="A23" s="47" t="s">
        <v>143</v>
      </c>
      <c r="B23" s="48"/>
      <c r="C23" s="48"/>
      <c r="D23" s="48"/>
      <c r="E23" s="48"/>
      <c r="F23" s="48"/>
      <c r="G23" s="48"/>
      <c r="H23" s="48"/>
      <c r="I23" s="48"/>
      <c r="J23" s="56"/>
      <c r="K23" s="47" t="s">
        <v>144</v>
      </c>
      <c r="L23" s="57">
        <v>60462</v>
      </c>
      <c r="M23" s="58">
        <v>0</v>
      </c>
      <c r="N23" s="58">
        <v>0</v>
      </c>
      <c r="O23" s="58">
        <v>60462</v>
      </c>
      <c r="P23" s="59" t="s">
        <v>52</v>
      </c>
      <c r="Q23" s="62"/>
      <c r="R23" s="62"/>
      <c r="S23" s="63">
        <v>621.22</v>
      </c>
    </row>
    <row r="24" ht="19" customHeight="1" spans="1:19">
      <c r="A24" s="43" t="s">
        <v>145</v>
      </c>
      <c r="B24" s="44"/>
      <c r="C24" s="44"/>
      <c r="D24" s="49" t="s">
        <v>146</v>
      </c>
      <c r="E24" s="50" t="s">
        <v>147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56"/>
      <c r="S24" s="56"/>
    </row>
    <row r="25" ht="19" customHeight="1" spans="1:19">
      <c r="A25" s="49" t="s">
        <v>146</v>
      </c>
      <c r="B25" s="51"/>
      <c r="C25" s="51"/>
      <c r="D25" s="49" t="s">
        <v>146</v>
      </c>
      <c r="E25" s="49" t="s">
        <v>119</v>
      </c>
      <c r="F25" s="52">
        <v>700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56"/>
      <c r="S25" s="56"/>
    </row>
    <row r="26" ht="12" customHeight="1" spans="1:19">
      <c r="A26" s="46" t="s">
        <v>52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56"/>
      <c r="S26" s="56"/>
    </row>
    <row r="27" ht="14" customHeight="1" spans="1:19">
      <c r="A27" s="43" t="s">
        <v>67</v>
      </c>
      <c r="B27" s="44"/>
      <c r="C27" s="44"/>
      <c r="D27" s="45" t="s">
        <v>124</v>
      </c>
      <c r="E27" s="43" t="s">
        <v>69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ht="14" customHeight="1" spans="1:19">
      <c r="A28" s="43" t="s">
        <v>70</v>
      </c>
      <c r="B28" s="44"/>
      <c r="C28" s="44"/>
      <c r="D28" s="45" t="s">
        <v>124</v>
      </c>
      <c r="E28" s="43" t="s">
        <v>71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ht="14" customHeight="1" spans="1:19">
      <c r="A29" s="43" t="s">
        <v>82</v>
      </c>
      <c r="B29" s="44"/>
      <c r="C29" s="44"/>
      <c r="D29" s="45" t="s">
        <v>124</v>
      </c>
      <c r="E29" s="43" t="s">
        <v>83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 ht="14" customHeight="1" spans="1:19">
      <c r="A30" s="43" t="s">
        <v>72</v>
      </c>
      <c r="B30" s="44"/>
      <c r="C30" s="44"/>
      <c r="D30" s="45" t="s">
        <v>124</v>
      </c>
      <c r="E30" s="43" t="s">
        <v>125</v>
      </c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 ht="14" customHeight="1" spans="1:19">
      <c r="A31" s="43" t="s">
        <v>126</v>
      </c>
      <c r="B31" s="44"/>
      <c r="C31" s="44"/>
      <c r="D31" s="45" t="s">
        <v>124</v>
      </c>
      <c r="E31" s="43" t="s">
        <v>148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ht="14" customHeight="1" spans="1:19">
      <c r="A32" s="43" t="s">
        <v>76</v>
      </c>
      <c r="B32" s="44"/>
      <c r="C32" s="44"/>
      <c r="D32" s="45" t="s">
        <v>124</v>
      </c>
      <c r="E32" s="43" t="s">
        <v>77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ht="14" customHeight="1" spans="1:19">
      <c r="A33" s="43" t="s">
        <v>78</v>
      </c>
      <c r="B33" s="44"/>
      <c r="C33" s="44"/>
      <c r="D33" s="45" t="s">
        <v>124</v>
      </c>
      <c r="E33" s="43" t="s">
        <v>79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ht="14" customHeight="1" spans="1:19">
      <c r="A34" s="43" t="s">
        <v>80</v>
      </c>
      <c r="B34" s="44"/>
      <c r="C34" s="44"/>
      <c r="D34" s="45" t="s">
        <v>124</v>
      </c>
      <c r="E34" s="43" t="s">
        <v>81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ht="17" customHeight="1" spans="1:19">
      <c r="A35" s="46" t="s">
        <v>52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</row>
    <row r="36" ht="14" customHeight="1" spans="1:19">
      <c r="A36" s="43" t="s">
        <v>84</v>
      </c>
      <c r="B36" s="43" t="s">
        <v>85</v>
      </c>
      <c r="C36" s="44"/>
      <c r="D36" s="43" t="s">
        <v>52</v>
      </c>
      <c r="E36" s="43" t="s">
        <v>87</v>
      </c>
      <c r="F36" s="43" t="s">
        <v>88</v>
      </c>
      <c r="G36" s="43" t="s">
        <v>89</v>
      </c>
      <c r="H36" s="43" t="s">
        <v>90</v>
      </c>
      <c r="I36" s="43" t="s">
        <v>91</v>
      </c>
      <c r="J36" s="44"/>
      <c r="K36" s="53" t="s">
        <v>128</v>
      </c>
      <c r="L36" s="53" t="s">
        <v>129</v>
      </c>
      <c r="M36" s="53" t="s">
        <v>130</v>
      </c>
      <c r="N36" s="53" t="s">
        <v>131</v>
      </c>
      <c r="O36" s="53" t="s">
        <v>132</v>
      </c>
      <c r="P36" s="53" t="s">
        <v>93</v>
      </c>
      <c r="Q36" s="53" t="s">
        <v>94</v>
      </c>
      <c r="R36" s="60"/>
      <c r="S36" s="53" t="s">
        <v>133</v>
      </c>
    </row>
    <row r="37" ht="20" customHeight="1" spans="1:19">
      <c r="A37" s="43" t="s">
        <v>134</v>
      </c>
      <c r="B37" s="43" t="s">
        <v>135</v>
      </c>
      <c r="C37" s="44"/>
      <c r="D37" s="43" t="s">
        <v>52</v>
      </c>
      <c r="E37" s="43" t="s">
        <v>136</v>
      </c>
      <c r="F37" s="43" t="s">
        <v>52</v>
      </c>
      <c r="G37" s="43" t="s">
        <v>108</v>
      </c>
      <c r="H37" s="43" t="s">
        <v>109</v>
      </c>
      <c r="I37" s="43" t="s">
        <v>52</v>
      </c>
      <c r="J37" s="44"/>
      <c r="K37" s="54">
        <v>144</v>
      </c>
      <c r="L37" s="54">
        <v>144</v>
      </c>
      <c r="M37" s="54">
        <v>0</v>
      </c>
      <c r="N37" s="54">
        <v>0</v>
      </c>
      <c r="O37" s="54">
        <v>144</v>
      </c>
      <c r="P37" s="55">
        <v>0.01</v>
      </c>
      <c r="Q37" s="61">
        <v>1.05</v>
      </c>
      <c r="R37" s="60"/>
      <c r="S37" s="61">
        <v>1.05</v>
      </c>
    </row>
    <row r="38" ht="20" customHeight="1" spans="1:19">
      <c r="A38" s="43" t="s">
        <v>134</v>
      </c>
      <c r="B38" s="43" t="s">
        <v>135</v>
      </c>
      <c r="C38" s="44"/>
      <c r="D38" s="43" t="s">
        <v>52</v>
      </c>
      <c r="E38" s="43" t="s">
        <v>136</v>
      </c>
      <c r="F38" s="43" t="s">
        <v>52</v>
      </c>
      <c r="G38" s="43" t="s">
        <v>108</v>
      </c>
      <c r="H38" s="43" t="s">
        <v>109</v>
      </c>
      <c r="I38" s="43" t="s">
        <v>52</v>
      </c>
      <c r="J38" s="44"/>
      <c r="K38" s="54">
        <v>34272</v>
      </c>
      <c r="L38" s="54">
        <v>34272</v>
      </c>
      <c r="M38" s="54">
        <v>0</v>
      </c>
      <c r="N38" s="54">
        <v>0</v>
      </c>
      <c r="O38" s="54">
        <v>34272</v>
      </c>
      <c r="P38" s="55">
        <v>0.01</v>
      </c>
      <c r="Q38" s="61">
        <v>249.5</v>
      </c>
      <c r="R38" s="60"/>
      <c r="S38" s="61">
        <v>249.5</v>
      </c>
    </row>
    <row r="39" ht="20" customHeight="1" spans="1:19">
      <c r="A39" s="43" t="s">
        <v>134</v>
      </c>
      <c r="B39" s="43" t="s">
        <v>135</v>
      </c>
      <c r="C39" s="44"/>
      <c r="D39" s="43" t="s">
        <v>52</v>
      </c>
      <c r="E39" s="43" t="s">
        <v>136</v>
      </c>
      <c r="F39" s="43" t="s">
        <v>52</v>
      </c>
      <c r="G39" s="43" t="s">
        <v>108</v>
      </c>
      <c r="H39" s="43" t="s">
        <v>109</v>
      </c>
      <c r="I39" s="43" t="s">
        <v>52</v>
      </c>
      <c r="J39" s="44"/>
      <c r="K39" s="54">
        <v>4752</v>
      </c>
      <c r="L39" s="54">
        <v>4752</v>
      </c>
      <c r="M39" s="54">
        <v>0</v>
      </c>
      <c r="N39" s="54">
        <v>0</v>
      </c>
      <c r="O39" s="54">
        <v>4752</v>
      </c>
      <c r="P39" s="55">
        <v>0.01</v>
      </c>
      <c r="Q39" s="61">
        <v>34.59</v>
      </c>
      <c r="R39" s="60"/>
      <c r="S39" s="61">
        <v>34.59</v>
      </c>
    </row>
    <row r="40" ht="20" customHeight="1" spans="1:19">
      <c r="A40" s="43" t="s">
        <v>137</v>
      </c>
      <c r="B40" s="43" t="s">
        <v>138</v>
      </c>
      <c r="C40" s="44"/>
      <c r="D40" s="43" t="s">
        <v>52</v>
      </c>
      <c r="E40" s="43" t="s">
        <v>139</v>
      </c>
      <c r="F40" s="43" t="s">
        <v>52</v>
      </c>
      <c r="G40" s="43" t="s">
        <v>100</v>
      </c>
      <c r="H40" s="43" t="s">
        <v>101</v>
      </c>
      <c r="I40" s="43" t="s">
        <v>52</v>
      </c>
      <c r="J40" s="44"/>
      <c r="K40" s="54">
        <v>8</v>
      </c>
      <c r="L40" s="54">
        <v>8</v>
      </c>
      <c r="M40" s="54">
        <v>0</v>
      </c>
      <c r="N40" s="54">
        <v>0</v>
      </c>
      <c r="O40" s="54">
        <v>8</v>
      </c>
      <c r="P40" s="55">
        <v>0.11</v>
      </c>
      <c r="Q40" s="61">
        <v>0.91</v>
      </c>
      <c r="R40" s="60"/>
      <c r="S40" s="61">
        <v>0.91</v>
      </c>
    </row>
    <row r="41" ht="20" customHeight="1" spans="1:19">
      <c r="A41" s="43" t="s">
        <v>137</v>
      </c>
      <c r="B41" s="43" t="s">
        <v>138</v>
      </c>
      <c r="C41" s="44"/>
      <c r="D41" s="43" t="s">
        <v>52</v>
      </c>
      <c r="E41" s="43" t="s">
        <v>139</v>
      </c>
      <c r="F41" s="43" t="s">
        <v>52</v>
      </c>
      <c r="G41" s="43" t="s">
        <v>100</v>
      </c>
      <c r="H41" s="43" t="s">
        <v>101</v>
      </c>
      <c r="I41" s="43" t="s">
        <v>52</v>
      </c>
      <c r="J41" s="44"/>
      <c r="K41" s="54">
        <v>1692</v>
      </c>
      <c r="L41" s="54">
        <v>1692</v>
      </c>
      <c r="M41" s="54">
        <v>0</v>
      </c>
      <c r="N41" s="54">
        <v>0</v>
      </c>
      <c r="O41" s="54">
        <v>1692</v>
      </c>
      <c r="P41" s="55">
        <v>0.11</v>
      </c>
      <c r="Q41" s="61">
        <v>191.47</v>
      </c>
      <c r="R41" s="60"/>
      <c r="S41" s="61">
        <v>191.47</v>
      </c>
    </row>
    <row r="42" ht="20" customHeight="1" spans="1:19">
      <c r="A42" s="43" t="s">
        <v>137</v>
      </c>
      <c r="B42" s="43" t="s">
        <v>138</v>
      </c>
      <c r="C42" s="44"/>
      <c r="D42" s="43" t="s">
        <v>52</v>
      </c>
      <c r="E42" s="43" t="s">
        <v>139</v>
      </c>
      <c r="F42" s="43" t="s">
        <v>52</v>
      </c>
      <c r="G42" s="43" t="s">
        <v>100</v>
      </c>
      <c r="H42" s="43" t="s">
        <v>101</v>
      </c>
      <c r="I42" s="43" t="s">
        <v>52</v>
      </c>
      <c r="J42" s="44"/>
      <c r="K42" s="54">
        <v>10</v>
      </c>
      <c r="L42" s="54">
        <v>10</v>
      </c>
      <c r="M42" s="54">
        <v>0</v>
      </c>
      <c r="N42" s="54">
        <v>0</v>
      </c>
      <c r="O42" s="54">
        <v>10</v>
      </c>
      <c r="P42" s="55">
        <v>0.11</v>
      </c>
      <c r="Q42" s="61">
        <v>1.13</v>
      </c>
      <c r="R42" s="60"/>
      <c r="S42" s="61">
        <v>1.13</v>
      </c>
    </row>
    <row r="43" ht="20" customHeight="1" spans="1:19">
      <c r="A43" s="43" t="s">
        <v>140</v>
      </c>
      <c r="B43" s="43" t="s">
        <v>141</v>
      </c>
      <c r="C43" s="44"/>
      <c r="D43" s="43" t="s">
        <v>52</v>
      </c>
      <c r="E43" s="43" t="s">
        <v>142</v>
      </c>
      <c r="F43" s="43" t="s">
        <v>52</v>
      </c>
      <c r="G43" s="43" t="s">
        <v>108</v>
      </c>
      <c r="H43" s="43" t="s">
        <v>109</v>
      </c>
      <c r="I43" s="43" t="s">
        <v>52</v>
      </c>
      <c r="J43" s="44"/>
      <c r="K43" s="54">
        <v>180</v>
      </c>
      <c r="L43" s="54">
        <v>180</v>
      </c>
      <c r="M43" s="54">
        <v>0</v>
      </c>
      <c r="N43" s="54">
        <v>0</v>
      </c>
      <c r="O43" s="54">
        <v>180</v>
      </c>
      <c r="P43" s="55">
        <v>0.01</v>
      </c>
      <c r="Q43" s="61">
        <v>1.31</v>
      </c>
      <c r="R43" s="60"/>
      <c r="S43" s="61">
        <v>1.31</v>
      </c>
    </row>
    <row r="44" ht="20" customHeight="1" spans="1:19">
      <c r="A44" s="43" t="s">
        <v>140</v>
      </c>
      <c r="B44" s="43" t="s">
        <v>141</v>
      </c>
      <c r="C44" s="44"/>
      <c r="D44" s="43" t="s">
        <v>52</v>
      </c>
      <c r="E44" s="43" t="s">
        <v>142</v>
      </c>
      <c r="F44" s="43" t="s">
        <v>52</v>
      </c>
      <c r="G44" s="43" t="s">
        <v>108</v>
      </c>
      <c r="H44" s="43" t="s">
        <v>109</v>
      </c>
      <c r="I44" s="43" t="s">
        <v>52</v>
      </c>
      <c r="J44" s="44"/>
      <c r="K44" s="54">
        <v>24</v>
      </c>
      <c r="L44" s="54">
        <v>24</v>
      </c>
      <c r="M44" s="54">
        <v>0</v>
      </c>
      <c r="N44" s="54">
        <v>0</v>
      </c>
      <c r="O44" s="54">
        <v>24</v>
      </c>
      <c r="P44" s="55">
        <v>0.01</v>
      </c>
      <c r="Q44" s="61">
        <v>0.17</v>
      </c>
      <c r="R44" s="60"/>
      <c r="S44" s="61">
        <v>0.17</v>
      </c>
    </row>
    <row r="45" ht="20" customHeight="1" spans="1:19">
      <c r="A45" s="43" t="s">
        <v>140</v>
      </c>
      <c r="B45" s="43" t="s">
        <v>141</v>
      </c>
      <c r="C45" s="44"/>
      <c r="D45" s="43" t="s">
        <v>52</v>
      </c>
      <c r="E45" s="43" t="s">
        <v>142</v>
      </c>
      <c r="F45" s="43" t="s">
        <v>52</v>
      </c>
      <c r="G45" s="43" t="s">
        <v>108</v>
      </c>
      <c r="H45" s="43" t="s">
        <v>109</v>
      </c>
      <c r="I45" s="43" t="s">
        <v>52</v>
      </c>
      <c r="J45" s="44"/>
      <c r="K45" s="54">
        <v>156</v>
      </c>
      <c r="L45" s="54">
        <v>156</v>
      </c>
      <c r="M45" s="54">
        <v>0</v>
      </c>
      <c r="N45" s="54">
        <v>0</v>
      </c>
      <c r="O45" s="54">
        <v>156</v>
      </c>
      <c r="P45" s="55">
        <v>0.01</v>
      </c>
      <c r="Q45" s="61">
        <v>1.14</v>
      </c>
      <c r="R45" s="60"/>
      <c r="S45" s="61">
        <v>1.14</v>
      </c>
    </row>
    <row r="46" ht="20" customHeight="1" spans="1:19">
      <c r="A46" s="43" t="s">
        <v>140</v>
      </c>
      <c r="B46" s="43" t="s">
        <v>141</v>
      </c>
      <c r="C46" s="44"/>
      <c r="D46" s="43" t="s">
        <v>52</v>
      </c>
      <c r="E46" s="43" t="s">
        <v>142</v>
      </c>
      <c r="F46" s="43" t="s">
        <v>52</v>
      </c>
      <c r="G46" s="43" t="s">
        <v>108</v>
      </c>
      <c r="H46" s="43" t="s">
        <v>109</v>
      </c>
      <c r="I46" s="43" t="s">
        <v>52</v>
      </c>
      <c r="J46" s="44"/>
      <c r="K46" s="54">
        <v>19224</v>
      </c>
      <c r="L46" s="54">
        <v>19224</v>
      </c>
      <c r="M46" s="54">
        <v>0</v>
      </c>
      <c r="N46" s="54">
        <v>0</v>
      </c>
      <c r="O46" s="54">
        <v>19224</v>
      </c>
      <c r="P46" s="55">
        <v>0.01</v>
      </c>
      <c r="Q46" s="61">
        <v>139.95</v>
      </c>
      <c r="R46" s="60"/>
      <c r="S46" s="61">
        <v>139.95</v>
      </c>
    </row>
    <row r="47" ht="20" customHeight="1" spans="1:19">
      <c r="A47" s="43" t="s">
        <v>97</v>
      </c>
      <c r="B47" s="43" t="s">
        <v>102</v>
      </c>
      <c r="C47" s="44"/>
      <c r="D47" s="43" t="s">
        <v>52</v>
      </c>
      <c r="E47" s="43" t="s">
        <v>99</v>
      </c>
      <c r="F47" s="43" t="s">
        <v>52</v>
      </c>
      <c r="G47" s="43" t="s">
        <v>100</v>
      </c>
      <c r="H47" s="43" t="s">
        <v>101</v>
      </c>
      <c r="I47" s="43" t="s">
        <v>52</v>
      </c>
      <c r="J47" s="44"/>
      <c r="K47" s="54">
        <v>1092</v>
      </c>
      <c r="L47" s="54">
        <v>0</v>
      </c>
      <c r="M47" s="54">
        <v>1092</v>
      </c>
      <c r="N47" s="54">
        <v>0</v>
      </c>
      <c r="O47" s="54">
        <v>1092</v>
      </c>
      <c r="P47" s="55">
        <v>0.11</v>
      </c>
      <c r="Q47" s="61">
        <v>123.57</v>
      </c>
      <c r="R47" s="60"/>
      <c r="S47" s="61">
        <v>123.57</v>
      </c>
    </row>
    <row r="48" ht="20" customHeight="1" spans="1:19">
      <c r="A48" s="43" t="s">
        <v>97</v>
      </c>
      <c r="B48" s="43" t="s">
        <v>102</v>
      </c>
      <c r="C48" s="44"/>
      <c r="D48" s="43" t="s">
        <v>52</v>
      </c>
      <c r="E48" s="43" t="s">
        <v>99</v>
      </c>
      <c r="F48" s="43" t="s">
        <v>52</v>
      </c>
      <c r="G48" s="43" t="s">
        <v>100</v>
      </c>
      <c r="H48" s="43" t="s">
        <v>101</v>
      </c>
      <c r="I48" s="43" t="s">
        <v>52</v>
      </c>
      <c r="J48" s="44"/>
      <c r="K48" s="54">
        <v>3</v>
      </c>
      <c r="L48" s="54">
        <v>0</v>
      </c>
      <c r="M48" s="54">
        <v>3</v>
      </c>
      <c r="N48" s="54">
        <v>0</v>
      </c>
      <c r="O48" s="54">
        <v>3</v>
      </c>
      <c r="P48" s="55">
        <v>0.11</v>
      </c>
      <c r="Q48" s="61">
        <v>0.34</v>
      </c>
      <c r="R48" s="60"/>
      <c r="S48" s="61">
        <v>0.34</v>
      </c>
    </row>
    <row r="49" ht="20" customHeight="1" spans="1:19">
      <c r="A49" s="43" t="s">
        <v>97</v>
      </c>
      <c r="B49" s="43" t="s">
        <v>102</v>
      </c>
      <c r="C49" s="44"/>
      <c r="D49" s="43" t="s">
        <v>52</v>
      </c>
      <c r="E49" s="43" t="s">
        <v>99</v>
      </c>
      <c r="F49" s="43" t="s">
        <v>52</v>
      </c>
      <c r="G49" s="43" t="s">
        <v>100</v>
      </c>
      <c r="H49" s="43" t="s">
        <v>101</v>
      </c>
      <c r="I49" s="43" t="s">
        <v>52</v>
      </c>
      <c r="J49" s="44"/>
      <c r="K49" s="54">
        <v>4</v>
      </c>
      <c r="L49" s="54">
        <v>0</v>
      </c>
      <c r="M49" s="54">
        <v>4</v>
      </c>
      <c r="N49" s="54">
        <v>0</v>
      </c>
      <c r="O49" s="54">
        <v>4</v>
      </c>
      <c r="P49" s="55">
        <v>0.11</v>
      </c>
      <c r="Q49" s="61">
        <v>0.45</v>
      </c>
      <c r="R49" s="60"/>
      <c r="S49" s="61">
        <v>0.45</v>
      </c>
    </row>
    <row r="50" ht="20" customHeight="1" spans="1:19">
      <c r="A50" s="43" t="s">
        <v>97</v>
      </c>
      <c r="B50" s="43" t="s">
        <v>102</v>
      </c>
      <c r="C50" s="44"/>
      <c r="D50" s="43" t="s">
        <v>52</v>
      </c>
      <c r="E50" s="43" t="s">
        <v>99</v>
      </c>
      <c r="F50" s="43" t="s">
        <v>52</v>
      </c>
      <c r="G50" s="43" t="s">
        <v>100</v>
      </c>
      <c r="H50" s="43" t="s">
        <v>101</v>
      </c>
      <c r="I50" s="43" t="s">
        <v>52</v>
      </c>
      <c r="J50" s="44"/>
      <c r="K50" s="54">
        <v>1</v>
      </c>
      <c r="L50" s="54">
        <v>0</v>
      </c>
      <c r="M50" s="54">
        <v>1</v>
      </c>
      <c r="N50" s="54">
        <v>0</v>
      </c>
      <c r="O50" s="54">
        <v>1</v>
      </c>
      <c r="P50" s="55">
        <v>0.11</v>
      </c>
      <c r="Q50" s="61">
        <v>0.11</v>
      </c>
      <c r="R50" s="60"/>
      <c r="S50" s="61">
        <v>0.11</v>
      </c>
    </row>
    <row r="51" ht="20" customHeight="1" spans="1:19">
      <c r="A51" s="43" t="s">
        <v>97</v>
      </c>
      <c r="B51" s="43" t="s">
        <v>102</v>
      </c>
      <c r="C51" s="44"/>
      <c r="D51" s="43" t="s">
        <v>52</v>
      </c>
      <c r="E51" s="43" t="s">
        <v>99</v>
      </c>
      <c r="F51" s="43" t="s">
        <v>52</v>
      </c>
      <c r="G51" s="43" t="s">
        <v>103</v>
      </c>
      <c r="H51" s="43" t="s">
        <v>104</v>
      </c>
      <c r="I51" s="43" t="s">
        <v>52</v>
      </c>
      <c r="J51" s="44"/>
      <c r="K51" s="54">
        <v>56</v>
      </c>
      <c r="L51" s="54">
        <v>0</v>
      </c>
      <c r="M51" s="54">
        <v>56</v>
      </c>
      <c r="N51" s="54">
        <v>0</v>
      </c>
      <c r="O51" s="54">
        <v>56</v>
      </c>
      <c r="P51" s="55">
        <v>0.02</v>
      </c>
      <c r="Q51" s="61">
        <v>1.08</v>
      </c>
      <c r="R51" s="60"/>
      <c r="S51" s="61">
        <v>1.08</v>
      </c>
    </row>
    <row r="52" ht="20" customHeight="1" spans="1:19">
      <c r="A52" s="43" t="s">
        <v>97</v>
      </c>
      <c r="B52" s="43" t="s">
        <v>102</v>
      </c>
      <c r="C52" s="44"/>
      <c r="D52" s="43" t="s">
        <v>52</v>
      </c>
      <c r="E52" s="43" t="s">
        <v>99</v>
      </c>
      <c r="F52" s="43" t="s">
        <v>52</v>
      </c>
      <c r="G52" s="43" t="s">
        <v>103</v>
      </c>
      <c r="H52" s="43" t="s">
        <v>104</v>
      </c>
      <c r="I52" s="43" t="s">
        <v>52</v>
      </c>
      <c r="J52" s="44"/>
      <c r="K52" s="54">
        <v>14148</v>
      </c>
      <c r="L52" s="54">
        <v>0</v>
      </c>
      <c r="M52" s="54">
        <v>14148</v>
      </c>
      <c r="N52" s="54">
        <v>0</v>
      </c>
      <c r="O52" s="54">
        <v>14148</v>
      </c>
      <c r="P52" s="55">
        <v>0.02</v>
      </c>
      <c r="Q52" s="61">
        <v>272.75</v>
      </c>
      <c r="R52" s="60"/>
      <c r="S52" s="61">
        <v>272.75</v>
      </c>
    </row>
    <row r="53" ht="20" customHeight="1" spans="1:19">
      <c r="A53" s="43" t="s">
        <v>97</v>
      </c>
      <c r="B53" s="43" t="s">
        <v>102</v>
      </c>
      <c r="C53" s="44"/>
      <c r="D53" s="43" t="s">
        <v>52</v>
      </c>
      <c r="E53" s="43" t="s">
        <v>99</v>
      </c>
      <c r="F53" s="43" t="s">
        <v>52</v>
      </c>
      <c r="G53" s="43" t="s">
        <v>103</v>
      </c>
      <c r="H53" s="43" t="s">
        <v>104</v>
      </c>
      <c r="I53" s="43" t="s">
        <v>52</v>
      </c>
      <c r="J53" s="44"/>
      <c r="K53" s="54">
        <v>4</v>
      </c>
      <c r="L53" s="54">
        <v>0</v>
      </c>
      <c r="M53" s="54">
        <v>4</v>
      </c>
      <c r="N53" s="54">
        <v>0</v>
      </c>
      <c r="O53" s="54">
        <v>4</v>
      </c>
      <c r="P53" s="55">
        <v>0.02</v>
      </c>
      <c r="Q53" s="61">
        <v>0.08</v>
      </c>
      <c r="R53" s="60"/>
      <c r="S53" s="61">
        <v>0.08</v>
      </c>
    </row>
    <row r="54" ht="13" customHeight="1" spans="1:19">
      <c r="A54" s="47" t="s">
        <v>143</v>
      </c>
      <c r="B54" s="48"/>
      <c r="C54" s="48"/>
      <c r="D54" s="48"/>
      <c r="E54" s="48"/>
      <c r="F54" s="48"/>
      <c r="G54" s="48"/>
      <c r="H54" s="48"/>
      <c r="I54" s="48"/>
      <c r="J54" s="56"/>
      <c r="K54" s="47" t="s">
        <v>144</v>
      </c>
      <c r="L54" s="57">
        <v>60462</v>
      </c>
      <c r="M54" s="58">
        <v>15308</v>
      </c>
      <c r="N54" s="58">
        <v>0</v>
      </c>
      <c r="O54" s="58">
        <v>75770</v>
      </c>
      <c r="P54" s="59" t="s">
        <v>52</v>
      </c>
      <c r="Q54" s="62"/>
      <c r="R54" s="62"/>
      <c r="S54" s="63">
        <v>1019.6</v>
      </c>
    </row>
    <row r="55" ht="19" customHeight="1" spans="1:19">
      <c r="A55" s="43" t="s">
        <v>145</v>
      </c>
      <c r="B55" s="44"/>
      <c r="C55" s="44"/>
      <c r="D55" s="49" t="s">
        <v>146</v>
      </c>
      <c r="E55" s="50" t="s">
        <v>147</v>
      </c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56"/>
      <c r="S55" s="56"/>
    </row>
    <row r="56" ht="19" customHeight="1" spans="1:19">
      <c r="A56" s="49" t="s">
        <v>146</v>
      </c>
      <c r="B56" s="51"/>
      <c r="C56" s="51"/>
      <c r="D56" s="49" t="s">
        <v>146</v>
      </c>
      <c r="E56" s="49" t="s">
        <v>119</v>
      </c>
      <c r="F56" s="52">
        <v>700</v>
      </c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56"/>
      <c r="S56" s="56"/>
    </row>
    <row r="57" ht="12" customHeight="1" spans="1:19">
      <c r="A57" s="46" t="s">
        <v>52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56"/>
      <c r="S57" s="56"/>
    </row>
    <row r="58" ht="14" customHeight="1" spans="1:19">
      <c r="A58" s="43" t="s">
        <v>67</v>
      </c>
      <c r="B58" s="44"/>
      <c r="C58" s="44"/>
      <c r="D58" s="45" t="s">
        <v>124</v>
      </c>
      <c r="E58" s="43" t="s">
        <v>69</v>
      </c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ht="14" customHeight="1" spans="1:19">
      <c r="A59" s="43" t="s">
        <v>70</v>
      </c>
      <c r="B59" s="44"/>
      <c r="C59" s="44"/>
      <c r="D59" s="45" t="s">
        <v>124</v>
      </c>
      <c r="E59" s="43" t="s">
        <v>71</v>
      </c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 ht="14" customHeight="1" spans="1:19">
      <c r="A60" s="43" t="s">
        <v>82</v>
      </c>
      <c r="B60" s="44"/>
      <c r="C60" s="44"/>
      <c r="D60" s="45" t="s">
        <v>124</v>
      </c>
      <c r="E60" s="43" t="s">
        <v>83</v>
      </c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 ht="14" customHeight="1" spans="1:19">
      <c r="A61" s="43" t="s">
        <v>72</v>
      </c>
      <c r="B61" s="44"/>
      <c r="C61" s="44"/>
      <c r="D61" s="45" t="s">
        <v>124</v>
      </c>
      <c r="E61" s="43" t="s">
        <v>125</v>
      </c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 ht="14" customHeight="1" spans="1:19">
      <c r="A62" s="43" t="s">
        <v>126</v>
      </c>
      <c r="B62" s="44"/>
      <c r="C62" s="44"/>
      <c r="D62" s="45" t="s">
        <v>124</v>
      </c>
      <c r="E62" s="43" t="s">
        <v>149</v>
      </c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 ht="14" customHeight="1" spans="1:19">
      <c r="A63" s="43" t="s">
        <v>76</v>
      </c>
      <c r="B63" s="44"/>
      <c r="C63" s="44"/>
      <c r="D63" s="45" t="s">
        <v>124</v>
      </c>
      <c r="E63" s="43" t="s">
        <v>77</v>
      </c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 ht="14" customHeight="1" spans="1:19">
      <c r="A64" s="43" t="s">
        <v>78</v>
      </c>
      <c r="B64" s="44"/>
      <c r="C64" s="44"/>
      <c r="D64" s="45" t="s">
        <v>124</v>
      </c>
      <c r="E64" s="43" t="s">
        <v>79</v>
      </c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 ht="14" customHeight="1" spans="1:19">
      <c r="A65" s="43" t="s">
        <v>80</v>
      </c>
      <c r="B65" s="44"/>
      <c r="C65" s="44"/>
      <c r="D65" s="45" t="s">
        <v>124</v>
      </c>
      <c r="E65" s="43" t="s">
        <v>81</v>
      </c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ht="17" customHeight="1" spans="1:19">
      <c r="A66" s="46" t="s">
        <v>52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</row>
    <row r="67" ht="14" customHeight="1" spans="1:19">
      <c r="A67" s="43" t="s">
        <v>84</v>
      </c>
      <c r="B67" s="43" t="s">
        <v>85</v>
      </c>
      <c r="C67" s="44"/>
      <c r="D67" s="43" t="s">
        <v>52</v>
      </c>
      <c r="E67" s="43" t="s">
        <v>87</v>
      </c>
      <c r="F67" s="43" t="s">
        <v>88</v>
      </c>
      <c r="G67" s="43" t="s">
        <v>89</v>
      </c>
      <c r="H67" s="43" t="s">
        <v>90</v>
      </c>
      <c r="I67" s="43" t="s">
        <v>91</v>
      </c>
      <c r="J67" s="44"/>
      <c r="K67" s="53" t="s">
        <v>128</v>
      </c>
      <c r="L67" s="53" t="s">
        <v>129</v>
      </c>
      <c r="M67" s="53" t="s">
        <v>130</v>
      </c>
      <c r="N67" s="53" t="s">
        <v>131</v>
      </c>
      <c r="O67" s="53" t="s">
        <v>132</v>
      </c>
      <c r="P67" s="53" t="s">
        <v>93</v>
      </c>
      <c r="Q67" s="53" t="s">
        <v>94</v>
      </c>
      <c r="R67" s="60"/>
      <c r="S67" s="53" t="s">
        <v>133</v>
      </c>
    </row>
    <row r="68" ht="20" customHeight="1" spans="1:19">
      <c r="A68" s="43" t="s">
        <v>134</v>
      </c>
      <c r="B68" s="43" t="s">
        <v>135</v>
      </c>
      <c r="C68" s="44"/>
      <c r="D68" s="43" t="s">
        <v>52</v>
      </c>
      <c r="E68" s="43" t="s">
        <v>136</v>
      </c>
      <c r="F68" s="43" t="s">
        <v>52</v>
      </c>
      <c r="G68" s="43" t="s">
        <v>108</v>
      </c>
      <c r="H68" s="43" t="s">
        <v>109</v>
      </c>
      <c r="I68" s="43" t="s">
        <v>52</v>
      </c>
      <c r="J68" s="44"/>
      <c r="K68" s="54">
        <v>144</v>
      </c>
      <c r="L68" s="54">
        <v>144</v>
      </c>
      <c r="M68" s="54">
        <v>0</v>
      </c>
      <c r="N68" s="54">
        <v>0</v>
      </c>
      <c r="O68" s="54">
        <v>144</v>
      </c>
      <c r="P68" s="55">
        <v>0.01</v>
      </c>
      <c r="Q68" s="61">
        <v>1.05</v>
      </c>
      <c r="R68" s="60"/>
      <c r="S68" s="61">
        <v>1.05</v>
      </c>
    </row>
    <row r="69" ht="20" customHeight="1" spans="1:19">
      <c r="A69" s="43" t="s">
        <v>134</v>
      </c>
      <c r="B69" s="43" t="s">
        <v>135</v>
      </c>
      <c r="C69" s="44"/>
      <c r="D69" s="43" t="s">
        <v>52</v>
      </c>
      <c r="E69" s="43" t="s">
        <v>136</v>
      </c>
      <c r="F69" s="43" t="s">
        <v>52</v>
      </c>
      <c r="G69" s="43" t="s">
        <v>108</v>
      </c>
      <c r="H69" s="43" t="s">
        <v>109</v>
      </c>
      <c r="I69" s="43" t="s">
        <v>52</v>
      </c>
      <c r="J69" s="44"/>
      <c r="K69" s="54">
        <v>4752</v>
      </c>
      <c r="L69" s="54">
        <v>4752</v>
      </c>
      <c r="M69" s="54">
        <v>0</v>
      </c>
      <c r="N69" s="54">
        <v>0</v>
      </c>
      <c r="O69" s="54">
        <v>4752</v>
      </c>
      <c r="P69" s="55">
        <v>0.01</v>
      </c>
      <c r="Q69" s="61">
        <v>34.59</v>
      </c>
      <c r="R69" s="60"/>
      <c r="S69" s="61">
        <v>34.59</v>
      </c>
    </row>
    <row r="70" ht="20" customHeight="1" spans="1:19">
      <c r="A70" s="43" t="s">
        <v>134</v>
      </c>
      <c r="B70" s="43" t="s">
        <v>135</v>
      </c>
      <c r="C70" s="44"/>
      <c r="D70" s="43" t="s">
        <v>52</v>
      </c>
      <c r="E70" s="43" t="s">
        <v>136</v>
      </c>
      <c r="F70" s="43" t="s">
        <v>52</v>
      </c>
      <c r="G70" s="43" t="s">
        <v>108</v>
      </c>
      <c r="H70" s="43" t="s">
        <v>109</v>
      </c>
      <c r="I70" s="43" t="s">
        <v>52</v>
      </c>
      <c r="J70" s="44"/>
      <c r="K70" s="54">
        <v>34272</v>
      </c>
      <c r="L70" s="54">
        <v>34272</v>
      </c>
      <c r="M70" s="54">
        <v>0</v>
      </c>
      <c r="N70" s="54">
        <v>0</v>
      </c>
      <c r="O70" s="54">
        <v>34272</v>
      </c>
      <c r="P70" s="55">
        <v>0.01</v>
      </c>
      <c r="Q70" s="61">
        <v>249.5</v>
      </c>
      <c r="R70" s="60"/>
      <c r="S70" s="61">
        <v>249.5</v>
      </c>
    </row>
    <row r="71" ht="20" customHeight="1" spans="1:19">
      <c r="A71" s="43" t="s">
        <v>137</v>
      </c>
      <c r="B71" s="43" t="s">
        <v>138</v>
      </c>
      <c r="C71" s="44"/>
      <c r="D71" s="43" t="s">
        <v>52</v>
      </c>
      <c r="E71" s="43" t="s">
        <v>139</v>
      </c>
      <c r="F71" s="43" t="s">
        <v>52</v>
      </c>
      <c r="G71" s="43" t="s">
        <v>100</v>
      </c>
      <c r="H71" s="43" t="s">
        <v>101</v>
      </c>
      <c r="I71" s="43" t="s">
        <v>52</v>
      </c>
      <c r="J71" s="44"/>
      <c r="K71" s="54">
        <v>10</v>
      </c>
      <c r="L71" s="54">
        <v>10</v>
      </c>
      <c r="M71" s="54">
        <v>0</v>
      </c>
      <c r="N71" s="54">
        <v>0</v>
      </c>
      <c r="O71" s="54">
        <v>10</v>
      </c>
      <c r="P71" s="55">
        <v>0.11</v>
      </c>
      <c r="Q71" s="61">
        <v>1.13</v>
      </c>
      <c r="R71" s="60"/>
      <c r="S71" s="61">
        <v>1.13</v>
      </c>
    </row>
    <row r="72" ht="20" customHeight="1" spans="1:19">
      <c r="A72" s="43" t="s">
        <v>137</v>
      </c>
      <c r="B72" s="43" t="s">
        <v>138</v>
      </c>
      <c r="C72" s="44"/>
      <c r="D72" s="43" t="s">
        <v>52</v>
      </c>
      <c r="E72" s="43" t="s">
        <v>139</v>
      </c>
      <c r="F72" s="43" t="s">
        <v>52</v>
      </c>
      <c r="G72" s="43" t="s">
        <v>100</v>
      </c>
      <c r="H72" s="43" t="s">
        <v>101</v>
      </c>
      <c r="I72" s="43" t="s">
        <v>52</v>
      </c>
      <c r="J72" s="44"/>
      <c r="K72" s="54">
        <v>1692</v>
      </c>
      <c r="L72" s="54">
        <v>1692</v>
      </c>
      <c r="M72" s="54">
        <v>0</v>
      </c>
      <c r="N72" s="54">
        <v>0</v>
      </c>
      <c r="O72" s="54">
        <v>1692</v>
      </c>
      <c r="P72" s="55">
        <v>0.11</v>
      </c>
      <c r="Q72" s="61">
        <v>191.47</v>
      </c>
      <c r="R72" s="60"/>
      <c r="S72" s="61">
        <v>191.47</v>
      </c>
    </row>
    <row r="73" ht="20" customHeight="1" spans="1:19">
      <c r="A73" s="43" t="s">
        <v>137</v>
      </c>
      <c r="B73" s="43" t="s">
        <v>138</v>
      </c>
      <c r="C73" s="44"/>
      <c r="D73" s="43" t="s">
        <v>52</v>
      </c>
      <c r="E73" s="43" t="s">
        <v>139</v>
      </c>
      <c r="F73" s="43" t="s">
        <v>52</v>
      </c>
      <c r="G73" s="43" t="s">
        <v>100</v>
      </c>
      <c r="H73" s="43" t="s">
        <v>101</v>
      </c>
      <c r="I73" s="43" t="s">
        <v>52</v>
      </c>
      <c r="J73" s="44"/>
      <c r="K73" s="54">
        <v>8</v>
      </c>
      <c r="L73" s="54">
        <v>8</v>
      </c>
      <c r="M73" s="54">
        <v>0</v>
      </c>
      <c r="N73" s="54">
        <v>0</v>
      </c>
      <c r="O73" s="54">
        <v>8</v>
      </c>
      <c r="P73" s="55">
        <v>0.11</v>
      </c>
      <c r="Q73" s="61">
        <v>0.91</v>
      </c>
      <c r="R73" s="60"/>
      <c r="S73" s="61">
        <v>0.91</v>
      </c>
    </row>
    <row r="74" ht="20" customHeight="1" spans="1:19">
      <c r="A74" s="43" t="s">
        <v>140</v>
      </c>
      <c r="B74" s="43" t="s">
        <v>141</v>
      </c>
      <c r="C74" s="44"/>
      <c r="D74" s="43" t="s">
        <v>52</v>
      </c>
      <c r="E74" s="43" t="s">
        <v>142</v>
      </c>
      <c r="F74" s="43" t="s">
        <v>52</v>
      </c>
      <c r="G74" s="43" t="s">
        <v>108</v>
      </c>
      <c r="H74" s="43" t="s">
        <v>109</v>
      </c>
      <c r="I74" s="43" t="s">
        <v>52</v>
      </c>
      <c r="J74" s="44"/>
      <c r="K74" s="54">
        <v>180</v>
      </c>
      <c r="L74" s="54">
        <v>180</v>
      </c>
      <c r="M74" s="54">
        <v>0</v>
      </c>
      <c r="N74" s="54">
        <v>0</v>
      </c>
      <c r="O74" s="54">
        <v>180</v>
      </c>
      <c r="P74" s="55">
        <v>0.01</v>
      </c>
      <c r="Q74" s="61">
        <v>1.31</v>
      </c>
      <c r="R74" s="60"/>
      <c r="S74" s="61">
        <v>1.31</v>
      </c>
    </row>
    <row r="75" ht="20" customHeight="1" spans="1:19">
      <c r="A75" s="43" t="s">
        <v>140</v>
      </c>
      <c r="B75" s="43" t="s">
        <v>141</v>
      </c>
      <c r="C75" s="44"/>
      <c r="D75" s="43" t="s">
        <v>52</v>
      </c>
      <c r="E75" s="43" t="s">
        <v>142</v>
      </c>
      <c r="F75" s="43" t="s">
        <v>52</v>
      </c>
      <c r="G75" s="43" t="s">
        <v>108</v>
      </c>
      <c r="H75" s="43" t="s">
        <v>109</v>
      </c>
      <c r="I75" s="43" t="s">
        <v>52</v>
      </c>
      <c r="J75" s="44"/>
      <c r="K75" s="54">
        <v>24</v>
      </c>
      <c r="L75" s="54">
        <v>24</v>
      </c>
      <c r="M75" s="54">
        <v>0</v>
      </c>
      <c r="N75" s="54">
        <v>0</v>
      </c>
      <c r="O75" s="54">
        <v>24</v>
      </c>
      <c r="P75" s="55">
        <v>0.01</v>
      </c>
      <c r="Q75" s="61">
        <v>0.17</v>
      </c>
      <c r="R75" s="60"/>
      <c r="S75" s="61">
        <v>0.17</v>
      </c>
    </row>
    <row r="76" ht="20" customHeight="1" spans="1:19">
      <c r="A76" s="43" t="s">
        <v>140</v>
      </c>
      <c r="B76" s="43" t="s">
        <v>141</v>
      </c>
      <c r="C76" s="44"/>
      <c r="D76" s="43" t="s">
        <v>52</v>
      </c>
      <c r="E76" s="43" t="s">
        <v>142</v>
      </c>
      <c r="F76" s="43" t="s">
        <v>52</v>
      </c>
      <c r="G76" s="43" t="s">
        <v>108</v>
      </c>
      <c r="H76" s="43" t="s">
        <v>109</v>
      </c>
      <c r="I76" s="43" t="s">
        <v>52</v>
      </c>
      <c r="J76" s="44"/>
      <c r="K76" s="54">
        <v>156</v>
      </c>
      <c r="L76" s="54">
        <v>156</v>
      </c>
      <c r="M76" s="54">
        <v>0</v>
      </c>
      <c r="N76" s="54">
        <v>0</v>
      </c>
      <c r="O76" s="54">
        <v>156</v>
      </c>
      <c r="P76" s="55">
        <v>0.01</v>
      </c>
      <c r="Q76" s="61">
        <v>1.14</v>
      </c>
      <c r="R76" s="60"/>
      <c r="S76" s="61">
        <v>1.14</v>
      </c>
    </row>
    <row r="77" ht="20" customHeight="1" spans="1:19">
      <c r="A77" s="43" t="s">
        <v>140</v>
      </c>
      <c r="B77" s="43" t="s">
        <v>141</v>
      </c>
      <c r="C77" s="44"/>
      <c r="D77" s="43" t="s">
        <v>52</v>
      </c>
      <c r="E77" s="43" t="s">
        <v>142</v>
      </c>
      <c r="F77" s="43" t="s">
        <v>52</v>
      </c>
      <c r="G77" s="43" t="s">
        <v>108</v>
      </c>
      <c r="H77" s="43" t="s">
        <v>109</v>
      </c>
      <c r="I77" s="43" t="s">
        <v>52</v>
      </c>
      <c r="J77" s="44"/>
      <c r="K77" s="54">
        <v>19224</v>
      </c>
      <c r="L77" s="54">
        <v>19224</v>
      </c>
      <c r="M77" s="54">
        <v>0</v>
      </c>
      <c r="N77" s="54">
        <v>0</v>
      </c>
      <c r="O77" s="54">
        <v>19224</v>
      </c>
      <c r="P77" s="55">
        <v>0.01</v>
      </c>
      <c r="Q77" s="61">
        <v>139.95</v>
      </c>
      <c r="R77" s="60"/>
      <c r="S77" s="61">
        <v>139.95</v>
      </c>
    </row>
    <row r="78" ht="20" customHeight="1" spans="1:19">
      <c r="A78" s="43" t="s">
        <v>97</v>
      </c>
      <c r="B78" s="43" t="s">
        <v>102</v>
      </c>
      <c r="C78" s="44"/>
      <c r="D78" s="43" t="s">
        <v>52</v>
      </c>
      <c r="E78" s="43" t="s">
        <v>99</v>
      </c>
      <c r="F78" s="43" t="s">
        <v>52</v>
      </c>
      <c r="G78" s="43" t="s">
        <v>100</v>
      </c>
      <c r="H78" s="43" t="s">
        <v>101</v>
      </c>
      <c r="I78" s="43" t="s">
        <v>52</v>
      </c>
      <c r="J78" s="44"/>
      <c r="K78" s="54">
        <v>4</v>
      </c>
      <c r="L78" s="54">
        <v>4</v>
      </c>
      <c r="M78" s="54">
        <v>0</v>
      </c>
      <c r="N78" s="54">
        <v>0</v>
      </c>
      <c r="O78" s="54">
        <v>4</v>
      </c>
      <c r="P78" s="55">
        <v>0.11</v>
      </c>
      <c r="Q78" s="61">
        <v>0.45</v>
      </c>
      <c r="R78" s="60"/>
      <c r="S78" s="61">
        <v>0.45</v>
      </c>
    </row>
    <row r="79" ht="20" customHeight="1" spans="1:19">
      <c r="A79" s="43" t="s">
        <v>97</v>
      </c>
      <c r="B79" s="43" t="s">
        <v>102</v>
      </c>
      <c r="C79" s="44"/>
      <c r="D79" s="43" t="s">
        <v>52</v>
      </c>
      <c r="E79" s="43" t="s">
        <v>99</v>
      </c>
      <c r="F79" s="43" t="s">
        <v>52</v>
      </c>
      <c r="G79" s="43" t="s">
        <v>100</v>
      </c>
      <c r="H79" s="43" t="s">
        <v>101</v>
      </c>
      <c r="I79" s="43" t="s">
        <v>52</v>
      </c>
      <c r="J79" s="44"/>
      <c r="K79" s="54">
        <v>1092</v>
      </c>
      <c r="L79" s="54">
        <v>1092</v>
      </c>
      <c r="M79" s="54">
        <v>0</v>
      </c>
      <c r="N79" s="54">
        <v>0</v>
      </c>
      <c r="O79" s="54">
        <v>1092</v>
      </c>
      <c r="P79" s="55">
        <v>0.11</v>
      </c>
      <c r="Q79" s="61">
        <v>123.57</v>
      </c>
      <c r="R79" s="60"/>
      <c r="S79" s="61">
        <v>123.57</v>
      </c>
    </row>
    <row r="80" ht="20" customHeight="1" spans="1:19">
      <c r="A80" s="43" t="s">
        <v>97</v>
      </c>
      <c r="B80" s="43" t="s">
        <v>102</v>
      </c>
      <c r="C80" s="44"/>
      <c r="D80" s="43" t="s">
        <v>52</v>
      </c>
      <c r="E80" s="43" t="s">
        <v>99</v>
      </c>
      <c r="F80" s="43" t="s">
        <v>52</v>
      </c>
      <c r="G80" s="43" t="s">
        <v>100</v>
      </c>
      <c r="H80" s="43" t="s">
        <v>101</v>
      </c>
      <c r="I80" s="43" t="s">
        <v>52</v>
      </c>
      <c r="J80" s="44"/>
      <c r="K80" s="54">
        <v>3</v>
      </c>
      <c r="L80" s="54">
        <v>3</v>
      </c>
      <c r="M80" s="54">
        <v>0</v>
      </c>
      <c r="N80" s="54">
        <v>0</v>
      </c>
      <c r="O80" s="54">
        <v>3</v>
      </c>
      <c r="P80" s="55">
        <v>0.11</v>
      </c>
      <c r="Q80" s="61">
        <v>0.34</v>
      </c>
      <c r="R80" s="60"/>
      <c r="S80" s="61">
        <v>0.34</v>
      </c>
    </row>
    <row r="81" ht="20" customHeight="1" spans="1:19">
      <c r="A81" s="43" t="s">
        <v>97</v>
      </c>
      <c r="B81" s="43" t="s">
        <v>102</v>
      </c>
      <c r="C81" s="44"/>
      <c r="D81" s="43" t="s">
        <v>52</v>
      </c>
      <c r="E81" s="43" t="s">
        <v>99</v>
      </c>
      <c r="F81" s="43" t="s">
        <v>52</v>
      </c>
      <c r="G81" s="43" t="s">
        <v>100</v>
      </c>
      <c r="H81" s="43" t="s">
        <v>101</v>
      </c>
      <c r="I81" s="43" t="s">
        <v>52</v>
      </c>
      <c r="J81" s="44"/>
      <c r="K81" s="54">
        <v>1</v>
      </c>
      <c r="L81" s="54">
        <v>1</v>
      </c>
      <c r="M81" s="54">
        <v>0</v>
      </c>
      <c r="N81" s="54">
        <v>0</v>
      </c>
      <c r="O81" s="54">
        <v>1</v>
      </c>
      <c r="P81" s="55">
        <v>0.11</v>
      </c>
      <c r="Q81" s="61">
        <v>0.11</v>
      </c>
      <c r="R81" s="60"/>
      <c r="S81" s="61">
        <v>0.11</v>
      </c>
    </row>
    <row r="82" ht="20" customHeight="1" spans="1:19">
      <c r="A82" s="43" t="s">
        <v>97</v>
      </c>
      <c r="B82" s="43" t="s">
        <v>102</v>
      </c>
      <c r="C82" s="44"/>
      <c r="D82" s="43" t="s">
        <v>52</v>
      </c>
      <c r="E82" s="43" t="s">
        <v>99</v>
      </c>
      <c r="F82" s="43" t="s">
        <v>52</v>
      </c>
      <c r="G82" s="43" t="s">
        <v>103</v>
      </c>
      <c r="H82" s="43" t="s">
        <v>104</v>
      </c>
      <c r="I82" s="43" t="s">
        <v>52</v>
      </c>
      <c r="J82" s="44"/>
      <c r="K82" s="54">
        <v>4</v>
      </c>
      <c r="L82" s="54">
        <v>4</v>
      </c>
      <c r="M82" s="54">
        <v>0</v>
      </c>
      <c r="N82" s="54">
        <v>0</v>
      </c>
      <c r="O82" s="54">
        <v>4</v>
      </c>
      <c r="P82" s="55">
        <v>0.02</v>
      </c>
      <c r="Q82" s="61">
        <v>0.08</v>
      </c>
      <c r="R82" s="60"/>
      <c r="S82" s="61">
        <v>0.08</v>
      </c>
    </row>
    <row r="83" ht="20" customHeight="1" spans="1:19">
      <c r="A83" s="43" t="s">
        <v>97</v>
      </c>
      <c r="B83" s="43" t="s">
        <v>102</v>
      </c>
      <c r="C83" s="44"/>
      <c r="D83" s="43" t="s">
        <v>52</v>
      </c>
      <c r="E83" s="43" t="s">
        <v>99</v>
      </c>
      <c r="F83" s="43" t="s">
        <v>52</v>
      </c>
      <c r="G83" s="43" t="s">
        <v>103</v>
      </c>
      <c r="H83" s="43" t="s">
        <v>104</v>
      </c>
      <c r="I83" s="43" t="s">
        <v>52</v>
      </c>
      <c r="J83" s="44"/>
      <c r="K83" s="54">
        <v>14148</v>
      </c>
      <c r="L83" s="54">
        <v>14148</v>
      </c>
      <c r="M83" s="54">
        <v>0</v>
      </c>
      <c r="N83" s="54">
        <v>0</v>
      </c>
      <c r="O83" s="54">
        <v>14148</v>
      </c>
      <c r="P83" s="55">
        <v>0.02</v>
      </c>
      <c r="Q83" s="61">
        <v>272.75</v>
      </c>
      <c r="R83" s="60"/>
      <c r="S83" s="61">
        <v>272.75</v>
      </c>
    </row>
    <row r="84" ht="20" customHeight="1" spans="1:19">
      <c r="A84" s="43" t="s">
        <v>97</v>
      </c>
      <c r="B84" s="43" t="s">
        <v>102</v>
      </c>
      <c r="C84" s="44"/>
      <c r="D84" s="43" t="s">
        <v>52</v>
      </c>
      <c r="E84" s="43" t="s">
        <v>99</v>
      </c>
      <c r="F84" s="43" t="s">
        <v>52</v>
      </c>
      <c r="G84" s="43" t="s">
        <v>103</v>
      </c>
      <c r="H84" s="43" t="s">
        <v>104</v>
      </c>
      <c r="I84" s="43" t="s">
        <v>52</v>
      </c>
      <c r="J84" s="44"/>
      <c r="K84" s="54">
        <v>56</v>
      </c>
      <c r="L84" s="54">
        <v>56</v>
      </c>
      <c r="M84" s="54">
        <v>0</v>
      </c>
      <c r="N84" s="54">
        <v>0</v>
      </c>
      <c r="O84" s="54">
        <v>56</v>
      </c>
      <c r="P84" s="55">
        <v>0.02</v>
      </c>
      <c r="Q84" s="61">
        <v>1.08</v>
      </c>
      <c r="R84" s="60"/>
      <c r="S84" s="61">
        <v>1.08</v>
      </c>
    </row>
    <row r="85" ht="20" customHeight="1" spans="1:19">
      <c r="A85" s="43" t="s">
        <v>105</v>
      </c>
      <c r="B85" s="43" t="s">
        <v>106</v>
      </c>
      <c r="C85" s="44"/>
      <c r="D85" s="43" t="s">
        <v>52</v>
      </c>
      <c r="E85" s="43" t="s">
        <v>107</v>
      </c>
      <c r="F85" s="43" t="s">
        <v>52</v>
      </c>
      <c r="G85" s="43" t="s">
        <v>108</v>
      </c>
      <c r="H85" s="43" t="s">
        <v>109</v>
      </c>
      <c r="I85" s="43" t="s">
        <v>52</v>
      </c>
      <c r="J85" s="44"/>
      <c r="K85" s="54">
        <v>180</v>
      </c>
      <c r="L85" s="54">
        <v>0</v>
      </c>
      <c r="M85" s="54">
        <v>180</v>
      </c>
      <c r="N85" s="54">
        <v>0</v>
      </c>
      <c r="O85" s="54">
        <v>180</v>
      </c>
      <c r="P85" s="55">
        <v>0.01</v>
      </c>
      <c r="Q85" s="61">
        <v>1.31</v>
      </c>
      <c r="R85" s="60"/>
      <c r="S85" s="61">
        <v>1.31</v>
      </c>
    </row>
    <row r="86" ht="20" customHeight="1" spans="1:19">
      <c r="A86" s="43" t="s">
        <v>105</v>
      </c>
      <c r="B86" s="43" t="s">
        <v>106</v>
      </c>
      <c r="C86" s="44"/>
      <c r="D86" s="43" t="s">
        <v>52</v>
      </c>
      <c r="E86" s="43" t="s">
        <v>107</v>
      </c>
      <c r="F86" s="43" t="s">
        <v>52</v>
      </c>
      <c r="G86" s="43" t="s">
        <v>108</v>
      </c>
      <c r="H86" s="43" t="s">
        <v>109</v>
      </c>
      <c r="I86" s="43" t="s">
        <v>52</v>
      </c>
      <c r="J86" s="44"/>
      <c r="K86" s="54">
        <v>8640</v>
      </c>
      <c r="L86" s="54">
        <v>0</v>
      </c>
      <c r="M86" s="54">
        <v>8640</v>
      </c>
      <c r="N86" s="54">
        <v>0</v>
      </c>
      <c r="O86" s="54">
        <v>8640</v>
      </c>
      <c r="P86" s="55">
        <v>0.01</v>
      </c>
      <c r="Q86" s="61">
        <v>62.9</v>
      </c>
      <c r="R86" s="60"/>
      <c r="S86" s="61">
        <v>62.9</v>
      </c>
    </row>
    <row r="87" ht="20" customHeight="1" spans="1:19">
      <c r="A87" s="43" t="s">
        <v>105</v>
      </c>
      <c r="B87" s="43" t="s">
        <v>106</v>
      </c>
      <c r="C87" s="44"/>
      <c r="D87" s="43" t="s">
        <v>52</v>
      </c>
      <c r="E87" s="43" t="s">
        <v>107</v>
      </c>
      <c r="F87" s="43" t="s">
        <v>52</v>
      </c>
      <c r="G87" s="43" t="s">
        <v>108</v>
      </c>
      <c r="H87" s="43" t="s">
        <v>109</v>
      </c>
      <c r="I87" s="43" t="s">
        <v>52</v>
      </c>
      <c r="J87" s="44"/>
      <c r="K87" s="54">
        <v>20736</v>
      </c>
      <c r="L87" s="54">
        <v>0</v>
      </c>
      <c r="M87" s="54">
        <v>20736</v>
      </c>
      <c r="N87" s="54">
        <v>0</v>
      </c>
      <c r="O87" s="54">
        <v>20736</v>
      </c>
      <c r="P87" s="55">
        <v>0.01</v>
      </c>
      <c r="Q87" s="61">
        <v>150.96</v>
      </c>
      <c r="R87" s="60"/>
      <c r="S87" s="61">
        <v>150.96</v>
      </c>
    </row>
    <row r="88" ht="20" customHeight="1" spans="1:19">
      <c r="A88" s="43" t="s">
        <v>105</v>
      </c>
      <c r="B88" s="43" t="s">
        <v>106</v>
      </c>
      <c r="C88" s="44"/>
      <c r="D88" s="43" t="s">
        <v>52</v>
      </c>
      <c r="E88" s="43" t="s">
        <v>107</v>
      </c>
      <c r="F88" s="43" t="s">
        <v>52</v>
      </c>
      <c r="G88" s="43" t="s">
        <v>108</v>
      </c>
      <c r="H88" s="43" t="s">
        <v>109</v>
      </c>
      <c r="I88" s="43" t="s">
        <v>52</v>
      </c>
      <c r="J88" s="44"/>
      <c r="K88" s="54">
        <v>9360</v>
      </c>
      <c r="L88" s="54">
        <v>0</v>
      </c>
      <c r="M88" s="54">
        <v>9360</v>
      </c>
      <c r="N88" s="54">
        <v>0</v>
      </c>
      <c r="O88" s="54">
        <v>9360</v>
      </c>
      <c r="P88" s="55">
        <v>0.01</v>
      </c>
      <c r="Q88" s="61">
        <v>68.14</v>
      </c>
      <c r="R88" s="60"/>
      <c r="S88" s="61">
        <v>68.14</v>
      </c>
    </row>
    <row r="89" ht="20" customHeight="1" spans="1:19">
      <c r="A89" s="43" t="s">
        <v>105</v>
      </c>
      <c r="B89" s="43" t="s">
        <v>106</v>
      </c>
      <c r="C89" s="44"/>
      <c r="D89" s="43" t="s">
        <v>52</v>
      </c>
      <c r="E89" s="43" t="s">
        <v>107</v>
      </c>
      <c r="F89" s="43" t="s">
        <v>52</v>
      </c>
      <c r="G89" s="43" t="s">
        <v>108</v>
      </c>
      <c r="H89" s="43" t="s">
        <v>109</v>
      </c>
      <c r="I89" s="43" t="s">
        <v>52</v>
      </c>
      <c r="J89" s="44"/>
      <c r="K89" s="54">
        <v>252</v>
      </c>
      <c r="L89" s="54">
        <v>0</v>
      </c>
      <c r="M89" s="54">
        <v>252</v>
      </c>
      <c r="N89" s="54">
        <v>0</v>
      </c>
      <c r="O89" s="54">
        <v>252</v>
      </c>
      <c r="P89" s="55">
        <v>0.01</v>
      </c>
      <c r="Q89" s="61">
        <v>1.83</v>
      </c>
      <c r="R89" s="60"/>
      <c r="S89" s="61">
        <v>1.83</v>
      </c>
    </row>
    <row r="90" ht="13" customHeight="1" spans="1:19">
      <c r="A90" s="47" t="s">
        <v>143</v>
      </c>
      <c r="B90" s="48"/>
      <c r="C90" s="48"/>
      <c r="D90" s="48"/>
      <c r="E90" s="48"/>
      <c r="F90" s="48"/>
      <c r="G90" s="48"/>
      <c r="H90" s="48"/>
      <c r="I90" s="48"/>
      <c r="J90" s="56"/>
      <c r="K90" s="47" t="s">
        <v>144</v>
      </c>
      <c r="L90" s="57">
        <v>75770</v>
      </c>
      <c r="M90" s="58">
        <v>39168</v>
      </c>
      <c r="N90" s="58">
        <v>0</v>
      </c>
      <c r="O90" s="58">
        <v>114938</v>
      </c>
      <c r="P90" s="59" t="s">
        <v>52</v>
      </c>
      <c r="Q90" s="62"/>
      <c r="R90" s="62"/>
      <c r="S90" s="63">
        <v>1304.74</v>
      </c>
    </row>
    <row r="91" ht="19" customHeight="1" spans="1:19">
      <c r="A91" s="43" t="s">
        <v>145</v>
      </c>
      <c r="B91" s="44"/>
      <c r="C91" s="44"/>
      <c r="D91" s="49" t="s">
        <v>146</v>
      </c>
      <c r="E91" s="50" t="s">
        <v>147</v>
      </c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56"/>
      <c r="S91" s="56"/>
    </row>
    <row r="92" ht="19" customHeight="1" spans="1:19">
      <c r="A92" s="49" t="s">
        <v>146</v>
      </c>
      <c r="B92" s="51"/>
      <c r="C92" s="51"/>
      <c r="D92" s="49" t="s">
        <v>146</v>
      </c>
      <c r="E92" s="49" t="s">
        <v>119</v>
      </c>
      <c r="F92" s="52">
        <v>700</v>
      </c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56"/>
      <c r="S92" s="56"/>
    </row>
    <row r="93" ht="12" customHeight="1" spans="1:19">
      <c r="A93" s="46" t="s">
        <v>52</v>
      </c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56"/>
      <c r="S93" s="56"/>
    </row>
    <row r="94" ht="14" customHeight="1" spans="1:19">
      <c r="A94" s="43" t="s">
        <v>67</v>
      </c>
      <c r="B94" s="44"/>
      <c r="C94" s="44"/>
      <c r="D94" s="45" t="s">
        <v>124</v>
      </c>
      <c r="E94" s="43" t="s">
        <v>69</v>
      </c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ht="14" customHeight="1" spans="1:19">
      <c r="A95" s="43" t="s">
        <v>70</v>
      </c>
      <c r="B95" s="44"/>
      <c r="C95" s="44"/>
      <c r="D95" s="45" t="s">
        <v>124</v>
      </c>
      <c r="E95" s="43" t="s">
        <v>71</v>
      </c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ht="14" customHeight="1" spans="1:19">
      <c r="A96" s="43" t="s">
        <v>82</v>
      </c>
      <c r="B96" s="44"/>
      <c r="C96" s="44"/>
      <c r="D96" s="45" t="s">
        <v>124</v>
      </c>
      <c r="E96" s="43" t="s">
        <v>83</v>
      </c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ht="14" customHeight="1" spans="1:19">
      <c r="A97" s="43" t="s">
        <v>72</v>
      </c>
      <c r="B97" s="44"/>
      <c r="C97" s="44"/>
      <c r="D97" s="45" t="s">
        <v>124</v>
      </c>
      <c r="E97" s="43" t="s">
        <v>125</v>
      </c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ht="14" customHeight="1" spans="1:19">
      <c r="A98" s="43" t="s">
        <v>126</v>
      </c>
      <c r="B98" s="44"/>
      <c r="C98" s="44"/>
      <c r="D98" s="45" t="s">
        <v>124</v>
      </c>
      <c r="E98" s="43" t="s">
        <v>150</v>
      </c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ht="14" customHeight="1" spans="1:19">
      <c r="A99" s="43" t="s">
        <v>76</v>
      </c>
      <c r="B99" s="44"/>
      <c r="C99" s="44"/>
      <c r="D99" s="45" t="s">
        <v>124</v>
      </c>
      <c r="E99" s="43" t="s">
        <v>77</v>
      </c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ht="14" customHeight="1" spans="1:19">
      <c r="A100" s="43" t="s">
        <v>78</v>
      </c>
      <c r="B100" s="44"/>
      <c r="C100" s="44"/>
      <c r="D100" s="45" t="s">
        <v>124</v>
      </c>
      <c r="E100" s="43" t="s">
        <v>79</v>
      </c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ht="14" customHeight="1" spans="1:19">
      <c r="A101" s="43" t="s">
        <v>80</v>
      </c>
      <c r="B101" s="44"/>
      <c r="C101" s="44"/>
      <c r="D101" s="45" t="s">
        <v>124</v>
      </c>
      <c r="E101" s="43" t="s">
        <v>81</v>
      </c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ht="17" customHeight="1" spans="1:19">
      <c r="A102" s="46" t="s">
        <v>52</v>
      </c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</row>
    <row r="103" ht="14" customHeight="1" spans="1:19">
      <c r="A103" s="43" t="s">
        <v>84</v>
      </c>
      <c r="B103" s="43" t="s">
        <v>85</v>
      </c>
      <c r="C103" s="44"/>
      <c r="D103" s="43" t="s">
        <v>52</v>
      </c>
      <c r="E103" s="43" t="s">
        <v>87</v>
      </c>
      <c r="F103" s="43" t="s">
        <v>88</v>
      </c>
      <c r="G103" s="43" t="s">
        <v>89</v>
      </c>
      <c r="H103" s="43" t="s">
        <v>90</v>
      </c>
      <c r="I103" s="43" t="s">
        <v>91</v>
      </c>
      <c r="J103" s="44"/>
      <c r="K103" s="53" t="s">
        <v>128</v>
      </c>
      <c r="L103" s="53" t="s">
        <v>129</v>
      </c>
      <c r="M103" s="53" t="s">
        <v>130</v>
      </c>
      <c r="N103" s="53" t="s">
        <v>131</v>
      </c>
      <c r="O103" s="53" t="s">
        <v>132</v>
      </c>
      <c r="P103" s="53" t="s">
        <v>93</v>
      </c>
      <c r="Q103" s="53" t="s">
        <v>94</v>
      </c>
      <c r="R103" s="60"/>
      <c r="S103" s="53" t="s">
        <v>133</v>
      </c>
    </row>
    <row r="104" ht="20" customHeight="1" spans="1:19">
      <c r="A104" s="43" t="s">
        <v>134</v>
      </c>
      <c r="B104" s="43" t="s">
        <v>135</v>
      </c>
      <c r="C104" s="44"/>
      <c r="D104" s="43" t="s">
        <v>52</v>
      </c>
      <c r="E104" s="43" t="s">
        <v>136</v>
      </c>
      <c r="F104" s="43" t="s">
        <v>52</v>
      </c>
      <c r="G104" s="43" t="s">
        <v>108</v>
      </c>
      <c r="H104" s="43" t="s">
        <v>109</v>
      </c>
      <c r="I104" s="43" t="s">
        <v>52</v>
      </c>
      <c r="J104" s="44"/>
      <c r="K104" s="54">
        <v>4752</v>
      </c>
      <c r="L104" s="54">
        <v>4752</v>
      </c>
      <c r="M104" s="54">
        <v>0</v>
      </c>
      <c r="N104" s="54">
        <v>0</v>
      </c>
      <c r="O104" s="54">
        <v>4752</v>
      </c>
      <c r="P104" s="55">
        <v>0.01</v>
      </c>
      <c r="Q104" s="61">
        <v>34.59</v>
      </c>
      <c r="R104" s="60"/>
      <c r="S104" s="61">
        <v>34.59</v>
      </c>
    </row>
    <row r="105" ht="20" customHeight="1" spans="1:19">
      <c r="A105" s="43" t="s">
        <v>134</v>
      </c>
      <c r="B105" s="43" t="s">
        <v>135</v>
      </c>
      <c r="C105" s="44"/>
      <c r="D105" s="43" t="s">
        <v>52</v>
      </c>
      <c r="E105" s="43" t="s">
        <v>136</v>
      </c>
      <c r="F105" s="43" t="s">
        <v>52</v>
      </c>
      <c r="G105" s="43" t="s">
        <v>108</v>
      </c>
      <c r="H105" s="43" t="s">
        <v>109</v>
      </c>
      <c r="I105" s="43" t="s">
        <v>52</v>
      </c>
      <c r="J105" s="44"/>
      <c r="K105" s="54">
        <v>34272</v>
      </c>
      <c r="L105" s="54">
        <v>34272</v>
      </c>
      <c r="M105" s="54">
        <v>0</v>
      </c>
      <c r="N105" s="54">
        <v>0</v>
      </c>
      <c r="O105" s="54">
        <v>34272</v>
      </c>
      <c r="P105" s="55">
        <v>0.01</v>
      </c>
      <c r="Q105" s="61">
        <v>249.5</v>
      </c>
      <c r="R105" s="60"/>
      <c r="S105" s="61">
        <v>249.5</v>
      </c>
    </row>
    <row r="106" ht="20" customHeight="1" spans="1:19">
      <c r="A106" s="43" t="s">
        <v>134</v>
      </c>
      <c r="B106" s="43" t="s">
        <v>135</v>
      </c>
      <c r="C106" s="44"/>
      <c r="D106" s="43" t="s">
        <v>52</v>
      </c>
      <c r="E106" s="43" t="s">
        <v>136</v>
      </c>
      <c r="F106" s="43" t="s">
        <v>52</v>
      </c>
      <c r="G106" s="43" t="s">
        <v>108</v>
      </c>
      <c r="H106" s="43" t="s">
        <v>109</v>
      </c>
      <c r="I106" s="43" t="s">
        <v>52</v>
      </c>
      <c r="J106" s="44"/>
      <c r="K106" s="54">
        <v>144</v>
      </c>
      <c r="L106" s="54">
        <v>144</v>
      </c>
      <c r="M106" s="54">
        <v>0</v>
      </c>
      <c r="N106" s="54">
        <v>0</v>
      </c>
      <c r="O106" s="54">
        <v>144</v>
      </c>
      <c r="P106" s="55">
        <v>0.01</v>
      </c>
      <c r="Q106" s="61">
        <v>1.05</v>
      </c>
      <c r="R106" s="60"/>
      <c r="S106" s="61">
        <v>1.05</v>
      </c>
    </row>
    <row r="107" ht="20" customHeight="1" spans="1:19">
      <c r="A107" s="43" t="s">
        <v>137</v>
      </c>
      <c r="B107" s="43" t="s">
        <v>138</v>
      </c>
      <c r="C107" s="44"/>
      <c r="D107" s="43" t="s">
        <v>52</v>
      </c>
      <c r="E107" s="43" t="s">
        <v>139</v>
      </c>
      <c r="F107" s="43" t="s">
        <v>52</v>
      </c>
      <c r="G107" s="43" t="s">
        <v>100</v>
      </c>
      <c r="H107" s="43" t="s">
        <v>101</v>
      </c>
      <c r="I107" s="43" t="s">
        <v>52</v>
      </c>
      <c r="J107" s="44"/>
      <c r="K107" s="54">
        <v>1692</v>
      </c>
      <c r="L107" s="54">
        <v>1692</v>
      </c>
      <c r="M107" s="54">
        <v>0</v>
      </c>
      <c r="N107" s="54">
        <v>0</v>
      </c>
      <c r="O107" s="54">
        <v>1692</v>
      </c>
      <c r="P107" s="55">
        <v>0.11</v>
      </c>
      <c r="Q107" s="61">
        <v>191.47</v>
      </c>
      <c r="R107" s="60"/>
      <c r="S107" s="61">
        <v>191.47</v>
      </c>
    </row>
    <row r="108" ht="20" customHeight="1" spans="1:19">
      <c r="A108" s="43" t="s">
        <v>137</v>
      </c>
      <c r="B108" s="43" t="s">
        <v>138</v>
      </c>
      <c r="C108" s="44"/>
      <c r="D108" s="43" t="s">
        <v>52</v>
      </c>
      <c r="E108" s="43" t="s">
        <v>139</v>
      </c>
      <c r="F108" s="43" t="s">
        <v>52</v>
      </c>
      <c r="G108" s="43" t="s">
        <v>100</v>
      </c>
      <c r="H108" s="43" t="s">
        <v>101</v>
      </c>
      <c r="I108" s="43" t="s">
        <v>52</v>
      </c>
      <c r="J108" s="44"/>
      <c r="K108" s="54">
        <v>10</v>
      </c>
      <c r="L108" s="54">
        <v>10</v>
      </c>
      <c r="M108" s="54">
        <v>0</v>
      </c>
      <c r="N108" s="54">
        <v>0</v>
      </c>
      <c r="O108" s="54">
        <v>10</v>
      </c>
      <c r="P108" s="55">
        <v>0.11</v>
      </c>
      <c r="Q108" s="61">
        <v>1.13</v>
      </c>
      <c r="R108" s="60"/>
      <c r="S108" s="61">
        <v>1.13</v>
      </c>
    </row>
    <row r="109" ht="20" customHeight="1" spans="1:19">
      <c r="A109" s="43" t="s">
        <v>137</v>
      </c>
      <c r="B109" s="43" t="s">
        <v>138</v>
      </c>
      <c r="C109" s="44"/>
      <c r="D109" s="43" t="s">
        <v>52</v>
      </c>
      <c r="E109" s="43" t="s">
        <v>139</v>
      </c>
      <c r="F109" s="43" t="s">
        <v>52</v>
      </c>
      <c r="G109" s="43" t="s">
        <v>100</v>
      </c>
      <c r="H109" s="43" t="s">
        <v>101</v>
      </c>
      <c r="I109" s="43" t="s">
        <v>52</v>
      </c>
      <c r="J109" s="44"/>
      <c r="K109" s="54">
        <v>8</v>
      </c>
      <c r="L109" s="54">
        <v>8</v>
      </c>
      <c r="M109" s="54">
        <v>0</v>
      </c>
      <c r="N109" s="54">
        <v>0</v>
      </c>
      <c r="O109" s="54">
        <v>8</v>
      </c>
      <c r="P109" s="55">
        <v>0.11</v>
      </c>
      <c r="Q109" s="61">
        <v>0.91</v>
      </c>
      <c r="R109" s="60"/>
      <c r="S109" s="61">
        <v>0.91</v>
      </c>
    </row>
    <row r="110" ht="20" customHeight="1" spans="1:19">
      <c r="A110" s="43" t="s">
        <v>140</v>
      </c>
      <c r="B110" s="43" t="s">
        <v>141</v>
      </c>
      <c r="C110" s="44"/>
      <c r="D110" s="43" t="s">
        <v>52</v>
      </c>
      <c r="E110" s="43" t="s">
        <v>142</v>
      </c>
      <c r="F110" s="43" t="s">
        <v>52</v>
      </c>
      <c r="G110" s="43" t="s">
        <v>108</v>
      </c>
      <c r="H110" s="43" t="s">
        <v>109</v>
      </c>
      <c r="I110" s="43" t="s">
        <v>52</v>
      </c>
      <c r="J110" s="44"/>
      <c r="K110" s="54">
        <v>180</v>
      </c>
      <c r="L110" s="54">
        <v>180</v>
      </c>
      <c r="M110" s="54">
        <v>0</v>
      </c>
      <c r="N110" s="54">
        <v>0</v>
      </c>
      <c r="O110" s="54">
        <v>180</v>
      </c>
      <c r="P110" s="55">
        <v>0.01</v>
      </c>
      <c r="Q110" s="61">
        <v>1.31</v>
      </c>
      <c r="R110" s="60"/>
      <c r="S110" s="61">
        <v>1.31</v>
      </c>
    </row>
    <row r="111" ht="20" customHeight="1" spans="1:19">
      <c r="A111" s="43" t="s">
        <v>140</v>
      </c>
      <c r="B111" s="43" t="s">
        <v>141</v>
      </c>
      <c r="C111" s="44"/>
      <c r="D111" s="43" t="s">
        <v>52</v>
      </c>
      <c r="E111" s="43" t="s">
        <v>142</v>
      </c>
      <c r="F111" s="43" t="s">
        <v>52</v>
      </c>
      <c r="G111" s="43" t="s">
        <v>108</v>
      </c>
      <c r="H111" s="43" t="s">
        <v>109</v>
      </c>
      <c r="I111" s="43" t="s">
        <v>52</v>
      </c>
      <c r="J111" s="44"/>
      <c r="K111" s="54">
        <v>24</v>
      </c>
      <c r="L111" s="54">
        <v>24</v>
      </c>
      <c r="M111" s="54">
        <v>0</v>
      </c>
      <c r="N111" s="54">
        <v>0</v>
      </c>
      <c r="O111" s="54">
        <v>24</v>
      </c>
      <c r="P111" s="55">
        <v>0.01</v>
      </c>
      <c r="Q111" s="61">
        <v>0.17</v>
      </c>
      <c r="R111" s="60"/>
      <c r="S111" s="61">
        <v>0.17</v>
      </c>
    </row>
    <row r="112" ht="20" customHeight="1" spans="1:19">
      <c r="A112" s="43" t="s">
        <v>140</v>
      </c>
      <c r="B112" s="43" t="s">
        <v>141</v>
      </c>
      <c r="C112" s="44"/>
      <c r="D112" s="43" t="s">
        <v>52</v>
      </c>
      <c r="E112" s="43" t="s">
        <v>142</v>
      </c>
      <c r="F112" s="43" t="s">
        <v>52</v>
      </c>
      <c r="G112" s="43" t="s">
        <v>108</v>
      </c>
      <c r="H112" s="43" t="s">
        <v>109</v>
      </c>
      <c r="I112" s="43" t="s">
        <v>52</v>
      </c>
      <c r="J112" s="44"/>
      <c r="K112" s="54">
        <v>156</v>
      </c>
      <c r="L112" s="54">
        <v>156</v>
      </c>
      <c r="M112" s="54">
        <v>0</v>
      </c>
      <c r="N112" s="54">
        <v>0</v>
      </c>
      <c r="O112" s="54">
        <v>156</v>
      </c>
      <c r="P112" s="55">
        <v>0.01</v>
      </c>
      <c r="Q112" s="61">
        <v>1.14</v>
      </c>
      <c r="R112" s="60"/>
      <c r="S112" s="61">
        <v>1.14</v>
      </c>
    </row>
    <row r="113" ht="20" customHeight="1" spans="1:19">
      <c r="A113" s="43" t="s">
        <v>140</v>
      </c>
      <c r="B113" s="43" t="s">
        <v>141</v>
      </c>
      <c r="C113" s="44"/>
      <c r="D113" s="43" t="s">
        <v>52</v>
      </c>
      <c r="E113" s="43" t="s">
        <v>142</v>
      </c>
      <c r="F113" s="43" t="s">
        <v>52</v>
      </c>
      <c r="G113" s="43" t="s">
        <v>108</v>
      </c>
      <c r="H113" s="43" t="s">
        <v>109</v>
      </c>
      <c r="I113" s="43" t="s">
        <v>52</v>
      </c>
      <c r="J113" s="44"/>
      <c r="K113" s="54">
        <v>19224</v>
      </c>
      <c r="L113" s="54">
        <v>19224</v>
      </c>
      <c r="M113" s="54">
        <v>0</v>
      </c>
      <c r="N113" s="54">
        <v>0</v>
      </c>
      <c r="O113" s="54">
        <v>19224</v>
      </c>
      <c r="P113" s="55">
        <v>0.01</v>
      </c>
      <c r="Q113" s="61">
        <v>139.95</v>
      </c>
      <c r="R113" s="60"/>
      <c r="S113" s="61">
        <v>139.95</v>
      </c>
    </row>
    <row r="114" ht="20" customHeight="1" spans="1:19">
      <c r="A114" s="43" t="s">
        <v>97</v>
      </c>
      <c r="B114" s="43" t="s">
        <v>102</v>
      </c>
      <c r="C114" s="44"/>
      <c r="D114" s="43" t="s">
        <v>52</v>
      </c>
      <c r="E114" s="43" t="s">
        <v>99</v>
      </c>
      <c r="F114" s="43" t="s">
        <v>52</v>
      </c>
      <c r="G114" s="43" t="s">
        <v>100</v>
      </c>
      <c r="H114" s="43" t="s">
        <v>101</v>
      </c>
      <c r="I114" s="43" t="s">
        <v>52</v>
      </c>
      <c r="J114" s="44"/>
      <c r="K114" s="54">
        <v>4</v>
      </c>
      <c r="L114" s="54">
        <v>4</v>
      </c>
      <c r="M114" s="54">
        <v>0</v>
      </c>
      <c r="N114" s="54">
        <v>0</v>
      </c>
      <c r="O114" s="54">
        <v>4</v>
      </c>
      <c r="P114" s="55">
        <v>0.11</v>
      </c>
      <c r="Q114" s="61">
        <v>0.45</v>
      </c>
      <c r="R114" s="60"/>
      <c r="S114" s="61">
        <v>0.45</v>
      </c>
    </row>
    <row r="115" ht="20" customHeight="1" spans="1:19">
      <c r="A115" s="43" t="s">
        <v>97</v>
      </c>
      <c r="B115" s="43" t="s">
        <v>102</v>
      </c>
      <c r="C115" s="44"/>
      <c r="D115" s="43" t="s">
        <v>52</v>
      </c>
      <c r="E115" s="43" t="s">
        <v>99</v>
      </c>
      <c r="F115" s="43" t="s">
        <v>52</v>
      </c>
      <c r="G115" s="43" t="s">
        <v>100</v>
      </c>
      <c r="H115" s="43" t="s">
        <v>101</v>
      </c>
      <c r="I115" s="43" t="s">
        <v>52</v>
      </c>
      <c r="J115" s="44"/>
      <c r="K115" s="54">
        <v>1</v>
      </c>
      <c r="L115" s="54">
        <v>1</v>
      </c>
      <c r="M115" s="54">
        <v>0</v>
      </c>
      <c r="N115" s="54">
        <v>0</v>
      </c>
      <c r="O115" s="54">
        <v>1</v>
      </c>
      <c r="P115" s="55">
        <v>0.11</v>
      </c>
      <c r="Q115" s="61">
        <v>0.11</v>
      </c>
      <c r="R115" s="60"/>
      <c r="S115" s="61">
        <v>0.11</v>
      </c>
    </row>
    <row r="116" ht="20" customHeight="1" spans="1:19">
      <c r="A116" s="43" t="s">
        <v>97</v>
      </c>
      <c r="B116" s="43" t="s">
        <v>102</v>
      </c>
      <c r="C116" s="44"/>
      <c r="D116" s="43" t="s">
        <v>52</v>
      </c>
      <c r="E116" s="43" t="s">
        <v>99</v>
      </c>
      <c r="F116" s="43" t="s">
        <v>52</v>
      </c>
      <c r="G116" s="43" t="s">
        <v>100</v>
      </c>
      <c r="H116" s="43" t="s">
        <v>101</v>
      </c>
      <c r="I116" s="43" t="s">
        <v>52</v>
      </c>
      <c r="J116" s="44"/>
      <c r="K116" s="54">
        <v>3</v>
      </c>
      <c r="L116" s="54">
        <v>3</v>
      </c>
      <c r="M116" s="54">
        <v>0</v>
      </c>
      <c r="N116" s="54">
        <v>0</v>
      </c>
      <c r="O116" s="54">
        <v>3</v>
      </c>
      <c r="P116" s="55">
        <v>0.11</v>
      </c>
      <c r="Q116" s="61">
        <v>0.34</v>
      </c>
      <c r="R116" s="60"/>
      <c r="S116" s="61">
        <v>0.34</v>
      </c>
    </row>
    <row r="117" ht="20" customHeight="1" spans="1:19">
      <c r="A117" s="43" t="s">
        <v>97</v>
      </c>
      <c r="B117" s="43" t="s">
        <v>102</v>
      </c>
      <c r="C117" s="44"/>
      <c r="D117" s="43" t="s">
        <v>52</v>
      </c>
      <c r="E117" s="43" t="s">
        <v>99</v>
      </c>
      <c r="F117" s="43" t="s">
        <v>52</v>
      </c>
      <c r="G117" s="43" t="s">
        <v>100</v>
      </c>
      <c r="H117" s="43" t="s">
        <v>101</v>
      </c>
      <c r="I117" s="43" t="s">
        <v>52</v>
      </c>
      <c r="J117" s="44"/>
      <c r="K117" s="54">
        <v>1092</v>
      </c>
      <c r="L117" s="54">
        <v>1092</v>
      </c>
      <c r="M117" s="54">
        <v>0</v>
      </c>
      <c r="N117" s="54">
        <v>0</v>
      </c>
      <c r="O117" s="54">
        <v>1092</v>
      </c>
      <c r="P117" s="55">
        <v>0.11</v>
      </c>
      <c r="Q117" s="61">
        <v>123.57</v>
      </c>
      <c r="R117" s="60"/>
      <c r="S117" s="61">
        <v>123.57</v>
      </c>
    </row>
    <row r="118" ht="20" customHeight="1" spans="1:19">
      <c r="A118" s="43" t="s">
        <v>97</v>
      </c>
      <c r="B118" s="43" t="s">
        <v>102</v>
      </c>
      <c r="C118" s="44"/>
      <c r="D118" s="43" t="s">
        <v>52</v>
      </c>
      <c r="E118" s="43" t="s">
        <v>99</v>
      </c>
      <c r="F118" s="43" t="s">
        <v>52</v>
      </c>
      <c r="G118" s="43" t="s">
        <v>103</v>
      </c>
      <c r="H118" s="43" t="s">
        <v>104</v>
      </c>
      <c r="I118" s="43" t="s">
        <v>52</v>
      </c>
      <c r="J118" s="44"/>
      <c r="K118" s="54">
        <v>56</v>
      </c>
      <c r="L118" s="54">
        <v>56</v>
      </c>
      <c r="M118" s="54">
        <v>0</v>
      </c>
      <c r="N118" s="54">
        <v>0</v>
      </c>
      <c r="O118" s="54">
        <v>56</v>
      </c>
      <c r="P118" s="55">
        <v>0.02</v>
      </c>
      <c r="Q118" s="61">
        <v>1.08</v>
      </c>
      <c r="R118" s="60"/>
      <c r="S118" s="61">
        <v>1.08</v>
      </c>
    </row>
    <row r="119" ht="20" customHeight="1" spans="1:19">
      <c r="A119" s="43" t="s">
        <v>97</v>
      </c>
      <c r="B119" s="43" t="s">
        <v>102</v>
      </c>
      <c r="C119" s="44"/>
      <c r="D119" s="43" t="s">
        <v>52</v>
      </c>
      <c r="E119" s="43" t="s">
        <v>99</v>
      </c>
      <c r="F119" s="43" t="s">
        <v>52</v>
      </c>
      <c r="G119" s="43" t="s">
        <v>103</v>
      </c>
      <c r="H119" s="43" t="s">
        <v>104</v>
      </c>
      <c r="I119" s="43" t="s">
        <v>52</v>
      </c>
      <c r="J119" s="44"/>
      <c r="K119" s="54">
        <v>14148</v>
      </c>
      <c r="L119" s="54">
        <v>14148</v>
      </c>
      <c r="M119" s="54">
        <v>0</v>
      </c>
      <c r="N119" s="54">
        <v>0</v>
      </c>
      <c r="O119" s="54">
        <v>14148</v>
      </c>
      <c r="P119" s="55">
        <v>0.02</v>
      </c>
      <c r="Q119" s="61">
        <v>272.75</v>
      </c>
      <c r="R119" s="60"/>
      <c r="S119" s="61">
        <v>272.75</v>
      </c>
    </row>
    <row r="120" ht="20" customHeight="1" spans="1:19">
      <c r="A120" s="43" t="s">
        <v>97</v>
      </c>
      <c r="B120" s="43" t="s">
        <v>102</v>
      </c>
      <c r="C120" s="44"/>
      <c r="D120" s="43" t="s">
        <v>52</v>
      </c>
      <c r="E120" s="43" t="s">
        <v>99</v>
      </c>
      <c r="F120" s="43" t="s">
        <v>52</v>
      </c>
      <c r="G120" s="43" t="s">
        <v>103</v>
      </c>
      <c r="H120" s="43" t="s">
        <v>104</v>
      </c>
      <c r="I120" s="43" t="s">
        <v>52</v>
      </c>
      <c r="J120" s="44"/>
      <c r="K120" s="54">
        <v>4</v>
      </c>
      <c r="L120" s="54">
        <v>4</v>
      </c>
      <c r="M120" s="54">
        <v>0</v>
      </c>
      <c r="N120" s="54">
        <v>0</v>
      </c>
      <c r="O120" s="54">
        <v>4</v>
      </c>
      <c r="P120" s="55">
        <v>0.02</v>
      </c>
      <c r="Q120" s="61">
        <v>0.08</v>
      </c>
      <c r="R120" s="60"/>
      <c r="S120" s="61">
        <v>0.08</v>
      </c>
    </row>
    <row r="121" ht="20" customHeight="1" spans="1:19">
      <c r="A121" s="43" t="s">
        <v>105</v>
      </c>
      <c r="B121" s="43" t="s">
        <v>106</v>
      </c>
      <c r="C121" s="44"/>
      <c r="D121" s="43" t="s">
        <v>52</v>
      </c>
      <c r="E121" s="43" t="s">
        <v>107</v>
      </c>
      <c r="F121" s="43" t="s">
        <v>52</v>
      </c>
      <c r="G121" s="43" t="s">
        <v>108</v>
      </c>
      <c r="H121" s="43" t="s">
        <v>109</v>
      </c>
      <c r="I121" s="43" t="s">
        <v>52</v>
      </c>
      <c r="J121" s="44"/>
      <c r="K121" s="54">
        <v>20736</v>
      </c>
      <c r="L121" s="54">
        <v>20736</v>
      </c>
      <c r="M121" s="54">
        <v>0</v>
      </c>
      <c r="N121" s="54">
        <v>0</v>
      </c>
      <c r="O121" s="54">
        <v>20736</v>
      </c>
      <c r="P121" s="55">
        <v>0.01</v>
      </c>
      <c r="Q121" s="61">
        <v>150.96</v>
      </c>
      <c r="R121" s="60"/>
      <c r="S121" s="61">
        <v>150.96</v>
      </c>
    </row>
    <row r="122" ht="20" customHeight="1" spans="1:19">
      <c r="A122" s="43" t="s">
        <v>105</v>
      </c>
      <c r="B122" s="43" t="s">
        <v>106</v>
      </c>
      <c r="C122" s="44"/>
      <c r="D122" s="43" t="s">
        <v>52</v>
      </c>
      <c r="E122" s="43" t="s">
        <v>107</v>
      </c>
      <c r="F122" s="43" t="s">
        <v>52</v>
      </c>
      <c r="G122" s="43" t="s">
        <v>108</v>
      </c>
      <c r="H122" s="43" t="s">
        <v>109</v>
      </c>
      <c r="I122" s="43" t="s">
        <v>52</v>
      </c>
      <c r="J122" s="44"/>
      <c r="K122" s="54">
        <v>8640</v>
      </c>
      <c r="L122" s="54">
        <v>8640</v>
      </c>
      <c r="M122" s="54">
        <v>0</v>
      </c>
      <c r="N122" s="54">
        <v>0</v>
      </c>
      <c r="O122" s="54">
        <v>8640</v>
      </c>
      <c r="P122" s="55">
        <v>0.01</v>
      </c>
      <c r="Q122" s="61">
        <v>62.9</v>
      </c>
      <c r="R122" s="60"/>
      <c r="S122" s="61">
        <v>62.9</v>
      </c>
    </row>
    <row r="123" ht="20" customHeight="1" spans="1:19">
      <c r="A123" s="43" t="s">
        <v>105</v>
      </c>
      <c r="B123" s="43" t="s">
        <v>106</v>
      </c>
      <c r="C123" s="44"/>
      <c r="D123" s="43" t="s">
        <v>52</v>
      </c>
      <c r="E123" s="43" t="s">
        <v>107</v>
      </c>
      <c r="F123" s="43" t="s">
        <v>52</v>
      </c>
      <c r="G123" s="43" t="s">
        <v>108</v>
      </c>
      <c r="H123" s="43" t="s">
        <v>109</v>
      </c>
      <c r="I123" s="43" t="s">
        <v>52</v>
      </c>
      <c r="J123" s="44"/>
      <c r="K123" s="54">
        <v>180</v>
      </c>
      <c r="L123" s="54">
        <v>180</v>
      </c>
      <c r="M123" s="54">
        <v>0</v>
      </c>
      <c r="N123" s="54">
        <v>0</v>
      </c>
      <c r="O123" s="54">
        <v>180</v>
      </c>
      <c r="P123" s="55">
        <v>0.01</v>
      </c>
      <c r="Q123" s="61">
        <v>1.31</v>
      </c>
      <c r="R123" s="60"/>
      <c r="S123" s="61">
        <v>1.31</v>
      </c>
    </row>
    <row r="124" ht="20" customHeight="1" spans="1:19">
      <c r="A124" s="43" t="s">
        <v>105</v>
      </c>
      <c r="B124" s="43" t="s">
        <v>106</v>
      </c>
      <c r="C124" s="44"/>
      <c r="D124" s="43" t="s">
        <v>52</v>
      </c>
      <c r="E124" s="43" t="s">
        <v>107</v>
      </c>
      <c r="F124" s="43" t="s">
        <v>52</v>
      </c>
      <c r="G124" s="43" t="s">
        <v>108</v>
      </c>
      <c r="H124" s="43" t="s">
        <v>109</v>
      </c>
      <c r="I124" s="43" t="s">
        <v>52</v>
      </c>
      <c r="J124" s="44"/>
      <c r="K124" s="54">
        <v>252</v>
      </c>
      <c r="L124" s="54">
        <v>252</v>
      </c>
      <c r="M124" s="54">
        <v>0</v>
      </c>
      <c r="N124" s="54">
        <v>0</v>
      </c>
      <c r="O124" s="54">
        <v>252</v>
      </c>
      <c r="P124" s="55">
        <v>0.01</v>
      </c>
      <c r="Q124" s="61">
        <v>1.83</v>
      </c>
      <c r="R124" s="60"/>
      <c r="S124" s="61">
        <v>1.83</v>
      </c>
    </row>
    <row r="125" ht="20" customHeight="1" spans="1:19">
      <c r="A125" s="43" t="s">
        <v>105</v>
      </c>
      <c r="B125" s="43" t="s">
        <v>106</v>
      </c>
      <c r="C125" s="44"/>
      <c r="D125" s="43" t="s">
        <v>52</v>
      </c>
      <c r="E125" s="43" t="s">
        <v>107</v>
      </c>
      <c r="F125" s="43" t="s">
        <v>52</v>
      </c>
      <c r="G125" s="43" t="s">
        <v>108</v>
      </c>
      <c r="H125" s="43" t="s">
        <v>109</v>
      </c>
      <c r="I125" s="43" t="s">
        <v>52</v>
      </c>
      <c r="J125" s="44"/>
      <c r="K125" s="54">
        <v>9360</v>
      </c>
      <c r="L125" s="54">
        <v>9360</v>
      </c>
      <c r="M125" s="54">
        <v>0</v>
      </c>
      <c r="N125" s="54">
        <v>0</v>
      </c>
      <c r="O125" s="54">
        <v>9360</v>
      </c>
      <c r="P125" s="55">
        <v>0.01</v>
      </c>
      <c r="Q125" s="61">
        <v>68.14</v>
      </c>
      <c r="R125" s="60"/>
      <c r="S125" s="61">
        <v>68.14</v>
      </c>
    </row>
    <row r="126" ht="13" customHeight="1" spans="1:19">
      <c r="A126" s="47" t="s">
        <v>143</v>
      </c>
      <c r="B126" s="48"/>
      <c r="C126" s="48"/>
      <c r="D126" s="48"/>
      <c r="E126" s="48"/>
      <c r="F126" s="48"/>
      <c r="G126" s="48"/>
      <c r="H126" s="48"/>
      <c r="I126" s="48"/>
      <c r="J126" s="56"/>
      <c r="K126" s="47" t="s">
        <v>144</v>
      </c>
      <c r="L126" s="57">
        <v>114938</v>
      </c>
      <c r="M126" s="58">
        <v>0</v>
      </c>
      <c r="N126" s="58">
        <v>0</v>
      </c>
      <c r="O126" s="58">
        <v>114938</v>
      </c>
      <c r="P126" s="59" t="s">
        <v>52</v>
      </c>
      <c r="Q126" s="62"/>
      <c r="R126" s="62"/>
      <c r="S126" s="63">
        <v>1304.74</v>
      </c>
    </row>
    <row r="127" ht="19" customHeight="1" spans="1:19">
      <c r="A127" s="43" t="s">
        <v>145</v>
      </c>
      <c r="B127" s="44"/>
      <c r="C127" s="44"/>
      <c r="D127" s="49" t="s">
        <v>146</v>
      </c>
      <c r="E127" s="50" t="s">
        <v>147</v>
      </c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56"/>
      <c r="S127" s="56"/>
    </row>
    <row r="128" ht="19" customHeight="1" spans="1:19">
      <c r="A128" s="49" t="s">
        <v>146</v>
      </c>
      <c r="B128" s="51"/>
      <c r="C128" s="51"/>
      <c r="D128" s="49" t="s">
        <v>146</v>
      </c>
      <c r="E128" s="49" t="s">
        <v>119</v>
      </c>
      <c r="F128" s="52">
        <v>700</v>
      </c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56"/>
      <c r="S128" s="56"/>
    </row>
    <row r="129" ht="12" customHeight="1" spans="1:19">
      <c r="A129" s="46" t="s">
        <v>52</v>
      </c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56"/>
      <c r="S129" s="56"/>
    </row>
    <row r="130" ht="14" customHeight="1" spans="1:19">
      <c r="A130" s="43" t="s">
        <v>67</v>
      </c>
      <c r="B130" s="44"/>
      <c r="C130" s="44"/>
      <c r="D130" s="45" t="s">
        <v>124</v>
      </c>
      <c r="E130" s="43" t="s">
        <v>69</v>
      </c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ht="14" customHeight="1" spans="1:19">
      <c r="A131" s="43" t="s">
        <v>70</v>
      </c>
      <c r="B131" s="44"/>
      <c r="C131" s="44"/>
      <c r="D131" s="45" t="s">
        <v>124</v>
      </c>
      <c r="E131" s="43" t="s">
        <v>71</v>
      </c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ht="14" customHeight="1" spans="1:19">
      <c r="A132" s="43" t="s">
        <v>82</v>
      </c>
      <c r="B132" s="44"/>
      <c r="C132" s="44"/>
      <c r="D132" s="45" t="s">
        <v>124</v>
      </c>
      <c r="E132" s="43" t="s">
        <v>83</v>
      </c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ht="14" customHeight="1" spans="1:19">
      <c r="A133" s="43" t="s">
        <v>72</v>
      </c>
      <c r="B133" s="44"/>
      <c r="C133" s="44"/>
      <c r="D133" s="45" t="s">
        <v>124</v>
      </c>
      <c r="E133" s="43" t="s">
        <v>125</v>
      </c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ht="14" customHeight="1" spans="1:19">
      <c r="A134" s="43" t="s">
        <v>126</v>
      </c>
      <c r="B134" s="44"/>
      <c r="C134" s="44"/>
      <c r="D134" s="45" t="s">
        <v>124</v>
      </c>
      <c r="E134" s="43" t="s">
        <v>151</v>
      </c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ht="14" customHeight="1" spans="1:19">
      <c r="A135" s="43" t="s">
        <v>76</v>
      </c>
      <c r="B135" s="44"/>
      <c r="C135" s="44"/>
      <c r="D135" s="45" t="s">
        <v>124</v>
      </c>
      <c r="E135" s="43" t="s">
        <v>77</v>
      </c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ht="14" customHeight="1" spans="1:19">
      <c r="A136" s="43" t="s">
        <v>78</v>
      </c>
      <c r="B136" s="44"/>
      <c r="C136" s="44"/>
      <c r="D136" s="45" t="s">
        <v>124</v>
      </c>
      <c r="E136" s="43" t="s">
        <v>79</v>
      </c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ht="14" customHeight="1" spans="1:19">
      <c r="A137" s="43" t="s">
        <v>80</v>
      </c>
      <c r="B137" s="44"/>
      <c r="C137" s="44"/>
      <c r="D137" s="45" t="s">
        <v>124</v>
      </c>
      <c r="E137" s="43" t="s">
        <v>81</v>
      </c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ht="17" customHeight="1" spans="1:19">
      <c r="A138" s="46" t="s">
        <v>52</v>
      </c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</row>
    <row r="139" ht="14" customHeight="1" spans="1:19">
      <c r="A139" s="43" t="s">
        <v>84</v>
      </c>
      <c r="B139" s="43" t="s">
        <v>85</v>
      </c>
      <c r="C139" s="44"/>
      <c r="D139" s="43" t="s">
        <v>52</v>
      </c>
      <c r="E139" s="43" t="s">
        <v>87</v>
      </c>
      <c r="F139" s="43" t="s">
        <v>88</v>
      </c>
      <c r="G139" s="43" t="s">
        <v>89</v>
      </c>
      <c r="H139" s="43" t="s">
        <v>90</v>
      </c>
      <c r="I139" s="43" t="s">
        <v>91</v>
      </c>
      <c r="J139" s="44"/>
      <c r="K139" s="53" t="s">
        <v>128</v>
      </c>
      <c r="L139" s="53" t="s">
        <v>129</v>
      </c>
      <c r="M139" s="53" t="s">
        <v>130</v>
      </c>
      <c r="N139" s="53" t="s">
        <v>131</v>
      </c>
      <c r="O139" s="53" t="s">
        <v>132</v>
      </c>
      <c r="P139" s="53" t="s">
        <v>93</v>
      </c>
      <c r="Q139" s="53" t="s">
        <v>94</v>
      </c>
      <c r="R139" s="60"/>
      <c r="S139" s="53" t="s">
        <v>133</v>
      </c>
    </row>
    <row r="140" ht="20" customHeight="1" spans="1:19">
      <c r="A140" s="43" t="s">
        <v>134</v>
      </c>
      <c r="B140" s="43" t="s">
        <v>135</v>
      </c>
      <c r="C140" s="44"/>
      <c r="D140" s="43" t="s">
        <v>52</v>
      </c>
      <c r="E140" s="43" t="s">
        <v>136</v>
      </c>
      <c r="F140" s="43" t="s">
        <v>52</v>
      </c>
      <c r="G140" s="43" t="s">
        <v>108</v>
      </c>
      <c r="H140" s="43" t="s">
        <v>109</v>
      </c>
      <c r="I140" s="43" t="s">
        <v>52</v>
      </c>
      <c r="J140" s="44"/>
      <c r="K140" s="54">
        <v>4752</v>
      </c>
      <c r="L140" s="54">
        <v>4752</v>
      </c>
      <c r="M140" s="54">
        <v>0</v>
      </c>
      <c r="N140" s="54">
        <v>0</v>
      </c>
      <c r="O140" s="54">
        <v>4752</v>
      </c>
      <c r="P140" s="55">
        <v>0.01</v>
      </c>
      <c r="Q140" s="61">
        <v>34.59</v>
      </c>
      <c r="R140" s="60"/>
      <c r="S140" s="61">
        <v>34.59</v>
      </c>
    </row>
    <row r="141" ht="20" customHeight="1" spans="1:19">
      <c r="A141" s="43" t="s">
        <v>134</v>
      </c>
      <c r="B141" s="43" t="s">
        <v>135</v>
      </c>
      <c r="C141" s="44"/>
      <c r="D141" s="43" t="s">
        <v>52</v>
      </c>
      <c r="E141" s="43" t="s">
        <v>136</v>
      </c>
      <c r="F141" s="43" t="s">
        <v>52</v>
      </c>
      <c r="G141" s="43" t="s">
        <v>108</v>
      </c>
      <c r="H141" s="43" t="s">
        <v>109</v>
      </c>
      <c r="I141" s="43" t="s">
        <v>52</v>
      </c>
      <c r="J141" s="44"/>
      <c r="K141" s="54">
        <v>34272</v>
      </c>
      <c r="L141" s="54">
        <v>34272</v>
      </c>
      <c r="M141" s="54">
        <v>0</v>
      </c>
      <c r="N141" s="54">
        <v>0</v>
      </c>
      <c r="O141" s="54">
        <v>34272</v>
      </c>
      <c r="P141" s="55">
        <v>0.01</v>
      </c>
      <c r="Q141" s="61">
        <v>249.5</v>
      </c>
      <c r="R141" s="60"/>
      <c r="S141" s="61">
        <v>249.5</v>
      </c>
    </row>
    <row r="142" ht="20" customHeight="1" spans="1:19">
      <c r="A142" s="43" t="s">
        <v>134</v>
      </c>
      <c r="B142" s="43" t="s">
        <v>135</v>
      </c>
      <c r="C142" s="44"/>
      <c r="D142" s="43" t="s">
        <v>52</v>
      </c>
      <c r="E142" s="43" t="s">
        <v>136</v>
      </c>
      <c r="F142" s="43" t="s">
        <v>52</v>
      </c>
      <c r="G142" s="43" t="s">
        <v>108</v>
      </c>
      <c r="H142" s="43" t="s">
        <v>109</v>
      </c>
      <c r="I142" s="43" t="s">
        <v>52</v>
      </c>
      <c r="J142" s="44"/>
      <c r="K142" s="54">
        <v>144</v>
      </c>
      <c r="L142" s="54">
        <v>144</v>
      </c>
      <c r="M142" s="54">
        <v>0</v>
      </c>
      <c r="N142" s="54">
        <v>0</v>
      </c>
      <c r="O142" s="54">
        <v>144</v>
      </c>
      <c r="P142" s="55">
        <v>0.01</v>
      </c>
      <c r="Q142" s="61">
        <v>1.05</v>
      </c>
      <c r="R142" s="60"/>
      <c r="S142" s="61">
        <v>1.05</v>
      </c>
    </row>
    <row r="143" ht="20" customHeight="1" spans="1:19">
      <c r="A143" s="43" t="s">
        <v>137</v>
      </c>
      <c r="B143" s="43" t="s">
        <v>138</v>
      </c>
      <c r="C143" s="44"/>
      <c r="D143" s="43" t="s">
        <v>52</v>
      </c>
      <c r="E143" s="43" t="s">
        <v>139</v>
      </c>
      <c r="F143" s="43" t="s">
        <v>52</v>
      </c>
      <c r="G143" s="43" t="s">
        <v>100</v>
      </c>
      <c r="H143" s="43" t="s">
        <v>101</v>
      </c>
      <c r="I143" s="43" t="s">
        <v>52</v>
      </c>
      <c r="J143" s="44"/>
      <c r="K143" s="54">
        <v>1692</v>
      </c>
      <c r="L143" s="54">
        <v>1692</v>
      </c>
      <c r="M143" s="54">
        <v>0</v>
      </c>
      <c r="N143" s="54">
        <v>0</v>
      </c>
      <c r="O143" s="54">
        <v>1692</v>
      </c>
      <c r="P143" s="55">
        <v>0.11</v>
      </c>
      <c r="Q143" s="61">
        <v>191.47</v>
      </c>
      <c r="R143" s="60"/>
      <c r="S143" s="61">
        <v>191.47</v>
      </c>
    </row>
    <row r="144" ht="20" customHeight="1" spans="1:19">
      <c r="A144" s="43" t="s">
        <v>137</v>
      </c>
      <c r="B144" s="43" t="s">
        <v>138</v>
      </c>
      <c r="C144" s="44"/>
      <c r="D144" s="43" t="s">
        <v>52</v>
      </c>
      <c r="E144" s="43" t="s">
        <v>139</v>
      </c>
      <c r="F144" s="43" t="s">
        <v>52</v>
      </c>
      <c r="G144" s="43" t="s">
        <v>100</v>
      </c>
      <c r="H144" s="43" t="s">
        <v>101</v>
      </c>
      <c r="I144" s="43" t="s">
        <v>52</v>
      </c>
      <c r="J144" s="44"/>
      <c r="K144" s="54">
        <v>10</v>
      </c>
      <c r="L144" s="54">
        <v>10</v>
      </c>
      <c r="M144" s="54">
        <v>0</v>
      </c>
      <c r="N144" s="54">
        <v>0</v>
      </c>
      <c r="O144" s="54">
        <v>10</v>
      </c>
      <c r="P144" s="55">
        <v>0.11</v>
      </c>
      <c r="Q144" s="61">
        <v>1.13</v>
      </c>
      <c r="R144" s="60"/>
      <c r="S144" s="61">
        <v>1.13</v>
      </c>
    </row>
    <row r="145" ht="20" customHeight="1" spans="1:19">
      <c r="A145" s="43" t="s">
        <v>137</v>
      </c>
      <c r="B145" s="43" t="s">
        <v>138</v>
      </c>
      <c r="C145" s="44"/>
      <c r="D145" s="43" t="s">
        <v>52</v>
      </c>
      <c r="E145" s="43" t="s">
        <v>139</v>
      </c>
      <c r="F145" s="43" t="s">
        <v>52</v>
      </c>
      <c r="G145" s="43" t="s">
        <v>100</v>
      </c>
      <c r="H145" s="43" t="s">
        <v>101</v>
      </c>
      <c r="I145" s="43" t="s">
        <v>52</v>
      </c>
      <c r="J145" s="44"/>
      <c r="K145" s="54">
        <v>8</v>
      </c>
      <c r="L145" s="54">
        <v>8</v>
      </c>
      <c r="M145" s="54">
        <v>0</v>
      </c>
      <c r="N145" s="54">
        <v>0</v>
      </c>
      <c r="O145" s="54">
        <v>8</v>
      </c>
      <c r="P145" s="55">
        <v>0.11</v>
      </c>
      <c r="Q145" s="61">
        <v>0.91</v>
      </c>
      <c r="R145" s="60"/>
      <c r="S145" s="61">
        <v>0.91</v>
      </c>
    </row>
    <row r="146" ht="20" customHeight="1" spans="1:19">
      <c r="A146" s="43" t="s">
        <v>140</v>
      </c>
      <c r="B146" s="43" t="s">
        <v>141</v>
      </c>
      <c r="C146" s="44"/>
      <c r="D146" s="43" t="s">
        <v>52</v>
      </c>
      <c r="E146" s="43" t="s">
        <v>142</v>
      </c>
      <c r="F146" s="43" t="s">
        <v>52</v>
      </c>
      <c r="G146" s="43" t="s">
        <v>108</v>
      </c>
      <c r="H146" s="43" t="s">
        <v>109</v>
      </c>
      <c r="I146" s="43" t="s">
        <v>52</v>
      </c>
      <c r="J146" s="44"/>
      <c r="K146" s="54">
        <v>180</v>
      </c>
      <c r="L146" s="54">
        <v>180</v>
      </c>
      <c r="M146" s="54">
        <v>0</v>
      </c>
      <c r="N146" s="54">
        <v>0</v>
      </c>
      <c r="O146" s="54">
        <v>180</v>
      </c>
      <c r="P146" s="55">
        <v>0.01</v>
      </c>
      <c r="Q146" s="61">
        <v>1.31</v>
      </c>
      <c r="R146" s="60"/>
      <c r="S146" s="61">
        <v>1.31</v>
      </c>
    </row>
    <row r="147" ht="20" customHeight="1" spans="1:19">
      <c r="A147" s="43" t="s">
        <v>140</v>
      </c>
      <c r="B147" s="43" t="s">
        <v>141</v>
      </c>
      <c r="C147" s="44"/>
      <c r="D147" s="43" t="s">
        <v>52</v>
      </c>
      <c r="E147" s="43" t="s">
        <v>142</v>
      </c>
      <c r="F147" s="43" t="s">
        <v>52</v>
      </c>
      <c r="G147" s="43" t="s">
        <v>108</v>
      </c>
      <c r="H147" s="43" t="s">
        <v>109</v>
      </c>
      <c r="I147" s="43" t="s">
        <v>52</v>
      </c>
      <c r="J147" s="44"/>
      <c r="K147" s="54">
        <v>24</v>
      </c>
      <c r="L147" s="54">
        <v>24</v>
      </c>
      <c r="M147" s="54">
        <v>0</v>
      </c>
      <c r="N147" s="54">
        <v>0</v>
      </c>
      <c r="O147" s="54">
        <v>24</v>
      </c>
      <c r="P147" s="55">
        <v>0.01</v>
      </c>
      <c r="Q147" s="61">
        <v>0.17</v>
      </c>
      <c r="R147" s="60"/>
      <c r="S147" s="61">
        <v>0.17</v>
      </c>
    </row>
    <row r="148" ht="20" customHeight="1" spans="1:19">
      <c r="A148" s="43" t="s">
        <v>140</v>
      </c>
      <c r="B148" s="43" t="s">
        <v>141</v>
      </c>
      <c r="C148" s="44"/>
      <c r="D148" s="43" t="s">
        <v>52</v>
      </c>
      <c r="E148" s="43" t="s">
        <v>142</v>
      </c>
      <c r="F148" s="43" t="s">
        <v>52</v>
      </c>
      <c r="G148" s="43" t="s">
        <v>108</v>
      </c>
      <c r="H148" s="43" t="s">
        <v>109</v>
      </c>
      <c r="I148" s="43" t="s">
        <v>52</v>
      </c>
      <c r="J148" s="44"/>
      <c r="K148" s="54">
        <v>156</v>
      </c>
      <c r="L148" s="54">
        <v>156</v>
      </c>
      <c r="M148" s="54">
        <v>0</v>
      </c>
      <c r="N148" s="54">
        <v>0</v>
      </c>
      <c r="O148" s="54">
        <v>156</v>
      </c>
      <c r="P148" s="55">
        <v>0.01</v>
      </c>
      <c r="Q148" s="61">
        <v>1.14</v>
      </c>
      <c r="R148" s="60"/>
      <c r="S148" s="61">
        <v>1.14</v>
      </c>
    </row>
    <row r="149" ht="20" customHeight="1" spans="1:19">
      <c r="A149" s="43" t="s">
        <v>140</v>
      </c>
      <c r="B149" s="43" t="s">
        <v>141</v>
      </c>
      <c r="C149" s="44"/>
      <c r="D149" s="43" t="s">
        <v>52</v>
      </c>
      <c r="E149" s="43" t="s">
        <v>142</v>
      </c>
      <c r="F149" s="43" t="s">
        <v>52</v>
      </c>
      <c r="G149" s="43" t="s">
        <v>108</v>
      </c>
      <c r="H149" s="43" t="s">
        <v>109</v>
      </c>
      <c r="I149" s="43" t="s">
        <v>52</v>
      </c>
      <c r="J149" s="44"/>
      <c r="K149" s="54">
        <v>19224</v>
      </c>
      <c r="L149" s="54">
        <v>19224</v>
      </c>
      <c r="M149" s="54">
        <v>0</v>
      </c>
      <c r="N149" s="54">
        <v>0</v>
      </c>
      <c r="O149" s="54">
        <v>19224</v>
      </c>
      <c r="P149" s="55">
        <v>0.01</v>
      </c>
      <c r="Q149" s="61">
        <v>139.95</v>
      </c>
      <c r="R149" s="60"/>
      <c r="S149" s="61">
        <v>139.95</v>
      </c>
    </row>
    <row r="150" ht="20" customHeight="1" spans="1:19">
      <c r="A150" s="43" t="s">
        <v>97</v>
      </c>
      <c r="B150" s="43" t="s">
        <v>102</v>
      </c>
      <c r="C150" s="44"/>
      <c r="D150" s="43" t="s">
        <v>52</v>
      </c>
      <c r="E150" s="43" t="s">
        <v>99</v>
      </c>
      <c r="F150" s="43" t="s">
        <v>52</v>
      </c>
      <c r="G150" s="43" t="s">
        <v>100</v>
      </c>
      <c r="H150" s="43" t="s">
        <v>101</v>
      </c>
      <c r="I150" s="43" t="s">
        <v>52</v>
      </c>
      <c r="J150" s="44"/>
      <c r="K150" s="54">
        <v>4</v>
      </c>
      <c r="L150" s="54">
        <v>4</v>
      </c>
      <c r="M150" s="54">
        <v>0</v>
      </c>
      <c r="N150" s="54">
        <v>0</v>
      </c>
      <c r="O150" s="54">
        <v>4</v>
      </c>
      <c r="P150" s="55">
        <v>0.11</v>
      </c>
      <c r="Q150" s="61">
        <v>0.45</v>
      </c>
      <c r="R150" s="60"/>
      <c r="S150" s="61">
        <v>0.45</v>
      </c>
    </row>
    <row r="151" ht="20" customHeight="1" spans="1:19">
      <c r="A151" s="43" t="s">
        <v>97</v>
      </c>
      <c r="B151" s="43" t="s">
        <v>102</v>
      </c>
      <c r="C151" s="44"/>
      <c r="D151" s="43" t="s">
        <v>52</v>
      </c>
      <c r="E151" s="43" t="s">
        <v>99</v>
      </c>
      <c r="F151" s="43" t="s">
        <v>52</v>
      </c>
      <c r="G151" s="43" t="s">
        <v>100</v>
      </c>
      <c r="H151" s="43" t="s">
        <v>101</v>
      </c>
      <c r="I151" s="43" t="s">
        <v>52</v>
      </c>
      <c r="J151" s="44"/>
      <c r="K151" s="54">
        <v>1</v>
      </c>
      <c r="L151" s="54">
        <v>1</v>
      </c>
      <c r="M151" s="54">
        <v>0</v>
      </c>
      <c r="N151" s="54">
        <v>0</v>
      </c>
      <c r="O151" s="54">
        <v>1</v>
      </c>
      <c r="P151" s="55">
        <v>0.11</v>
      </c>
      <c r="Q151" s="61">
        <v>0.11</v>
      </c>
      <c r="R151" s="60"/>
      <c r="S151" s="61">
        <v>0.11</v>
      </c>
    </row>
    <row r="152" ht="20" customHeight="1" spans="1:19">
      <c r="A152" s="43" t="s">
        <v>97</v>
      </c>
      <c r="B152" s="43" t="s">
        <v>102</v>
      </c>
      <c r="C152" s="44"/>
      <c r="D152" s="43" t="s">
        <v>52</v>
      </c>
      <c r="E152" s="43" t="s">
        <v>99</v>
      </c>
      <c r="F152" s="43" t="s">
        <v>52</v>
      </c>
      <c r="G152" s="43" t="s">
        <v>100</v>
      </c>
      <c r="H152" s="43" t="s">
        <v>101</v>
      </c>
      <c r="I152" s="43" t="s">
        <v>52</v>
      </c>
      <c r="J152" s="44"/>
      <c r="K152" s="54">
        <v>3</v>
      </c>
      <c r="L152" s="54">
        <v>3</v>
      </c>
      <c r="M152" s="54">
        <v>0</v>
      </c>
      <c r="N152" s="54">
        <v>0</v>
      </c>
      <c r="O152" s="54">
        <v>3</v>
      </c>
      <c r="P152" s="55">
        <v>0.11</v>
      </c>
      <c r="Q152" s="61">
        <v>0.34</v>
      </c>
      <c r="R152" s="60"/>
      <c r="S152" s="61">
        <v>0.34</v>
      </c>
    </row>
    <row r="153" ht="20" customHeight="1" spans="1:19">
      <c r="A153" s="43" t="s">
        <v>97</v>
      </c>
      <c r="B153" s="43" t="s">
        <v>102</v>
      </c>
      <c r="C153" s="44"/>
      <c r="D153" s="43" t="s">
        <v>52</v>
      </c>
      <c r="E153" s="43" t="s">
        <v>99</v>
      </c>
      <c r="F153" s="43" t="s">
        <v>52</v>
      </c>
      <c r="G153" s="43" t="s">
        <v>100</v>
      </c>
      <c r="H153" s="43" t="s">
        <v>101</v>
      </c>
      <c r="I153" s="43" t="s">
        <v>52</v>
      </c>
      <c r="J153" s="44"/>
      <c r="K153" s="54">
        <v>1092</v>
      </c>
      <c r="L153" s="54">
        <v>1092</v>
      </c>
      <c r="M153" s="54">
        <v>0</v>
      </c>
      <c r="N153" s="54">
        <v>0</v>
      </c>
      <c r="O153" s="54">
        <v>1092</v>
      </c>
      <c r="P153" s="55">
        <v>0.11</v>
      </c>
      <c r="Q153" s="61">
        <v>123.57</v>
      </c>
      <c r="R153" s="60"/>
      <c r="S153" s="61">
        <v>123.57</v>
      </c>
    </row>
    <row r="154" ht="20" customHeight="1" spans="1:19">
      <c r="A154" s="43" t="s">
        <v>97</v>
      </c>
      <c r="B154" s="43" t="s">
        <v>102</v>
      </c>
      <c r="C154" s="44"/>
      <c r="D154" s="43" t="s">
        <v>52</v>
      </c>
      <c r="E154" s="43" t="s">
        <v>99</v>
      </c>
      <c r="F154" s="43" t="s">
        <v>52</v>
      </c>
      <c r="G154" s="43" t="s">
        <v>103</v>
      </c>
      <c r="H154" s="43" t="s">
        <v>104</v>
      </c>
      <c r="I154" s="43" t="s">
        <v>52</v>
      </c>
      <c r="J154" s="44"/>
      <c r="K154" s="54">
        <v>56</v>
      </c>
      <c r="L154" s="54">
        <v>56</v>
      </c>
      <c r="M154" s="54">
        <v>0</v>
      </c>
      <c r="N154" s="54">
        <v>0</v>
      </c>
      <c r="O154" s="54">
        <v>56</v>
      </c>
      <c r="P154" s="55">
        <v>0.02</v>
      </c>
      <c r="Q154" s="61">
        <v>1.08</v>
      </c>
      <c r="R154" s="60"/>
      <c r="S154" s="61">
        <v>1.08</v>
      </c>
    </row>
    <row r="155" ht="20" customHeight="1" spans="1:19">
      <c r="A155" s="43" t="s">
        <v>97</v>
      </c>
      <c r="B155" s="43" t="s">
        <v>102</v>
      </c>
      <c r="C155" s="44"/>
      <c r="D155" s="43" t="s">
        <v>52</v>
      </c>
      <c r="E155" s="43" t="s">
        <v>99</v>
      </c>
      <c r="F155" s="43" t="s">
        <v>52</v>
      </c>
      <c r="G155" s="43" t="s">
        <v>103</v>
      </c>
      <c r="H155" s="43" t="s">
        <v>104</v>
      </c>
      <c r="I155" s="43" t="s">
        <v>52</v>
      </c>
      <c r="J155" s="44"/>
      <c r="K155" s="54">
        <v>14148</v>
      </c>
      <c r="L155" s="54">
        <v>14148</v>
      </c>
      <c r="M155" s="54">
        <v>0</v>
      </c>
      <c r="N155" s="54">
        <v>0</v>
      </c>
      <c r="O155" s="54">
        <v>14148</v>
      </c>
      <c r="P155" s="55">
        <v>0.02</v>
      </c>
      <c r="Q155" s="61">
        <v>272.75</v>
      </c>
      <c r="R155" s="60"/>
      <c r="S155" s="61">
        <v>272.75</v>
      </c>
    </row>
    <row r="156" ht="20" customHeight="1" spans="1:19">
      <c r="A156" s="43" t="s">
        <v>97</v>
      </c>
      <c r="B156" s="43" t="s">
        <v>102</v>
      </c>
      <c r="C156" s="44"/>
      <c r="D156" s="43" t="s">
        <v>52</v>
      </c>
      <c r="E156" s="43" t="s">
        <v>99</v>
      </c>
      <c r="F156" s="43" t="s">
        <v>52</v>
      </c>
      <c r="G156" s="43" t="s">
        <v>103</v>
      </c>
      <c r="H156" s="43" t="s">
        <v>104</v>
      </c>
      <c r="I156" s="43" t="s">
        <v>52</v>
      </c>
      <c r="J156" s="44"/>
      <c r="K156" s="54">
        <v>4</v>
      </c>
      <c r="L156" s="54">
        <v>4</v>
      </c>
      <c r="M156" s="54">
        <v>0</v>
      </c>
      <c r="N156" s="54">
        <v>0</v>
      </c>
      <c r="O156" s="54">
        <v>4</v>
      </c>
      <c r="P156" s="55">
        <v>0.02</v>
      </c>
      <c r="Q156" s="61">
        <v>0.08</v>
      </c>
      <c r="R156" s="60"/>
      <c r="S156" s="61">
        <v>0.08</v>
      </c>
    </row>
    <row r="157" ht="20" customHeight="1" spans="1:19">
      <c r="A157" s="43" t="s">
        <v>105</v>
      </c>
      <c r="B157" s="43" t="s">
        <v>106</v>
      </c>
      <c r="C157" s="44"/>
      <c r="D157" s="43" t="s">
        <v>52</v>
      </c>
      <c r="E157" s="43" t="s">
        <v>107</v>
      </c>
      <c r="F157" s="43" t="s">
        <v>52</v>
      </c>
      <c r="G157" s="43" t="s">
        <v>108</v>
      </c>
      <c r="H157" s="43" t="s">
        <v>109</v>
      </c>
      <c r="I157" s="43" t="s">
        <v>52</v>
      </c>
      <c r="J157" s="44"/>
      <c r="K157" s="54">
        <v>20736</v>
      </c>
      <c r="L157" s="54">
        <v>20736</v>
      </c>
      <c r="M157" s="54">
        <v>0</v>
      </c>
      <c r="N157" s="54">
        <v>0</v>
      </c>
      <c r="O157" s="54">
        <v>20736</v>
      </c>
      <c r="P157" s="55">
        <v>0.01</v>
      </c>
      <c r="Q157" s="61">
        <v>150.96</v>
      </c>
      <c r="R157" s="60"/>
      <c r="S157" s="61">
        <v>150.96</v>
      </c>
    </row>
    <row r="158" ht="20" customHeight="1" spans="1:19">
      <c r="A158" s="43" t="s">
        <v>105</v>
      </c>
      <c r="B158" s="43" t="s">
        <v>106</v>
      </c>
      <c r="C158" s="44"/>
      <c r="D158" s="43" t="s">
        <v>52</v>
      </c>
      <c r="E158" s="43" t="s">
        <v>107</v>
      </c>
      <c r="F158" s="43" t="s">
        <v>52</v>
      </c>
      <c r="G158" s="43" t="s">
        <v>108</v>
      </c>
      <c r="H158" s="43" t="s">
        <v>109</v>
      </c>
      <c r="I158" s="43" t="s">
        <v>52</v>
      </c>
      <c r="J158" s="44"/>
      <c r="K158" s="54">
        <v>8640</v>
      </c>
      <c r="L158" s="54">
        <v>8640</v>
      </c>
      <c r="M158" s="54">
        <v>0</v>
      </c>
      <c r="N158" s="54">
        <v>0</v>
      </c>
      <c r="O158" s="54">
        <v>8640</v>
      </c>
      <c r="P158" s="55">
        <v>0.01</v>
      </c>
      <c r="Q158" s="61">
        <v>62.9</v>
      </c>
      <c r="R158" s="60"/>
      <c r="S158" s="61">
        <v>62.9</v>
      </c>
    </row>
    <row r="159" ht="20" customHeight="1" spans="1:19">
      <c r="A159" s="43" t="s">
        <v>105</v>
      </c>
      <c r="B159" s="43" t="s">
        <v>106</v>
      </c>
      <c r="C159" s="44"/>
      <c r="D159" s="43" t="s">
        <v>52</v>
      </c>
      <c r="E159" s="43" t="s">
        <v>107</v>
      </c>
      <c r="F159" s="43" t="s">
        <v>52</v>
      </c>
      <c r="G159" s="43" t="s">
        <v>108</v>
      </c>
      <c r="H159" s="43" t="s">
        <v>109</v>
      </c>
      <c r="I159" s="43" t="s">
        <v>52</v>
      </c>
      <c r="J159" s="44"/>
      <c r="K159" s="54">
        <v>180</v>
      </c>
      <c r="L159" s="54">
        <v>180</v>
      </c>
      <c r="M159" s="54">
        <v>0</v>
      </c>
      <c r="N159" s="54">
        <v>0</v>
      </c>
      <c r="O159" s="54">
        <v>180</v>
      </c>
      <c r="P159" s="55">
        <v>0.01</v>
      </c>
      <c r="Q159" s="61">
        <v>1.31</v>
      </c>
      <c r="R159" s="60"/>
      <c r="S159" s="61">
        <v>1.31</v>
      </c>
    </row>
    <row r="160" ht="20" customHeight="1" spans="1:19">
      <c r="A160" s="43" t="s">
        <v>105</v>
      </c>
      <c r="B160" s="43" t="s">
        <v>106</v>
      </c>
      <c r="C160" s="44"/>
      <c r="D160" s="43" t="s">
        <v>52</v>
      </c>
      <c r="E160" s="43" t="s">
        <v>107</v>
      </c>
      <c r="F160" s="43" t="s">
        <v>52</v>
      </c>
      <c r="G160" s="43" t="s">
        <v>108</v>
      </c>
      <c r="H160" s="43" t="s">
        <v>109</v>
      </c>
      <c r="I160" s="43" t="s">
        <v>52</v>
      </c>
      <c r="J160" s="44"/>
      <c r="K160" s="54">
        <v>252</v>
      </c>
      <c r="L160" s="54">
        <v>252</v>
      </c>
      <c r="M160" s="54">
        <v>0</v>
      </c>
      <c r="N160" s="54">
        <v>0</v>
      </c>
      <c r="O160" s="54">
        <v>252</v>
      </c>
      <c r="P160" s="55">
        <v>0.01</v>
      </c>
      <c r="Q160" s="61">
        <v>1.83</v>
      </c>
      <c r="R160" s="60"/>
      <c r="S160" s="61">
        <v>1.83</v>
      </c>
    </row>
    <row r="161" ht="20" customHeight="1" spans="1:19">
      <c r="A161" s="43" t="s">
        <v>105</v>
      </c>
      <c r="B161" s="43" t="s">
        <v>106</v>
      </c>
      <c r="C161" s="44"/>
      <c r="D161" s="43" t="s">
        <v>52</v>
      </c>
      <c r="E161" s="43" t="s">
        <v>107</v>
      </c>
      <c r="F161" s="43" t="s">
        <v>52</v>
      </c>
      <c r="G161" s="43" t="s">
        <v>108</v>
      </c>
      <c r="H161" s="43" t="s">
        <v>109</v>
      </c>
      <c r="I161" s="43" t="s">
        <v>52</v>
      </c>
      <c r="J161" s="44"/>
      <c r="K161" s="54">
        <v>9360</v>
      </c>
      <c r="L161" s="54">
        <v>9360</v>
      </c>
      <c r="M161" s="54">
        <v>0</v>
      </c>
      <c r="N161" s="54">
        <v>0</v>
      </c>
      <c r="O161" s="54">
        <v>9360</v>
      </c>
      <c r="P161" s="55">
        <v>0.01</v>
      </c>
      <c r="Q161" s="61">
        <v>68.14</v>
      </c>
      <c r="R161" s="60"/>
      <c r="S161" s="61">
        <v>68.14</v>
      </c>
    </row>
    <row r="162" ht="13" customHeight="1" spans="1:19">
      <c r="A162" s="47" t="s">
        <v>143</v>
      </c>
      <c r="B162" s="48"/>
      <c r="C162" s="48"/>
      <c r="D162" s="48"/>
      <c r="E162" s="48"/>
      <c r="F162" s="48"/>
      <c r="G162" s="48"/>
      <c r="H162" s="48"/>
      <c r="I162" s="48"/>
      <c r="J162" s="56"/>
      <c r="K162" s="47" t="s">
        <v>144</v>
      </c>
      <c r="L162" s="57">
        <v>114938</v>
      </c>
      <c r="M162" s="58">
        <v>0</v>
      </c>
      <c r="N162" s="58">
        <v>0</v>
      </c>
      <c r="O162" s="58">
        <v>114938</v>
      </c>
      <c r="P162" s="59" t="s">
        <v>52</v>
      </c>
      <c r="Q162" s="62"/>
      <c r="R162" s="62"/>
      <c r="S162" s="63">
        <v>1304.74</v>
      </c>
    </row>
    <row r="163" ht="19" customHeight="1" spans="1:19">
      <c r="A163" s="43" t="s">
        <v>145</v>
      </c>
      <c r="B163" s="44"/>
      <c r="C163" s="44"/>
      <c r="D163" s="49" t="s">
        <v>146</v>
      </c>
      <c r="E163" s="50" t="s">
        <v>147</v>
      </c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56"/>
      <c r="S163" s="56"/>
    </row>
    <row r="164" ht="19" customHeight="1" spans="1:19">
      <c r="A164" s="49" t="s">
        <v>146</v>
      </c>
      <c r="B164" s="51"/>
      <c r="C164" s="51"/>
      <c r="D164" s="49" t="s">
        <v>146</v>
      </c>
      <c r="E164" s="49" t="s">
        <v>119</v>
      </c>
      <c r="F164" s="52">
        <v>700</v>
      </c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56"/>
      <c r="S164" s="56"/>
    </row>
    <row r="165" ht="12" customHeight="1" spans="1:19">
      <c r="A165" s="46" t="s">
        <v>52</v>
      </c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56"/>
      <c r="S165" s="56"/>
    </row>
    <row r="166" ht="14" customHeight="1" spans="1:19">
      <c r="A166" s="43" t="s">
        <v>67</v>
      </c>
      <c r="B166" s="44"/>
      <c r="C166" s="44"/>
      <c r="D166" s="45" t="s">
        <v>124</v>
      </c>
      <c r="E166" s="43" t="s">
        <v>69</v>
      </c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ht="14" customHeight="1" spans="1:19">
      <c r="A167" s="43" t="s">
        <v>70</v>
      </c>
      <c r="B167" s="44"/>
      <c r="C167" s="44"/>
      <c r="D167" s="45" t="s">
        <v>124</v>
      </c>
      <c r="E167" s="43" t="s">
        <v>71</v>
      </c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ht="14" customHeight="1" spans="1:19">
      <c r="A168" s="43" t="s">
        <v>82</v>
      </c>
      <c r="B168" s="44"/>
      <c r="C168" s="44"/>
      <c r="D168" s="45" t="s">
        <v>124</v>
      </c>
      <c r="E168" s="43" t="s">
        <v>83</v>
      </c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ht="14" customHeight="1" spans="1:19">
      <c r="A169" s="43" t="s">
        <v>72</v>
      </c>
      <c r="B169" s="44"/>
      <c r="C169" s="44"/>
      <c r="D169" s="45" t="s">
        <v>124</v>
      </c>
      <c r="E169" s="43" t="s">
        <v>125</v>
      </c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ht="14" customHeight="1" spans="1:19">
      <c r="A170" s="43" t="s">
        <v>126</v>
      </c>
      <c r="B170" s="44"/>
      <c r="C170" s="44"/>
      <c r="D170" s="45" t="s">
        <v>124</v>
      </c>
      <c r="E170" s="43" t="s">
        <v>152</v>
      </c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ht="14" customHeight="1" spans="1:19">
      <c r="A171" s="43" t="s">
        <v>76</v>
      </c>
      <c r="B171" s="44"/>
      <c r="C171" s="44"/>
      <c r="D171" s="45" t="s">
        <v>124</v>
      </c>
      <c r="E171" s="43" t="s">
        <v>77</v>
      </c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ht="14" customHeight="1" spans="1:19">
      <c r="A172" s="43" t="s">
        <v>78</v>
      </c>
      <c r="B172" s="44"/>
      <c r="C172" s="44"/>
      <c r="D172" s="45" t="s">
        <v>124</v>
      </c>
      <c r="E172" s="43" t="s">
        <v>79</v>
      </c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ht="14" customHeight="1" spans="1:19">
      <c r="A173" s="43" t="s">
        <v>80</v>
      </c>
      <c r="B173" s="44"/>
      <c r="C173" s="44"/>
      <c r="D173" s="45" t="s">
        <v>124</v>
      </c>
      <c r="E173" s="43" t="s">
        <v>81</v>
      </c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ht="17" customHeight="1" spans="1:19">
      <c r="A174" s="46" t="s">
        <v>52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</row>
    <row r="175" ht="14" customHeight="1" spans="1:19">
      <c r="A175" s="43" t="s">
        <v>84</v>
      </c>
      <c r="B175" s="43" t="s">
        <v>85</v>
      </c>
      <c r="C175" s="44"/>
      <c r="D175" s="43" t="s">
        <v>52</v>
      </c>
      <c r="E175" s="43" t="s">
        <v>87</v>
      </c>
      <c r="F175" s="43" t="s">
        <v>88</v>
      </c>
      <c r="G175" s="43" t="s">
        <v>89</v>
      </c>
      <c r="H175" s="43" t="s">
        <v>90</v>
      </c>
      <c r="I175" s="43" t="s">
        <v>91</v>
      </c>
      <c r="J175" s="44"/>
      <c r="K175" s="53" t="s">
        <v>128</v>
      </c>
      <c r="L175" s="53" t="s">
        <v>129</v>
      </c>
      <c r="M175" s="53" t="s">
        <v>130</v>
      </c>
      <c r="N175" s="53" t="s">
        <v>131</v>
      </c>
      <c r="O175" s="53" t="s">
        <v>132</v>
      </c>
      <c r="P175" s="53" t="s">
        <v>93</v>
      </c>
      <c r="Q175" s="53" t="s">
        <v>94</v>
      </c>
      <c r="R175" s="60"/>
      <c r="S175" s="53" t="s">
        <v>133</v>
      </c>
    </row>
    <row r="176" ht="20" customHeight="1" spans="1:19">
      <c r="A176" s="43" t="s">
        <v>134</v>
      </c>
      <c r="B176" s="43" t="s">
        <v>135</v>
      </c>
      <c r="C176" s="44"/>
      <c r="D176" s="43" t="s">
        <v>52</v>
      </c>
      <c r="E176" s="43" t="s">
        <v>136</v>
      </c>
      <c r="F176" s="43" t="s">
        <v>52</v>
      </c>
      <c r="G176" s="43" t="s">
        <v>108</v>
      </c>
      <c r="H176" s="43" t="s">
        <v>109</v>
      </c>
      <c r="I176" s="43" t="s">
        <v>52</v>
      </c>
      <c r="J176" s="44"/>
      <c r="K176" s="54">
        <v>4752</v>
      </c>
      <c r="L176" s="54">
        <v>4752</v>
      </c>
      <c r="M176" s="54">
        <v>0</v>
      </c>
      <c r="N176" s="54">
        <v>0</v>
      </c>
      <c r="O176" s="54">
        <v>4752</v>
      </c>
      <c r="P176" s="55">
        <v>0.01</v>
      </c>
      <c r="Q176" s="61">
        <v>34.59</v>
      </c>
      <c r="R176" s="60"/>
      <c r="S176" s="61">
        <v>34.59</v>
      </c>
    </row>
    <row r="177" ht="20" customHeight="1" spans="1:19">
      <c r="A177" s="43" t="s">
        <v>134</v>
      </c>
      <c r="B177" s="43" t="s">
        <v>135</v>
      </c>
      <c r="C177" s="44"/>
      <c r="D177" s="43" t="s">
        <v>52</v>
      </c>
      <c r="E177" s="43" t="s">
        <v>136</v>
      </c>
      <c r="F177" s="43" t="s">
        <v>52</v>
      </c>
      <c r="G177" s="43" t="s">
        <v>108</v>
      </c>
      <c r="H177" s="43" t="s">
        <v>109</v>
      </c>
      <c r="I177" s="43" t="s">
        <v>52</v>
      </c>
      <c r="J177" s="44"/>
      <c r="K177" s="54">
        <v>34272</v>
      </c>
      <c r="L177" s="54">
        <v>34272</v>
      </c>
      <c r="M177" s="54">
        <v>0</v>
      </c>
      <c r="N177" s="54">
        <v>0</v>
      </c>
      <c r="O177" s="54">
        <v>34272</v>
      </c>
      <c r="P177" s="55">
        <v>0.01</v>
      </c>
      <c r="Q177" s="61">
        <v>249.5</v>
      </c>
      <c r="R177" s="60"/>
      <c r="S177" s="61">
        <v>249.5</v>
      </c>
    </row>
    <row r="178" ht="20" customHeight="1" spans="1:19">
      <c r="A178" s="43" t="s">
        <v>134</v>
      </c>
      <c r="B178" s="43" t="s">
        <v>135</v>
      </c>
      <c r="C178" s="44"/>
      <c r="D178" s="43" t="s">
        <v>52</v>
      </c>
      <c r="E178" s="43" t="s">
        <v>136</v>
      </c>
      <c r="F178" s="43" t="s">
        <v>52</v>
      </c>
      <c r="G178" s="43" t="s">
        <v>108</v>
      </c>
      <c r="H178" s="43" t="s">
        <v>109</v>
      </c>
      <c r="I178" s="43" t="s">
        <v>52</v>
      </c>
      <c r="J178" s="44"/>
      <c r="K178" s="54">
        <v>144</v>
      </c>
      <c r="L178" s="54">
        <v>144</v>
      </c>
      <c r="M178" s="54">
        <v>0</v>
      </c>
      <c r="N178" s="54">
        <v>0</v>
      </c>
      <c r="O178" s="54">
        <v>144</v>
      </c>
      <c r="P178" s="55">
        <v>0.01</v>
      </c>
      <c r="Q178" s="61">
        <v>1.05</v>
      </c>
      <c r="R178" s="60"/>
      <c r="S178" s="61">
        <v>1.05</v>
      </c>
    </row>
    <row r="179" ht="20" customHeight="1" spans="1:19">
      <c r="A179" s="43" t="s">
        <v>137</v>
      </c>
      <c r="B179" s="43" t="s">
        <v>138</v>
      </c>
      <c r="C179" s="44"/>
      <c r="D179" s="43" t="s">
        <v>52</v>
      </c>
      <c r="E179" s="43" t="s">
        <v>139</v>
      </c>
      <c r="F179" s="43" t="s">
        <v>52</v>
      </c>
      <c r="G179" s="43" t="s">
        <v>100</v>
      </c>
      <c r="H179" s="43" t="s">
        <v>101</v>
      </c>
      <c r="I179" s="43" t="s">
        <v>52</v>
      </c>
      <c r="J179" s="44"/>
      <c r="K179" s="54">
        <v>1692</v>
      </c>
      <c r="L179" s="54">
        <v>1692</v>
      </c>
      <c r="M179" s="54">
        <v>0</v>
      </c>
      <c r="N179" s="54">
        <v>0</v>
      </c>
      <c r="O179" s="54">
        <v>1692</v>
      </c>
      <c r="P179" s="55">
        <v>0.11</v>
      </c>
      <c r="Q179" s="61">
        <v>191.47</v>
      </c>
      <c r="R179" s="60"/>
      <c r="S179" s="61">
        <v>191.47</v>
      </c>
    </row>
    <row r="180" ht="20" customHeight="1" spans="1:19">
      <c r="A180" s="43" t="s">
        <v>137</v>
      </c>
      <c r="B180" s="43" t="s">
        <v>138</v>
      </c>
      <c r="C180" s="44"/>
      <c r="D180" s="43" t="s">
        <v>52</v>
      </c>
      <c r="E180" s="43" t="s">
        <v>139</v>
      </c>
      <c r="F180" s="43" t="s">
        <v>52</v>
      </c>
      <c r="G180" s="43" t="s">
        <v>100</v>
      </c>
      <c r="H180" s="43" t="s">
        <v>101</v>
      </c>
      <c r="I180" s="43" t="s">
        <v>52</v>
      </c>
      <c r="J180" s="44"/>
      <c r="K180" s="54">
        <v>10</v>
      </c>
      <c r="L180" s="54">
        <v>10</v>
      </c>
      <c r="M180" s="54">
        <v>0</v>
      </c>
      <c r="N180" s="54">
        <v>0</v>
      </c>
      <c r="O180" s="54">
        <v>10</v>
      </c>
      <c r="P180" s="55">
        <v>0.11</v>
      </c>
      <c r="Q180" s="61">
        <v>1.13</v>
      </c>
      <c r="R180" s="60"/>
      <c r="S180" s="61">
        <v>1.13</v>
      </c>
    </row>
    <row r="181" ht="20" customHeight="1" spans="1:19">
      <c r="A181" s="43" t="s">
        <v>137</v>
      </c>
      <c r="B181" s="43" t="s">
        <v>138</v>
      </c>
      <c r="C181" s="44"/>
      <c r="D181" s="43" t="s">
        <v>52</v>
      </c>
      <c r="E181" s="43" t="s">
        <v>139</v>
      </c>
      <c r="F181" s="43" t="s">
        <v>52</v>
      </c>
      <c r="G181" s="43" t="s">
        <v>100</v>
      </c>
      <c r="H181" s="43" t="s">
        <v>101</v>
      </c>
      <c r="I181" s="43" t="s">
        <v>52</v>
      </c>
      <c r="J181" s="44"/>
      <c r="K181" s="54">
        <v>8</v>
      </c>
      <c r="L181" s="54">
        <v>8</v>
      </c>
      <c r="M181" s="54">
        <v>0</v>
      </c>
      <c r="N181" s="54">
        <v>0</v>
      </c>
      <c r="O181" s="54">
        <v>8</v>
      </c>
      <c r="P181" s="55">
        <v>0.11</v>
      </c>
      <c r="Q181" s="61">
        <v>0.91</v>
      </c>
      <c r="R181" s="60"/>
      <c r="S181" s="61">
        <v>0.91</v>
      </c>
    </row>
    <row r="182" ht="20" customHeight="1" spans="1:19">
      <c r="A182" s="43" t="s">
        <v>140</v>
      </c>
      <c r="B182" s="43" t="s">
        <v>141</v>
      </c>
      <c r="C182" s="44"/>
      <c r="D182" s="43" t="s">
        <v>52</v>
      </c>
      <c r="E182" s="43" t="s">
        <v>142</v>
      </c>
      <c r="F182" s="43" t="s">
        <v>52</v>
      </c>
      <c r="G182" s="43" t="s">
        <v>108</v>
      </c>
      <c r="H182" s="43" t="s">
        <v>109</v>
      </c>
      <c r="I182" s="43" t="s">
        <v>52</v>
      </c>
      <c r="J182" s="44"/>
      <c r="K182" s="54">
        <v>180</v>
      </c>
      <c r="L182" s="54">
        <v>180</v>
      </c>
      <c r="M182" s="54">
        <v>0</v>
      </c>
      <c r="N182" s="54">
        <v>0</v>
      </c>
      <c r="O182" s="54">
        <v>180</v>
      </c>
      <c r="P182" s="55">
        <v>0.01</v>
      </c>
      <c r="Q182" s="61">
        <v>1.31</v>
      </c>
      <c r="R182" s="60"/>
      <c r="S182" s="61">
        <v>1.31</v>
      </c>
    </row>
    <row r="183" ht="20" customHeight="1" spans="1:19">
      <c r="A183" s="43" t="s">
        <v>140</v>
      </c>
      <c r="B183" s="43" t="s">
        <v>141</v>
      </c>
      <c r="C183" s="44"/>
      <c r="D183" s="43" t="s">
        <v>52</v>
      </c>
      <c r="E183" s="43" t="s">
        <v>142</v>
      </c>
      <c r="F183" s="43" t="s">
        <v>52</v>
      </c>
      <c r="G183" s="43" t="s">
        <v>108</v>
      </c>
      <c r="H183" s="43" t="s">
        <v>109</v>
      </c>
      <c r="I183" s="43" t="s">
        <v>52</v>
      </c>
      <c r="J183" s="44"/>
      <c r="K183" s="54">
        <v>24</v>
      </c>
      <c r="L183" s="54">
        <v>24</v>
      </c>
      <c r="M183" s="54">
        <v>0</v>
      </c>
      <c r="N183" s="54">
        <v>0</v>
      </c>
      <c r="O183" s="54">
        <v>24</v>
      </c>
      <c r="P183" s="55">
        <v>0.01</v>
      </c>
      <c r="Q183" s="61">
        <v>0.17</v>
      </c>
      <c r="R183" s="60"/>
      <c r="S183" s="61">
        <v>0.17</v>
      </c>
    </row>
    <row r="184" ht="20" customHeight="1" spans="1:19">
      <c r="A184" s="43" t="s">
        <v>140</v>
      </c>
      <c r="B184" s="43" t="s">
        <v>141</v>
      </c>
      <c r="C184" s="44"/>
      <c r="D184" s="43" t="s">
        <v>52</v>
      </c>
      <c r="E184" s="43" t="s">
        <v>142</v>
      </c>
      <c r="F184" s="43" t="s">
        <v>52</v>
      </c>
      <c r="G184" s="43" t="s">
        <v>108</v>
      </c>
      <c r="H184" s="43" t="s">
        <v>109</v>
      </c>
      <c r="I184" s="43" t="s">
        <v>52</v>
      </c>
      <c r="J184" s="44"/>
      <c r="K184" s="54">
        <v>156</v>
      </c>
      <c r="L184" s="54">
        <v>156</v>
      </c>
      <c r="M184" s="54">
        <v>0</v>
      </c>
      <c r="N184" s="54">
        <v>0</v>
      </c>
      <c r="O184" s="54">
        <v>156</v>
      </c>
      <c r="P184" s="55">
        <v>0.01</v>
      </c>
      <c r="Q184" s="61">
        <v>1.14</v>
      </c>
      <c r="R184" s="60"/>
      <c r="S184" s="61">
        <v>1.14</v>
      </c>
    </row>
    <row r="185" ht="20" customHeight="1" spans="1:19">
      <c r="A185" s="43" t="s">
        <v>140</v>
      </c>
      <c r="B185" s="43" t="s">
        <v>141</v>
      </c>
      <c r="C185" s="44"/>
      <c r="D185" s="43" t="s">
        <v>52</v>
      </c>
      <c r="E185" s="43" t="s">
        <v>142</v>
      </c>
      <c r="F185" s="43" t="s">
        <v>52</v>
      </c>
      <c r="G185" s="43" t="s">
        <v>108</v>
      </c>
      <c r="H185" s="43" t="s">
        <v>109</v>
      </c>
      <c r="I185" s="43" t="s">
        <v>52</v>
      </c>
      <c r="J185" s="44"/>
      <c r="K185" s="54">
        <v>19224</v>
      </c>
      <c r="L185" s="54">
        <v>19224</v>
      </c>
      <c r="M185" s="54">
        <v>0</v>
      </c>
      <c r="N185" s="54">
        <v>0</v>
      </c>
      <c r="O185" s="54">
        <v>19224</v>
      </c>
      <c r="P185" s="55">
        <v>0.01</v>
      </c>
      <c r="Q185" s="61">
        <v>139.95</v>
      </c>
      <c r="R185" s="60"/>
      <c r="S185" s="61">
        <v>139.95</v>
      </c>
    </row>
    <row r="186" ht="20" customHeight="1" spans="1:19">
      <c r="A186" s="43" t="s">
        <v>97</v>
      </c>
      <c r="B186" s="43" t="s">
        <v>102</v>
      </c>
      <c r="C186" s="44"/>
      <c r="D186" s="43" t="s">
        <v>52</v>
      </c>
      <c r="E186" s="43" t="s">
        <v>99</v>
      </c>
      <c r="F186" s="43" t="s">
        <v>52</v>
      </c>
      <c r="G186" s="43" t="s">
        <v>100</v>
      </c>
      <c r="H186" s="43" t="s">
        <v>101</v>
      </c>
      <c r="I186" s="43" t="s">
        <v>52</v>
      </c>
      <c r="J186" s="44"/>
      <c r="K186" s="54">
        <v>1092</v>
      </c>
      <c r="L186" s="54">
        <v>1092</v>
      </c>
      <c r="M186" s="54">
        <v>0</v>
      </c>
      <c r="N186" s="54">
        <v>0</v>
      </c>
      <c r="O186" s="54">
        <v>1092</v>
      </c>
      <c r="P186" s="55">
        <v>0.11</v>
      </c>
      <c r="Q186" s="61">
        <v>123.57</v>
      </c>
      <c r="R186" s="60"/>
      <c r="S186" s="61">
        <v>123.57</v>
      </c>
    </row>
    <row r="187" ht="20" customHeight="1" spans="1:19">
      <c r="A187" s="43" t="s">
        <v>97</v>
      </c>
      <c r="B187" s="43" t="s">
        <v>102</v>
      </c>
      <c r="C187" s="44"/>
      <c r="D187" s="43" t="s">
        <v>52</v>
      </c>
      <c r="E187" s="43" t="s">
        <v>99</v>
      </c>
      <c r="F187" s="43" t="s">
        <v>52</v>
      </c>
      <c r="G187" s="43" t="s">
        <v>100</v>
      </c>
      <c r="H187" s="43" t="s">
        <v>101</v>
      </c>
      <c r="I187" s="43" t="s">
        <v>52</v>
      </c>
      <c r="J187" s="44"/>
      <c r="K187" s="54">
        <v>1</v>
      </c>
      <c r="L187" s="54">
        <v>1</v>
      </c>
      <c r="M187" s="54">
        <v>0</v>
      </c>
      <c r="N187" s="54">
        <v>0</v>
      </c>
      <c r="O187" s="54">
        <v>1</v>
      </c>
      <c r="P187" s="55">
        <v>0.11</v>
      </c>
      <c r="Q187" s="61">
        <v>0.11</v>
      </c>
      <c r="R187" s="60"/>
      <c r="S187" s="61">
        <v>0.11</v>
      </c>
    </row>
    <row r="188" ht="20" customHeight="1" spans="1:19">
      <c r="A188" s="43" t="s">
        <v>97</v>
      </c>
      <c r="B188" s="43" t="s">
        <v>102</v>
      </c>
      <c r="C188" s="44"/>
      <c r="D188" s="43" t="s">
        <v>52</v>
      </c>
      <c r="E188" s="43" t="s">
        <v>99</v>
      </c>
      <c r="F188" s="43" t="s">
        <v>52</v>
      </c>
      <c r="G188" s="43" t="s">
        <v>100</v>
      </c>
      <c r="H188" s="43" t="s">
        <v>101</v>
      </c>
      <c r="I188" s="43" t="s">
        <v>52</v>
      </c>
      <c r="J188" s="44"/>
      <c r="K188" s="54">
        <v>3</v>
      </c>
      <c r="L188" s="54">
        <v>3</v>
      </c>
      <c r="M188" s="54">
        <v>0</v>
      </c>
      <c r="N188" s="54">
        <v>0</v>
      </c>
      <c r="O188" s="54">
        <v>3</v>
      </c>
      <c r="P188" s="55">
        <v>0.11</v>
      </c>
      <c r="Q188" s="61">
        <v>0.34</v>
      </c>
      <c r="R188" s="60"/>
      <c r="S188" s="61">
        <v>0.34</v>
      </c>
    </row>
    <row r="189" ht="20" customHeight="1" spans="1:19">
      <c r="A189" s="43" t="s">
        <v>97</v>
      </c>
      <c r="B189" s="43" t="s">
        <v>102</v>
      </c>
      <c r="C189" s="44"/>
      <c r="D189" s="43" t="s">
        <v>52</v>
      </c>
      <c r="E189" s="43" t="s">
        <v>99</v>
      </c>
      <c r="F189" s="43" t="s">
        <v>52</v>
      </c>
      <c r="G189" s="43" t="s">
        <v>100</v>
      </c>
      <c r="H189" s="43" t="s">
        <v>101</v>
      </c>
      <c r="I189" s="43" t="s">
        <v>52</v>
      </c>
      <c r="J189" s="44"/>
      <c r="K189" s="54">
        <v>4</v>
      </c>
      <c r="L189" s="54">
        <v>4</v>
      </c>
      <c r="M189" s="54">
        <v>0</v>
      </c>
      <c r="N189" s="54">
        <v>0</v>
      </c>
      <c r="O189" s="54">
        <v>4</v>
      </c>
      <c r="P189" s="55">
        <v>0.11</v>
      </c>
      <c r="Q189" s="61">
        <v>0.45</v>
      </c>
      <c r="R189" s="60"/>
      <c r="S189" s="61">
        <v>0.45</v>
      </c>
    </row>
    <row r="190" ht="20" customHeight="1" spans="1:19">
      <c r="A190" s="43" t="s">
        <v>97</v>
      </c>
      <c r="B190" s="43" t="s">
        <v>102</v>
      </c>
      <c r="C190" s="44"/>
      <c r="D190" s="43" t="s">
        <v>52</v>
      </c>
      <c r="E190" s="43" t="s">
        <v>99</v>
      </c>
      <c r="F190" s="43" t="s">
        <v>52</v>
      </c>
      <c r="G190" s="43" t="s">
        <v>103</v>
      </c>
      <c r="H190" s="43" t="s">
        <v>104</v>
      </c>
      <c r="I190" s="43" t="s">
        <v>52</v>
      </c>
      <c r="J190" s="44"/>
      <c r="K190" s="54">
        <v>56</v>
      </c>
      <c r="L190" s="54">
        <v>56</v>
      </c>
      <c r="M190" s="54">
        <v>0</v>
      </c>
      <c r="N190" s="54">
        <v>0</v>
      </c>
      <c r="O190" s="54">
        <v>56</v>
      </c>
      <c r="P190" s="55">
        <v>0.02</v>
      </c>
      <c r="Q190" s="61">
        <v>1.08</v>
      </c>
      <c r="R190" s="60"/>
      <c r="S190" s="61">
        <v>1.08</v>
      </c>
    </row>
    <row r="191" ht="20" customHeight="1" spans="1:19">
      <c r="A191" s="43" t="s">
        <v>97</v>
      </c>
      <c r="B191" s="43" t="s">
        <v>102</v>
      </c>
      <c r="C191" s="44"/>
      <c r="D191" s="43" t="s">
        <v>52</v>
      </c>
      <c r="E191" s="43" t="s">
        <v>99</v>
      </c>
      <c r="F191" s="43" t="s">
        <v>52</v>
      </c>
      <c r="G191" s="43" t="s">
        <v>103</v>
      </c>
      <c r="H191" s="43" t="s">
        <v>104</v>
      </c>
      <c r="I191" s="43" t="s">
        <v>52</v>
      </c>
      <c r="J191" s="44"/>
      <c r="K191" s="54">
        <v>14148</v>
      </c>
      <c r="L191" s="54">
        <v>14148</v>
      </c>
      <c r="M191" s="54">
        <v>0</v>
      </c>
      <c r="N191" s="54">
        <v>0</v>
      </c>
      <c r="O191" s="54">
        <v>14148</v>
      </c>
      <c r="P191" s="55">
        <v>0.02</v>
      </c>
      <c r="Q191" s="61">
        <v>272.75</v>
      </c>
      <c r="R191" s="60"/>
      <c r="S191" s="61">
        <v>272.75</v>
      </c>
    </row>
    <row r="192" ht="20" customHeight="1" spans="1:19">
      <c r="A192" s="43" t="s">
        <v>97</v>
      </c>
      <c r="B192" s="43" t="s">
        <v>102</v>
      </c>
      <c r="C192" s="44"/>
      <c r="D192" s="43" t="s">
        <v>52</v>
      </c>
      <c r="E192" s="43" t="s">
        <v>99</v>
      </c>
      <c r="F192" s="43" t="s">
        <v>52</v>
      </c>
      <c r="G192" s="43" t="s">
        <v>103</v>
      </c>
      <c r="H192" s="43" t="s">
        <v>104</v>
      </c>
      <c r="I192" s="43" t="s">
        <v>52</v>
      </c>
      <c r="J192" s="44"/>
      <c r="K192" s="54">
        <v>4</v>
      </c>
      <c r="L192" s="54">
        <v>4</v>
      </c>
      <c r="M192" s="54">
        <v>0</v>
      </c>
      <c r="N192" s="54">
        <v>0</v>
      </c>
      <c r="O192" s="54">
        <v>4</v>
      </c>
      <c r="P192" s="55">
        <v>0.02</v>
      </c>
      <c r="Q192" s="61">
        <v>0.08</v>
      </c>
      <c r="R192" s="60"/>
      <c r="S192" s="61">
        <v>0.08</v>
      </c>
    </row>
    <row r="193" ht="20" customHeight="1" spans="1:19">
      <c r="A193" s="43" t="s">
        <v>105</v>
      </c>
      <c r="B193" s="43" t="s">
        <v>106</v>
      </c>
      <c r="C193" s="44"/>
      <c r="D193" s="43" t="s">
        <v>52</v>
      </c>
      <c r="E193" s="43" t="s">
        <v>107</v>
      </c>
      <c r="F193" s="43" t="s">
        <v>52</v>
      </c>
      <c r="G193" s="43" t="s">
        <v>108</v>
      </c>
      <c r="H193" s="43" t="s">
        <v>109</v>
      </c>
      <c r="I193" s="43" t="s">
        <v>52</v>
      </c>
      <c r="J193" s="44"/>
      <c r="K193" s="54">
        <v>20736</v>
      </c>
      <c r="L193" s="54">
        <v>20736</v>
      </c>
      <c r="M193" s="54">
        <v>0</v>
      </c>
      <c r="N193" s="54">
        <v>0</v>
      </c>
      <c r="O193" s="54">
        <v>20736</v>
      </c>
      <c r="P193" s="55">
        <v>0.01</v>
      </c>
      <c r="Q193" s="61">
        <v>150.96</v>
      </c>
      <c r="R193" s="60"/>
      <c r="S193" s="61">
        <v>150.96</v>
      </c>
    </row>
    <row r="194" ht="20" customHeight="1" spans="1:19">
      <c r="A194" s="43" t="s">
        <v>105</v>
      </c>
      <c r="B194" s="43" t="s">
        <v>106</v>
      </c>
      <c r="C194" s="44"/>
      <c r="D194" s="43" t="s">
        <v>52</v>
      </c>
      <c r="E194" s="43" t="s">
        <v>107</v>
      </c>
      <c r="F194" s="43" t="s">
        <v>52</v>
      </c>
      <c r="G194" s="43" t="s">
        <v>108</v>
      </c>
      <c r="H194" s="43" t="s">
        <v>109</v>
      </c>
      <c r="I194" s="43" t="s">
        <v>52</v>
      </c>
      <c r="J194" s="44"/>
      <c r="K194" s="54">
        <v>8640</v>
      </c>
      <c r="L194" s="54">
        <v>8640</v>
      </c>
      <c r="M194" s="54">
        <v>0</v>
      </c>
      <c r="N194" s="54">
        <v>0</v>
      </c>
      <c r="O194" s="54">
        <v>8640</v>
      </c>
      <c r="P194" s="55">
        <v>0.01</v>
      </c>
      <c r="Q194" s="61">
        <v>62.9</v>
      </c>
      <c r="R194" s="60"/>
      <c r="S194" s="61">
        <v>62.9</v>
      </c>
    </row>
    <row r="195" ht="20" customHeight="1" spans="1:19">
      <c r="A195" s="43" t="s">
        <v>105</v>
      </c>
      <c r="B195" s="43" t="s">
        <v>106</v>
      </c>
      <c r="C195" s="44"/>
      <c r="D195" s="43" t="s">
        <v>52</v>
      </c>
      <c r="E195" s="43" t="s">
        <v>107</v>
      </c>
      <c r="F195" s="43" t="s">
        <v>52</v>
      </c>
      <c r="G195" s="43" t="s">
        <v>108</v>
      </c>
      <c r="H195" s="43" t="s">
        <v>109</v>
      </c>
      <c r="I195" s="43" t="s">
        <v>52</v>
      </c>
      <c r="J195" s="44"/>
      <c r="K195" s="54">
        <v>180</v>
      </c>
      <c r="L195" s="54">
        <v>180</v>
      </c>
      <c r="M195" s="54">
        <v>0</v>
      </c>
      <c r="N195" s="54">
        <v>0</v>
      </c>
      <c r="O195" s="54">
        <v>180</v>
      </c>
      <c r="P195" s="55">
        <v>0.01</v>
      </c>
      <c r="Q195" s="61">
        <v>1.31</v>
      </c>
      <c r="R195" s="60"/>
      <c r="S195" s="61">
        <v>1.31</v>
      </c>
    </row>
    <row r="196" ht="20" customHeight="1" spans="1:19">
      <c r="A196" s="43" t="s">
        <v>105</v>
      </c>
      <c r="B196" s="43" t="s">
        <v>106</v>
      </c>
      <c r="C196" s="44"/>
      <c r="D196" s="43" t="s">
        <v>52</v>
      </c>
      <c r="E196" s="43" t="s">
        <v>107</v>
      </c>
      <c r="F196" s="43" t="s">
        <v>52</v>
      </c>
      <c r="G196" s="43" t="s">
        <v>108</v>
      </c>
      <c r="H196" s="43" t="s">
        <v>109</v>
      </c>
      <c r="I196" s="43" t="s">
        <v>52</v>
      </c>
      <c r="J196" s="44"/>
      <c r="K196" s="54">
        <v>252</v>
      </c>
      <c r="L196" s="54">
        <v>252</v>
      </c>
      <c r="M196" s="54">
        <v>0</v>
      </c>
      <c r="N196" s="54">
        <v>0</v>
      </c>
      <c r="O196" s="54">
        <v>252</v>
      </c>
      <c r="P196" s="55">
        <v>0.01</v>
      </c>
      <c r="Q196" s="61">
        <v>1.83</v>
      </c>
      <c r="R196" s="60"/>
      <c r="S196" s="61">
        <v>1.83</v>
      </c>
    </row>
    <row r="197" ht="20" customHeight="1" spans="1:19">
      <c r="A197" s="43" t="s">
        <v>105</v>
      </c>
      <c r="B197" s="43" t="s">
        <v>106</v>
      </c>
      <c r="C197" s="44"/>
      <c r="D197" s="43" t="s">
        <v>52</v>
      </c>
      <c r="E197" s="43" t="s">
        <v>107</v>
      </c>
      <c r="F197" s="43" t="s">
        <v>52</v>
      </c>
      <c r="G197" s="43" t="s">
        <v>108</v>
      </c>
      <c r="H197" s="43" t="s">
        <v>109</v>
      </c>
      <c r="I197" s="43" t="s">
        <v>52</v>
      </c>
      <c r="J197" s="44"/>
      <c r="K197" s="54">
        <v>9360</v>
      </c>
      <c r="L197" s="54">
        <v>9360</v>
      </c>
      <c r="M197" s="54">
        <v>0</v>
      </c>
      <c r="N197" s="54">
        <v>0</v>
      </c>
      <c r="O197" s="54">
        <v>9360</v>
      </c>
      <c r="P197" s="55">
        <v>0.01</v>
      </c>
      <c r="Q197" s="61">
        <v>68.14</v>
      </c>
      <c r="R197" s="60"/>
      <c r="S197" s="61">
        <v>68.14</v>
      </c>
    </row>
    <row r="198" ht="13" customHeight="1" spans="1:19">
      <c r="A198" s="47" t="s">
        <v>143</v>
      </c>
      <c r="B198" s="48"/>
      <c r="C198" s="48"/>
      <c r="D198" s="48"/>
      <c r="E198" s="48"/>
      <c r="F198" s="48"/>
      <c r="G198" s="48"/>
      <c r="H198" s="48"/>
      <c r="I198" s="48"/>
      <c r="J198" s="56"/>
      <c r="K198" s="47" t="s">
        <v>144</v>
      </c>
      <c r="L198" s="57">
        <v>114938</v>
      </c>
      <c r="M198" s="58">
        <v>0</v>
      </c>
      <c r="N198" s="58">
        <v>0</v>
      </c>
      <c r="O198" s="58">
        <v>114938</v>
      </c>
      <c r="P198" s="59" t="s">
        <v>52</v>
      </c>
      <c r="Q198" s="62"/>
      <c r="R198" s="62"/>
      <c r="S198" s="63">
        <v>1304.74</v>
      </c>
    </row>
    <row r="199" ht="19" customHeight="1" spans="1:19">
      <c r="A199" s="43" t="s">
        <v>145</v>
      </c>
      <c r="B199" s="44"/>
      <c r="C199" s="44"/>
      <c r="D199" s="49" t="s">
        <v>146</v>
      </c>
      <c r="E199" s="50" t="s">
        <v>147</v>
      </c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56"/>
      <c r="S199" s="56"/>
    </row>
    <row r="200" ht="19" customHeight="1" spans="1:19">
      <c r="A200" s="49" t="s">
        <v>146</v>
      </c>
      <c r="B200" s="51"/>
      <c r="C200" s="51"/>
      <c r="D200" s="49" t="s">
        <v>146</v>
      </c>
      <c r="E200" s="49" t="s">
        <v>119</v>
      </c>
      <c r="F200" s="52">
        <v>700</v>
      </c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56"/>
      <c r="S200" s="56"/>
    </row>
    <row r="201" ht="12" customHeight="1" spans="1:19">
      <c r="A201" s="46" t="s">
        <v>52</v>
      </c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56"/>
      <c r="S201" s="56"/>
    </row>
    <row r="202" ht="14" customHeight="1" spans="1:19">
      <c r="A202" s="43" t="s">
        <v>67</v>
      </c>
      <c r="B202" s="44"/>
      <c r="C202" s="44"/>
      <c r="D202" s="45" t="s">
        <v>124</v>
      </c>
      <c r="E202" s="43" t="s">
        <v>69</v>
      </c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</row>
    <row r="203" ht="14" customHeight="1" spans="1:19">
      <c r="A203" s="43" t="s">
        <v>70</v>
      </c>
      <c r="B203" s="44"/>
      <c r="C203" s="44"/>
      <c r="D203" s="45" t="s">
        <v>124</v>
      </c>
      <c r="E203" s="43" t="s">
        <v>71</v>
      </c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</row>
    <row r="204" ht="14" customHeight="1" spans="1:19">
      <c r="A204" s="43" t="s">
        <v>82</v>
      </c>
      <c r="B204" s="44"/>
      <c r="C204" s="44"/>
      <c r="D204" s="45" t="s">
        <v>124</v>
      </c>
      <c r="E204" s="43" t="s">
        <v>83</v>
      </c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</row>
    <row r="205" ht="14" customHeight="1" spans="1:19">
      <c r="A205" s="43" t="s">
        <v>72</v>
      </c>
      <c r="B205" s="44"/>
      <c r="C205" s="44"/>
      <c r="D205" s="45" t="s">
        <v>124</v>
      </c>
      <c r="E205" s="43" t="s">
        <v>125</v>
      </c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</row>
    <row r="206" ht="14" customHeight="1" spans="1:19">
      <c r="A206" s="43" t="s">
        <v>126</v>
      </c>
      <c r="B206" s="44"/>
      <c r="C206" s="44"/>
      <c r="D206" s="45" t="s">
        <v>124</v>
      </c>
      <c r="E206" s="43" t="s">
        <v>153</v>
      </c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</row>
    <row r="207" ht="14" customHeight="1" spans="1:19">
      <c r="A207" s="43" t="s">
        <v>76</v>
      </c>
      <c r="B207" s="44"/>
      <c r="C207" s="44"/>
      <c r="D207" s="45" t="s">
        <v>124</v>
      </c>
      <c r="E207" s="43" t="s">
        <v>77</v>
      </c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</row>
    <row r="208" ht="14" customHeight="1" spans="1:19">
      <c r="A208" s="43" t="s">
        <v>78</v>
      </c>
      <c r="B208" s="44"/>
      <c r="C208" s="44"/>
      <c r="D208" s="45" t="s">
        <v>124</v>
      </c>
      <c r="E208" s="43" t="s">
        <v>79</v>
      </c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</row>
    <row r="209" ht="14" customHeight="1" spans="1:19">
      <c r="A209" s="43" t="s">
        <v>80</v>
      </c>
      <c r="B209" s="44"/>
      <c r="C209" s="44"/>
      <c r="D209" s="45" t="s">
        <v>124</v>
      </c>
      <c r="E209" s="43" t="s">
        <v>81</v>
      </c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</row>
    <row r="210" ht="17" customHeight="1" spans="1:19">
      <c r="A210" s="46" t="s">
        <v>52</v>
      </c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</row>
    <row r="211" ht="14" customHeight="1" spans="1:19">
      <c r="A211" s="43" t="s">
        <v>84</v>
      </c>
      <c r="B211" s="43" t="s">
        <v>85</v>
      </c>
      <c r="C211" s="44"/>
      <c r="D211" s="43" t="s">
        <v>52</v>
      </c>
      <c r="E211" s="43" t="s">
        <v>87</v>
      </c>
      <c r="F211" s="43" t="s">
        <v>88</v>
      </c>
      <c r="G211" s="43" t="s">
        <v>89</v>
      </c>
      <c r="H211" s="43" t="s">
        <v>90</v>
      </c>
      <c r="I211" s="43" t="s">
        <v>91</v>
      </c>
      <c r="J211" s="44"/>
      <c r="K211" s="53" t="s">
        <v>128</v>
      </c>
      <c r="L211" s="53" t="s">
        <v>129</v>
      </c>
      <c r="M211" s="53" t="s">
        <v>130</v>
      </c>
      <c r="N211" s="53" t="s">
        <v>131</v>
      </c>
      <c r="O211" s="53" t="s">
        <v>132</v>
      </c>
      <c r="P211" s="53" t="s">
        <v>93</v>
      </c>
      <c r="Q211" s="53" t="s">
        <v>94</v>
      </c>
      <c r="R211" s="60"/>
      <c r="S211" s="53" t="s">
        <v>133</v>
      </c>
    </row>
    <row r="212" ht="20" customHeight="1" spans="1:19">
      <c r="A212" s="43" t="s">
        <v>134</v>
      </c>
      <c r="B212" s="43" t="s">
        <v>135</v>
      </c>
      <c r="C212" s="44"/>
      <c r="D212" s="43" t="s">
        <v>52</v>
      </c>
      <c r="E212" s="43" t="s">
        <v>136</v>
      </c>
      <c r="F212" s="43" t="s">
        <v>52</v>
      </c>
      <c r="G212" s="43" t="s">
        <v>108</v>
      </c>
      <c r="H212" s="43" t="s">
        <v>109</v>
      </c>
      <c r="I212" s="43" t="s">
        <v>52</v>
      </c>
      <c r="J212" s="44"/>
      <c r="K212" s="54">
        <v>4752</v>
      </c>
      <c r="L212" s="54">
        <v>4752</v>
      </c>
      <c r="M212" s="54">
        <v>0</v>
      </c>
      <c r="N212" s="54">
        <v>0</v>
      </c>
      <c r="O212" s="54">
        <v>4752</v>
      </c>
      <c r="P212" s="55">
        <v>0.01</v>
      </c>
      <c r="Q212" s="61">
        <v>34.59</v>
      </c>
      <c r="R212" s="60"/>
      <c r="S212" s="61">
        <v>34.59</v>
      </c>
    </row>
    <row r="213" ht="20" customHeight="1" spans="1:19">
      <c r="A213" s="43" t="s">
        <v>134</v>
      </c>
      <c r="B213" s="43" t="s">
        <v>135</v>
      </c>
      <c r="C213" s="44"/>
      <c r="D213" s="43" t="s">
        <v>52</v>
      </c>
      <c r="E213" s="43" t="s">
        <v>136</v>
      </c>
      <c r="F213" s="43" t="s">
        <v>52</v>
      </c>
      <c r="G213" s="43" t="s">
        <v>108</v>
      </c>
      <c r="H213" s="43" t="s">
        <v>109</v>
      </c>
      <c r="I213" s="43" t="s">
        <v>52</v>
      </c>
      <c r="J213" s="44"/>
      <c r="K213" s="54">
        <v>34272</v>
      </c>
      <c r="L213" s="54">
        <v>34272</v>
      </c>
      <c r="M213" s="54">
        <v>0</v>
      </c>
      <c r="N213" s="54">
        <v>0</v>
      </c>
      <c r="O213" s="54">
        <v>34272</v>
      </c>
      <c r="P213" s="55">
        <v>0.01</v>
      </c>
      <c r="Q213" s="61">
        <v>249.5</v>
      </c>
      <c r="R213" s="60"/>
      <c r="S213" s="61">
        <v>249.5</v>
      </c>
    </row>
    <row r="214" ht="20" customHeight="1" spans="1:19">
      <c r="A214" s="43" t="s">
        <v>134</v>
      </c>
      <c r="B214" s="43" t="s">
        <v>135</v>
      </c>
      <c r="C214" s="44"/>
      <c r="D214" s="43" t="s">
        <v>52</v>
      </c>
      <c r="E214" s="43" t="s">
        <v>136</v>
      </c>
      <c r="F214" s="43" t="s">
        <v>52</v>
      </c>
      <c r="G214" s="43" t="s">
        <v>108</v>
      </c>
      <c r="H214" s="43" t="s">
        <v>109</v>
      </c>
      <c r="I214" s="43" t="s">
        <v>52</v>
      </c>
      <c r="J214" s="44"/>
      <c r="K214" s="54">
        <v>144</v>
      </c>
      <c r="L214" s="54">
        <v>144</v>
      </c>
      <c r="M214" s="54">
        <v>0</v>
      </c>
      <c r="N214" s="54">
        <v>0</v>
      </c>
      <c r="O214" s="54">
        <v>144</v>
      </c>
      <c r="P214" s="55">
        <v>0.01</v>
      </c>
      <c r="Q214" s="61">
        <v>1.05</v>
      </c>
      <c r="R214" s="60"/>
      <c r="S214" s="61">
        <v>1.05</v>
      </c>
    </row>
    <row r="215" ht="20" customHeight="1" spans="1:19">
      <c r="A215" s="43" t="s">
        <v>137</v>
      </c>
      <c r="B215" s="43" t="s">
        <v>138</v>
      </c>
      <c r="C215" s="44"/>
      <c r="D215" s="43" t="s">
        <v>52</v>
      </c>
      <c r="E215" s="43" t="s">
        <v>139</v>
      </c>
      <c r="F215" s="43" t="s">
        <v>52</v>
      </c>
      <c r="G215" s="43" t="s">
        <v>100</v>
      </c>
      <c r="H215" s="43" t="s">
        <v>101</v>
      </c>
      <c r="I215" s="43" t="s">
        <v>52</v>
      </c>
      <c r="J215" s="44"/>
      <c r="K215" s="54">
        <v>1692</v>
      </c>
      <c r="L215" s="54">
        <v>1692</v>
      </c>
      <c r="M215" s="54">
        <v>0</v>
      </c>
      <c r="N215" s="54">
        <v>0</v>
      </c>
      <c r="O215" s="54">
        <v>1692</v>
      </c>
      <c r="P215" s="55">
        <v>0.11</v>
      </c>
      <c r="Q215" s="61">
        <v>191.47</v>
      </c>
      <c r="R215" s="60"/>
      <c r="S215" s="61">
        <v>191.47</v>
      </c>
    </row>
    <row r="216" ht="20" customHeight="1" spans="1:19">
      <c r="A216" s="43" t="s">
        <v>137</v>
      </c>
      <c r="B216" s="43" t="s">
        <v>138</v>
      </c>
      <c r="C216" s="44"/>
      <c r="D216" s="43" t="s">
        <v>52</v>
      </c>
      <c r="E216" s="43" t="s">
        <v>139</v>
      </c>
      <c r="F216" s="43" t="s">
        <v>52</v>
      </c>
      <c r="G216" s="43" t="s">
        <v>100</v>
      </c>
      <c r="H216" s="43" t="s">
        <v>101</v>
      </c>
      <c r="I216" s="43" t="s">
        <v>52</v>
      </c>
      <c r="J216" s="44"/>
      <c r="K216" s="54">
        <v>10</v>
      </c>
      <c r="L216" s="54">
        <v>10</v>
      </c>
      <c r="M216" s="54">
        <v>0</v>
      </c>
      <c r="N216" s="54">
        <v>0</v>
      </c>
      <c r="O216" s="54">
        <v>10</v>
      </c>
      <c r="P216" s="55">
        <v>0.11</v>
      </c>
      <c r="Q216" s="61">
        <v>1.13</v>
      </c>
      <c r="R216" s="60"/>
      <c r="S216" s="61">
        <v>1.13</v>
      </c>
    </row>
    <row r="217" ht="20" customHeight="1" spans="1:19">
      <c r="A217" s="43" t="s">
        <v>137</v>
      </c>
      <c r="B217" s="43" t="s">
        <v>138</v>
      </c>
      <c r="C217" s="44"/>
      <c r="D217" s="43" t="s">
        <v>52</v>
      </c>
      <c r="E217" s="43" t="s">
        <v>139</v>
      </c>
      <c r="F217" s="43" t="s">
        <v>52</v>
      </c>
      <c r="G217" s="43" t="s">
        <v>100</v>
      </c>
      <c r="H217" s="43" t="s">
        <v>101</v>
      </c>
      <c r="I217" s="43" t="s">
        <v>52</v>
      </c>
      <c r="J217" s="44"/>
      <c r="K217" s="54">
        <v>8</v>
      </c>
      <c r="L217" s="54">
        <v>8</v>
      </c>
      <c r="M217" s="54">
        <v>0</v>
      </c>
      <c r="N217" s="54">
        <v>0</v>
      </c>
      <c r="O217" s="54">
        <v>8</v>
      </c>
      <c r="P217" s="55">
        <v>0.11</v>
      </c>
      <c r="Q217" s="61">
        <v>0.91</v>
      </c>
      <c r="R217" s="60"/>
      <c r="S217" s="61">
        <v>0.91</v>
      </c>
    </row>
    <row r="218" ht="20" customHeight="1" spans="1:19">
      <c r="A218" s="43" t="s">
        <v>140</v>
      </c>
      <c r="B218" s="43" t="s">
        <v>141</v>
      </c>
      <c r="C218" s="44"/>
      <c r="D218" s="43" t="s">
        <v>52</v>
      </c>
      <c r="E218" s="43" t="s">
        <v>142</v>
      </c>
      <c r="F218" s="43" t="s">
        <v>52</v>
      </c>
      <c r="G218" s="43" t="s">
        <v>108</v>
      </c>
      <c r="H218" s="43" t="s">
        <v>109</v>
      </c>
      <c r="I218" s="43" t="s">
        <v>52</v>
      </c>
      <c r="J218" s="44"/>
      <c r="K218" s="54">
        <v>180</v>
      </c>
      <c r="L218" s="54">
        <v>180</v>
      </c>
      <c r="M218" s="54">
        <v>0</v>
      </c>
      <c r="N218" s="54">
        <v>0</v>
      </c>
      <c r="O218" s="54">
        <v>180</v>
      </c>
      <c r="P218" s="55">
        <v>0.01</v>
      </c>
      <c r="Q218" s="61">
        <v>1.31</v>
      </c>
      <c r="R218" s="60"/>
      <c r="S218" s="61">
        <v>1.31</v>
      </c>
    </row>
    <row r="219" ht="20" customHeight="1" spans="1:19">
      <c r="A219" s="43" t="s">
        <v>140</v>
      </c>
      <c r="B219" s="43" t="s">
        <v>141</v>
      </c>
      <c r="C219" s="44"/>
      <c r="D219" s="43" t="s">
        <v>52</v>
      </c>
      <c r="E219" s="43" t="s">
        <v>142</v>
      </c>
      <c r="F219" s="43" t="s">
        <v>52</v>
      </c>
      <c r="G219" s="43" t="s">
        <v>108</v>
      </c>
      <c r="H219" s="43" t="s">
        <v>109</v>
      </c>
      <c r="I219" s="43" t="s">
        <v>52</v>
      </c>
      <c r="J219" s="44"/>
      <c r="K219" s="54">
        <v>24</v>
      </c>
      <c r="L219" s="54">
        <v>24</v>
      </c>
      <c r="M219" s="54">
        <v>0</v>
      </c>
      <c r="N219" s="54">
        <v>0</v>
      </c>
      <c r="O219" s="54">
        <v>24</v>
      </c>
      <c r="P219" s="55">
        <v>0.01</v>
      </c>
      <c r="Q219" s="61">
        <v>0.17</v>
      </c>
      <c r="R219" s="60"/>
      <c r="S219" s="61">
        <v>0.17</v>
      </c>
    </row>
    <row r="220" ht="20" customHeight="1" spans="1:19">
      <c r="A220" s="43" t="s">
        <v>140</v>
      </c>
      <c r="B220" s="43" t="s">
        <v>141</v>
      </c>
      <c r="C220" s="44"/>
      <c r="D220" s="43" t="s">
        <v>52</v>
      </c>
      <c r="E220" s="43" t="s">
        <v>142</v>
      </c>
      <c r="F220" s="43" t="s">
        <v>52</v>
      </c>
      <c r="G220" s="43" t="s">
        <v>108</v>
      </c>
      <c r="H220" s="43" t="s">
        <v>109</v>
      </c>
      <c r="I220" s="43" t="s">
        <v>52</v>
      </c>
      <c r="J220" s="44"/>
      <c r="K220" s="54">
        <v>156</v>
      </c>
      <c r="L220" s="54">
        <v>156</v>
      </c>
      <c r="M220" s="54">
        <v>0</v>
      </c>
      <c r="N220" s="54">
        <v>0</v>
      </c>
      <c r="O220" s="54">
        <v>156</v>
      </c>
      <c r="P220" s="55">
        <v>0.01</v>
      </c>
      <c r="Q220" s="61">
        <v>1.14</v>
      </c>
      <c r="R220" s="60"/>
      <c r="S220" s="61">
        <v>1.14</v>
      </c>
    </row>
    <row r="221" ht="20" customHeight="1" spans="1:19">
      <c r="A221" s="43" t="s">
        <v>140</v>
      </c>
      <c r="B221" s="43" t="s">
        <v>141</v>
      </c>
      <c r="C221" s="44"/>
      <c r="D221" s="43" t="s">
        <v>52</v>
      </c>
      <c r="E221" s="43" t="s">
        <v>142</v>
      </c>
      <c r="F221" s="43" t="s">
        <v>52</v>
      </c>
      <c r="G221" s="43" t="s">
        <v>108</v>
      </c>
      <c r="H221" s="43" t="s">
        <v>109</v>
      </c>
      <c r="I221" s="43" t="s">
        <v>52</v>
      </c>
      <c r="J221" s="44"/>
      <c r="K221" s="54">
        <v>19224</v>
      </c>
      <c r="L221" s="54">
        <v>19224</v>
      </c>
      <c r="M221" s="54">
        <v>0</v>
      </c>
      <c r="N221" s="54">
        <v>0</v>
      </c>
      <c r="O221" s="54">
        <v>19224</v>
      </c>
      <c r="P221" s="55">
        <v>0.01</v>
      </c>
      <c r="Q221" s="61">
        <v>139.95</v>
      </c>
      <c r="R221" s="60"/>
      <c r="S221" s="61">
        <v>139.95</v>
      </c>
    </row>
    <row r="222" ht="20" customHeight="1" spans="1:19">
      <c r="A222" s="43" t="s">
        <v>97</v>
      </c>
      <c r="B222" s="43" t="s">
        <v>102</v>
      </c>
      <c r="C222" s="44"/>
      <c r="D222" s="43" t="s">
        <v>52</v>
      </c>
      <c r="E222" s="43" t="s">
        <v>99</v>
      </c>
      <c r="F222" s="43" t="s">
        <v>52</v>
      </c>
      <c r="G222" s="43" t="s">
        <v>100</v>
      </c>
      <c r="H222" s="43" t="s">
        <v>101</v>
      </c>
      <c r="I222" s="43" t="s">
        <v>52</v>
      </c>
      <c r="J222" s="44"/>
      <c r="K222" s="54">
        <v>1092</v>
      </c>
      <c r="L222" s="54">
        <v>1092</v>
      </c>
      <c r="M222" s="54">
        <v>0</v>
      </c>
      <c r="N222" s="54">
        <v>0</v>
      </c>
      <c r="O222" s="54">
        <v>1092</v>
      </c>
      <c r="P222" s="55">
        <v>0.11</v>
      </c>
      <c r="Q222" s="61">
        <v>123.57</v>
      </c>
      <c r="R222" s="60"/>
      <c r="S222" s="61">
        <v>123.57</v>
      </c>
    </row>
    <row r="223" ht="20" customHeight="1" spans="1:19">
      <c r="A223" s="43" t="s">
        <v>97</v>
      </c>
      <c r="B223" s="43" t="s">
        <v>102</v>
      </c>
      <c r="C223" s="44"/>
      <c r="D223" s="43" t="s">
        <v>52</v>
      </c>
      <c r="E223" s="43" t="s">
        <v>99</v>
      </c>
      <c r="F223" s="43" t="s">
        <v>52</v>
      </c>
      <c r="G223" s="43" t="s">
        <v>100</v>
      </c>
      <c r="H223" s="43" t="s">
        <v>101</v>
      </c>
      <c r="I223" s="43" t="s">
        <v>52</v>
      </c>
      <c r="J223" s="44"/>
      <c r="K223" s="54">
        <v>1</v>
      </c>
      <c r="L223" s="54">
        <v>1</v>
      </c>
      <c r="M223" s="54">
        <v>0</v>
      </c>
      <c r="N223" s="54">
        <v>0</v>
      </c>
      <c r="O223" s="54">
        <v>1</v>
      </c>
      <c r="P223" s="55">
        <v>0.11</v>
      </c>
      <c r="Q223" s="61">
        <v>0.11</v>
      </c>
      <c r="R223" s="60"/>
      <c r="S223" s="61">
        <v>0.11</v>
      </c>
    </row>
    <row r="224" ht="20" customHeight="1" spans="1:19">
      <c r="A224" s="43" t="s">
        <v>97</v>
      </c>
      <c r="B224" s="43" t="s">
        <v>102</v>
      </c>
      <c r="C224" s="44"/>
      <c r="D224" s="43" t="s">
        <v>52</v>
      </c>
      <c r="E224" s="43" t="s">
        <v>99</v>
      </c>
      <c r="F224" s="43" t="s">
        <v>52</v>
      </c>
      <c r="G224" s="43" t="s">
        <v>100</v>
      </c>
      <c r="H224" s="43" t="s">
        <v>101</v>
      </c>
      <c r="I224" s="43" t="s">
        <v>52</v>
      </c>
      <c r="J224" s="44"/>
      <c r="K224" s="54">
        <v>3</v>
      </c>
      <c r="L224" s="54">
        <v>3</v>
      </c>
      <c r="M224" s="54">
        <v>0</v>
      </c>
      <c r="N224" s="54">
        <v>0</v>
      </c>
      <c r="O224" s="54">
        <v>3</v>
      </c>
      <c r="P224" s="55">
        <v>0.11</v>
      </c>
      <c r="Q224" s="61">
        <v>0.34</v>
      </c>
      <c r="R224" s="60"/>
      <c r="S224" s="61">
        <v>0.34</v>
      </c>
    </row>
    <row r="225" ht="20" customHeight="1" spans="1:19">
      <c r="A225" s="43" t="s">
        <v>97</v>
      </c>
      <c r="B225" s="43" t="s">
        <v>102</v>
      </c>
      <c r="C225" s="44"/>
      <c r="D225" s="43" t="s">
        <v>52</v>
      </c>
      <c r="E225" s="43" t="s">
        <v>99</v>
      </c>
      <c r="F225" s="43" t="s">
        <v>52</v>
      </c>
      <c r="G225" s="43" t="s">
        <v>100</v>
      </c>
      <c r="H225" s="43" t="s">
        <v>101</v>
      </c>
      <c r="I225" s="43" t="s">
        <v>52</v>
      </c>
      <c r="J225" s="44"/>
      <c r="K225" s="54">
        <v>4</v>
      </c>
      <c r="L225" s="54">
        <v>4</v>
      </c>
      <c r="M225" s="54">
        <v>0</v>
      </c>
      <c r="N225" s="54">
        <v>0</v>
      </c>
      <c r="O225" s="54">
        <v>4</v>
      </c>
      <c r="P225" s="55">
        <v>0.11</v>
      </c>
      <c r="Q225" s="61">
        <v>0.45</v>
      </c>
      <c r="R225" s="60"/>
      <c r="S225" s="61">
        <v>0.45</v>
      </c>
    </row>
    <row r="226" ht="20" customHeight="1" spans="1:19">
      <c r="A226" s="43" t="s">
        <v>97</v>
      </c>
      <c r="B226" s="43" t="s">
        <v>102</v>
      </c>
      <c r="C226" s="44"/>
      <c r="D226" s="43" t="s">
        <v>52</v>
      </c>
      <c r="E226" s="43" t="s">
        <v>99</v>
      </c>
      <c r="F226" s="43" t="s">
        <v>52</v>
      </c>
      <c r="G226" s="43" t="s">
        <v>103</v>
      </c>
      <c r="H226" s="43" t="s">
        <v>104</v>
      </c>
      <c r="I226" s="43" t="s">
        <v>52</v>
      </c>
      <c r="J226" s="44"/>
      <c r="K226" s="54">
        <v>56</v>
      </c>
      <c r="L226" s="54">
        <v>56</v>
      </c>
      <c r="M226" s="54">
        <v>0</v>
      </c>
      <c r="N226" s="54">
        <v>0</v>
      </c>
      <c r="O226" s="54">
        <v>56</v>
      </c>
      <c r="P226" s="55">
        <v>0.02</v>
      </c>
      <c r="Q226" s="61">
        <v>1.08</v>
      </c>
      <c r="R226" s="60"/>
      <c r="S226" s="61">
        <v>1.08</v>
      </c>
    </row>
    <row r="227" ht="20" customHeight="1" spans="1:19">
      <c r="A227" s="43" t="s">
        <v>97</v>
      </c>
      <c r="B227" s="43" t="s">
        <v>102</v>
      </c>
      <c r="C227" s="44"/>
      <c r="D227" s="43" t="s">
        <v>52</v>
      </c>
      <c r="E227" s="43" t="s">
        <v>99</v>
      </c>
      <c r="F227" s="43" t="s">
        <v>52</v>
      </c>
      <c r="G227" s="43" t="s">
        <v>103</v>
      </c>
      <c r="H227" s="43" t="s">
        <v>104</v>
      </c>
      <c r="I227" s="43" t="s">
        <v>52</v>
      </c>
      <c r="J227" s="44"/>
      <c r="K227" s="54">
        <v>14148</v>
      </c>
      <c r="L227" s="54">
        <v>14148</v>
      </c>
      <c r="M227" s="54">
        <v>0</v>
      </c>
      <c r="N227" s="54">
        <v>0</v>
      </c>
      <c r="O227" s="54">
        <v>14148</v>
      </c>
      <c r="P227" s="55">
        <v>0.02</v>
      </c>
      <c r="Q227" s="61">
        <v>272.75</v>
      </c>
      <c r="R227" s="60"/>
      <c r="S227" s="61">
        <v>272.75</v>
      </c>
    </row>
    <row r="228" ht="20" customHeight="1" spans="1:19">
      <c r="A228" s="43" t="s">
        <v>97</v>
      </c>
      <c r="B228" s="43" t="s">
        <v>102</v>
      </c>
      <c r="C228" s="44"/>
      <c r="D228" s="43" t="s">
        <v>52</v>
      </c>
      <c r="E228" s="43" t="s">
        <v>99</v>
      </c>
      <c r="F228" s="43" t="s">
        <v>52</v>
      </c>
      <c r="G228" s="43" t="s">
        <v>103</v>
      </c>
      <c r="H228" s="43" t="s">
        <v>104</v>
      </c>
      <c r="I228" s="43" t="s">
        <v>52</v>
      </c>
      <c r="J228" s="44"/>
      <c r="K228" s="54">
        <v>4</v>
      </c>
      <c r="L228" s="54">
        <v>4</v>
      </c>
      <c r="M228" s="54">
        <v>0</v>
      </c>
      <c r="N228" s="54">
        <v>0</v>
      </c>
      <c r="O228" s="54">
        <v>4</v>
      </c>
      <c r="P228" s="55">
        <v>0.02</v>
      </c>
      <c r="Q228" s="61">
        <v>0.08</v>
      </c>
      <c r="R228" s="60"/>
      <c r="S228" s="61">
        <v>0.08</v>
      </c>
    </row>
    <row r="229" ht="20" customHeight="1" spans="1:19">
      <c r="A229" s="43" t="s">
        <v>105</v>
      </c>
      <c r="B229" s="43" t="s">
        <v>106</v>
      </c>
      <c r="C229" s="44"/>
      <c r="D229" s="43" t="s">
        <v>52</v>
      </c>
      <c r="E229" s="43" t="s">
        <v>107</v>
      </c>
      <c r="F229" s="43" t="s">
        <v>52</v>
      </c>
      <c r="G229" s="43" t="s">
        <v>108</v>
      </c>
      <c r="H229" s="43" t="s">
        <v>109</v>
      </c>
      <c r="I229" s="43" t="s">
        <v>52</v>
      </c>
      <c r="J229" s="44"/>
      <c r="K229" s="54">
        <v>20736</v>
      </c>
      <c r="L229" s="54">
        <v>20736</v>
      </c>
      <c r="M229" s="54">
        <v>0</v>
      </c>
      <c r="N229" s="54">
        <v>0</v>
      </c>
      <c r="O229" s="54">
        <v>20736</v>
      </c>
      <c r="P229" s="55">
        <v>0.01</v>
      </c>
      <c r="Q229" s="61">
        <v>150.96</v>
      </c>
      <c r="R229" s="60"/>
      <c r="S229" s="61">
        <v>150.96</v>
      </c>
    </row>
    <row r="230" ht="20" customHeight="1" spans="1:19">
      <c r="A230" s="43" t="s">
        <v>105</v>
      </c>
      <c r="B230" s="43" t="s">
        <v>106</v>
      </c>
      <c r="C230" s="44"/>
      <c r="D230" s="43" t="s">
        <v>52</v>
      </c>
      <c r="E230" s="43" t="s">
        <v>107</v>
      </c>
      <c r="F230" s="43" t="s">
        <v>52</v>
      </c>
      <c r="G230" s="43" t="s">
        <v>108</v>
      </c>
      <c r="H230" s="43" t="s">
        <v>109</v>
      </c>
      <c r="I230" s="43" t="s">
        <v>52</v>
      </c>
      <c r="J230" s="44"/>
      <c r="K230" s="54">
        <v>8640</v>
      </c>
      <c r="L230" s="54">
        <v>8640</v>
      </c>
      <c r="M230" s="54">
        <v>0</v>
      </c>
      <c r="N230" s="54">
        <v>0</v>
      </c>
      <c r="O230" s="54">
        <v>8640</v>
      </c>
      <c r="P230" s="55">
        <v>0.01</v>
      </c>
      <c r="Q230" s="61">
        <v>62.9</v>
      </c>
      <c r="R230" s="60"/>
      <c r="S230" s="61">
        <v>62.9</v>
      </c>
    </row>
    <row r="231" ht="20" customHeight="1" spans="1:19">
      <c r="A231" s="43" t="s">
        <v>105</v>
      </c>
      <c r="B231" s="43" t="s">
        <v>106</v>
      </c>
      <c r="C231" s="44"/>
      <c r="D231" s="43" t="s">
        <v>52</v>
      </c>
      <c r="E231" s="43" t="s">
        <v>107</v>
      </c>
      <c r="F231" s="43" t="s">
        <v>52</v>
      </c>
      <c r="G231" s="43" t="s">
        <v>108</v>
      </c>
      <c r="H231" s="43" t="s">
        <v>109</v>
      </c>
      <c r="I231" s="43" t="s">
        <v>52</v>
      </c>
      <c r="J231" s="44"/>
      <c r="K231" s="54">
        <v>180</v>
      </c>
      <c r="L231" s="54">
        <v>180</v>
      </c>
      <c r="M231" s="54">
        <v>0</v>
      </c>
      <c r="N231" s="54">
        <v>0</v>
      </c>
      <c r="O231" s="54">
        <v>180</v>
      </c>
      <c r="P231" s="55">
        <v>0.01</v>
      </c>
      <c r="Q231" s="61">
        <v>1.31</v>
      </c>
      <c r="R231" s="60"/>
      <c r="S231" s="61">
        <v>1.31</v>
      </c>
    </row>
    <row r="232" ht="20" customHeight="1" spans="1:19">
      <c r="A232" s="43" t="s">
        <v>105</v>
      </c>
      <c r="B232" s="43" t="s">
        <v>106</v>
      </c>
      <c r="C232" s="44"/>
      <c r="D232" s="43" t="s">
        <v>52</v>
      </c>
      <c r="E232" s="43" t="s">
        <v>107</v>
      </c>
      <c r="F232" s="43" t="s">
        <v>52</v>
      </c>
      <c r="G232" s="43" t="s">
        <v>108</v>
      </c>
      <c r="H232" s="43" t="s">
        <v>109</v>
      </c>
      <c r="I232" s="43" t="s">
        <v>52</v>
      </c>
      <c r="J232" s="44"/>
      <c r="K232" s="54">
        <v>252</v>
      </c>
      <c r="L232" s="54">
        <v>252</v>
      </c>
      <c r="M232" s="54">
        <v>0</v>
      </c>
      <c r="N232" s="54">
        <v>0</v>
      </c>
      <c r="O232" s="54">
        <v>252</v>
      </c>
      <c r="P232" s="55">
        <v>0.01</v>
      </c>
      <c r="Q232" s="61">
        <v>1.83</v>
      </c>
      <c r="R232" s="60"/>
      <c r="S232" s="61">
        <v>1.83</v>
      </c>
    </row>
    <row r="233" ht="20" customHeight="1" spans="1:19">
      <c r="A233" s="43" t="s">
        <v>105</v>
      </c>
      <c r="B233" s="43" t="s">
        <v>106</v>
      </c>
      <c r="C233" s="44"/>
      <c r="D233" s="43" t="s">
        <v>52</v>
      </c>
      <c r="E233" s="43" t="s">
        <v>107</v>
      </c>
      <c r="F233" s="43" t="s">
        <v>52</v>
      </c>
      <c r="G233" s="43" t="s">
        <v>108</v>
      </c>
      <c r="H233" s="43" t="s">
        <v>109</v>
      </c>
      <c r="I233" s="43" t="s">
        <v>52</v>
      </c>
      <c r="J233" s="44"/>
      <c r="K233" s="54">
        <v>9360</v>
      </c>
      <c r="L233" s="54">
        <v>9360</v>
      </c>
      <c r="M233" s="54">
        <v>0</v>
      </c>
      <c r="N233" s="54">
        <v>0</v>
      </c>
      <c r="O233" s="54">
        <v>9360</v>
      </c>
      <c r="P233" s="55">
        <v>0.01</v>
      </c>
      <c r="Q233" s="61">
        <v>68.14</v>
      </c>
      <c r="R233" s="60"/>
      <c r="S233" s="61">
        <v>68.14</v>
      </c>
    </row>
    <row r="234" ht="13" customHeight="1" spans="1:19">
      <c r="A234" s="47" t="s">
        <v>143</v>
      </c>
      <c r="B234" s="48"/>
      <c r="C234" s="48"/>
      <c r="D234" s="48"/>
      <c r="E234" s="48"/>
      <c r="F234" s="48"/>
      <c r="G234" s="48"/>
      <c r="H234" s="48"/>
      <c r="I234" s="48"/>
      <c r="J234" s="56"/>
      <c r="K234" s="47" t="s">
        <v>144</v>
      </c>
      <c r="L234" s="57">
        <v>114938</v>
      </c>
      <c r="M234" s="58">
        <v>0</v>
      </c>
      <c r="N234" s="58">
        <v>0</v>
      </c>
      <c r="O234" s="58">
        <v>114938</v>
      </c>
      <c r="P234" s="59" t="s">
        <v>52</v>
      </c>
      <c r="Q234" s="62"/>
      <c r="R234" s="62"/>
      <c r="S234" s="63">
        <v>1304.74</v>
      </c>
    </row>
    <row r="235" ht="19" customHeight="1" spans="1:19">
      <c r="A235" s="43" t="s">
        <v>145</v>
      </c>
      <c r="B235" s="44"/>
      <c r="C235" s="44"/>
      <c r="D235" s="49" t="s">
        <v>146</v>
      </c>
      <c r="E235" s="50" t="s">
        <v>147</v>
      </c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56"/>
      <c r="S235" s="56"/>
    </row>
    <row r="236" ht="19" customHeight="1" spans="1:19">
      <c r="A236" s="49" t="s">
        <v>146</v>
      </c>
      <c r="B236" s="51"/>
      <c r="C236" s="51"/>
      <c r="D236" s="49" t="s">
        <v>146</v>
      </c>
      <c r="E236" s="49" t="s">
        <v>119</v>
      </c>
      <c r="F236" s="52">
        <v>700</v>
      </c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56"/>
      <c r="S236" s="56"/>
    </row>
    <row r="237" ht="12" customHeight="1" spans="1:19">
      <c r="A237" s="46" t="s">
        <v>52</v>
      </c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56"/>
      <c r="S237" s="56"/>
    </row>
    <row r="238" ht="14" customHeight="1" spans="1:19">
      <c r="A238" s="43" t="s">
        <v>67</v>
      </c>
      <c r="B238" s="44"/>
      <c r="C238" s="44"/>
      <c r="D238" s="45" t="s">
        <v>124</v>
      </c>
      <c r="E238" s="43" t="s">
        <v>69</v>
      </c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</row>
    <row r="239" ht="14" customHeight="1" spans="1:19">
      <c r="A239" s="43" t="s">
        <v>70</v>
      </c>
      <c r="B239" s="44"/>
      <c r="C239" s="44"/>
      <c r="D239" s="45" t="s">
        <v>124</v>
      </c>
      <c r="E239" s="43" t="s">
        <v>71</v>
      </c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</row>
    <row r="240" ht="14" customHeight="1" spans="1:19">
      <c r="A240" s="43" t="s">
        <v>82</v>
      </c>
      <c r="B240" s="44"/>
      <c r="C240" s="44"/>
      <c r="D240" s="45" t="s">
        <v>124</v>
      </c>
      <c r="E240" s="43" t="s">
        <v>83</v>
      </c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</row>
    <row r="241" ht="14" customHeight="1" spans="1:19">
      <c r="A241" s="43" t="s">
        <v>72</v>
      </c>
      <c r="B241" s="44"/>
      <c r="C241" s="44"/>
      <c r="D241" s="45" t="s">
        <v>124</v>
      </c>
      <c r="E241" s="43" t="s">
        <v>125</v>
      </c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</row>
    <row r="242" ht="14" customHeight="1" spans="1:19">
      <c r="A242" s="43" t="s">
        <v>126</v>
      </c>
      <c r="B242" s="44"/>
      <c r="C242" s="44"/>
      <c r="D242" s="45" t="s">
        <v>124</v>
      </c>
      <c r="E242" s="43" t="s">
        <v>154</v>
      </c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</row>
    <row r="243" ht="14" customHeight="1" spans="1:19">
      <c r="A243" s="43" t="s">
        <v>76</v>
      </c>
      <c r="B243" s="44"/>
      <c r="C243" s="44"/>
      <c r="D243" s="45" t="s">
        <v>124</v>
      </c>
      <c r="E243" s="43" t="s">
        <v>77</v>
      </c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</row>
    <row r="244" ht="14" customHeight="1" spans="1:19">
      <c r="A244" s="43" t="s">
        <v>78</v>
      </c>
      <c r="B244" s="44"/>
      <c r="C244" s="44"/>
      <c r="D244" s="45" t="s">
        <v>124</v>
      </c>
      <c r="E244" s="43" t="s">
        <v>79</v>
      </c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</row>
    <row r="245" ht="14" customHeight="1" spans="1:19">
      <c r="A245" s="43" t="s">
        <v>80</v>
      </c>
      <c r="B245" s="44"/>
      <c r="C245" s="44"/>
      <c r="D245" s="45" t="s">
        <v>124</v>
      </c>
      <c r="E245" s="43" t="s">
        <v>81</v>
      </c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</row>
    <row r="246" ht="17" customHeight="1" spans="1:19">
      <c r="A246" s="46" t="s">
        <v>52</v>
      </c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</row>
    <row r="247" ht="14" customHeight="1" spans="1:19">
      <c r="A247" s="43" t="s">
        <v>84</v>
      </c>
      <c r="B247" s="43" t="s">
        <v>85</v>
      </c>
      <c r="C247" s="44"/>
      <c r="D247" s="43" t="s">
        <v>52</v>
      </c>
      <c r="E247" s="43" t="s">
        <v>87</v>
      </c>
      <c r="F247" s="43" t="s">
        <v>88</v>
      </c>
      <c r="G247" s="43" t="s">
        <v>89</v>
      </c>
      <c r="H247" s="43" t="s">
        <v>90</v>
      </c>
      <c r="I247" s="43" t="s">
        <v>91</v>
      </c>
      <c r="J247" s="44"/>
      <c r="K247" s="53" t="s">
        <v>128</v>
      </c>
      <c r="L247" s="53" t="s">
        <v>129</v>
      </c>
      <c r="M247" s="53" t="s">
        <v>130</v>
      </c>
      <c r="N247" s="53" t="s">
        <v>131</v>
      </c>
      <c r="O247" s="53" t="s">
        <v>132</v>
      </c>
      <c r="P247" s="53" t="s">
        <v>93</v>
      </c>
      <c r="Q247" s="53" t="s">
        <v>94</v>
      </c>
      <c r="R247" s="60"/>
      <c r="S247" s="53" t="s">
        <v>133</v>
      </c>
    </row>
    <row r="248" ht="20" customHeight="1" spans="1:19">
      <c r="A248" s="43" t="s">
        <v>134</v>
      </c>
      <c r="B248" s="43" t="s">
        <v>135</v>
      </c>
      <c r="C248" s="44"/>
      <c r="D248" s="43" t="s">
        <v>52</v>
      </c>
      <c r="E248" s="43" t="s">
        <v>136</v>
      </c>
      <c r="F248" s="43" t="s">
        <v>52</v>
      </c>
      <c r="G248" s="43" t="s">
        <v>108</v>
      </c>
      <c r="H248" s="43" t="s">
        <v>109</v>
      </c>
      <c r="I248" s="43" t="s">
        <v>52</v>
      </c>
      <c r="J248" s="44"/>
      <c r="K248" s="54">
        <v>4752</v>
      </c>
      <c r="L248" s="54">
        <v>4752</v>
      </c>
      <c r="M248" s="54">
        <v>0</v>
      </c>
      <c r="N248" s="54">
        <v>0</v>
      </c>
      <c r="O248" s="54">
        <v>4752</v>
      </c>
      <c r="P248" s="55">
        <v>0.01</v>
      </c>
      <c r="Q248" s="61">
        <v>34.59</v>
      </c>
      <c r="R248" s="60"/>
      <c r="S248" s="61">
        <v>34.59</v>
      </c>
    </row>
    <row r="249" ht="20" customHeight="1" spans="1:19">
      <c r="A249" s="43" t="s">
        <v>134</v>
      </c>
      <c r="B249" s="43" t="s">
        <v>135</v>
      </c>
      <c r="C249" s="44"/>
      <c r="D249" s="43" t="s">
        <v>52</v>
      </c>
      <c r="E249" s="43" t="s">
        <v>136</v>
      </c>
      <c r="F249" s="43" t="s">
        <v>52</v>
      </c>
      <c r="G249" s="43" t="s">
        <v>108</v>
      </c>
      <c r="H249" s="43" t="s">
        <v>109</v>
      </c>
      <c r="I249" s="43" t="s">
        <v>52</v>
      </c>
      <c r="J249" s="44"/>
      <c r="K249" s="54">
        <v>34272</v>
      </c>
      <c r="L249" s="54">
        <v>34272</v>
      </c>
      <c r="M249" s="54">
        <v>0</v>
      </c>
      <c r="N249" s="54">
        <v>0</v>
      </c>
      <c r="O249" s="54">
        <v>34272</v>
      </c>
      <c r="P249" s="55">
        <v>0.01</v>
      </c>
      <c r="Q249" s="61">
        <v>249.5</v>
      </c>
      <c r="R249" s="60"/>
      <c r="S249" s="61">
        <v>249.5</v>
      </c>
    </row>
    <row r="250" ht="20" customHeight="1" spans="1:19">
      <c r="A250" s="43" t="s">
        <v>134</v>
      </c>
      <c r="B250" s="43" t="s">
        <v>135</v>
      </c>
      <c r="C250" s="44"/>
      <c r="D250" s="43" t="s">
        <v>52</v>
      </c>
      <c r="E250" s="43" t="s">
        <v>136</v>
      </c>
      <c r="F250" s="43" t="s">
        <v>52</v>
      </c>
      <c r="G250" s="43" t="s">
        <v>108</v>
      </c>
      <c r="H250" s="43" t="s">
        <v>109</v>
      </c>
      <c r="I250" s="43" t="s">
        <v>52</v>
      </c>
      <c r="J250" s="44"/>
      <c r="K250" s="54">
        <v>144</v>
      </c>
      <c r="L250" s="54">
        <v>144</v>
      </c>
      <c r="M250" s="54">
        <v>0</v>
      </c>
      <c r="N250" s="54">
        <v>0</v>
      </c>
      <c r="O250" s="54">
        <v>144</v>
      </c>
      <c r="P250" s="55">
        <v>0.01</v>
      </c>
      <c r="Q250" s="61">
        <v>1.05</v>
      </c>
      <c r="R250" s="60"/>
      <c r="S250" s="61">
        <v>1.05</v>
      </c>
    </row>
    <row r="251" ht="20" customHeight="1" spans="1:19">
      <c r="A251" s="43" t="s">
        <v>137</v>
      </c>
      <c r="B251" s="43" t="s">
        <v>138</v>
      </c>
      <c r="C251" s="44"/>
      <c r="D251" s="43" t="s">
        <v>52</v>
      </c>
      <c r="E251" s="43" t="s">
        <v>139</v>
      </c>
      <c r="F251" s="43" t="s">
        <v>52</v>
      </c>
      <c r="G251" s="43" t="s">
        <v>100</v>
      </c>
      <c r="H251" s="43" t="s">
        <v>101</v>
      </c>
      <c r="I251" s="43" t="s">
        <v>52</v>
      </c>
      <c r="J251" s="44"/>
      <c r="K251" s="54">
        <v>1692</v>
      </c>
      <c r="L251" s="54">
        <v>1692</v>
      </c>
      <c r="M251" s="54">
        <v>0</v>
      </c>
      <c r="N251" s="54">
        <v>0</v>
      </c>
      <c r="O251" s="54">
        <v>1692</v>
      </c>
      <c r="P251" s="55">
        <v>0.11</v>
      </c>
      <c r="Q251" s="61">
        <v>191.47</v>
      </c>
      <c r="R251" s="60"/>
      <c r="S251" s="61">
        <v>191.47</v>
      </c>
    </row>
    <row r="252" ht="20" customHeight="1" spans="1:19">
      <c r="A252" s="43" t="s">
        <v>137</v>
      </c>
      <c r="B252" s="43" t="s">
        <v>138</v>
      </c>
      <c r="C252" s="44"/>
      <c r="D252" s="43" t="s">
        <v>52</v>
      </c>
      <c r="E252" s="43" t="s">
        <v>139</v>
      </c>
      <c r="F252" s="43" t="s">
        <v>52</v>
      </c>
      <c r="G252" s="43" t="s">
        <v>100</v>
      </c>
      <c r="H252" s="43" t="s">
        <v>101</v>
      </c>
      <c r="I252" s="43" t="s">
        <v>52</v>
      </c>
      <c r="J252" s="44"/>
      <c r="K252" s="54">
        <v>10</v>
      </c>
      <c r="L252" s="54">
        <v>10</v>
      </c>
      <c r="M252" s="54">
        <v>0</v>
      </c>
      <c r="N252" s="54">
        <v>0</v>
      </c>
      <c r="O252" s="54">
        <v>10</v>
      </c>
      <c r="P252" s="55">
        <v>0.11</v>
      </c>
      <c r="Q252" s="61">
        <v>1.13</v>
      </c>
      <c r="R252" s="60"/>
      <c r="S252" s="61">
        <v>1.13</v>
      </c>
    </row>
    <row r="253" ht="20" customHeight="1" spans="1:19">
      <c r="A253" s="43" t="s">
        <v>137</v>
      </c>
      <c r="B253" s="43" t="s">
        <v>138</v>
      </c>
      <c r="C253" s="44"/>
      <c r="D253" s="43" t="s">
        <v>52</v>
      </c>
      <c r="E253" s="43" t="s">
        <v>139</v>
      </c>
      <c r="F253" s="43" t="s">
        <v>52</v>
      </c>
      <c r="G253" s="43" t="s">
        <v>100</v>
      </c>
      <c r="H253" s="43" t="s">
        <v>101</v>
      </c>
      <c r="I253" s="43" t="s">
        <v>52</v>
      </c>
      <c r="J253" s="44"/>
      <c r="K253" s="54">
        <v>8</v>
      </c>
      <c r="L253" s="54">
        <v>8</v>
      </c>
      <c r="M253" s="54">
        <v>0</v>
      </c>
      <c r="N253" s="54">
        <v>0</v>
      </c>
      <c r="O253" s="54">
        <v>8</v>
      </c>
      <c r="P253" s="55">
        <v>0.11</v>
      </c>
      <c r="Q253" s="61">
        <v>0.91</v>
      </c>
      <c r="R253" s="60"/>
      <c r="S253" s="61">
        <v>0.91</v>
      </c>
    </row>
    <row r="254" ht="20" customHeight="1" spans="1:19">
      <c r="A254" s="43" t="s">
        <v>140</v>
      </c>
      <c r="B254" s="43" t="s">
        <v>141</v>
      </c>
      <c r="C254" s="44"/>
      <c r="D254" s="43" t="s">
        <v>52</v>
      </c>
      <c r="E254" s="43" t="s">
        <v>142</v>
      </c>
      <c r="F254" s="43" t="s">
        <v>52</v>
      </c>
      <c r="G254" s="43" t="s">
        <v>108</v>
      </c>
      <c r="H254" s="43" t="s">
        <v>109</v>
      </c>
      <c r="I254" s="43" t="s">
        <v>52</v>
      </c>
      <c r="J254" s="44"/>
      <c r="K254" s="54">
        <v>180</v>
      </c>
      <c r="L254" s="54">
        <v>180</v>
      </c>
      <c r="M254" s="54">
        <v>0</v>
      </c>
      <c r="N254" s="54">
        <v>0</v>
      </c>
      <c r="O254" s="54">
        <v>180</v>
      </c>
      <c r="P254" s="55">
        <v>0.01</v>
      </c>
      <c r="Q254" s="61">
        <v>1.31</v>
      </c>
      <c r="R254" s="60"/>
      <c r="S254" s="61">
        <v>1.31</v>
      </c>
    </row>
    <row r="255" ht="20" customHeight="1" spans="1:19">
      <c r="A255" s="43" t="s">
        <v>140</v>
      </c>
      <c r="B255" s="43" t="s">
        <v>141</v>
      </c>
      <c r="C255" s="44"/>
      <c r="D255" s="43" t="s">
        <v>52</v>
      </c>
      <c r="E255" s="43" t="s">
        <v>142</v>
      </c>
      <c r="F255" s="43" t="s">
        <v>52</v>
      </c>
      <c r="G255" s="43" t="s">
        <v>108</v>
      </c>
      <c r="H255" s="43" t="s">
        <v>109</v>
      </c>
      <c r="I255" s="43" t="s">
        <v>52</v>
      </c>
      <c r="J255" s="44"/>
      <c r="K255" s="54">
        <v>24</v>
      </c>
      <c r="L255" s="54">
        <v>24</v>
      </c>
      <c r="M255" s="54">
        <v>0</v>
      </c>
      <c r="N255" s="54">
        <v>0</v>
      </c>
      <c r="O255" s="54">
        <v>24</v>
      </c>
      <c r="P255" s="55">
        <v>0.01</v>
      </c>
      <c r="Q255" s="61">
        <v>0.17</v>
      </c>
      <c r="R255" s="60"/>
      <c r="S255" s="61">
        <v>0.17</v>
      </c>
    </row>
    <row r="256" ht="20" customHeight="1" spans="1:19">
      <c r="A256" s="43" t="s">
        <v>140</v>
      </c>
      <c r="B256" s="43" t="s">
        <v>141</v>
      </c>
      <c r="C256" s="44"/>
      <c r="D256" s="43" t="s">
        <v>52</v>
      </c>
      <c r="E256" s="43" t="s">
        <v>142</v>
      </c>
      <c r="F256" s="43" t="s">
        <v>52</v>
      </c>
      <c r="G256" s="43" t="s">
        <v>108</v>
      </c>
      <c r="H256" s="43" t="s">
        <v>109</v>
      </c>
      <c r="I256" s="43" t="s">
        <v>52</v>
      </c>
      <c r="J256" s="44"/>
      <c r="K256" s="54">
        <v>156</v>
      </c>
      <c r="L256" s="54">
        <v>156</v>
      </c>
      <c r="M256" s="54">
        <v>0</v>
      </c>
      <c r="N256" s="54">
        <v>0</v>
      </c>
      <c r="O256" s="54">
        <v>156</v>
      </c>
      <c r="P256" s="55">
        <v>0.01</v>
      </c>
      <c r="Q256" s="61">
        <v>1.14</v>
      </c>
      <c r="R256" s="60"/>
      <c r="S256" s="61">
        <v>1.14</v>
      </c>
    </row>
    <row r="257" ht="20" customHeight="1" spans="1:19">
      <c r="A257" s="43" t="s">
        <v>140</v>
      </c>
      <c r="B257" s="43" t="s">
        <v>141</v>
      </c>
      <c r="C257" s="44"/>
      <c r="D257" s="43" t="s">
        <v>52</v>
      </c>
      <c r="E257" s="43" t="s">
        <v>142</v>
      </c>
      <c r="F257" s="43" t="s">
        <v>52</v>
      </c>
      <c r="G257" s="43" t="s">
        <v>108</v>
      </c>
      <c r="H257" s="43" t="s">
        <v>109</v>
      </c>
      <c r="I257" s="43" t="s">
        <v>52</v>
      </c>
      <c r="J257" s="44"/>
      <c r="K257" s="54">
        <v>19224</v>
      </c>
      <c r="L257" s="54">
        <v>19224</v>
      </c>
      <c r="M257" s="54">
        <v>0</v>
      </c>
      <c r="N257" s="54">
        <v>0</v>
      </c>
      <c r="O257" s="54">
        <v>19224</v>
      </c>
      <c r="P257" s="55">
        <v>0.01</v>
      </c>
      <c r="Q257" s="61">
        <v>139.95</v>
      </c>
      <c r="R257" s="60"/>
      <c r="S257" s="61">
        <v>139.95</v>
      </c>
    </row>
    <row r="258" ht="20" customHeight="1" spans="1:19">
      <c r="A258" s="43" t="s">
        <v>97</v>
      </c>
      <c r="B258" s="43" t="s">
        <v>102</v>
      </c>
      <c r="C258" s="44"/>
      <c r="D258" s="43" t="s">
        <v>52</v>
      </c>
      <c r="E258" s="43" t="s">
        <v>99</v>
      </c>
      <c r="F258" s="43" t="s">
        <v>52</v>
      </c>
      <c r="G258" s="43" t="s">
        <v>100</v>
      </c>
      <c r="H258" s="43" t="s">
        <v>101</v>
      </c>
      <c r="I258" s="43" t="s">
        <v>52</v>
      </c>
      <c r="J258" s="44"/>
      <c r="K258" s="54">
        <v>1092</v>
      </c>
      <c r="L258" s="54">
        <v>1092</v>
      </c>
      <c r="M258" s="54">
        <v>0</v>
      </c>
      <c r="N258" s="54">
        <v>0</v>
      </c>
      <c r="O258" s="54">
        <v>1092</v>
      </c>
      <c r="P258" s="55">
        <v>0.11</v>
      </c>
      <c r="Q258" s="61">
        <v>123.57</v>
      </c>
      <c r="R258" s="60"/>
      <c r="S258" s="61">
        <v>123.57</v>
      </c>
    </row>
    <row r="259" ht="20" customHeight="1" spans="1:19">
      <c r="A259" s="43" t="s">
        <v>97</v>
      </c>
      <c r="B259" s="43" t="s">
        <v>102</v>
      </c>
      <c r="C259" s="44"/>
      <c r="D259" s="43" t="s">
        <v>52</v>
      </c>
      <c r="E259" s="43" t="s">
        <v>99</v>
      </c>
      <c r="F259" s="43" t="s">
        <v>52</v>
      </c>
      <c r="G259" s="43" t="s">
        <v>100</v>
      </c>
      <c r="H259" s="43" t="s">
        <v>101</v>
      </c>
      <c r="I259" s="43" t="s">
        <v>52</v>
      </c>
      <c r="J259" s="44"/>
      <c r="K259" s="54">
        <v>1</v>
      </c>
      <c r="L259" s="54">
        <v>1</v>
      </c>
      <c r="M259" s="54">
        <v>0</v>
      </c>
      <c r="N259" s="54">
        <v>0</v>
      </c>
      <c r="O259" s="54">
        <v>1</v>
      </c>
      <c r="P259" s="55">
        <v>0.11</v>
      </c>
      <c r="Q259" s="61">
        <v>0.11</v>
      </c>
      <c r="R259" s="60"/>
      <c r="S259" s="61">
        <v>0.11</v>
      </c>
    </row>
    <row r="260" ht="20" customHeight="1" spans="1:19">
      <c r="A260" s="43" t="s">
        <v>97</v>
      </c>
      <c r="B260" s="43" t="s">
        <v>102</v>
      </c>
      <c r="C260" s="44"/>
      <c r="D260" s="43" t="s">
        <v>52</v>
      </c>
      <c r="E260" s="43" t="s">
        <v>99</v>
      </c>
      <c r="F260" s="43" t="s">
        <v>52</v>
      </c>
      <c r="G260" s="43" t="s">
        <v>100</v>
      </c>
      <c r="H260" s="43" t="s">
        <v>101</v>
      </c>
      <c r="I260" s="43" t="s">
        <v>52</v>
      </c>
      <c r="J260" s="44"/>
      <c r="K260" s="54">
        <v>3</v>
      </c>
      <c r="L260" s="54">
        <v>3</v>
      </c>
      <c r="M260" s="54">
        <v>0</v>
      </c>
      <c r="N260" s="54">
        <v>0</v>
      </c>
      <c r="O260" s="54">
        <v>3</v>
      </c>
      <c r="P260" s="55">
        <v>0.11</v>
      </c>
      <c r="Q260" s="61">
        <v>0.34</v>
      </c>
      <c r="R260" s="60"/>
      <c r="S260" s="61">
        <v>0.34</v>
      </c>
    </row>
    <row r="261" ht="20" customHeight="1" spans="1:19">
      <c r="A261" s="43" t="s">
        <v>97</v>
      </c>
      <c r="B261" s="43" t="s">
        <v>102</v>
      </c>
      <c r="C261" s="44"/>
      <c r="D261" s="43" t="s">
        <v>52</v>
      </c>
      <c r="E261" s="43" t="s">
        <v>99</v>
      </c>
      <c r="F261" s="43" t="s">
        <v>52</v>
      </c>
      <c r="G261" s="43" t="s">
        <v>100</v>
      </c>
      <c r="H261" s="43" t="s">
        <v>101</v>
      </c>
      <c r="I261" s="43" t="s">
        <v>52</v>
      </c>
      <c r="J261" s="44"/>
      <c r="K261" s="54">
        <v>4</v>
      </c>
      <c r="L261" s="54">
        <v>4</v>
      </c>
      <c r="M261" s="54">
        <v>0</v>
      </c>
      <c r="N261" s="54">
        <v>0</v>
      </c>
      <c r="O261" s="54">
        <v>4</v>
      </c>
      <c r="P261" s="55">
        <v>0.11</v>
      </c>
      <c r="Q261" s="61">
        <v>0.45</v>
      </c>
      <c r="R261" s="60"/>
      <c r="S261" s="61">
        <v>0.45</v>
      </c>
    </row>
    <row r="262" ht="20" customHeight="1" spans="1:19">
      <c r="A262" s="43" t="s">
        <v>97</v>
      </c>
      <c r="B262" s="43" t="s">
        <v>102</v>
      </c>
      <c r="C262" s="44"/>
      <c r="D262" s="43" t="s">
        <v>52</v>
      </c>
      <c r="E262" s="43" t="s">
        <v>99</v>
      </c>
      <c r="F262" s="43" t="s">
        <v>52</v>
      </c>
      <c r="G262" s="43" t="s">
        <v>103</v>
      </c>
      <c r="H262" s="43" t="s">
        <v>104</v>
      </c>
      <c r="I262" s="43" t="s">
        <v>52</v>
      </c>
      <c r="J262" s="44"/>
      <c r="K262" s="54">
        <v>56</v>
      </c>
      <c r="L262" s="54">
        <v>56</v>
      </c>
      <c r="M262" s="54">
        <v>0</v>
      </c>
      <c r="N262" s="54">
        <v>0</v>
      </c>
      <c r="O262" s="54">
        <v>56</v>
      </c>
      <c r="P262" s="55">
        <v>0.02</v>
      </c>
      <c r="Q262" s="61">
        <v>1.08</v>
      </c>
      <c r="R262" s="60"/>
      <c r="S262" s="61">
        <v>1.08</v>
      </c>
    </row>
    <row r="263" ht="20" customHeight="1" spans="1:19">
      <c r="A263" s="43" t="s">
        <v>97</v>
      </c>
      <c r="B263" s="43" t="s">
        <v>102</v>
      </c>
      <c r="C263" s="44"/>
      <c r="D263" s="43" t="s">
        <v>52</v>
      </c>
      <c r="E263" s="43" t="s">
        <v>99</v>
      </c>
      <c r="F263" s="43" t="s">
        <v>52</v>
      </c>
      <c r="G263" s="43" t="s">
        <v>103</v>
      </c>
      <c r="H263" s="43" t="s">
        <v>104</v>
      </c>
      <c r="I263" s="43" t="s">
        <v>52</v>
      </c>
      <c r="J263" s="44"/>
      <c r="K263" s="54">
        <v>14148</v>
      </c>
      <c r="L263" s="54">
        <v>14148</v>
      </c>
      <c r="M263" s="54">
        <v>0</v>
      </c>
      <c r="N263" s="54">
        <v>0</v>
      </c>
      <c r="O263" s="54">
        <v>14148</v>
      </c>
      <c r="P263" s="55">
        <v>0.02</v>
      </c>
      <c r="Q263" s="61">
        <v>272.75</v>
      </c>
      <c r="R263" s="60"/>
      <c r="S263" s="61">
        <v>272.75</v>
      </c>
    </row>
    <row r="264" ht="20" customHeight="1" spans="1:19">
      <c r="A264" s="43" t="s">
        <v>97</v>
      </c>
      <c r="B264" s="43" t="s">
        <v>102</v>
      </c>
      <c r="C264" s="44"/>
      <c r="D264" s="43" t="s">
        <v>52</v>
      </c>
      <c r="E264" s="43" t="s">
        <v>99</v>
      </c>
      <c r="F264" s="43" t="s">
        <v>52</v>
      </c>
      <c r="G264" s="43" t="s">
        <v>103</v>
      </c>
      <c r="H264" s="43" t="s">
        <v>104</v>
      </c>
      <c r="I264" s="43" t="s">
        <v>52</v>
      </c>
      <c r="J264" s="44"/>
      <c r="K264" s="54">
        <v>4</v>
      </c>
      <c r="L264" s="54">
        <v>4</v>
      </c>
      <c r="M264" s="54">
        <v>0</v>
      </c>
      <c r="N264" s="54">
        <v>0</v>
      </c>
      <c r="O264" s="54">
        <v>4</v>
      </c>
      <c r="P264" s="55">
        <v>0.02</v>
      </c>
      <c r="Q264" s="61">
        <v>0.08</v>
      </c>
      <c r="R264" s="60"/>
      <c r="S264" s="61">
        <v>0.08</v>
      </c>
    </row>
    <row r="265" ht="20" customHeight="1" spans="1:19">
      <c r="A265" s="43" t="s">
        <v>105</v>
      </c>
      <c r="B265" s="43" t="s">
        <v>106</v>
      </c>
      <c r="C265" s="44"/>
      <c r="D265" s="43" t="s">
        <v>52</v>
      </c>
      <c r="E265" s="43" t="s">
        <v>107</v>
      </c>
      <c r="F265" s="43" t="s">
        <v>52</v>
      </c>
      <c r="G265" s="43" t="s">
        <v>108</v>
      </c>
      <c r="H265" s="43" t="s">
        <v>109</v>
      </c>
      <c r="I265" s="43" t="s">
        <v>52</v>
      </c>
      <c r="J265" s="44"/>
      <c r="K265" s="54">
        <v>20736</v>
      </c>
      <c r="L265" s="54">
        <v>20736</v>
      </c>
      <c r="M265" s="54">
        <v>0</v>
      </c>
      <c r="N265" s="54">
        <v>0</v>
      </c>
      <c r="O265" s="54">
        <v>20736</v>
      </c>
      <c r="P265" s="55">
        <v>0.01</v>
      </c>
      <c r="Q265" s="61">
        <v>150.96</v>
      </c>
      <c r="R265" s="60"/>
      <c r="S265" s="61">
        <v>150.96</v>
      </c>
    </row>
    <row r="266" ht="20" customHeight="1" spans="1:19">
      <c r="A266" s="43" t="s">
        <v>105</v>
      </c>
      <c r="B266" s="43" t="s">
        <v>106</v>
      </c>
      <c r="C266" s="44"/>
      <c r="D266" s="43" t="s">
        <v>52</v>
      </c>
      <c r="E266" s="43" t="s">
        <v>107</v>
      </c>
      <c r="F266" s="43" t="s">
        <v>52</v>
      </c>
      <c r="G266" s="43" t="s">
        <v>108</v>
      </c>
      <c r="H266" s="43" t="s">
        <v>109</v>
      </c>
      <c r="I266" s="43" t="s">
        <v>52</v>
      </c>
      <c r="J266" s="44"/>
      <c r="K266" s="54">
        <v>8640</v>
      </c>
      <c r="L266" s="54">
        <v>8640</v>
      </c>
      <c r="M266" s="54">
        <v>0</v>
      </c>
      <c r="N266" s="54">
        <v>0</v>
      </c>
      <c r="O266" s="54">
        <v>8640</v>
      </c>
      <c r="P266" s="55">
        <v>0.01</v>
      </c>
      <c r="Q266" s="61">
        <v>62.9</v>
      </c>
      <c r="R266" s="60"/>
      <c r="S266" s="61">
        <v>62.9</v>
      </c>
    </row>
    <row r="267" ht="20" customHeight="1" spans="1:19">
      <c r="A267" s="43" t="s">
        <v>105</v>
      </c>
      <c r="B267" s="43" t="s">
        <v>106</v>
      </c>
      <c r="C267" s="44"/>
      <c r="D267" s="43" t="s">
        <v>52</v>
      </c>
      <c r="E267" s="43" t="s">
        <v>107</v>
      </c>
      <c r="F267" s="43" t="s">
        <v>52</v>
      </c>
      <c r="G267" s="43" t="s">
        <v>108</v>
      </c>
      <c r="H267" s="43" t="s">
        <v>109</v>
      </c>
      <c r="I267" s="43" t="s">
        <v>52</v>
      </c>
      <c r="J267" s="44"/>
      <c r="K267" s="54">
        <v>180</v>
      </c>
      <c r="L267" s="54">
        <v>180</v>
      </c>
      <c r="M267" s="54">
        <v>0</v>
      </c>
      <c r="N267" s="54">
        <v>0</v>
      </c>
      <c r="O267" s="54">
        <v>180</v>
      </c>
      <c r="P267" s="55">
        <v>0.01</v>
      </c>
      <c r="Q267" s="61">
        <v>1.31</v>
      </c>
      <c r="R267" s="60"/>
      <c r="S267" s="61">
        <v>1.31</v>
      </c>
    </row>
    <row r="268" ht="20" customHeight="1" spans="1:19">
      <c r="A268" s="43" t="s">
        <v>105</v>
      </c>
      <c r="B268" s="43" t="s">
        <v>106</v>
      </c>
      <c r="C268" s="44"/>
      <c r="D268" s="43" t="s">
        <v>52</v>
      </c>
      <c r="E268" s="43" t="s">
        <v>107</v>
      </c>
      <c r="F268" s="43" t="s">
        <v>52</v>
      </c>
      <c r="G268" s="43" t="s">
        <v>108</v>
      </c>
      <c r="H268" s="43" t="s">
        <v>109</v>
      </c>
      <c r="I268" s="43" t="s">
        <v>52</v>
      </c>
      <c r="J268" s="44"/>
      <c r="K268" s="54">
        <v>252</v>
      </c>
      <c r="L268" s="54">
        <v>252</v>
      </c>
      <c r="M268" s="54">
        <v>0</v>
      </c>
      <c r="N268" s="54">
        <v>0</v>
      </c>
      <c r="O268" s="54">
        <v>252</v>
      </c>
      <c r="P268" s="55">
        <v>0.01</v>
      </c>
      <c r="Q268" s="61">
        <v>1.83</v>
      </c>
      <c r="R268" s="60"/>
      <c r="S268" s="61">
        <v>1.83</v>
      </c>
    </row>
    <row r="269" ht="20" customHeight="1" spans="1:19">
      <c r="A269" s="43" t="s">
        <v>105</v>
      </c>
      <c r="B269" s="43" t="s">
        <v>106</v>
      </c>
      <c r="C269" s="44"/>
      <c r="D269" s="43" t="s">
        <v>52</v>
      </c>
      <c r="E269" s="43" t="s">
        <v>107</v>
      </c>
      <c r="F269" s="43" t="s">
        <v>52</v>
      </c>
      <c r="G269" s="43" t="s">
        <v>108</v>
      </c>
      <c r="H269" s="43" t="s">
        <v>109</v>
      </c>
      <c r="I269" s="43" t="s">
        <v>52</v>
      </c>
      <c r="J269" s="44"/>
      <c r="K269" s="54">
        <v>9360</v>
      </c>
      <c r="L269" s="54">
        <v>9360</v>
      </c>
      <c r="M269" s="54">
        <v>0</v>
      </c>
      <c r="N269" s="54">
        <v>0</v>
      </c>
      <c r="O269" s="54">
        <v>9360</v>
      </c>
      <c r="P269" s="55">
        <v>0.01</v>
      </c>
      <c r="Q269" s="61">
        <v>68.14</v>
      </c>
      <c r="R269" s="60"/>
      <c r="S269" s="61">
        <v>68.14</v>
      </c>
    </row>
    <row r="270" ht="13" customHeight="1" spans="1:19">
      <c r="A270" s="47" t="s">
        <v>143</v>
      </c>
      <c r="B270" s="48"/>
      <c r="C270" s="48"/>
      <c r="D270" s="48"/>
      <c r="E270" s="48"/>
      <c r="F270" s="48"/>
      <c r="G270" s="48"/>
      <c r="H270" s="48"/>
      <c r="I270" s="48"/>
      <c r="J270" s="56"/>
      <c r="K270" s="47" t="s">
        <v>144</v>
      </c>
      <c r="L270" s="57">
        <v>114938</v>
      </c>
      <c r="M270" s="58">
        <v>0</v>
      </c>
      <c r="N270" s="58">
        <v>0</v>
      </c>
      <c r="O270" s="58">
        <v>114938</v>
      </c>
      <c r="P270" s="59" t="s">
        <v>52</v>
      </c>
      <c r="Q270" s="62"/>
      <c r="R270" s="62"/>
      <c r="S270" s="63">
        <v>1304.74</v>
      </c>
    </row>
    <row r="271" ht="19" customHeight="1" spans="1:19">
      <c r="A271" s="43" t="s">
        <v>145</v>
      </c>
      <c r="B271" s="44"/>
      <c r="C271" s="44"/>
      <c r="D271" s="49" t="s">
        <v>146</v>
      </c>
      <c r="E271" s="50" t="s">
        <v>147</v>
      </c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56"/>
      <c r="S271" s="56"/>
    </row>
    <row r="272" ht="19" customHeight="1" spans="1:19">
      <c r="A272" s="49" t="s">
        <v>146</v>
      </c>
      <c r="B272" s="51"/>
      <c r="C272" s="51"/>
      <c r="D272" s="49" t="s">
        <v>146</v>
      </c>
      <c r="E272" s="49" t="s">
        <v>119</v>
      </c>
      <c r="F272" s="52">
        <v>700</v>
      </c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56"/>
      <c r="S272" s="56"/>
    </row>
    <row r="273" ht="12" customHeight="1" spans="1:19">
      <c r="A273" s="46" t="s">
        <v>52</v>
      </c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56"/>
      <c r="S273" s="56"/>
    </row>
    <row r="274" ht="14" customHeight="1" spans="1:19">
      <c r="A274" s="43" t="s">
        <v>67</v>
      </c>
      <c r="B274" s="44"/>
      <c r="C274" s="44"/>
      <c r="D274" s="45" t="s">
        <v>124</v>
      </c>
      <c r="E274" s="43" t="s">
        <v>69</v>
      </c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</row>
    <row r="275" ht="14" customHeight="1" spans="1:19">
      <c r="A275" s="43" t="s">
        <v>70</v>
      </c>
      <c r="B275" s="44"/>
      <c r="C275" s="44"/>
      <c r="D275" s="45" t="s">
        <v>124</v>
      </c>
      <c r="E275" s="43" t="s">
        <v>71</v>
      </c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</row>
    <row r="276" ht="14" customHeight="1" spans="1:19">
      <c r="A276" s="43" t="s">
        <v>82</v>
      </c>
      <c r="B276" s="44"/>
      <c r="C276" s="44"/>
      <c r="D276" s="45" t="s">
        <v>124</v>
      </c>
      <c r="E276" s="43" t="s">
        <v>83</v>
      </c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</row>
    <row r="277" ht="14" customHeight="1" spans="1:19">
      <c r="A277" s="43" t="s">
        <v>72</v>
      </c>
      <c r="B277" s="44"/>
      <c r="C277" s="44"/>
      <c r="D277" s="45" t="s">
        <v>124</v>
      </c>
      <c r="E277" s="43" t="s">
        <v>125</v>
      </c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</row>
    <row r="278" ht="14" customHeight="1" spans="1:19">
      <c r="A278" s="43" t="s">
        <v>126</v>
      </c>
      <c r="B278" s="44"/>
      <c r="C278" s="44"/>
      <c r="D278" s="45" t="s">
        <v>124</v>
      </c>
      <c r="E278" s="43" t="s">
        <v>155</v>
      </c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</row>
    <row r="279" ht="14" customHeight="1" spans="1:19">
      <c r="A279" s="43" t="s">
        <v>76</v>
      </c>
      <c r="B279" s="44"/>
      <c r="C279" s="44"/>
      <c r="D279" s="45" t="s">
        <v>124</v>
      </c>
      <c r="E279" s="43" t="s">
        <v>77</v>
      </c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</row>
    <row r="280" ht="14" customHeight="1" spans="1:19">
      <c r="A280" s="43" t="s">
        <v>78</v>
      </c>
      <c r="B280" s="44"/>
      <c r="C280" s="44"/>
      <c r="D280" s="45" t="s">
        <v>124</v>
      </c>
      <c r="E280" s="43" t="s">
        <v>79</v>
      </c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</row>
    <row r="281" ht="14" customHeight="1" spans="1:19">
      <c r="A281" s="43" t="s">
        <v>80</v>
      </c>
      <c r="B281" s="44"/>
      <c r="C281" s="44"/>
      <c r="D281" s="45" t="s">
        <v>124</v>
      </c>
      <c r="E281" s="43" t="s">
        <v>81</v>
      </c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</row>
    <row r="282" ht="17" customHeight="1" spans="1:19">
      <c r="A282" s="46" t="s">
        <v>52</v>
      </c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</row>
    <row r="283" ht="14" customHeight="1" spans="1:19">
      <c r="A283" s="43" t="s">
        <v>84</v>
      </c>
      <c r="B283" s="43" t="s">
        <v>85</v>
      </c>
      <c r="C283" s="44"/>
      <c r="D283" s="43" t="s">
        <v>52</v>
      </c>
      <c r="E283" s="43" t="s">
        <v>87</v>
      </c>
      <c r="F283" s="43" t="s">
        <v>88</v>
      </c>
      <c r="G283" s="43" t="s">
        <v>89</v>
      </c>
      <c r="H283" s="43" t="s">
        <v>90</v>
      </c>
      <c r="I283" s="43" t="s">
        <v>91</v>
      </c>
      <c r="J283" s="44"/>
      <c r="K283" s="53" t="s">
        <v>128</v>
      </c>
      <c r="L283" s="53" t="s">
        <v>129</v>
      </c>
      <c r="M283" s="53" t="s">
        <v>130</v>
      </c>
      <c r="N283" s="53" t="s">
        <v>131</v>
      </c>
      <c r="O283" s="53" t="s">
        <v>132</v>
      </c>
      <c r="P283" s="53" t="s">
        <v>93</v>
      </c>
      <c r="Q283" s="53" t="s">
        <v>94</v>
      </c>
      <c r="R283" s="60"/>
      <c r="S283" s="53" t="s">
        <v>133</v>
      </c>
    </row>
    <row r="284" ht="20" customHeight="1" spans="1:19">
      <c r="A284" s="43" t="s">
        <v>134</v>
      </c>
      <c r="B284" s="43" t="s">
        <v>135</v>
      </c>
      <c r="C284" s="44"/>
      <c r="D284" s="43" t="s">
        <v>52</v>
      </c>
      <c r="E284" s="43" t="s">
        <v>136</v>
      </c>
      <c r="F284" s="43" t="s">
        <v>52</v>
      </c>
      <c r="G284" s="43" t="s">
        <v>108</v>
      </c>
      <c r="H284" s="43" t="s">
        <v>109</v>
      </c>
      <c r="I284" s="43" t="s">
        <v>52</v>
      </c>
      <c r="J284" s="44"/>
      <c r="K284" s="54">
        <v>34272</v>
      </c>
      <c r="L284" s="54">
        <v>34272</v>
      </c>
      <c r="M284" s="54">
        <v>0</v>
      </c>
      <c r="N284" s="54">
        <v>0</v>
      </c>
      <c r="O284" s="54">
        <v>34272</v>
      </c>
      <c r="P284" s="55">
        <v>0.01</v>
      </c>
      <c r="Q284" s="61">
        <v>249.5</v>
      </c>
      <c r="R284" s="60"/>
      <c r="S284" s="61">
        <v>249.5</v>
      </c>
    </row>
    <row r="285" ht="20" customHeight="1" spans="1:19">
      <c r="A285" s="43" t="s">
        <v>134</v>
      </c>
      <c r="B285" s="43" t="s">
        <v>135</v>
      </c>
      <c r="C285" s="44"/>
      <c r="D285" s="43" t="s">
        <v>52</v>
      </c>
      <c r="E285" s="43" t="s">
        <v>136</v>
      </c>
      <c r="F285" s="43" t="s">
        <v>52</v>
      </c>
      <c r="G285" s="43" t="s">
        <v>108</v>
      </c>
      <c r="H285" s="43" t="s">
        <v>109</v>
      </c>
      <c r="I285" s="43" t="s">
        <v>52</v>
      </c>
      <c r="J285" s="44"/>
      <c r="K285" s="54">
        <v>4752</v>
      </c>
      <c r="L285" s="54">
        <v>4752</v>
      </c>
      <c r="M285" s="54">
        <v>0</v>
      </c>
      <c r="N285" s="54">
        <v>0</v>
      </c>
      <c r="O285" s="54">
        <v>4752</v>
      </c>
      <c r="P285" s="55">
        <v>0.01</v>
      </c>
      <c r="Q285" s="61">
        <v>34.59</v>
      </c>
      <c r="R285" s="60"/>
      <c r="S285" s="61">
        <v>34.59</v>
      </c>
    </row>
    <row r="286" ht="20" customHeight="1" spans="1:19">
      <c r="A286" s="43" t="s">
        <v>134</v>
      </c>
      <c r="B286" s="43" t="s">
        <v>135</v>
      </c>
      <c r="C286" s="44"/>
      <c r="D286" s="43" t="s">
        <v>52</v>
      </c>
      <c r="E286" s="43" t="s">
        <v>136</v>
      </c>
      <c r="F286" s="43" t="s">
        <v>52</v>
      </c>
      <c r="G286" s="43" t="s">
        <v>108</v>
      </c>
      <c r="H286" s="43" t="s">
        <v>109</v>
      </c>
      <c r="I286" s="43" t="s">
        <v>52</v>
      </c>
      <c r="J286" s="44"/>
      <c r="K286" s="54">
        <v>144</v>
      </c>
      <c r="L286" s="54">
        <v>144</v>
      </c>
      <c r="M286" s="54">
        <v>0</v>
      </c>
      <c r="N286" s="54">
        <v>0</v>
      </c>
      <c r="O286" s="54">
        <v>144</v>
      </c>
      <c r="P286" s="55">
        <v>0.01</v>
      </c>
      <c r="Q286" s="61">
        <v>1.05</v>
      </c>
      <c r="R286" s="60"/>
      <c r="S286" s="61">
        <v>1.05</v>
      </c>
    </row>
    <row r="287" ht="20" customHeight="1" spans="1:19">
      <c r="A287" s="43" t="s">
        <v>137</v>
      </c>
      <c r="B287" s="43" t="s">
        <v>138</v>
      </c>
      <c r="C287" s="44"/>
      <c r="D287" s="43" t="s">
        <v>52</v>
      </c>
      <c r="E287" s="43" t="s">
        <v>139</v>
      </c>
      <c r="F287" s="43" t="s">
        <v>52</v>
      </c>
      <c r="G287" s="43" t="s">
        <v>100</v>
      </c>
      <c r="H287" s="43" t="s">
        <v>101</v>
      </c>
      <c r="I287" s="43" t="s">
        <v>52</v>
      </c>
      <c r="J287" s="44"/>
      <c r="K287" s="54">
        <v>1692</v>
      </c>
      <c r="L287" s="54">
        <v>1692</v>
      </c>
      <c r="M287" s="54">
        <v>0</v>
      </c>
      <c r="N287" s="54">
        <v>0</v>
      </c>
      <c r="O287" s="54">
        <v>1692</v>
      </c>
      <c r="P287" s="55">
        <v>0.11</v>
      </c>
      <c r="Q287" s="61">
        <v>191.47</v>
      </c>
      <c r="R287" s="60"/>
      <c r="S287" s="61">
        <v>191.47</v>
      </c>
    </row>
    <row r="288" ht="20" customHeight="1" spans="1:19">
      <c r="A288" s="43" t="s">
        <v>137</v>
      </c>
      <c r="B288" s="43" t="s">
        <v>138</v>
      </c>
      <c r="C288" s="44"/>
      <c r="D288" s="43" t="s">
        <v>52</v>
      </c>
      <c r="E288" s="43" t="s">
        <v>139</v>
      </c>
      <c r="F288" s="43" t="s">
        <v>52</v>
      </c>
      <c r="G288" s="43" t="s">
        <v>100</v>
      </c>
      <c r="H288" s="43" t="s">
        <v>101</v>
      </c>
      <c r="I288" s="43" t="s">
        <v>52</v>
      </c>
      <c r="J288" s="44"/>
      <c r="K288" s="54">
        <v>8</v>
      </c>
      <c r="L288" s="54">
        <v>8</v>
      </c>
      <c r="M288" s="54">
        <v>0</v>
      </c>
      <c r="N288" s="54">
        <v>0</v>
      </c>
      <c r="O288" s="54">
        <v>8</v>
      </c>
      <c r="P288" s="55">
        <v>0.11</v>
      </c>
      <c r="Q288" s="61">
        <v>0.91</v>
      </c>
      <c r="R288" s="60"/>
      <c r="S288" s="61">
        <v>0.91</v>
      </c>
    </row>
    <row r="289" ht="20" customHeight="1" spans="1:19">
      <c r="A289" s="43" t="s">
        <v>137</v>
      </c>
      <c r="B289" s="43" t="s">
        <v>138</v>
      </c>
      <c r="C289" s="44"/>
      <c r="D289" s="43" t="s">
        <v>52</v>
      </c>
      <c r="E289" s="43" t="s">
        <v>139</v>
      </c>
      <c r="F289" s="43" t="s">
        <v>52</v>
      </c>
      <c r="G289" s="43" t="s">
        <v>100</v>
      </c>
      <c r="H289" s="43" t="s">
        <v>101</v>
      </c>
      <c r="I289" s="43" t="s">
        <v>52</v>
      </c>
      <c r="J289" s="44"/>
      <c r="K289" s="54">
        <v>10</v>
      </c>
      <c r="L289" s="54">
        <v>10</v>
      </c>
      <c r="M289" s="54">
        <v>0</v>
      </c>
      <c r="N289" s="54">
        <v>0</v>
      </c>
      <c r="O289" s="54">
        <v>10</v>
      </c>
      <c r="P289" s="55">
        <v>0.11</v>
      </c>
      <c r="Q289" s="61">
        <v>1.13</v>
      </c>
      <c r="R289" s="60"/>
      <c r="S289" s="61">
        <v>1.13</v>
      </c>
    </row>
    <row r="290" ht="20" customHeight="1" spans="1:19">
      <c r="A290" s="43" t="s">
        <v>140</v>
      </c>
      <c r="B290" s="43" t="s">
        <v>141</v>
      </c>
      <c r="C290" s="44"/>
      <c r="D290" s="43" t="s">
        <v>52</v>
      </c>
      <c r="E290" s="43" t="s">
        <v>142</v>
      </c>
      <c r="F290" s="43" t="s">
        <v>52</v>
      </c>
      <c r="G290" s="43" t="s">
        <v>108</v>
      </c>
      <c r="H290" s="43" t="s">
        <v>109</v>
      </c>
      <c r="I290" s="43" t="s">
        <v>52</v>
      </c>
      <c r="J290" s="44"/>
      <c r="K290" s="54">
        <v>180</v>
      </c>
      <c r="L290" s="54">
        <v>180</v>
      </c>
      <c r="M290" s="54">
        <v>0</v>
      </c>
      <c r="N290" s="54">
        <v>0</v>
      </c>
      <c r="O290" s="54">
        <v>180</v>
      </c>
      <c r="P290" s="55">
        <v>0.01</v>
      </c>
      <c r="Q290" s="61">
        <v>1.31</v>
      </c>
      <c r="R290" s="60"/>
      <c r="S290" s="61">
        <v>1.31</v>
      </c>
    </row>
    <row r="291" ht="20" customHeight="1" spans="1:19">
      <c r="A291" s="43" t="s">
        <v>140</v>
      </c>
      <c r="B291" s="43" t="s">
        <v>141</v>
      </c>
      <c r="C291" s="44"/>
      <c r="D291" s="43" t="s">
        <v>52</v>
      </c>
      <c r="E291" s="43" t="s">
        <v>142</v>
      </c>
      <c r="F291" s="43" t="s">
        <v>52</v>
      </c>
      <c r="G291" s="43" t="s">
        <v>108</v>
      </c>
      <c r="H291" s="43" t="s">
        <v>109</v>
      </c>
      <c r="I291" s="43" t="s">
        <v>52</v>
      </c>
      <c r="J291" s="44"/>
      <c r="K291" s="54">
        <v>24</v>
      </c>
      <c r="L291" s="54">
        <v>24</v>
      </c>
      <c r="M291" s="54">
        <v>0</v>
      </c>
      <c r="N291" s="54">
        <v>0</v>
      </c>
      <c r="O291" s="54">
        <v>24</v>
      </c>
      <c r="P291" s="55">
        <v>0.01</v>
      </c>
      <c r="Q291" s="61">
        <v>0.17</v>
      </c>
      <c r="R291" s="60"/>
      <c r="S291" s="61">
        <v>0.17</v>
      </c>
    </row>
    <row r="292" ht="20" customHeight="1" spans="1:19">
      <c r="A292" s="43" t="s">
        <v>140</v>
      </c>
      <c r="B292" s="43" t="s">
        <v>141</v>
      </c>
      <c r="C292" s="44"/>
      <c r="D292" s="43" t="s">
        <v>52</v>
      </c>
      <c r="E292" s="43" t="s">
        <v>142</v>
      </c>
      <c r="F292" s="43" t="s">
        <v>52</v>
      </c>
      <c r="G292" s="43" t="s">
        <v>108</v>
      </c>
      <c r="H292" s="43" t="s">
        <v>109</v>
      </c>
      <c r="I292" s="43" t="s">
        <v>52</v>
      </c>
      <c r="J292" s="44"/>
      <c r="K292" s="54">
        <v>19224</v>
      </c>
      <c r="L292" s="54">
        <v>19224</v>
      </c>
      <c r="M292" s="54">
        <v>0</v>
      </c>
      <c r="N292" s="54">
        <v>0</v>
      </c>
      <c r="O292" s="54">
        <v>19224</v>
      </c>
      <c r="P292" s="55">
        <v>0.01</v>
      </c>
      <c r="Q292" s="61">
        <v>139.95</v>
      </c>
      <c r="R292" s="60"/>
      <c r="S292" s="61">
        <v>139.95</v>
      </c>
    </row>
    <row r="293" ht="20" customHeight="1" spans="1:19">
      <c r="A293" s="43" t="s">
        <v>140</v>
      </c>
      <c r="B293" s="43" t="s">
        <v>141</v>
      </c>
      <c r="C293" s="44"/>
      <c r="D293" s="43" t="s">
        <v>52</v>
      </c>
      <c r="E293" s="43" t="s">
        <v>142</v>
      </c>
      <c r="F293" s="43" t="s">
        <v>52</v>
      </c>
      <c r="G293" s="43" t="s">
        <v>108</v>
      </c>
      <c r="H293" s="43" t="s">
        <v>109</v>
      </c>
      <c r="I293" s="43" t="s">
        <v>52</v>
      </c>
      <c r="J293" s="44"/>
      <c r="K293" s="54">
        <v>156</v>
      </c>
      <c r="L293" s="54">
        <v>156</v>
      </c>
      <c r="M293" s="54">
        <v>0</v>
      </c>
      <c r="N293" s="54">
        <v>0</v>
      </c>
      <c r="O293" s="54">
        <v>156</v>
      </c>
      <c r="P293" s="55">
        <v>0.01</v>
      </c>
      <c r="Q293" s="61">
        <v>1.14</v>
      </c>
      <c r="R293" s="60"/>
      <c r="S293" s="61">
        <v>1.14</v>
      </c>
    </row>
    <row r="294" ht="20" customHeight="1" spans="1:19">
      <c r="A294" s="43" t="s">
        <v>97</v>
      </c>
      <c r="B294" s="43" t="s">
        <v>102</v>
      </c>
      <c r="C294" s="44"/>
      <c r="D294" s="43" t="s">
        <v>52</v>
      </c>
      <c r="E294" s="43" t="s">
        <v>99</v>
      </c>
      <c r="F294" s="43" t="s">
        <v>52</v>
      </c>
      <c r="G294" s="43" t="s">
        <v>100</v>
      </c>
      <c r="H294" s="43" t="s">
        <v>101</v>
      </c>
      <c r="I294" s="43" t="s">
        <v>52</v>
      </c>
      <c r="J294" s="44"/>
      <c r="K294" s="54">
        <v>3</v>
      </c>
      <c r="L294" s="54">
        <v>3</v>
      </c>
      <c r="M294" s="54">
        <v>0</v>
      </c>
      <c r="N294" s="54">
        <v>0</v>
      </c>
      <c r="O294" s="54">
        <v>3</v>
      </c>
      <c r="P294" s="55">
        <v>0.11</v>
      </c>
      <c r="Q294" s="61">
        <v>0.34</v>
      </c>
      <c r="R294" s="60"/>
      <c r="S294" s="61">
        <v>0.34</v>
      </c>
    </row>
    <row r="295" ht="20" customHeight="1" spans="1:19">
      <c r="A295" s="43" t="s">
        <v>97</v>
      </c>
      <c r="B295" s="43" t="s">
        <v>102</v>
      </c>
      <c r="C295" s="44"/>
      <c r="D295" s="43" t="s">
        <v>52</v>
      </c>
      <c r="E295" s="43" t="s">
        <v>99</v>
      </c>
      <c r="F295" s="43" t="s">
        <v>52</v>
      </c>
      <c r="G295" s="43" t="s">
        <v>100</v>
      </c>
      <c r="H295" s="43" t="s">
        <v>101</v>
      </c>
      <c r="I295" s="43" t="s">
        <v>52</v>
      </c>
      <c r="J295" s="44"/>
      <c r="K295" s="54">
        <v>4</v>
      </c>
      <c r="L295" s="54">
        <v>4</v>
      </c>
      <c r="M295" s="54">
        <v>0</v>
      </c>
      <c r="N295" s="54">
        <v>0</v>
      </c>
      <c r="O295" s="54">
        <v>4</v>
      </c>
      <c r="P295" s="55">
        <v>0.11</v>
      </c>
      <c r="Q295" s="61">
        <v>0.45</v>
      </c>
      <c r="R295" s="60"/>
      <c r="S295" s="61">
        <v>0.45</v>
      </c>
    </row>
    <row r="296" ht="20" customHeight="1" spans="1:19">
      <c r="A296" s="43" t="s">
        <v>97</v>
      </c>
      <c r="B296" s="43" t="s">
        <v>102</v>
      </c>
      <c r="C296" s="44"/>
      <c r="D296" s="43" t="s">
        <v>52</v>
      </c>
      <c r="E296" s="43" t="s">
        <v>99</v>
      </c>
      <c r="F296" s="43" t="s">
        <v>52</v>
      </c>
      <c r="G296" s="43" t="s">
        <v>100</v>
      </c>
      <c r="H296" s="43" t="s">
        <v>101</v>
      </c>
      <c r="I296" s="43" t="s">
        <v>52</v>
      </c>
      <c r="J296" s="44"/>
      <c r="K296" s="54">
        <v>1092</v>
      </c>
      <c r="L296" s="54">
        <v>1092</v>
      </c>
      <c r="M296" s="54">
        <v>0</v>
      </c>
      <c r="N296" s="54">
        <v>0</v>
      </c>
      <c r="O296" s="54">
        <v>1092</v>
      </c>
      <c r="P296" s="55">
        <v>0.11</v>
      </c>
      <c r="Q296" s="61">
        <v>123.57</v>
      </c>
      <c r="R296" s="60"/>
      <c r="S296" s="61">
        <v>123.57</v>
      </c>
    </row>
    <row r="297" ht="20" customHeight="1" spans="1:19">
      <c r="A297" s="43" t="s">
        <v>97</v>
      </c>
      <c r="B297" s="43" t="s">
        <v>102</v>
      </c>
      <c r="C297" s="44"/>
      <c r="D297" s="43" t="s">
        <v>52</v>
      </c>
      <c r="E297" s="43" t="s">
        <v>99</v>
      </c>
      <c r="F297" s="43" t="s">
        <v>52</v>
      </c>
      <c r="G297" s="43" t="s">
        <v>100</v>
      </c>
      <c r="H297" s="43" t="s">
        <v>101</v>
      </c>
      <c r="I297" s="43" t="s">
        <v>52</v>
      </c>
      <c r="J297" s="44"/>
      <c r="K297" s="54">
        <v>1</v>
      </c>
      <c r="L297" s="54">
        <v>1</v>
      </c>
      <c r="M297" s="54">
        <v>0</v>
      </c>
      <c r="N297" s="54">
        <v>0</v>
      </c>
      <c r="O297" s="54">
        <v>1</v>
      </c>
      <c r="P297" s="55">
        <v>0.11</v>
      </c>
      <c r="Q297" s="61">
        <v>0.11</v>
      </c>
      <c r="R297" s="60"/>
      <c r="S297" s="61">
        <v>0.11</v>
      </c>
    </row>
    <row r="298" ht="20" customHeight="1" spans="1:19">
      <c r="A298" s="43" t="s">
        <v>97</v>
      </c>
      <c r="B298" s="43" t="s">
        <v>102</v>
      </c>
      <c r="C298" s="44"/>
      <c r="D298" s="43" t="s">
        <v>52</v>
      </c>
      <c r="E298" s="43" t="s">
        <v>99</v>
      </c>
      <c r="F298" s="43" t="s">
        <v>52</v>
      </c>
      <c r="G298" s="43" t="s">
        <v>103</v>
      </c>
      <c r="H298" s="43" t="s">
        <v>104</v>
      </c>
      <c r="I298" s="43" t="s">
        <v>52</v>
      </c>
      <c r="J298" s="44"/>
      <c r="K298" s="54">
        <v>56</v>
      </c>
      <c r="L298" s="54">
        <v>56</v>
      </c>
      <c r="M298" s="54">
        <v>0</v>
      </c>
      <c r="N298" s="54">
        <v>0</v>
      </c>
      <c r="O298" s="54">
        <v>56</v>
      </c>
      <c r="P298" s="55">
        <v>0.02</v>
      </c>
      <c r="Q298" s="61">
        <v>1.08</v>
      </c>
      <c r="R298" s="60"/>
      <c r="S298" s="61">
        <v>1.08</v>
      </c>
    </row>
    <row r="299" ht="20" customHeight="1" spans="1:19">
      <c r="A299" s="43" t="s">
        <v>97</v>
      </c>
      <c r="B299" s="43" t="s">
        <v>102</v>
      </c>
      <c r="C299" s="44"/>
      <c r="D299" s="43" t="s">
        <v>52</v>
      </c>
      <c r="E299" s="43" t="s">
        <v>99</v>
      </c>
      <c r="F299" s="43" t="s">
        <v>52</v>
      </c>
      <c r="G299" s="43" t="s">
        <v>103</v>
      </c>
      <c r="H299" s="43" t="s">
        <v>104</v>
      </c>
      <c r="I299" s="43" t="s">
        <v>52</v>
      </c>
      <c r="J299" s="44"/>
      <c r="K299" s="54">
        <v>14148</v>
      </c>
      <c r="L299" s="54">
        <v>14148</v>
      </c>
      <c r="M299" s="54">
        <v>0</v>
      </c>
      <c r="N299" s="54">
        <v>0</v>
      </c>
      <c r="O299" s="54">
        <v>14148</v>
      </c>
      <c r="P299" s="55">
        <v>0.02</v>
      </c>
      <c r="Q299" s="61">
        <v>272.75</v>
      </c>
      <c r="R299" s="60"/>
      <c r="S299" s="61">
        <v>272.75</v>
      </c>
    </row>
    <row r="300" ht="20" customHeight="1" spans="1:19">
      <c r="A300" s="43" t="s">
        <v>97</v>
      </c>
      <c r="B300" s="43" t="s">
        <v>102</v>
      </c>
      <c r="C300" s="44"/>
      <c r="D300" s="43" t="s">
        <v>52</v>
      </c>
      <c r="E300" s="43" t="s">
        <v>99</v>
      </c>
      <c r="F300" s="43" t="s">
        <v>52</v>
      </c>
      <c r="G300" s="43" t="s">
        <v>103</v>
      </c>
      <c r="H300" s="43" t="s">
        <v>104</v>
      </c>
      <c r="I300" s="43" t="s">
        <v>52</v>
      </c>
      <c r="J300" s="44"/>
      <c r="K300" s="54">
        <v>4</v>
      </c>
      <c r="L300" s="54">
        <v>4</v>
      </c>
      <c r="M300" s="54">
        <v>0</v>
      </c>
      <c r="N300" s="54">
        <v>0</v>
      </c>
      <c r="O300" s="54">
        <v>4</v>
      </c>
      <c r="P300" s="55">
        <v>0.02</v>
      </c>
      <c r="Q300" s="61">
        <v>0.08</v>
      </c>
      <c r="R300" s="60"/>
      <c r="S300" s="61">
        <v>0.08</v>
      </c>
    </row>
    <row r="301" ht="20" customHeight="1" spans="1:19">
      <c r="A301" s="43" t="s">
        <v>105</v>
      </c>
      <c r="B301" s="43" t="s">
        <v>106</v>
      </c>
      <c r="C301" s="44"/>
      <c r="D301" s="43" t="s">
        <v>52</v>
      </c>
      <c r="E301" s="43" t="s">
        <v>107</v>
      </c>
      <c r="F301" s="43" t="s">
        <v>52</v>
      </c>
      <c r="G301" s="43" t="s">
        <v>108</v>
      </c>
      <c r="H301" s="43" t="s">
        <v>109</v>
      </c>
      <c r="I301" s="43" t="s">
        <v>52</v>
      </c>
      <c r="J301" s="44"/>
      <c r="K301" s="54">
        <v>20736</v>
      </c>
      <c r="L301" s="54">
        <v>20736</v>
      </c>
      <c r="M301" s="54">
        <v>0</v>
      </c>
      <c r="N301" s="54">
        <v>0</v>
      </c>
      <c r="O301" s="54">
        <v>20736</v>
      </c>
      <c r="P301" s="55">
        <v>0.01</v>
      </c>
      <c r="Q301" s="61">
        <v>150.96</v>
      </c>
      <c r="R301" s="60"/>
      <c r="S301" s="61">
        <v>150.96</v>
      </c>
    </row>
    <row r="302" ht="20" customHeight="1" spans="1:19">
      <c r="A302" s="43" t="s">
        <v>105</v>
      </c>
      <c r="B302" s="43" t="s">
        <v>106</v>
      </c>
      <c r="C302" s="44"/>
      <c r="D302" s="43" t="s">
        <v>52</v>
      </c>
      <c r="E302" s="43" t="s">
        <v>107</v>
      </c>
      <c r="F302" s="43" t="s">
        <v>52</v>
      </c>
      <c r="G302" s="43" t="s">
        <v>108</v>
      </c>
      <c r="H302" s="43" t="s">
        <v>109</v>
      </c>
      <c r="I302" s="43" t="s">
        <v>52</v>
      </c>
      <c r="J302" s="44"/>
      <c r="K302" s="54">
        <v>180</v>
      </c>
      <c r="L302" s="54">
        <v>180</v>
      </c>
      <c r="M302" s="54">
        <v>0</v>
      </c>
      <c r="N302" s="54">
        <v>0</v>
      </c>
      <c r="O302" s="54">
        <v>180</v>
      </c>
      <c r="P302" s="55">
        <v>0.01</v>
      </c>
      <c r="Q302" s="61">
        <v>1.31</v>
      </c>
      <c r="R302" s="60"/>
      <c r="S302" s="61">
        <v>1.31</v>
      </c>
    </row>
    <row r="303" ht="20" customHeight="1" spans="1:19">
      <c r="A303" s="43" t="s">
        <v>105</v>
      </c>
      <c r="B303" s="43" t="s">
        <v>106</v>
      </c>
      <c r="C303" s="44"/>
      <c r="D303" s="43" t="s">
        <v>52</v>
      </c>
      <c r="E303" s="43" t="s">
        <v>107</v>
      </c>
      <c r="F303" s="43" t="s">
        <v>52</v>
      </c>
      <c r="G303" s="43" t="s">
        <v>108</v>
      </c>
      <c r="H303" s="43" t="s">
        <v>109</v>
      </c>
      <c r="I303" s="43" t="s">
        <v>52</v>
      </c>
      <c r="J303" s="44"/>
      <c r="K303" s="54">
        <v>8640</v>
      </c>
      <c r="L303" s="54">
        <v>8640</v>
      </c>
      <c r="M303" s="54">
        <v>0</v>
      </c>
      <c r="N303" s="54">
        <v>0</v>
      </c>
      <c r="O303" s="54">
        <v>8640</v>
      </c>
      <c r="P303" s="55">
        <v>0.01</v>
      </c>
      <c r="Q303" s="61">
        <v>62.9</v>
      </c>
      <c r="R303" s="60"/>
      <c r="S303" s="61">
        <v>62.9</v>
      </c>
    </row>
    <row r="304" ht="20" customHeight="1" spans="1:19">
      <c r="A304" s="43" t="s">
        <v>105</v>
      </c>
      <c r="B304" s="43" t="s">
        <v>106</v>
      </c>
      <c r="C304" s="44"/>
      <c r="D304" s="43" t="s">
        <v>52</v>
      </c>
      <c r="E304" s="43" t="s">
        <v>107</v>
      </c>
      <c r="F304" s="43" t="s">
        <v>52</v>
      </c>
      <c r="G304" s="43" t="s">
        <v>108</v>
      </c>
      <c r="H304" s="43" t="s">
        <v>109</v>
      </c>
      <c r="I304" s="43" t="s">
        <v>52</v>
      </c>
      <c r="J304" s="44"/>
      <c r="K304" s="54">
        <v>252</v>
      </c>
      <c r="L304" s="54">
        <v>252</v>
      </c>
      <c r="M304" s="54">
        <v>0</v>
      </c>
      <c r="N304" s="54">
        <v>0</v>
      </c>
      <c r="O304" s="54">
        <v>252</v>
      </c>
      <c r="P304" s="55">
        <v>0.01</v>
      </c>
      <c r="Q304" s="61">
        <v>1.83</v>
      </c>
      <c r="R304" s="60"/>
      <c r="S304" s="61">
        <v>1.83</v>
      </c>
    </row>
    <row r="305" ht="20" customHeight="1" spans="1:19">
      <c r="A305" s="43" t="s">
        <v>105</v>
      </c>
      <c r="B305" s="43" t="s">
        <v>106</v>
      </c>
      <c r="C305" s="44"/>
      <c r="D305" s="43" t="s">
        <v>52</v>
      </c>
      <c r="E305" s="43" t="s">
        <v>107</v>
      </c>
      <c r="F305" s="43" t="s">
        <v>52</v>
      </c>
      <c r="G305" s="43" t="s">
        <v>108</v>
      </c>
      <c r="H305" s="43" t="s">
        <v>109</v>
      </c>
      <c r="I305" s="43" t="s">
        <v>52</v>
      </c>
      <c r="J305" s="44"/>
      <c r="K305" s="54">
        <v>9360</v>
      </c>
      <c r="L305" s="54">
        <v>9360</v>
      </c>
      <c r="M305" s="54">
        <v>0</v>
      </c>
      <c r="N305" s="54">
        <v>0</v>
      </c>
      <c r="O305" s="54">
        <v>9360</v>
      </c>
      <c r="P305" s="55">
        <v>0.01</v>
      </c>
      <c r="Q305" s="61">
        <v>68.14</v>
      </c>
      <c r="R305" s="60"/>
      <c r="S305" s="61">
        <v>68.14</v>
      </c>
    </row>
    <row r="306" ht="13" customHeight="1" spans="1:19">
      <c r="A306" s="47" t="s">
        <v>143</v>
      </c>
      <c r="B306" s="48"/>
      <c r="C306" s="48"/>
      <c r="D306" s="48"/>
      <c r="E306" s="48"/>
      <c r="F306" s="48"/>
      <c r="G306" s="48"/>
      <c r="H306" s="48"/>
      <c r="I306" s="48"/>
      <c r="J306" s="56"/>
      <c r="K306" s="47" t="s">
        <v>144</v>
      </c>
      <c r="L306" s="57">
        <v>114938</v>
      </c>
      <c r="M306" s="58">
        <v>0</v>
      </c>
      <c r="N306" s="58">
        <v>0</v>
      </c>
      <c r="O306" s="58">
        <v>114938</v>
      </c>
      <c r="P306" s="59" t="s">
        <v>52</v>
      </c>
      <c r="Q306" s="62"/>
      <c r="R306" s="62"/>
      <c r="S306" s="63">
        <v>1304.74</v>
      </c>
    </row>
    <row r="307" ht="19" customHeight="1" spans="1:19">
      <c r="A307" s="43" t="s">
        <v>145</v>
      </c>
      <c r="B307" s="44"/>
      <c r="C307" s="44"/>
      <c r="D307" s="49" t="s">
        <v>146</v>
      </c>
      <c r="E307" s="50" t="s">
        <v>147</v>
      </c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56"/>
      <c r="S307" s="56"/>
    </row>
    <row r="308" ht="19" customHeight="1" spans="1:19">
      <c r="A308" s="49" t="s">
        <v>146</v>
      </c>
      <c r="B308" s="51"/>
      <c r="C308" s="51"/>
      <c r="D308" s="49" t="s">
        <v>146</v>
      </c>
      <c r="E308" s="49" t="s">
        <v>119</v>
      </c>
      <c r="F308" s="52">
        <v>700</v>
      </c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56"/>
      <c r="S308" s="56"/>
    </row>
    <row r="309" ht="12" customHeight="1" spans="1:19">
      <c r="A309" s="46" t="s">
        <v>52</v>
      </c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56"/>
      <c r="S309" s="56"/>
    </row>
    <row r="310" ht="14" customHeight="1" spans="1:19">
      <c r="A310" s="43" t="s">
        <v>67</v>
      </c>
      <c r="B310" s="44"/>
      <c r="C310" s="44"/>
      <c r="D310" s="45" t="s">
        <v>124</v>
      </c>
      <c r="E310" s="43" t="s">
        <v>69</v>
      </c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</row>
    <row r="311" ht="14" customHeight="1" spans="1:19">
      <c r="A311" s="43" t="s">
        <v>70</v>
      </c>
      <c r="B311" s="44"/>
      <c r="C311" s="44"/>
      <c r="D311" s="45" t="s">
        <v>124</v>
      </c>
      <c r="E311" s="43" t="s">
        <v>71</v>
      </c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</row>
    <row r="312" ht="14" customHeight="1" spans="1:19">
      <c r="A312" s="43" t="s">
        <v>82</v>
      </c>
      <c r="B312" s="44"/>
      <c r="C312" s="44"/>
      <c r="D312" s="45" t="s">
        <v>124</v>
      </c>
      <c r="E312" s="43" t="s">
        <v>83</v>
      </c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</row>
    <row r="313" ht="14" customHeight="1" spans="1:19">
      <c r="A313" s="43" t="s">
        <v>72</v>
      </c>
      <c r="B313" s="44"/>
      <c r="C313" s="44"/>
      <c r="D313" s="45" t="s">
        <v>124</v>
      </c>
      <c r="E313" s="43" t="s">
        <v>125</v>
      </c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</row>
    <row r="314" ht="14" customHeight="1" spans="1:19">
      <c r="A314" s="43" t="s">
        <v>126</v>
      </c>
      <c r="B314" s="44"/>
      <c r="C314" s="44"/>
      <c r="D314" s="45" t="s">
        <v>124</v>
      </c>
      <c r="E314" s="43" t="s">
        <v>156</v>
      </c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</row>
    <row r="315" ht="14" customHeight="1" spans="1:19">
      <c r="A315" s="43" t="s">
        <v>76</v>
      </c>
      <c r="B315" s="44"/>
      <c r="C315" s="44"/>
      <c r="D315" s="45" t="s">
        <v>124</v>
      </c>
      <c r="E315" s="43" t="s">
        <v>77</v>
      </c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</row>
    <row r="316" ht="14" customHeight="1" spans="1:19">
      <c r="A316" s="43" t="s">
        <v>78</v>
      </c>
      <c r="B316" s="44"/>
      <c r="C316" s="44"/>
      <c r="D316" s="45" t="s">
        <v>124</v>
      </c>
      <c r="E316" s="43" t="s">
        <v>79</v>
      </c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</row>
    <row r="317" ht="14" customHeight="1" spans="1:19">
      <c r="A317" s="43" t="s">
        <v>80</v>
      </c>
      <c r="B317" s="44"/>
      <c r="C317" s="44"/>
      <c r="D317" s="45" t="s">
        <v>124</v>
      </c>
      <c r="E317" s="43" t="s">
        <v>81</v>
      </c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</row>
    <row r="318" ht="17" customHeight="1" spans="1:19">
      <c r="A318" s="46" t="s">
        <v>52</v>
      </c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</row>
    <row r="319" ht="14" customHeight="1" spans="1:19">
      <c r="A319" s="43" t="s">
        <v>84</v>
      </c>
      <c r="B319" s="43" t="s">
        <v>85</v>
      </c>
      <c r="C319" s="44"/>
      <c r="D319" s="43" t="s">
        <v>52</v>
      </c>
      <c r="E319" s="43" t="s">
        <v>87</v>
      </c>
      <c r="F319" s="43" t="s">
        <v>88</v>
      </c>
      <c r="G319" s="43" t="s">
        <v>89</v>
      </c>
      <c r="H319" s="43" t="s">
        <v>90</v>
      </c>
      <c r="I319" s="43" t="s">
        <v>91</v>
      </c>
      <c r="J319" s="44"/>
      <c r="K319" s="53" t="s">
        <v>128</v>
      </c>
      <c r="L319" s="53" t="s">
        <v>129</v>
      </c>
      <c r="M319" s="53" t="s">
        <v>130</v>
      </c>
      <c r="N319" s="53" t="s">
        <v>131</v>
      </c>
      <c r="O319" s="53" t="s">
        <v>132</v>
      </c>
      <c r="P319" s="53" t="s">
        <v>93</v>
      </c>
      <c r="Q319" s="53" t="s">
        <v>94</v>
      </c>
      <c r="R319" s="60"/>
      <c r="S319" s="53" t="s">
        <v>133</v>
      </c>
    </row>
    <row r="320" ht="20" customHeight="1" spans="1:19">
      <c r="A320" s="43" t="s">
        <v>134</v>
      </c>
      <c r="B320" s="43" t="s">
        <v>135</v>
      </c>
      <c r="C320" s="44"/>
      <c r="D320" s="43" t="s">
        <v>52</v>
      </c>
      <c r="E320" s="43" t="s">
        <v>136</v>
      </c>
      <c r="F320" s="43" t="s">
        <v>52</v>
      </c>
      <c r="G320" s="43" t="s">
        <v>108</v>
      </c>
      <c r="H320" s="43" t="s">
        <v>109</v>
      </c>
      <c r="I320" s="43" t="s">
        <v>52</v>
      </c>
      <c r="J320" s="44"/>
      <c r="K320" s="54">
        <v>34272</v>
      </c>
      <c r="L320" s="54">
        <v>34272</v>
      </c>
      <c r="M320" s="54">
        <v>0</v>
      </c>
      <c r="N320" s="54">
        <v>0</v>
      </c>
      <c r="O320" s="54">
        <v>34272</v>
      </c>
      <c r="P320" s="55">
        <v>0.01</v>
      </c>
      <c r="Q320" s="61">
        <v>249.5</v>
      </c>
      <c r="R320" s="60"/>
      <c r="S320" s="61">
        <v>249.5</v>
      </c>
    </row>
    <row r="321" ht="20" customHeight="1" spans="1:19">
      <c r="A321" s="43" t="s">
        <v>134</v>
      </c>
      <c r="B321" s="43" t="s">
        <v>135</v>
      </c>
      <c r="C321" s="44"/>
      <c r="D321" s="43" t="s">
        <v>52</v>
      </c>
      <c r="E321" s="43" t="s">
        <v>136</v>
      </c>
      <c r="F321" s="43" t="s">
        <v>52</v>
      </c>
      <c r="G321" s="43" t="s">
        <v>108</v>
      </c>
      <c r="H321" s="43" t="s">
        <v>109</v>
      </c>
      <c r="I321" s="43" t="s">
        <v>52</v>
      </c>
      <c r="J321" s="44"/>
      <c r="K321" s="54">
        <v>4752</v>
      </c>
      <c r="L321" s="54">
        <v>4752</v>
      </c>
      <c r="M321" s="54">
        <v>0</v>
      </c>
      <c r="N321" s="54">
        <v>0</v>
      </c>
      <c r="O321" s="54">
        <v>4752</v>
      </c>
      <c r="P321" s="55">
        <v>0.01</v>
      </c>
      <c r="Q321" s="61">
        <v>34.59</v>
      </c>
      <c r="R321" s="60"/>
      <c r="S321" s="61">
        <v>34.59</v>
      </c>
    </row>
    <row r="322" ht="20" customHeight="1" spans="1:19">
      <c r="A322" s="43" t="s">
        <v>134</v>
      </c>
      <c r="B322" s="43" t="s">
        <v>135</v>
      </c>
      <c r="C322" s="44"/>
      <c r="D322" s="43" t="s">
        <v>52</v>
      </c>
      <c r="E322" s="43" t="s">
        <v>136</v>
      </c>
      <c r="F322" s="43" t="s">
        <v>52</v>
      </c>
      <c r="G322" s="43" t="s">
        <v>108</v>
      </c>
      <c r="H322" s="43" t="s">
        <v>109</v>
      </c>
      <c r="I322" s="43" t="s">
        <v>52</v>
      </c>
      <c r="J322" s="44"/>
      <c r="K322" s="54">
        <v>144</v>
      </c>
      <c r="L322" s="54">
        <v>144</v>
      </c>
      <c r="M322" s="54">
        <v>0</v>
      </c>
      <c r="N322" s="54">
        <v>0</v>
      </c>
      <c r="O322" s="54">
        <v>144</v>
      </c>
      <c r="P322" s="55">
        <v>0.01</v>
      </c>
      <c r="Q322" s="61">
        <v>1.05</v>
      </c>
      <c r="R322" s="60"/>
      <c r="S322" s="61">
        <v>1.05</v>
      </c>
    </row>
    <row r="323" ht="20" customHeight="1" spans="1:19">
      <c r="A323" s="43" t="s">
        <v>137</v>
      </c>
      <c r="B323" s="43" t="s">
        <v>138</v>
      </c>
      <c r="C323" s="44"/>
      <c r="D323" s="43" t="s">
        <v>52</v>
      </c>
      <c r="E323" s="43" t="s">
        <v>139</v>
      </c>
      <c r="F323" s="43" t="s">
        <v>52</v>
      </c>
      <c r="G323" s="43" t="s">
        <v>100</v>
      </c>
      <c r="H323" s="43" t="s">
        <v>101</v>
      </c>
      <c r="I323" s="43" t="s">
        <v>52</v>
      </c>
      <c r="J323" s="44"/>
      <c r="K323" s="54">
        <v>1692</v>
      </c>
      <c r="L323" s="54">
        <v>1692</v>
      </c>
      <c r="M323" s="54">
        <v>0</v>
      </c>
      <c r="N323" s="54">
        <v>0</v>
      </c>
      <c r="O323" s="54">
        <v>1692</v>
      </c>
      <c r="P323" s="55">
        <v>0.11</v>
      </c>
      <c r="Q323" s="61">
        <v>191.47</v>
      </c>
      <c r="R323" s="60"/>
      <c r="S323" s="61">
        <v>191.47</v>
      </c>
    </row>
    <row r="324" ht="20" customHeight="1" spans="1:19">
      <c r="A324" s="43" t="s">
        <v>137</v>
      </c>
      <c r="B324" s="43" t="s">
        <v>138</v>
      </c>
      <c r="C324" s="44"/>
      <c r="D324" s="43" t="s">
        <v>52</v>
      </c>
      <c r="E324" s="43" t="s">
        <v>139</v>
      </c>
      <c r="F324" s="43" t="s">
        <v>52</v>
      </c>
      <c r="G324" s="43" t="s">
        <v>100</v>
      </c>
      <c r="H324" s="43" t="s">
        <v>101</v>
      </c>
      <c r="I324" s="43" t="s">
        <v>52</v>
      </c>
      <c r="J324" s="44"/>
      <c r="K324" s="54">
        <v>8</v>
      </c>
      <c r="L324" s="54">
        <v>8</v>
      </c>
      <c r="M324" s="54">
        <v>0</v>
      </c>
      <c r="N324" s="54">
        <v>0</v>
      </c>
      <c r="O324" s="54">
        <v>8</v>
      </c>
      <c r="P324" s="55">
        <v>0.11</v>
      </c>
      <c r="Q324" s="61">
        <v>0.91</v>
      </c>
      <c r="R324" s="60"/>
      <c r="S324" s="61">
        <v>0.91</v>
      </c>
    </row>
    <row r="325" ht="20" customHeight="1" spans="1:19">
      <c r="A325" s="43" t="s">
        <v>137</v>
      </c>
      <c r="B325" s="43" t="s">
        <v>138</v>
      </c>
      <c r="C325" s="44"/>
      <c r="D325" s="43" t="s">
        <v>52</v>
      </c>
      <c r="E325" s="43" t="s">
        <v>139</v>
      </c>
      <c r="F325" s="43" t="s">
        <v>52</v>
      </c>
      <c r="G325" s="43" t="s">
        <v>100</v>
      </c>
      <c r="H325" s="43" t="s">
        <v>101</v>
      </c>
      <c r="I325" s="43" t="s">
        <v>52</v>
      </c>
      <c r="J325" s="44"/>
      <c r="K325" s="54">
        <v>10</v>
      </c>
      <c r="L325" s="54">
        <v>10</v>
      </c>
      <c r="M325" s="54">
        <v>0</v>
      </c>
      <c r="N325" s="54">
        <v>0</v>
      </c>
      <c r="O325" s="54">
        <v>10</v>
      </c>
      <c r="P325" s="55">
        <v>0.11</v>
      </c>
      <c r="Q325" s="61">
        <v>1.13</v>
      </c>
      <c r="R325" s="60"/>
      <c r="S325" s="61">
        <v>1.13</v>
      </c>
    </row>
    <row r="326" ht="20" customHeight="1" spans="1:19">
      <c r="A326" s="43" t="s">
        <v>140</v>
      </c>
      <c r="B326" s="43" t="s">
        <v>141</v>
      </c>
      <c r="C326" s="44"/>
      <c r="D326" s="43" t="s">
        <v>52</v>
      </c>
      <c r="E326" s="43" t="s">
        <v>142</v>
      </c>
      <c r="F326" s="43" t="s">
        <v>52</v>
      </c>
      <c r="G326" s="43" t="s">
        <v>108</v>
      </c>
      <c r="H326" s="43" t="s">
        <v>109</v>
      </c>
      <c r="I326" s="43" t="s">
        <v>52</v>
      </c>
      <c r="J326" s="44"/>
      <c r="K326" s="54">
        <v>180</v>
      </c>
      <c r="L326" s="54">
        <v>180</v>
      </c>
      <c r="M326" s="54">
        <v>0</v>
      </c>
      <c r="N326" s="54">
        <v>0</v>
      </c>
      <c r="O326" s="54">
        <v>180</v>
      </c>
      <c r="P326" s="55">
        <v>0.01</v>
      </c>
      <c r="Q326" s="61">
        <v>1.31</v>
      </c>
      <c r="R326" s="60"/>
      <c r="S326" s="61">
        <v>1.31</v>
      </c>
    </row>
    <row r="327" ht="20" customHeight="1" spans="1:19">
      <c r="A327" s="43" t="s">
        <v>140</v>
      </c>
      <c r="B327" s="43" t="s">
        <v>141</v>
      </c>
      <c r="C327" s="44"/>
      <c r="D327" s="43" t="s">
        <v>52</v>
      </c>
      <c r="E327" s="43" t="s">
        <v>142</v>
      </c>
      <c r="F327" s="43" t="s">
        <v>52</v>
      </c>
      <c r="G327" s="43" t="s">
        <v>108</v>
      </c>
      <c r="H327" s="43" t="s">
        <v>109</v>
      </c>
      <c r="I327" s="43" t="s">
        <v>52</v>
      </c>
      <c r="J327" s="44"/>
      <c r="K327" s="54">
        <v>24</v>
      </c>
      <c r="L327" s="54">
        <v>24</v>
      </c>
      <c r="M327" s="54">
        <v>0</v>
      </c>
      <c r="N327" s="54">
        <v>0</v>
      </c>
      <c r="O327" s="54">
        <v>24</v>
      </c>
      <c r="P327" s="55">
        <v>0.01</v>
      </c>
      <c r="Q327" s="61">
        <v>0.17</v>
      </c>
      <c r="R327" s="60"/>
      <c r="S327" s="61">
        <v>0.17</v>
      </c>
    </row>
    <row r="328" ht="20" customHeight="1" spans="1:19">
      <c r="A328" s="43" t="s">
        <v>140</v>
      </c>
      <c r="B328" s="43" t="s">
        <v>141</v>
      </c>
      <c r="C328" s="44"/>
      <c r="D328" s="43" t="s">
        <v>52</v>
      </c>
      <c r="E328" s="43" t="s">
        <v>142</v>
      </c>
      <c r="F328" s="43" t="s">
        <v>52</v>
      </c>
      <c r="G328" s="43" t="s">
        <v>108</v>
      </c>
      <c r="H328" s="43" t="s">
        <v>109</v>
      </c>
      <c r="I328" s="43" t="s">
        <v>52</v>
      </c>
      <c r="J328" s="44"/>
      <c r="K328" s="54">
        <v>19224</v>
      </c>
      <c r="L328" s="54">
        <v>19224</v>
      </c>
      <c r="M328" s="54">
        <v>0</v>
      </c>
      <c r="N328" s="54">
        <v>0</v>
      </c>
      <c r="O328" s="54">
        <v>19224</v>
      </c>
      <c r="P328" s="55">
        <v>0.01</v>
      </c>
      <c r="Q328" s="61">
        <v>139.95</v>
      </c>
      <c r="R328" s="60"/>
      <c r="S328" s="61">
        <v>139.95</v>
      </c>
    </row>
    <row r="329" ht="20" customHeight="1" spans="1:19">
      <c r="A329" s="43" t="s">
        <v>140</v>
      </c>
      <c r="B329" s="43" t="s">
        <v>141</v>
      </c>
      <c r="C329" s="44"/>
      <c r="D329" s="43" t="s">
        <v>52</v>
      </c>
      <c r="E329" s="43" t="s">
        <v>142</v>
      </c>
      <c r="F329" s="43" t="s">
        <v>52</v>
      </c>
      <c r="G329" s="43" t="s">
        <v>108</v>
      </c>
      <c r="H329" s="43" t="s">
        <v>109</v>
      </c>
      <c r="I329" s="43" t="s">
        <v>52</v>
      </c>
      <c r="J329" s="44"/>
      <c r="K329" s="54">
        <v>156</v>
      </c>
      <c r="L329" s="54">
        <v>156</v>
      </c>
      <c r="M329" s="54">
        <v>0</v>
      </c>
      <c r="N329" s="54">
        <v>0</v>
      </c>
      <c r="O329" s="54">
        <v>156</v>
      </c>
      <c r="P329" s="55">
        <v>0.01</v>
      </c>
      <c r="Q329" s="61">
        <v>1.14</v>
      </c>
      <c r="R329" s="60"/>
      <c r="S329" s="61">
        <v>1.14</v>
      </c>
    </row>
    <row r="330" ht="20" customHeight="1" spans="1:19">
      <c r="A330" s="43" t="s">
        <v>97</v>
      </c>
      <c r="B330" s="43" t="s">
        <v>102</v>
      </c>
      <c r="C330" s="44"/>
      <c r="D330" s="43" t="s">
        <v>52</v>
      </c>
      <c r="E330" s="43" t="s">
        <v>99</v>
      </c>
      <c r="F330" s="43" t="s">
        <v>52</v>
      </c>
      <c r="G330" s="43" t="s">
        <v>100</v>
      </c>
      <c r="H330" s="43" t="s">
        <v>101</v>
      </c>
      <c r="I330" s="43" t="s">
        <v>52</v>
      </c>
      <c r="J330" s="44"/>
      <c r="K330" s="54">
        <v>3</v>
      </c>
      <c r="L330" s="54">
        <v>3</v>
      </c>
      <c r="M330" s="54">
        <v>0</v>
      </c>
      <c r="N330" s="54">
        <v>0</v>
      </c>
      <c r="O330" s="54">
        <v>3</v>
      </c>
      <c r="P330" s="55">
        <v>0.11</v>
      </c>
      <c r="Q330" s="61">
        <v>0.34</v>
      </c>
      <c r="R330" s="60"/>
      <c r="S330" s="61">
        <v>0.34</v>
      </c>
    </row>
    <row r="331" ht="20" customHeight="1" spans="1:19">
      <c r="A331" s="43" t="s">
        <v>97</v>
      </c>
      <c r="B331" s="43" t="s">
        <v>102</v>
      </c>
      <c r="C331" s="44"/>
      <c r="D331" s="43" t="s">
        <v>52</v>
      </c>
      <c r="E331" s="43" t="s">
        <v>99</v>
      </c>
      <c r="F331" s="43" t="s">
        <v>52</v>
      </c>
      <c r="G331" s="43" t="s">
        <v>100</v>
      </c>
      <c r="H331" s="43" t="s">
        <v>101</v>
      </c>
      <c r="I331" s="43" t="s">
        <v>52</v>
      </c>
      <c r="J331" s="44"/>
      <c r="K331" s="54">
        <v>4</v>
      </c>
      <c r="L331" s="54">
        <v>4</v>
      </c>
      <c r="M331" s="54">
        <v>0</v>
      </c>
      <c r="N331" s="54">
        <v>0</v>
      </c>
      <c r="O331" s="54">
        <v>4</v>
      </c>
      <c r="P331" s="55">
        <v>0.11</v>
      </c>
      <c r="Q331" s="61">
        <v>0.45</v>
      </c>
      <c r="R331" s="60"/>
      <c r="S331" s="61">
        <v>0.45</v>
      </c>
    </row>
    <row r="332" ht="20" customHeight="1" spans="1:19">
      <c r="A332" s="43" t="s">
        <v>97</v>
      </c>
      <c r="B332" s="43" t="s">
        <v>102</v>
      </c>
      <c r="C332" s="44"/>
      <c r="D332" s="43" t="s">
        <v>52</v>
      </c>
      <c r="E332" s="43" t="s">
        <v>99</v>
      </c>
      <c r="F332" s="43" t="s">
        <v>52</v>
      </c>
      <c r="G332" s="43" t="s">
        <v>100</v>
      </c>
      <c r="H332" s="43" t="s">
        <v>101</v>
      </c>
      <c r="I332" s="43" t="s">
        <v>52</v>
      </c>
      <c r="J332" s="44"/>
      <c r="K332" s="54">
        <v>1092</v>
      </c>
      <c r="L332" s="54">
        <v>1092</v>
      </c>
      <c r="M332" s="54">
        <v>0</v>
      </c>
      <c r="N332" s="54">
        <v>0</v>
      </c>
      <c r="O332" s="54">
        <v>1092</v>
      </c>
      <c r="P332" s="55">
        <v>0.11</v>
      </c>
      <c r="Q332" s="61">
        <v>123.57</v>
      </c>
      <c r="R332" s="60"/>
      <c r="S332" s="61">
        <v>123.57</v>
      </c>
    </row>
    <row r="333" ht="20" customHeight="1" spans="1:19">
      <c r="A333" s="43" t="s">
        <v>97</v>
      </c>
      <c r="B333" s="43" t="s">
        <v>102</v>
      </c>
      <c r="C333" s="44"/>
      <c r="D333" s="43" t="s">
        <v>52</v>
      </c>
      <c r="E333" s="43" t="s">
        <v>99</v>
      </c>
      <c r="F333" s="43" t="s">
        <v>52</v>
      </c>
      <c r="G333" s="43" t="s">
        <v>100</v>
      </c>
      <c r="H333" s="43" t="s">
        <v>101</v>
      </c>
      <c r="I333" s="43" t="s">
        <v>52</v>
      </c>
      <c r="J333" s="44"/>
      <c r="K333" s="54">
        <v>1</v>
      </c>
      <c r="L333" s="54">
        <v>1</v>
      </c>
      <c r="M333" s="54">
        <v>0</v>
      </c>
      <c r="N333" s="54">
        <v>0</v>
      </c>
      <c r="O333" s="54">
        <v>1</v>
      </c>
      <c r="P333" s="55">
        <v>0.11</v>
      </c>
      <c r="Q333" s="61">
        <v>0.11</v>
      </c>
      <c r="R333" s="60"/>
      <c r="S333" s="61">
        <v>0.11</v>
      </c>
    </row>
    <row r="334" ht="20" customHeight="1" spans="1:19">
      <c r="A334" s="43" t="s">
        <v>97</v>
      </c>
      <c r="B334" s="43" t="s">
        <v>102</v>
      </c>
      <c r="C334" s="44"/>
      <c r="D334" s="43" t="s">
        <v>52</v>
      </c>
      <c r="E334" s="43" t="s">
        <v>99</v>
      </c>
      <c r="F334" s="43" t="s">
        <v>52</v>
      </c>
      <c r="G334" s="43" t="s">
        <v>103</v>
      </c>
      <c r="H334" s="43" t="s">
        <v>104</v>
      </c>
      <c r="I334" s="43" t="s">
        <v>52</v>
      </c>
      <c r="J334" s="44"/>
      <c r="K334" s="54">
        <v>56</v>
      </c>
      <c r="L334" s="54">
        <v>56</v>
      </c>
      <c r="M334" s="54">
        <v>0</v>
      </c>
      <c r="N334" s="54">
        <v>0</v>
      </c>
      <c r="O334" s="54">
        <v>56</v>
      </c>
      <c r="P334" s="55">
        <v>0.02</v>
      </c>
      <c r="Q334" s="61">
        <v>1.08</v>
      </c>
      <c r="R334" s="60"/>
      <c r="S334" s="61">
        <v>1.08</v>
      </c>
    </row>
    <row r="335" ht="20" customHeight="1" spans="1:19">
      <c r="A335" s="43" t="s">
        <v>97</v>
      </c>
      <c r="B335" s="43" t="s">
        <v>102</v>
      </c>
      <c r="C335" s="44"/>
      <c r="D335" s="43" t="s">
        <v>52</v>
      </c>
      <c r="E335" s="43" t="s">
        <v>99</v>
      </c>
      <c r="F335" s="43" t="s">
        <v>52</v>
      </c>
      <c r="G335" s="43" t="s">
        <v>103</v>
      </c>
      <c r="H335" s="43" t="s">
        <v>104</v>
      </c>
      <c r="I335" s="43" t="s">
        <v>52</v>
      </c>
      <c r="J335" s="44"/>
      <c r="K335" s="54">
        <v>14148</v>
      </c>
      <c r="L335" s="54">
        <v>14148</v>
      </c>
      <c r="M335" s="54">
        <v>0</v>
      </c>
      <c r="N335" s="54">
        <v>0</v>
      </c>
      <c r="O335" s="54">
        <v>14148</v>
      </c>
      <c r="P335" s="55">
        <v>0.02</v>
      </c>
      <c r="Q335" s="61">
        <v>272.75</v>
      </c>
      <c r="R335" s="60"/>
      <c r="S335" s="61">
        <v>272.75</v>
      </c>
    </row>
    <row r="336" ht="20" customHeight="1" spans="1:19">
      <c r="A336" s="43" t="s">
        <v>97</v>
      </c>
      <c r="B336" s="43" t="s">
        <v>102</v>
      </c>
      <c r="C336" s="44"/>
      <c r="D336" s="43" t="s">
        <v>52</v>
      </c>
      <c r="E336" s="43" t="s">
        <v>99</v>
      </c>
      <c r="F336" s="43" t="s">
        <v>52</v>
      </c>
      <c r="G336" s="43" t="s">
        <v>103</v>
      </c>
      <c r="H336" s="43" t="s">
        <v>104</v>
      </c>
      <c r="I336" s="43" t="s">
        <v>52</v>
      </c>
      <c r="J336" s="44"/>
      <c r="K336" s="54">
        <v>4</v>
      </c>
      <c r="L336" s="54">
        <v>4</v>
      </c>
      <c r="M336" s="54">
        <v>0</v>
      </c>
      <c r="N336" s="54">
        <v>0</v>
      </c>
      <c r="O336" s="54">
        <v>4</v>
      </c>
      <c r="P336" s="55">
        <v>0.02</v>
      </c>
      <c r="Q336" s="61">
        <v>0.08</v>
      </c>
      <c r="R336" s="60"/>
      <c r="S336" s="61">
        <v>0.08</v>
      </c>
    </row>
    <row r="337" ht="20" customHeight="1" spans="1:19">
      <c r="A337" s="43" t="s">
        <v>105</v>
      </c>
      <c r="B337" s="43" t="s">
        <v>106</v>
      </c>
      <c r="C337" s="44"/>
      <c r="D337" s="43" t="s">
        <v>52</v>
      </c>
      <c r="E337" s="43" t="s">
        <v>107</v>
      </c>
      <c r="F337" s="43" t="s">
        <v>52</v>
      </c>
      <c r="G337" s="43" t="s">
        <v>108</v>
      </c>
      <c r="H337" s="43" t="s">
        <v>109</v>
      </c>
      <c r="I337" s="43" t="s">
        <v>52</v>
      </c>
      <c r="J337" s="44"/>
      <c r="K337" s="54">
        <v>20736</v>
      </c>
      <c r="L337" s="54">
        <v>20736</v>
      </c>
      <c r="M337" s="54">
        <v>0</v>
      </c>
      <c r="N337" s="54">
        <v>0</v>
      </c>
      <c r="O337" s="54">
        <v>20736</v>
      </c>
      <c r="P337" s="55">
        <v>0.01</v>
      </c>
      <c r="Q337" s="61">
        <v>150.96</v>
      </c>
      <c r="R337" s="60"/>
      <c r="S337" s="61">
        <v>150.96</v>
      </c>
    </row>
    <row r="338" ht="20" customHeight="1" spans="1:19">
      <c r="A338" s="43" t="s">
        <v>105</v>
      </c>
      <c r="B338" s="43" t="s">
        <v>106</v>
      </c>
      <c r="C338" s="44"/>
      <c r="D338" s="43" t="s">
        <v>52</v>
      </c>
      <c r="E338" s="43" t="s">
        <v>107</v>
      </c>
      <c r="F338" s="43" t="s">
        <v>52</v>
      </c>
      <c r="G338" s="43" t="s">
        <v>108</v>
      </c>
      <c r="H338" s="43" t="s">
        <v>109</v>
      </c>
      <c r="I338" s="43" t="s">
        <v>52</v>
      </c>
      <c r="J338" s="44"/>
      <c r="K338" s="54">
        <v>180</v>
      </c>
      <c r="L338" s="54">
        <v>180</v>
      </c>
      <c r="M338" s="54">
        <v>0</v>
      </c>
      <c r="N338" s="54">
        <v>0</v>
      </c>
      <c r="O338" s="54">
        <v>180</v>
      </c>
      <c r="P338" s="55">
        <v>0.01</v>
      </c>
      <c r="Q338" s="61">
        <v>1.31</v>
      </c>
      <c r="R338" s="60"/>
      <c r="S338" s="61">
        <v>1.31</v>
      </c>
    </row>
    <row r="339" ht="20" customHeight="1" spans="1:19">
      <c r="A339" s="43" t="s">
        <v>105</v>
      </c>
      <c r="B339" s="43" t="s">
        <v>106</v>
      </c>
      <c r="C339" s="44"/>
      <c r="D339" s="43" t="s">
        <v>52</v>
      </c>
      <c r="E339" s="43" t="s">
        <v>107</v>
      </c>
      <c r="F339" s="43" t="s">
        <v>52</v>
      </c>
      <c r="G339" s="43" t="s">
        <v>108</v>
      </c>
      <c r="H339" s="43" t="s">
        <v>109</v>
      </c>
      <c r="I339" s="43" t="s">
        <v>52</v>
      </c>
      <c r="J339" s="44"/>
      <c r="K339" s="54">
        <v>8640</v>
      </c>
      <c r="L339" s="54">
        <v>8640</v>
      </c>
      <c r="M339" s="54">
        <v>0</v>
      </c>
      <c r="N339" s="54">
        <v>0</v>
      </c>
      <c r="O339" s="54">
        <v>8640</v>
      </c>
      <c r="P339" s="55">
        <v>0.01</v>
      </c>
      <c r="Q339" s="61">
        <v>62.9</v>
      </c>
      <c r="R339" s="60"/>
      <c r="S339" s="61">
        <v>62.9</v>
      </c>
    </row>
    <row r="340" ht="20" customHeight="1" spans="1:19">
      <c r="A340" s="43" t="s">
        <v>105</v>
      </c>
      <c r="B340" s="43" t="s">
        <v>106</v>
      </c>
      <c r="C340" s="44"/>
      <c r="D340" s="43" t="s">
        <v>52</v>
      </c>
      <c r="E340" s="43" t="s">
        <v>107</v>
      </c>
      <c r="F340" s="43" t="s">
        <v>52</v>
      </c>
      <c r="G340" s="43" t="s">
        <v>108</v>
      </c>
      <c r="H340" s="43" t="s">
        <v>109</v>
      </c>
      <c r="I340" s="43" t="s">
        <v>52</v>
      </c>
      <c r="J340" s="44"/>
      <c r="K340" s="54">
        <v>252</v>
      </c>
      <c r="L340" s="54">
        <v>252</v>
      </c>
      <c r="M340" s="54">
        <v>0</v>
      </c>
      <c r="N340" s="54">
        <v>0</v>
      </c>
      <c r="O340" s="54">
        <v>252</v>
      </c>
      <c r="P340" s="55">
        <v>0.01</v>
      </c>
      <c r="Q340" s="61">
        <v>1.83</v>
      </c>
      <c r="R340" s="60"/>
      <c r="S340" s="61">
        <v>1.83</v>
      </c>
    </row>
    <row r="341" ht="20" customHeight="1" spans="1:19">
      <c r="A341" s="43" t="s">
        <v>105</v>
      </c>
      <c r="B341" s="43" t="s">
        <v>106</v>
      </c>
      <c r="C341" s="44"/>
      <c r="D341" s="43" t="s">
        <v>52</v>
      </c>
      <c r="E341" s="43" t="s">
        <v>107</v>
      </c>
      <c r="F341" s="43" t="s">
        <v>52</v>
      </c>
      <c r="G341" s="43" t="s">
        <v>108</v>
      </c>
      <c r="H341" s="43" t="s">
        <v>109</v>
      </c>
      <c r="I341" s="43" t="s">
        <v>52</v>
      </c>
      <c r="J341" s="44"/>
      <c r="K341" s="54">
        <v>9360</v>
      </c>
      <c r="L341" s="54">
        <v>9360</v>
      </c>
      <c r="M341" s="54">
        <v>0</v>
      </c>
      <c r="N341" s="54">
        <v>0</v>
      </c>
      <c r="O341" s="54">
        <v>9360</v>
      </c>
      <c r="P341" s="55">
        <v>0.01</v>
      </c>
      <c r="Q341" s="61">
        <v>68.14</v>
      </c>
      <c r="R341" s="60"/>
      <c r="S341" s="61">
        <v>68.14</v>
      </c>
    </row>
    <row r="342" ht="13" customHeight="1" spans="1:19">
      <c r="A342" s="47" t="s">
        <v>143</v>
      </c>
      <c r="B342" s="48"/>
      <c r="C342" s="48"/>
      <c r="D342" s="48"/>
      <c r="E342" s="48"/>
      <c r="F342" s="48"/>
      <c r="G342" s="48"/>
      <c r="H342" s="48"/>
      <c r="I342" s="48"/>
      <c r="J342" s="56"/>
      <c r="K342" s="47" t="s">
        <v>144</v>
      </c>
      <c r="L342" s="57">
        <v>114938</v>
      </c>
      <c r="M342" s="58">
        <v>0</v>
      </c>
      <c r="N342" s="58">
        <v>0</v>
      </c>
      <c r="O342" s="58">
        <v>114938</v>
      </c>
      <c r="P342" s="59" t="s">
        <v>52</v>
      </c>
      <c r="Q342" s="62"/>
      <c r="R342" s="62"/>
      <c r="S342" s="63">
        <v>1304.74</v>
      </c>
    </row>
    <row r="343" ht="19" customHeight="1" spans="1:19">
      <c r="A343" s="43" t="s">
        <v>145</v>
      </c>
      <c r="B343" s="44"/>
      <c r="C343" s="44"/>
      <c r="D343" s="49" t="s">
        <v>146</v>
      </c>
      <c r="E343" s="50" t="s">
        <v>147</v>
      </c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56"/>
      <c r="S343" s="56"/>
    </row>
    <row r="344" ht="19" customHeight="1" spans="1:19">
      <c r="A344" s="49" t="s">
        <v>146</v>
      </c>
      <c r="B344" s="51"/>
      <c r="C344" s="51"/>
      <c r="D344" s="49" t="s">
        <v>146</v>
      </c>
      <c r="E344" s="49" t="s">
        <v>119</v>
      </c>
      <c r="F344" s="52">
        <v>700</v>
      </c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56"/>
      <c r="S344" s="56"/>
    </row>
    <row r="345" ht="12" customHeight="1" spans="1:19">
      <c r="A345" s="46" t="s">
        <v>52</v>
      </c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56"/>
      <c r="S345" s="56"/>
    </row>
    <row r="346" ht="14" customHeight="1" spans="1:19">
      <c r="A346" s="43" t="s">
        <v>67</v>
      </c>
      <c r="B346" s="44"/>
      <c r="C346" s="44"/>
      <c r="D346" s="45" t="s">
        <v>124</v>
      </c>
      <c r="E346" s="43" t="s">
        <v>69</v>
      </c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</row>
    <row r="347" ht="14" customHeight="1" spans="1:19">
      <c r="A347" s="43" t="s">
        <v>70</v>
      </c>
      <c r="B347" s="44"/>
      <c r="C347" s="44"/>
      <c r="D347" s="45" t="s">
        <v>124</v>
      </c>
      <c r="E347" s="43" t="s">
        <v>71</v>
      </c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</row>
    <row r="348" ht="14" customHeight="1" spans="1:19">
      <c r="A348" s="43" t="s">
        <v>82</v>
      </c>
      <c r="B348" s="44"/>
      <c r="C348" s="44"/>
      <c r="D348" s="45" t="s">
        <v>124</v>
      </c>
      <c r="E348" s="43" t="s">
        <v>83</v>
      </c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</row>
    <row r="349" ht="14" customHeight="1" spans="1:19">
      <c r="A349" s="43" t="s">
        <v>72</v>
      </c>
      <c r="B349" s="44"/>
      <c r="C349" s="44"/>
      <c r="D349" s="45" t="s">
        <v>124</v>
      </c>
      <c r="E349" s="43" t="s">
        <v>125</v>
      </c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</row>
    <row r="350" ht="14" customHeight="1" spans="1:19">
      <c r="A350" s="43" t="s">
        <v>126</v>
      </c>
      <c r="B350" s="44"/>
      <c r="C350" s="44"/>
      <c r="D350" s="45" t="s">
        <v>124</v>
      </c>
      <c r="E350" s="43" t="s">
        <v>157</v>
      </c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</row>
    <row r="351" ht="14" customHeight="1" spans="1:19">
      <c r="A351" s="43" t="s">
        <v>76</v>
      </c>
      <c r="B351" s="44"/>
      <c r="C351" s="44"/>
      <c r="D351" s="45" t="s">
        <v>124</v>
      </c>
      <c r="E351" s="43" t="s">
        <v>77</v>
      </c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</row>
    <row r="352" ht="14" customHeight="1" spans="1:19">
      <c r="A352" s="43" t="s">
        <v>78</v>
      </c>
      <c r="B352" s="44"/>
      <c r="C352" s="44"/>
      <c r="D352" s="45" t="s">
        <v>124</v>
      </c>
      <c r="E352" s="43" t="s">
        <v>79</v>
      </c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</row>
    <row r="353" ht="14" customHeight="1" spans="1:19">
      <c r="A353" s="43" t="s">
        <v>80</v>
      </c>
      <c r="B353" s="44"/>
      <c r="C353" s="44"/>
      <c r="D353" s="45" t="s">
        <v>124</v>
      </c>
      <c r="E353" s="43" t="s">
        <v>81</v>
      </c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</row>
    <row r="354" ht="17" customHeight="1" spans="1:19">
      <c r="A354" s="46" t="s">
        <v>52</v>
      </c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</row>
    <row r="355" ht="14" customHeight="1" spans="1:19">
      <c r="A355" s="43" t="s">
        <v>84</v>
      </c>
      <c r="B355" s="43" t="s">
        <v>85</v>
      </c>
      <c r="C355" s="44"/>
      <c r="D355" s="43" t="s">
        <v>52</v>
      </c>
      <c r="E355" s="43" t="s">
        <v>87</v>
      </c>
      <c r="F355" s="43" t="s">
        <v>88</v>
      </c>
      <c r="G355" s="43" t="s">
        <v>89</v>
      </c>
      <c r="H355" s="43" t="s">
        <v>90</v>
      </c>
      <c r="I355" s="43" t="s">
        <v>91</v>
      </c>
      <c r="J355" s="44"/>
      <c r="K355" s="53" t="s">
        <v>128</v>
      </c>
      <c r="L355" s="53" t="s">
        <v>129</v>
      </c>
      <c r="M355" s="53" t="s">
        <v>130</v>
      </c>
      <c r="N355" s="53" t="s">
        <v>131</v>
      </c>
      <c r="O355" s="53" t="s">
        <v>132</v>
      </c>
      <c r="P355" s="53" t="s">
        <v>93</v>
      </c>
      <c r="Q355" s="53" t="s">
        <v>94</v>
      </c>
      <c r="R355" s="60"/>
      <c r="S355" s="53" t="s">
        <v>133</v>
      </c>
    </row>
    <row r="356" ht="20" customHeight="1" spans="1:19">
      <c r="A356" s="43" t="s">
        <v>134</v>
      </c>
      <c r="B356" s="43" t="s">
        <v>135</v>
      </c>
      <c r="C356" s="44"/>
      <c r="D356" s="43" t="s">
        <v>52</v>
      </c>
      <c r="E356" s="43" t="s">
        <v>136</v>
      </c>
      <c r="F356" s="43" t="s">
        <v>52</v>
      </c>
      <c r="G356" s="43" t="s">
        <v>108</v>
      </c>
      <c r="H356" s="43" t="s">
        <v>109</v>
      </c>
      <c r="I356" s="43" t="s">
        <v>52</v>
      </c>
      <c r="J356" s="44"/>
      <c r="K356" s="54">
        <v>34272</v>
      </c>
      <c r="L356" s="54">
        <v>34272</v>
      </c>
      <c r="M356" s="54">
        <v>0</v>
      </c>
      <c r="N356" s="54">
        <v>0</v>
      </c>
      <c r="O356" s="54">
        <v>34272</v>
      </c>
      <c r="P356" s="55">
        <v>0.01</v>
      </c>
      <c r="Q356" s="61">
        <v>249.5</v>
      </c>
      <c r="R356" s="60"/>
      <c r="S356" s="61">
        <v>249.5</v>
      </c>
    </row>
    <row r="357" ht="20" customHeight="1" spans="1:19">
      <c r="A357" s="43" t="s">
        <v>134</v>
      </c>
      <c r="B357" s="43" t="s">
        <v>135</v>
      </c>
      <c r="C357" s="44"/>
      <c r="D357" s="43" t="s">
        <v>52</v>
      </c>
      <c r="E357" s="43" t="s">
        <v>136</v>
      </c>
      <c r="F357" s="43" t="s">
        <v>52</v>
      </c>
      <c r="G357" s="43" t="s">
        <v>108</v>
      </c>
      <c r="H357" s="43" t="s">
        <v>109</v>
      </c>
      <c r="I357" s="43" t="s">
        <v>52</v>
      </c>
      <c r="J357" s="44"/>
      <c r="K357" s="54">
        <v>4752</v>
      </c>
      <c r="L357" s="54">
        <v>4752</v>
      </c>
      <c r="M357" s="54">
        <v>0</v>
      </c>
      <c r="N357" s="54">
        <v>0</v>
      </c>
      <c r="O357" s="54">
        <v>4752</v>
      </c>
      <c r="P357" s="55">
        <v>0.01</v>
      </c>
      <c r="Q357" s="61">
        <v>34.59</v>
      </c>
      <c r="R357" s="60"/>
      <c r="S357" s="61">
        <v>34.59</v>
      </c>
    </row>
    <row r="358" ht="20" customHeight="1" spans="1:19">
      <c r="A358" s="43" t="s">
        <v>134</v>
      </c>
      <c r="B358" s="43" t="s">
        <v>135</v>
      </c>
      <c r="C358" s="44"/>
      <c r="D358" s="43" t="s">
        <v>52</v>
      </c>
      <c r="E358" s="43" t="s">
        <v>136</v>
      </c>
      <c r="F358" s="43" t="s">
        <v>52</v>
      </c>
      <c r="G358" s="43" t="s">
        <v>108</v>
      </c>
      <c r="H358" s="43" t="s">
        <v>109</v>
      </c>
      <c r="I358" s="43" t="s">
        <v>52</v>
      </c>
      <c r="J358" s="44"/>
      <c r="K358" s="54">
        <v>144</v>
      </c>
      <c r="L358" s="54">
        <v>144</v>
      </c>
      <c r="M358" s="54">
        <v>0</v>
      </c>
      <c r="N358" s="54">
        <v>0</v>
      </c>
      <c r="O358" s="54">
        <v>144</v>
      </c>
      <c r="P358" s="55">
        <v>0.01</v>
      </c>
      <c r="Q358" s="61">
        <v>1.05</v>
      </c>
      <c r="R358" s="60"/>
      <c r="S358" s="61">
        <v>1.05</v>
      </c>
    </row>
    <row r="359" ht="20" customHeight="1" spans="1:19">
      <c r="A359" s="43" t="s">
        <v>137</v>
      </c>
      <c r="B359" s="43" t="s">
        <v>138</v>
      </c>
      <c r="C359" s="44"/>
      <c r="D359" s="43" t="s">
        <v>52</v>
      </c>
      <c r="E359" s="43" t="s">
        <v>139</v>
      </c>
      <c r="F359" s="43" t="s">
        <v>52</v>
      </c>
      <c r="G359" s="43" t="s">
        <v>100</v>
      </c>
      <c r="H359" s="43" t="s">
        <v>101</v>
      </c>
      <c r="I359" s="43" t="s">
        <v>52</v>
      </c>
      <c r="J359" s="44"/>
      <c r="K359" s="54">
        <v>1692</v>
      </c>
      <c r="L359" s="54">
        <v>1692</v>
      </c>
      <c r="M359" s="54">
        <v>0</v>
      </c>
      <c r="N359" s="54">
        <v>0</v>
      </c>
      <c r="O359" s="54">
        <v>1692</v>
      </c>
      <c r="P359" s="55">
        <v>0.11</v>
      </c>
      <c r="Q359" s="61">
        <v>191.47</v>
      </c>
      <c r="R359" s="60"/>
      <c r="S359" s="61">
        <v>191.47</v>
      </c>
    </row>
    <row r="360" ht="20" customHeight="1" spans="1:19">
      <c r="A360" s="43" t="s">
        <v>137</v>
      </c>
      <c r="B360" s="43" t="s">
        <v>138</v>
      </c>
      <c r="C360" s="44"/>
      <c r="D360" s="43" t="s">
        <v>52</v>
      </c>
      <c r="E360" s="43" t="s">
        <v>139</v>
      </c>
      <c r="F360" s="43" t="s">
        <v>52</v>
      </c>
      <c r="G360" s="43" t="s">
        <v>100</v>
      </c>
      <c r="H360" s="43" t="s">
        <v>101</v>
      </c>
      <c r="I360" s="43" t="s">
        <v>52</v>
      </c>
      <c r="J360" s="44"/>
      <c r="K360" s="54">
        <v>8</v>
      </c>
      <c r="L360" s="54">
        <v>8</v>
      </c>
      <c r="M360" s="54">
        <v>0</v>
      </c>
      <c r="N360" s="54">
        <v>0</v>
      </c>
      <c r="O360" s="54">
        <v>8</v>
      </c>
      <c r="P360" s="55">
        <v>0.11</v>
      </c>
      <c r="Q360" s="61">
        <v>0.91</v>
      </c>
      <c r="R360" s="60"/>
      <c r="S360" s="61">
        <v>0.91</v>
      </c>
    </row>
    <row r="361" ht="20" customHeight="1" spans="1:19">
      <c r="A361" s="43" t="s">
        <v>137</v>
      </c>
      <c r="B361" s="43" t="s">
        <v>138</v>
      </c>
      <c r="C361" s="44"/>
      <c r="D361" s="43" t="s">
        <v>52</v>
      </c>
      <c r="E361" s="43" t="s">
        <v>139</v>
      </c>
      <c r="F361" s="43" t="s">
        <v>52</v>
      </c>
      <c r="G361" s="43" t="s">
        <v>100</v>
      </c>
      <c r="H361" s="43" t="s">
        <v>101</v>
      </c>
      <c r="I361" s="43" t="s">
        <v>52</v>
      </c>
      <c r="J361" s="44"/>
      <c r="K361" s="54">
        <v>10</v>
      </c>
      <c r="L361" s="54">
        <v>10</v>
      </c>
      <c r="M361" s="54">
        <v>0</v>
      </c>
      <c r="N361" s="54">
        <v>0</v>
      </c>
      <c r="O361" s="54">
        <v>10</v>
      </c>
      <c r="P361" s="55">
        <v>0.11</v>
      </c>
      <c r="Q361" s="61">
        <v>1.13</v>
      </c>
      <c r="R361" s="60"/>
      <c r="S361" s="61">
        <v>1.13</v>
      </c>
    </row>
    <row r="362" ht="20" customHeight="1" spans="1:19">
      <c r="A362" s="43" t="s">
        <v>140</v>
      </c>
      <c r="B362" s="43" t="s">
        <v>141</v>
      </c>
      <c r="C362" s="44"/>
      <c r="D362" s="43" t="s">
        <v>52</v>
      </c>
      <c r="E362" s="43" t="s">
        <v>142</v>
      </c>
      <c r="F362" s="43" t="s">
        <v>52</v>
      </c>
      <c r="G362" s="43" t="s">
        <v>108</v>
      </c>
      <c r="H362" s="43" t="s">
        <v>109</v>
      </c>
      <c r="I362" s="43" t="s">
        <v>52</v>
      </c>
      <c r="J362" s="44"/>
      <c r="K362" s="54">
        <v>180</v>
      </c>
      <c r="L362" s="54">
        <v>180</v>
      </c>
      <c r="M362" s="54">
        <v>0</v>
      </c>
      <c r="N362" s="54">
        <v>0</v>
      </c>
      <c r="O362" s="54">
        <v>180</v>
      </c>
      <c r="P362" s="55">
        <v>0.01</v>
      </c>
      <c r="Q362" s="61">
        <v>1.31</v>
      </c>
      <c r="R362" s="60"/>
      <c r="S362" s="61">
        <v>1.31</v>
      </c>
    </row>
    <row r="363" ht="20" customHeight="1" spans="1:19">
      <c r="A363" s="43" t="s">
        <v>140</v>
      </c>
      <c r="B363" s="43" t="s">
        <v>141</v>
      </c>
      <c r="C363" s="44"/>
      <c r="D363" s="43" t="s">
        <v>52</v>
      </c>
      <c r="E363" s="43" t="s">
        <v>142</v>
      </c>
      <c r="F363" s="43" t="s">
        <v>52</v>
      </c>
      <c r="G363" s="43" t="s">
        <v>108</v>
      </c>
      <c r="H363" s="43" t="s">
        <v>109</v>
      </c>
      <c r="I363" s="43" t="s">
        <v>52</v>
      </c>
      <c r="J363" s="44"/>
      <c r="K363" s="54">
        <v>24</v>
      </c>
      <c r="L363" s="54">
        <v>24</v>
      </c>
      <c r="M363" s="54">
        <v>0</v>
      </c>
      <c r="N363" s="54">
        <v>0</v>
      </c>
      <c r="O363" s="54">
        <v>24</v>
      </c>
      <c r="P363" s="55">
        <v>0.01</v>
      </c>
      <c r="Q363" s="61">
        <v>0.17</v>
      </c>
      <c r="R363" s="60"/>
      <c r="S363" s="61">
        <v>0.17</v>
      </c>
    </row>
    <row r="364" ht="20" customHeight="1" spans="1:19">
      <c r="A364" s="43" t="s">
        <v>140</v>
      </c>
      <c r="B364" s="43" t="s">
        <v>141</v>
      </c>
      <c r="C364" s="44"/>
      <c r="D364" s="43" t="s">
        <v>52</v>
      </c>
      <c r="E364" s="43" t="s">
        <v>142</v>
      </c>
      <c r="F364" s="43" t="s">
        <v>52</v>
      </c>
      <c r="G364" s="43" t="s">
        <v>108</v>
      </c>
      <c r="H364" s="43" t="s">
        <v>109</v>
      </c>
      <c r="I364" s="43" t="s">
        <v>52</v>
      </c>
      <c r="J364" s="44"/>
      <c r="K364" s="54">
        <v>19224</v>
      </c>
      <c r="L364" s="54">
        <v>19224</v>
      </c>
      <c r="M364" s="54">
        <v>0</v>
      </c>
      <c r="N364" s="54">
        <v>0</v>
      </c>
      <c r="O364" s="54">
        <v>19224</v>
      </c>
      <c r="P364" s="55">
        <v>0.01</v>
      </c>
      <c r="Q364" s="61">
        <v>139.95</v>
      </c>
      <c r="R364" s="60"/>
      <c r="S364" s="61">
        <v>139.95</v>
      </c>
    </row>
    <row r="365" ht="20" customHeight="1" spans="1:19">
      <c r="A365" s="43" t="s">
        <v>140</v>
      </c>
      <c r="B365" s="43" t="s">
        <v>141</v>
      </c>
      <c r="C365" s="44"/>
      <c r="D365" s="43" t="s">
        <v>52</v>
      </c>
      <c r="E365" s="43" t="s">
        <v>142</v>
      </c>
      <c r="F365" s="43" t="s">
        <v>52</v>
      </c>
      <c r="G365" s="43" t="s">
        <v>108</v>
      </c>
      <c r="H365" s="43" t="s">
        <v>109</v>
      </c>
      <c r="I365" s="43" t="s">
        <v>52</v>
      </c>
      <c r="J365" s="44"/>
      <c r="K365" s="54">
        <v>156</v>
      </c>
      <c r="L365" s="54">
        <v>156</v>
      </c>
      <c r="M365" s="54">
        <v>0</v>
      </c>
      <c r="N365" s="54">
        <v>0</v>
      </c>
      <c r="O365" s="54">
        <v>156</v>
      </c>
      <c r="P365" s="55">
        <v>0.01</v>
      </c>
      <c r="Q365" s="61">
        <v>1.14</v>
      </c>
      <c r="R365" s="60"/>
      <c r="S365" s="61">
        <v>1.14</v>
      </c>
    </row>
    <row r="366" ht="20" customHeight="1" spans="1:19">
      <c r="A366" s="43" t="s">
        <v>97</v>
      </c>
      <c r="B366" s="43" t="s">
        <v>102</v>
      </c>
      <c r="C366" s="44"/>
      <c r="D366" s="43" t="s">
        <v>52</v>
      </c>
      <c r="E366" s="43" t="s">
        <v>99</v>
      </c>
      <c r="F366" s="43" t="s">
        <v>52</v>
      </c>
      <c r="G366" s="43" t="s">
        <v>100</v>
      </c>
      <c r="H366" s="43" t="s">
        <v>101</v>
      </c>
      <c r="I366" s="43" t="s">
        <v>52</v>
      </c>
      <c r="J366" s="44"/>
      <c r="K366" s="54">
        <v>3</v>
      </c>
      <c r="L366" s="54">
        <v>3</v>
      </c>
      <c r="M366" s="54">
        <v>0</v>
      </c>
      <c r="N366" s="54">
        <v>0</v>
      </c>
      <c r="O366" s="54">
        <v>3</v>
      </c>
      <c r="P366" s="55">
        <v>0.11</v>
      </c>
      <c r="Q366" s="61">
        <v>0.34</v>
      </c>
      <c r="R366" s="60"/>
      <c r="S366" s="61">
        <v>0.34</v>
      </c>
    </row>
    <row r="367" ht="20" customHeight="1" spans="1:19">
      <c r="A367" s="43" t="s">
        <v>97</v>
      </c>
      <c r="B367" s="43" t="s">
        <v>102</v>
      </c>
      <c r="C367" s="44"/>
      <c r="D367" s="43" t="s">
        <v>52</v>
      </c>
      <c r="E367" s="43" t="s">
        <v>99</v>
      </c>
      <c r="F367" s="43" t="s">
        <v>52</v>
      </c>
      <c r="G367" s="43" t="s">
        <v>100</v>
      </c>
      <c r="H367" s="43" t="s">
        <v>101</v>
      </c>
      <c r="I367" s="43" t="s">
        <v>52</v>
      </c>
      <c r="J367" s="44"/>
      <c r="K367" s="54">
        <v>4</v>
      </c>
      <c r="L367" s="54">
        <v>4</v>
      </c>
      <c r="M367" s="54">
        <v>0</v>
      </c>
      <c r="N367" s="54">
        <v>0</v>
      </c>
      <c r="O367" s="54">
        <v>4</v>
      </c>
      <c r="P367" s="55">
        <v>0.11</v>
      </c>
      <c r="Q367" s="61">
        <v>0.45</v>
      </c>
      <c r="R367" s="60"/>
      <c r="S367" s="61">
        <v>0.45</v>
      </c>
    </row>
    <row r="368" ht="20" customHeight="1" spans="1:19">
      <c r="A368" s="43" t="s">
        <v>97</v>
      </c>
      <c r="B368" s="43" t="s">
        <v>102</v>
      </c>
      <c r="C368" s="44"/>
      <c r="D368" s="43" t="s">
        <v>52</v>
      </c>
      <c r="E368" s="43" t="s">
        <v>99</v>
      </c>
      <c r="F368" s="43" t="s">
        <v>52</v>
      </c>
      <c r="G368" s="43" t="s">
        <v>100</v>
      </c>
      <c r="H368" s="43" t="s">
        <v>101</v>
      </c>
      <c r="I368" s="43" t="s">
        <v>52</v>
      </c>
      <c r="J368" s="44"/>
      <c r="K368" s="54">
        <v>1092</v>
      </c>
      <c r="L368" s="54">
        <v>1092</v>
      </c>
      <c r="M368" s="54">
        <v>0</v>
      </c>
      <c r="N368" s="54">
        <v>0</v>
      </c>
      <c r="O368" s="54">
        <v>1092</v>
      </c>
      <c r="P368" s="55">
        <v>0.11</v>
      </c>
      <c r="Q368" s="61">
        <v>123.57</v>
      </c>
      <c r="R368" s="60"/>
      <c r="S368" s="61">
        <v>123.57</v>
      </c>
    </row>
    <row r="369" ht="20" customHeight="1" spans="1:19">
      <c r="A369" s="43" t="s">
        <v>97</v>
      </c>
      <c r="B369" s="43" t="s">
        <v>102</v>
      </c>
      <c r="C369" s="44"/>
      <c r="D369" s="43" t="s">
        <v>52</v>
      </c>
      <c r="E369" s="43" t="s">
        <v>99</v>
      </c>
      <c r="F369" s="43" t="s">
        <v>52</v>
      </c>
      <c r="G369" s="43" t="s">
        <v>100</v>
      </c>
      <c r="H369" s="43" t="s">
        <v>101</v>
      </c>
      <c r="I369" s="43" t="s">
        <v>52</v>
      </c>
      <c r="J369" s="44"/>
      <c r="K369" s="54">
        <v>1</v>
      </c>
      <c r="L369" s="54">
        <v>1</v>
      </c>
      <c r="M369" s="54">
        <v>0</v>
      </c>
      <c r="N369" s="54">
        <v>0</v>
      </c>
      <c r="O369" s="54">
        <v>1</v>
      </c>
      <c r="P369" s="55">
        <v>0.11</v>
      </c>
      <c r="Q369" s="61">
        <v>0.11</v>
      </c>
      <c r="R369" s="60"/>
      <c r="S369" s="61">
        <v>0.11</v>
      </c>
    </row>
    <row r="370" ht="20" customHeight="1" spans="1:19">
      <c r="A370" s="43" t="s">
        <v>97</v>
      </c>
      <c r="B370" s="43" t="s">
        <v>102</v>
      </c>
      <c r="C370" s="44"/>
      <c r="D370" s="43" t="s">
        <v>52</v>
      </c>
      <c r="E370" s="43" t="s">
        <v>99</v>
      </c>
      <c r="F370" s="43" t="s">
        <v>52</v>
      </c>
      <c r="G370" s="43" t="s">
        <v>103</v>
      </c>
      <c r="H370" s="43" t="s">
        <v>104</v>
      </c>
      <c r="I370" s="43" t="s">
        <v>52</v>
      </c>
      <c r="J370" s="44"/>
      <c r="K370" s="54">
        <v>56</v>
      </c>
      <c r="L370" s="54">
        <v>56</v>
      </c>
      <c r="M370" s="54">
        <v>0</v>
      </c>
      <c r="N370" s="54">
        <v>0</v>
      </c>
      <c r="O370" s="54">
        <v>56</v>
      </c>
      <c r="P370" s="55">
        <v>0.02</v>
      </c>
      <c r="Q370" s="61">
        <v>1.08</v>
      </c>
      <c r="R370" s="60"/>
      <c r="S370" s="61">
        <v>1.08</v>
      </c>
    </row>
    <row r="371" ht="20" customHeight="1" spans="1:19">
      <c r="A371" s="43" t="s">
        <v>97</v>
      </c>
      <c r="B371" s="43" t="s">
        <v>102</v>
      </c>
      <c r="C371" s="44"/>
      <c r="D371" s="43" t="s">
        <v>52</v>
      </c>
      <c r="E371" s="43" t="s">
        <v>99</v>
      </c>
      <c r="F371" s="43" t="s">
        <v>52</v>
      </c>
      <c r="G371" s="43" t="s">
        <v>103</v>
      </c>
      <c r="H371" s="43" t="s">
        <v>104</v>
      </c>
      <c r="I371" s="43" t="s">
        <v>52</v>
      </c>
      <c r="J371" s="44"/>
      <c r="K371" s="54">
        <v>14148</v>
      </c>
      <c r="L371" s="54">
        <v>14148</v>
      </c>
      <c r="M371" s="54">
        <v>0</v>
      </c>
      <c r="N371" s="54">
        <v>0</v>
      </c>
      <c r="O371" s="54">
        <v>14148</v>
      </c>
      <c r="P371" s="55">
        <v>0.02</v>
      </c>
      <c r="Q371" s="61">
        <v>272.75</v>
      </c>
      <c r="R371" s="60"/>
      <c r="S371" s="61">
        <v>272.75</v>
      </c>
    </row>
    <row r="372" ht="20" customHeight="1" spans="1:19">
      <c r="A372" s="43" t="s">
        <v>97</v>
      </c>
      <c r="B372" s="43" t="s">
        <v>102</v>
      </c>
      <c r="C372" s="44"/>
      <c r="D372" s="43" t="s">
        <v>52</v>
      </c>
      <c r="E372" s="43" t="s">
        <v>99</v>
      </c>
      <c r="F372" s="43" t="s">
        <v>52</v>
      </c>
      <c r="G372" s="43" t="s">
        <v>103</v>
      </c>
      <c r="H372" s="43" t="s">
        <v>104</v>
      </c>
      <c r="I372" s="43" t="s">
        <v>52</v>
      </c>
      <c r="J372" s="44"/>
      <c r="K372" s="54">
        <v>4</v>
      </c>
      <c r="L372" s="54">
        <v>4</v>
      </c>
      <c r="M372" s="54">
        <v>0</v>
      </c>
      <c r="N372" s="54">
        <v>0</v>
      </c>
      <c r="O372" s="54">
        <v>4</v>
      </c>
      <c r="P372" s="55">
        <v>0.02</v>
      </c>
      <c r="Q372" s="61">
        <v>0.08</v>
      </c>
      <c r="R372" s="60"/>
      <c r="S372" s="61">
        <v>0.08</v>
      </c>
    </row>
    <row r="373" ht="20" customHeight="1" spans="1:19">
      <c r="A373" s="43" t="s">
        <v>105</v>
      </c>
      <c r="B373" s="43" t="s">
        <v>106</v>
      </c>
      <c r="C373" s="44"/>
      <c r="D373" s="43" t="s">
        <v>52</v>
      </c>
      <c r="E373" s="43" t="s">
        <v>107</v>
      </c>
      <c r="F373" s="43" t="s">
        <v>52</v>
      </c>
      <c r="G373" s="43" t="s">
        <v>108</v>
      </c>
      <c r="H373" s="43" t="s">
        <v>109</v>
      </c>
      <c r="I373" s="43" t="s">
        <v>52</v>
      </c>
      <c r="J373" s="44"/>
      <c r="K373" s="54">
        <v>20736</v>
      </c>
      <c r="L373" s="54">
        <v>20736</v>
      </c>
      <c r="M373" s="54">
        <v>0</v>
      </c>
      <c r="N373" s="54">
        <v>0</v>
      </c>
      <c r="O373" s="54">
        <v>20736</v>
      </c>
      <c r="P373" s="55">
        <v>0.01</v>
      </c>
      <c r="Q373" s="61">
        <v>150.96</v>
      </c>
      <c r="R373" s="60"/>
      <c r="S373" s="61">
        <v>150.96</v>
      </c>
    </row>
    <row r="374" ht="20" customHeight="1" spans="1:19">
      <c r="A374" s="43" t="s">
        <v>105</v>
      </c>
      <c r="B374" s="43" t="s">
        <v>106</v>
      </c>
      <c r="C374" s="44"/>
      <c r="D374" s="43" t="s">
        <v>52</v>
      </c>
      <c r="E374" s="43" t="s">
        <v>107</v>
      </c>
      <c r="F374" s="43" t="s">
        <v>52</v>
      </c>
      <c r="G374" s="43" t="s">
        <v>108</v>
      </c>
      <c r="H374" s="43" t="s">
        <v>109</v>
      </c>
      <c r="I374" s="43" t="s">
        <v>52</v>
      </c>
      <c r="J374" s="44"/>
      <c r="K374" s="54">
        <v>180</v>
      </c>
      <c r="L374" s="54">
        <v>180</v>
      </c>
      <c r="M374" s="54">
        <v>0</v>
      </c>
      <c r="N374" s="54">
        <v>0</v>
      </c>
      <c r="O374" s="54">
        <v>180</v>
      </c>
      <c r="P374" s="55">
        <v>0.01</v>
      </c>
      <c r="Q374" s="61">
        <v>1.31</v>
      </c>
      <c r="R374" s="60"/>
      <c r="S374" s="61">
        <v>1.31</v>
      </c>
    </row>
    <row r="375" ht="20" customHeight="1" spans="1:19">
      <c r="A375" s="43" t="s">
        <v>105</v>
      </c>
      <c r="B375" s="43" t="s">
        <v>106</v>
      </c>
      <c r="C375" s="44"/>
      <c r="D375" s="43" t="s">
        <v>52</v>
      </c>
      <c r="E375" s="43" t="s">
        <v>107</v>
      </c>
      <c r="F375" s="43" t="s">
        <v>52</v>
      </c>
      <c r="G375" s="43" t="s">
        <v>108</v>
      </c>
      <c r="H375" s="43" t="s">
        <v>109</v>
      </c>
      <c r="I375" s="43" t="s">
        <v>52</v>
      </c>
      <c r="J375" s="44"/>
      <c r="K375" s="54">
        <v>8640</v>
      </c>
      <c r="L375" s="54">
        <v>8640</v>
      </c>
      <c r="M375" s="54">
        <v>0</v>
      </c>
      <c r="N375" s="54">
        <v>0</v>
      </c>
      <c r="O375" s="54">
        <v>8640</v>
      </c>
      <c r="P375" s="55">
        <v>0.01</v>
      </c>
      <c r="Q375" s="61">
        <v>62.9</v>
      </c>
      <c r="R375" s="60"/>
      <c r="S375" s="61">
        <v>62.9</v>
      </c>
    </row>
    <row r="376" ht="20" customHeight="1" spans="1:19">
      <c r="A376" s="43" t="s">
        <v>105</v>
      </c>
      <c r="B376" s="43" t="s">
        <v>106</v>
      </c>
      <c r="C376" s="44"/>
      <c r="D376" s="43" t="s">
        <v>52</v>
      </c>
      <c r="E376" s="43" t="s">
        <v>107</v>
      </c>
      <c r="F376" s="43" t="s">
        <v>52</v>
      </c>
      <c r="G376" s="43" t="s">
        <v>108</v>
      </c>
      <c r="H376" s="43" t="s">
        <v>109</v>
      </c>
      <c r="I376" s="43" t="s">
        <v>52</v>
      </c>
      <c r="J376" s="44"/>
      <c r="K376" s="54">
        <v>252</v>
      </c>
      <c r="L376" s="54">
        <v>252</v>
      </c>
      <c r="M376" s="54">
        <v>0</v>
      </c>
      <c r="N376" s="54">
        <v>0</v>
      </c>
      <c r="O376" s="54">
        <v>252</v>
      </c>
      <c r="P376" s="55">
        <v>0.01</v>
      </c>
      <c r="Q376" s="61">
        <v>1.83</v>
      </c>
      <c r="R376" s="60"/>
      <c r="S376" s="61">
        <v>1.83</v>
      </c>
    </row>
    <row r="377" ht="20" customHeight="1" spans="1:19">
      <c r="A377" s="43" t="s">
        <v>105</v>
      </c>
      <c r="B377" s="43" t="s">
        <v>106</v>
      </c>
      <c r="C377" s="44"/>
      <c r="D377" s="43" t="s">
        <v>52</v>
      </c>
      <c r="E377" s="43" t="s">
        <v>107</v>
      </c>
      <c r="F377" s="43" t="s">
        <v>52</v>
      </c>
      <c r="G377" s="43" t="s">
        <v>108</v>
      </c>
      <c r="H377" s="43" t="s">
        <v>109</v>
      </c>
      <c r="I377" s="43" t="s">
        <v>52</v>
      </c>
      <c r="J377" s="44"/>
      <c r="K377" s="54">
        <v>9360</v>
      </c>
      <c r="L377" s="54">
        <v>9360</v>
      </c>
      <c r="M377" s="54">
        <v>0</v>
      </c>
      <c r="N377" s="54">
        <v>0</v>
      </c>
      <c r="O377" s="54">
        <v>9360</v>
      </c>
      <c r="P377" s="55">
        <v>0.01</v>
      </c>
      <c r="Q377" s="61">
        <v>68.14</v>
      </c>
      <c r="R377" s="60"/>
      <c r="S377" s="61">
        <v>68.14</v>
      </c>
    </row>
    <row r="378" ht="13" customHeight="1" spans="1:19">
      <c r="A378" s="47" t="s">
        <v>143</v>
      </c>
      <c r="B378" s="48"/>
      <c r="C378" s="48"/>
      <c r="D378" s="48"/>
      <c r="E378" s="48"/>
      <c r="F378" s="48"/>
      <c r="G378" s="48"/>
      <c r="H378" s="48"/>
      <c r="I378" s="48"/>
      <c r="J378" s="56"/>
      <c r="K378" s="47" t="s">
        <v>144</v>
      </c>
      <c r="L378" s="57">
        <v>114938</v>
      </c>
      <c r="M378" s="58">
        <v>0</v>
      </c>
      <c r="N378" s="58">
        <v>0</v>
      </c>
      <c r="O378" s="58">
        <v>114938</v>
      </c>
      <c r="P378" s="59" t="s">
        <v>52</v>
      </c>
      <c r="Q378" s="62"/>
      <c r="R378" s="62"/>
      <c r="S378" s="63">
        <v>1304.74</v>
      </c>
    </row>
    <row r="379" ht="19" customHeight="1" spans="1:19">
      <c r="A379" s="43" t="s">
        <v>145</v>
      </c>
      <c r="B379" s="44"/>
      <c r="C379" s="44"/>
      <c r="D379" s="49" t="s">
        <v>146</v>
      </c>
      <c r="E379" s="50" t="s">
        <v>147</v>
      </c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56"/>
      <c r="S379" s="56"/>
    </row>
    <row r="380" ht="19" customHeight="1" spans="1:19">
      <c r="A380" s="49" t="s">
        <v>146</v>
      </c>
      <c r="B380" s="51"/>
      <c r="C380" s="51"/>
      <c r="D380" s="49" t="s">
        <v>146</v>
      </c>
      <c r="E380" s="49" t="s">
        <v>119</v>
      </c>
      <c r="F380" s="52">
        <v>700</v>
      </c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56"/>
      <c r="S380" s="56"/>
    </row>
    <row r="381" ht="12" customHeight="1" spans="1:19">
      <c r="A381" s="46" t="s">
        <v>52</v>
      </c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56"/>
      <c r="S381" s="56"/>
    </row>
    <row r="382" ht="14" customHeight="1" spans="1:19">
      <c r="A382" s="43" t="s">
        <v>67</v>
      </c>
      <c r="B382" s="44"/>
      <c r="C382" s="44"/>
      <c r="D382" s="45" t="s">
        <v>124</v>
      </c>
      <c r="E382" s="43" t="s">
        <v>69</v>
      </c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</row>
    <row r="383" ht="14" customHeight="1" spans="1:19">
      <c r="A383" s="43" t="s">
        <v>70</v>
      </c>
      <c r="B383" s="44"/>
      <c r="C383" s="44"/>
      <c r="D383" s="45" t="s">
        <v>124</v>
      </c>
      <c r="E383" s="43" t="s">
        <v>71</v>
      </c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</row>
    <row r="384" ht="14" customHeight="1" spans="1:19">
      <c r="A384" s="43" t="s">
        <v>82</v>
      </c>
      <c r="B384" s="44"/>
      <c r="C384" s="44"/>
      <c r="D384" s="45" t="s">
        <v>124</v>
      </c>
      <c r="E384" s="43" t="s">
        <v>83</v>
      </c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</row>
    <row r="385" ht="14" customHeight="1" spans="1:19">
      <c r="A385" s="43" t="s">
        <v>72</v>
      </c>
      <c r="B385" s="44"/>
      <c r="C385" s="44"/>
      <c r="D385" s="45" t="s">
        <v>124</v>
      </c>
      <c r="E385" s="43" t="s">
        <v>125</v>
      </c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</row>
    <row r="386" ht="14" customHeight="1" spans="1:19">
      <c r="A386" s="43" t="s">
        <v>126</v>
      </c>
      <c r="B386" s="44"/>
      <c r="C386" s="44"/>
      <c r="D386" s="45" t="s">
        <v>124</v>
      </c>
      <c r="E386" s="43" t="s">
        <v>158</v>
      </c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</row>
    <row r="387" ht="14" customHeight="1" spans="1:19">
      <c r="A387" s="43" t="s">
        <v>76</v>
      </c>
      <c r="B387" s="44"/>
      <c r="C387" s="44"/>
      <c r="D387" s="45" t="s">
        <v>124</v>
      </c>
      <c r="E387" s="43" t="s">
        <v>77</v>
      </c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</row>
    <row r="388" ht="14" customHeight="1" spans="1:19">
      <c r="A388" s="43" t="s">
        <v>78</v>
      </c>
      <c r="B388" s="44"/>
      <c r="C388" s="44"/>
      <c r="D388" s="45" t="s">
        <v>124</v>
      </c>
      <c r="E388" s="43" t="s">
        <v>79</v>
      </c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</row>
    <row r="389" ht="14" customHeight="1" spans="1:19">
      <c r="A389" s="43" t="s">
        <v>80</v>
      </c>
      <c r="B389" s="44"/>
      <c r="C389" s="44"/>
      <c r="D389" s="45" t="s">
        <v>124</v>
      </c>
      <c r="E389" s="43" t="s">
        <v>81</v>
      </c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</row>
    <row r="390" ht="17" customHeight="1" spans="1:19">
      <c r="A390" s="46" t="s">
        <v>52</v>
      </c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</row>
    <row r="391" ht="14" customHeight="1" spans="1:19">
      <c r="A391" s="43" t="s">
        <v>84</v>
      </c>
      <c r="B391" s="43" t="s">
        <v>85</v>
      </c>
      <c r="C391" s="44"/>
      <c r="D391" s="43" t="s">
        <v>52</v>
      </c>
      <c r="E391" s="43" t="s">
        <v>87</v>
      </c>
      <c r="F391" s="43" t="s">
        <v>88</v>
      </c>
      <c r="G391" s="43" t="s">
        <v>89</v>
      </c>
      <c r="H391" s="43" t="s">
        <v>90</v>
      </c>
      <c r="I391" s="43" t="s">
        <v>91</v>
      </c>
      <c r="J391" s="44"/>
      <c r="K391" s="53" t="s">
        <v>128</v>
      </c>
      <c r="L391" s="53" t="s">
        <v>129</v>
      </c>
      <c r="M391" s="53" t="s">
        <v>130</v>
      </c>
      <c r="N391" s="53" t="s">
        <v>131</v>
      </c>
      <c r="O391" s="53" t="s">
        <v>132</v>
      </c>
      <c r="P391" s="53" t="s">
        <v>93</v>
      </c>
      <c r="Q391" s="53" t="s">
        <v>94</v>
      </c>
      <c r="R391" s="60"/>
      <c r="S391" s="53" t="s">
        <v>133</v>
      </c>
    </row>
    <row r="392" ht="20" customHeight="1" spans="1:19">
      <c r="A392" s="43" t="s">
        <v>134</v>
      </c>
      <c r="B392" s="43" t="s">
        <v>135</v>
      </c>
      <c r="C392" s="44"/>
      <c r="D392" s="43" t="s">
        <v>52</v>
      </c>
      <c r="E392" s="43" t="s">
        <v>136</v>
      </c>
      <c r="F392" s="43" t="s">
        <v>52</v>
      </c>
      <c r="G392" s="43" t="s">
        <v>108</v>
      </c>
      <c r="H392" s="43" t="s">
        <v>109</v>
      </c>
      <c r="I392" s="43" t="s">
        <v>52</v>
      </c>
      <c r="J392" s="44"/>
      <c r="K392" s="54">
        <v>144</v>
      </c>
      <c r="L392" s="54">
        <v>144</v>
      </c>
      <c r="M392" s="54">
        <v>0</v>
      </c>
      <c r="N392" s="54">
        <v>0</v>
      </c>
      <c r="O392" s="54">
        <v>144</v>
      </c>
      <c r="P392" s="55">
        <v>0.01</v>
      </c>
      <c r="Q392" s="61">
        <v>1.05</v>
      </c>
      <c r="R392" s="60"/>
      <c r="S392" s="61">
        <v>1.05</v>
      </c>
    </row>
    <row r="393" ht="20" customHeight="1" spans="1:19">
      <c r="A393" s="43" t="s">
        <v>134</v>
      </c>
      <c r="B393" s="43" t="s">
        <v>135</v>
      </c>
      <c r="C393" s="44"/>
      <c r="D393" s="43" t="s">
        <v>52</v>
      </c>
      <c r="E393" s="43" t="s">
        <v>136</v>
      </c>
      <c r="F393" s="43" t="s">
        <v>52</v>
      </c>
      <c r="G393" s="43" t="s">
        <v>108</v>
      </c>
      <c r="H393" s="43" t="s">
        <v>109</v>
      </c>
      <c r="I393" s="43" t="s">
        <v>52</v>
      </c>
      <c r="J393" s="44"/>
      <c r="K393" s="54">
        <v>4752</v>
      </c>
      <c r="L393" s="54">
        <v>4752</v>
      </c>
      <c r="M393" s="54">
        <v>0</v>
      </c>
      <c r="N393" s="54">
        <v>0</v>
      </c>
      <c r="O393" s="54">
        <v>4752</v>
      </c>
      <c r="P393" s="55">
        <v>0.01</v>
      </c>
      <c r="Q393" s="61">
        <v>34.59</v>
      </c>
      <c r="R393" s="60"/>
      <c r="S393" s="61">
        <v>34.59</v>
      </c>
    </row>
    <row r="394" ht="20" customHeight="1" spans="1:19">
      <c r="A394" s="43" t="s">
        <v>134</v>
      </c>
      <c r="B394" s="43" t="s">
        <v>135</v>
      </c>
      <c r="C394" s="44"/>
      <c r="D394" s="43" t="s">
        <v>52</v>
      </c>
      <c r="E394" s="43" t="s">
        <v>136</v>
      </c>
      <c r="F394" s="43" t="s">
        <v>52</v>
      </c>
      <c r="G394" s="43" t="s">
        <v>108</v>
      </c>
      <c r="H394" s="43" t="s">
        <v>109</v>
      </c>
      <c r="I394" s="43" t="s">
        <v>52</v>
      </c>
      <c r="J394" s="44"/>
      <c r="K394" s="54">
        <v>34272</v>
      </c>
      <c r="L394" s="54">
        <v>34272</v>
      </c>
      <c r="M394" s="54">
        <v>0</v>
      </c>
      <c r="N394" s="54">
        <v>0</v>
      </c>
      <c r="O394" s="54">
        <v>34272</v>
      </c>
      <c r="P394" s="55">
        <v>0.01</v>
      </c>
      <c r="Q394" s="61">
        <v>249.5</v>
      </c>
      <c r="R394" s="60"/>
      <c r="S394" s="61">
        <v>249.5</v>
      </c>
    </row>
    <row r="395" ht="20" customHeight="1" spans="1:19">
      <c r="A395" s="43" t="s">
        <v>137</v>
      </c>
      <c r="B395" s="43" t="s">
        <v>138</v>
      </c>
      <c r="C395" s="44"/>
      <c r="D395" s="43" t="s">
        <v>52</v>
      </c>
      <c r="E395" s="43" t="s">
        <v>139</v>
      </c>
      <c r="F395" s="43" t="s">
        <v>52</v>
      </c>
      <c r="G395" s="43" t="s">
        <v>100</v>
      </c>
      <c r="H395" s="43" t="s">
        <v>101</v>
      </c>
      <c r="I395" s="43" t="s">
        <v>52</v>
      </c>
      <c r="J395" s="44"/>
      <c r="K395" s="54">
        <v>1692</v>
      </c>
      <c r="L395" s="54">
        <v>1692</v>
      </c>
      <c r="M395" s="54">
        <v>0</v>
      </c>
      <c r="N395" s="54">
        <v>0</v>
      </c>
      <c r="O395" s="54">
        <v>1692</v>
      </c>
      <c r="P395" s="55">
        <v>0.11</v>
      </c>
      <c r="Q395" s="61">
        <v>191.47</v>
      </c>
      <c r="R395" s="60"/>
      <c r="S395" s="61">
        <v>191.47</v>
      </c>
    </row>
    <row r="396" ht="20" customHeight="1" spans="1:19">
      <c r="A396" s="43" t="s">
        <v>137</v>
      </c>
      <c r="B396" s="43" t="s">
        <v>138</v>
      </c>
      <c r="C396" s="44"/>
      <c r="D396" s="43" t="s">
        <v>52</v>
      </c>
      <c r="E396" s="43" t="s">
        <v>139</v>
      </c>
      <c r="F396" s="43" t="s">
        <v>52</v>
      </c>
      <c r="G396" s="43" t="s">
        <v>100</v>
      </c>
      <c r="H396" s="43" t="s">
        <v>101</v>
      </c>
      <c r="I396" s="43" t="s">
        <v>52</v>
      </c>
      <c r="J396" s="44"/>
      <c r="K396" s="54">
        <v>8</v>
      </c>
      <c r="L396" s="54">
        <v>8</v>
      </c>
      <c r="M396" s="54">
        <v>0</v>
      </c>
      <c r="N396" s="54">
        <v>0</v>
      </c>
      <c r="O396" s="54">
        <v>8</v>
      </c>
      <c r="P396" s="55">
        <v>0.11</v>
      </c>
      <c r="Q396" s="61">
        <v>0.91</v>
      </c>
      <c r="R396" s="60"/>
      <c r="S396" s="61">
        <v>0.91</v>
      </c>
    </row>
    <row r="397" ht="20" customHeight="1" spans="1:19">
      <c r="A397" s="43" t="s">
        <v>137</v>
      </c>
      <c r="B397" s="43" t="s">
        <v>138</v>
      </c>
      <c r="C397" s="44"/>
      <c r="D397" s="43" t="s">
        <v>52</v>
      </c>
      <c r="E397" s="43" t="s">
        <v>139</v>
      </c>
      <c r="F397" s="43" t="s">
        <v>52</v>
      </c>
      <c r="G397" s="43" t="s">
        <v>100</v>
      </c>
      <c r="H397" s="43" t="s">
        <v>101</v>
      </c>
      <c r="I397" s="43" t="s">
        <v>52</v>
      </c>
      <c r="J397" s="44"/>
      <c r="K397" s="54">
        <v>10</v>
      </c>
      <c r="L397" s="54">
        <v>10</v>
      </c>
      <c r="M397" s="54">
        <v>0</v>
      </c>
      <c r="N397" s="54">
        <v>0</v>
      </c>
      <c r="O397" s="54">
        <v>10</v>
      </c>
      <c r="P397" s="55">
        <v>0.11</v>
      </c>
      <c r="Q397" s="61">
        <v>1.13</v>
      </c>
      <c r="R397" s="60"/>
      <c r="S397" s="61">
        <v>1.13</v>
      </c>
    </row>
    <row r="398" ht="20" customHeight="1" spans="1:19">
      <c r="A398" s="43" t="s">
        <v>140</v>
      </c>
      <c r="B398" s="43" t="s">
        <v>141</v>
      </c>
      <c r="C398" s="44"/>
      <c r="D398" s="43" t="s">
        <v>52</v>
      </c>
      <c r="E398" s="43" t="s">
        <v>142</v>
      </c>
      <c r="F398" s="43" t="s">
        <v>52</v>
      </c>
      <c r="G398" s="43" t="s">
        <v>108</v>
      </c>
      <c r="H398" s="43" t="s">
        <v>109</v>
      </c>
      <c r="I398" s="43" t="s">
        <v>52</v>
      </c>
      <c r="J398" s="44"/>
      <c r="K398" s="54">
        <v>19224</v>
      </c>
      <c r="L398" s="54">
        <v>19224</v>
      </c>
      <c r="M398" s="54">
        <v>0</v>
      </c>
      <c r="N398" s="54">
        <v>0</v>
      </c>
      <c r="O398" s="54">
        <v>19224</v>
      </c>
      <c r="P398" s="55">
        <v>0.01</v>
      </c>
      <c r="Q398" s="61">
        <v>139.95</v>
      </c>
      <c r="R398" s="60"/>
      <c r="S398" s="61">
        <v>139.95</v>
      </c>
    </row>
    <row r="399" ht="20" customHeight="1" spans="1:19">
      <c r="A399" s="43" t="s">
        <v>140</v>
      </c>
      <c r="B399" s="43" t="s">
        <v>141</v>
      </c>
      <c r="C399" s="44"/>
      <c r="D399" s="43" t="s">
        <v>52</v>
      </c>
      <c r="E399" s="43" t="s">
        <v>142</v>
      </c>
      <c r="F399" s="43" t="s">
        <v>52</v>
      </c>
      <c r="G399" s="43" t="s">
        <v>108</v>
      </c>
      <c r="H399" s="43" t="s">
        <v>109</v>
      </c>
      <c r="I399" s="43" t="s">
        <v>52</v>
      </c>
      <c r="J399" s="44"/>
      <c r="K399" s="54">
        <v>180</v>
      </c>
      <c r="L399" s="54">
        <v>180</v>
      </c>
      <c r="M399" s="54">
        <v>0</v>
      </c>
      <c r="N399" s="54">
        <v>0</v>
      </c>
      <c r="O399" s="54">
        <v>180</v>
      </c>
      <c r="P399" s="55">
        <v>0.01</v>
      </c>
      <c r="Q399" s="61">
        <v>1.31</v>
      </c>
      <c r="R399" s="60"/>
      <c r="S399" s="61">
        <v>1.31</v>
      </c>
    </row>
    <row r="400" ht="20" customHeight="1" spans="1:19">
      <c r="A400" s="43" t="s">
        <v>140</v>
      </c>
      <c r="B400" s="43" t="s">
        <v>141</v>
      </c>
      <c r="C400" s="44"/>
      <c r="D400" s="43" t="s">
        <v>52</v>
      </c>
      <c r="E400" s="43" t="s">
        <v>142</v>
      </c>
      <c r="F400" s="43" t="s">
        <v>52</v>
      </c>
      <c r="G400" s="43" t="s">
        <v>108</v>
      </c>
      <c r="H400" s="43" t="s">
        <v>109</v>
      </c>
      <c r="I400" s="43" t="s">
        <v>52</v>
      </c>
      <c r="J400" s="44"/>
      <c r="K400" s="54">
        <v>156</v>
      </c>
      <c r="L400" s="54">
        <v>156</v>
      </c>
      <c r="M400" s="54">
        <v>0</v>
      </c>
      <c r="N400" s="54">
        <v>0</v>
      </c>
      <c r="O400" s="54">
        <v>156</v>
      </c>
      <c r="P400" s="55">
        <v>0.01</v>
      </c>
      <c r="Q400" s="61">
        <v>1.14</v>
      </c>
      <c r="R400" s="60"/>
      <c r="S400" s="61">
        <v>1.14</v>
      </c>
    </row>
    <row r="401" ht="20" customHeight="1" spans="1:19">
      <c r="A401" s="43" t="s">
        <v>140</v>
      </c>
      <c r="B401" s="43" t="s">
        <v>141</v>
      </c>
      <c r="C401" s="44"/>
      <c r="D401" s="43" t="s">
        <v>52</v>
      </c>
      <c r="E401" s="43" t="s">
        <v>142</v>
      </c>
      <c r="F401" s="43" t="s">
        <v>52</v>
      </c>
      <c r="G401" s="43" t="s">
        <v>108</v>
      </c>
      <c r="H401" s="43" t="s">
        <v>109</v>
      </c>
      <c r="I401" s="43" t="s">
        <v>52</v>
      </c>
      <c r="J401" s="44"/>
      <c r="K401" s="54">
        <v>24</v>
      </c>
      <c r="L401" s="54">
        <v>24</v>
      </c>
      <c r="M401" s="54">
        <v>0</v>
      </c>
      <c r="N401" s="54">
        <v>0</v>
      </c>
      <c r="O401" s="54">
        <v>24</v>
      </c>
      <c r="P401" s="55">
        <v>0.01</v>
      </c>
      <c r="Q401" s="61">
        <v>0.17</v>
      </c>
      <c r="R401" s="60"/>
      <c r="S401" s="61">
        <v>0.17</v>
      </c>
    </row>
    <row r="402" ht="20" customHeight="1" spans="1:19">
      <c r="A402" s="43" t="s">
        <v>97</v>
      </c>
      <c r="B402" s="43" t="s">
        <v>102</v>
      </c>
      <c r="C402" s="44"/>
      <c r="D402" s="43" t="s">
        <v>52</v>
      </c>
      <c r="E402" s="43" t="s">
        <v>99</v>
      </c>
      <c r="F402" s="43" t="s">
        <v>52</v>
      </c>
      <c r="G402" s="43" t="s">
        <v>100</v>
      </c>
      <c r="H402" s="43" t="s">
        <v>101</v>
      </c>
      <c r="I402" s="43" t="s">
        <v>52</v>
      </c>
      <c r="J402" s="44"/>
      <c r="K402" s="54">
        <v>4</v>
      </c>
      <c r="L402" s="54">
        <v>4</v>
      </c>
      <c r="M402" s="54">
        <v>0</v>
      </c>
      <c r="N402" s="54">
        <v>0</v>
      </c>
      <c r="O402" s="54">
        <v>4</v>
      </c>
      <c r="P402" s="55">
        <v>0.11</v>
      </c>
      <c r="Q402" s="61">
        <v>0.45</v>
      </c>
      <c r="R402" s="60"/>
      <c r="S402" s="61">
        <v>0.45</v>
      </c>
    </row>
    <row r="403" ht="20" customHeight="1" spans="1:19">
      <c r="A403" s="43" t="s">
        <v>97</v>
      </c>
      <c r="B403" s="43" t="s">
        <v>102</v>
      </c>
      <c r="C403" s="44"/>
      <c r="D403" s="43" t="s">
        <v>52</v>
      </c>
      <c r="E403" s="43" t="s">
        <v>99</v>
      </c>
      <c r="F403" s="43" t="s">
        <v>52</v>
      </c>
      <c r="G403" s="43" t="s">
        <v>100</v>
      </c>
      <c r="H403" s="43" t="s">
        <v>101</v>
      </c>
      <c r="I403" s="43" t="s">
        <v>52</v>
      </c>
      <c r="J403" s="44"/>
      <c r="K403" s="54">
        <v>1</v>
      </c>
      <c r="L403" s="54">
        <v>1</v>
      </c>
      <c r="M403" s="54">
        <v>0</v>
      </c>
      <c r="N403" s="54">
        <v>0</v>
      </c>
      <c r="O403" s="54">
        <v>1</v>
      </c>
      <c r="P403" s="55">
        <v>0.11</v>
      </c>
      <c r="Q403" s="61">
        <v>0.11</v>
      </c>
      <c r="R403" s="60"/>
      <c r="S403" s="61">
        <v>0.11</v>
      </c>
    </row>
    <row r="404" ht="20" customHeight="1" spans="1:19">
      <c r="A404" s="43" t="s">
        <v>97</v>
      </c>
      <c r="B404" s="43" t="s">
        <v>102</v>
      </c>
      <c r="C404" s="44"/>
      <c r="D404" s="43" t="s">
        <v>52</v>
      </c>
      <c r="E404" s="43" t="s">
        <v>99</v>
      </c>
      <c r="F404" s="43" t="s">
        <v>52</v>
      </c>
      <c r="G404" s="43" t="s">
        <v>100</v>
      </c>
      <c r="H404" s="43" t="s">
        <v>101</v>
      </c>
      <c r="I404" s="43" t="s">
        <v>52</v>
      </c>
      <c r="J404" s="44"/>
      <c r="K404" s="54">
        <v>3</v>
      </c>
      <c r="L404" s="54">
        <v>3</v>
      </c>
      <c r="M404" s="54">
        <v>0</v>
      </c>
      <c r="N404" s="54">
        <v>0</v>
      </c>
      <c r="O404" s="54">
        <v>3</v>
      </c>
      <c r="P404" s="55">
        <v>0.11</v>
      </c>
      <c r="Q404" s="61">
        <v>0.34</v>
      </c>
      <c r="R404" s="60"/>
      <c r="S404" s="61">
        <v>0.34</v>
      </c>
    </row>
    <row r="405" ht="20" customHeight="1" spans="1:19">
      <c r="A405" s="43" t="s">
        <v>97</v>
      </c>
      <c r="B405" s="43" t="s">
        <v>102</v>
      </c>
      <c r="C405" s="44"/>
      <c r="D405" s="43" t="s">
        <v>52</v>
      </c>
      <c r="E405" s="43" t="s">
        <v>99</v>
      </c>
      <c r="F405" s="43" t="s">
        <v>52</v>
      </c>
      <c r="G405" s="43" t="s">
        <v>100</v>
      </c>
      <c r="H405" s="43" t="s">
        <v>101</v>
      </c>
      <c r="I405" s="43" t="s">
        <v>52</v>
      </c>
      <c r="J405" s="44"/>
      <c r="K405" s="54">
        <v>1092</v>
      </c>
      <c r="L405" s="54">
        <v>1092</v>
      </c>
      <c r="M405" s="54">
        <v>0</v>
      </c>
      <c r="N405" s="54">
        <v>0</v>
      </c>
      <c r="O405" s="54">
        <v>1092</v>
      </c>
      <c r="P405" s="55">
        <v>0.11</v>
      </c>
      <c r="Q405" s="61">
        <v>123.57</v>
      </c>
      <c r="R405" s="60"/>
      <c r="S405" s="61">
        <v>123.57</v>
      </c>
    </row>
    <row r="406" ht="20" customHeight="1" spans="1:19">
      <c r="A406" s="43" t="s">
        <v>97</v>
      </c>
      <c r="B406" s="43" t="s">
        <v>102</v>
      </c>
      <c r="C406" s="44"/>
      <c r="D406" s="43" t="s">
        <v>52</v>
      </c>
      <c r="E406" s="43" t="s">
        <v>99</v>
      </c>
      <c r="F406" s="43" t="s">
        <v>52</v>
      </c>
      <c r="G406" s="43" t="s">
        <v>103</v>
      </c>
      <c r="H406" s="43" t="s">
        <v>104</v>
      </c>
      <c r="I406" s="43" t="s">
        <v>52</v>
      </c>
      <c r="J406" s="44"/>
      <c r="K406" s="54">
        <v>4</v>
      </c>
      <c r="L406" s="54">
        <v>4</v>
      </c>
      <c r="M406" s="54">
        <v>0</v>
      </c>
      <c r="N406" s="54">
        <v>0</v>
      </c>
      <c r="O406" s="54">
        <v>4</v>
      </c>
      <c r="P406" s="55">
        <v>0.02</v>
      </c>
      <c r="Q406" s="61">
        <v>0.08</v>
      </c>
      <c r="R406" s="60"/>
      <c r="S406" s="61">
        <v>0.08</v>
      </c>
    </row>
    <row r="407" ht="20" customHeight="1" spans="1:19">
      <c r="A407" s="43" t="s">
        <v>97</v>
      </c>
      <c r="B407" s="43" t="s">
        <v>102</v>
      </c>
      <c r="C407" s="44"/>
      <c r="D407" s="43" t="s">
        <v>52</v>
      </c>
      <c r="E407" s="43" t="s">
        <v>99</v>
      </c>
      <c r="F407" s="43" t="s">
        <v>52</v>
      </c>
      <c r="G407" s="43" t="s">
        <v>103</v>
      </c>
      <c r="H407" s="43" t="s">
        <v>104</v>
      </c>
      <c r="I407" s="43" t="s">
        <v>52</v>
      </c>
      <c r="J407" s="44"/>
      <c r="K407" s="54">
        <v>14148</v>
      </c>
      <c r="L407" s="54">
        <v>14148</v>
      </c>
      <c r="M407" s="54">
        <v>0</v>
      </c>
      <c r="N407" s="54">
        <v>0</v>
      </c>
      <c r="O407" s="54">
        <v>14148</v>
      </c>
      <c r="P407" s="55">
        <v>0.02</v>
      </c>
      <c r="Q407" s="61">
        <v>272.75</v>
      </c>
      <c r="R407" s="60"/>
      <c r="S407" s="61">
        <v>272.75</v>
      </c>
    </row>
    <row r="408" ht="20" customHeight="1" spans="1:19">
      <c r="A408" s="43" t="s">
        <v>97</v>
      </c>
      <c r="B408" s="43" t="s">
        <v>102</v>
      </c>
      <c r="C408" s="44"/>
      <c r="D408" s="43" t="s">
        <v>52</v>
      </c>
      <c r="E408" s="43" t="s">
        <v>99</v>
      </c>
      <c r="F408" s="43" t="s">
        <v>52</v>
      </c>
      <c r="G408" s="43" t="s">
        <v>103</v>
      </c>
      <c r="H408" s="43" t="s">
        <v>104</v>
      </c>
      <c r="I408" s="43" t="s">
        <v>52</v>
      </c>
      <c r="J408" s="44"/>
      <c r="K408" s="54">
        <v>56</v>
      </c>
      <c r="L408" s="54">
        <v>56</v>
      </c>
      <c r="M408" s="54">
        <v>0</v>
      </c>
      <c r="N408" s="54">
        <v>0</v>
      </c>
      <c r="O408" s="54">
        <v>56</v>
      </c>
      <c r="P408" s="55">
        <v>0.02</v>
      </c>
      <c r="Q408" s="61">
        <v>1.08</v>
      </c>
      <c r="R408" s="60"/>
      <c r="S408" s="61">
        <v>1.08</v>
      </c>
    </row>
    <row r="409" ht="20" customHeight="1" spans="1:19">
      <c r="A409" s="43" t="s">
        <v>105</v>
      </c>
      <c r="B409" s="43" t="s">
        <v>106</v>
      </c>
      <c r="C409" s="44"/>
      <c r="D409" s="43" t="s">
        <v>52</v>
      </c>
      <c r="E409" s="43" t="s">
        <v>107</v>
      </c>
      <c r="F409" s="43" t="s">
        <v>52</v>
      </c>
      <c r="G409" s="43" t="s">
        <v>108</v>
      </c>
      <c r="H409" s="43" t="s">
        <v>109</v>
      </c>
      <c r="I409" s="43" t="s">
        <v>52</v>
      </c>
      <c r="J409" s="44"/>
      <c r="K409" s="54">
        <v>8640</v>
      </c>
      <c r="L409" s="54">
        <v>8640</v>
      </c>
      <c r="M409" s="54">
        <v>0</v>
      </c>
      <c r="N409" s="54">
        <v>0</v>
      </c>
      <c r="O409" s="54">
        <v>8640</v>
      </c>
      <c r="P409" s="55">
        <v>0.01</v>
      </c>
      <c r="Q409" s="61">
        <v>62.9</v>
      </c>
      <c r="R409" s="60"/>
      <c r="S409" s="61">
        <v>62.9</v>
      </c>
    </row>
    <row r="410" ht="20" customHeight="1" spans="1:19">
      <c r="A410" s="43" t="s">
        <v>105</v>
      </c>
      <c r="B410" s="43" t="s">
        <v>106</v>
      </c>
      <c r="C410" s="44"/>
      <c r="D410" s="43" t="s">
        <v>52</v>
      </c>
      <c r="E410" s="43" t="s">
        <v>107</v>
      </c>
      <c r="F410" s="43" t="s">
        <v>52</v>
      </c>
      <c r="G410" s="43" t="s">
        <v>108</v>
      </c>
      <c r="H410" s="43" t="s">
        <v>109</v>
      </c>
      <c r="I410" s="43" t="s">
        <v>52</v>
      </c>
      <c r="J410" s="44"/>
      <c r="K410" s="54">
        <v>180</v>
      </c>
      <c r="L410" s="54">
        <v>180</v>
      </c>
      <c r="M410" s="54">
        <v>0</v>
      </c>
      <c r="N410" s="54">
        <v>0</v>
      </c>
      <c r="O410" s="54">
        <v>180</v>
      </c>
      <c r="P410" s="55">
        <v>0.01</v>
      </c>
      <c r="Q410" s="61">
        <v>1.31</v>
      </c>
      <c r="R410" s="60"/>
      <c r="S410" s="61">
        <v>1.31</v>
      </c>
    </row>
    <row r="411" ht="20" customHeight="1" spans="1:19">
      <c r="A411" s="43" t="s">
        <v>105</v>
      </c>
      <c r="B411" s="43" t="s">
        <v>106</v>
      </c>
      <c r="C411" s="44"/>
      <c r="D411" s="43" t="s">
        <v>52</v>
      </c>
      <c r="E411" s="43" t="s">
        <v>107</v>
      </c>
      <c r="F411" s="43" t="s">
        <v>52</v>
      </c>
      <c r="G411" s="43" t="s">
        <v>108</v>
      </c>
      <c r="H411" s="43" t="s">
        <v>109</v>
      </c>
      <c r="I411" s="43" t="s">
        <v>52</v>
      </c>
      <c r="J411" s="44"/>
      <c r="K411" s="54">
        <v>252</v>
      </c>
      <c r="L411" s="54">
        <v>252</v>
      </c>
      <c r="M411" s="54">
        <v>0</v>
      </c>
      <c r="N411" s="54">
        <v>0</v>
      </c>
      <c r="O411" s="54">
        <v>252</v>
      </c>
      <c r="P411" s="55">
        <v>0.01</v>
      </c>
      <c r="Q411" s="61">
        <v>1.83</v>
      </c>
      <c r="R411" s="60"/>
      <c r="S411" s="61">
        <v>1.83</v>
      </c>
    </row>
    <row r="412" ht="20" customHeight="1" spans="1:19">
      <c r="A412" s="43" t="s">
        <v>105</v>
      </c>
      <c r="B412" s="43" t="s">
        <v>106</v>
      </c>
      <c r="C412" s="44"/>
      <c r="D412" s="43" t="s">
        <v>52</v>
      </c>
      <c r="E412" s="43" t="s">
        <v>107</v>
      </c>
      <c r="F412" s="43" t="s">
        <v>52</v>
      </c>
      <c r="G412" s="43" t="s">
        <v>108</v>
      </c>
      <c r="H412" s="43" t="s">
        <v>109</v>
      </c>
      <c r="I412" s="43" t="s">
        <v>52</v>
      </c>
      <c r="J412" s="44"/>
      <c r="K412" s="54">
        <v>9360</v>
      </c>
      <c r="L412" s="54">
        <v>9360</v>
      </c>
      <c r="M412" s="54">
        <v>0</v>
      </c>
      <c r="N412" s="54">
        <v>0</v>
      </c>
      <c r="O412" s="54">
        <v>9360</v>
      </c>
      <c r="P412" s="55">
        <v>0.01</v>
      </c>
      <c r="Q412" s="61">
        <v>68.14</v>
      </c>
      <c r="R412" s="60"/>
      <c r="S412" s="61">
        <v>68.14</v>
      </c>
    </row>
    <row r="413" ht="20" customHeight="1" spans="1:19">
      <c r="A413" s="43" t="s">
        <v>105</v>
      </c>
      <c r="B413" s="43" t="s">
        <v>106</v>
      </c>
      <c r="C413" s="44"/>
      <c r="D413" s="43" t="s">
        <v>52</v>
      </c>
      <c r="E413" s="43" t="s">
        <v>107</v>
      </c>
      <c r="F413" s="43" t="s">
        <v>52</v>
      </c>
      <c r="G413" s="43" t="s">
        <v>108</v>
      </c>
      <c r="H413" s="43" t="s">
        <v>109</v>
      </c>
      <c r="I413" s="43" t="s">
        <v>52</v>
      </c>
      <c r="J413" s="44"/>
      <c r="K413" s="54">
        <v>20736</v>
      </c>
      <c r="L413" s="54">
        <v>20736</v>
      </c>
      <c r="M413" s="54">
        <v>0</v>
      </c>
      <c r="N413" s="54">
        <v>0</v>
      </c>
      <c r="O413" s="54">
        <v>20736</v>
      </c>
      <c r="P413" s="55">
        <v>0.01</v>
      </c>
      <c r="Q413" s="61">
        <v>150.96</v>
      </c>
      <c r="R413" s="60"/>
      <c r="S413" s="61">
        <v>150.96</v>
      </c>
    </row>
    <row r="414" ht="13" customHeight="1" spans="1:19">
      <c r="A414" s="47" t="s">
        <v>143</v>
      </c>
      <c r="B414" s="48"/>
      <c r="C414" s="48"/>
      <c r="D414" s="48"/>
      <c r="E414" s="48"/>
      <c r="F414" s="48"/>
      <c r="G414" s="48"/>
      <c r="H414" s="48"/>
      <c r="I414" s="48"/>
      <c r="J414" s="56"/>
      <c r="K414" s="47" t="s">
        <v>144</v>
      </c>
      <c r="L414" s="57">
        <v>114938</v>
      </c>
      <c r="M414" s="58">
        <v>0</v>
      </c>
      <c r="N414" s="58">
        <v>0</v>
      </c>
      <c r="O414" s="58">
        <v>114938</v>
      </c>
      <c r="P414" s="59" t="s">
        <v>52</v>
      </c>
      <c r="Q414" s="62"/>
      <c r="R414" s="62"/>
      <c r="S414" s="63">
        <v>1304.74</v>
      </c>
    </row>
    <row r="415" ht="19" customHeight="1" spans="1:19">
      <c r="A415" s="43" t="s">
        <v>145</v>
      </c>
      <c r="B415" s="44"/>
      <c r="C415" s="44"/>
      <c r="D415" s="49" t="s">
        <v>146</v>
      </c>
      <c r="E415" s="50" t="s">
        <v>147</v>
      </c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56"/>
      <c r="S415" s="56"/>
    </row>
    <row r="416" ht="19" customHeight="1" spans="1:19">
      <c r="A416" s="49" t="s">
        <v>146</v>
      </c>
      <c r="B416" s="51"/>
      <c r="C416" s="51"/>
      <c r="D416" s="49" t="s">
        <v>146</v>
      </c>
      <c r="E416" s="49" t="s">
        <v>119</v>
      </c>
      <c r="F416" s="52">
        <v>700</v>
      </c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56"/>
      <c r="S416" s="56"/>
    </row>
    <row r="417" ht="12" customHeight="1" spans="1:19">
      <c r="A417" s="46" t="s">
        <v>52</v>
      </c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56"/>
      <c r="S417" s="56"/>
    </row>
    <row r="418" ht="14" customHeight="1" spans="1:19">
      <c r="A418" s="43" t="s">
        <v>67</v>
      </c>
      <c r="B418" s="44"/>
      <c r="C418" s="44"/>
      <c r="D418" s="45" t="s">
        <v>124</v>
      </c>
      <c r="E418" s="43" t="s">
        <v>69</v>
      </c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</row>
    <row r="419" ht="14" customHeight="1" spans="1:19">
      <c r="A419" s="43" t="s">
        <v>70</v>
      </c>
      <c r="B419" s="44"/>
      <c r="C419" s="44"/>
      <c r="D419" s="45" t="s">
        <v>124</v>
      </c>
      <c r="E419" s="43" t="s">
        <v>71</v>
      </c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</row>
    <row r="420" ht="14" customHeight="1" spans="1:19">
      <c r="A420" s="43" t="s">
        <v>82</v>
      </c>
      <c r="B420" s="44"/>
      <c r="C420" s="44"/>
      <c r="D420" s="45" t="s">
        <v>124</v>
      </c>
      <c r="E420" s="43" t="s">
        <v>83</v>
      </c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</row>
    <row r="421" ht="14" customHeight="1" spans="1:19">
      <c r="A421" s="43" t="s">
        <v>72</v>
      </c>
      <c r="B421" s="44"/>
      <c r="C421" s="44"/>
      <c r="D421" s="45" t="s">
        <v>124</v>
      </c>
      <c r="E421" s="43" t="s">
        <v>125</v>
      </c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</row>
    <row r="422" ht="14" customHeight="1" spans="1:19">
      <c r="A422" s="43" t="s">
        <v>126</v>
      </c>
      <c r="B422" s="44"/>
      <c r="C422" s="44"/>
      <c r="D422" s="45" t="s">
        <v>124</v>
      </c>
      <c r="E422" s="43" t="s">
        <v>159</v>
      </c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</row>
    <row r="423" ht="14" customHeight="1" spans="1:19">
      <c r="A423" s="43" t="s">
        <v>76</v>
      </c>
      <c r="B423" s="44"/>
      <c r="C423" s="44"/>
      <c r="D423" s="45" t="s">
        <v>124</v>
      </c>
      <c r="E423" s="43" t="s">
        <v>77</v>
      </c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</row>
    <row r="424" ht="14" customHeight="1" spans="1:19">
      <c r="A424" s="43" t="s">
        <v>78</v>
      </c>
      <c r="B424" s="44"/>
      <c r="C424" s="44"/>
      <c r="D424" s="45" t="s">
        <v>124</v>
      </c>
      <c r="E424" s="43" t="s">
        <v>79</v>
      </c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</row>
    <row r="425" ht="14" customHeight="1" spans="1:19">
      <c r="A425" s="43" t="s">
        <v>80</v>
      </c>
      <c r="B425" s="44"/>
      <c r="C425" s="44"/>
      <c r="D425" s="45" t="s">
        <v>124</v>
      </c>
      <c r="E425" s="43" t="s">
        <v>81</v>
      </c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</row>
    <row r="426" ht="17" customHeight="1" spans="1:19">
      <c r="A426" s="46" t="s">
        <v>52</v>
      </c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</row>
    <row r="427" ht="14" customHeight="1" spans="1:19">
      <c r="A427" s="43" t="s">
        <v>84</v>
      </c>
      <c r="B427" s="43" t="s">
        <v>85</v>
      </c>
      <c r="C427" s="44"/>
      <c r="D427" s="43" t="s">
        <v>52</v>
      </c>
      <c r="E427" s="43" t="s">
        <v>87</v>
      </c>
      <c r="F427" s="43" t="s">
        <v>88</v>
      </c>
      <c r="G427" s="43" t="s">
        <v>89</v>
      </c>
      <c r="H427" s="43" t="s">
        <v>90</v>
      </c>
      <c r="I427" s="43" t="s">
        <v>91</v>
      </c>
      <c r="J427" s="44"/>
      <c r="K427" s="53" t="s">
        <v>128</v>
      </c>
      <c r="L427" s="53" t="s">
        <v>129</v>
      </c>
      <c r="M427" s="53" t="s">
        <v>130</v>
      </c>
      <c r="N427" s="53" t="s">
        <v>131</v>
      </c>
      <c r="O427" s="53" t="s">
        <v>132</v>
      </c>
      <c r="P427" s="53" t="s">
        <v>93</v>
      </c>
      <c r="Q427" s="53" t="s">
        <v>94</v>
      </c>
      <c r="R427" s="60"/>
      <c r="S427" s="53" t="s">
        <v>133</v>
      </c>
    </row>
    <row r="428" ht="20" customHeight="1" spans="1:19">
      <c r="A428" s="43" t="s">
        <v>134</v>
      </c>
      <c r="B428" s="43" t="s">
        <v>135</v>
      </c>
      <c r="C428" s="44"/>
      <c r="D428" s="43" t="s">
        <v>52</v>
      </c>
      <c r="E428" s="43" t="s">
        <v>136</v>
      </c>
      <c r="F428" s="43" t="s">
        <v>52</v>
      </c>
      <c r="G428" s="43" t="s">
        <v>108</v>
      </c>
      <c r="H428" s="43" t="s">
        <v>109</v>
      </c>
      <c r="I428" s="43" t="s">
        <v>52</v>
      </c>
      <c r="J428" s="44"/>
      <c r="K428" s="54">
        <v>34272</v>
      </c>
      <c r="L428" s="54">
        <v>34272</v>
      </c>
      <c r="M428" s="54">
        <v>0</v>
      </c>
      <c r="N428" s="54">
        <v>0</v>
      </c>
      <c r="O428" s="54">
        <v>34272</v>
      </c>
      <c r="P428" s="55">
        <v>0.01</v>
      </c>
      <c r="Q428" s="61">
        <v>249.5</v>
      </c>
      <c r="R428" s="60"/>
      <c r="S428" s="61">
        <v>249.5</v>
      </c>
    </row>
    <row r="429" ht="20" customHeight="1" spans="1:19">
      <c r="A429" s="43" t="s">
        <v>134</v>
      </c>
      <c r="B429" s="43" t="s">
        <v>135</v>
      </c>
      <c r="C429" s="44"/>
      <c r="D429" s="43" t="s">
        <v>52</v>
      </c>
      <c r="E429" s="43" t="s">
        <v>136</v>
      </c>
      <c r="F429" s="43" t="s">
        <v>52</v>
      </c>
      <c r="G429" s="43" t="s">
        <v>108</v>
      </c>
      <c r="H429" s="43" t="s">
        <v>109</v>
      </c>
      <c r="I429" s="43" t="s">
        <v>52</v>
      </c>
      <c r="J429" s="44"/>
      <c r="K429" s="54">
        <v>4752</v>
      </c>
      <c r="L429" s="54">
        <v>4752</v>
      </c>
      <c r="M429" s="54">
        <v>0</v>
      </c>
      <c r="N429" s="54">
        <v>0</v>
      </c>
      <c r="O429" s="54">
        <v>4752</v>
      </c>
      <c r="P429" s="55">
        <v>0.01</v>
      </c>
      <c r="Q429" s="61">
        <v>34.59</v>
      </c>
      <c r="R429" s="60"/>
      <c r="S429" s="61">
        <v>34.59</v>
      </c>
    </row>
    <row r="430" ht="20" customHeight="1" spans="1:19">
      <c r="A430" s="43" t="s">
        <v>134</v>
      </c>
      <c r="B430" s="43" t="s">
        <v>135</v>
      </c>
      <c r="C430" s="44"/>
      <c r="D430" s="43" t="s">
        <v>52</v>
      </c>
      <c r="E430" s="43" t="s">
        <v>136</v>
      </c>
      <c r="F430" s="43" t="s">
        <v>52</v>
      </c>
      <c r="G430" s="43" t="s">
        <v>108</v>
      </c>
      <c r="H430" s="43" t="s">
        <v>109</v>
      </c>
      <c r="I430" s="43" t="s">
        <v>52</v>
      </c>
      <c r="J430" s="44"/>
      <c r="K430" s="54">
        <v>144</v>
      </c>
      <c r="L430" s="54">
        <v>144</v>
      </c>
      <c r="M430" s="54">
        <v>0</v>
      </c>
      <c r="N430" s="54">
        <v>0</v>
      </c>
      <c r="O430" s="54">
        <v>144</v>
      </c>
      <c r="P430" s="55">
        <v>0.01</v>
      </c>
      <c r="Q430" s="61">
        <v>1.05</v>
      </c>
      <c r="R430" s="60"/>
      <c r="S430" s="61">
        <v>1.05</v>
      </c>
    </row>
    <row r="431" ht="20" customHeight="1" spans="1:19">
      <c r="A431" s="43" t="s">
        <v>137</v>
      </c>
      <c r="B431" s="43" t="s">
        <v>138</v>
      </c>
      <c r="C431" s="44"/>
      <c r="D431" s="43" t="s">
        <v>52</v>
      </c>
      <c r="E431" s="43" t="s">
        <v>139</v>
      </c>
      <c r="F431" s="43" t="s">
        <v>52</v>
      </c>
      <c r="G431" s="43" t="s">
        <v>100</v>
      </c>
      <c r="H431" s="43" t="s">
        <v>101</v>
      </c>
      <c r="I431" s="43" t="s">
        <v>52</v>
      </c>
      <c r="J431" s="44"/>
      <c r="K431" s="54">
        <v>1692</v>
      </c>
      <c r="L431" s="54">
        <v>1692</v>
      </c>
      <c r="M431" s="54">
        <v>0</v>
      </c>
      <c r="N431" s="54">
        <v>0</v>
      </c>
      <c r="O431" s="54">
        <v>1692</v>
      </c>
      <c r="P431" s="55">
        <v>0.11</v>
      </c>
      <c r="Q431" s="61">
        <v>191.47</v>
      </c>
      <c r="R431" s="60"/>
      <c r="S431" s="61">
        <v>191.47</v>
      </c>
    </row>
    <row r="432" ht="20" customHeight="1" spans="1:19">
      <c r="A432" s="43" t="s">
        <v>137</v>
      </c>
      <c r="B432" s="43" t="s">
        <v>138</v>
      </c>
      <c r="C432" s="44"/>
      <c r="D432" s="43" t="s">
        <v>52</v>
      </c>
      <c r="E432" s="43" t="s">
        <v>139</v>
      </c>
      <c r="F432" s="43" t="s">
        <v>52</v>
      </c>
      <c r="G432" s="43" t="s">
        <v>100</v>
      </c>
      <c r="H432" s="43" t="s">
        <v>101</v>
      </c>
      <c r="I432" s="43" t="s">
        <v>52</v>
      </c>
      <c r="J432" s="44"/>
      <c r="K432" s="54">
        <v>8</v>
      </c>
      <c r="L432" s="54">
        <v>8</v>
      </c>
      <c r="M432" s="54">
        <v>0</v>
      </c>
      <c r="N432" s="54">
        <v>0</v>
      </c>
      <c r="O432" s="54">
        <v>8</v>
      </c>
      <c r="P432" s="55">
        <v>0.11</v>
      </c>
      <c r="Q432" s="61">
        <v>0.91</v>
      </c>
      <c r="R432" s="60"/>
      <c r="S432" s="61">
        <v>0.91</v>
      </c>
    </row>
    <row r="433" ht="20" customHeight="1" spans="1:19">
      <c r="A433" s="43" t="s">
        <v>137</v>
      </c>
      <c r="B433" s="43" t="s">
        <v>138</v>
      </c>
      <c r="C433" s="44"/>
      <c r="D433" s="43" t="s">
        <v>52</v>
      </c>
      <c r="E433" s="43" t="s">
        <v>139</v>
      </c>
      <c r="F433" s="43" t="s">
        <v>52</v>
      </c>
      <c r="G433" s="43" t="s">
        <v>100</v>
      </c>
      <c r="H433" s="43" t="s">
        <v>101</v>
      </c>
      <c r="I433" s="43" t="s">
        <v>52</v>
      </c>
      <c r="J433" s="44"/>
      <c r="K433" s="54">
        <v>10</v>
      </c>
      <c r="L433" s="54">
        <v>10</v>
      </c>
      <c r="M433" s="54">
        <v>0</v>
      </c>
      <c r="N433" s="54">
        <v>0</v>
      </c>
      <c r="O433" s="54">
        <v>10</v>
      </c>
      <c r="P433" s="55">
        <v>0.11</v>
      </c>
      <c r="Q433" s="61">
        <v>1.13</v>
      </c>
      <c r="R433" s="60"/>
      <c r="S433" s="61">
        <v>1.13</v>
      </c>
    </row>
    <row r="434" ht="20" customHeight="1" spans="1:19">
      <c r="A434" s="43" t="s">
        <v>140</v>
      </c>
      <c r="B434" s="43" t="s">
        <v>141</v>
      </c>
      <c r="C434" s="44"/>
      <c r="D434" s="43" t="s">
        <v>52</v>
      </c>
      <c r="E434" s="43" t="s">
        <v>142</v>
      </c>
      <c r="F434" s="43" t="s">
        <v>52</v>
      </c>
      <c r="G434" s="43" t="s">
        <v>108</v>
      </c>
      <c r="H434" s="43" t="s">
        <v>109</v>
      </c>
      <c r="I434" s="43" t="s">
        <v>52</v>
      </c>
      <c r="J434" s="44"/>
      <c r="K434" s="54">
        <v>180</v>
      </c>
      <c r="L434" s="54">
        <v>180</v>
      </c>
      <c r="M434" s="54">
        <v>0</v>
      </c>
      <c r="N434" s="54">
        <v>0</v>
      </c>
      <c r="O434" s="54">
        <v>180</v>
      </c>
      <c r="P434" s="55">
        <v>0.01</v>
      </c>
      <c r="Q434" s="61">
        <v>1.31</v>
      </c>
      <c r="R434" s="60"/>
      <c r="S434" s="61">
        <v>1.31</v>
      </c>
    </row>
    <row r="435" ht="20" customHeight="1" spans="1:19">
      <c r="A435" s="43" t="s">
        <v>140</v>
      </c>
      <c r="B435" s="43" t="s">
        <v>141</v>
      </c>
      <c r="C435" s="44"/>
      <c r="D435" s="43" t="s">
        <v>52</v>
      </c>
      <c r="E435" s="43" t="s">
        <v>142</v>
      </c>
      <c r="F435" s="43" t="s">
        <v>52</v>
      </c>
      <c r="G435" s="43" t="s">
        <v>108</v>
      </c>
      <c r="H435" s="43" t="s">
        <v>109</v>
      </c>
      <c r="I435" s="43" t="s">
        <v>52</v>
      </c>
      <c r="J435" s="44"/>
      <c r="K435" s="54">
        <v>24</v>
      </c>
      <c r="L435" s="54">
        <v>24</v>
      </c>
      <c r="M435" s="54">
        <v>0</v>
      </c>
      <c r="N435" s="54">
        <v>0</v>
      </c>
      <c r="O435" s="54">
        <v>24</v>
      </c>
      <c r="P435" s="55">
        <v>0.01</v>
      </c>
      <c r="Q435" s="61">
        <v>0.17</v>
      </c>
      <c r="R435" s="60"/>
      <c r="S435" s="61">
        <v>0.17</v>
      </c>
    </row>
    <row r="436" ht="20" customHeight="1" spans="1:19">
      <c r="A436" s="43" t="s">
        <v>140</v>
      </c>
      <c r="B436" s="43" t="s">
        <v>141</v>
      </c>
      <c r="C436" s="44"/>
      <c r="D436" s="43" t="s">
        <v>52</v>
      </c>
      <c r="E436" s="43" t="s">
        <v>142</v>
      </c>
      <c r="F436" s="43" t="s">
        <v>52</v>
      </c>
      <c r="G436" s="43" t="s">
        <v>108</v>
      </c>
      <c r="H436" s="43" t="s">
        <v>109</v>
      </c>
      <c r="I436" s="43" t="s">
        <v>52</v>
      </c>
      <c r="J436" s="44"/>
      <c r="K436" s="54">
        <v>19224</v>
      </c>
      <c r="L436" s="54">
        <v>19224</v>
      </c>
      <c r="M436" s="54">
        <v>0</v>
      </c>
      <c r="N436" s="54">
        <v>0</v>
      </c>
      <c r="O436" s="54">
        <v>19224</v>
      </c>
      <c r="P436" s="55">
        <v>0.01</v>
      </c>
      <c r="Q436" s="61">
        <v>139.95</v>
      </c>
      <c r="R436" s="60"/>
      <c r="S436" s="61">
        <v>139.95</v>
      </c>
    </row>
    <row r="437" ht="20" customHeight="1" spans="1:19">
      <c r="A437" s="43" t="s">
        <v>140</v>
      </c>
      <c r="B437" s="43" t="s">
        <v>141</v>
      </c>
      <c r="C437" s="44"/>
      <c r="D437" s="43" t="s">
        <v>52</v>
      </c>
      <c r="E437" s="43" t="s">
        <v>142</v>
      </c>
      <c r="F437" s="43" t="s">
        <v>52</v>
      </c>
      <c r="G437" s="43" t="s">
        <v>108</v>
      </c>
      <c r="H437" s="43" t="s">
        <v>109</v>
      </c>
      <c r="I437" s="43" t="s">
        <v>52</v>
      </c>
      <c r="J437" s="44"/>
      <c r="K437" s="54">
        <v>156</v>
      </c>
      <c r="L437" s="54">
        <v>156</v>
      </c>
      <c r="M437" s="54">
        <v>0</v>
      </c>
      <c r="N437" s="54">
        <v>0</v>
      </c>
      <c r="O437" s="54">
        <v>156</v>
      </c>
      <c r="P437" s="55">
        <v>0.01</v>
      </c>
      <c r="Q437" s="61">
        <v>1.14</v>
      </c>
      <c r="R437" s="60"/>
      <c r="S437" s="61">
        <v>1.14</v>
      </c>
    </row>
    <row r="438" ht="20" customHeight="1" spans="1:19">
      <c r="A438" s="43" t="s">
        <v>97</v>
      </c>
      <c r="B438" s="43" t="s">
        <v>102</v>
      </c>
      <c r="C438" s="44"/>
      <c r="D438" s="43" t="s">
        <v>52</v>
      </c>
      <c r="E438" s="43" t="s">
        <v>99</v>
      </c>
      <c r="F438" s="43" t="s">
        <v>52</v>
      </c>
      <c r="G438" s="43" t="s">
        <v>100</v>
      </c>
      <c r="H438" s="43" t="s">
        <v>101</v>
      </c>
      <c r="I438" s="43" t="s">
        <v>52</v>
      </c>
      <c r="J438" s="44"/>
      <c r="K438" s="54">
        <v>3</v>
      </c>
      <c r="L438" s="54">
        <v>3</v>
      </c>
      <c r="M438" s="54">
        <v>0</v>
      </c>
      <c r="N438" s="54">
        <v>0</v>
      </c>
      <c r="O438" s="54">
        <v>3</v>
      </c>
      <c r="P438" s="55">
        <v>0.11</v>
      </c>
      <c r="Q438" s="61">
        <v>0.34</v>
      </c>
      <c r="R438" s="60"/>
      <c r="S438" s="61">
        <v>0.34</v>
      </c>
    </row>
    <row r="439" ht="20" customHeight="1" spans="1:19">
      <c r="A439" s="43" t="s">
        <v>97</v>
      </c>
      <c r="B439" s="43" t="s">
        <v>102</v>
      </c>
      <c r="C439" s="44"/>
      <c r="D439" s="43" t="s">
        <v>52</v>
      </c>
      <c r="E439" s="43" t="s">
        <v>99</v>
      </c>
      <c r="F439" s="43" t="s">
        <v>52</v>
      </c>
      <c r="G439" s="43" t="s">
        <v>100</v>
      </c>
      <c r="H439" s="43" t="s">
        <v>101</v>
      </c>
      <c r="I439" s="43" t="s">
        <v>52</v>
      </c>
      <c r="J439" s="44"/>
      <c r="K439" s="54">
        <v>4</v>
      </c>
      <c r="L439" s="54">
        <v>4</v>
      </c>
      <c r="M439" s="54">
        <v>0</v>
      </c>
      <c r="N439" s="54">
        <v>0</v>
      </c>
      <c r="O439" s="54">
        <v>4</v>
      </c>
      <c r="P439" s="55">
        <v>0.11</v>
      </c>
      <c r="Q439" s="61">
        <v>0.45</v>
      </c>
      <c r="R439" s="60"/>
      <c r="S439" s="61">
        <v>0.45</v>
      </c>
    </row>
    <row r="440" ht="20" customHeight="1" spans="1:19">
      <c r="A440" s="43" t="s">
        <v>97</v>
      </c>
      <c r="B440" s="43" t="s">
        <v>102</v>
      </c>
      <c r="C440" s="44"/>
      <c r="D440" s="43" t="s">
        <v>52</v>
      </c>
      <c r="E440" s="43" t="s">
        <v>99</v>
      </c>
      <c r="F440" s="43" t="s">
        <v>52</v>
      </c>
      <c r="G440" s="43" t="s">
        <v>100</v>
      </c>
      <c r="H440" s="43" t="s">
        <v>101</v>
      </c>
      <c r="I440" s="43" t="s">
        <v>52</v>
      </c>
      <c r="J440" s="44"/>
      <c r="K440" s="54">
        <v>1092</v>
      </c>
      <c r="L440" s="54">
        <v>1092</v>
      </c>
      <c r="M440" s="54">
        <v>0</v>
      </c>
      <c r="N440" s="54">
        <v>0</v>
      </c>
      <c r="O440" s="54">
        <v>1092</v>
      </c>
      <c r="P440" s="55">
        <v>0.11</v>
      </c>
      <c r="Q440" s="61">
        <v>123.57</v>
      </c>
      <c r="R440" s="60"/>
      <c r="S440" s="61">
        <v>123.57</v>
      </c>
    </row>
    <row r="441" ht="20" customHeight="1" spans="1:19">
      <c r="A441" s="43" t="s">
        <v>97</v>
      </c>
      <c r="B441" s="43" t="s">
        <v>102</v>
      </c>
      <c r="C441" s="44"/>
      <c r="D441" s="43" t="s">
        <v>52</v>
      </c>
      <c r="E441" s="43" t="s">
        <v>99</v>
      </c>
      <c r="F441" s="43" t="s">
        <v>52</v>
      </c>
      <c r="G441" s="43" t="s">
        <v>100</v>
      </c>
      <c r="H441" s="43" t="s">
        <v>101</v>
      </c>
      <c r="I441" s="43" t="s">
        <v>52</v>
      </c>
      <c r="J441" s="44"/>
      <c r="K441" s="54">
        <v>1</v>
      </c>
      <c r="L441" s="54">
        <v>1</v>
      </c>
      <c r="M441" s="54">
        <v>0</v>
      </c>
      <c r="N441" s="54">
        <v>0</v>
      </c>
      <c r="O441" s="54">
        <v>1</v>
      </c>
      <c r="P441" s="55">
        <v>0.11</v>
      </c>
      <c r="Q441" s="61">
        <v>0.11</v>
      </c>
      <c r="R441" s="60"/>
      <c r="S441" s="61">
        <v>0.11</v>
      </c>
    </row>
    <row r="442" ht="20" customHeight="1" spans="1:19">
      <c r="A442" s="43" t="s">
        <v>97</v>
      </c>
      <c r="B442" s="43" t="s">
        <v>102</v>
      </c>
      <c r="C442" s="44"/>
      <c r="D442" s="43" t="s">
        <v>52</v>
      </c>
      <c r="E442" s="43" t="s">
        <v>99</v>
      </c>
      <c r="F442" s="43" t="s">
        <v>52</v>
      </c>
      <c r="G442" s="43" t="s">
        <v>103</v>
      </c>
      <c r="H442" s="43" t="s">
        <v>104</v>
      </c>
      <c r="I442" s="43" t="s">
        <v>52</v>
      </c>
      <c r="J442" s="44"/>
      <c r="K442" s="54">
        <v>56</v>
      </c>
      <c r="L442" s="54">
        <v>56</v>
      </c>
      <c r="M442" s="54">
        <v>0</v>
      </c>
      <c r="N442" s="54">
        <v>0</v>
      </c>
      <c r="O442" s="54">
        <v>56</v>
      </c>
      <c r="P442" s="55">
        <v>0.02</v>
      </c>
      <c r="Q442" s="61">
        <v>1.08</v>
      </c>
      <c r="R442" s="60"/>
      <c r="S442" s="61">
        <v>1.08</v>
      </c>
    </row>
    <row r="443" ht="20" customHeight="1" spans="1:19">
      <c r="A443" s="43" t="s">
        <v>97</v>
      </c>
      <c r="B443" s="43" t="s">
        <v>102</v>
      </c>
      <c r="C443" s="44"/>
      <c r="D443" s="43" t="s">
        <v>52</v>
      </c>
      <c r="E443" s="43" t="s">
        <v>99</v>
      </c>
      <c r="F443" s="43" t="s">
        <v>52</v>
      </c>
      <c r="G443" s="43" t="s">
        <v>103</v>
      </c>
      <c r="H443" s="43" t="s">
        <v>104</v>
      </c>
      <c r="I443" s="43" t="s">
        <v>52</v>
      </c>
      <c r="J443" s="44"/>
      <c r="K443" s="54">
        <v>14148</v>
      </c>
      <c r="L443" s="54">
        <v>14148</v>
      </c>
      <c r="M443" s="54">
        <v>0</v>
      </c>
      <c r="N443" s="54">
        <v>0</v>
      </c>
      <c r="O443" s="54">
        <v>14148</v>
      </c>
      <c r="P443" s="55">
        <v>0.02</v>
      </c>
      <c r="Q443" s="61">
        <v>272.75</v>
      </c>
      <c r="R443" s="60"/>
      <c r="S443" s="61">
        <v>272.75</v>
      </c>
    </row>
    <row r="444" ht="20" customHeight="1" spans="1:19">
      <c r="A444" s="43" t="s">
        <v>97</v>
      </c>
      <c r="B444" s="43" t="s">
        <v>102</v>
      </c>
      <c r="C444" s="44"/>
      <c r="D444" s="43" t="s">
        <v>52</v>
      </c>
      <c r="E444" s="43" t="s">
        <v>99</v>
      </c>
      <c r="F444" s="43" t="s">
        <v>52</v>
      </c>
      <c r="G444" s="43" t="s">
        <v>103</v>
      </c>
      <c r="H444" s="43" t="s">
        <v>104</v>
      </c>
      <c r="I444" s="43" t="s">
        <v>52</v>
      </c>
      <c r="J444" s="44"/>
      <c r="K444" s="54">
        <v>4</v>
      </c>
      <c r="L444" s="54">
        <v>4</v>
      </c>
      <c r="M444" s="54">
        <v>0</v>
      </c>
      <c r="N444" s="54">
        <v>0</v>
      </c>
      <c r="O444" s="54">
        <v>4</v>
      </c>
      <c r="P444" s="55">
        <v>0.02</v>
      </c>
      <c r="Q444" s="61">
        <v>0.08</v>
      </c>
      <c r="R444" s="60"/>
      <c r="S444" s="61">
        <v>0.08</v>
      </c>
    </row>
    <row r="445" ht="20" customHeight="1" spans="1:19">
      <c r="A445" s="43" t="s">
        <v>105</v>
      </c>
      <c r="B445" s="43" t="s">
        <v>106</v>
      </c>
      <c r="C445" s="44"/>
      <c r="D445" s="43" t="s">
        <v>52</v>
      </c>
      <c r="E445" s="43" t="s">
        <v>107</v>
      </c>
      <c r="F445" s="43" t="s">
        <v>52</v>
      </c>
      <c r="G445" s="43" t="s">
        <v>108</v>
      </c>
      <c r="H445" s="43" t="s">
        <v>109</v>
      </c>
      <c r="I445" s="43" t="s">
        <v>52</v>
      </c>
      <c r="J445" s="44"/>
      <c r="K445" s="54">
        <v>20736</v>
      </c>
      <c r="L445" s="54">
        <v>20736</v>
      </c>
      <c r="M445" s="54">
        <v>0</v>
      </c>
      <c r="N445" s="54">
        <v>0</v>
      </c>
      <c r="O445" s="54">
        <v>20736</v>
      </c>
      <c r="P445" s="55">
        <v>0.01</v>
      </c>
      <c r="Q445" s="61">
        <v>150.96</v>
      </c>
      <c r="R445" s="60"/>
      <c r="S445" s="61">
        <v>150.96</v>
      </c>
    </row>
    <row r="446" ht="20" customHeight="1" spans="1:19">
      <c r="A446" s="43" t="s">
        <v>105</v>
      </c>
      <c r="B446" s="43" t="s">
        <v>106</v>
      </c>
      <c r="C446" s="44"/>
      <c r="D446" s="43" t="s">
        <v>52</v>
      </c>
      <c r="E446" s="43" t="s">
        <v>107</v>
      </c>
      <c r="F446" s="43" t="s">
        <v>52</v>
      </c>
      <c r="G446" s="43" t="s">
        <v>108</v>
      </c>
      <c r="H446" s="43" t="s">
        <v>109</v>
      </c>
      <c r="I446" s="43" t="s">
        <v>52</v>
      </c>
      <c r="J446" s="44"/>
      <c r="K446" s="54">
        <v>180</v>
      </c>
      <c r="L446" s="54">
        <v>180</v>
      </c>
      <c r="M446" s="54">
        <v>0</v>
      </c>
      <c r="N446" s="54">
        <v>0</v>
      </c>
      <c r="O446" s="54">
        <v>180</v>
      </c>
      <c r="P446" s="55">
        <v>0.01</v>
      </c>
      <c r="Q446" s="61">
        <v>1.31</v>
      </c>
      <c r="R446" s="60"/>
      <c r="S446" s="61">
        <v>1.31</v>
      </c>
    </row>
    <row r="447" ht="20" customHeight="1" spans="1:19">
      <c r="A447" s="43" t="s">
        <v>105</v>
      </c>
      <c r="B447" s="43" t="s">
        <v>106</v>
      </c>
      <c r="C447" s="44"/>
      <c r="D447" s="43" t="s">
        <v>52</v>
      </c>
      <c r="E447" s="43" t="s">
        <v>107</v>
      </c>
      <c r="F447" s="43" t="s">
        <v>52</v>
      </c>
      <c r="G447" s="43" t="s">
        <v>108</v>
      </c>
      <c r="H447" s="43" t="s">
        <v>109</v>
      </c>
      <c r="I447" s="43" t="s">
        <v>52</v>
      </c>
      <c r="J447" s="44"/>
      <c r="K447" s="54">
        <v>8640</v>
      </c>
      <c r="L447" s="54">
        <v>8640</v>
      </c>
      <c r="M447" s="54">
        <v>0</v>
      </c>
      <c r="N447" s="54">
        <v>0</v>
      </c>
      <c r="O447" s="54">
        <v>8640</v>
      </c>
      <c r="P447" s="55">
        <v>0.01</v>
      </c>
      <c r="Q447" s="61">
        <v>62.9</v>
      </c>
      <c r="R447" s="60"/>
      <c r="S447" s="61">
        <v>62.9</v>
      </c>
    </row>
    <row r="448" ht="20" customHeight="1" spans="1:19">
      <c r="A448" s="43" t="s">
        <v>105</v>
      </c>
      <c r="B448" s="43" t="s">
        <v>106</v>
      </c>
      <c r="C448" s="44"/>
      <c r="D448" s="43" t="s">
        <v>52</v>
      </c>
      <c r="E448" s="43" t="s">
        <v>107</v>
      </c>
      <c r="F448" s="43" t="s">
        <v>52</v>
      </c>
      <c r="G448" s="43" t="s">
        <v>108</v>
      </c>
      <c r="H448" s="43" t="s">
        <v>109</v>
      </c>
      <c r="I448" s="43" t="s">
        <v>52</v>
      </c>
      <c r="J448" s="44"/>
      <c r="K448" s="54">
        <v>252</v>
      </c>
      <c r="L448" s="54">
        <v>252</v>
      </c>
      <c r="M448" s="54">
        <v>0</v>
      </c>
      <c r="N448" s="54">
        <v>0</v>
      </c>
      <c r="O448" s="54">
        <v>252</v>
      </c>
      <c r="P448" s="55">
        <v>0.01</v>
      </c>
      <c r="Q448" s="61">
        <v>1.83</v>
      </c>
      <c r="R448" s="60"/>
      <c r="S448" s="61">
        <v>1.83</v>
      </c>
    </row>
    <row r="449" ht="20" customHeight="1" spans="1:19">
      <c r="A449" s="43" t="s">
        <v>105</v>
      </c>
      <c r="B449" s="43" t="s">
        <v>106</v>
      </c>
      <c r="C449" s="44"/>
      <c r="D449" s="43" t="s">
        <v>52</v>
      </c>
      <c r="E449" s="43" t="s">
        <v>107</v>
      </c>
      <c r="F449" s="43" t="s">
        <v>52</v>
      </c>
      <c r="G449" s="43" t="s">
        <v>108</v>
      </c>
      <c r="H449" s="43" t="s">
        <v>109</v>
      </c>
      <c r="I449" s="43" t="s">
        <v>52</v>
      </c>
      <c r="J449" s="44"/>
      <c r="K449" s="54">
        <v>9360</v>
      </c>
      <c r="L449" s="54">
        <v>9360</v>
      </c>
      <c r="M449" s="54">
        <v>0</v>
      </c>
      <c r="N449" s="54">
        <v>0</v>
      </c>
      <c r="O449" s="54">
        <v>9360</v>
      </c>
      <c r="P449" s="55">
        <v>0.01</v>
      </c>
      <c r="Q449" s="61">
        <v>68.14</v>
      </c>
      <c r="R449" s="60"/>
      <c r="S449" s="61">
        <v>68.14</v>
      </c>
    </row>
    <row r="450" ht="13" customHeight="1" spans="1:19">
      <c r="A450" s="47" t="s">
        <v>143</v>
      </c>
      <c r="B450" s="48"/>
      <c r="C450" s="48"/>
      <c r="D450" s="48"/>
      <c r="E450" s="48"/>
      <c r="F450" s="48"/>
      <c r="G450" s="48"/>
      <c r="H450" s="48"/>
      <c r="I450" s="48"/>
      <c r="J450" s="56"/>
      <c r="K450" s="47" t="s">
        <v>144</v>
      </c>
      <c r="L450" s="57">
        <v>114938</v>
      </c>
      <c r="M450" s="58">
        <v>0</v>
      </c>
      <c r="N450" s="58">
        <v>0</v>
      </c>
      <c r="O450" s="58">
        <v>114938</v>
      </c>
      <c r="P450" s="59" t="s">
        <v>52</v>
      </c>
      <c r="Q450" s="62"/>
      <c r="R450" s="62"/>
      <c r="S450" s="63">
        <v>1304.74</v>
      </c>
    </row>
    <row r="451" ht="19" customHeight="1" spans="1:19">
      <c r="A451" s="43" t="s">
        <v>145</v>
      </c>
      <c r="B451" s="44"/>
      <c r="C451" s="44"/>
      <c r="D451" s="49" t="s">
        <v>146</v>
      </c>
      <c r="E451" s="50" t="s">
        <v>147</v>
      </c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56"/>
      <c r="S451" s="56"/>
    </row>
    <row r="452" ht="19" customHeight="1" spans="1:19">
      <c r="A452" s="49" t="s">
        <v>146</v>
      </c>
      <c r="B452" s="51"/>
      <c r="C452" s="51"/>
      <c r="D452" s="49" t="s">
        <v>146</v>
      </c>
      <c r="E452" s="49" t="s">
        <v>119</v>
      </c>
      <c r="F452" s="52">
        <v>700</v>
      </c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56"/>
      <c r="S452" s="56"/>
    </row>
    <row r="453" ht="12" customHeight="1" spans="1:19">
      <c r="A453" s="46" t="s">
        <v>52</v>
      </c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56"/>
      <c r="S453" s="56"/>
    </row>
    <row r="454" ht="14" customHeight="1" spans="1:19">
      <c r="A454" s="43" t="s">
        <v>67</v>
      </c>
      <c r="B454" s="44"/>
      <c r="C454" s="44"/>
      <c r="D454" s="45" t="s">
        <v>124</v>
      </c>
      <c r="E454" s="43" t="s">
        <v>69</v>
      </c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</row>
    <row r="455" ht="14" customHeight="1" spans="1:19">
      <c r="A455" s="43" t="s">
        <v>70</v>
      </c>
      <c r="B455" s="44"/>
      <c r="C455" s="44"/>
      <c r="D455" s="45" t="s">
        <v>124</v>
      </c>
      <c r="E455" s="43" t="s">
        <v>71</v>
      </c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</row>
    <row r="456" ht="14" customHeight="1" spans="1:19">
      <c r="A456" s="43" t="s">
        <v>82</v>
      </c>
      <c r="B456" s="44"/>
      <c r="C456" s="44"/>
      <c r="D456" s="45" t="s">
        <v>124</v>
      </c>
      <c r="E456" s="43" t="s">
        <v>83</v>
      </c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</row>
    <row r="457" ht="14" customHeight="1" spans="1:19">
      <c r="A457" s="43" t="s">
        <v>72</v>
      </c>
      <c r="B457" s="44"/>
      <c r="C457" s="44"/>
      <c r="D457" s="45" t="s">
        <v>124</v>
      </c>
      <c r="E457" s="43" t="s">
        <v>125</v>
      </c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</row>
    <row r="458" ht="14" customHeight="1" spans="1:19">
      <c r="A458" s="43" t="s">
        <v>126</v>
      </c>
      <c r="B458" s="44"/>
      <c r="C458" s="44"/>
      <c r="D458" s="45" t="s">
        <v>124</v>
      </c>
      <c r="E458" s="43" t="s">
        <v>160</v>
      </c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</row>
    <row r="459" ht="14" customHeight="1" spans="1:19">
      <c r="A459" s="43" t="s">
        <v>76</v>
      </c>
      <c r="B459" s="44"/>
      <c r="C459" s="44"/>
      <c r="D459" s="45" t="s">
        <v>124</v>
      </c>
      <c r="E459" s="43" t="s">
        <v>77</v>
      </c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</row>
    <row r="460" ht="14" customHeight="1" spans="1:19">
      <c r="A460" s="43" t="s">
        <v>78</v>
      </c>
      <c r="B460" s="44"/>
      <c r="C460" s="44"/>
      <c r="D460" s="45" t="s">
        <v>124</v>
      </c>
      <c r="E460" s="43" t="s">
        <v>79</v>
      </c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</row>
    <row r="461" ht="14" customHeight="1" spans="1:19">
      <c r="A461" s="43" t="s">
        <v>80</v>
      </c>
      <c r="B461" s="44"/>
      <c r="C461" s="44"/>
      <c r="D461" s="45" t="s">
        <v>124</v>
      </c>
      <c r="E461" s="43" t="s">
        <v>81</v>
      </c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</row>
    <row r="462" ht="17" customHeight="1" spans="1:19">
      <c r="A462" s="46" t="s">
        <v>52</v>
      </c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</row>
    <row r="463" ht="14" customHeight="1" spans="1:19">
      <c r="A463" s="43" t="s">
        <v>84</v>
      </c>
      <c r="B463" s="43" t="s">
        <v>85</v>
      </c>
      <c r="C463" s="44"/>
      <c r="D463" s="43" t="s">
        <v>52</v>
      </c>
      <c r="E463" s="43" t="s">
        <v>87</v>
      </c>
      <c r="F463" s="43" t="s">
        <v>88</v>
      </c>
      <c r="G463" s="43" t="s">
        <v>89</v>
      </c>
      <c r="H463" s="43" t="s">
        <v>90</v>
      </c>
      <c r="I463" s="43" t="s">
        <v>91</v>
      </c>
      <c r="J463" s="44"/>
      <c r="K463" s="53" t="s">
        <v>128</v>
      </c>
      <c r="L463" s="53" t="s">
        <v>129</v>
      </c>
      <c r="M463" s="53" t="s">
        <v>130</v>
      </c>
      <c r="N463" s="53" t="s">
        <v>131</v>
      </c>
      <c r="O463" s="53" t="s">
        <v>132</v>
      </c>
      <c r="P463" s="53" t="s">
        <v>93</v>
      </c>
      <c r="Q463" s="53" t="s">
        <v>94</v>
      </c>
      <c r="R463" s="60"/>
      <c r="S463" s="53" t="s">
        <v>133</v>
      </c>
    </row>
    <row r="464" ht="20" customHeight="1" spans="1:19">
      <c r="A464" s="43" t="s">
        <v>134</v>
      </c>
      <c r="B464" s="43" t="s">
        <v>135</v>
      </c>
      <c r="C464" s="44"/>
      <c r="D464" s="43" t="s">
        <v>52</v>
      </c>
      <c r="E464" s="43" t="s">
        <v>136</v>
      </c>
      <c r="F464" s="43" t="s">
        <v>52</v>
      </c>
      <c r="G464" s="43" t="s">
        <v>108</v>
      </c>
      <c r="H464" s="43" t="s">
        <v>109</v>
      </c>
      <c r="I464" s="43" t="s">
        <v>52</v>
      </c>
      <c r="J464" s="44"/>
      <c r="K464" s="54">
        <v>34272</v>
      </c>
      <c r="L464" s="54">
        <v>34272</v>
      </c>
      <c r="M464" s="54">
        <v>0</v>
      </c>
      <c r="N464" s="54">
        <v>0</v>
      </c>
      <c r="O464" s="54">
        <v>34272</v>
      </c>
      <c r="P464" s="55">
        <v>0.01</v>
      </c>
      <c r="Q464" s="61">
        <v>249.5</v>
      </c>
      <c r="R464" s="60"/>
      <c r="S464" s="61">
        <v>249.5</v>
      </c>
    </row>
    <row r="465" ht="20" customHeight="1" spans="1:19">
      <c r="A465" s="43" t="s">
        <v>134</v>
      </c>
      <c r="B465" s="43" t="s">
        <v>135</v>
      </c>
      <c r="C465" s="44"/>
      <c r="D465" s="43" t="s">
        <v>52</v>
      </c>
      <c r="E465" s="43" t="s">
        <v>136</v>
      </c>
      <c r="F465" s="43" t="s">
        <v>52</v>
      </c>
      <c r="G465" s="43" t="s">
        <v>108</v>
      </c>
      <c r="H465" s="43" t="s">
        <v>109</v>
      </c>
      <c r="I465" s="43" t="s">
        <v>52</v>
      </c>
      <c r="J465" s="44"/>
      <c r="K465" s="54">
        <v>4752</v>
      </c>
      <c r="L465" s="54">
        <v>4752</v>
      </c>
      <c r="M465" s="54">
        <v>0</v>
      </c>
      <c r="N465" s="54">
        <v>0</v>
      </c>
      <c r="O465" s="54">
        <v>4752</v>
      </c>
      <c r="P465" s="55">
        <v>0.01</v>
      </c>
      <c r="Q465" s="61">
        <v>34.59</v>
      </c>
      <c r="R465" s="60"/>
      <c r="S465" s="61">
        <v>34.59</v>
      </c>
    </row>
    <row r="466" ht="20" customHeight="1" spans="1:19">
      <c r="A466" s="43" t="s">
        <v>134</v>
      </c>
      <c r="B466" s="43" t="s">
        <v>135</v>
      </c>
      <c r="C466" s="44"/>
      <c r="D466" s="43" t="s">
        <v>52</v>
      </c>
      <c r="E466" s="43" t="s">
        <v>136</v>
      </c>
      <c r="F466" s="43" t="s">
        <v>52</v>
      </c>
      <c r="G466" s="43" t="s">
        <v>108</v>
      </c>
      <c r="H466" s="43" t="s">
        <v>109</v>
      </c>
      <c r="I466" s="43" t="s">
        <v>52</v>
      </c>
      <c r="J466" s="44"/>
      <c r="K466" s="54">
        <v>144</v>
      </c>
      <c r="L466" s="54">
        <v>144</v>
      </c>
      <c r="M466" s="54">
        <v>0</v>
      </c>
      <c r="N466" s="54">
        <v>0</v>
      </c>
      <c r="O466" s="54">
        <v>144</v>
      </c>
      <c r="P466" s="55">
        <v>0.01</v>
      </c>
      <c r="Q466" s="61">
        <v>1.05</v>
      </c>
      <c r="R466" s="60"/>
      <c r="S466" s="61">
        <v>1.05</v>
      </c>
    </row>
    <row r="467" ht="20" customHeight="1" spans="1:19">
      <c r="A467" s="43" t="s">
        <v>137</v>
      </c>
      <c r="B467" s="43" t="s">
        <v>138</v>
      </c>
      <c r="C467" s="44"/>
      <c r="D467" s="43" t="s">
        <v>52</v>
      </c>
      <c r="E467" s="43" t="s">
        <v>139</v>
      </c>
      <c r="F467" s="43" t="s">
        <v>52</v>
      </c>
      <c r="G467" s="43" t="s">
        <v>100</v>
      </c>
      <c r="H467" s="43" t="s">
        <v>101</v>
      </c>
      <c r="I467" s="43" t="s">
        <v>52</v>
      </c>
      <c r="J467" s="44"/>
      <c r="K467" s="54">
        <v>1692</v>
      </c>
      <c r="L467" s="54">
        <v>1692</v>
      </c>
      <c r="M467" s="54">
        <v>0</v>
      </c>
      <c r="N467" s="54">
        <v>0</v>
      </c>
      <c r="O467" s="54">
        <v>1692</v>
      </c>
      <c r="P467" s="55">
        <v>0.11</v>
      </c>
      <c r="Q467" s="61">
        <v>191.47</v>
      </c>
      <c r="R467" s="60"/>
      <c r="S467" s="61">
        <v>191.47</v>
      </c>
    </row>
    <row r="468" ht="20" customHeight="1" spans="1:19">
      <c r="A468" s="43" t="s">
        <v>137</v>
      </c>
      <c r="B468" s="43" t="s">
        <v>138</v>
      </c>
      <c r="C468" s="44"/>
      <c r="D468" s="43" t="s">
        <v>52</v>
      </c>
      <c r="E468" s="43" t="s">
        <v>139</v>
      </c>
      <c r="F468" s="43" t="s">
        <v>52</v>
      </c>
      <c r="G468" s="43" t="s">
        <v>100</v>
      </c>
      <c r="H468" s="43" t="s">
        <v>101</v>
      </c>
      <c r="I468" s="43" t="s">
        <v>52</v>
      </c>
      <c r="J468" s="44"/>
      <c r="K468" s="54">
        <v>8</v>
      </c>
      <c r="L468" s="54">
        <v>8</v>
      </c>
      <c r="M468" s="54">
        <v>0</v>
      </c>
      <c r="N468" s="54">
        <v>0</v>
      </c>
      <c r="O468" s="54">
        <v>8</v>
      </c>
      <c r="P468" s="55">
        <v>0.11</v>
      </c>
      <c r="Q468" s="61">
        <v>0.91</v>
      </c>
      <c r="R468" s="60"/>
      <c r="S468" s="61">
        <v>0.91</v>
      </c>
    </row>
    <row r="469" ht="20" customHeight="1" spans="1:19">
      <c r="A469" s="43" t="s">
        <v>137</v>
      </c>
      <c r="B469" s="43" t="s">
        <v>138</v>
      </c>
      <c r="C469" s="44"/>
      <c r="D469" s="43" t="s">
        <v>52</v>
      </c>
      <c r="E469" s="43" t="s">
        <v>139</v>
      </c>
      <c r="F469" s="43" t="s">
        <v>52</v>
      </c>
      <c r="G469" s="43" t="s">
        <v>100</v>
      </c>
      <c r="H469" s="43" t="s">
        <v>101</v>
      </c>
      <c r="I469" s="43" t="s">
        <v>52</v>
      </c>
      <c r="J469" s="44"/>
      <c r="K469" s="54">
        <v>10</v>
      </c>
      <c r="L469" s="54">
        <v>10</v>
      </c>
      <c r="M469" s="54">
        <v>0</v>
      </c>
      <c r="N469" s="54">
        <v>0</v>
      </c>
      <c r="O469" s="54">
        <v>10</v>
      </c>
      <c r="P469" s="55">
        <v>0.11</v>
      </c>
      <c r="Q469" s="61">
        <v>1.13</v>
      </c>
      <c r="R469" s="60"/>
      <c r="S469" s="61">
        <v>1.13</v>
      </c>
    </row>
    <row r="470" ht="20" customHeight="1" spans="1:19">
      <c r="A470" s="43" t="s">
        <v>140</v>
      </c>
      <c r="B470" s="43" t="s">
        <v>141</v>
      </c>
      <c r="C470" s="44"/>
      <c r="D470" s="43" t="s">
        <v>52</v>
      </c>
      <c r="E470" s="43" t="s">
        <v>142</v>
      </c>
      <c r="F470" s="43" t="s">
        <v>52</v>
      </c>
      <c r="G470" s="43" t="s">
        <v>108</v>
      </c>
      <c r="H470" s="43" t="s">
        <v>109</v>
      </c>
      <c r="I470" s="43" t="s">
        <v>52</v>
      </c>
      <c r="J470" s="44"/>
      <c r="K470" s="54">
        <v>180</v>
      </c>
      <c r="L470" s="54">
        <v>180</v>
      </c>
      <c r="M470" s="54">
        <v>0</v>
      </c>
      <c r="N470" s="54">
        <v>0</v>
      </c>
      <c r="O470" s="54">
        <v>180</v>
      </c>
      <c r="P470" s="55">
        <v>0.01</v>
      </c>
      <c r="Q470" s="61">
        <v>1.31</v>
      </c>
      <c r="R470" s="60"/>
      <c r="S470" s="61">
        <v>1.31</v>
      </c>
    </row>
    <row r="471" ht="20" customHeight="1" spans="1:19">
      <c r="A471" s="43" t="s">
        <v>140</v>
      </c>
      <c r="B471" s="43" t="s">
        <v>141</v>
      </c>
      <c r="C471" s="44"/>
      <c r="D471" s="43" t="s">
        <v>52</v>
      </c>
      <c r="E471" s="43" t="s">
        <v>142</v>
      </c>
      <c r="F471" s="43" t="s">
        <v>52</v>
      </c>
      <c r="G471" s="43" t="s">
        <v>108</v>
      </c>
      <c r="H471" s="43" t="s">
        <v>109</v>
      </c>
      <c r="I471" s="43" t="s">
        <v>52</v>
      </c>
      <c r="J471" s="44"/>
      <c r="K471" s="54">
        <v>24</v>
      </c>
      <c r="L471" s="54">
        <v>24</v>
      </c>
      <c r="M471" s="54">
        <v>0</v>
      </c>
      <c r="N471" s="54">
        <v>0</v>
      </c>
      <c r="O471" s="54">
        <v>24</v>
      </c>
      <c r="P471" s="55">
        <v>0.01</v>
      </c>
      <c r="Q471" s="61">
        <v>0.17</v>
      </c>
      <c r="R471" s="60"/>
      <c r="S471" s="61">
        <v>0.17</v>
      </c>
    </row>
    <row r="472" ht="20" customHeight="1" spans="1:19">
      <c r="A472" s="43" t="s">
        <v>140</v>
      </c>
      <c r="B472" s="43" t="s">
        <v>141</v>
      </c>
      <c r="C472" s="44"/>
      <c r="D472" s="43" t="s">
        <v>52</v>
      </c>
      <c r="E472" s="43" t="s">
        <v>142</v>
      </c>
      <c r="F472" s="43" t="s">
        <v>52</v>
      </c>
      <c r="G472" s="43" t="s">
        <v>108</v>
      </c>
      <c r="H472" s="43" t="s">
        <v>109</v>
      </c>
      <c r="I472" s="43" t="s">
        <v>52</v>
      </c>
      <c r="J472" s="44"/>
      <c r="K472" s="54">
        <v>19224</v>
      </c>
      <c r="L472" s="54">
        <v>19224</v>
      </c>
      <c r="M472" s="54">
        <v>0</v>
      </c>
      <c r="N472" s="54">
        <v>0</v>
      </c>
      <c r="O472" s="54">
        <v>19224</v>
      </c>
      <c r="P472" s="55">
        <v>0.01</v>
      </c>
      <c r="Q472" s="61">
        <v>139.95</v>
      </c>
      <c r="R472" s="60"/>
      <c r="S472" s="61">
        <v>139.95</v>
      </c>
    </row>
    <row r="473" ht="20" customHeight="1" spans="1:19">
      <c r="A473" s="43" t="s">
        <v>140</v>
      </c>
      <c r="B473" s="43" t="s">
        <v>141</v>
      </c>
      <c r="C473" s="44"/>
      <c r="D473" s="43" t="s">
        <v>52</v>
      </c>
      <c r="E473" s="43" t="s">
        <v>142</v>
      </c>
      <c r="F473" s="43" t="s">
        <v>52</v>
      </c>
      <c r="G473" s="43" t="s">
        <v>108</v>
      </c>
      <c r="H473" s="43" t="s">
        <v>109</v>
      </c>
      <c r="I473" s="43" t="s">
        <v>52</v>
      </c>
      <c r="J473" s="44"/>
      <c r="K473" s="54">
        <v>156</v>
      </c>
      <c r="L473" s="54">
        <v>156</v>
      </c>
      <c r="M473" s="54">
        <v>0</v>
      </c>
      <c r="N473" s="54">
        <v>0</v>
      </c>
      <c r="O473" s="54">
        <v>156</v>
      </c>
      <c r="P473" s="55">
        <v>0.01</v>
      </c>
      <c r="Q473" s="61">
        <v>1.14</v>
      </c>
      <c r="R473" s="60"/>
      <c r="S473" s="61">
        <v>1.14</v>
      </c>
    </row>
    <row r="474" ht="20" customHeight="1" spans="1:19">
      <c r="A474" s="43" t="s">
        <v>97</v>
      </c>
      <c r="B474" s="43" t="s">
        <v>102</v>
      </c>
      <c r="C474" s="44"/>
      <c r="D474" s="43" t="s">
        <v>52</v>
      </c>
      <c r="E474" s="43" t="s">
        <v>99</v>
      </c>
      <c r="F474" s="43" t="s">
        <v>52</v>
      </c>
      <c r="G474" s="43" t="s">
        <v>100</v>
      </c>
      <c r="H474" s="43" t="s">
        <v>101</v>
      </c>
      <c r="I474" s="43" t="s">
        <v>52</v>
      </c>
      <c r="J474" s="44"/>
      <c r="K474" s="54">
        <v>3</v>
      </c>
      <c r="L474" s="54">
        <v>3</v>
      </c>
      <c r="M474" s="54">
        <v>0</v>
      </c>
      <c r="N474" s="54">
        <v>0</v>
      </c>
      <c r="O474" s="54">
        <v>3</v>
      </c>
      <c r="P474" s="55">
        <v>0.11</v>
      </c>
      <c r="Q474" s="61">
        <v>0.34</v>
      </c>
      <c r="R474" s="60"/>
      <c r="S474" s="61">
        <v>0.34</v>
      </c>
    </row>
    <row r="475" ht="20" customHeight="1" spans="1:19">
      <c r="A475" s="43" t="s">
        <v>97</v>
      </c>
      <c r="B475" s="43" t="s">
        <v>102</v>
      </c>
      <c r="C475" s="44"/>
      <c r="D475" s="43" t="s">
        <v>52</v>
      </c>
      <c r="E475" s="43" t="s">
        <v>99</v>
      </c>
      <c r="F475" s="43" t="s">
        <v>52</v>
      </c>
      <c r="G475" s="43" t="s">
        <v>100</v>
      </c>
      <c r="H475" s="43" t="s">
        <v>101</v>
      </c>
      <c r="I475" s="43" t="s">
        <v>52</v>
      </c>
      <c r="J475" s="44"/>
      <c r="K475" s="54">
        <v>4</v>
      </c>
      <c r="L475" s="54">
        <v>4</v>
      </c>
      <c r="M475" s="54">
        <v>0</v>
      </c>
      <c r="N475" s="54">
        <v>0</v>
      </c>
      <c r="O475" s="54">
        <v>4</v>
      </c>
      <c r="P475" s="55">
        <v>0.11</v>
      </c>
      <c r="Q475" s="61">
        <v>0.45</v>
      </c>
      <c r="R475" s="60"/>
      <c r="S475" s="61">
        <v>0.45</v>
      </c>
    </row>
    <row r="476" ht="20" customHeight="1" spans="1:19">
      <c r="A476" s="43" t="s">
        <v>97</v>
      </c>
      <c r="B476" s="43" t="s">
        <v>102</v>
      </c>
      <c r="C476" s="44"/>
      <c r="D476" s="43" t="s">
        <v>52</v>
      </c>
      <c r="E476" s="43" t="s">
        <v>99</v>
      </c>
      <c r="F476" s="43" t="s">
        <v>52</v>
      </c>
      <c r="G476" s="43" t="s">
        <v>100</v>
      </c>
      <c r="H476" s="43" t="s">
        <v>101</v>
      </c>
      <c r="I476" s="43" t="s">
        <v>52</v>
      </c>
      <c r="J476" s="44"/>
      <c r="K476" s="54">
        <v>1092</v>
      </c>
      <c r="L476" s="54">
        <v>1092</v>
      </c>
      <c r="M476" s="54">
        <v>0</v>
      </c>
      <c r="N476" s="54">
        <v>0</v>
      </c>
      <c r="O476" s="54">
        <v>1092</v>
      </c>
      <c r="P476" s="55">
        <v>0.11</v>
      </c>
      <c r="Q476" s="61">
        <v>123.57</v>
      </c>
      <c r="R476" s="60"/>
      <c r="S476" s="61">
        <v>123.57</v>
      </c>
    </row>
    <row r="477" ht="20" customHeight="1" spans="1:19">
      <c r="A477" s="43" t="s">
        <v>97</v>
      </c>
      <c r="B477" s="43" t="s">
        <v>102</v>
      </c>
      <c r="C477" s="44"/>
      <c r="D477" s="43" t="s">
        <v>52</v>
      </c>
      <c r="E477" s="43" t="s">
        <v>99</v>
      </c>
      <c r="F477" s="43" t="s">
        <v>52</v>
      </c>
      <c r="G477" s="43" t="s">
        <v>100</v>
      </c>
      <c r="H477" s="43" t="s">
        <v>101</v>
      </c>
      <c r="I477" s="43" t="s">
        <v>52</v>
      </c>
      <c r="J477" s="44"/>
      <c r="K477" s="54">
        <v>1</v>
      </c>
      <c r="L477" s="54">
        <v>1</v>
      </c>
      <c r="M477" s="54">
        <v>0</v>
      </c>
      <c r="N477" s="54">
        <v>0</v>
      </c>
      <c r="O477" s="54">
        <v>1</v>
      </c>
      <c r="P477" s="55">
        <v>0.11</v>
      </c>
      <c r="Q477" s="61">
        <v>0.11</v>
      </c>
      <c r="R477" s="60"/>
      <c r="S477" s="61">
        <v>0.11</v>
      </c>
    </row>
    <row r="478" ht="20" customHeight="1" spans="1:19">
      <c r="A478" s="43" t="s">
        <v>97</v>
      </c>
      <c r="B478" s="43" t="s">
        <v>102</v>
      </c>
      <c r="C478" s="44"/>
      <c r="D478" s="43" t="s">
        <v>52</v>
      </c>
      <c r="E478" s="43" t="s">
        <v>99</v>
      </c>
      <c r="F478" s="43" t="s">
        <v>52</v>
      </c>
      <c r="G478" s="43" t="s">
        <v>103</v>
      </c>
      <c r="H478" s="43" t="s">
        <v>104</v>
      </c>
      <c r="I478" s="43" t="s">
        <v>52</v>
      </c>
      <c r="J478" s="44"/>
      <c r="K478" s="54">
        <v>56</v>
      </c>
      <c r="L478" s="54">
        <v>56</v>
      </c>
      <c r="M478" s="54">
        <v>0</v>
      </c>
      <c r="N478" s="54">
        <v>0</v>
      </c>
      <c r="O478" s="54">
        <v>56</v>
      </c>
      <c r="P478" s="55">
        <v>0.02</v>
      </c>
      <c r="Q478" s="61">
        <v>1.08</v>
      </c>
      <c r="R478" s="60"/>
      <c r="S478" s="61">
        <v>1.08</v>
      </c>
    </row>
    <row r="479" ht="20" customHeight="1" spans="1:19">
      <c r="A479" s="43" t="s">
        <v>97</v>
      </c>
      <c r="B479" s="43" t="s">
        <v>102</v>
      </c>
      <c r="C479" s="44"/>
      <c r="D479" s="43" t="s">
        <v>52</v>
      </c>
      <c r="E479" s="43" t="s">
        <v>99</v>
      </c>
      <c r="F479" s="43" t="s">
        <v>52</v>
      </c>
      <c r="G479" s="43" t="s">
        <v>103</v>
      </c>
      <c r="H479" s="43" t="s">
        <v>104</v>
      </c>
      <c r="I479" s="43" t="s">
        <v>52</v>
      </c>
      <c r="J479" s="44"/>
      <c r="K479" s="54">
        <v>14148</v>
      </c>
      <c r="L479" s="54">
        <v>14148</v>
      </c>
      <c r="M479" s="54">
        <v>0</v>
      </c>
      <c r="N479" s="54">
        <v>0</v>
      </c>
      <c r="O479" s="54">
        <v>14148</v>
      </c>
      <c r="P479" s="55">
        <v>0.02</v>
      </c>
      <c r="Q479" s="61">
        <v>272.75</v>
      </c>
      <c r="R479" s="60"/>
      <c r="S479" s="61">
        <v>272.75</v>
      </c>
    </row>
    <row r="480" ht="20" customHeight="1" spans="1:19">
      <c r="A480" s="43" t="s">
        <v>97</v>
      </c>
      <c r="B480" s="43" t="s">
        <v>102</v>
      </c>
      <c r="C480" s="44"/>
      <c r="D480" s="43" t="s">
        <v>52</v>
      </c>
      <c r="E480" s="43" t="s">
        <v>99</v>
      </c>
      <c r="F480" s="43" t="s">
        <v>52</v>
      </c>
      <c r="G480" s="43" t="s">
        <v>103</v>
      </c>
      <c r="H480" s="43" t="s">
        <v>104</v>
      </c>
      <c r="I480" s="43" t="s">
        <v>52</v>
      </c>
      <c r="J480" s="44"/>
      <c r="K480" s="54">
        <v>4</v>
      </c>
      <c r="L480" s="54">
        <v>4</v>
      </c>
      <c r="M480" s="54">
        <v>0</v>
      </c>
      <c r="N480" s="54">
        <v>0</v>
      </c>
      <c r="O480" s="54">
        <v>4</v>
      </c>
      <c r="P480" s="55">
        <v>0.02</v>
      </c>
      <c r="Q480" s="61">
        <v>0.08</v>
      </c>
      <c r="R480" s="60"/>
      <c r="S480" s="61">
        <v>0.08</v>
      </c>
    </row>
    <row r="481" ht="20" customHeight="1" spans="1:19">
      <c r="A481" s="43" t="s">
        <v>105</v>
      </c>
      <c r="B481" s="43" t="s">
        <v>106</v>
      </c>
      <c r="C481" s="44"/>
      <c r="D481" s="43" t="s">
        <v>52</v>
      </c>
      <c r="E481" s="43" t="s">
        <v>107</v>
      </c>
      <c r="F481" s="43" t="s">
        <v>52</v>
      </c>
      <c r="G481" s="43" t="s">
        <v>108</v>
      </c>
      <c r="H481" s="43" t="s">
        <v>109</v>
      </c>
      <c r="I481" s="43" t="s">
        <v>52</v>
      </c>
      <c r="J481" s="44"/>
      <c r="K481" s="54">
        <v>20736</v>
      </c>
      <c r="L481" s="54">
        <v>20736</v>
      </c>
      <c r="M481" s="54">
        <v>0</v>
      </c>
      <c r="N481" s="54">
        <v>0</v>
      </c>
      <c r="O481" s="54">
        <v>20736</v>
      </c>
      <c r="P481" s="55">
        <v>0.01</v>
      </c>
      <c r="Q481" s="61">
        <v>150.96</v>
      </c>
      <c r="R481" s="60"/>
      <c r="S481" s="61">
        <v>150.96</v>
      </c>
    </row>
    <row r="482" ht="20" customHeight="1" spans="1:19">
      <c r="A482" s="43" t="s">
        <v>105</v>
      </c>
      <c r="B482" s="43" t="s">
        <v>106</v>
      </c>
      <c r="C482" s="44"/>
      <c r="D482" s="43" t="s">
        <v>52</v>
      </c>
      <c r="E482" s="43" t="s">
        <v>107</v>
      </c>
      <c r="F482" s="43" t="s">
        <v>52</v>
      </c>
      <c r="G482" s="43" t="s">
        <v>108</v>
      </c>
      <c r="H482" s="43" t="s">
        <v>109</v>
      </c>
      <c r="I482" s="43" t="s">
        <v>52</v>
      </c>
      <c r="J482" s="44"/>
      <c r="K482" s="54">
        <v>180</v>
      </c>
      <c r="L482" s="54">
        <v>180</v>
      </c>
      <c r="M482" s="54">
        <v>0</v>
      </c>
      <c r="N482" s="54">
        <v>0</v>
      </c>
      <c r="O482" s="54">
        <v>180</v>
      </c>
      <c r="P482" s="55">
        <v>0.01</v>
      </c>
      <c r="Q482" s="61">
        <v>1.31</v>
      </c>
      <c r="R482" s="60"/>
      <c r="S482" s="61">
        <v>1.31</v>
      </c>
    </row>
    <row r="483" ht="20" customHeight="1" spans="1:19">
      <c r="A483" s="43" t="s">
        <v>105</v>
      </c>
      <c r="B483" s="43" t="s">
        <v>106</v>
      </c>
      <c r="C483" s="44"/>
      <c r="D483" s="43" t="s">
        <v>52</v>
      </c>
      <c r="E483" s="43" t="s">
        <v>107</v>
      </c>
      <c r="F483" s="43" t="s">
        <v>52</v>
      </c>
      <c r="G483" s="43" t="s">
        <v>108</v>
      </c>
      <c r="H483" s="43" t="s">
        <v>109</v>
      </c>
      <c r="I483" s="43" t="s">
        <v>52</v>
      </c>
      <c r="J483" s="44"/>
      <c r="K483" s="54">
        <v>8640</v>
      </c>
      <c r="L483" s="54">
        <v>8640</v>
      </c>
      <c r="M483" s="54">
        <v>0</v>
      </c>
      <c r="N483" s="54">
        <v>0</v>
      </c>
      <c r="O483" s="54">
        <v>8640</v>
      </c>
      <c r="P483" s="55">
        <v>0.01</v>
      </c>
      <c r="Q483" s="61">
        <v>62.9</v>
      </c>
      <c r="R483" s="60"/>
      <c r="S483" s="61">
        <v>62.9</v>
      </c>
    </row>
    <row r="484" ht="20" customHeight="1" spans="1:19">
      <c r="A484" s="43" t="s">
        <v>105</v>
      </c>
      <c r="B484" s="43" t="s">
        <v>106</v>
      </c>
      <c r="C484" s="44"/>
      <c r="D484" s="43" t="s">
        <v>52</v>
      </c>
      <c r="E484" s="43" t="s">
        <v>107</v>
      </c>
      <c r="F484" s="43" t="s">
        <v>52</v>
      </c>
      <c r="G484" s="43" t="s">
        <v>108</v>
      </c>
      <c r="H484" s="43" t="s">
        <v>109</v>
      </c>
      <c r="I484" s="43" t="s">
        <v>52</v>
      </c>
      <c r="J484" s="44"/>
      <c r="K484" s="54">
        <v>252</v>
      </c>
      <c r="L484" s="54">
        <v>252</v>
      </c>
      <c r="M484" s="54">
        <v>0</v>
      </c>
      <c r="N484" s="54">
        <v>0</v>
      </c>
      <c r="O484" s="54">
        <v>252</v>
      </c>
      <c r="P484" s="55">
        <v>0.01</v>
      </c>
      <c r="Q484" s="61">
        <v>1.83</v>
      </c>
      <c r="R484" s="60"/>
      <c r="S484" s="61">
        <v>1.83</v>
      </c>
    </row>
    <row r="485" ht="20" customHeight="1" spans="1:19">
      <c r="A485" s="43" t="s">
        <v>105</v>
      </c>
      <c r="B485" s="43" t="s">
        <v>106</v>
      </c>
      <c r="C485" s="44"/>
      <c r="D485" s="43" t="s">
        <v>52</v>
      </c>
      <c r="E485" s="43" t="s">
        <v>107</v>
      </c>
      <c r="F485" s="43" t="s">
        <v>52</v>
      </c>
      <c r="G485" s="43" t="s">
        <v>108</v>
      </c>
      <c r="H485" s="43" t="s">
        <v>109</v>
      </c>
      <c r="I485" s="43" t="s">
        <v>52</v>
      </c>
      <c r="J485" s="44"/>
      <c r="K485" s="54">
        <v>9360</v>
      </c>
      <c r="L485" s="54">
        <v>9360</v>
      </c>
      <c r="M485" s="54">
        <v>0</v>
      </c>
      <c r="N485" s="54">
        <v>0</v>
      </c>
      <c r="O485" s="54">
        <v>9360</v>
      </c>
      <c r="P485" s="55">
        <v>0.01</v>
      </c>
      <c r="Q485" s="61">
        <v>68.14</v>
      </c>
      <c r="R485" s="60"/>
      <c r="S485" s="61">
        <v>68.14</v>
      </c>
    </row>
    <row r="486" ht="13" customHeight="1" spans="1:19">
      <c r="A486" s="47" t="s">
        <v>143</v>
      </c>
      <c r="B486" s="48"/>
      <c r="C486" s="48"/>
      <c r="D486" s="48"/>
      <c r="E486" s="48"/>
      <c r="F486" s="48"/>
      <c r="G486" s="48"/>
      <c r="H486" s="48"/>
      <c r="I486" s="48"/>
      <c r="J486" s="56"/>
      <c r="K486" s="47" t="s">
        <v>144</v>
      </c>
      <c r="L486" s="57">
        <v>114938</v>
      </c>
      <c r="M486" s="58">
        <v>0</v>
      </c>
      <c r="N486" s="58">
        <v>0</v>
      </c>
      <c r="O486" s="58">
        <v>114938</v>
      </c>
      <c r="P486" s="59" t="s">
        <v>52</v>
      </c>
      <c r="Q486" s="62"/>
      <c r="R486" s="62"/>
      <c r="S486" s="63">
        <v>1304.74</v>
      </c>
    </row>
    <row r="487" ht="19" customHeight="1" spans="1:19">
      <c r="A487" s="43" t="s">
        <v>145</v>
      </c>
      <c r="B487" s="44"/>
      <c r="C487" s="44"/>
      <c r="D487" s="49" t="s">
        <v>146</v>
      </c>
      <c r="E487" s="50" t="s">
        <v>147</v>
      </c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56"/>
      <c r="S487" s="56"/>
    </row>
    <row r="488" ht="19" customHeight="1" spans="1:19">
      <c r="A488" s="49" t="s">
        <v>146</v>
      </c>
      <c r="B488" s="51"/>
      <c r="C488" s="51"/>
      <c r="D488" s="49" t="s">
        <v>146</v>
      </c>
      <c r="E488" s="49" t="s">
        <v>119</v>
      </c>
      <c r="F488" s="52">
        <v>700</v>
      </c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56"/>
      <c r="S488" s="56"/>
    </row>
    <row r="489" ht="12" customHeight="1" spans="1:19">
      <c r="A489" s="46" t="s">
        <v>52</v>
      </c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56"/>
      <c r="S489" s="56"/>
    </row>
    <row r="490" ht="14" customHeight="1" spans="1:19">
      <c r="A490" s="43" t="s">
        <v>67</v>
      </c>
      <c r="B490" s="44"/>
      <c r="C490" s="44"/>
      <c r="D490" s="45" t="s">
        <v>124</v>
      </c>
      <c r="E490" s="43" t="s">
        <v>69</v>
      </c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</row>
    <row r="491" ht="14" customHeight="1" spans="1:19">
      <c r="A491" s="43" t="s">
        <v>70</v>
      </c>
      <c r="B491" s="44"/>
      <c r="C491" s="44"/>
      <c r="D491" s="45" t="s">
        <v>124</v>
      </c>
      <c r="E491" s="43" t="s">
        <v>71</v>
      </c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</row>
    <row r="492" ht="14" customHeight="1" spans="1:19">
      <c r="A492" s="43" t="s">
        <v>82</v>
      </c>
      <c r="B492" s="44"/>
      <c r="C492" s="44"/>
      <c r="D492" s="45" t="s">
        <v>124</v>
      </c>
      <c r="E492" s="43" t="s">
        <v>83</v>
      </c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</row>
    <row r="493" ht="14" customHeight="1" spans="1:19">
      <c r="A493" s="43" t="s">
        <v>72</v>
      </c>
      <c r="B493" s="44"/>
      <c r="C493" s="44"/>
      <c r="D493" s="45" t="s">
        <v>124</v>
      </c>
      <c r="E493" s="43" t="s">
        <v>125</v>
      </c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</row>
    <row r="494" ht="14" customHeight="1" spans="1:19">
      <c r="A494" s="43" t="s">
        <v>126</v>
      </c>
      <c r="B494" s="44"/>
      <c r="C494" s="44"/>
      <c r="D494" s="45" t="s">
        <v>124</v>
      </c>
      <c r="E494" s="43" t="s">
        <v>161</v>
      </c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</row>
    <row r="495" ht="14" customHeight="1" spans="1:19">
      <c r="A495" s="43" t="s">
        <v>76</v>
      </c>
      <c r="B495" s="44"/>
      <c r="C495" s="44"/>
      <c r="D495" s="45" t="s">
        <v>124</v>
      </c>
      <c r="E495" s="43" t="s">
        <v>77</v>
      </c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</row>
    <row r="496" ht="14" customHeight="1" spans="1:19">
      <c r="A496" s="43" t="s">
        <v>78</v>
      </c>
      <c r="B496" s="44"/>
      <c r="C496" s="44"/>
      <c r="D496" s="45" t="s">
        <v>124</v>
      </c>
      <c r="E496" s="43" t="s">
        <v>79</v>
      </c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</row>
    <row r="497" ht="14" customHeight="1" spans="1:19">
      <c r="A497" s="43" t="s">
        <v>80</v>
      </c>
      <c r="B497" s="44"/>
      <c r="C497" s="44"/>
      <c r="D497" s="45" t="s">
        <v>124</v>
      </c>
      <c r="E497" s="43" t="s">
        <v>81</v>
      </c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</row>
    <row r="498" ht="17" customHeight="1" spans="1:19">
      <c r="A498" s="46" t="s">
        <v>52</v>
      </c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</row>
    <row r="499" ht="14" customHeight="1" spans="1:19">
      <c r="A499" s="43" t="s">
        <v>84</v>
      </c>
      <c r="B499" s="43" t="s">
        <v>85</v>
      </c>
      <c r="C499" s="44"/>
      <c r="D499" s="43" t="s">
        <v>52</v>
      </c>
      <c r="E499" s="43" t="s">
        <v>87</v>
      </c>
      <c r="F499" s="43" t="s">
        <v>88</v>
      </c>
      <c r="G499" s="43" t="s">
        <v>89</v>
      </c>
      <c r="H499" s="43" t="s">
        <v>90</v>
      </c>
      <c r="I499" s="43" t="s">
        <v>91</v>
      </c>
      <c r="J499" s="44"/>
      <c r="K499" s="53" t="s">
        <v>128</v>
      </c>
      <c r="L499" s="53" t="s">
        <v>129</v>
      </c>
      <c r="M499" s="53" t="s">
        <v>130</v>
      </c>
      <c r="N499" s="53" t="s">
        <v>131</v>
      </c>
      <c r="O499" s="53" t="s">
        <v>132</v>
      </c>
      <c r="P499" s="53" t="s">
        <v>93</v>
      </c>
      <c r="Q499" s="53" t="s">
        <v>94</v>
      </c>
      <c r="R499" s="60"/>
      <c r="S499" s="53" t="s">
        <v>133</v>
      </c>
    </row>
    <row r="500" ht="20" customHeight="1" spans="1:19">
      <c r="A500" s="43" t="s">
        <v>134</v>
      </c>
      <c r="B500" s="43" t="s">
        <v>135</v>
      </c>
      <c r="C500" s="44"/>
      <c r="D500" s="43" t="s">
        <v>52</v>
      </c>
      <c r="E500" s="43" t="s">
        <v>136</v>
      </c>
      <c r="F500" s="43" t="s">
        <v>52</v>
      </c>
      <c r="G500" s="43" t="s">
        <v>108</v>
      </c>
      <c r="H500" s="43" t="s">
        <v>109</v>
      </c>
      <c r="I500" s="43" t="s">
        <v>52</v>
      </c>
      <c r="J500" s="44"/>
      <c r="K500" s="54">
        <v>34272</v>
      </c>
      <c r="L500" s="54">
        <v>34272</v>
      </c>
      <c r="M500" s="54">
        <v>0</v>
      </c>
      <c r="N500" s="54">
        <v>0</v>
      </c>
      <c r="O500" s="54">
        <v>34272</v>
      </c>
      <c r="P500" s="55">
        <v>0.01</v>
      </c>
      <c r="Q500" s="61">
        <v>249.5</v>
      </c>
      <c r="R500" s="60"/>
      <c r="S500" s="61">
        <v>249.5</v>
      </c>
    </row>
    <row r="501" ht="20" customHeight="1" spans="1:19">
      <c r="A501" s="43" t="s">
        <v>134</v>
      </c>
      <c r="B501" s="43" t="s">
        <v>135</v>
      </c>
      <c r="C501" s="44"/>
      <c r="D501" s="43" t="s">
        <v>52</v>
      </c>
      <c r="E501" s="43" t="s">
        <v>136</v>
      </c>
      <c r="F501" s="43" t="s">
        <v>52</v>
      </c>
      <c r="G501" s="43" t="s">
        <v>108</v>
      </c>
      <c r="H501" s="43" t="s">
        <v>109</v>
      </c>
      <c r="I501" s="43" t="s">
        <v>52</v>
      </c>
      <c r="J501" s="44"/>
      <c r="K501" s="54">
        <v>4752</v>
      </c>
      <c r="L501" s="54">
        <v>4752</v>
      </c>
      <c r="M501" s="54">
        <v>0</v>
      </c>
      <c r="N501" s="54">
        <v>0</v>
      </c>
      <c r="O501" s="54">
        <v>4752</v>
      </c>
      <c r="P501" s="55">
        <v>0.01</v>
      </c>
      <c r="Q501" s="61">
        <v>34.59</v>
      </c>
      <c r="R501" s="60"/>
      <c r="S501" s="61">
        <v>34.59</v>
      </c>
    </row>
    <row r="502" ht="20" customHeight="1" spans="1:19">
      <c r="A502" s="43" t="s">
        <v>134</v>
      </c>
      <c r="B502" s="43" t="s">
        <v>135</v>
      </c>
      <c r="C502" s="44"/>
      <c r="D502" s="43" t="s">
        <v>52</v>
      </c>
      <c r="E502" s="43" t="s">
        <v>136</v>
      </c>
      <c r="F502" s="43" t="s">
        <v>52</v>
      </c>
      <c r="G502" s="43" t="s">
        <v>108</v>
      </c>
      <c r="H502" s="43" t="s">
        <v>109</v>
      </c>
      <c r="I502" s="43" t="s">
        <v>52</v>
      </c>
      <c r="J502" s="44"/>
      <c r="K502" s="54">
        <v>144</v>
      </c>
      <c r="L502" s="54">
        <v>144</v>
      </c>
      <c r="M502" s="54">
        <v>0</v>
      </c>
      <c r="N502" s="54">
        <v>0</v>
      </c>
      <c r="O502" s="54">
        <v>144</v>
      </c>
      <c r="P502" s="55">
        <v>0.01</v>
      </c>
      <c r="Q502" s="61">
        <v>1.05</v>
      </c>
      <c r="R502" s="60"/>
      <c r="S502" s="61">
        <v>1.05</v>
      </c>
    </row>
    <row r="503" ht="20" customHeight="1" spans="1:19">
      <c r="A503" s="43" t="s">
        <v>137</v>
      </c>
      <c r="B503" s="43" t="s">
        <v>138</v>
      </c>
      <c r="C503" s="44"/>
      <c r="D503" s="43" t="s">
        <v>52</v>
      </c>
      <c r="E503" s="43" t="s">
        <v>139</v>
      </c>
      <c r="F503" s="43" t="s">
        <v>52</v>
      </c>
      <c r="G503" s="43" t="s">
        <v>100</v>
      </c>
      <c r="H503" s="43" t="s">
        <v>101</v>
      </c>
      <c r="I503" s="43" t="s">
        <v>52</v>
      </c>
      <c r="J503" s="44"/>
      <c r="K503" s="54">
        <v>1692</v>
      </c>
      <c r="L503" s="54">
        <v>1692</v>
      </c>
      <c r="M503" s="54">
        <v>0</v>
      </c>
      <c r="N503" s="54">
        <v>0</v>
      </c>
      <c r="O503" s="54">
        <v>1692</v>
      </c>
      <c r="P503" s="55">
        <v>0.11</v>
      </c>
      <c r="Q503" s="61">
        <v>191.47</v>
      </c>
      <c r="R503" s="60"/>
      <c r="S503" s="61">
        <v>191.47</v>
      </c>
    </row>
    <row r="504" ht="20" customHeight="1" spans="1:19">
      <c r="A504" s="43" t="s">
        <v>137</v>
      </c>
      <c r="B504" s="43" t="s">
        <v>138</v>
      </c>
      <c r="C504" s="44"/>
      <c r="D504" s="43" t="s">
        <v>52</v>
      </c>
      <c r="E504" s="43" t="s">
        <v>139</v>
      </c>
      <c r="F504" s="43" t="s">
        <v>52</v>
      </c>
      <c r="G504" s="43" t="s">
        <v>100</v>
      </c>
      <c r="H504" s="43" t="s">
        <v>101</v>
      </c>
      <c r="I504" s="43" t="s">
        <v>52</v>
      </c>
      <c r="J504" s="44"/>
      <c r="K504" s="54">
        <v>8</v>
      </c>
      <c r="L504" s="54">
        <v>8</v>
      </c>
      <c r="M504" s="54">
        <v>0</v>
      </c>
      <c r="N504" s="54">
        <v>0</v>
      </c>
      <c r="O504" s="54">
        <v>8</v>
      </c>
      <c r="P504" s="55">
        <v>0.11</v>
      </c>
      <c r="Q504" s="61">
        <v>0.91</v>
      </c>
      <c r="R504" s="60"/>
      <c r="S504" s="61">
        <v>0.91</v>
      </c>
    </row>
    <row r="505" ht="20" customHeight="1" spans="1:19">
      <c r="A505" s="43" t="s">
        <v>137</v>
      </c>
      <c r="B505" s="43" t="s">
        <v>138</v>
      </c>
      <c r="C505" s="44"/>
      <c r="D505" s="43" t="s">
        <v>52</v>
      </c>
      <c r="E505" s="43" t="s">
        <v>139</v>
      </c>
      <c r="F505" s="43" t="s">
        <v>52</v>
      </c>
      <c r="G505" s="43" t="s">
        <v>100</v>
      </c>
      <c r="H505" s="43" t="s">
        <v>101</v>
      </c>
      <c r="I505" s="43" t="s">
        <v>52</v>
      </c>
      <c r="J505" s="44"/>
      <c r="K505" s="54">
        <v>10</v>
      </c>
      <c r="L505" s="54">
        <v>10</v>
      </c>
      <c r="M505" s="54">
        <v>0</v>
      </c>
      <c r="N505" s="54">
        <v>0</v>
      </c>
      <c r="O505" s="54">
        <v>10</v>
      </c>
      <c r="P505" s="55">
        <v>0.11</v>
      </c>
      <c r="Q505" s="61">
        <v>1.13</v>
      </c>
      <c r="R505" s="60"/>
      <c r="S505" s="61">
        <v>1.13</v>
      </c>
    </row>
    <row r="506" ht="20" customHeight="1" spans="1:19">
      <c r="A506" s="43" t="s">
        <v>140</v>
      </c>
      <c r="B506" s="43" t="s">
        <v>141</v>
      </c>
      <c r="C506" s="44"/>
      <c r="D506" s="43" t="s">
        <v>52</v>
      </c>
      <c r="E506" s="43" t="s">
        <v>142</v>
      </c>
      <c r="F506" s="43" t="s">
        <v>52</v>
      </c>
      <c r="G506" s="43" t="s">
        <v>108</v>
      </c>
      <c r="H506" s="43" t="s">
        <v>109</v>
      </c>
      <c r="I506" s="43" t="s">
        <v>52</v>
      </c>
      <c r="J506" s="44"/>
      <c r="K506" s="54">
        <v>180</v>
      </c>
      <c r="L506" s="54">
        <v>180</v>
      </c>
      <c r="M506" s="54">
        <v>0</v>
      </c>
      <c r="N506" s="54">
        <v>0</v>
      </c>
      <c r="O506" s="54">
        <v>180</v>
      </c>
      <c r="P506" s="55">
        <v>0.01</v>
      </c>
      <c r="Q506" s="61">
        <v>1.31</v>
      </c>
      <c r="R506" s="60"/>
      <c r="S506" s="61">
        <v>1.31</v>
      </c>
    </row>
    <row r="507" ht="20" customHeight="1" spans="1:19">
      <c r="A507" s="43" t="s">
        <v>140</v>
      </c>
      <c r="B507" s="43" t="s">
        <v>141</v>
      </c>
      <c r="C507" s="44"/>
      <c r="D507" s="43" t="s">
        <v>52</v>
      </c>
      <c r="E507" s="43" t="s">
        <v>142</v>
      </c>
      <c r="F507" s="43" t="s">
        <v>52</v>
      </c>
      <c r="G507" s="43" t="s">
        <v>108</v>
      </c>
      <c r="H507" s="43" t="s">
        <v>109</v>
      </c>
      <c r="I507" s="43" t="s">
        <v>52</v>
      </c>
      <c r="J507" s="44"/>
      <c r="K507" s="54">
        <v>24</v>
      </c>
      <c r="L507" s="54">
        <v>24</v>
      </c>
      <c r="M507" s="54">
        <v>0</v>
      </c>
      <c r="N507" s="54">
        <v>0</v>
      </c>
      <c r="O507" s="54">
        <v>24</v>
      </c>
      <c r="P507" s="55">
        <v>0.01</v>
      </c>
      <c r="Q507" s="61">
        <v>0.17</v>
      </c>
      <c r="R507" s="60"/>
      <c r="S507" s="61">
        <v>0.17</v>
      </c>
    </row>
    <row r="508" ht="20" customHeight="1" spans="1:19">
      <c r="A508" s="43" t="s">
        <v>140</v>
      </c>
      <c r="B508" s="43" t="s">
        <v>141</v>
      </c>
      <c r="C508" s="44"/>
      <c r="D508" s="43" t="s">
        <v>52</v>
      </c>
      <c r="E508" s="43" t="s">
        <v>142</v>
      </c>
      <c r="F508" s="43" t="s">
        <v>52</v>
      </c>
      <c r="G508" s="43" t="s">
        <v>108</v>
      </c>
      <c r="H508" s="43" t="s">
        <v>109</v>
      </c>
      <c r="I508" s="43" t="s">
        <v>52</v>
      </c>
      <c r="J508" s="44"/>
      <c r="K508" s="54">
        <v>19224</v>
      </c>
      <c r="L508" s="54">
        <v>19224</v>
      </c>
      <c r="M508" s="54">
        <v>0</v>
      </c>
      <c r="N508" s="54">
        <v>0</v>
      </c>
      <c r="O508" s="54">
        <v>19224</v>
      </c>
      <c r="P508" s="55">
        <v>0.01</v>
      </c>
      <c r="Q508" s="61">
        <v>139.95</v>
      </c>
      <c r="R508" s="60"/>
      <c r="S508" s="61">
        <v>139.95</v>
      </c>
    </row>
    <row r="509" ht="20" customHeight="1" spans="1:19">
      <c r="A509" s="43" t="s">
        <v>140</v>
      </c>
      <c r="B509" s="43" t="s">
        <v>141</v>
      </c>
      <c r="C509" s="44"/>
      <c r="D509" s="43" t="s">
        <v>52</v>
      </c>
      <c r="E509" s="43" t="s">
        <v>142</v>
      </c>
      <c r="F509" s="43" t="s">
        <v>52</v>
      </c>
      <c r="G509" s="43" t="s">
        <v>108</v>
      </c>
      <c r="H509" s="43" t="s">
        <v>109</v>
      </c>
      <c r="I509" s="43" t="s">
        <v>52</v>
      </c>
      <c r="J509" s="44"/>
      <c r="K509" s="54">
        <v>156</v>
      </c>
      <c r="L509" s="54">
        <v>156</v>
      </c>
      <c r="M509" s="54">
        <v>0</v>
      </c>
      <c r="N509" s="54">
        <v>0</v>
      </c>
      <c r="O509" s="54">
        <v>156</v>
      </c>
      <c r="P509" s="55">
        <v>0.01</v>
      </c>
      <c r="Q509" s="61">
        <v>1.14</v>
      </c>
      <c r="R509" s="60"/>
      <c r="S509" s="61">
        <v>1.14</v>
      </c>
    </row>
    <row r="510" ht="20" customHeight="1" spans="1:19">
      <c r="A510" s="43" t="s">
        <v>97</v>
      </c>
      <c r="B510" s="43" t="s">
        <v>102</v>
      </c>
      <c r="C510" s="44"/>
      <c r="D510" s="43" t="s">
        <v>52</v>
      </c>
      <c r="E510" s="43" t="s">
        <v>99</v>
      </c>
      <c r="F510" s="43" t="s">
        <v>52</v>
      </c>
      <c r="G510" s="43" t="s">
        <v>100</v>
      </c>
      <c r="H510" s="43" t="s">
        <v>101</v>
      </c>
      <c r="I510" s="43" t="s">
        <v>52</v>
      </c>
      <c r="J510" s="44"/>
      <c r="K510" s="54">
        <v>3</v>
      </c>
      <c r="L510" s="54">
        <v>3</v>
      </c>
      <c r="M510" s="54">
        <v>0</v>
      </c>
      <c r="N510" s="54">
        <v>0</v>
      </c>
      <c r="O510" s="54">
        <v>3</v>
      </c>
      <c r="P510" s="55">
        <v>0.11</v>
      </c>
      <c r="Q510" s="61">
        <v>0.34</v>
      </c>
      <c r="R510" s="60"/>
      <c r="S510" s="61">
        <v>0.34</v>
      </c>
    </row>
    <row r="511" ht="20" customHeight="1" spans="1:19">
      <c r="A511" s="43" t="s">
        <v>97</v>
      </c>
      <c r="B511" s="43" t="s">
        <v>102</v>
      </c>
      <c r="C511" s="44"/>
      <c r="D511" s="43" t="s">
        <v>52</v>
      </c>
      <c r="E511" s="43" t="s">
        <v>99</v>
      </c>
      <c r="F511" s="43" t="s">
        <v>52</v>
      </c>
      <c r="G511" s="43" t="s">
        <v>100</v>
      </c>
      <c r="H511" s="43" t="s">
        <v>101</v>
      </c>
      <c r="I511" s="43" t="s">
        <v>52</v>
      </c>
      <c r="J511" s="44"/>
      <c r="K511" s="54">
        <v>1092</v>
      </c>
      <c r="L511" s="54">
        <v>1092</v>
      </c>
      <c r="M511" s="54">
        <v>0</v>
      </c>
      <c r="N511" s="54">
        <v>0</v>
      </c>
      <c r="O511" s="54">
        <v>1092</v>
      </c>
      <c r="P511" s="55">
        <v>0.11</v>
      </c>
      <c r="Q511" s="61">
        <v>123.57</v>
      </c>
      <c r="R511" s="60"/>
      <c r="S511" s="61">
        <v>123.57</v>
      </c>
    </row>
    <row r="512" ht="20" customHeight="1" spans="1:19">
      <c r="A512" s="43" t="s">
        <v>97</v>
      </c>
      <c r="B512" s="43" t="s">
        <v>102</v>
      </c>
      <c r="C512" s="44"/>
      <c r="D512" s="43" t="s">
        <v>52</v>
      </c>
      <c r="E512" s="43" t="s">
        <v>99</v>
      </c>
      <c r="F512" s="43" t="s">
        <v>52</v>
      </c>
      <c r="G512" s="43" t="s">
        <v>100</v>
      </c>
      <c r="H512" s="43" t="s">
        <v>101</v>
      </c>
      <c r="I512" s="43" t="s">
        <v>52</v>
      </c>
      <c r="J512" s="44"/>
      <c r="K512" s="54">
        <v>4</v>
      </c>
      <c r="L512" s="54">
        <v>4</v>
      </c>
      <c r="M512" s="54">
        <v>0</v>
      </c>
      <c r="N512" s="54">
        <v>0</v>
      </c>
      <c r="O512" s="54">
        <v>4</v>
      </c>
      <c r="P512" s="55">
        <v>0.11</v>
      </c>
      <c r="Q512" s="61">
        <v>0.45</v>
      </c>
      <c r="R512" s="60"/>
      <c r="S512" s="61">
        <v>0.45</v>
      </c>
    </row>
    <row r="513" ht="20" customHeight="1" spans="1:19">
      <c r="A513" s="43" t="s">
        <v>97</v>
      </c>
      <c r="B513" s="43" t="s">
        <v>102</v>
      </c>
      <c r="C513" s="44"/>
      <c r="D513" s="43" t="s">
        <v>52</v>
      </c>
      <c r="E513" s="43" t="s">
        <v>99</v>
      </c>
      <c r="F513" s="43" t="s">
        <v>52</v>
      </c>
      <c r="G513" s="43" t="s">
        <v>100</v>
      </c>
      <c r="H513" s="43" t="s">
        <v>101</v>
      </c>
      <c r="I513" s="43" t="s">
        <v>52</v>
      </c>
      <c r="J513" s="44"/>
      <c r="K513" s="54">
        <v>1</v>
      </c>
      <c r="L513" s="54">
        <v>1</v>
      </c>
      <c r="M513" s="54">
        <v>0</v>
      </c>
      <c r="N513" s="54">
        <v>0</v>
      </c>
      <c r="O513" s="54">
        <v>1</v>
      </c>
      <c r="P513" s="55">
        <v>0.11</v>
      </c>
      <c r="Q513" s="61">
        <v>0.11</v>
      </c>
      <c r="R513" s="60"/>
      <c r="S513" s="61">
        <v>0.11</v>
      </c>
    </row>
    <row r="514" ht="20" customHeight="1" spans="1:19">
      <c r="A514" s="43" t="s">
        <v>97</v>
      </c>
      <c r="B514" s="43" t="s">
        <v>102</v>
      </c>
      <c r="C514" s="44"/>
      <c r="D514" s="43" t="s">
        <v>52</v>
      </c>
      <c r="E514" s="43" t="s">
        <v>99</v>
      </c>
      <c r="F514" s="43" t="s">
        <v>52</v>
      </c>
      <c r="G514" s="43" t="s">
        <v>103</v>
      </c>
      <c r="H514" s="43" t="s">
        <v>104</v>
      </c>
      <c r="I514" s="43" t="s">
        <v>52</v>
      </c>
      <c r="J514" s="44"/>
      <c r="K514" s="54">
        <v>56</v>
      </c>
      <c r="L514" s="54">
        <v>56</v>
      </c>
      <c r="M514" s="54">
        <v>0</v>
      </c>
      <c r="N514" s="54">
        <v>0</v>
      </c>
      <c r="O514" s="54">
        <v>56</v>
      </c>
      <c r="P514" s="55">
        <v>0.02</v>
      </c>
      <c r="Q514" s="61">
        <v>1.08</v>
      </c>
      <c r="R514" s="60"/>
      <c r="S514" s="61">
        <v>1.08</v>
      </c>
    </row>
    <row r="515" ht="20" customHeight="1" spans="1:19">
      <c r="A515" s="43" t="s">
        <v>97</v>
      </c>
      <c r="B515" s="43" t="s">
        <v>102</v>
      </c>
      <c r="C515" s="44"/>
      <c r="D515" s="43" t="s">
        <v>52</v>
      </c>
      <c r="E515" s="43" t="s">
        <v>99</v>
      </c>
      <c r="F515" s="43" t="s">
        <v>52</v>
      </c>
      <c r="G515" s="43" t="s">
        <v>103</v>
      </c>
      <c r="H515" s="43" t="s">
        <v>104</v>
      </c>
      <c r="I515" s="43" t="s">
        <v>52</v>
      </c>
      <c r="J515" s="44"/>
      <c r="K515" s="54">
        <v>14148</v>
      </c>
      <c r="L515" s="54">
        <v>14148</v>
      </c>
      <c r="M515" s="54">
        <v>0</v>
      </c>
      <c r="N515" s="54">
        <v>0</v>
      </c>
      <c r="O515" s="54">
        <v>14148</v>
      </c>
      <c r="P515" s="55">
        <v>0.02</v>
      </c>
      <c r="Q515" s="61">
        <v>272.75</v>
      </c>
      <c r="R515" s="60"/>
      <c r="S515" s="61">
        <v>272.75</v>
      </c>
    </row>
    <row r="516" ht="20" customHeight="1" spans="1:19">
      <c r="A516" s="43" t="s">
        <v>97</v>
      </c>
      <c r="B516" s="43" t="s">
        <v>102</v>
      </c>
      <c r="C516" s="44"/>
      <c r="D516" s="43" t="s">
        <v>52</v>
      </c>
      <c r="E516" s="43" t="s">
        <v>99</v>
      </c>
      <c r="F516" s="43" t="s">
        <v>52</v>
      </c>
      <c r="G516" s="43" t="s">
        <v>103</v>
      </c>
      <c r="H516" s="43" t="s">
        <v>104</v>
      </c>
      <c r="I516" s="43" t="s">
        <v>52</v>
      </c>
      <c r="J516" s="44"/>
      <c r="K516" s="54">
        <v>4</v>
      </c>
      <c r="L516" s="54">
        <v>4</v>
      </c>
      <c r="M516" s="54">
        <v>0</v>
      </c>
      <c r="N516" s="54">
        <v>0</v>
      </c>
      <c r="O516" s="54">
        <v>4</v>
      </c>
      <c r="P516" s="55">
        <v>0.02</v>
      </c>
      <c r="Q516" s="61">
        <v>0.08</v>
      </c>
      <c r="R516" s="60"/>
      <c r="S516" s="61">
        <v>0.08</v>
      </c>
    </row>
    <row r="517" ht="20" customHeight="1" spans="1:19">
      <c r="A517" s="43" t="s">
        <v>105</v>
      </c>
      <c r="B517" s="43" t="s">
        <v>106</v>
      </c>
      <c r="C517" s="44"/>
      <c r="D517" s="43" t="s">
        <v>52</v>
      </c>
      <c r="E517" s="43" t="s">
        <v>107</v>
      </c>
      <c r="F517" s="43" t="s">
        <v>52</v>
      </c>
      <c r="G517" s="43" t="s">
        <v>108</v>
      </c>
      <c r="H517" s="43" t="s">
        <v>109</v>
      </c>
      <c r="I517" s="43" t="s">
        <v>52</v>
      </c>
      <c r="J517" s="44"/>
      <c r="K517" s="54">
        <v>20736</v>
      </c>
      <c r="L517" s="54">
        <v>20736</v>
      </c>
      <c r="M517" s="54">
        <v>0</v>
      </c>
      <c r="N517" s="54">
        <v>0</v>
      </c>
      <c r="O517" s="54">
        <v>20736</v>
      </c>
      <c r="P517" s="55">
        <v>0.01</v>
      </c>
      <c r="Q517" s="61">
        <v>150.96</v>
      </c>
      <c r="R517" s="60"/>
      <c r="S517" s="61">
        <v>150.96</v>
      </c>
    </row>
    <row r="518" ht="20" customHeight="1" spans="1:19">
      <c r="A518" s="43" t="s">
        <v>105</v>
      </c>
      <c r="B518" s="43" t="s">
        <v>106</v>
      </c>
      <c r="C518" s="44"/>
      <c r="D518" s="43" t="s">
        <v>52</v>
      </c>
      <c r="E518" s="43" t="s">
        <v>107</v>
      </c>
      <c r="F518" s="43" t="s">
        <v>52</v>
      </c>
      <c r="G518" s="43" t="s">
        <v>108</v>
      </c>
      <c r="H518" s="43" t="s">
        <v>109</v>
      </c>
      <c r="I518" s="43" t="s">
        <v>52</v>
      </c>
      <c r="J518" s="44"/>
      <c r="K518" s="54">
        <v>180</v>
      </c>
      <c r="L518" s="54">
        <v>180</v>
      </c>
      <c r="M518" s="54">
        <v>0</v>
      </c>
      <c r="N518" s="54">
        <v>0</v>
      </c>
      <c r="O518" s="54">
        <v>180</v>
      </c>
      <c r="P518" s="55">
        <v>0.01</v>
      </c>
      <c r="Q518" s="61">
        <v>1.31</v>
      </c>
      <c r="R518" s="60"/>
      <c r="S518" s="61">
        <v>1.31</v>
      </c>
    </row>
    <row r="519" ht="20" customHeight="1" spans="1:19">
      <c r="A519" s="43" t="s">
        <v>105</v>
      </c>
      <c r="B519" s="43" t="s">
        <v>106</v>
      </c>
      <c r="C519" s="44"/>
      <c r="D519" s="43" t="s">
        <v>52</v>
      </c>
      <c r="E519" s="43" t="s">
        <v>107</v>
      </c>
      <c r="F519" s="43" t="s">
        <v>52</v>
      </c>
      <c r="G519" s="43" t="s">
        <v>108</v>
      </c>
      <c r="H519" s="43" t="s">
        <v>109</v>
      </c>
      <c r="I519" s="43" t="s">
        <v>52</v>
      </c>
      <c r="J519" s="44"/>
      <c r="K519" s="54">
        <v>8640</v>
      </c>
      <c r="L519" s="54">
        <v>8640</v>
      </c>
      <c r="M519" s="54">
        <v>0</v>
      </c>
      <c r="N519" s="54">
        <v>0</v>
      </c>
      <c r="O519" s="54">
        <v>8640</v>
      </c>
      <c r="P519" s="55">
        <v>0.01</v>
      </c>
      <c r="Q519" s="61">
        <v>62.9</v>
      </c>
      <c r="R519" s="60"/>
      <c r="S519" s="61">
        <v>62.9</v>
      </c>
    </row>
    <row r="520" ht="20" customHeight="1" spans="1:19">
      <c r="A520" s="43" t="s">
        <v>105</v>
      </c>
      <c r="B520" s="43" t="s">
        <v>106</v>
      </c>
      <c r="C520" s="44"/>
      <c r="D520" s="43" t="s">
        <v>52</v>
      </c>
      <c r="E520" s="43" t="s">
        <v>107</v>
      </c>
      <c r="F520" s="43" t="s">
        <v>52</v>
      </c>
      <c r="G520" s="43" t="s">
        <v>108</v>
      </c>
      <c r="H520" s="43" t="s">
        <v>109</v>
      </c>
      <c r="I520" s="43" t="s">
        <v>52</v>
      </c>
      <c r="J520" s="44"/>
      <c r="K520" s="54">
        <v>252</v>
      </c>
      <c r="L520" s="54">
        <v>252</v>
      </c>
      <c r="M520" s="54">
        <v>0</v>
      </c>
      <c r="N520" s="54">
        <v>0</v>
      </c>
      <c r="O520" s="54">
        <v>252</v>
      </c>
      <c r="P520" s="55">
        <v>0.01</v>
      </c>
      <c r="Q520" s="61">
        <v>1.83</v>
      </c>
      <c r="R520" s="60"/>
      <c r="S520" s="61">
        <v>1.83</v>
      </c>
    </row>
    <row r="521" ht="20" customHeight="1" spans="1:19">
      <c r="A521" s="43" t="s">
        <v>105</v>
      </c>
      <c r="B521" s="43" t="s">
        <v>106</v>
      </c>
      <c r="C521" s="44"/>
      <c r="D521" s="43" t="s">
        <v>52</v>
      </c>
      <c r="E521" s="43" t="s">
        <v>107</v>
      </c>
      <c r="F521" s="43" t="s">
        <v>52</v>
      </c>
      <c r="G521" s="43" t="s">
        <v>108</v>
      </c>
      <c r="H521" s="43" t="s">
        <v>109</v>
      </c>
      <c r="I521" s="43" t="s">
        <v>52</v>
      </c>
      <c r="J521" s="44"/>
      <c r="K521" s="54">
        <v>9360</v>
      </c>
      <c r="L521" s="54">
        <v>9360</v>
      </c>
      <c r="M521" s="54">
        <v>0</v>
      </c>
      <c r="N521" s="54">
        <v>0</v>
      </c>
      <c r="O521" s="54">
        <v>9360</v>
      </c>
      <c r="P521" s="55">
        <v>0.01</v>
      </c>
      <c r="Q521" s="61">
        <v>68.14</v>
      </c>
      <c r="R521" s="60"/>
      <c r="S521" s="61">
        <v>68.14</v>
      </c>
    </row>
    <row r="522" ht="13" customHeight="1" spans="1:19">
      <c r="A522" s="47" t="s">
        <v>143</v>
      </c>
      <c r="B522" s="48"/>
      <c r="C522" s="48"/>
      <c r="D522" s="48"/>
      <c r="E522" s="48"/>
      <c r="F522" s="48"/>
      <c r="G522" s="48"/>
      <c r="H522" s="48"/>
      <c r="I522" s="48"/>
      <c r="J522" s="56"/>
      <c r="K522" s="47" t="s">
        <v>144</v>
      </c>
      <c r="L522" s="57">
        <v>114938</v>
      </c>
      <c r="M522" s="58">
        <v>0</v>
      </c>
      <c r="N522" s="58">
        <v>0</v>
      </c>
      <c r="O522" s="58">
        <v>114938</v>
      </c>
      <c r="P522" s="59" t="s">
        <v>52</v>
      </c>
      <c r="Q522" s="62"/>
      <c r="R522" s="62"/>
      <c r="S522" s="63">
        <v>1304.74</v>
      </c>
    </row>
    <row r="523" ht="19" customHeight="1" spans="1:19">
      <c r="A523" s="43" t="s">
        <v>145</v>
      </c>
      <c r="B523" s="44"/>
      <c r="C523" s="44"/>
      <c r="D523" s="49" t="s">
        <v>146</v>
      </c>
      <c r="E523" s="50" t="s">
        <v>147</v>
      </c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56"/>
      <c r="S523" s="56"/>
    </row>
    <row r="524" ht="19" customHeight="1" spans="1:19">
      <c r="A524" s="49" t="s">
        <v>146</v>
      </c>
      <c r="B524" s="51"/>
      <c r="C524" s="51"/>
      <c r="D524" s="49" t="s">
        <v>146</v>
      </c>
      <c r="E524" s="49" t="s">
        <v>119</v>
      </c>
      <c r="F524" s="52">
        <v>700</v>
      </c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56"/>
      <c r="S524" s="56"/>
    </row>
    <row r="525" ht="12" customHeight="1" spans="1:19">
      <c r="A525" s="46" t="s">
        <v>52</v>
      </c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56"/>
      <c r="S525" s="56"/>
    </row>
    <row r="526" ht="14" customHeight="1" spans="1:19">
      <c r="A526" s="43" t="s">
        <v>67</v>
      </c>
      <c r="B526" s="44"/>
      <c r="C526" s="44"/>
      <c r="D526" s="45" t="s">
        <v>124</v>
      </c>
      <c r="E526" s="43" t="s">
        <v>69</v>
      </c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</row>
    <row r="527" ht="14" customHeight="1" spans="1:19">
      <c r="A527" s="43" t="s">
        <v>70</v>
      </c>
      <c r="B527" s="44"/>
      <c r="C527" s="44"/>
      <c r="D527" s="45" t="s">
        <v>124</v>
      </c>
      <c r="E527" s="43" t="s">
        <v>71</v>
      </c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</row>
    <row r="528" ht="14" customHeight="1" spans="1:19">
      <c r="A528" s="43" t="s">
        <v>82</v>
      </c>
      <c r="B528" s="44"/>
      <c r="C528" s="44"/>
      <c r="D528" s="45" t="s">
        <v>124</v>
      </c>
      <c r="E528" s="43" t="s">
        <v>83</v>
      </c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</row>
    <row r="529" ht="14" customHeight="1" spans="1:19">
      <c r="A529" s="43" t="s">
        <v>72</v>
      </c>
      <c r="B529" s="44"/>
      <c r="C529" s="44"/>
      <c r="D529" s="45" t="s">
        <v>124</v>
      </c>
      <c r="E529" s="43" t="s">
        <v>125</v>
      </c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</row>
    <row r="530" ht="14" customHeight="1" spans="1:19">
      <c r="A530" s="43" t="s">
        <v>126</v>
      </c>
      <c r="B530" s="44"/>
      <c r="C530" s="44"/>
      <c r="D530" s="45" t="s">
        <v>124</v>
      </c>
      <c r="E530" s="43" t="s">
        <v>162</v>
      </c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</row>
    <row r="531" ht="14" customHeight="1" spans="1:19">
      <c r="A531" s="43" t="s">
        <v>76</v>
      </c>
      <c r="B531" s="44"/>
      <c r="C531" s="44"/>
      <c r="D531" s="45" t="s">
        <v>124</v>
      </c>
      <c r="E531" s="43" t="s">
        <v>77</v>
      </c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</row>
    <row r="532" ht="14" customHeight="1" spans="1:19">
      <c r="A532" s="43" t="s">
        <v>78</v>
      </c>
      <c r="B532" s="44"/>
      <c r="C532" s="44"/>
      <c r="D532" s="45" t="s">
        <v>124</v>
      </c>
      <c r="E532" s="43" t="s">
        <v>79</v>
      </c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</row>
    <row r="533" ht="14" customHeight="1" spans="1:19">
      <c r="A533" s="43" t="s">
        <v>80</v>
      </c>
      <c r="B533" s="44"/>
      <c r="C533" s="44"/>
      <c r="D533" s="45" t="s">
        <v>124</v>
      </c>
      <c r="E533" s="43" t="s">
        <v>81</v>
      </c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</row>
    <row r="534" ht="17" customHeight="1" spans="1:19">
      <c r="A534" s="46" t="s">
        <v>52</v>
      </c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</row>
    <row r="535" ht="14" customHeight="1" spans="1:19">
      <c r="A535" s="43" t="s">
        <v>84</v>
      </c>
      <c r="B535" s="43" t="s">
        <v>85</v>
      </c>
      <c r="C535" s="44"/>
      <c r="D535" s="43" t="s">
        <v>52</v>
      </c>
      <c r="E535" s="43" t="s">
        <v>87</v>
      </c>
      <c r="F535" s="43" t="s">
        <v>88</v>
      </c>
      <c r="G535" s="43" t="s">
        <v>89</v>
      </c>
      <c r="H535" s="43" t="s">
        <v>90</v>
      </c>
      <c r="I535" s="43" t="s">
        <v>91</v>
      </c>
      <c r="J535" s="44"/>
      <c r="K535" s="53" t="s">
        <v>128</v>
      </c>
      <c r="L535" s="53" t="s">
        <v>129</v>
      </c>
      <c r="M535" s="53" t="s">
        <v>130</v>
      </c>
      <c r="N535" s="53" t="s">
        <v>131</v>
      </c>
      <c r="O535" s="53" t="s">
        <v>132</v>
      </c>
      <c r="P535" s="53" t="s">
        <v>93</v>
      </c>
      <c r="Q535" s="53" t="s">
        <v>94</v>
      </c>
      <c r="R535" s="60"/>
      <c r="S535" s="53" t="s">
        <v>133</v>
      </c>
    </row>
    <row r="536" ht="20" customHeight="1" spans="1:19">
      <c r="A536" s="43" t="s">
        <v>134</v>
      </c>
      <c r="B536" s="43" t="s">
        <v>135</v>
      </c>
      <c r="C536" s="44"/>
      <c r="D536" s="43" t="s">
        <v>52</v>
      </c>
      <c r="E536" s="43" t="s">
        <v>136</v>
      </c>
      <c r="F536" s="43" t="s">
        <v>52</v>
      </c>
      <c r="G536" s="43" t="s">
        <v>108</v>
      </c>
      <c r="H536" s="43" t="s">
        <v>109</v>
      </c>
      <c r="I536" s="43" t="s">
        <v>52</v>
      </c>
      <c r="J536" s="44"/>
      <c r="K536" s="54">
        <v>34272</v>
      </c>
      <c r="L536" s="54">
        <v>34272</v>
      </c>
      <c r="M536" s="54">
        <v>0</v>
      </c>
      <c r="N536" s="54">
        <v>0</v>
      </c>
      <c r="O536" s="54">
        <v>34272</v>
      </c>
      <c r="P536" s="55">
        <v>0.01</v>
      </c>
      <c r="Q536" s="61">
        <v>249.5</v>
      </c>
      <c r="R536" s="60"/>
      <c r="S536" s="61">
        <v>249.5</v>
      </c>
    </row>
    <row r="537" ht="20" customHeight="1" spans="1:19">
      <c r="A537" s="43" t="s">
        <v>134</v>
      </c>
      <c r="B537" s="43" t="s">
        <v>135</v>
      </c>
      <c r="C537" s="44"/>
      <c r="D537" s="43" t="s">
        <v>52</v>
      </c>
      <c r="E537" s="43" t="s">
        <v>136</v>
      </c>
      <c r="F537" s="43" t="s">
        <v>52</v>
      </c>
      <c r="G537" s="43" t="s">
        <v>108</v>
      </c>
      <c r="H537" s="43" t="s">
        <v>109</v>
      </c>
      <c r="I537" s="43" t="s">
        <v>52</v>
      </c>
      <c r="J537" s="44"/>
      <c r="K537" s="54">
        <v>4752</v>
      </c>
      <c r="L537" s="54">
        <v>4752</v>
      </c>
      <c r="M537" s="54">
        <v>0</v>
      </c>
      <c r="N537" s="54">
        <v>0</v>
      </c>
      <c r="O537" s="54">
        <v>4752</v>
      </c>
      <c r="P537" s="55">
        <v>0.01</v>
      </c>
      <c r="Q537" s="61">
        <v>34.59</v>
      </c>
      <c r="R537" s="60"/>
      <c r="S537" s="61">
        <v>34.59</v>
      </c>
    </row>
    <row r="538" ht="20" customHeight="1" spans="1:19">
      <c r="A538" s="43" t="s">
        <v>134</v>
      </c>
      <c r="B538" s="43" t="s">
        <v>135</v>
      </c>
      <c r="C538" s="44"/>
      <c r="D538" s="43" t="s">
        <v>52</v>
      </c>
      <c r="E538" s="43" t="s">
        <v>136</v>
      </c>
      <c r="F538" s="43" t="s">
        <v>52</v>
      </c>
      <c r="G538" s="43" t="s">
        <v>108</v>
      </c>
      <c r="H538" s="43" t="s">
        <v>109</v>
      </c>
      <c r="I538" s="43" t="s">
        <v>52</v>
      </c>
      <c r="J538" s="44"/>
      <c r="K538" s="54">
        <v>144</v>
      </c>
      <c r="L538" s="54">
        <v>144</v>
      </c>
      <c r="M538" s="54">
        <v>0</v>
      </c>
      <c r="N538" s="54">
        <v>0</v>
      </c>
      <c r="O538" s="54">
        <v>144</v>
      </c>
      <c r="P538" s="55">
        <v>0.01</v>
      </c>
      <c r="Q538" s="61">
        <v>1.05</v>
      </c>
      <c r="R538" s="60"/>
      <c r="S538" s="61">
        <v>1.05</v>
      </c>
    </row>
    <row r="539" ht="20" customHeight="1" spans="1:19">
      <c r="A539" s="43" t="s">
        <v>137</v>
      </c>
      <c r="B539" s="43" t="s">
        <v>138</v>
      </c>
      <c r="C539" s="44"/>
      <c r="D539" s="43" t="s">
        <v>52</v>
      </c>
      <c r="E539" s="43" t="s">
        <v>139</v>
      </c>
      <c r="F539" s="43" t="s">
        <v>52</v>
      </c>
      <c r="G539" s="43" t="s">
        <v>100</v>
      </c>
      <c r="H539" s="43" t="s">
        <v>101</v>
      </c>
      <c r="I539" s="43" t="s">
        <v>52</v>
      </c>
      <c r="J539" s="44"/>
      <c r="K539" s="54">
        <v>1692</v>
      </c>
      <c r="L539" s="54">
        <v>1692</v>
      </c>
      <c r="M539" s="54">
        <v>0</v>
      </c>
      <c r="N539" s="54">
        <v>0</v>
      </c>
      <c r="O539" s="54">
        <v>1692</v>
      </c>
      <c r="P539" s="55">
        <v>0.11</v>
      </c>
      <c r="Q539" s="61">
        <v>191.47</v>
      </c>
      <c r="R539" s="60"/>
      <c r="S539" s="61">
        <v>191.47</v>
      </c>
    </row>
    <row r="540" ht="20" customHeight="1" spans="1:19">
      <c r="A540" s="43" t="s">
        <v>137</v>
      </c>
      <c r="B540" s="43" t="s">
        <v>138</v>
      </c>
      <c r="C540" s="44"/>
      <c r="D540" s="43" t="s">
        <v>52</v>
      </c>
      <c r="E540" s="43" t="s">
        <v>139</v>
      </c>
      <c r="F540" s="43" t="s">
        <v>52</v>
      </c>
      <c r="G540" s="43" t="s">
        <v>100</v>
      </c>
      <c r="H540" s="43" t="s">
        <v>101</v>
      </c>
      <c r="I540" s="43" t="s">
        <v>52</v>
      </c>
      <c r="J540" s="44"/>
      <c r="K540" s="54">
        <v>8</v>
      </c>
      <c r="L540" s="54">
        <v>8</v>
      </c>
      <c r="M540" s="54">
        <v>0</v>
      </c>
      <c r="N540" s="54">
        <v>0</v>
      </c>
      <c r="O540" s="54">
        <v>8</v>
      </c>
      <c r="P540" s="55">
        <v>0.11</v>
      </c>
      <c r="Q540" s="61">
        <v>0.91</v>
      </c>
      <c r="R540" s="60"/>
      <c r="S540" s="61">
        <v>0.91</v>
      </c>
    </row>
    <row r="541" ht="20" customHeight="1" spans="1:19">
      <c r="A541" s="43" t="s">
        <v>137</v>
      </c>
      <c r="B541" s="43" t="s">
        <v>138</v>
      </c>
      <c r="C541" s="44"/>
      <c r="D541" s="43" t="s">
        <v>52</v>
      </c>
      <c r="E541" s="43" t="s">
        <v>139</v>
      </c>
      <c r="F541" s="43" t="s">
        <v>52</v>
      </c>
      <c r="G541" s="43" t="s">
        <v>100</v>
      </c>
      <c r="H541" s="43" t="s">
        <v>101</v>
      </c>
      <c r="I541" s="43" t="s">
        <v>52</v>
      </c>
      <c r="J541" s="44"/>
      <c r="K541" s="54">
        <v>10</v>
      </c>
      <c r="L541" s="54">
        <v>10</v>
      </c>
      <c r="M541" s="54">
        <v>0</v>
      </c>
      <c r="N541" s="54">
        <v>0</v>
      </c>
      <c r="O541" s="54">
        <v>10</v>
      </c>
      <c r="P541" s="55">
        <v>0.11</v>
      </c>
      <c r="Q541" s="61">
        <v>1.13</v>
      </c>
      <c r="R541" s="60"/>
      <c r="S541" s="61">
        <v>1.13</v>
      </c>
    </row>
    <row r="542" ht="20" customHeight="1" spans="1:19">
      <c r="A542" s="43" t="s">
        <v>140</v>
      </c>
      <c r="B542" s="43" t="s">
        <v>141</v>
      </c>
      <c r="C542" s="44"/>
      <c r="D542" s="43" t="s">
        <v>52</v>
      </c>
      <c r="E542" s="43" t="s">
        <v>142</v>
      </c>
      <c r="F542" s="43" t="s">
        <v>52</v>
      </c>
      <c r="G542" s="43" t="s">
        <v>108</v>
      </c>
      <c r="H542" s="43" t="s">
        <v>109</v>
      </c>
      <c r="I542" s="43" t="s">
        <v>52</v>
      </c>
      <c r="J542" s="44"/>
      <c r="K542" s="54">
        <v>180</v>
      </c>
      <c r="L542" s="54">
        <v>180</v>
      </c>
      <c r="M542" s="54">
        <v>0</v>
      </c>
      <c r="N542" s="54">
        <v>0</v>
      </c>
      <c r="O542" s="54">
        <v>180</v>
      </c>
      <c r="P542" s="55">
        <v>0.01</v>
      </c>
      <c r="Q542" s="61">
        <v>1.31</v>
      </c>
      <c r="R542" s="60"/>
      <c r="S542" s="61">
        <v>1.31</v>
      </c>
    </row>
    <row r="543" ht="20" customHeight="1" spans="1:19">
      <c r="A543" s="43" t="s">
        <v>140</v>
      </c>
      <c r="B543" s="43" t="s">
        <v>141</v>
      </c>
      <c r="C543" s="44"/>
      <c r="D543" s="43" t="s">
        <v>52</v>
      </c>
      <c r="E543" s="43" t="s">
        <v>142</v>
      </c>
      <c r="F543" s="43" t="s">
        <v>52</v>
      </c>
      <c r="G543" s="43" t="s">
        <v>108</v>
      </c>
      <c r="H543" s="43" t="s">
        <v>109</v>
      </c>
      <c r="I543" s="43" t="s">
        <v>52</v>
      </c>
      <c r="J543" s="44"/>
      <c r="K543" s="54">
        <v>24</v>
      </c>
      <c r="L543" s="54">
        <v>24</v>
      </c>
      <c r="M543" s="54">
        <v>0</v>
      </c>
      <c r="N543" s="54">
        <v>0</v>
      </c>
      <c r="O543" s="54">
        <v>24</v>
      </c>
      <c r="P543" s="55">
        <v>0.01</v>
      </c>
      <c r="Q543" s="61">
        <v>0.17</v>
      </c>
      <c r="R543" s="60"/>
      <c r="S543" s="61">
        <v>0.17</v>
      </c>
    </row>
    <row r="544" ht="20" customHeight="1" spans="1:19">
      <c r="A544" s="43" t="s">
        <v>140</v>
      </c>
      <c r="B544" s="43" t="s">
        <v>141</v>
      </c>
      <c r="C544" s="44"/>
      <c r="D544" s="43" t="s">
        <v>52</v>
      </c>
      <c r="E544" s="43" t="s">
        <v>142</v>
      </c>
      <c r="F544" s="43" t="s">
        <v>52</v>
      </c>
      <c r="G544" s="43" t="s">
        <v>108</v>
      </c>
      <c r="H544" s="43" t="s">
        <v>109</v>
      </c>
      <c r="I544" s="43" t="s">
        <v>52</v>
      </c>
      <c r="J544" s="44"/>
      <c r="K544" s="54">
        <v>19224</v>
      </c>
      <c r="L544" s="54">
        <v>19224</v>
      </c>
      <c r="M544" s="54">
        <v>0</v>
      </c>
      <c r="N544" s="54">
        <v>0</v>
      </c>
      <c r="O544" s="54">
        <v>19224</v>
      </c>
      <c r="P544" s="55">
        <v>0.01</v>
      </c>
      <c r="Q544" s="61">
        <v>139.95</v>
      </c>
      <c r="R544" s="60"/>
      <c r="S544" s="61">
        <v>139.95</v>
      </c>
    </row>
    <row r="545" ht="20" customHeight="1" spans="1:19">
      <c r="A545" s="43" t="s">
        <v>140</v>
      </c>
      <c r="B545" s="43" t="s">
        <v>141</v>
      </c>
      <c r="C545" s="44"/>
      <c r="D545" s="43" t="s">
        <v>52</v>
      </c>
      <c r="E545" s="43" t="s">
        <v>142</v>
      </c>
      <c r="F545" s="43" t="s">
        <v>52</v>
      </c>
      <c r="G545" s="43" t="s">
        <v>108</v>
      </c>
      <c r="H545" s="43" t="s">
        <v>109</v>
      </c>
      <c r="I545" s="43" t="s">
        <v>52</v>
      </c>
      <c r="J545" s="44"/>
      <c r="K545" s="54">
        <v>156</v>
      </c>
      <c r="L545" s="54">
        <v>156</v>
      </c>
      <c r="M545" s="54">
        <v>0</v>
      </c>
      <c r="N545" s="54">
        <v>0</v>
      </c>
      <c r="O545" s="54">
        <v>156</v>
      </c>
      <c r="P545" s="55">
        <v>0.01</v>
      </c>
      <c r="Q545" s="61">
        <v>1.14</v>
      </c>
      <c r="R545" s="60"/>
      <c r="S545" s="61">
        <v>1.14</v>
      </c>
    </row>
    <row r="546" ht="20" customHeight="1" spans="1:19">
      <c r="A546" s="43" t="s">
        <v>97</v>
      </c>
      <c r="B546" s="43" t="s">
        <v>102</v>
      </c>
      <c r="C546" s="44"/>
      <c r="D546" s="43" t="s">
        <v>52</v>
      </c>
      <c r="E546" s="43" t="s">
        <v>99</v>
      </c>
      <c r="F546" s="43" t="s">
        <v>52</v>
      </c>
      <c r="G546" s="43" t="s">
        <v>100</v>
      </c>
      <c r="H546" s="43" t="s">
        <v>101</v>
      </c>
      <c r="I546" s="43" t="s">
        <v>52</v>
      </c>
      <c r="J546" s="44"/>
      <c r="K546" s="54">
        <v>3</v>
      </c>
      <c r="L546" s="54">
        <v>3</v>
      </c>
      <c r="M546" s="54">
        <v>0</v>
      </c>
      <c r="N546" s="54">
        <v>0</v>
      </c>
      <c r="O546" s="54">
        <v>3</v>
      </c>
      <c r="P546" s="55">
        <v>0.11</v>
      </c>
      <c r="Q546" s="61">
        <v>0.34</v>
      </c>
      <c r="R546" s="60"/>
      <c r="S546" s="61">
        <v>0.34</v>
      </c>
    </row>
    <row r="547" ht="20" customHeight="1" spans="1:19">
      <c r="A547" s="43" t="s">
        <v>97</v>
      </c>
      <c r="B547" s="43" t="s">
        <v>102</v>
      </c>
      <c r="C547" s="44"/>
      <c r="D547" s="43" t="s">
        <v>52</v>
      </c>
      <c r="E547" s="43" t="s">
        <v>99</v>
      </c>
      <c r="F547" s="43" t="s">
        <v>52</v>
      </c>
      <c r="G547" s="43" t="s">
        <v>100</v>
      </c>
      <c r="H547" s="43" t="s">
        <v>101</v>
      </c>
      <c r="I547" s="43" t="s">
        <v>52</v>
      </c>
      <c r="J547" s="44"/>
      <c r="K547" s="54">
        <v>1092</v>
      </c>
      <c r="L547" s="54">
        <v>1092</v>
      </c>
      <c r="M547" s="54">
        <v>0</v>
      </c>
      <c r="N547" s="54">
        <v>0</v>
      </c>
      <c r="O547" s="54">
        <v>1092</v>
      </c>
      <c r="P547" s="55">
        <v>0.11</v>
      </c>
      <c r="Q547" s="61">
        <v>123.57</v>
      </c>
      <c r="R547" s="60"/>
      <c r="S547" s="61">
        <v>123.57</v>
      </c>
    </row>
    <row r="548" ht="20" customHeight="1" spans="1:19">
      <c r="A548" s="43" t="s">
        <v>97</v>
      </c>
      <c r="B548" s="43" t="s">
        <v>102</v>
      </c>
      <c r="C548" s="44"/>
      <c r="D548" s="43" t="s">
        <v>52</v>
      </c>
      <c r="E548" s="43" t="s">
        <v>99</v>
      </c>
      <c r="F548" s="43" t="s">
        <v>52</v>
      </c>
      <c r="G548" s="43" t="s">
        <v>100</v>
      </c>
      <c r="H548" s="43" t="s">
        <v>101</v>
      </c>
      <c r="I548" s="43" t="s">
        <v>52</v>
      </c>
      <c r="J548" s="44"/>
      <c r="K548" s="54">
        <v>4</v>
      </c>
      <c r="L548" s="54">
        <v>4</v>
      </c>
      <c r="M548" s="54">
        <v>0</v>
      </c>
      <c r="N548" s="54">
        <v>0</v>
      </c>
      <c r="O548" s="54">
        <v>4</v>
      </c>
      <c r="P548" s="55">
        <v>0.11</v>
      </c>
      <c r="Q548" s="61">
        <v>0.45</v>
      </c>
      <c r="R548" s="60"/>
      <c r="S548" s="61">
        <v>0.45</v>
      </c>
    </row>
    <row r="549" ht="20" customHeight="1" spans="1:19">
      <c r="A549" s="43" t="s">
        <v>97</v>
      </c>
      <c r="B549" s="43" t="s">
        <v>102</v>
      </c>
      <c r="C549" s="44"/>
      <c r="D549" s="43" t="s">
        <v>52</v>
      </c>
      <c r="E549" s="43" t="s">
        <v>99</v>
      </c>
      <c r="F549" s="43" t="s">
        <v>52</v>
      </c>
      <c r="G549" s="43" t="s">
        <v>100</v>
      </c>
      <c r="H549" s="43" t="s">
        <v>101</v>
      </c>
      <c r="I549" s="43" t="s">
        <v>52</v>
      </c>
      <c r="J549" s="44"/>
      <c r="K549" s="54">
        <v>1</v>
      </c>
      <c r="L549" s="54">
        <v>1</v>
      </c>
      <c r="M549" s="54">
        <v>0</v>
      </c>
      <c r="N549" s="54">
        <v>0</v>
      </c>
      <c r="O549" s="54">
        <v>1</v>
      </c>
      <c r="P549" s="55">
        <v>0.11</v>
      </c>
      <c r="Q549" s="61">
        <v>0.11</v>
      </c>
      <c r="R549" s="60"/>
      <c r="S549" s="61">
        <v>0.11</v>
      </c>
    </row>
    <row r="550" ht="20" customHeight="1" spans="1:19">
      <c r="A550" s="43" t="s">
        <v>97</v>
      </c>
      <c r="B550" s="43" t="s">
        <v>102</v>
      </c>
      <c r="C550" s="44"/>
      <c r="D550" s="43" t="s">
        <v>52</v>
      </c>
      <c r="E550" s="43" t="s">
        <v>99</v>
      </c>
      <c r="F550" s="43" t="s">
        <v>52</v>
      </c>
      <c r="G550" s="43" t="s">
        <v>103</v>
      </c>
      <c r="H550" s="43" t="s">
        <v>104</v>
      </c>
      <c r="I550" s="43" t="s">
        <v>52</v>
      </c>
      <c r="J550" s="44"/>
      <c r="K550" s="54">
        <v>56</v>
      </c>
      <c r="L550" s="54">
        <v>56</v>
      </c>
      <c r="M550" s="54">
        <v>0</v>
      </c>
      <c r="N550" s="54">
        <v>0</v>
      </c>
      <c r="O550" s="54">
        <v>56</v>
      </c>
      <c r="P550" s="55">
        <v>0.02</v>
      </c>
      <c r="Q550" s="61">
        <v>1.08</v>
      </c>
      <c r="R550" s="60"/>
      <c r="S550" s="61">
        <v>1.08</v>
      </c>
    </row>
    <row r="551" ht="20" customHeight="1" spans="1:19">
      <c r="A551" s="43" t="s">
        <v>97</v>
      </c>
      <c r="B551" s="43" t="s">
        <v>102</v>
      </c>
      <c r="C551" s="44"/>
      <c r="D551" s="43" t="s">
        <v>52</v>
      </c>
      <c r="E551" s="43" t="s">
        <v>99</v>
      </c>
      <c r="F551" s="43" t="s">
        <v>52</v>
      </c>
      <c r="G551" s="43" t="s">
        <v>103</v>
      </c>
      <c r="H551" s="43" t="s">
        <v>104</v>
      </c>
      <c r="I551" s="43" t="s">
        <v>52</v>
      </c>
      <c r="J551" s="44"/>
      <c r="K551" s="54">
        <v>14148</v>
      </c>
      <c r="L551" s="54">
        <v>14148</v>
      </c>
      <c r="M551" s="54">
        <v>0</v>
      </c>
      <c r="N551" s="54">
        <v>0</v>
      </c>
      <c r="O551" s="54">
        <v>14148</v>
      </c>
      <c r="P551" s="55">
        <v>0.02</v>
      </c>
      <c r="Q551" s="61">
        <v>272.75</v>
      </c>
      <c r="R551" s="60"/>
      <c r="S551" s="61">
        <v>272.75</v>
      </c>
    </row>
    <row r="552" ht="20" customHeight="1" spans="1:19">
      <c r="A552" s="43" t="s">
        <v>97</v>
      </c>
      <c r="B552" s="43" t="s">
        <v>102</v>
      </c>
      <c r="C552" s="44"/>
      <c r="D552" s="43" t="s">
        <v>52</v>
      </c>
      <c r="E552" s="43" t="s">
        <v>99</v>
      </c>
      <c r="F552" s="43" t="s">
        <v>52</v>
      </c>
      <c r="G552" s="43" t="s">
        <v>103</v>
      </c>
      <c r="H552" s="43" t="s">
        <v>104</v>
      </c>
      <c r="I552" s="43" t="s">
        <v>52</v>
      </c>
      <c r="J552" s="44"/>
      <c r="K552" s="54">
        <v>4</v>
      </c>
      <c r="L552" s="54">
        <v>4</v>
      </c>
      <c r="M552" s="54">
        <v>0</v>
      </c>
      <c r="N552" s="54">
        <v>0</v>
      </c>
      <c r="O552" s="54">
        <v>4</v>
      </c>
      <c r="P552" s="55">
        <v>0.02</v>
      </c>
      <c r="Q552" s="61">
        <v>0.08</v>
      </c>
      <c r="R552" s="60"/>
      <c r="S552" s="61">
        <v>0.08</v>
      </c>
    </row>
    <row r="553" ht="20" customHeight="1" spans="1:19">
      <c r="A553" s="43" t="s">
        <v>105</v>
      </c>
      <c r="B553" s="43" t="s">
        <v>106</v>
      </c>
      <c r="C553" s="44"/>
      <c r="D553" s="43" t="s">
        <v>52</v>
      </c>
      <c r="E553" s="43" t="s">
        <v>107</v>
      </c>
      <c r="F553" s="43" t="s">
        <v>52</v>
      </c>
      <c r="G553" s="43" t="s">
        <v>108</v>
      </c>
      <c r="H553" s="43" t="s">
        <v>109</v>
      </c>
      <c r="I553" s="43" t="s">
        <v>52</v>
      </c>
      <c r="J553" s="44"/>
      <c r="K553" s="54">
        <v>20736</v>
      </c>
      <c r="L553" s="54">
        <v>20736</v>
      </c>
      <c r="M553" s="54">
        <v>0</v>
      </c>
      <c r="N553" s="54">
        <v>0</v>
      </c>
      <c r="O553" s="54">
        <v>20736</v>
      </c>
      <c r="P553" s="55">
        <v>0.01</v>
      </c>
      <c r="Q553" s="61">
        <v>150.96</v>
      </c>
      <c r="R553" s="60"/>
      <c r="S553" s="61">
        <v>150.96</v>
      </c>
    </row>
    <row r="554" ht="20" customHeight="1" spans="1:19">
      <c r="A554" s="43" t="s">
        <v>105</v>
      </c>
      <c r="B554" s="43" t="s">
        <v>106</v>
      </c>
      <c r="C554" s="44"/>
      <c r="D554" s="43" t="s">
        <v>52</v>
      </c>
      <c r="E554" s="43" t="s">
        <v>107</v>
      </c>
      <c r="F554" s="43" t="s">
        <v>52</v>
      </c>
      <c r="G554" s="43" t="s">
        <v>108</v>
      </c>
      <c r="H554" s="43" t="s">
        <v>109</v>
      </c>
      <c r="I554" s="43" t="s">
        <v>52</v>
      </c>
      <c r="J554" s="44"/>
      <c r="K554" s="54">
        <v>180</v>
      </c>
      <c r="L554" s="54">
        <v>180</v>
      </c>
      <c r="M554" s="54">
        <v>0</v>
      </c>
      <c r="N554" s="54">
        <v>0</v>
      </c>
      <c r="O554" s="54">
        <v>180</v>
      </c>
      <c r="P554" s="55">
        <v>0.01</v>
      </c>
      <c r="Q554" s="61">
        <v>1.31</v>
      </c>
      <c r="R554" s="60"/>
      <c r="S554" s="61">
        <v>1.31</v>
      </c>
    </row>
    <row r="555" ht="20" customHeight="1" spans="1:19">
      <c r="A555" s="43" t="s">
        <v>105</v>
      </c>
      <c r="B555" s="43" t="s">
        <v>106</v>
      </c>
      <c r="C555" s="44"/>
      <c r="D555" s="43" t="s">
        <v>52</v>
      </c>
      <c r="E555" s="43" t="s">
        <v>107</v>
      </c>
      <c r="F555" s="43" t="s">
        <v>52</v>
      </c>
      <c r="G555" s="43" t="s">
        <v>108</v>
      </c>
      <c r="H555" s="43" t="s">
        <v>109</v>
      </c>
      <c r="I555" s="43" t="s">
        <v>52</v>
      </c>
      <c r="J555" s="44"/>
      <c r="K555" s="54">
        <v>8640</v>
      </c>
      <c r="L555" s="54">
        <v>8640</v>
      </c>
      <c r="M555" s="54">
        <v>0</v>
      </c>
      <c r="N555" s="54">
        <v>0</v>
      </c>
      <c r="O555" s="54">
        <v>8640</v>
      </c>
      <c r="P555" s="55">
        <v>0.01</v>
      </c>
      <c r="Q555" s="61">
        <v>62.9</v>
      </c>
      <c r="R555" s="60"/>
      <c r="S555" s="61">
        <v>62.9</v>
      </c>
    </row>
    <row r="556" ht="20" customHeight="1" spans="1:19">
      <c r="A556" s="43" t="s">
        <v>105</v>
      </c>
      <c r="B556" s="43" t="s">
        <v>106</v>
      </c>
      <c r="C556" s="44"/>
      <c r="D556" s="43" t="s">
        <v>52</v>
      </c>
      <c r="E556" s="43" t="s">
        <v>107</v>
      </c>
      <c r="F556" s="43" t="s">
        <v>52</v>
      </c>
      <c r="G556" s="43" t="s">
        <v>108</v>
      </c>
      <c r="H556" s="43" t="s">
        <v>109</v>
      </c>
      <c r="I556" s="43" t="s">
        <v>52</v>
      </c>
      <c r="J556" s="44"/>
      <c r="K556" s="54">
        <v>252</v>
      </c>
      <c r="L556" s="54">
        <v>252</v>
      </c>
      <c r="M556" s="54">
        <v>0</v>
      </c>
      <c r="N556" s="54">
        <v>0</v>
      </c>
      <c r="O556" s="54">
        <v>252</v>
      </c>
      <c r="P556" s="55">
        <v>0.01</v>
      </c>
      <c r="Q556" s="61">
        <v>1.83</v>
      </c>
      <c r="R556" s="60"/>
      <c r="S556" s="61">
        <v>1.83</v>
      </c>
    </row>
    <row r="557" ht="20" customHeight="1" spans="1:19">
      <c r="A557" s="43" t="s">
        <v>105</v>
      </c>
      <c r="B557" s="43" t="s">
        <v>106</v>
      </c>
      <c r="C557" s="44"/>
      <c r="D557" s="43" t="s">
        <v>52</v>
      </c>
      <c r="E557" s="43" t="s">
        <v>107</v>
      </c>
      <c r="F557" s="43" t="s">
        <v>52</v>
      </c>
      <c r="G557" s="43" t="s">
        <v>108</v>
      </c>
      <c r="H557" s="43" t="s">
        <v>109</v>
      </c>
      <c r="I557" s="43" t="s">
        <v>52</v>
      </c>
      <c r="J557" s="44"/>
      <c r="K557" s="54">
        <v>9360</v>
      </c>
      <c r="L557" s="54">
        <v>9360</v>
      </c>
      <c r="M557" s="54">
        <v>0</v>
      </c>
      <c r="N557" s="54">
        <v>0</v>
      </c>
      <c r="O557" s="54">
        <v>9360</v>
      </c>
      <c r="P557" s="55">
        <v>0.01</v>
      </c>
      <c r="Q557" s="61">
        <v>68.14</v>
      </c>
      <c r="R557" s="60"/>
      <c r="S557" s="61">
        <v>68.14</v>
      </c>
    </row>
    <row r="558" ht="13" customHeight="1" spans="1:19">
      <c r="A558" s="47" t="s">
        <v>143</v>
      </c>
      <c r="B558" s="48"/>
      <c r="C558" s="48"/>
      <c r="D558" s="48"/>
      <c r="E558" s="48"/>
      <c r="F558" s="48"/>
      <c r="G558" s="48"/>
      <c r="H558" s="48"/>
      <c r="I558" s="48"/>
      <c r="J558" s="56"/>
      <c r="K558" s="47" t="s">
        <v>144</v>
      </c>
      <c r="L558" s="57">
        <v>114938</v>
      </c>
      <c r="M558" s="58">
        <v>0</v>
      </c>
      <c r="N558" s="58">
        <v>0</v>
      </c>
      <c r="O558" s="58">
        <v>114938</v>
      </c>
      <c r="P558" s="59" t="s">
        <v>52</v>
      </c>
      <c r="Q558" s="62"/>
      <c r="R558" s="62"/>
      <c r="S558" s="63">
        <v>1304.74</v>
      </c>
    </row>
    <row r="559" ht="19" customHeight="1" spans="1:19">
      <c r="A559" s="43" t="s">
        <v>145</v>
      </c>
      <c r="B559" s="44"/>
      <c r="C559" s="44"/>
      <c r="D559" s="49" t="s">
        <v>146</v>
      </c>
      <c r="E559" s="50" t="s">
        <v>147</v>
      </c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56"/>
      <c r="S559" s="56"/>
    </row>
    <row r="560" ht="19" customHeight="1" spans="1:19">
      <c r="A560" s="49" t="s">
        <v>146</v>
      </c>
      <c r="B560" s="51"/>
      <c r="C560" s="51"/>
      <c r="D560" s="49" t="s">
        <v>146</v>
      </c>
      <c r="E560" s="49" t="s">
        <v>119</v>
      </c>
      <c r="F560" s="52">
        <v>700</v>
      </c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56"/>
      <c r="S560" s="56"/>
    </row>
    <row r="561" ht="12" customHeight="1" spans="1:19">
      <c r="A561" s="46" t="s">
        <v>52</v>
      </c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56"/>
      <c r="S561" s="56"/>
    </row>
    <row r="562" ht="14" customHeight="1" spans="1:19">
      <c r="A562" s="43" t="s">
        <v>67</v>
      </c>
      <c r="B562" s="44"/>
      <c r="C562" s="44"/>
      <c r="D562" s="45" t="s">
        <v>124</v>
      </c>
      <c r="E562" s="43" t="s">
        <v>69</v>
      </c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</row>
    <row r="563" ht="14" customHeight="1" spans="1:19">
      <c r="A563" s="43" t="s">
        <v>70</v>
      </c>
      <c r="B563" s="44"/>
      <c r="C563" s="44"/>
      <c r="D563" s="45" t="s">
        <v>124</v>
      </c>
      <c r="E563" s="43" t="s">
        <v>71</v>
      </c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</row>
    <row r="564" ht="14" customHeight="1" spans="1:19">
      <c r="A564" s="43" t="s">
        <v>82</v>
      </c>
      <c r="B564" s="44"/>
      <c r="C564" s="44"/>
      <c r="D564" s="45" t="s">
        <v>124</v>
      </c>
      <c r="E564" s="43" t="s">
        <v>83</v>
      </c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</row>
    <row r="565" ht="14" customHeight="1" spans="1:19">
      <c r="A565" s="43" t="s">
        <v>72</v>
      </c>
      <c r="B565" s="44"/>
      <c r="C565" s="44"/>
      <c r="D565" s="45" t="s">
        <v>124</v>
      </c>
      <c r="E565" s="43" t="s">
        <v>125</v>
      </c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</row>
    <row r="566" ht="14" customHeight="1" spans="1:19">
      <c r="A566" s="43" t="s">
        <v>126</v>
      </c>
      <c r="B566" s="44"/>
      <c r="C566" s="44"/>
      <c r="D566" s="45" t="s">
        <v>124</v>
      </c>
      <c r="E566" s="43" t="s">
        <v>163</v>
      </c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</row>
    <row r="567" ht="14" customHeight="1" spans="1:19">
      <c r="A567" s="43" t="s">
        <v>76</v>
      </c>
      <c r="B567" s="44"/>
      <c r="C567" s="44"/>
      <c r="D567" s="45" t="s">
        <v>124</v>
      </c>
      <c r="E567" s="43" t="s">
        <v>77</v>
      </c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</row>
    <row r="568" ht="14" customHeight="1" spans="1:19">
      <c r="A568" s="43" t="s">
        <v>78</v>
      </c>
      <c r="B568" s="44"/>
      <c r="C568" s="44"/>
      <c r="D568" s="45" t="s">
        <v>124</v>
      </c>
      <c r="E568" s="43" t="s">
        <v>79</v>
      </c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</row>
    <row r="569" ht="14" customHeight="1" spans="1:19">
      <c r="A569" s="43" t="s">
        <v>80</v>
      </c>
      <c r="B569" s="44"/>
      <c r="C569" s="44"/>
      <c r="D569" s="45" t="s">
        <v>124</v>
      </c>
      <c r="E569" s="43" t="s">
        <v>81</v>
      </c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</row>
    <row r="570" ht="17" customHeight="1" spans="1:19">
      <c r="A570" s="46" t="s">
        <v>52</v>
      </c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</row>
    <row r="571" ht="14" customHeight="1" spans="1:19">
      <c r="A571" s="43" t="s">
        <v>84</v>
      </c>
      <c r="B571" s="43" t="s">
        <v>85</v>
      </c>
      <c r="C571" s="44"/>
      <c r="D571" s="43" t="s">
        <v>52</v>
      </c>
      <c r="E571" s="43" t="s">
        <v>87</v>
      </c>
      <c r="F571" s="43" t="s">
        <v>88</v>
      </c>
      <c r="G571" s="43" t="s">
        <v>89</v>
      </c>
      <c r="H571" s="43" t="s">
        <v>90</v>
      </c>
      <c r="I571" s="43" t="s">
        <v>91</v>
      </c>
      <c r="J571" s="44"/>
      <c r="K571" s="53" t="s">
        <v>128</v>
      </c>
      <c r="L571" s="53" t="s">
        <v>129</v>
      </c>
      <c r="M571" s="53" t="s">
        <v>130</v>
      </c>
      <c r="N571" s="53" t="s">
        <v>131</v>
      </c>
      <c r="O571" s="53" t="s">
        <v>132</v>
      </c>
      <c r="P571" s="53" t="s">
        <v>93</v>
      </c>
      <c r="Q571" s="53" t="s">
        <v>94</v>
      </c>
      <c r="R571" s="60"/>
      <c r="S571" s="53" t="s">
        <v>133</v>
      </c>
    </row>
    <row r="572" ht="20" customHeight="1" spans="1:19">
      <c r="A572" s="43" t="s">
        <v>134</v>
      </c>
      <c r="B572" s="43" t="s">
        <v>135</v>
      </c>
      <c r="C572" s="44"/>
      <c r="D572" s="43" t="s">
        <v>52</v>
      </c>
      <c r="E572" s="43" t="s">
        <v>136</v>
      </c>
      <c r="F572" s="43" t="s">
        <v>52</v>
      </c>
      <c r="G572" s="43" t="s">
        <v>108</v>
      </c>
      <c r="H572" s="43" t="s">
        <v>109</v>
      </c>
      <c r="I572" s="43" t="s">
        <v>52</v>
      </c>
      <c r="J572" s="44"/>
      <c r="K572" s="54">
        <v>34272</v>
      </c>
      <c r="L572" s="54">
        <v>34272</v>
      </c>
      <c r="M572" s="54">
        <v>0</v>
      </c>
      <c r="N572" s="54">
        <v>0</v>
      </c>
      <c r="O572" s="54">
        <v>34272</v>
      </c>
      <c r="P572" s="55">
        <v>0.01</v>
      </c>
      <c r="Q572" s="61">
        <v>249.5</v>
      </c>
      <c r="R572" s="60"/>
      <c r="S572" s="61">
        <v>249.5</v>
      </c>
    </row>
    <row r="573" ht="20" customHeight="1" spans="1:19">
      <c r="A573" s="43" t="s">
        <v>134</v>
      </c>
      <c r="B573" s="43" t="s">
        <v>135</v>
      </c>
      <c r="C573" s="44"/>
      <c r="D573" s="43" t="s">
        <v>52</v>
      </c>
      <c r="E573" s="43" t="s">
        <v>136</v>
      </c>
      <c r="F573" s="43" t="s">
        <v>52</v>
      </c>
      <c r="G573" s="43" t="s">
        <v>108</v>
      </c>
      <c r="H573" s="43" t="s">
        <v>109</v>
      </c>
      <c r="I573" s="43" t="s">
        <v>52</v>
      </c>
      <c r="J573" s="44"/>
      <c r="K573" s="54">
        <v>4752</v>
      </c>
      <c r="L573" s="54">
        <v>4752</v>
      </c>
      <c r="M573" s="54">
        <v>0</v>
      </c>
      <c r="N573" s="54">
        <v>0</v>
      </c>
      <c r="O573" s="54">
        <v>4752</v>
      </c>
      <c r="P573" s="55">
        <v>0.01</v>
      </c>
      <c r="Q573" s="61">
        <v>34.59</v>
      </c>
      <c r="R573" s="60"/>
      <c r="S573" s="61">
        <v>34.59</v>
      </c>
    </row>
    <row r="574" ht="20" customHeight="1" spans="1:19">
      <c r="A574" s="43" t="s">
        <v>134</v>
      </c>
      <c r="B574" s="43" t="s">
        <v>135</v>
      </c>
      <c r="C574" s="44"/>
      <c r="D574" s="43" t="s">
        <v>52</v>
      </c>
      <c r="E574" s="43" t="s">
        <v>136</v>
      </c>
      <c r="F574" s="43" t="s">
        <v>52</v>
      </c>
      <c r="G574" s="43" t="s">
        <v>108</v>
      </c>
      <c r="H574" s="43" t="s">
        <v>109</v>
      </c>
      <c r="I574" s="43" t="s">
        <v>52</v>
      </c>
      <c r="J574" s="44"/>
      <c r="K574" s="54">
        <v>144</v>
      </c>
      <c r="L574" s="54">
        <v>144</v>
      </c>
      <c r="M574" s="54">
        <v>0</v>
      </c>
      <c r="N574" s="54">
        <v>0</v>
      </c>
      <c r="O574" s="54">
        <v>144</v>
      </c>
      <c r="P574" s="55">
        <v>0.01</v>
      </c>
      <c r="Q574" s="61">
        <v>1.05</v>
      </c>
      <c r="R574" s="60"/>
      <c r="S574" s="61">
        <v>1.05</v>
      </c>
    </row>
    <row r="575" ht="20" customHeight="1" spans="1:19">
      <c r="A575" s="43" t="s">
        <v>137</v>
      </c>
      <c r="B575" s="43" t="s">
        <v>138</v>
      </c>
      <c r="C575" s="44"/>
      <c r="D575" s="43" t="s">
        <v>52</v>
      </c>
      <c r="E575" s="43" t="s">
        <v>139</v>
      </c>
      <c r="F575" s="43" t="s">
        <v>52</v>
      </c>
      <c r="G575" s="43" t="s">
        <v>100</v>
      </c>
      <c r="H575" s="43" t="s">
        <v>101</v>
      </c>
      <c r="I575" s="43" t="s">
        <v>52</v>
      </c>
      <c r="J575" s="44"/>
      <c r="K575" s="54">
        <v>1692</v>
      </c>
      <c r="L575" s="54">
        <v>1692</v>
      </c>
      <c r="M575" s="54">
        <v>0</v>
      </c>
      <c r="N575" s="54">
        <v>0</v>
      </c>
      <c r="O575" s="54">
        <v>1692</v>
      </c>
      <c r="P575" s="55">
        <v>0.11</v>
      </c>
      <c r="Q575" s="61">
        <v>191.47</v>
      </c>
      <c r="R575" s="60"/>
      <c r="S575" s="61">
        <v>191.47</v>
      </c>
    </row>
    <row r="576" ht="20" customHeight="1" spans="1:19">
      <c r="A576" s="43" t="s">
        <v>137</v>
      </c>
      <c r="B576" s="43" t="s">
        <v>138</v>
      </c>
      <c r="C576" s="44"/>
      <c r="D576" s="43" t="s">
        <v>52</v>
      </c>
      <c r="E576" s="43" t="s">
        <v>139</v>
      </c>
      <c r="F576" s="43" t="s">
        <v>52</v>
      </c>
      <c r="G576" s="43" t="s">
        <v>100</v>
      </c>
      <c r="H576" s="43" t="s">
        <v>101</v>
      </c>
      <c r="I576" s="43" t="s">
        <v>52</v>
      </c>
      <c r="J576" s="44"/>
      <c r="K576" s="54">
        <v>8</v>
      </c>
      <c r="L576" s="54">
        <v>8</v>
      </c>
      <c r="M576" s="54">
        <v>0</v>
      </c>
      <c r="N576" s="54">
        <v>0</v>
      </c>
      <c r="O576" s="54">
        <v>8</v>
      </c>
      <c r="P576" s="55">
        <v>0.11</v>
      </c>
      <c r="Q576" s="61">
        <v>0.91</v>
      </c>
      <c r="R576" s="60"/>
      <c r="S576" s="61">
        <v>0.91</v>
      </c>
    </row>
    <row r="577" ht="20" customHeight="1" spans="1:19">
      <c r="A577" s="43" t="s">
        <v>137</v>
      </c>
      <c r="B577" s="43" t="s">
        <v>138</v>
      </c>
      <c r="C577" s="44"/>
      <c r="D577" s="43" t="s">
        <v>52</v>
      </c>
      <c r="E577" s="43" t="s">
        <v>139</v>
      </c>
      <c r="F577" s="43" t="s">
        <v>52</v>
      </c>
      <c r="G577" s="43" t="s">
        <v>100</v>
      </c>
      <c r="H577" s="43" t="s">
        <v>101</v>
      </c>
      <c r="I577" s="43" t="s">
        <v>52</v>
      </c>
      <c r="J577" s="44"/>
      <c r="K577" s="54">
        <v>10</v>
      </c>
      <c r="L577" s="54">
        <v>10</v>
      </c>
      <c r="M577" s="54">
        <v>0</v>
      </c>
      <c r="N577" s="54">
        <v>0</v>
      </c>
      <c r="O577" s="54">
        <v>10</v>
      </c>
      <c r="P577" s="55">
        <v>0.11</v>
      </c>
      <c r="Q577" s="61">
        <v>1.13</v>
      </c>
      <c r="R577" s="60"/>
      <c r="S577" s="61">
        <v>1.13</v>
      </c>
    </row>
    <row r="578" ht="20" customHeight="1" spans="1:19">
      <c r="A578" s="43" t="s">
        <v>140</v>
      </c>
      <c r="B578" s="43" t="s">
        <v>141</v>
      </c>
      <c r="C578" s="44"/>
      <c r="D578" s="43" t="s">
        <v>52</v>
      </c>
      <c r="E578" s="43" t="s">
        <v>142</v>
      </c>
      <c r="F578" s="43" t="s">
        <v>52</v>
      </c>
      <c r="G578" s="43" t="s">
        <v>108</v>
      </c>
      <c r="H578" s="43" t="s">
        <v>109</v>
      </c>
      <c r="I578" s="43" t="s">
        <v>52</v>
      </c>
      <c r="J578" s="44"/>
      <c r="K578" s="54">
        <v>180</v>
      </c>
      <c r="L578" s="54">
        <v>180</v>
      </c>
      <c r="M578" s="54">
        <v>0</v>
      </c>
      <c r="N578" s="54">
        <v>0</v>
      </c>
      <c r="O578" s="54">
        <v>180</v>
      </c>
      <c r="P578" s="55">
        <v>0.01</v>
      </c>
      <c r="Q578" s="61">
        <v>1.31</v>
      </c>
      <c r="R578" s="60"/>
      <c r="S578" s="61">
        <v>1.31</v>
      </c>
    </row>
    <row r="579" ht="20" customHeight="1" spans="1:19">
      <c r="A579" s="43" t="s">
        <v>140</v>
      </c>
      <c r="B579" s="43" t="s">
        <v>141</v>
      </c>
      <c r="C579" s="44"/>
      <c r="D579" s="43" t="s">
        <v>52</v>
      </c>
      <c r="E579" s="43" t="s">
        <v>142</v>
      </c>
      <c r="F579" s="43" t="s">
        <v>52</v>
      </c>
      <c r="G579" s="43" t="s">
        <v>108</v>
      </c>
      <c r="H579" s="43" t="s">
        <v>109</v>
      </c>
      <c r="I579" s="43" t="s">
        <v>52</v>
      </c>
      <c r="J579" s="44"/>
      <c r="K579" s="54">
        <v>24</v>
      </c>
      <c r="L579" s="54">
        <v>24</v>
      </c>
      <c r="M579" s="54">
        <v>0</v>
      </c>
      <c r="N579" s="54">
        <v>0</v>
      </c>
      <c r="O579" s="54">
        <v>24</v>
      </c>
      <c r="P579" s="55">
        <v>0.01</v>
      </c>
      <c r="Q579" s="61">
        <v>0.17</v>
      </c>
      <c r="R579" s="60"/>
      <c r="S579" s="61">
        <v>0.17</v>
      </c>
    </row>
    <row r="580" ht="20" customHeight="1" spans="1:19">
      <c r="A580" s="43" t="s">
        <v>140</v>
      </c>
      <c r="B580" s="43" t="s">
        <v>141</v>
      </c>
      <c r="C580" s="44"/>
      <c r="D580" s="43" t="s">
        <v>52</v>
      </c>
      <c r="E580" s="43" t="s">
        <v>142</v>
      </c>
      <c r="F580" s="43" t="s">
        <v>52</v>
      </c>
      <c r="G580" s="43" t="s">
        <v>108</v>
      </c>
      <c r="H580" s="43" t="s">
        <v>109</v>
      </c>
      <c r="I580" s="43" t="s">
        <v>52</v>
      </c>
      <c r="J580" s="44"/>
      <c r="K580" s="54">
        <v>19224</v>
      </c>
      <c r="L580" s="54">
        <v>19224</v>
      </c>
      <c r="M580" s="54">
        <v>0</v>
      </c>
      <c r="N580" s="54">
        <v>0</v>
      </c>
      <c r="O580" s="54">
        <v>19224</v>
      </c>
      <c r="P580" s="55">
        <v>0.01</v>
      </c>
      <c r="Q580" s="61">
        <v>139.95</v>
      </c>
      <c r="R580" s="60"/>
      <c r="S580" s="61">
        <v>139.95</v>
      </c>
    </row>
    <row r="581" ht="20" customHeight="1" spans="1:19">
      <c r="A581" s="43" t="s">
        <v>140</v>
      </c>
      <c r="B581" s="43" t="s">
        <v>141</v>
      </c>
      <c r="C581" s="44"/>
      <c r="D581" s="43" t="s">
        <v>52</v>
      </c>
      <c r="E581" s="43" t="s">
        <v>142</v>
      </c>
      <c r="F581" s="43" t="s">
        <v>52</v>
      </c>
      <c r="G581" s="43" t="s">
        <v>108</v>
      </c>
      <c r="H581" s="43" t="s">
        <v>109</v>
      </c>
      <c r="I581" s="43" t="s">
        <v>52</v>
      </c>
      <c r="J581" s="44"/>
      <c r="K581" s="54">
        <v>156</v>
      </c>
      <c r="L581" s="54">
        <v>156</v>
      </c>
      <c r="M581" s="54">
        <v>0</v>
      </c>
      <c r="N581" s="54">
        <v>0</v>
      </c>
      <c r="O581" s="54">
        <v>156</v>
      </c>
      <c r="P581" s="55">
        <v>0.01</v>
      </c>
      <c r="Q581" s="61">
        <v>1.14</v>
      </c>
      <c r="R581" s="60"/>
      <c r="S581" s="61">
        <v>1.14</v>
      </c>
    </row>
    <row r="582" ht="20" customHeight="1" spans="1:19">
      <c r="A582" s="43" t="s">
        <v>97</v>
      </c>
      <c r="B582" s="43" t="s">
        <v>102</v>
      </c>
      <c r="C582" s="44"/>
      <c r="D582" s="43" t="s">
        <v>52</v>
      </c>
      <c r="E582" s="43" t="s">
        <v>99</v>
      </c>
      <c r="F582" s="43" t="s">
        <v>52</v>
      </c>
      <c r="G582" s="43" t="s">
        <v>100</v>
      </c>
      <c r="H582" s="43" t="s">
        <v>101</v>
      </c>
      <c r="I582" s="43" t="s">
        <v>52</v>
      </c>
      <c r="J582" s="44"/>
      <c r="K582" s="54">
        <v>3</v>
      </c>
      <c r="L582" s="54">
        <v>3</v>
      </c>
      <c r="M582" s="54">
        <v>0</v>
      </c>
      <c r="N582" s="54">
        <v>0</v>
      </c>
      <c r="O582" s="54">
        <v>3</v>
      </c>
      <c r="P582" s="55">
        <v>0.11</v>
      </c>
      <c r="Q582" s="61">
        <v>0.34</v>
      </c>
      <c r="R582" s="60"/>
      <c r="S582" s="61">
        <v>0.34</v>
      </c>
    </row>
    <row r="583" ht="20" customHeight="1" spans="1:19">
      <c r="A583" s="43" t="s">
        <v>97</v>
      </c>
      <c r="B583" s="43" t="s">
        <v>102</v>
      </c>
      <c r="C583" s="44"/>
      <c r="D583" s="43" t="s">
        <v>52</v>
      </c>
      <c r="E583" s="43" t="s">
        <v>99</v>
      </c>
      <c r="F583" s="43" t="s">
        <v>52</v>
      </c>
      <c r="G583" s="43" t="s">
        <v>100</v>
      </c>
      <c r="H583" s="43" t="s">
        <v>101</v>
      </c>
      <c r="I583" s="43" t="s">
        <v>52</v>
      </c>
      <c r="J583" s="44"/>
      <c r="K583" s="54">
        <v>1092</v>
      </c>
      <c r="L583" s="54">
        <v>1092</v>
      </c>
      <c r="M583" s="54">
        <v>0</v>
      </c>
      <c r="N583" s="54">
        <v>0</v>
      </c>
      <c r="O583" s="54">
        <v>1092</v>
      </c>
      <c r="P583" s="55">
        <v>0.11</v>
      </c>
      <c r="Q583" s="61">
        <v>123.57</v>
      </c>
      <c r="R583" s="60"/>
      <c r="S583" s="61">
        <v>123.57</v>
      </c>
    </row>
    <row r="584" ht="20" customHeight="1" spans="1:19">
      <c r="A584" s="43" t="s">
        <v>97</v>
      </c>
      <c r="B584" s="43" t="s">
        <v>102</v>
      </c>
      <c r="C584" s="44"/>
      <c r="D584" s="43" t="s">
        <v>52</v>
      </c>
      <c r="E584" s="43" t="s">
        <v>99</v>
      </c>
      <c r="F584" s="43" t="s">
        <v>52</v>
      </c>
      <c r="G584" s="43" t="s">
        <v>100</v>
      </c>
      <c r="H584" s="43" t="s">
        <v>101</v>
      </c>
      <c r="I584" s="43" t="s">
        <v>52</v>
      </c>
      <c r="J584" s="44"/>
      <c r="K584" s="54">
        <v>4</v>
      </c>
      <c r="L584" s="54">
        <v>4</v>
      </c>
      <c r="M584" s="54">
        <v>0</v>
      </c>
      <c r="N584" s="54">
        <v>0</v>
      </c>
      <c r="O584" s="54">
        <v>4</v>
      </c>
      <c r="P584" s="55">
        <v>0.11</v>
      </c>
      <c r="Q584" s="61">
        <v>0.45</v>
      </c>
      <c r="R584" s="60"/>
      <c r="S584" s="61">
        <v>0.45</v>
      </c>
    </row>
    <row r="585" ht="20" customHeight="1" spans="1:19">
      <c r="A585" s="43" t="s">
        <v>97</v>
      </c>
      <c r="B585" s="43" t="s">
        <v>102</v>
      </c>
      <c r="C585" s="44"/>
      <c r="D585" s="43" t="s">
        <v>52</v>
      </c>
      <c r="E585" s="43" t="s">
        <v>99</v>
      </c>
      <c r="F585" s="43" t="s">
        <v>52</v>
      </c>
      <c r="G585" s="43" t="s">
        <v>100</v>
      </c>
      <c r="H585" s="43" t="s">
        <v>101</v>
      </c>
      <c r="I585" s="43" t="s">
        <v>52</v>
      </c>
      <c r="J585" s="44"/>
      <c r="K585" s="54">
        <v>1</v>
      </c>
      <c r="L585" s="54">
        <v>1</v>
      </c>
      <c r="M585" s="54">
        <v>0</v>
      </c>
      <c r="N585" s="54">
        <v>0</v>
      </c>
      <c r="O585" s="54">
        <v>1</v>
      </c>
      <c r="P585" s="55">
        <v>0.11</v>
      </c>
      <c r="Q585" s="61">
        <v>0.11</v>
      </c>
      <c r="R585" s="60"/>
      <c r="S585" s="61">
        <v>0.11</v>
      </c>
    </row>
    <row r="586" ht="20" customHeight="1" spans="1:19">
      <c r="A586" s="43" t="s">
        <v>97</v>
      </c>
      <c r="B586" s="43" t="s">
        <v>102</v>
      </c>
      <c r="C586" s="44"/>
      <c r="D586" s="43" t="s">
        <v>52</v>
      </c>
      <c r="E586" s="43" t="s">
        <v>99</v>
      </c>
      <c r="F586" s="43" t="s">
        <v>52</v>
      </c>
      <c r="G586" s="43" t="s">
        <v>103</v>
      </c>
      <c r="H586" s="43" t="s">
        <v>104</v>
      </c>
      <c r="I586" s="43" t="s">
        <v>52</v>
      </c>
      <c r="J586" s="44"/>
      <c r="K586" s="54">
        <v>56</v>
      </c>
      <c r="L586" s="54">
        <v>56</v>
      </c>
      <c r="M586" s="54">
        <v>0</v>
      </c>
      <c r="N586" s="54">
        <v>0</v>
      </c>
      <c r="O586" s="54">
        <v>56</v>
      </c>
      <c r="P586" s="55">
        <v>0.02</v>
      </c>
      <c r="Q586" s="61">
        <v>1.08</v>
      </c>
      <c r="R586" s="60"/>
      <c r="S586" s="61">
        <v>1.08</v>
      </c>
    </row>
    <row r="587" ht="20" customHeight="1" spans="1:19">
      <c r="A587" s="43" t="s">
        <v>97</v>
      </c>
      <c r="B587" s="43" t="s">
        <v>102</v>
      </c>
      <c r="C587" s="44"/>
      <c r="D587" s="43" t="s">
        <v>52</v>
      </c>
      <c r="E587" s="43" t="s">
        <v>99</v>
      </c>
      <c r="F587" s="43" t="s">
        <v>52</v>
      </c>
      <c r="G587" s="43" t="s">
        <v>103</v>
      </c>
      <c r="H587" s="43" t="s">
        <v>104</v>
      </c>
      <c r="I587" s="43" t="s">
        <v>52</v>
      </c>
      <c r="J587" s="44"/>
      <c r="K587" s="54">
        <v>14148</v>
      </c>
      <c r="L587" s="54">
        <v>14148</v>
      </c>
      <c r="M587" s="54">
        <v>0</v>
      </c>
      <c r="N587" s="54">
        <v>0</v>
      </c>
      <c r="O587" s="54">
        <v>14148</v>
      </c>
      <c r="P587" s="55">
        <v>0.02</v>
      </c>
      <c r="Q587" s="61">
        <v>272.75</v>
      </c>
      <c r="R587" s="60"/>
      <c r="S587" s="61">
        <v>272.75</v>
      </c>
    </row>
    <row r="588" ht="20" customHeight="1" spans="1:19">
      <c r="A588" s="43" t="s">
        <v>97</v>
      </c>
      <c r="B588" s="43" t="s">
        <v>102</v>
      </c>
      <c r="C588" s="44"/>
      <c r="D588" s="43" t="s">
        <v>52</v>
      </c>
      <c r="E588" s="43" t="s">
        <v>99</v>
      </c>
      <c r="F588" s="43" t="s">
        <v>52</v>
      </c>
      <c r="G588" s="43" t="s">
        <v>103</v>
      </c>
      <c r="H588" s="43" t="s">
        <v>104</v>
      </c>
      <c r="I588" s="43" t="s">
        <v>52</v>
      </c>
      <c r="J588" s="44"/>
      <c r="K588" s="54">
        <v>4</v>
      </c>
      <c r="L588" s="54">
        <v>4</v>
      </c>
      <c r="M588" s="54">
        <v>0</v>
      </c>
      <c r="N588" s="54">
        <v>0</v>
      </c>
      <c r="O588" s="54">
        <v>4</v>
      </c>
      <c r="P588" s="55">
        <v>0.02</v>
      </c>
      <c r="Q588" s="61">
        <v>0.08</v>
      </c>
      <c r="R588" s="60"/>
      <c r="S588" s="61">
        <v>0.08</v>
      </c>
    </row>
    <row r="589" ht="20" customHeight="1" spans="1:19">
      <c r="A589" s="43" t="s">
        <v>105</v>
      </c>
      <c r="B589" s="43" t="s">
        <v>106</v>
      </c>
      <c r="C589" s="44"/>
      <c r="D589" s="43" t="s">
        <v>52</v>
      </c>
      <c r="E589" s="43" t="s">
        <v>107</v>
      </c>
      <c r="F589" s="43" t="s">
        <v>52</v>
      </c>
      <c r="G589" s="43" t="s">
        <v>108</v>
      </c>
      <c r="H589" s="43" t="s">
        <v>109</v>
      </c>
      <c r="I589" s="43" t="s">
        <v>52</v>
      </c>
      <c r="J589" s="44"/>
      <c r="K589" s="54">
        <v>20736</v>
      </c>
      <c r="L589" s="54">
        <v>20736</v>
      </c>
      <c r="M589" s="54">
        <v>0</v>
      </c>
      <c r="N589" s="54">
        <v>0</v>
      </c>
      <c r="O589" s="54">
        <v>20736</v>
      </c>
      <c r="P589" s="55">
        <v>0.01</v>
      </c>
      <c r="Q589" s="61">
        <v>150.96</v>
      </c>
      <c r="R589" s="60"/>
      <c r="S589" s="61">
        <v>150.96</v>
      </c>
    </row>
    <row r="590" ht="20" customHeight="1" spans="1:19">
      <c r="A590" s="43" t="s">
        <v>105</v>
      </c>
      <c r="B590" s="43" t="s">
        <v>106</v>
      </c>
      <c r="C590" s="44"/>
      <c r="D590" s="43" t="s">
        <v>52</v>
      </c>
      <c r="E590" s="43" t="s">
        <v>107</v>
      </c>
      <c r="F590" s="43" t="s">
        <v>52</v>
      </c>
      <c r="G590" s="43" t="s">
        <v>108</v>
      </c>
      <c r="H590" s="43" t="s">
        <v>109</v>
      </c>
      <c r="I590" s="43" t="s">
        <v>52</v>
      </c>
      <c r="J590" s="44"/>
      <c r="K590" s="54">
        <v>180</v>
      </c>
      <c r="L590" s="54">
        <v>180</v>
      </c>
      <c r="M590" s="54">
        <v>0</v>
      </c>
      <c r="N590" s="54">
        <v>0</v>
      </c>
      <c r="O590" s="54">
        <v>180</v>
      </c>
      <c r="P590" s="55">
        <v>0.01</v>
      </c>
      <c r="Q590" s="61">
        <v>1.31</v>
      </c>
      <c r="R590" s="60"/>
      <c r="S590" s="61">
        <v>1.31</v>
      </c>
    </row>
    <row r="591" ht="20" customHeight="1" spans="1:19">
      <c r="A591" s="43" t="s">
        <v>105</v>
      </c>
      <c r="B591" s="43" t="s">
        <v>106</v>
      </c>
      <c r="C591" s="44"/>
      <c r="D591" s="43" t="s">
        <v>52</v>
      </c>
      <c r="E591" s="43" t="s">
        <v>107</v>
      </c>
      <c r="F591" s="43" t="s">
        <v>52</v>
      </c>
      <c r="G591" s="43" t="s">
        <v>108</v>
      </c>
      <c r="H591" s="43" t="s">
        <v>109</v>
      </c>
      <c r="I591" s="43" t="s">
        <v>52</v>
      </c>
      <c r="J591" s="44"/>
      <c r="K591" s="54">
        <v>8640</v>
      </c>
      <c r="L591" s="54">
        <v>8640</v>
      </c>
      <c r="M591" s="54">
        <v>0</v>
      </c>
      <c r="N591" s="54">
        <v>0</v>
      </c>
      <c r="O591" s="54">
        <v>8640</v>
      </c>
      <c r="P591" s="55">
        <v>0.01</v>
      </c>
      <c r="Q591" s="61">
        <v>62.9</v>
      </c>
      <c r="R591" s="60"/>
      <c r="S591" s="61">
        <v>62.9</v>
      </c>
    </row>
    <row r="592" ht="20" customHeight="1" spans="1:19">
      <c r="A592" s="43" t="s">
        <v>105</v>
      </c>
      <c r="B592" s="43" t="s">
        <v>106</v>
      </c>
      <c r="C592" s="44"/>
      <c r="D592" s="43" t="s">
        <v>52</v>
      </c>
      <c r="E592" s="43" t="s">
        <v>107</v>
      </c>
      <c r="F592" s="43" t="s">
        <v>52</v>
      </c>
      <c r="G592" s="43" t="s">
        <v>108</v>
      </c>
      <c r="H592" s="43" t="s">
        <v>109</v>
      </c>
      <c r="I592" s="43" t="s">
        <v>52</v>
      </c>
      <c r="J592" s="44"/>
      <c r="K592" s="54">
        <v>252</v>
      </c>
      <c r="L592" s="54">
        <v>252</v>
      </c>
      <c r="M592" s="54">
        <v>0</v>
      </c>
      <c r="N592" s="54">
        <v>0</v>
      </c>
      <c r="O592" s="54">
        <v>252</v>
      </c>
      <c r="P592" s="55">
        <v>0.01</v>
      </c>
      <c r="Q592" s="61">
        <v>1.83</v>
      </c>
      <c r="R592" s="60"/>
      <c r="S592" s="61">
        <v>1.83</v>
      </c>
    </row>
    <row r="593" ht="20" customHeight="1" spans="1:19">
      <c r="A593" s="43" t="s">
        <v>105</v>
      </c>
      <c r="B593" s="43" t="s">
        <v>106</v>
      </c>
      <c r="C593" s="44"/>
      <c r="D593" s="43" t="s">
        <v>52</v>
      </c>
      <c r="E593" s="43" t="s">
        <v>107</v>
      </c>
      <c r="F593" s="43" t="s">
        <v>52</v>
      </c>
      <c r="G593" s="43" t="s">
        <v>108</v>
      </c>
      <c r="H593" s="43" t="s">
        <v>109</v>
      </c>
      <c r="I593" s="43" t="s">
        <v>52</v>
      </c>
      <c r="J593" s="44"/>
      <c r="K593" s="54">
        <v>9360</v>
      </c>
      <c r="L593" s="54">
        <v>9360</v>
      </c>
      <c r="M593" s="54">
        <v>0</v>
      </c>
      <c r="N593" s="54">
        <v>0</v>
      </c>
      <c r="O593" s="54">
        <v>9360</v>
      </c>
      <c r="P593" s="55">
        <v>0.01</v>
      </c>
      <c r="Q593" s="61">
        <v>68.14</v>
      </c>
      <c r="R593" s="60"/>
      <c r="S593" s="61">
        <v>68.14</v>
      </c>
    </row>
    <row r="594" ht="13" customHeight="1" spans="1:19">
      <c r="A594" s="47" t="s">
        <v>143</v>
      </c>
      <c r="B594" s="48"/>
      <c r="C594" s="48"/>
      <c r="D594" s="48"/>
      <c r="E594" s="48"/>
      <c r="F594" s="48"/>
      <c r="G594" s="48"/>
      <c r="H594" s="48"/>
      <c r="I594" s="48"/>
      <c r="J594" s="56"/>
      <c r="K594" s="47" t="s">
        <v>144</v>
      </c>
      <c r="L594" s="57">
        <v>114938</v>
      </c>
      <c r="M594" s="58">
        <v>0</v>
      </c>
      <c r="N594" s="58">
        <v>0</v>
      </c>
      <c r="O594" s="58">
        <v>114938</v>
      </c>
      <c r="P594" s="59" t="s">
        <v>52</v>
      </c>
      <c r="Q594" s="62"/>
      <c r="R594" s="62"/>
      <c r="S594" s="63">
        <v>1304.74</v>
      </c>
    </row>
    <row r="595" ht="19" customHeight="1" spans="1:19">
      <c r="A595" s="43" t="s">
        <v>145</v>
      </c>
      <c r="B595" s="44"/>
      <c r="C595" s="44"/>
      <c r="D595" s="49" t="s">
        <v>146</v>
      </c>
      <c r="E595" s="50" t="s">
        <v>147</v>
      </c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56"/>
      <c r="S595" s="56"/>
    </row>
    <row r="596" ht="19" customHeight="1" spans="1:19">
      <c r="A596" s="49" t="s">
        <v>146</v>
      </c>
      <c r="B596" s="51"/>
      <c r="C596" s="51"/>
      <c r="D596" s="49" t="s">
        <v>146</v>
      </c>
      <c r="E596" s="49" t="s">
        <v>119</v>
      </c>
      <c r="F596" s="52">
        <v>700</v>
      </c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56"/>
      <c r="S596" s="56"/>
    </row>
    <row r="597" ht="12" customHeight="1" spans="1:19">
      <c r="A597" s="46" t="s">
        <v>52</v>
      </c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56"/>
      <c r="S597" s="56"/>
    </row>
    <row r="598" ht="14" customHeight="1" spans="1:19">
      <c r="A598" s="43" t="s">
        <v>67</v>
      </c>
      <c r="B598" s="44"/>
      <c r="C598" s="44"/>
      <c r="D598" s="45" t="s">
        <v>124</v>
      </c>
      <c r="E598" s="43" t="s">
        <v>69</v>
      </c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</row>
    <row r="599" ht="14" customHeight="1" spans="1:19">
      <c r="A599" s="43" t="s">
        <v>70</v>
      </c>
      <c r="B599" s="44"/>
      <c r="C599" s="44"/>
      <c r="D599" s="45" t="s">
        <v>124</v>
      </c>
      <c r="E599" s="43" t="s">
        <v>71</v>
      </c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</row>
    <row r="600" ht="14" customHeight="1" spans="1:19">
      <c r="A600" s="43" t="s">
        <v>82</v>
      </c>
      <c r="B600" s="44"/>
      <c r="C600" s="44"/>
      <c r="D600" s="45" t="s">
        <v>124</v>
      </c>
      <c r="E600" s="43" t="s">
        <v>83</v>
      </c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</row>
    <row r="601" ht="14" customHeight="1" spans="1:19">
      <c r="A601" s="43" t="s">
        <v>72</v>
      </c>
      <c r="B601" s="44"/>
      <c r="C601" s="44"/>
      <c r="D601" s="45" t="s">
        <v>124</v>
      </c>
      <c r="E601" s="43" t="s">
        <v>125</v>
      </c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</row>
    <row r="602" ht="14" customHeight="1" spans="1:19">
      <c r="A602" s="43" t="s">
        <v>126</v>
      </c>
      <c r="B602" s="44"/>
      <c r="C602" s="44"/>
      <c r="D602" s="45" t="s">
        <v>124</v>
      </c>
      <c r="E602" s="43" t="s">
        <v>164</v>
      </c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</row>
    <row r="603" ht="14" customHeight="1" spans="1:19">
      <c r="A603" s="43" t="s">
        <v>76</v>
      </c>
      <c r="B603" s="44"/>
      <c r="C603" s="44"/>
      <c r="D603" s="45" t="s">
        <v>124</v>
      </c>
      <c r="E603" s="43" t="s">
        <v>77</v>
      </c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</row>
    <row r="604" ht="14" customHeight="1" spans="1:19">
      <c r="A604" s="43" t="s">
        <v>78</v>
      </c>
      <c r="B604" s="44"/>
      <c r="C604" s="44"/>
      <c r="D604" s="45" t="s">
        <v>124</v>
      </c>
      <c r="E604" s="43" t="s">
        <v>79</v>
      </c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</row>
    <row r="605" ht="14" customHeight="1" spans="1:19">
      <c r="A605" s="43" t="s">
        <v>80</v>
      </c>
      <c r="B605" s="44"/>
      <c r="C605" s="44"/>
      <c r="D605" s="45" t="s">
        <v>124</v>
      </c>
      <c r="E605" s="43" t="s">
        <v>81</v>
      </c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</row>
    <row r="606" ht="17" customHeight="1" spans="1:19">
      <c r="A606" s="46" t="s">
        <v>52</v>
      </c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</row>
    <row r="607" ht="14" customHeight="1" spans="1:19">
      <c r="A607" s="43" t="s">
        <v>84</v>
      </c>
      <c r="B607" s="43" t="s">
        <v>85</v>
      </c>
      <c r="C607" s="44"/>
      <c r="D607" s="43" t="s">
        <v>52</v>
      </c>
      <c r="E607" s="43" t="s">
        <v>87</v>
      </c>
      <c r="F607" s="43" t="s">
        <v>88</v>
      </c>
      <c r="G607" s="43" t="s">
        <v>89</v>
      </c>
      <c r="H607" s="43" t="s">
        <v>90</v>
      </c>
      <c r="I607" s="43" t="s">
        <v>91</v>
      </c>
      <c r="J607" s="44"/>
      <c r="K607" s="53" t="s">
        <v>128</v>
      </c>
      <c r="L607" s="53" t="s">
        <v>129</v>
      </c>
      <c r="M607" s="53" t="s">
        <v>130</v>
      </c>
      <c r="N607" s="53" t="s">
        <v>131</v>
      </c>
      <c r="O607" s="53" t="s">
        <v>132</v>
      </c>
      <c r="P607" s="53" t="s">
        <v>93</v>
      </c>
      <c r="Q607" s="53" t="s">
        <v>94</v>
      </c>
      <c r="R607" s="60"/>
      <c r="S607" s="53" t="s">
        <v>133</v>
      </c>
    </row>
    <row r="608" ht="20" customHeight="1" spans="1:19">
      <c r="A608" s="43" t="s">
        <v>134</v>
      </c>
      <c r="B608" s="43" t="s">
        <v>135</v>
      </c>
      <c r="C608" s="44"/>
      <c r="D608" s="43" t="s">
        <v>52</v>
      </c>
      <c r="E608" s="43" t="s">
        <v>136</v>
      </c>
      <c r="F608" s="43" t="s">
        <v>52</v>
      </c>
      <c r="G608" s="43" t="s">
        <v>108</v>
      </c>
      <c r="H608" s="43" t="s">
        <v>109</v>
      </c>
      <c r="I608" s="43" t="s">
        <v>52</v>
      </c>
      <c r="J608" s="44"/>
      <c r="K608" s="54">
        <v>34272</v>
      </c>
      <c r="L608" s="54">
        <v>34272</v>
      </c>
      <c r="M608" s="54">
        <v>0</v>
      </c>
      <c r="N608" s="54">
        <v>0</v>
      </c>
      <c r="O608" s="54">
        <v>34272</v>
      </c>
      <c r="P608" s="55">
        <v>0.01</v>
      </c>
      <c r="Q608" s="61">
        <v>249.5</v>
      </c>
      <c r="R608" s="60"/>
      <c r="S608" s="61">
        <v>249.5</v>
      </c>
    </row>
    <row r="609" ht="20" customHeight="1" spans="1:19">
      <c r="A609" s="43" t="s">
        <v>134</v>
      </c>
      <c r="B609" s="43" t="s">
        <v>135</v>
      </c>
      <c r="C609" s="44"/>
      <c r="D609" s="43" t="s">
        <v>52</v>
      </c>
      <c r="E609" s="43" t="s">
        <v>136</v>
      </c>
      <c r="F609" s="43" t="s">
        <v>52</v>
      </c>
      <c r="G609" s="43" t="s">
        <v>108</v>
      </c>
      <c r="H609" s="43" t="s">
        <v>109</v>
      </c>
      <c r="I609" s="43" t="s">
        <v>52</v>
      </c>
      <c r="J609" s="44"/>
      <c r="K609" s="54">
        <v>4752</v>
      </c>
      <c r="L609" s="54">
        <v>4752</v>
      </c>
      <c r="M609" s="54">
        <v>0</v>
      </c>
      <c r="N609" s="54">
        <v>0</v>
      </c>
      <c r="O609" s="54">
        <v>4752</v>
      </c>
      <c r="P609" s="55">
        <v>0.01</v>
      </c>
      <c r="Q609" s="61">
        <v>34.59</v>
      </c>
      <c r="R609" s="60"/>
      <c r="S609" s="61">
        <v>34.59</v>
      </c>
    </row>
    <row r="610" ht="20" customHeight="1" spans="1:19">
      <c r="A610" s="43" t="s">
        <v>134</v>
      </c>
      <c r="B610" s="43" t="s">
        <v>135</v>
      </c>
      <c r="C610" s="44"/>
      <c r="D610" s="43" t="s">
        <v>52</v>
      </c>
      <c r="E610" s="43" t="s">
        <v>136</v>
      </c>
      <c r="F610" s="43" t="s">
        <v>52</v>
      </c>
      <c r="G610" s="43" t="s">
        <v>108</v>
      </c>
      <c r="H610" s="43" t="s">
        <v>109</v>
      </c>
      <c r="I610" s="43" t="s">
        <v>52</v>
      </c>
      <c r="J610" s="44"/>
      <c r="K610" s="54">
        <v>144</v>
      </c>
      <c r="L610" s="54">
        <v>144</v>
      </c>
      <c r="M610" s="54">
        <v>0</v>
      </c>
      <c r="N610" s="54">
        <v>0</v>
      </c>
      <c r="O610" s="54">
        <v>144</v>
      </c>
      <c r="P610" s="55">
        <v>0.01</v>
      </c>
      <c r="Q610" s="61">
        <v>1.05</v>
      </c>
      <c r="R610" s="60"/>
      <c r="S610" s="61">
        <v>1.05</v>
      </c>
    </row>
    <row r="611" ht="20" customHeight="1" spans="1:19">
      <c r="A611" s="43" t="s">
        <v>137</v>
      </c>
      <c r="B611" s="43" t="s">
        <v>138</v>
      </c>
      <c r="C611" s="44"/>
      <c r="D611" s="43" t="s">
        <v>52</v>
      </c>
      <c r="E611" s="43" t="s">
        <v>139</v>
      </c>
      <c r="F611" s="43" t="s">
        <v>52</v>
      </c>
      <c r="G611" s="43" t="s">
        <v>100</v>
      </c>
      <c r="H611" s="43" t="s">
        <v>101</v>
      </c>
      <c r="I611" s="43" t="s">
        <v>52</v>
      </c>
      <c r="J611" s="44"/>
      <c r="K611" s="54">
        <v>1692</v>
      </c>
      <c r="L611" s="54">
        <v>1692</v>
      </c>
      <c r="M611" s="54">
        <v>0</v>
      </c>
      <c r="N611" s="54">
        <v>0</v>
      </c>
      <c r="O611" s="54">
        <v>1692</v>
      </c>
      <c r="P611" s="55">
        <v>0.11</v>
      </c>
      <c r="Q611" s="61">
        <v>191.47</v>
      </c>
      <c r="R611" s="60"/>
      <c r="S611" s="61">
        <v>191.47</v>
      </c>
    </row>
    <row r="612" ht="20" customHeight="1" spans="1:19">
      <c r="A612" s="43" t="s">
        <v>137</v>
      </c>
      <c r="B612" s="43" t="s">
        <v>138</v>
      </c>
      <c r="C612" s="44"/>
      <c r="D612" s="43" t="s">
        <v>52</v>
      </c>
      <c r="E612" s="43" t="s">
        <v>139</v>
      </c>
      <c r="F612" s="43" t="s">
        <v>52</v>
      </c>
      <c r="G612" s="43" t="s">
        <v>100</v>
      </c>
      <c r="H612" s="43" t="s">
        <v>101</v>
      </c>
      <c r="I612" s="43" t="s">
        <v>52</v>
      </c>
      <c r="J612" s="44"/>
      <c r="K612" s="54">
        <v>8</v>
      </c>
      <c r="L612" s="54">
        <v>8</v>
      </c>
      <c r="M612" s="54">
        <v>0</v>
      </c>
      <c r="N612" s="54">
        <v>0</v>
      </c>
      <c r="O612" s="54">
        <v>8</v>
      </c>
      <c r="P612" s="55">
        <v>0.11</v>
      </c>
      <c r="Q612" s="61">
        <v>0.91</v>
      </c>
      <c r="R612" s="60"/>
      <c r="S612" s="61">
        <v>0.91</v>
      </c>
    </row>
    <row r="613" ht="20" customHeight="1" spans="1:19">
      <c r="A613" s="43" t="s">
        <v>137</v>
      </c>
      <c r="B613" s="43" t="s">
        <v>138</v>
      </c>
      <c r="C613" s="44"/>
      <c r="D613" s="43" t="s">
        <v>52</v>
      </c>
      <c r="E613" s="43" t="s">
        <v>139</v>
      </c>
      <c r="F613" s="43" t="s">
        <v>52</v>
      </c>
      <c r="G613" s="43" t="s">
        <v>100</v>
      </c>
      <c r="H613" s="43" t="s">
        <v>101</v>
      </c>
      <c r="I613" s="43" t="s">
        <v>52</v>
      </c>
      <c r="J613" s="44"/>
      <c r="K613" s="54">
        <v>10</v>
      </c>
      <c r="L613" s="54">
        <v>10</v>
      </c>
      <c r="M613" s="54">
        <v>0</v>
      </c>
      <c r="N613" s="54">
        <v>0</v>
      </c>
      <c r="O613" s="54">
        <v>10</v>
      </c>
      <c r="P613" s="55">
        <v>0.11</v>
      </c>
      <c r="Q613" s="61">
        <v>1.13</v>
      </c>
      <c r="R613" s="60"/>
      <c r="S613" s="61">
        <v>1.13</v>
      </c>
    </row>
    <row r="614" ht="20" customHeight="1" spans="1:19">
      <c r="A614" s="43" t="s">
        <v>140</v>
      </c>
      <c r="B614" s="43" t="s">
        <v>141</v>
      </c>
      <c r="C614" s="44"/>
      <c r="D614" s="43" t="s">
        <v>52</v>
      </c>
      <c r="E614" s="43" t="s">
        <v>142</v>
      </c>
      <c r="F614" s="43" t="s">
        <v>52</v>
      </c>
      <c r="G614" s="43" t="s">
        <v>108</v>
      </c>
      <c r="H614" s="43" t="s">
        <v>109</v>
      </c>
      <c r="I614" s="43" t="s">
        <v>52</v>
      </c>
      <c r="J614" s="44"/>
      <c r="K614" s="54">
        <v>180</v>
      </c>
      <c r="L614" s="54">
        <v>180</v>
      </c>
      <c r="M614" s="54">
        <v>0</v>
      </c>
      <c r="N614" s="54">
        <v>0</v>
      </c>
      <c r="O614" s="54">
        <v>180</v>
      </c>
      <c r="P614" s="55">
        <v>0.01</v>
      </c>
      <c r="Q614" s="61">
        <v>1.31</v>
      </c>
      <c r="R614" s="60"/>
      <c r="S614" s="61">
        <v>1.31</v>
      </c>
    </row>
    <row r="615" ht="20" customHeight="1" spans="1:19">
      <c r="A615" s="43" t="s">
        <v>140</v>
      </c>
      <c r="B615" s="43" t="s">
        <v>141</v>
      </c>
      <c r="C615" s="44"/>
      <c r="D615" s="43" t="s">
        <v>52</v>
      </c>
      <c r="E615" s="43" t="s">
        <v>142</v>
      </c>
      <c r="F615" s="43" t="s">
        <v>52</v>
      </c>
      <c r="G615" s="43" t="s">
        <v>108</v>
      </c>
      <c r="H615" s="43" t="s">
        <v>109</v>
      </c>
      <c r="I615" s="43" t="s">
        <v>52</v>
      </c>
      <c r="J615" s="44"/>
      <c r="K615" s="54">
        <v>24</v>
      </c>
      <c r="L615" s="54">
        <v>24</v>
      </c>
      <c r="M615" s="54">
        <v>0</v>
      </c>
      <c r="N615" s="54">
        <v>0</v>
      </c>
      <c r="O615" s="54">
        <v>24</v>
      </c>
      <c r="P615" s="55">
        <v>0.01</v>
      </c>
      <c r="Q615" s="61">
        <v>0.17</v>
      </c>
      <c r="R615" s="60"/>
      <c r="S615" s="61">
        <v>0.17</v>
      </c>
    </row>
    <row r="616" ht="20" customHeight="1" spans="1:19">
      <c r="A616" s="43" t="s">
        <v>140</v>
      </c>
      <c r="B616" s="43" t="s">
        <v>141</v>
      </c>
      <c r="C616" s="44"/>
      <c r="D616" s="43" t="s">
        <v>52</v>
      </c>
      <c r="E616" s="43" t="s">
        <v>142</v>
      </c>
      <c r="F616" s="43" t="s">
        <v>52</v>
      </c>
      <c r="G616" s="43" t="s">
        <v>108</v>
      </c>
      <c r="H616" s="43" t="s">
        <v>109</v>
      </c>
      <c r="I616" s="43" t="s">
        <v>52</v>
      </c>
      <c r="J616" s="44"/>
      <c r="K616" s="54">
        <v>19224</v>
      </c>
      <c r="L616" s="54">
        <v>19224</v>
      </c>
      <c r="M616" s="54">
        <v>0</v>
      </c>
      <c r="N616" s="54">
        <v>0</v>
      </c>
      <c r="O616" s="54">
        <v>19224</v>
      </c>
      <c r="P616" s="55">
        <v>0.01</v>
      </c>
      <c r="Q616" s="61">
        <v>139.95</v>
      </c>
      <c r="R616" s="60"/>
      <c r="S616" s="61">
        <v>139.95</v>
      </c>
    </row>
    <row r="617" ht="20" customHeight="1" spans="1:19">
      <c r="A617" s="43" t="s">
        <v>140</v>
      </c>
      <c r="B617" s="43" t="s">
        <v>141</v>
      </c>
      <c r="C617" s="44"/>
      <c r="D617" s="43" t="s">
        <v>52</v>
      </c>
      <c r="E617" s="43" t="s">
        <v>142</v>
      </c>
      <c r="F617" s="43" t="s">
        <v>52</v>
      </c>
      <c r="G617" s="43" t="s">
        <v>108</v>
      </c>
      <c r="H617" s="43" t="s">
        <v>109</v>
      </c>
      <c r="I617" s="43" t="s">
        <v>52</v>
      </c>
      <c r="J617" s="44"/>
      <c r="K617" s="54">
        <v>156</v>
      </c>
      <c r="L617" s="54">
        <v>156</v>
      </c>
      <c r="M617" s="54">
        <v>0</v>
      </c>
      <c r="N617" s="54">
        <v>0</v>
      </c>
      <c r="O617" s="54">
        <v>156</v>
      </c>
      <c r="P617" s="55">
        <v>0.01</v>
      </c>
      <c r="Q617" s="61">
        <v>1.14</v>
      </c>
      <c r="R617" s="60"/>
      <c r="S617" s="61">
        <v>1.14</v>
      </c>
    </row>
    <row r="618" ht="20" customHeight="1" spans="1:19">
      <c r="A618" s="43" t="s">
        <v>97</v>
      </c>
      <c r="B618" s="43" t="s">
        <v>102</v>
      </c>
      <c r="C618" s="44"/>
      <c r="D618" s="43" t="s">
        <v>52</v>
      </c>
      <c r="E618" s="43" t="s">
        <v>99</v>
      </c>
      <c r="F618" s="43" t="s">
        <v>52</v>
      </c>
      <c r="G618" s="43" t="s">
        <v>100</v>
      </c>
      <c r="H618" s="43" t="s">
        <v>101</v>
      </c>
      <c r="I618" s="43" t="s">
        <v>52</v>
      </c>
      <c r="J618" s="44"/>
      <c r="K618" s="54">
        <v>3</v>
      </c>
      <c r="L618" s="54">
        <v>3</v>
      </c>
      <c r="M618" s="54">
        <v>0</v>
      </c>
      <c r="N618" s="54">
        <v>0</v>
      </c>
      <c r="O618" s="54">
        <v>3</v>
      </c>
      <c r="P618" s="55">
        <v>0.11</v>
      </c>
      <c r="Q618" s="61">
        <v>0.34</v>
      </c>
      <c r="R618" s="60"/>
      <c r="S618" s="61">
        <v>0.34</v>
      </c>
    </row>
    <row r="619" ht="20" customHeight="1" spans="1:19">
      <c r="A619" s="43" t="s">
        <v>97</v>
      </c>
      <c r="B619" s="43" t="s">
        <v>102</v>
      </c>
      <c r="C619" s="44"/>
      <c r="D619" s="43" t="s">
        <v>52</v>
      </c>
      <c r="E619" s="43" t="s">
        <v>99</v>
      </c>
      <c r="F619" s="43" t="s">
        <v>52</v>
      </c>
      <c r="G619" s="43" t="s">
        <v>100</v>
      </c>
      <c r="H619" s="43" t="s">
        <v>101</v>
      </c>
      <c r="I619" s="43" t="s">
        <v>52</v>
      </c>
      <c r="J619" s="44"/>
      <c r="K619" s="54">
        <v>1092</v>
      </c>
      <c r="L619" s="54">
        <v>1092</v>
      </c>
      <c r="M619" s="54">
        <v>0</v>
      </c>
      <c r="N619" s="54">
        <v>0</v>
      </c>
      <c r="O619" s="54">
        <v>1092</v>
      </c>
      <c r="P619" s="55">
        <v>0.11</v>
      </c>
      <c r="Q619" s="61">
        <v>123.57</v>
      </c>
      <c r="R619" s="60"/>
      <c r="S619" s="61">
        <v>123.57</v>
      </c>
    </row>
    <row r="620" ht="20" customHeight="1" spans="1:19">
      <c r="A620" s="43" t="s">
        <v>97</v>
      </c>
      <c r="B620" s="43" t="s">
        <v>102</v>
      </c>
      <c r="C620" s="44"/>
      <c r="D620" s="43" t="s">
        <v>52</v>
      </c>
      <c r="E620" s="43" t="s">
        <v>99</v>
      </c>
      <c r="F620" s="43" t="s">
        <v>52</v>
      </c>
      <c r="G620" s="43" t="s">
        <v>100</v>
      </c>
      <c r="H620" s="43" t="s">
        <v>101</v>
      </c>
      <c r="I620" s="43" t="s">
        <v>52</v>
      </c>
      <c r="J620" s="44"/>
      <c r="K620" s="54">
        <v>4</v>
      </c>
      <c r="L620" s="54">
        <v>4</v>
      </c>
      <c r="M620" s="54">
        <v>0</v>
      </c>
      <c r="N620" s="54">
        <v>0</v>
      </c>
      <c r="O620" s="54">
        <v>4</v>
      </c>
      <c r="P620" s="55">
        <v>0.11</v>
      </c>
      <c r="Q620" s="61">
        <v>0.45</v>
      </c>
      <c r="R620" s="60"/>
      <c r="S620" s="61">
        <v>0.45</v>
      </c>
    </row>
    <row r="621" ht="20" customHeight="1" spans="1:19">
      <c r="A621" s="43" t="s">
        <v>97</v>
      </c>
      <c r="B621" s="43" t="s">
        <v>102</v>
      </c>
      <c r="C621" s="44"/>
      <c r="D621" s="43" t="s">
        <v>52</v>
      </c>
      <c r="E621" s="43" t="s">
        <v>99</v>
      </c>
      <c r="F621" s="43" t="s">
        <v>52</v>
      </c>
      <c r="G621" s="43" t="s">
        <v>100</v>
      </c>
      <c r="H621" s="43" t="s">
        <v>101</v>
      </c>
      <c r="I621" s="43" t="s">
        <v>52</v>
      </c>
      <c r="J621" s="44"/>
      <c r="K621" s="54">
        <v>1</v>
      </c>
      <c r="L621" s="54">
        <v>1</v>
      </c>
      <c r="M621" s="54">
        <v>0</v>
      </c>
      <c r="N621" s="54">
        <v>0</v>
      </c>
      <c r="O621" s="54">
        <v>1</v>
      </c>
      <c r="P621" s="55">
        <v>0.11</v>
      </c>
      <c r="Q621" s="61">
        <v>0.11</v>
      </c>
      <c r="R621" s="60"/>
      <c r="S621" s="61">
        <v>0.11</v>
      </c>
    </row>
    <row r="622" ht="20" customHeight="1" spans="1:19">
      <c r="A622" s="43" t="s">
        <v>97</v>
      </c>
      <c r="B622" s="43" t="s">
        <v>102</v>
      </c>
      <c r="C622" s="44"/>
      <c r="D622" s="43" t="s">
        <v>52</v>
      </c>
      <c r="E622" s="43" t="s">
        <v>99</v>
      </c>
      <c r="F622" s="43" t="s">
        <v>52</v>
      </c>
      <c r="G622" s="43" t="s">
        <v>103</v>
      </c>
      <c r="H622" s="43" t="s">
        <v>104</v>
      </c>
      <c r="I622" s="43" t="s">
        <v>52</v>
      </c>
      <c r="J622" s="44"/>
      <c r="K622" s="54">
        <v>56</v>
      </c>
      <c r="L622" s="54">
        <v>56</v>
      </c>
      <c r="M622" s="54">
        <v>0</v>
      </c>
      <c r="N622" s="54">
        <v>0</v>
      </c>
      <c r="O622" s="54">
        <v>56</v>
      </c>
      <c r="P622" s="55">
        <v>0.02</v>
      </c>
      <c r="Q622" s="61">
        <v>1.08</v>
      </c>
      <c r="R622" s="60"/>
      <c r="S622" s="61">
        <v>1.08</v>
      </c>
    </row>
    <row r="623" ht="20" customHeight="1" spans="1:19">
      <c r="A623" s="43" t="s">
        <v>97</v>
      </c>
      <c r="B623" s="43" t="s">
        <v>102</v>
      </c>
      <c r="C623" s="44"/>
      <c r="D623" s="43" t="s">
        <v>52</v>
      </c>
      <c r="E623" s="43" t="s">
        <v>99</v>
      </c>
      <c r="F623" s="43" t="s">
        <v>52</v>
      </c>
      <c r="G623" s="43" t="s">
        <v>103</v>
      </c>
      <c r="H623" s="43" t="s">
        <v>104</v>
      </c>
      <c r="I623" s="43" t="s">
        <v>52</v>
      </c>
      <c r="J623" s="44"/>
      <c r="K623" s="54">
        <v>14148</v>
      </c>
      <c r="L623" s="54">
        <v>14148</v>
      </c>
      <c r="M623" s="54">
        <v>0</v>
      </c>
      <c r="N623" s="54">
        <v>0</v>
      </c>
      <c r="O623" s="54">
        <v>14148</v>
      </c>
      <c r="P623" s="55">
        <v>0.02</v>
      </c>
      <c r="Q623" s="61">
        <v>272.75</v>
      </c>
      <c r="R623" s="60"/>
      <c r="S623" s="61">
        <v>272.75</v>
      </c>
    </row>
    <row r="624" ht="20" customHeight="1" spans="1:19">
      <c r="A624" s="43" t="s">
        <v>97</v>
      </c>
      <c r="B624" s="43" t="s">
        <v>102</v>
      </c>
      <c r="C624" s="44"/>
      <c r="D624" s="43" t="s">
        <v>52</v>
      </c>
      <c r="E624" s="43" t="s">
        <v>99</v>
      </c>
      <c r="F624" s="43" t="s">
        <v>52</v>
      </c>
      <c r="G624" s="43" t="s">
        <v>103</v>
      </c>
      <c r="H624" s="43" t="s">
        <v>104</v>
      </c>
      <c r="I624" s="43" t="s">
        <v>52</v>
      </c>
      <c r="J624" s="44"/>
      <c r="K624" s="54">
        <v>4</v>
      </c>
      <c r="L624" s="54">
        <v>4</v>
      </c>
      <c r="M624" s="54">
        <v>0</v>
      </c>
      <c r="N624" s="54">
        <v>0</v>
      </c>
      <c r="O624" s="54">
        <v>4</v>
      </c>
      <c r="P624" s="55">
        <v>0.02</v>
      </c>
      <c r="Q624" s="61">
        <v>0.08</v>
      </c>
      <c r="R624" s="60"/>
      <c r="S624" s="61">
        <v>0.08</v>
      </c>
    </row>
    <row r="625" ht="20" customHeight="1" spans="1:19">
      <c r="A625" s="43" t="s">
        <v>105</v>
      </c>
      <c r="B625" s="43" t="s">
        <v>106</v>
      </c>
      <c r="C625" s="44"/>
      <c r="D625" s="43" t="s">
        <v>52</v>
      </c>
      <c r="E625" s="43" t="s">
        <v>107</v>
      </c>
      <c r="F625" s="43" t="s">
        <v>52</v>
      </c>
      <c r="G625" s="43" t="s">
        <v>108</v>
      </c>
      <c r="H625" s="43" t="s">
        <v>109</v>
      </c>
      <c r="I625" s="43" t="s">
        <v>52</v>
      </c>
      <c r="J625" s="44"/>
      <c r="K625" s="54">
        <v>20736</v>
      </c>
      <c r="L625" s="54">
        <v>20736</v>
      </c>
      <c r="M625" s="54">
        <v>0</v>
      </c>
      <c r="N625" s="54">
        <v>0</v>
      </c>
      <c r="O625" s="54">
        <v>20736</v>
      </c>
      <c r="P625" s="55">
        <v>0.01</v>
      </c>
      <c r="Q625" s="61">
        <v>150.96</v>
      </c>
      <c r="R625" s="60"/>
      <c r="S625" s="61">
        <v>150.96</v>
      </c>
    </row>
    <row r="626" ht="20" customHeight="1" spans="1:19">
      <c r="A626" s="43" t="s">
        <v>105</v>
      </c>
      <c r="B626" s="43" t="s">
        <v>106</v>
      </c>
      <c r="C626" s="44"/>
      <c r="D626" s="43" t="s">
        <v>52</v>
      </c>
      <c r="E626" s="43" t="s">
        <v>107</v>
      </c>
      <c r="F626" s="43" t="s">
        <v>52</v>
      </c>
      <c r="G626" s="43" t="s">
        <v>108</v>
      </c>
      <c r="H626" s="43" t="s">
        <v>109</v>
      </c>
      <c r="I626" s="43" t="s">
        <v>52</v>
      </c>
      <c r="J626" s="44"/>
      <c r="K626" s="54">
        <v>180</v>
      </c>
      <c r="L626" s="54">
        <v>180</v>
      </c>
      <c r="M626" s="54">
        <v>0</v>
      </c>
      <c r="N626" s="54">
        <v>0</v>
      </c>
      <c r="O626" s="54">
        <v>180</v>
      </c>
      <c r="P626" s="55">
        <v>0.01</v>
      </c>
      <c r="Q626" s="61">
        <v>1.31</v>
      </c>
      <c r="R626" s="60"/>
      <c r="S626" s="61">
        <v>1.31</v>
      </c>
    </row>
    <row r="627" ht="20" customHeight="1" spans="1:19">
      <c r="A627" s="43" t="s">
        <v>105</v>
      </c>
      <c r="B627" s="43" t="s">
        <v>106</v>
      </c>
      <c r="C627" s="44"/>
      <c r="D627" s="43" t="s">
        <v>52</v>
      </c>
      <c r="E627" s="43" t="s">
        <v>107</v>
      </c>
      <c r="F627" s="43" t="s">
        <v>52</v>
      </c>
      <c r="G627" s="43" t="s">
        <v>108</v>
      </c>
      <c r="H627" s="43" t="s">
        <v>109</v>
      </c>
      <c r="I627" s="43" t="s">
        <v>52</v>
      </c>
      <c r="J627" s="44"/>
      <c r="K627" s="54">
        <v>8640</v>
      </c>
      <c r="L627" s="54">
        <v>8640</v>
      </c>
      <c r="M627" s="54">
        <v>0</v>
      </c>
      <c r="N627" s="54">
        <v>0</v>
      </c>
      <c r="O627" s="54">
        <v>8640</v>
      </c>
      <c r="P627" s="55">
        <v>0.01</v>
      </c>
      <c r="Q627" s="61">
        <v>62.9</v>
      </c>
      <c r="R627" s="60"/>
      <c r="S627" s="61">
        <v>62.9</v>
      </c>
    </row>
    <row r="628" ht="20" customHeight="1" spans="1:19">
      <c r="A628" s="43" t="s">
        <v>105</v>
      </c>
      <c r="B628" s="43" t="s">
        <v>106</v>
      </c>
      <c r="C628" s="44"/>
      <c r="D628" s="43" t="s">
        <v>52</v>
      </c>
      <c r="E628" s="43" t="s">
        <v>107</v>
      </c>
      <c r="F628" s="43" t="s">
        <v>52</v>
      </c>
      <c r="G628" s="43" t="s">
        <v>108</v>
      </c>
      <c r="H628" s="43" t="s">
        <v>109</v>
      </c>
      <c r="I628" s="43" t="s">
        <v>52</v>
      </c>
      <c r="J628" s="44"/>
      <c r="K628" s="54">
        <v>252</v>
      </c>
      <c r="L628" s="54">
        <v>252</v>
      </c>
      <c r="M628" s="54">
        <v>0</v>
      </c>
      <c r="N628" s="54">
        <v>0</v>
      </c>
      <c r="O628" s="54">
        <v>252</v>
      </c>
      <c r="P628" s="55">
        <v>0.01</v>
      </c>
      <c r="Q628" s="61">
        <v>1.83</v>
      </c>
      <c r="R628" s="60"/>
      <c r="S628" s="61">
        <v>1.83</v>
      </c>
    </row>
    <row r="629" ht="20" customHeight="1" spans="1:19">
      <c r="A629" s="43" t="s">
        <v>105</v>
      </c>
      <c r="B629" s="43" t="s">
        <v>106</v>
      </c>
      <c r="C629" s="44"/>
      <c r="D629" s="43" t="s">
        <v>52</v>
      </c>
      <c r="E629" s="43" t="s">
        <v>107</v>
      </c>
      <c r="F629" s="43" t="s">
        <v>52</v>
      </c>
      <c r="G629" s="43" t="s">
        <v>108</v>
      </c>
      <c r="H629" s="43" t="s">
        <v>109</v>
      </c>
      <c r="I629" s="43" t="s">
        <v>52</v>
      </c>
      <c r="J629" s="44"/>
      <c r="K629" s="54">
        <v>9360</v>
      </c>
      <c r="L629" s="54">
        <v>9360</v>
      </c>
      <c r="M629" s="54">
        <v>0</v>
      </c>
      <c r="N629" s="54">
        <v>0</v>
      </c>
      <c r="O629" s="54">
        <v>9360</v>
      </c>
      <c r="P629" s="55">
        <v>0.01</v>
      </c>
      <c r="Q629" s="61">
        <v>68.14</v>
      </c>
      <c r="R629" s="60"/>
      <c r="S629" s="61">
        <v>68.14</v>
      </c>
    </row>
    <row r="630" ht="13" customHeight="1" spans="1:19">
      <c r="A630" s="47" t="s">
        <v>143</v>
      </c>
      <c r="B630" s="48"/>
      <c r="C630" s="48"/>
      <c r="D630" s="48"/>
      <c r="E630" s="48"/>
      <c r="F630" s="48"/>
      <c r="G630" s="48"/>
      <c r="H630" s="48"/>
      <c r="I630" s="48"/>
      <c r="J630" s="56"/>
      <c r="K630" s="47" t="s">
        <v>144</v>
      </c>
      <c r="L630" s="57">
        <v>114938</v>
      </c>
      <c r="M630" s="58">
        <v>0</v>
      </c>
      <c r="N630" s="58">
        <v>0</v>
      </c>
      <c r="O630" s="58">
        <v>114938</v>
      </c>
      <c r="P630" s="59" t="s">
        <v>52</v>
      </c>
      <c r="Q630" s="62"/>
      <c r="R630" s="62"/>
      <c r="S630" s="63">
        <v>1304.74</v>
      </c>
    </row>
    <row r="631" ht="19" customHeight="1" spans="1:19">
      <c r="A631" s="43" t="s">
        <v>145</v>
      </c>
      <c r="B631" s="44"/>
      <c r="C631" s="44"/>
      <c r="D631" s="49" t="s">
        <v>146</v>
      </c>
      <c r="E631" s="50" t="s">
        <v>147</v>
      </c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56"/>
      <c r="S631" s="56"/>
    </row>
    <row r="632" ht="19" customHeight="1" spans="1:19">
      <c r="A632" s="49" t="s">
        <v>146</v>
      </c>
      <c r="B632" s="51"/>
      <c r="C632" s="51"/>
      <c r="D632" s="49" t="s">
        <v>146</v>
      </c>
      <c r="E632" s="49" t="s">
        <v>119</v>
      </c>
      <c r="F632" s="52">
        <v>700</v>
      </c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56"/>
      <c r="S632" s="56"/>
    </row>
    <row r="633" ht="12" customHeight="1" spans="1:19">
      <c r="A633" s="46" t="s">
        <v>52</v>
      </c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56"/>
      <c r="S633" s="56"/>
    </row>
    <row r="634" ht="14" customHeight="1" spans="1:19">
      <c r="A634" s="43" t="s">
        <v>67</v>
      </c>
      <c r="B634" s="44"/>
      <c r="C634" s="44"/>
      <c r="D634" s="45" t="s">
        <v>124</v>
      </c>
      <c r="E634" s="43" t="s">
        <v>69</v>
      </c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</row>
    <row r="635" ht="14" customHeight="1" spans="1:19">
      <c r="A635" s="43" t="s">
        <v>70</v>
      </c>
      <c r="B635" s="44"/>
      <c r="C635" s="44"/>
      <c r="D635" s="45" t="s">
        <v>124</v>
      </c>
      <c r="E635" s="43" t="s">
        <v>71</v>
      </c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</row>
    <row r="636" ht="14" customHeight="1" spans="1:19">
      <c r="A636" s="43" t="s">
        <v>82</v>
      </c>
      <c r="B636" s="44"/>
      <c r="C636" s="44"/>
      <c r="D636" s="45" t="s">
        <v>124</v>
      </c>
      <c r="E636" s="43" t="s">
        <v>83</v>
      </c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</row>
    <row r="637" ht="14" customHeight="1" spans="1:19">
      <c r="A637" s="43" t="s">
        <v>72</v>
      </c>
      <c r="B637" s="44"/>
      <c r="C637" s="44"/>
      <c r="D637" s="45" t="s">
        <v>124</v>
      </c>
      <c r="E637" s="43" t="s">
        <v>125</v>
      </c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</row>
    <row r="638" ht="14" customHeight="1" spans="1:19">
      <c r="A638" s="43" t="s">
        <v>126</v>
      </c>
      <c r="B638" s="44"/>
      <c r="C638" s="44"/>
      <c r="D638" s="45" t="s">
        <v>124</v>
      </c>
      <c r="E638" s="43" t="s">
        <v>165</v>
      </c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</row>
    <row r="639" ht="14" customHeight="1" spans="1:19">
      <c r="A639" s="43" t="s">
        <v>76</v>
      </c>
      <c r="B639" s="44"/>
      <c r="C639" s="44"/>
      <c r="D639" s="45" t="s">
        <v>124</v>
      </c>
      <c r="E639" s="43" t="s">
        <v>77</v>
      </c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</row>
    <row r="640" ht="14" customHeight="1" spans="1:19">
      <c r="A640" s="43" t="s">
        <v>78</v>
      </c>
      <c r="B640" s="44"/>
      <c r="C640" s="44"/>
      <c r="D640" s="45" t="s">
        <v>124</v>
      </c>
      <c r="E640" s="43" t="s">
        <v>79</v>
      </c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</row>
    <row r="641" ht="14" customHeight="1" spans="1:19">
      <c r="A641" s="43" t="s">
        <v>80</v>
      </c>
      <c r="B641" s="44"/>
      <c r="C641" s="44"/>
      <c r="D641" s="45" t="s">
        <v>124</v>
      </c>
      <c r="E641" s="43" t="s">
        <v>81</v>
      </c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</row>
    <row r="642" ht="17" customHeight="1" spans="1:19">
      <c r="A642" s="46" t="s">
        <v>52</v>
      </c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</row>
    <row r="643" ht="14" customHeight="1" spans="1:19">
      <c r="A643" s="43" t="s">
        <v>84</v>
      </c>
      <c r="B643" s="43" t="s">
        <v>85</v>
      </c>
      <c r="C643" s="44"/>
      <c r="D643" s="43" t="s">
        <v>52</v>
      </c>
      <c r="E643" s="43" t="s">
        <v>87</v>
      </c>
      <c r="F643" s="43" t="s">
        <v>88</v>
      </c>
      <c r="G643" s="43" t="s">
        <v>89</v>
      </c>
      <c r="H643" s="43" t="s">
        <v>90</v>
      </c>
      <c r="I643" s="43" t="s">
        <v>91</v>
      </c>
      <c r="J643" s="44"/>
      <c r="K643" s="53" t="s">
        <v>128</v>
      </c>
      <c r="L643" s="53" t="s">
        <v>129</v>
      </c>
      <c r="M643" s="53" t="s">
        <v>130</v>
      </c>
      <c r="N643" s="53" t="s">
        <v>131</v>
      </c>
      <c r="O643" s="53" t="s">
        <v>132</v>
      </c>
      <c r="P643" s="53" t="s">
        <v>93</v>
      </c>
      <c r="Q643" s="53" t="s">
        <v>94</v>
      </c>
      <c r="R643" s="60"/>
      <c r="S643" s="53" t="s">
        <v>133</v>
      </c>
    </row>
    <row r="644" ht="20" customHeight="1" spans="1:19">
      <c r="A644" s="43" t="s">
        <v>134</v>
      </c>
      <c r="B644" s="43" t="s">
        <v>135</v>
      </c>
      <c r="C644" s="44"/>
      <c r="D644" s="43" t="s">
        <v>52</v>
      </c>
      <c r="E644" s="43" t="s">
        <v>136</v>
      </c>
      <c r="F644" s="43" t="s">
        <v>52</v>
      </c>
      <c r="G644" s="43" t="s">
        <v>108</v>
      </c>
      <c r="H644" s="43" t="s">
        <v>109</v>
      </c>
      <c r="I644" s="43" t="s">
        <v>52</v>
      </c>
      <c r="J644" s="44"/>
      <c r="K644" s="54">
        <v>34272</v>
      </c>
      <c r="L644" s="54">
        <v>34272</v>
      </c>
      <c r="M644" s="54">
        <v>0</v>
      </c>
      <c r="N644" s="54">
        <v>0</v>
      </c>
      <c r="O644" s="54">
        <v>34272</v>
      </c>
      <c r="P644" s="55">
        <v>0.01</v>
      </c>
      <c r="Q644" s="61">
        <v>249.5</v>
      </c>
      <c r="R644" s="60"/>
      <c r="S644" s="61">
        <v>249.5</v>
      </c>
    </row>
    <row r="645" ht="20" customHeight="1" spans="1:19">
      <c r="A645" s="43" t="s">
        <v>134</v>
      </c>
      <c r="B645" s="43" t="s">
        <v>135</v>
      </c>
      <c r="C645" s="44"/>
      <c r="D645" s="43" t="s">
        <v>52</v>
      </c>
      <c r="E645" s="43" t="s">
        <v>136</v>
      </c>
      <c r="F645" s="43" t="s">
        <v>52</v>
      </c>
      <c r="G645" s="43" t="s">
        <v>108</v>
      </c>
      <c r="H645" s="43" t="s">
        <v>109</v>
      </c>
      <c r="I645" s="43" t="s">
        <v>52</v>
      </c>
      <c r="J645" s="44"/>
      <c r="K645" s="54">
        <v>4752</v>
      </c>
      <c r="L645" s="54">
        <v>4752</v>
      </c>
      <c r="M645" s="54">
        <v>0</v>
      </c>
      <c r="N645" s="54">
        <v>0</v>
      </c>
      <c r="O645" s="54">
        <v>4752</v>
      </c>
      <c r="P645" s="55">
        <v>0.01</v>
      </c>
      <c r="Q645" s="61">
        <v>34.59</v>
      </c>
      <c r="R645" s="60"/>
      <c r="S645" s="61">
        <v>34.59</v>
      </c>
    </row>
    <row r="646" ht="20" customHeight="1" spans="1:19">
      <c r="A646" s="43" t="s">
        <v>134</v>
      </c>
      <c r="B646" s="43" t="s">
        <v>135</v>
      </c>
      <c r="C646" s="44"/>
      <c r="D646" s="43" t="s">
        <v>52</v>
      </c>
      <c r="E646" s="43" t="s">
        <v>136</v>
      </c>
      <c r="F646" s="43" t="s">
        <v>52</v>
      </c>
      <c r="G646" s="43" t="s">
        <v>108</v>
      </c>
      <c r="H646" s="43" t="s">
        <v>109</v>
      </c>
      <c r="I646" s="43" t="s">
        <v>52</v>
      </c>
      <c r="J646" s="44"/>
      <c r="K646" s="54">
        <v>144</v>
      </c>
      <c r="L646" s="54">
        <v>144</v>
      </c>
      <c r="M646" s="54">
        <v>0</v>
      </c>
      <c r="N646" s="54">
        <v>0</v>
      </c>
      <c r="O646" s="54">
        <v>144</v>
      </c>
      <c r="P646" s="55">
        <v>0.01</v>
      </c>
      <c r="Q646" s="61">
        <v>1.05</v>
      </c>
      <c r="R646" s="60"/>
      <c r="S646" s="61">
        <v>1.05</v>
      </c>
    </row>
    <row r="647" ht="20" customHeight="1" spans="1:19">
      <c r="A647" s="43" t="s">
        <v>137</v>
      </c>
      <c r="B647" s="43" t="s">
        <v>138</v>
      </c>
      <c r="C647" s="44"/>
      <c r="D647" s="43" t="s">
        <v>52</v>
      </c>
      <c r="E647" s="43" t="s">
        <v>139</v>
      </c>
      <c r="F647" s="43" t="s">
        <v>52</v>
      </c>
      <c r="G647" s="43" t="s">
        <v>100</v>
      </c>
      <c r="H647" s="43" t="s">
        <v>101</v>
      </c>
      <c r="I647" s="43" t="s">
        <v>52</v>
      </c>
      <c r="J647" s="44"/>
      <c r="K647" s="54">
        <v>1692</v>
      </c>
      <c r="L647" s="54">
        <v>1692</v>
      </c>
      <c r="M647" s="54">
        <v>0</v>
      </c>
      <c r="N647" s="54">
        <v>0</v>
      </c>
      <c r="O647" s="54">
        <v>1692</v>
      </c>
      <c r="P647" s="55">
        <v>0.11</v>
      </c>
      <c r="Q647" s="61">
        <v>191.47</v>
      </c>
      <c r="R647" s="60"/>
      <c r="S647" s="61">
        <v>191.47</v>
      </c>
    </row>
    <row r="648" ht="20" customHeight="1" spans="1:19">
      <c r="A648" s="43" t="s">
        <v>137</v>
      </c>
      <c r="B648" s="43" t="s">
        <v>138</v>
      </c>
      <c r="C648" s="44"/>
      <c r="D648" s="43" t="s">
        <v>52</v>
      </c>
      <c r="E648" s="43" t="s">
        <v>139</v>
      </c>
      <c r="F648" s="43" t="s">
        <v>52</v>
      </c>
      <c r="G648" s="43" t="s">
        <v>100</v>
      </c>
      <c r="H648" s="43" t="s">
        <v>101</v>
      </c>
      <c r="I648" s="43" t="s">
        <v>52</v>
      </c>
      <c r="J648" s="44"/>
      <c r="K648" s="54">
        <v>8</v>
      </c>
      <c r="L648" s="54">
        <v>8</v>
      </c>
      <c r="M648" s="54">
        <v>0</v>
      </c>
      <c r="N648" s="54">
        <v>0</v>
      </c>
      <c r="O648" s="54">
        <v>8</v>
      </c>
      <c r="P648" s="55">
        <v>0.11</v>
      </c>
      <c r="Q648" s="61">
        <v>0.91</v>
      </c>
      <c r="R648" s="60"/>
      <c r="S648" s="61">
        <v>0.91</v>
      </c>
    </row>
    <row r="649" ht="20" customHeight="1" spans="1:19">
      <c r="A649" s="43" t="s">
        <v>137</v>
      </c>
      <c r="B649" s="43" t="s">
        <v>138</v>
      </c>
      <c r="C649" s="44"/>
      <c r="D649" s="43" t="s">
        <v>52</v>
      </c>
      <c r="E649" s="43" t="s">
        <v>139</v>
      </c>
      <c r="F649" s="43" t="s">
        <v>52</v>
      </c>
      <c r="G649" s="43" t="s">
        <v>100</v>
      </c>
      <c r="H649" s="43" t="s">
        <v>101</v>
      </c>
      <c r="I649" s="43" t="s">
        <v>52</v>
      </c>
      <c r="J649" s="44"/>
      <c r="K649" s="54">
        <v>10</v>
      </c>
      <c r="L649" s="54">
        <v>10</v>
      </c>
      <c r="M649" s="54">
        <v>0</v>
      </c>
      <c r="N649" s="54">
        <v>0</v>
      </c>
      <c r="O649" s="54">
        <v>10</v>
      </c>
      <c r="P649" s="55">
        <v>0.11</v>
      </c>
      <c r="Q649" s="61">
        <v>1.13</v>
      </c>
      <c r="R649" s="60"/>
      <c r="S649" s="61">
        <v>1.13</v>
      </c>
    </row>
    <row r="650" ht="20" customHeight="1" spans="1:19">
      <c r="A650" s="43" t="s">
        <v>140</v>
      </c>
      <c r="B650" s="43" t="s">
        <v>141</v>
      </c>
      <c r="C650" s="44"/>
      <c r="D650" s="43" t="s">
        <v>52</v>
      </c>
      <c r="E650" s="43" t="s">
        <v>142</v>
      </c>
      <c r="F650" s="43" t="s">
        <v>52</v>
      </c>
      <c r="G650" s="43" t="s">
        <v>108</v>
      </c>
      <c r="H650" s="43" t="s">
        <v>109</v>
      </c>
      <c r="I650" s="43" t="s">
        <v>52</v>
      </c>
      <c r="J650" s="44"/>
      <c r="K650" s="54">
        <v>180</v>
      </c>
      <c r="L650" s="54">
        <v>180</v>
      </c>
      <c r="M650" s="54">
        <v>0</v>
      </c>
      <c r="N650" s="54">
        <v>0</v>
      </c>
      <c r="O650" s="54">
        <v>180</v>
      </c>
      <c r="P650" s="55">
        <v>0.01</v>
      </c>
      <c r="Q650" s="61">
        <v>1.31</v>
      </c>
      <c r="R650" s="60"/>
      <c r="S650" s="61">
        <v>1.31</v>
      </c>
    </row>
    <row r="651" ht="20" customHeight="1" spans="1:19">
      <c r="A651" s="43" t="s">
        <v>140</v>
      </c>
      <c r="B651" s="43" t="s">
        <v>141</v>
      </c>
      <c r="C651" s="44"/>
      <c r="D651" s="43" t="s">
        <v>52</v>
      </c>
      <c r="E651" s="43" t="s">
        <v>142</v>
      </c>
      <c r="F651" s="43" t="s">
        <v>52</v>
      </c>
      <c r="G651" s="43" t="s">
        <v>108</v>
      </c>
      <c r="H651" s="43" t="s">
        <v>109</v>
      </c>
      <c r="I651" s="43" t="s">
        <v>52</v>
      </c>
      <c r="J651" s="44"/>
      <c r="K651" s="54">
        <v>24</v>
      </c>
      <c r="L651" s="54">
        <v>24</v>
      </c>
      <c r="M651" s="54">
        <v>0</v>
      </c>
      <c r="N651" s="54">
        <v>0</v>
      </c>
      <c r="O651" s="54">
        <v>24</v>
      </c>
      <c r="P651" s="55">
        <v>0.01</v>
      </c>
      <c r="Q651" s="61">
        <v>0.17</v>
      </c>
      <c r="R651" s="60"/>
      <c r="S651" s="61">
        <v>0.17</v>
      </c>
    </row>
    <row r="652" ht="20" customHeight="1" spans="1:19">
      <c r="A652" s="43" t="s">
        <v>140</v>
      </c>
      <c r="B652" s="43" t="s">
        <v>141</v>
      </c>
      <c r="C652" s="44"/>
      <c r="D652" s="43" t="s">
        <v>52</v>
      </c>
      <c r="E652" s="43" t="s">
        <v>142</v>
      </c>
      <c r="F652" s="43" t="s">
        <v>52</v>
      </c>
      <c r="G652" s="43" t="s">
        <v>108</v>
      </c>
      <c r="H652" s="43" t="s">
        <v>109</v>
      </c>
      <c r="I652" s="43" t="s">
        <v>52</v>
      </c>
      <c r="J652" s="44"/>
      <c r="K652" s="54">
        <v>19224</v>
      </c>
      <c r="L652" s="54">
        <v>19224</v>
      </c>
      <c r="M652" s="54">
        <v>0</v>
      </c>
      <c r="N652" s="54">
        <v>0</v>
      </c>
      <c r="O652" s="54">
        <v>19224</v>
      </c>
      <c r="P652" s="55">
        <v>0.01</v>
      </c>
      <c r="Q652" s="61">
        <v>139.95</v>
      </c>
      <c r="R652" s="60"/>
      <c r="S652" s="61">
        <v>139.95</v>
      </c>
    </row>
    <row r="653" ht="20" customHeight="1" spans="1:19">
      <c r="A653" s="43" t="s">
        <v>140</v>
      </c>
      <c r="B653" s="43" t="s">
        <v>141</v>
      </c>
      <c r="C653" s="44"/>
      <c r="D653" s="43" t="s">
        <v>52</v>
      </c>
      <c r="E653" s="43" t="s">
        <v>142</v>
      </c>
      <c r="F653" s="43" t="s">
        <v>52</v>
      </c>
      <c r="G653" s="43" t="s">
        <v>108</v>
      </c>
      <c r="H653" s="43" t="s">
        <v>109</v>
      </c>
      <c r="I653" s="43" t="s">
        <v>52</v>
      </c>
      <c r="J653" s="44"/>
      <c r="K653" s="54">
        <v>156</v>
      </c>
      <c r="L653" s="54">
        <v>156</v>
      </c>
      <c r="M653" s="54">
        <v>0</v>
      </c>
      <c r="N653" s="54">
        <v>0</v>
      </c>
      <c r="O653" s="54">
        <v>156</v>
      </c>
      <c r="P653" s="55">
        <v>0.01</v>
      </c>
      <c r="Q653" s="61">
        <v>1.14</v>
      </c>
      <c r="R653" s="60"/>
      <c r="S653" s="61">
        <v>1.14</v>
      </c>
    </row>
    <row r="654" ht="20" customHeight="1" spans="1:19">
      <c r="A654" s="43" t="s">
        <v>97</v>
      </c>
      <c r="B654" s="43" t="s">
        <v>102</v>
      </c>
      <c r="C654" s="44"/>
      <c r="D654" s="43" t="s">
        <v>52</v>
      </c>
      <c r="E654" s="43" t="s">
        <v>99</v>
      </c>
      <c r="F654" s="43" t="s">
        <v>52</v>
      </c>
      <c r="G654" s="43" t="s">
        <v>100</v>
      </c>
      <c r="H654" s="43" t="s">
        <v>101</v>
      </c>
      <c r="I654" s="43" t="s">
        <v>52</v>
      </c>
      <c r="J654" s="44"/>
      <c r="K654" s="54">
        <v>3</v>
      </c>
      <c r="L654" s="54">
        <v>3</v>
      </c>
      <c r="M654" s="54">
        <v>0</v>
      </c>
      <c r="N654" s="54">
        <v>0</v>
      </c>
      <c r="O654" s="54">
        <v>3</v>
      </c>
      <c r="P654" s="55">
        <v>0.11</v>
      </c>
      <c r="Q654" s="61">
        <v>0.34</v>
      </c>
      <c r="R654" s="60"/>
      <c r="S654" s="61">
        <v>0.34</v>
      </c>
    </row>
    <row r="655" ht="20" customHeight="1" spans="1:19">
      <c r="A655" s="43" t="s">
        <v>97</v>
      </c>
      <c r="B655" s="43" t="s">
        <v>102</v>
      </c>
      <c r="C655" s="44"/>
      <c r="D655" s="43" t="s">
        <v>52</v>
      </c>
      <c r="E655" s="43" t="s">
        <v>99</v>
      </c>
      <c r="F655" s="43" t="s">
        <v>52</v>
      </c>
      <c r="G655" s="43" t="s">
        <v>100</v>
      </c>
      <c r="H655" s="43" t="s">
        <v>101</v>
      </c>
      <c r="I655" s="43" t="s">
        <v>52</v>
      </c>
      <c r="J655" s="44"/>
      <c r="K655" s="54">
        <v>1092</v>
      </c>
      <c r="L655" s="54">
        <v>1092</v>
      </c>
      <c r="M655" s="54">
        <v>0</v>
      </c>
      <c r="N655" s="54">
        <v>0</v>
      </c>
      <c r="O655" s="54">
        <v>1092</v>
      </c>
      <c r="P655" s="55">
        <v>0.11</v>
      </c>
      <c r="Q655" s="61">
        <v>123.57</v>
      </c>
      <c r="R655" s="60"/>
      <c r="S655" s="61">
        <v>123.57</v>
      </c>
    </row>
    <row r="656" ht="20" customHeight="1" spans="1:19">
      <c r="A656" s="43" t="s">
        <v>97</v>
      </c>
      <c r="B656" s="43" t="s">
        <v>102</v>
      </c>
      <c r="C656" s="44"/>
      <c r="D656" s="43" t="s">
        <v>52</v>
      </c>
      <c r="E656" s="43" t="s">
        <v>99</v>
      </c>
      <c r="F656" s="43" t="s">
        <v>52</v>
      </c>
      <c r="G656" s="43" t="s">
        <v>100</v>
      </c>
      <c r="H656" s="43" t="s">
        <v>101</v>
      </c>
      <c r="I656" s="43" t="s">
        <v>52</v>
      </c>
      <c r="J656" s="44"/>
      <c r="K656" s="54">
        <v>4</v>
      </c>
      <c r="L656" s="54">
        <v>4</v>
      </c>
      <c r="M656" s="54">
        <v>0</v>
      </c>
      <c r="N656" s="54">
        <v>0</v>
      </c>
      <c r="O656" s="54">
        <v>4</v>
      </c>
      <c r="P656" s="55">
        <v>0.11</v>
      </c>
      <c r="Q656" s="61">
        <v>0.45</v>
      </c>
      <c r="R656" s="60"/>
      <c r="S656" s="61">
        <v>0.45</v>
      </c>
    </row>
    <row r="657" ht="20" customHeight="1" spans="1:19">
      <c r="A657" s="43" t="s">
        <v>97</v>
      </c>
      <c r="B657" s="43" t="s">
        <v>102</v>
      </c>
      <c r="C657" s="44"/>
      <c r="D657" s="43" t="s">
        <v>52</v>
      </c>
      <c r="E657" s="43" t="s">
        <v>99</v>
      </c>
      <c r="F657" s="43" t="s">
        <v>52</v>
      </c>
      <c r="G657" s="43" t="s">
        <v>100</v>
      </c>
      <c r="H657" s="43" t="s">
        <v>101</v>
      </c>
      <c r="I657" s="43" t="s">
        <v>52</v>
      </c>
      <c r="J657" s="44"/>
      <c r="K657" s="54">
        <v>1</v>
      </c>
      <c r="L657" s="54">
        <v>1</v>
      </c>
      <c r="M657" s="54">
        <v>0</v>
      </c>
      <c r="N657" s="54">
        <v>0</v>
      </c>
      <c r="O657" s="54">
        <v>1</v>
      </c>
      <c r="P657" s="55">
        <v>0.11</v>
      </c>
      <c r="Q657" s="61">
        <v>0.11</v>
      </c>
      <c r="R657" s="60"/>
      <c r="S657" s="61">
        <v>0.11</v>
      </c>
    </row>
    <row r="658" ht="20" customHeight="1" spans="1:19">
      <c r="A658" s="43" t="s">
        <v>97</v>
      </c>
      <c r="B658" s="43" t="s">
        <v>102</v>
      </c>
      <c r="C658" s="44"/>
      <c r="D658" s="43" t="s">
        <v>52</v>
      </c>
      <c r="E658" s="43" t="s">
        <v>99</v>
      </c>
      <c r="F658" s="43" t="s">
        <v>52</v>
      </c>
      <c r="G658" s="43" t="s">
        <v>103</v>
      </c>
      <c r="H658" s="43" t="s">
        <v>104</v>
      </c>
      <c r="I658" s="43" t="s">
        <v>52</v>
      </c>
      <c r="J658" s="44"/>
      <c r="K658" s="54">
        <v>56</v>
      </c>
      <c r="L658" s="54">
        <v>56</v>
      </c>
      <c r="M658" s="54">
        <v>0</v>
      </c>
      <c r="N658" s="54">
        <v>0</v>
      </c>
      <c r="O658" s="54">
        <v>56</v>
      </c>
      <c r="P658" s="55">
        <v>0.02</v>
      </c>
      <c r="Q658" s="61">
        <v>1.08</v>
      </c>
      <c r="R658" s="60"/>
      <c r="S658" s="61">
        <v>1.08</v>
      </c>
    </row>
    <row r="659" ht="20" customHeight="1" spans="1:19">
      <c r="A659" s="43" t="s">
        <v>97</v>
      </c>
      <c r="B659" s="43" t="s">
        <v>102</v>
      </c>
      <c r="C659" s="44"/>
      <c r="D659" s="43" t="s">
        <v>52</v>
      </c>
      <c r="E659" s="43" t="s">
        <v>99</v>
      </c>
      <c r="F659" s="43" t="s">
        <v>52</v>
      </c>
      <c r="G659" s="43" t="s">
        <v>103</v>
      </c>
      <c r="H659" s="43" t="s">
        <v>104</v>
      </c>
      <c r="I659" s="43" t="s">
        <v>52</v>
      </c>
      <c r="J659" s="44"/>
      <c r="K659" s="54">
        <v>14148</v>
      </c>
      <c r="L659" s="54">
        <v>14148</v>
      </c>
      <c r="M659" s="54">
        <v>0</v>
      </c>
      <c r="N659" s="54">
        <v>0</v>
      </c>
      <c r="O659" s="54">
        <v>14148</v>
      </c>
      <c r="P659" s="55">
        <v>0.02</v>
      </c>
      <c r="Q659" s="61">
        <v>272.75</v>
      </c>
      <c r="R659" s="60"/>
      <c r="S659" s="61">
        <v>272.75</v>
      </c>
    </row>
    <row r="660" ht="20" customHeight="1" spans="1:19">
      <c r="A660" s="43" t="s">
        <v>97</v>
      </c>
      <c r="B660" s="43" t="s">
        <v>102</v>
      </c>
      <c r="C660" s="44"/>
      <c r="D660" s="43" t="s">
        <v>52</v>
      </c>
      <c r="E660" s="43" t="s">
        <v>99</v>
      </c>
      <c r="F660" s="43" t="s">
        <v>52</v>
      </c>
      <c r="G660" s="43" t="s">
        <v>103</v>
      </c>
      <c r="H660" s="43" t="s">
        <v>104</v>
      </c>
      <c r="I660" s="43" t="s">
        <v>52</v>
      </c>
      <c r="J660" s="44"/>
      <c r="K660" s="54">
        <v>4</v>
      </c>
      <c r="L660" s="54">
        <v>4</v>
      </c>
      <c r="M660" s="54">
        <v>0</v>
      </c>
      <c r="N660" s="54">
        <v>0</v>
      </c>
      <c r="O660" s="54">
        <v>4</v>
      </c>
      <c r="P660" s="55">
        <v>0.02</v>
      </c>
      <c r="Q660" s="61">
        <v>0.08</v>
      </c>
      <c r="R660" s="60"/>
      <c r="S660" s="61">
        <v>0.08</v>
      </c>
    </row>
    <row r="661" ht="20" customHeight="1" spans="1:19">
      <c r="A661" s="43" t="s">
        <v>105</v>
      </c>
      <c r="B661" s="43" t="s">
        <v>106</v>
      </c>
      <c r="C661" s="44"/>
      <c r="D661" s="43" t="s">
        <v>52</v>
      </c>
      <c r="E661" s="43" t="s">
        <v>107</v>
      </c>
      <c r="F661" s="43" t="s">
        <v>52</v>
      </c>
      <c r="G661" s="43" t="s">
        <v>108</v>
      </c>
      <c r="H661" s="43" t="s">
        <v>109</v>
      </c>
      <c r="I661" s="43" t="s">
        <v>52</v>
      </c>
      <c r="J661" s="44"/>
      <c r="K661" s="54">
        <v>20736</v>
      </c>
      <c r="L661" s="54">
        <v>20736</v>
      </c>
      <c r="M661" s="54">
        <v>0</v>
      </c>
      <c r="N661" s="54">
        <v>0</v>
      </c>
      <c r="O661" s="54">
        <v>20736</v>
      </c>
      <c r="P661" s="55">
        <v>0.01</v>
      </c>
      <c r="Q661" s="61">
        <v>150.96</v>
      </c>
      <c r="R661" s="60"/>
      <c r="S661" s="61">
        <v>150.96</v>
      </c>
    </row>
    <row r="662" ht="20" customHeight="1" spans="1:19">
      <c r="A662" s="43" t="s">
        <v>105</v>
      </c>
      <c r="B662" s="43" t="s">
        <v>106</v>
      </c>
      <c r="C662" s="44"/>
      <c r="D662" s="43" t="s">
        <v>52</v>
      </c>
      <c r="E662" s="43" t="s">
        <v>107</v>
      </c>
      <c r="F662" s="43" t="s">
        <v>52</v>
      </c>
      <c r="G662" s="43" t="s">
        <v>108</v>
      </c>
      <c r="H662" s="43" t="s">
        <v>109</v>
      </c>
      <c r="I662" s="43" t="s">
        <v>52</v>
      </c>
      <c r="J662" s="44"/>
      <c r="K662" s="54">
        <v>180</v>
      </c>
      <c r="L662" s="54">
        <v>180</v>
      </c>
      <c r="M662" s="54">
        <v>0</v>
      </c>
      <c r="N662" s="54">
        <v>0</v>
      </c>
      <c r="O662" s="54">
        <v>180</v>
      </c>
      <c r="P662" s="55">
        <v>0.01</v>
      </c>
      <c r="Q662" s="61">
        <v>1.31</v>
      </c>
      <c r="R662" s="60"/>
      <c r="S662" s="61">
        <v>1.31</v>
      </c>
    </row>
    <row r="663" ht="20" customHeight="1" spans="1:19">
      <c r="A663" s="43" t="s">
        <v>105</v>
      </c>
      <c r="B663" s="43" t="s">
        <v>106</v>
      </c>
      <c r="C663" s="44"/>
      <c r="D663" s="43" t="s">
        <v>52</v>
      </c>
      <c r="E663" s="43" t="s">
        <v>107</v>
      </c>
      <c r="F663" s="43" t="s">
        <v>52</v>
      </c>
      <c r="G663" s="43" t="s">
        <v>108</v>
      </c>
      <c r="H663" s="43" t="s">
        <v>109</v>
      </c>
      <c r="I663" s="43" t="s">
        <v>52</v>
      </c>
      <c r="J663" s="44"/>
      <c r="K663" s="54">
        <v>8640</v>
      </c>
      <c r="L663" s="54">
        <v>8640</v>
      </c>
      <c r="M663" s="54">
        <v>0</v>
      </c>
      <c r="N663" s="54">
        <v>0</v>
      </c>
      <c r="O663" s="54">
        <v>8640</v>
      </c>
      <c r="P663" s="55">
        <v>0.01</v>
      </c>
      <c r="Q663" s="61">
        <v>62.9</v>
      </c>
      <c r="R663" s="60"/>
      <c r="S663" s="61">
        <v>62.9</v>
      </c>
    </row>
    <row r="664" ht="20" customHeight="1" spans="1:19">
      <c r="A664" s="43" t="s">
        <v>105</v>
      </c>
      <c r="B664" s="43" t="s">
        <v>106</v>
      </c>
      <c r="C664" s="44"/>
      <c r="D664" s="43" t="s">
        <v>52</v>
      </c>
      <c r="E664" s="43" t="s">
        <v>107</v>
      </c>
      <c r="F664" s="43" t="s">
        <v>52</v>
      </c>
      <c r="G664" s="43" t="s">
        <v>108</v>
      </c>
      <c r="H664" s="43" t="s">
        <v>109</v>
      </c>
      <c r="I664" s="43" t="s">
        <v>52</v>
      </c>
      <c r="J664" s="44"/>
      <c r="K664" s="54">
        <v>252</v>
      </c>
      <c r="L664" s="54">
        <v>252</v>
      </c>
      <c r="M664" s="54">
        <v>0</v>
      </c>
      <c r="N664" s="54">
        <v>0</v>
      </c>
      <c r="O664" s="54">
        <v>252</v>
      </c>
      <c r="P664" s="55">
        <v>0.01</v>
      </c>
      <c r="Q664" s="61">
        <v>1.83</v>
      </c>
      <c r="R664" s="60"/>
      <c r="S664" s="61">
        <v>1.83</v>
      </c>
    </row>
    <row r="665" ht="20" customHeight="1" spans="1:19">
      <c r="A665" s="43" t="s">
        <v>105</v>
      </c>
      <c r="B665" s="43" t="s">
        <v>106</v>
      </c>
      <c r="C665" s="44"/>
      <c r="D665" s="43" t="s">
        <v>52</v>
      </c>
      <c r="E665" s="43" t="s">
        <v>107</v>
      </c>
      <c r="F665" s="43" t="s">
        <v>52</v>
      </c>
      <c r="G665" s="43" t="s">
        <v>108</v>
      </c>
      <c r="H665" s="43" t="s">
        <v>109</v>
      </c>
      <c r="I665" s="43" t="s">
        <v>52</v>
      </c>
      <c r="J665" s="44"/>
      <c r="K665" s="54">
        <v>9360</v>
      </c>
      <c r="L665" s="54">
        <v>9360</v>
      </c>
      <c r="M665" s="54">
        <v>0</v>
      </c>
      <c r="N665" s="54">
        <v>0</v>
      </c>
      <c r="O665" s="54">
        <v>9360</v>
      </c>
      <c r="P665" s="55">
        <v>0.01</v>
      </c>
      <c r="Q665" s="61">
        <v>68.14</v>
      </c>
      <c r="R665" s="60"/>
      <c r="S665" s="61">
        <v>68.14</v>
      </c>
    </row>
    <row r="666" ht="13" customHeight="1" spans="1:19">
      <c r="A666" s="47" t="s">
        <v>143</v>
      </c>
      <c r="B666" s="48"/>
      <c r="C666" s="48"/>
      <c r="D666" s="48"/>
      <c r="E666" s="48"/>
      <c r="F666" s="48"/>
      <c r="G666" s="48"/>
      <c r="H666" s="48"/>
      <c r="I666" s="48"/>
      <c r="J666" s="56"/>
      <c r="K666" s="47" t="s">
        <v>144</v>
      </c>
      <c r="L666" s="57">
        <v>114938</v>
      </c>
      <c r="M666" s="58">
        <v>0</v>
      </c>
      <c r="N666" s="58">
        <v>0</v>
      </c>
      <c r="O666" s="58">
        <v>114938</v>
      </c>
      <c r="P666" s="59" t="s">
        <v>52</v>
      </c>
      <c r="Q666" s="62"/>
      <c r="R666" s="62"/>
      <c r="S666" s="63">
        <v>1304.74</v>
      </c>
    </row>
    <row r="667" ht="19" customHeight="1" spans="1:19">
      <c r="A667" s="43" t="s">
        <v>145</v>
      </c>
      <c r="B667" s="44"/>
      <c r="C667" s="44"/>
      <c r="D667" s="49" t="s">
        <v>146</v>
      </c>
      <c r="E667" s="50" t="s">
        <v>147</v>
      </c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56"/>
      <c r="S667" s="56"/>
    </row>
    <row r="668" ht="19" customHeight="1" spans="1:19">
      <c r="A668" s="49" t="s">
        <v>146</v>
      </c>
      <c r="B668" s="51"/>
      <c r="C668" s="51"/>
      <c r="D668" s="49" t="s">
        <v>146</v>
      </c>
      <c r="E668" s="49" t="s">
        <v>119</v>
      </c>
      <c r="F668" s="52">
        <v>700</v>
      </c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56"/>
      <c r="S668" s="56"/>
    </row>
    <row r="669" ht="12" customHeight="1" spans="1:19">
      <c r="A669" s="46" t="s">
        <v>52</v>
      </c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56"/>
      <c r="S669" s="56"/>
    </row>
    <row r="670" ht="14" customHeight="1" spans="1:19">
      <c r="A670" s="43" t="s">
        <v>67</v>
      </c>
      <c r="B670" s="44"/>
      <c r="C670" s="44"/>
      <c r="D670" s="45" t="s">
        <v>124</v>
      </c>
      <c r="E670" s="43" t="s">
        <v>69</v>
      </c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</row>
    <row r="671" ht="14" customHeight="1" spans="1:19">
      <c r="A671" s="43" t="s">
        <v>70</v>
      </c>
      <c r="B671" s="44"/>
      <c r="C671" s="44"/>
      <c r="D671" s="45" t="s">
        <v>124</v>
      </c>
      <c r="E671" s="43" t="s">
        <v>71</v>
      </c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</row>
    <row r="672" ht="14" customHeight="1" spans="1:19">
      <c r="A672" s="43" t="s">
        <v>82</v>
      </c>
      <c r="B672" s="44"/>
      <c r="C672" s="44"/>
      <c r="D672" s="45" t="s">
        <v>124</v>
      </c>
      <c r="E672" s="43" t="s">
        <v>83</v>
      </c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</row>
    <row r="673" ht="14" customHeight="1" spans="1:19">
      <c r="A673" s="43" t="s">
        <v>72</v>
      </c>
      <c r="B673" s="44"/>
      <c r="C673" s="44"/>
      <c r="D673" s="45" t="s">
        <v>124</v>
      </c>
      <c r="E673" s="43" t="s">
        <v>125</v>
      </c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</row>
    <row r="674" ht="14" customHeight="1" spans="1:19">
      <c r="A674" s="43" t="s">
        <v>126</v>
      </c>
      <c r="B674" s="44"/>
      <c r="C674" s="44"/>
      <c r="D674" s="45" t="s">
        <v>124</v>
      </c>
      <c r="E674" s="43" t="s">
        <v>166</v>
      </c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</row>
    <row r="675" ht="14" customHeight="1" spans="1:19">
      <c r="A675" s="43" t="s">
        <v>76</v>
      </c>
      <c r="B675" s="44"/>
      <c r="C675" s="44"/>
      <c r="D675" s="45" t="s">
        <v>124</v>
      </c>
      <c r="E675" s="43" t="s">
        <v>77</v>
      </c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</row>
    <row r="676" ht="14" customHeight="1" spans="1:19">
      <c r="A676" s="43" t="s">
        <v>78</v>
      </c>
      <c r="B676" s="44"/>
      <c r="C676" s="44"/>
      <c r="D676" s="45" t="s">
        <v>124</v>
      </c>
      <c r="E676" s="43" t="s">
        <v>79</v>
      </c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</row>
    <row r="677" ht="14" customHeight="1" spans="1:19">
      <c r="A677" s="43" t="s">
        <v>80</v>
      </c>
      <c r="B677" s="44"/>
      <c r="C677" s="44"/>
      <c r="D677" s="45" t="s">
        <v>124</v>
      </c>
      <c r="E677" s="43" t="s">
        <v>81</v>
      </c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</row>
    <row r="678" ht="17" customHeight="1" spans="1:19">
      <c r="A678" s="46" t="s">
        <v>52</v>
      </c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</row>
    <row r="679" ht="14" customHeight="1" spans="1:19">
      <c r="A679" s="43" t="s">
        <v>84</v>
      </c>
      <c r="B679" s="43" t="s">
        <v>85</v>
      </c>
      <c r="C679" s="44"/>
      <c r="D679" s="43" t="s">
        <v>52</v>
      </c>
      <c r="E679" s="43" t="s">
        <v>87</v>
      </c>
      <c r="F679" s="43" t="s">
        <v>88</v>
      </c>
      <c r="G679" s="43" t="s">
        <v>89</v>
      </c>
      <c r="H679" s="43" t="s">
        <v>90</v>
      </c>
      <c r="I679" s="43" t="s">
        <v>91</v>
      </c>
      <c r="J679" s="44"/>
      <c r="K679" s="53" t="s">
        <v>128</v>
      </c>
      <c r="L679" s="53" t="s">
        <v>129</v>
      </c>
      <c r="M679" s="53" t="s">
        <v>130</v>
      </c>
      <c r="N679" s="53" t="s">
        <v>131</v>
      </c>
      <c r="O679" s="53" t="s">
        <v>132</v>
      </c>
      <c r="P679" s="53" t="s">
        <v>93</v>
      </c>
      <c r="Q679" s="53" t="s">
        <v>94</v>
      </c>
      <c r="R679" s="60"/>
      <c r="S679" s="53" t="s">
        <v>133</v>
      </c>
    </row>
    <row r="680" ht="20" customHeight="1" spans="1:19">
      <c r="A680" s="43" t="s">
        <v>134</v>
      </c>
      <c r="B680" s="43" t="s">
        <v>135</v>
      </c>
      <c r="C680" s="44"/>
      <c r="D680" s="43" t="s">
        <v>52</v>
      </c>
      <c r="E680" s="43" t="s">
        <v>136</v>
      </c>
      <c r="F680" s="43" t="s">
        <v>52</v>
      </c>
      <c r="G680" s="43" t="s">
        <v>108</v>
      </c>
      <c r="H680" s="43" t="s">
        <v>109</v>
      </c>
      <c r="I680" s="43" t="s">
        <v>52</v>
      </c>
      <c r="J680" s="44"/>
      <c r="K680" s="54">
        <v>34272</v>
      </c>
      <c r="L680" s="54">
        <v>34272</v>
      </c>
      <c r="M680" s="54">
        <v>0</v>
      </c>
      <c r="N680" s="54">
        <v>0</v>
      </c>
      <c r="O680" s="54">
        <v>34272</v>
      </c>
      <c r="P680" s="55">
        <v>0.01</v>
      </c>
      <c r="Q680" s="61">
        <v>249.5</v>
      </c>
      <c r="R680" s="60"/>
      <c r="S680" s="61">
        <v>249.5</v>
      </c>
    </row>
    <row r="681" ht="20" customHeight="1" spans="1:19">
      <c r="A681" s="43" t="s">
        <v>134</v>
      </c>
      <c r="B681" s="43" t="s">
        <v>135</v>
      </c>
      <c r="C681" s="44"/>
      <c r="D681" s="43" t="s">
        <v>52</v>
      </c>
      <c r="E681" s="43" t="s">
        <v>136</v>
      </c>
      <c r="F681" s="43" t="s">
        <v>52</v>
      </c>
      <c r="G681" s="43" t="s">
        <v>108</v>
      </c>
      <c r="H681" s="43" t="s">
        <v>109</v>
      </c>
      <c r="I681" s="43" t="s">
        <v>52</v>
      </c>
      <c r="J681" s="44"/>
      <c r="K681" s="54">
        <v>4752</v>
      </c>
      <c r="L681" s="54">
        <v>4752</v>
      </c>
      <c r="M681" s="54">
        <v>0</v>
      </c>
      <c r="N681" s="54">
        <v>0</v>
      </c>
      <c r="O681" s="54">
        <v>4752</v>
      </c>
      <c r="P681" s="55">
        <v>0.01</v>
      </c>
      <c r="Q681" s="61">
        <v>34.59</v>
      </c>
      <c r="R681" s="60"/>
      <c r="S681" s="61">
        <v>34.59</v>
      </c>
    </row>
    <row r="682" ht="20" customHeight="1" spans="1:19">
      <c r="A682" s="43" t="s">
        <v>134</v>
      </c>
      <c r="B682" s="43" t="s">
        <v>135</v>
      </c>
      <c r="C682" s="44"/>
      <c r="D682" s="43" t="s">
        <v>52</v>
      </c>
      <c r="E682" s="43" t="s">
        <v>136</v>
      </c>
      <c r="F682" s="43" t="s">
        <v>52</v>
      </c>
      <c r="G682" s="43" t="s">
        <v>108</v>
      </c>
      <c r="H682" s="43" t="s">
        <v>109</v>
      </c>
      <c r="I682" s="43" t="s">
        <v>52</v>
      </c>
      <c r="J682" s="44"/>
      <c r="K682" s="54">
        <v>144</v>
      </c>
      <c r="L682" s="54">
        <v>144</v>
      </c>
      <c r="M682" s="54">
        <v>0</v>
      </c>
      <c r="N682" s="54">
        <v>0</v>
      </c>
      <c r="O682" s="54">
        <v>144</v>
      </c>
      <c r="P682" s="55">
        <v>0.01</v>
      </c>
      <c r="Q682" s="61">
        <v>1.05</v>
      </c>
      <c r="R682" s="60"/>
      <c r="S682" s="61">
        <v>1.05</v>
      </c>
    </row>
    <row r="683" ht="20" customHeight="1" spans="1:19">
      <c r="A683" s="43" t="s">
        <v>137</v>
      </c>
      <c r="B683" s="43" t="s">
        <v>138</v>
      </c>
      <c r="C683" s="44"/>
      <c r="D683" s="43" t="s">
        <v>52</v>
      </c>
      <c r="E683" s="43" t="s">
        <v>139</v>
      </c>
      <c r="F683" s="43" t="s">
        <v>52</v>
      </c>
      <c r="G683" s="43" t="s">
        <v>100</v>
      </c>
      <c r="H683" s="43" t="s">
        <v>101</v>
      </c>
      <c r="I683" s="43" t="s">
        <v>52</v>
      </c>
      <c r="J683" s="44"/>
      <c r="K683" s="54">
        <v>1692</v>
      </c>
      <c r="L683" s="54">
        <v>1692</v>
      </c>
      <c r="M683" s="54">
        <v>0</v>
      </c>
      <c r="N683" s="54">
        <v>0</v>
      </c>
      <c r="O683" s="54">
        <v>1692</v>
      </c>
      <c r="P683" s="55">
        <v>0.11</v>
      </c>
      <c r="Q683" s="61">
        <v>191.47</v>
      </c>
      <c r="R683" s="60"/>
      <c r="S683" s="61">
        <v>191.47</v>
      </c>
    </row>
    <row r="684" ht="20" customHeight="1" spans="1:19">
      <c r="A684" s="43" t="s">
        <v>137</v>
      </c>
      <c r="B684" s="43" t="s">
        <v>138</v>
      </c>
      <c r="C684" s="44"/>
      <c r="D684" s="43" t="s">
        <v>52</v>
      </c>
      <c r="E684" s="43" t="s">
        <v>139</v>
      </c>
      <c r="F684" s="43" t="s">
        <v>52</v>
      </c>
      <c r="G684" s="43" t="s">
        <v>100</v>
      </c>
      <c r="H684" s="43" t="s">
        <v>101</v>
      </c>
      <c r="I684" s="43" t="s">
        <v>52</v>
      </c>
      <c r="J684" s="44"/>
      <c r="K684" s="54">
        <v>8</v>
      </c>
      <c r="L684" s="54">
        <v>8</v>
      </c>
      <c r="M684" s="54">
        <v>0</v>
      </c>
      <c r="N684" s="54">
        <v>0</v>
      </c>
      <c r="O684" s="54">
        <v>8</v>
      </c>
      <c r="P684" s="55">
        <v>0.11</v>
      </c>
      <c r="Q684" s="61">
        <v>0.91</v>
      </c>
      <c r="R684" s="60"/>
      <c r="S684" s="61">
        <v>0.91</v>
      </c>
    </row>
    <row r="685" ht="20" customHeight="1" spans="1:19">
      <c r="A685" s="43" t="s">
        <v>137</v>
      </c>
      <c r="B685" s="43" t="s">
        <v>138</v>
      </c>
      <c r="C685" s="44"/>
      <c r="D685" s="43" t="s">
        <v>52</v>
      </c>
      <c r="E685" s="43" t="s">
        <v>139</v>
      </c>
      <c r="F685" s="43" t="s">
        <v>52</v>
      </c>
      <c r="G685" s="43" t="s">
        <v>100</v>
      </c>
      <c r="H685" s="43" t="s">
        <v>101</v>
      </c>
      <c r="I685" s="43" t="s">
        <v>52</v>
      </c>
      <c r="J685" s="44"/>
      <c r="K685" s="54">
        <v>10</v>
      </c>
      <c r="L685" s="54">
        <v>10</v>
      </c>
      <c r="M685" s="54">
        <v>0</v>
      </c>
      <c r="N685" s="54">
        <v>0</v>
      </c>
      <c r="O685" s="54">
        <v>10</v>
      </c>
      <c r="P685" s="55">
        <v>0.11</v>
      </c>
      <c r="Q685" s="61">
        <v>1.13</v>
      </c>
      <c r="R685" s="60"/>
      <c r="S685" s="61">
        <v>1.13</v>
      </c>
    </row>
    <row r="686" ht="20" customHeight="1" spans="1:19">
      <c r="A686" s="43" t="s">
        <v>140</v>
      </c>
      <c r="B686" s="43" t="s">
        <v>141</v>
      </c>
      <c r="C686" s="44"/>
      <c r="D686" s="43" t="s">
        <v>52</v>
      </c>
      <c r="E686" s="43" t="s">
        <v>142</v>
      </c>
      <c r="F686" s="43" t="s">
        <v>52</v>
      </c>
      <c r="G686" s="43" t="s">
        <v>108</v>
      </c>
      <c r="H686" s="43" t="s">
        <v>109</v>
      </c>
      <c r="I686" s="43" t="s">
        <v>52</v>
      </c>
      <c r="J686" s="44"/>
      <c r="K686" s="54">
        <v>180</v>
      </c>
      <c r="L686" s="54">
        <v>180</v>
      </c>
      <c r="M686" s="54">
        <v>0</v>
      </c>
      <c r="N686" s="54">
        <v>0</v>
      </c>
      <c r="O686" s="54">
        <v>180</v>
      </c>
      <c r="P686" s="55">
        <v>0.01</v>
      </c>
      <c r="Q686" s="61">
        <v>1.31</v>
      </c>
      <c r="R686" s="60"/>
      <c r="S686" s="61">
        <v>1.31</v>
      </c>
    </row>
    <row r="687" ht="20" customHeight="1" spans="1:19">
      <c r="A687" s="43" t="s">
        <v>140</v>
      </c>
      <c r="B687" s="43" t="s">
        <v>141</v>
      </c>
      <c r="C687" s="44"/>
      <c r="D687" s="43" t="s">
        <v>52</v>
      </c>
      <c r="E687" s="43" t="s">
        <v>142</v>
      </c>
      <c r="F687" s="43" t="s">
        <v>52</v>
      </c>
      <c r="G687" s="43" t="s">
        <v>108</v>
      </c>
      <c r="H687" s="43" t="s">
        <v>109</v>
      </c>
      <c r="I687" s="43" t="s">
        <v>52</v>
      </c>
      <c r="J687" s="44"/>
      <c r="K687" s="54">
        <v>24</v>
      </c>
      <c r="L687" s="54">
        <v>24</v>
      </c>
      <c r="M687" s="54">
        <v>0</v>
      </c>
      <c r="N687" s="54">
        <v>0</v>
      </c>
      <c r="O687" s="54">
        <v>24</v>
      </c>
      <c r="P687" s="55">
        <v>0.01</v>
      </c>
      <c r="Q687" s="61">
        <v>0.17</v>
      </c>
      <c r="R687" s="60"/>
      <c r="S687" s="61">
        <v>0.17</v>
      </c>
    </row>
    <row r="688" ht="20" customHeight="1" spans="1:19">
      <c r="A688" s="43" t="s">
        <v>140</v>
      </c>
      <c r="B688" s="43" t="s">
        <v>141</v>
      </c>
      <c r="C688" s="44"/>
      <c r="D688" s="43" t="s">
        <v>52</v>
      </c>
      <c r="E688" s="43" t="s">
        <v>142</v>
      </c>
      <c r="F688" s="43" t="s">
        <v>52</v>
      </c>
      <c r="G688" s="43" t="s">
        <v>108</v>
      </c>
      <c r="H688" s="43" t="s">
        <v>109</v>
      </c>
      <c r="I688" s="43" t="s">
        <v>52</v>
      </c>
      <c r="J688" s="44"/>
      <c r="K688" s="54">
        <v>19224</v>
      </c>
      <c r="L688" s="54">
        <v>19224</v>
      </c>
      <c r="M688" s="54">
        <v>0</v>
      </c>
      <c r="N688" s="54">
        <v>0</v>
      </c>
      <c r="O688" s="54">
        <v>19224</v>
      </c>
      <c r="P688" s="55">
        <v>0.01</v>
      </c>
      <c r="Q688" s="61">
        <v>139.95</v>
      </c>
      <c r="R688" s="60"/>
      <c r="S688" s="61">
        <v>139.95</v>
      </c>
    </row>
    <row r="689" ht="20" customHeight="1" spans="1:19">
      <c r="A689" s="43" t="s">
        <v>140</v>
      </c>
      <c r="B689" s="43" t="s">
        <v>141</v>
      </c>
      <c r="C689" s="44"/>
      <c r="D689" s="43" t="s">
        <v>52</v>
      </c>
      <c r="E689" s="43" t="s">
        <v>142</v>
      </c>
      <c r="F689" s="43" t="s">
        <v>52</v>
      </c>
      <c r="G689" s="43" t="s">
        <v>108</v>
      </c>
      <c r="H689" s="43" t="s">
        <v>109</v>
      </c>
      <c r="I689" s="43" t="s">
        <v>52</v>
      </c>
      <c r="J689" s="44"/>
      <c r="K689" s="54">
        <v>156</v>
      </c>
      <c r="L689" s="54">
        <v>156</v>
      </c>
      <c r="M689" s="54">
        <v>0</v>
      </c>
      <c r="N689" s="54">
        <v>0</v>
      </c>
      <c r="O689" s="54">
        <v>156</v>
      </c>
      <c r="P689" s="55">
        <v>0.01</v>
      </c>
      <c r="Q689" s="61">
        <v>1.14</v>
      </c>
      <c r="R689" s="60"/>
      <c r="S689" s="61">
        <v>1.14</v>
      </c>
    </row>
    <row r="690" ht="20" customHeight="1" spans="1:19">
      <c r="A690" s="43" t="s">
        <v>97</v>
      </c>
      <c r="B690" s="43" t="s">
        <v>102</v>
      </c>
      <c r="C690" s="44"/>
      <c r="D690" s="43" t="s">
        <v>52</v>
      </c>
      <c r="E690" s="43" t="s">
        <v>99</v>
      </c>
      <c r="F690" s="43" t="s">
        <v>52</v>
      </c>
      <c r="G690" s="43" t="s">
        <v>100</v>
      </c>
      <c r="H690" s="43" t="s">
        <v>101</v>
      </c>
      <c r="I690" s="43" t="s">
        <v>52</v>
      </c>
      <c r="J690" s="44"/>
      <c r="K690" s="54">
        <v>3</v>
      </c>
      <c r="L690" s="54">
        <v>3</v>
      </c>
      <c r="M690" s="54">
        <v>0</v>
      </c>
      <c r="N690" s="54">
        <v>0</v>
      </c>
      <c r="O690" s="54">
        <v>3</v>
      </c>
      <c r="P690" s="55">
        <v>0.11</v>
      </c>
      <c r="Q690" s="61">
        <v>0.34</v>
      </c>
      <c r="R690" s="60"/>
      <c r="S690" s="61">
        <v>0.34</v>
      </c>
    </row>
    <row r="691" ht="20" customHeight="1" spans="1:19">
      <c r="A691" s="43" t="s">
        <v>97</v>
      </c>
      <c r="B691" s="43" t="s">
        <v>102</v>
      </c>
      <c r="C691" s="44"/>
      <c r="D691" s="43" t="s">
        <v>52</v>
      </c>
      <c r="E691" s="43" t="s">
        <v>99</v>
      </c>
      <c r="F691" s="43" t="s">
        <v>52</v>
      </c>
      <c r="G691" s="43" t="s">
        <v>100</v>
      </c>
      <c r="H691" s="43" t="s">
        <v>101</v>
      </c>
      <c r="I691" s="43" t="s">
        <v>52</v>
      </c>
      <c r="J691" s="44"/>
      <c r="K691" s="54">
        <v>1092</v>
      </c>
      <c r="L691" s="54">
        <v>1092</v>
      </c>
      <c r="M691" s="54">
        <v>0</v>
      </c>
      <c r="N691" s="54">
        <v>0</v>
      </c>
      <c r="O691" s="54">
        <v>1092</v>
      </c>
      <c r="P691" s="55">
        <v>0.11</v>
      </c>
      <c r="Q691" s="61">
        <v>123.57</v>
      </c>
      <c r="R691" s="60"/>
      <c r="S691" s="61">
        <v>123.57</v>
      </c>
    </row>
    <row r="692" ht="20" customHeight="1" spans="1:19">
      <c r="A692" s="43" t="s">
        <v>97</v>
      </c>
      <c r="B692" s="43" t="s">
        <v>102</v>
      </c>
      <c r="C692" s="44"/>
      <c r="D692" s="43" t="s">
        <v>52</v>
      </c>
      <c r="E692" s="43" t="s">
        <v>99</v>
      </c>
      <c r="F692" s="43" t="s">
        <v>52</v>
      </c>
      <c r="G692" s="43" t="s">
        <v>100</v>
      </c>
      <c r="H692" s="43" t="s">
        <v>101</v>
      </c>
      <c r="I692" s="43" t="s">
        <v>52</v>
      </c>
      <c r="J692" s="44"/>
      <c r="K692" s="54">
        <v>4</v>
      </c>
      <c r="L692" s="54">
        <v>4</v>
      </c>
      <c r="M692" s="54">
        <v>0</v>
      </c>
      <c r="N692" s="54">
        <v>0</v>
      </c>
      <c r="O692" s="54">
        <v>4</v>
      </c>
      <c r="P692" s="55">
        <v>0.11</v>
      </c>
      <c r="Q692" s="61">
        <v>0.45</v>
      </c>
      <c r="R692" s="60"/>
      <c r="S692" s="61">
        <v>0.45</v>
      </c>
    </row>
    <row r="693" ht="20" customHeight="1" spans="1:19">
      <c r="A693" s="43" t="s">
        <v>97</v>
      </c>
      <c r="B693" s="43" t="s">
        <v>102</v>
      </c>
      <c r="C693" s="44"/>
      <c r="D693" s="43" t="s">
        <v>52</v>
      </c>
      <c r="E693" s="43" t="s">
        <v>99</v>
      </c>
      <c r="F693" s="43" t="s">
        <v>52</v>
      </c>
      <c r="G693" s="43" t="s">
        <v>100</v>
      </c>
      <c r="H693" s="43" t="s">
        <v>101</v>
      </c>
      <c r="I693" s="43" t="s">
        <v>52</v>
      </c>
      <c r="J693" s="44"/>
      <c r="K693" s="54">
        <v>1</v>
      </c>
      <c r="L693" s="54">
        <v>1</v>
      </c>
      <c r="M693" s="54">
        <v>0</v>
      </c>
      <c r="N693" s="54">
        <v>0</v>
      </c>
      <c r="O693" s="54">
        <v>1</v>
      </c>
      <c r="P693" s="55">
        <v>0.11</v>
      </c>
      <c r="Q693" s="61">
        <v>0.11</v>
      </c>
      <c r="R693" s="60"/>
      <c r="S693" s="61">
        <v>0.11</v>
      </c>
    </row>
    <row r="694" ht="20" customHeight="1" spans="1:19">
      <c r="A694" s="43" t="s">
        <v>97</v>
      </c>
      <c r="B694" s="43" t="s">
        <v>102</v>
      </c>
      <c r="C694" s="44"/>
      <c r="D694" s="43" t="s">
        <v>52</v>
      </c>
      <c r="E694" s="43" t="s">
        <v>99</v>
      </c>
      <c r="F694" s="43" t="s">
        <v>52</v>
      </c>
      <c r="G694" s="43" t="s">
        <v>103</v>
      </c>
      <c r="H694" s="43" t="s">
        <v>104</v>
      </c>
      <c r="I694" s="43" t="s">
        <v>52</v>
      </c>
      <c r="J694" s="44"/>
      <c r="K694" s="54">
        <v>56</v>
      </c>
      <c r="L694" s="54">
        <v>56</v>
      </c>
      <c r="M694" s="54">
        <v>0</v>
      </c>
      <c r="N694" s="54">
        <v>0</v>
      </c>
      <c r="O694" s="54">
        <v>56</v>
      </c>
      <c r="P694" s="55">
        <v>0.02</v>
      </c>
      <c r="Q694" s="61">
        <v>1.08</v>
      </c>
      <c r="R694" s="60"/>
      <c r="S694" s="61">
        <v>1.08</v>
      </c>
    </row>
    <row r="695" ht="20" customHeight="1" spans="1:19">
      <c r="A695" s="43" t="s">
        <v>97</v>
      </c>
      <c r="B695" s="43" t="s">
        <v>102</v>
      </c>
      <c r="C695" s="44"/>
      <c r="D695" s="43" t="s">
        <v>52</v>
      </c>
      <c r="E695" s="43" t="s">
        <v>99</v>
      </c>
      <c r="F695" s="43" t="s">
        <v>52</v>
      </c>
      <c r="G695" s="43" t="s">
        <v>103</v>
      </c>
      <c r="H695" s="43" t="s">
        <v>104</v>
      </c>
      <c r="I695" s="43" t="s">
        <v>52</v>
      </c>
      <c r="J695" s="44"/>
      <c r="K695" s="54">
        <v>14148</v>
      </c>
      <c r="L695" s="54">
        <v>14148</v>
      </c>
      <c r="M695" s="54">
        <v>0</v>
      </c>
      <c r="N695" s="54">
        <v>0</v>
      </c>
      <c r="O695" s="54">
        <v>14148</v>
      </c>
      <c r="P695" s="55">
        <v>0.02</v>
      </c>
      <c r="Q695" s="61">
        <v>272.75</v>
      </c>
      <c r="R695" s="60"/>
      <c r="S695" s="61">
        <v>272.75</v>
      </c>
    </row>
    <row r="696" ht="20" customHeight="1" spans="1:19">
      <c r="A696" s="43" t="s">
        <v>97</v>
      </c>
      <c r="B696" s="43" t="s">
        <v>102</v>
      </c>
      <c r="C696" s="44"/>
      <c r="D696" s="43" t="s">
        <v>52</v>
      </c>
      <c r="E696" s="43" t="s">
        <v>99</v>
      </c>
      <c r="F696" s="43" t="s">
        <v>52</v>
      </c>
      <c r="G696" s="43" t="s">
        <v>103</v>
      </c>
      <c r="H696" s="43" t="s">
        <v>104</v>
      </c>
      <c r="I696" s="43" t="s">
        <v>52</v>
      </c>
      <c r="J696" s="44"/>
      <c r="K696" s="54">
        <v>4</v>
      </c>
      <c r="L696" s="54">
        <v>4</v>
      </c>
      <c r="M696" s="54">
        <v>0</v>
      </c>
      <c r="N696" s="54">
        <v>0</v>
      </c>
      <c r="O696" s="54">
        <v>4</v>
      </c>
      <c r="P696" s="55">
        <v>0.02</v>
      </c>
      <c r="Q696" s="61">
        <v>0.08</v>
      </c>
      <c r="R696" s="60"/>
      <c r="S696" s="61">
        <v>0.08</v>
      </c>
    </row>
    <row r="697" ht="20" customHeight="1" spans="1:19">
      <c r="A697" s="43" t="s">
        <v>105</v>
      </c>
      <c r="B697" s="43" t="s">
        <v>106</v>
      </c>
      <c r="C697" s="44"/>
      <c r="D697" s="43" t="s">
        <v>52</v>
      </c>
      <c r="E697" s="43" t="s">
        <v>107</v>
      </c>
      <c r="F697" s="43" t="s">
        <v>52</v>
      </c>
      <c r="G697" s="43" t="s">
        <v>108</v>
      </c>
      <c r="H697" s="43" t="s">
        <v>109</v>
      </c>
      <c r="I697" s="43" t="s">
        <v>52</v>
      </c>
      <c r="J697" s="44"/>
      <c r="K697" s="54">
        <v>20736</v>
      </c>
      <c r="L697" s="54">
        <v>20736</v>
      </c>
      <c r="M697" s="54">
        <v>0</v>
      </c>
      <c r="N697" s="54">
        <v>0</v>
      </c>
      <c r="O697" s="54">
        <v>20736</v>
      </c>
      <c r="P697" s="55">
        <v>0.01</v>
      </c>
      <c r="Q697" s="61">
        <v>150.96</v>
      </c>
      <c r="R697" s="60"/>
      <c r="S697" s="61">
        <v>150.96</v>
      </c>
    </row>
    <row r="698" ht="20" customHeight="1" spans="1:19">
      <c r="A698" s="43" t="s">
        <v>105</v>
      </c>
      <c r="B698" s="43" t="s">
        <v>106</v>
      </c>
      <c r="C698" s="44"/>
      <c r="D698" s="43" t="s">
        <v>52</v>
      </c>
      <c r="E698" s="43" t="s">
        <v>107</v>
      </c>
      <c r="F698" s="43" t="s">
        <v>52</v>
      </c>
      <c r="G698" s="43" t="s">
        <v>108</v>
      </c>
      <c r="H698" s="43" t="s">
        <v>109</v>
      </c>
      <c r="I698" s="43" t="s">
        <v>52</v>
      </c>
      <c r="J698" s="44"/>
      <c r="K698" s="54">
        <v>180</v>
      </c>
      <c r="L698" s="54">
        <v>180</v>
      </c>
      <c r="M698" s="54">
        <v>0</v>
      </c>
      <c r="N698" s="54">
        <v>0</v>
      </c>
      <c r="O698" s="54">
        <v>180</v>
      </c>
      <c r="P698" s="55">
        <v>0.01</v>
      </c>
      <c r="Q698" s="61">
        <v>1.31</v>
      </c>
      <c r="R698" s="60"/>
      <c r="S698" s="61">
        <v>1.31</v>
      </c>
    </row>
    <row r="699" ht="20" customHeight="1" spans="1:19">
      <c r="A699" s="43" t="s">
        <v>105</v>
      </c>
      <c r="B699" s="43" t="s">
        <v>106</v>
      </c>
      <c r="C699" s="44"/>
      <c r="D699" s="43" t="s">
        <v>52</v>
      </c>
      <c r="E699" s="43" t="s">
        <v>107</v>
      </c>
      <c r="F699" s="43" t="s">
        <v>52</v>
      </c>
      <c r="G699" s="43" t="s">
        <v>108</v>
      </c>
      <c r="H699" s="43" t="s">
        <v>109</v>
      </c>
      <c r="I699" s="43" t="s">
        <v>52</v>
      </c>
      <c r="J699" s="44"/>
      <c r="K699" s="54">
        <v>8640</v>
      </c>
      <c r="L699" s="54">
        <v>8640</v>
      </c>
      <c r="M699" s="54">
        <v>0</v>
      </c>
      <c r="N699" s="54">
        <v>0</v>
      </c>
      <c r="O699" s="54">
        <v>8640</v>
      </c>
      <c r="P699" s="55">
        <v>0.01</v>
      </c>
      <c r="Q699" s="61">
        <v>62.9</v>
      </c>
      <c r="R699" s="60"/>
      <c r="S699" s="61">
        <v>62.9</v>
      </c>
    </row>
    <row r="700" ht="20" customHeight="1" spans="1:19">
      <c r="A700" s="43" t="s">
        <v>105</v>
      </c>
      <c r="B700" s="43" t="s">
        <v>106</v>
      </c>
      <c r="C700" s="44"/>
      <c r="D700" s="43" t="s">
        <v>52</v>
      </c>
      <c r="E700" s="43" t="s">
        <v>107</v>
      </c>
      <c r="F700" s="43" t="s">
        <v>52</v>
      </c>
      <c r="G700" s="43" t="s">
        <v>108</v>
      </c>
      <c r="H700" s="43" t="s">
        <v>109</v>
      </c>
      <c r="I700" s="43" t="s">
        <v>52</v>
      </c>
      <c r="J700" s="44"/>
      <c r="K700" s="54">
        <v>252</v>
      </c>
      <c r="L700" s="54">
        <v>252</v>
      </c>
      <c r="M700" s="54">
        <v>0</v>
      </c>
      <c r="N700" s="54">
        <v>0</v>
      </c>
      <c r="O700" s="54">
        <v>252</v>
      </c>
      <c r="P700" s="55">
        <v>0.01</v>
      </c>
      <c r="Q700" s="61">
        <v>1.83</v>
      </c>
      <c r="R700" s="60"/>
      <c r="S700" s="61">
        <v>1.83</v>
      </c>
    </row>
    <row r="701" ht="20" customHeight="1" spans="1:19">
      <c r="A701" s="43" t="s">
        <v>105</v>
      </c>
      <c r="B701" s="43" t="s">
        <v>106</v>
      </c>
      <c r="C701" s="44"/>
      <c r="D701" s="43" t="s">
        <v>52</v>
      </c>
      <c r="E701" s="43" t="s">
        <v>107</v>
      </c>
      <c r="F701" s="43" t="s">
        <v>52</v>
      </c>
      <c r="G701" s="43" t="s">
        <v>108</v>
      </c>
      <c r="H701" s="43" t="s">
        <v>109</v>
      </c>
      <c r="I701" s="43" t="s">
        <v>52</v>
      </c>
      <c r="J701" s="44"/>
      <c r="K701" s="54">
        <v>9360</v>
      </c>
      <c r="L701" s="54">
        <v>9360</v>
      </c>
      <c r="M701" s="54">
        <v>0</v>
      </c>
      <c r="N701" s="54">
        <v>0</v>
      </c>
      <c r="O701" s="54">
        <v>9360</v>
      </c>
      <c r="P701" s="55">
        <v>0.01</v>
      </c>
      <c r="Q701" s="61">
        <v>68.14</v>
      </c>
      <c r="R701" s="60"/>
      <c r="S701" s="61">
        <v>68.14</v>
      </c>
    </row>
    <row r="702" ht="13" customHeight="1" spans="1:19">
      <c r="A702" s="47" t="s">
        <v>143</v>
      </c>
      <c r="B702" s="48"/>
      <c r="C702" s="48"/>
      <c r="D702" s="48"/>
      <c r="E702" s="48"/>
      <c r="F702" s="48"/>
      <c r="G702" s="48"/>
      <c r="H702" s="48"/>
      <c r="I702" s="48"/>
      <c r="J702" s="56"/>
      <c r="K702" s="47" t="s">
        <v>144</v>
      </c>
      <c r="L702" s="57">
        <v>114938</v>
      </c>
      <c r="M702" s="58">
        <v>0</v>
      </c>
      <c r="N702" s="58">
        <v>0</v>
      </c>
      <c r="O702" s="58">
        <v>114938</v>
      </c>
      <c r="P702" s="59" t="s">
        <v>52</v>
      </c>
      <c r="Q702" s="62"/>
      <c r="R702" s="62"/>
      <c r="S702" s="63">
        <v>1304.74</v>
      </c>
    </row>
    <row r="703" ht="19" customHeight="1" spans="1:19">
      <c r="A703" s="43" t="s">
        <v>145</v>
      </c>
      <c r="B703" s="44"/>
      <c r="C703" s="44"/>
      <c r="D703" s="49" t="s">
        <v>146</v>
      </c>
      <c r="E703" s="50" t="s">
        <v>147</v>
      </c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56"/>
      <c r="S703" s="56"/>
    </row>
    <row r="704" ht="19" customHeight="1" spans="1:19">
      <c r="A704" s="49" t="s">
        <v>146</v>
      </c>
      <c r="B704" s="51"/>
      <c r="C704" s="51"/>
      <c r="D704" s="49" t="s">
        <v>146</v>
      </c>
      <c r="E704" s="49" t="s">
        <v>119</v>
      </c>
      <c r="F704" s="52">
        <v>700</v>
      </c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56"/>
      <c r="S704" s="56"/>
    </row>
    <row r="705" ht="12" customHeight="1" spans="1:19">
      <c r="A705" s="46" t="s">
        <v>52</v>
      </c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56"/>
      <c r="S705" s="56"/>
    </row>
    <row r="706" ht="14" customHeight="1" spans="1:19">
      <c r="A706" s="43" t="s">
        <v>67</v>
      </c>
      <c r="B706" s="44"/>
      <c r="C706" s="44"/>
      <c r="D706" s="45" t="s">
        <v>124</v>
      </c>
      <c r="E706" s="43" t="s">
        <v>69</v>
      </c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</row>
    <row r="707" ht="14" customHeight="1" spans="1:19">
      <c r="A707" s="43" t="s">
        <v>70</v>
      </c>
      <c r="B707" s="44"/>
      <c r="C707" s="44"/>
      <c r="D707" s="45" t="s">
        <v>124</v>
      </c>
      <c r="E707" s="43" t="s">
        <v>71</v>
      </c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</row>
    <row r="708" ht="14" customHeight="1" spans="1:19">
      <c r="A708" s="43" t="s">
        <v>82</v>
      </c>
      <c r="B708" s="44"/>
      <c r="C708" s="44"/>
      <c r="D708" s="45" t="s">
        <v>124</v>
      </c>
      <c r="E708" s="43" t="s">
        <v>83</v>
      </c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</row>
    <row r="709" ht="14" customHeight="1" spans="1:19">
      <c r="A709" s="43" t="s">
        <v>72</v>
      </c>
      <c r="B709" s="44"/>
      <c r="C709" s="44"/>
      <c r="D709" s="45" t="s">
        <v>124</v>
      </c>
      <c r="E709" s="43" t="s">
        <v>125</v>
      </c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</row>
    <row r="710" ht="14" customHeight="1" spans="1:19">
      <c r="A710" s="43" t="s">
        <v>126</v>
      </c>
      <c r="B710" s="44"/>
      <c r="C710" s="44"/>
      <c r="D710" s="45" t="s">
        <v>124</v>
      </c>
      <c r="E710" s="43" t="s">
        <v>167</v>
      </c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</row>
    <row r="711" ht="14" customHeight="1" spans="1:19">
      <c r="A711" s="43" t="s">
        <v>76</v>
      </c>
      <c r="B711" s="44"/>
      <c r="C711" s="44"/>
      <c r="D711" s="45" t="s">
        <v>124</v>
      </c>
      <c r="E711" s="43" t="s">
        <v>77</v>
      </c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</row>
    <row r="712" ht="14" customHeight="1" spans="1:19">
      <c r="A712" s="43" t="s">
        <v>78</v>
      </c>
      <c r="B712" s="44"/>
      <c r="C712" s="44"/>
      <c r="D712" s="45" t="s">
        <v>124</v>
      </c>
      <c r="E712" s="43" t="s">
        <v>79</v>
      </c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</row>
    <row r="713" ht="14" customHeight="1" spans="1:19">
      <c r="A713" s="43" t="s">
        <v>80</v>
      </c>
      <c r="B713" s="44"/>
      <c r="C713" s="44"/>
      <c r="D713" s="45" t="s">
        <v>124</v>
      </c>
      <c r="E713" s="43" t="s">
        <v>81</v>
      </c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</row>
    <row r="714" ht="17" customHeight="1" spans="1:19">
      <c r="A714" s="46" t="s">
        <v>52</v>
      </c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</row>
    <row r="715" ht="14" customHeight="1" spans="1:19">
      <c r="A715" s="43" t="s">
        <v>84</v>
      </c>
      <c r="B715" s="43" t="s">
        <v>85</v>
      </c>
      <c r="C715" s="44"/>
      <c r="D715" s="43" t="s">
        <v>52</v>
      </c>
      <c r="E715" s="43" t="s">
        <v>87</v>
      </c>
      <c r="F715" s="43" t="s">
        <v>88</v>
      </c>
      <c r="G715" s="43" t="s">
        <v>89</v>
      </c>
      <c r="H715" s="43" t="s">
        <v>90</v>
      </c>
      <c r="I715" s="43" t="s">
        <v>91</v>
      </c>
      <c r="J715" s="44"/>
      <c r="K715" s="53" t="s">
        <v>128</v>
      </c>
      <c r="L715" s="53" t="s">
        <v>129</v>
      </c>
      <c r="M715" s="53" t="s">
        <v>130</v>
      </c>
      <c r="N715" s="53" t="s">
        <v>131</v>
      </c>
      <c r="O715" s="53" t="s">
        <v>132</v>
      </c>
      <c r="P715" s="53" t="s">
        <v>93</v>
      </c>
      <c r="Q715" s="53" t="s">
        <v>94</v>
      </c>
      <c r="R715" s="60"/>
      <c r="S715" s="53" t="s">
        <v>133</v>
      </c>
    </row>
    <row r="716" ht="20" customHeight="1" spans="1:19">
      <c r="A716" s="43" t="s">
        <v>134</v>
      </c>
      <c r="B716" s="43" t="s">
        <v>135</v>
      </c>
      <c r="C716" s="44"/>
      <c r="D716" s="43" t="s">
        <v>52</v>
      </c>
      <c r="E716" s="43" t="s">
        <v>136</v>
      </c>
      <c r="F716" s="43" t="s">
        <v>52</v>
      </c>
      <c r="G716" s="43" t="s">
        <v>108</v>
      </c>
      <c r="H716" s="43" t="s">
        <v>109</v>
      </c>
      <c r="I716" s="43" t="s">
        <v>52</v>
      </c>
      <c r="J716" s="44"/>
      <c r="K716" s="54">
        <v>34272</v>
      </c>
      <c r="L716" s="54">
        <v>34272</v>
      </c>
      <c r="M716" s="54">
        <v>0</v>
      </c>
      <c r="N716" s="54">
        <v>0</v>
      </c>
      <c r="O716" s="54">
        <v>34272</v>
      </c>
      <c r="P716" s="55">
        <v>0.01</v>
      </c>
      <c r="Q716" s="61">
        <v>249.5</v>
      </c>
      <c r="R716" s="60"/>
      <c r="S716" s="61">
        <v>249.5</v>
      </c>
    </row>
    <row r="717" ht="20" customHeight="1" spans="1:19">
      <c r="A717" s="43" t="s">
        <v>134</v>
      </c>
      <c r="B717" s="43" t="s">
        <v>135</v>
      </c>
      <c r="C717" s="44"/>
      <c r="D717" s="43" t="s">
        <v>52</v>
      </c>
      <c r="E717" s="43" t="s">
        <v>136</v>
      </c>
      <c r="F717" s="43" t="s">
        <v>52</v>
      </c>
      <c r="G717" s="43" t="s">
        <v>108</v>
      </c>
      <c r="H717" s="43" t="s">
        <v>109</v>
      </c>
      <c r="I717" s="43" t="s">
        <v>52</v>
      </c>
      <c r="J717" s="44"/>
      <c r="K717" s="54">
        <v>4752</v>
      </c>
      <c r="L717" s="54">
        <v>4752</v>
      </c>
      <c r="M717" s="54">
        <v>0</v>
      </c>
      <c r="N717" s="54">
        <v>0</v>
      </c>
      <c r="O717" s="54">
        <v>4752</v>
      </c>
      <c r="P717" s="55">
        <v>0.01</v>
      </c>
      <c r="Q717" s="61">
        <v>34.59</v>
      </c>
      <c r="R717" s="60"/>
      <c r="S717" s="61">
        <v>34.59</v>
      </c>
    </row>
    <row r="718" ht="20" customHeight="1" spans="1:19">
      <c r="A718" s="43" t="s">
        <v>134</v>
      </c>
      <c r="B718" s="43" t="s">
        <v>135</v>
      </c>
      <c r="C718" s="44"/>
      <c r="D718" s="43" t="s">
        <v>52</v>
      </c>
      <c r="E718" s="43" t="s">
        <v>136</v>
      </c>
      <c r="F718" s="43" t="s">
        <v>52</v>
      </c>
      <c r="G718" s="43" t="s">
        <v>108</v>
      </c>
      <c r="H718" s="43" t="s">
        <v>109</v>
      </c>
      <c r="I718" s="43" t="s">
        <v>52</v>
      </c>
      <c r="J718" s="44"/>
      <c r="K718" s="54">
        <v>144</v>
      </c>
      <c r="L718" s="54">
        <v>144</v>
      </c>
      <c r="M718" s="54">
        <v>0</v>
      </c>
      <c r="N718" s="54">
        <v>0</v>
      </c>
      <c r="O718" s="54">
        <v>144</v>
      </c>
      <c r="P718" s="55">
        <v>0.01</v>
      </c>
      <c r="Q718" s="61">
        <v>1.05</v>
      </c>
      <c r="R718" s="60"/>
      <c r="S718" s="61">
        <v>1.05</v>
      </c>
    </row>
    <row r="719" ht="20" customHeight="1" spans="1:19">
      <c r="A719" s="43" t="s">
        <v>137</v>
      </c>
      <c r="B719" s="43" t="s">
        <v>138</v>
      </c>
      <c r="C719" s="44"/>
      <c r="D719" s="43" t="s">
        <v>52</v>
      </c>
      <c r="E719" s="43" t="s">
        <v>139</v>
      </c>
      <c r="F719" s="43" t="s">
        <v>52</v>
      </c>
      <c r="G719" s="43" t="s">
        <v>100</v>
      </c>
      <c r="H719" s="43" t="s">
        <v>101</v>
      </c>
      <c r="I719" s="43" t="s">
        <v>52</v>
      </c>
      <c r="J719" s="44"/>
      <c r="K719" s="54">
        <v>1692</v>
      </c>
      <c r="L719" s="54">
        <v>1692</v>
      </c>
      <c r="M719" s="54">
        <v>0</v>
      </c>
      <c r="N719" s="54">
        <v>0</v>
      </c>
      <c r="O719" s="54">
        <v>1692</v>
      </c>
      <c r="P719" s="55">
        <v>0.11</v>
      </c>
      <c r="Q719" s="61">
        <v>191.47</v>
      </c>
      <c r="R719" s="60"/>
      <c r="S719" s="61">
        <v>191.47</v>
      </c>
    </row>
    <row r="720" ht="20" customHeight="1" spans="1:19">
      <c r="A720" s="43" t="s">
        <v>137</v>
      </c>
      <c r="B720" s="43" t="s">
        <v>138</v>
      </c>
      <c r="C720" s="44"/>
      <c r="D720" s="43" t="s">
        <v>52</v>
      </c>
      <c r="E720" s="43" t="s">
        <v>139</v>
      </c>
      <c r="F720" s="43" t="s">
        <v>52</v>
      </c>
      <c r="G720" s="43" t="s">
        <v>100</v>
      </c>
      <c r="H720" s="43" t="s">
        <v>101</v>
      </c>
      <c r="I720" s="43" t="s">
        <v>52</v>
      </c>
      <c r="J720" s="44"/>
      <c r="K720" s="54">
        <v>8</v>
      </c>
      <c r="L720" s="54">
        <v>8</v>
      </c>
      <c r="M720" s="54">
        <v>0</v>
      </c>
      <c r="N720" s="54">
        <v>0</v>
      </c>
      <c r="O720" s="54">
        <v>8</v>
      </c>
      <c r="P720" s="55">
        <v>0.11</v>
      </c>
      <c r="Q720" s="61">
        <v>0.91</v>
      </c>
      <c r="R720" s="60"/>
      <c r="S720" s="61">
        <v>0.91</v>
      </c>
    </row>
    <row r="721" ht="20" customHeight="1" spans="1:19">
      <c r="A721" s="43" t="s">
        <v>137</v>
      </c>
      <c r="B721" s="43" t="s">
        <v>138</v>
      </c>
      <c r="C721" s="44"/>
      <c r="D721" s="43" t="s">
        <v>52</v>
      </c>
      <c r="E721" s="43" t="s">
        <v>139</v>
      </c>
      <c r="F721" s="43" t="s">
        <v>52</v>
      </c>
      <c r="G721" s="43" t="s">
        <v>100</v>
      </c>
      <c r="H721" s="43" t="s">
        <v>101</v>
      </c>
      <c r="I721" s="43" t="s">
        <v>52</v>
      </c>
      <c r="J721" s="44"/>
      <c r="K721" s="54">
        <v>10</v>
      </c>
      <c r="L721" s="54">
        <v>10</v>
      </c>
      <c r="M721" s="54">
        <v>0</v>
      </c>
      <c r="N721" s="54">
        <v>0</v>
      </c>
      <c r="O721" s="54">
        <v>10</v>
      </c>
      <c r="P721" s="55">
        <v>0.11</v>
      </c>
      <c r="Q721" s="61">
        <v>1.13</v>
      </c>
      <c r="R721" s="60"/>
      <c r="S721" s="61">
        <v>1.13</v>
      </c>
    </row>
    <row r="722" ht="20" customHeight="1" spans="1:19">
      <c r="A722" s="43" t="s">
        <v>140</v>
      </c>
      <c r="B722" s="43" t="s">
        <v>141</v>
      </c>
      <c r="C722" s="44"/>
      <c r="D722" s="43" t="s">
        <v>52</v>
      </c>
      <c r="E722" s="43" t="s">
        <v>142</v>
      </c>
      <c r="F722" s="43" t="s">
        <v>52</v>
      </c>
      <c r="G722" s="43" t="s">
        <v>108</v>
      </c>
      <c r="H722" s="43" t="s">
        <v>109</v>
      </c>
      <c r="I722" s="43" t="s">
        <v>52</v>
      </c>
      <c r="J722" s="44"/>
      <c r="K722" s="54">
        <v>180</v>
      </c>
      <c r="L722" s="54">
        <v>180</v>
      </c>
      <c r="M722" s="54">
        <v>0</v>
      </c>
      <c r="N722" s="54">
        <v>0</v>
      </c>
      <c r="O722" s="54">
        <v>180</v>
      </c>
      <c r="P722" s="55">
        <v>0.01</v>
      </c>
      <c r="Q722" s="61">
        <v>1.31</v>
      </c>
      <c r="R722" s="60"/>
      <c r="S722" s="61">
        <v>1.31</v>
      </c>
    </row>
    <row r="723" ht="20" customHeight="1" spans="1:19">
      <c r="A723" s="43" t="s">
        <v>140</v>
      </c>
      <c r="B723" s="43" t="s">
        <v>141</v>
      </c>
      <c r="C723" s="44"/>
      <c r="D723" s="43" t="s">
        <v>52</v>
      </c>
      <c r="E723" s="43" t="s">
        <v>142</v>
      </c>
      <c r="F723" s="43" t="s">
        <v>52</v>
      </c>
      <c r="G723" s="43" t="s">
        <v>108</v>
      </c>
      <c r="H723" s="43" t="s">
        <v>109</v>
      </c>
      <c r="I723" s="43" t="s">
        <v>52</v>
      </c>
      <c r="J723" s="44"/>
      <c r="K723" s="54">
        <v>24</v>
      </c>
      <c r="L723" s="54">
        <v>24</v>
      </c>
      <c r="M723" s="54">
        <v>0</v>
      </c>
      <c r="N723" s="54">
        <v>0</v>
      </c>
      <c r="O723" s="54">
        <v>24</v>
      </c>
      <c r="P723" s="55">
        <v>0.01</v>
      </c>
      <c r="Q723" s="61">
        <v>0.17</v>
      </c>
      <c r="R723" s="60"/>
      <c r="S723" s="61">
        <v>0.17</v>
      </c>
    </row>
    <row r="724" ht="20" customHeight="1" spans="1:19">
      <c r="A724" s="43" t="s">
        <v>140</v>
      </c>
      <c r="B724" s="43" t="s">
        <v>141</v>
      </c>
      <c r="C724" s="44"/>
      <c r="D724" s="43" t="s">
        <v>52</v>
      </c>
      <c r="E724" s="43" t="s">
        <v>142</v>
      </c>
      <c r="F724" s="43" t="s">
        <v>52</v>
      </c>
      <c r="G724" s="43" t="s">
        <v>108</v>
      </c>
      <c r="H724" s="43" t="s">
        <v>109</v>
      </c>
      <c r="I724" s="43" t="s">
        <v>52</v>
      </c>
      <c r="J724" s="44"/>
      <c r="K724" s="54">
        <v>19224</v>
      </c>
      <c r="L724" s="54">
        <v>19224</v>
      </c>
      <c r="M724" s="54">
        <v>0</v>
      </c>
      <c r="N724" s="54">
        <v>0</v>
      </c>
      <c r="O724" s="54">
        <v>19224</v>
      </c>
      <c r="P724" s="55">
        <v>0.01</v>
      </c>
      <c r="Q724" s="61">
        <v>139.95</v>
      </c>
      <c r="R724" s="60"/>
      <c r="S724" s="61">
        <v>139.95</v>
      </c>
    </row>
    <row r="725" ht="20" customHeight="1" spans="1:19">
      <c r="A725" s="43" t="s">
        <v>140</v>
      </c>
      <c r="B725" s="43" t="s">
        <v>141</v>
      </c>
      <c r="C725" s="44"/>
      <c r="D725" s="43" t="s">
        <v>52</v>
      </c>
      <c r="E725" s="43" t="s">
        <v>142</v>
      </c>
      <c r="F725" s="43" t="s">
        <v>52</v>
      </c>
      <c r="G725" s="43" t="s">
        <v>108</v>
      </c>
      <c r="H725" s="43" t="s">
        <v>109</v>
      </c>
      <c r="I725" s="43" t="s">
        <v>52</v>
      </c>
      <c r="J725" s="44"/>
      <c r="K725" s="54">
        <v>156</v>
      </c>
      <c r="L725" s="54">
        <v>156</v>
      </c>
      <c r="M725" s="54">
        <v>0</v>
      </c>
      <c r="N725" s="54">
        <v>0</v>
      </c>
      <c r="O725" s="54">
        <v>156</v>
      </c>
      <c r="P725" s="55">
        <v>0.01</v>
      </c>
      <c r="Q725" s="61">
        <v>1.14</v>
      </c>
      <c r="R725" s="60"/>
      <c r="S725" s="61">
        <v>1.14</v>
      </c>
    </row>
    <row r="726" ht="20" customHeight="1" spans="1:19">
      <c r="A726" s="43" t="s">
        <v>97</v>
      </c>
      <c r="B726" s="43" t="s">
        <v>102</v>
      </c>
      <c r="C726" s="44"/>
      <c r="D726" s="43" t="s">
        <v>52</v>
      </c>
      <c r="E726" s="43" t="s">
        <v>99</v>
      </c>
      <c r="F726" s="43" t="s">
        <v>52</v>
      </c>
      <c r="G726" s="43" t="s">
        <v>100</v>
      </c>
      <c r="H726" s="43" t="s">
        <v>101</v>
      </c>
      <c r="I726" s="43" t="s">
        <v>52</v>
      </c>
      <c r="J726" s="44"/>
      <c r="K726" s="54">
        <v>3</v>
      </c>
      <c r="L726" s="54">
        <v>3</v>
      </c>
      <c r="M726" s="54">
        <v>0</v>
      </c>
      <c r="N726" s="54">
        <v>0</v>
      </c>
      <c r="O726" s="54">
        <v>3</v>
      </c>
      <c r="P726" s="55">
        <v>0.11</v>
      </c>
      <c r="Q726" s="61">
        <v>0.34</v>
      </c>
      <c r="R726" s="60"/>
      <c r="S726" s="61">
        <v>0.34</v>
      </c>
    </row>
    <row r="727" ht="20" customHeight="1" spans="1:19">
      <c r="A727" s="43" t="s">
        <v>97</v>
      </c>
      <c r="B727" s="43" t="s">
        <v>102</v>
      </c>
      <c r="C727" s="44"/>
      <c r="D727" s="43" t="s">
        <v>52</v>
      </c>
      <c r="E727" s="43" t="s">
        <v>99</v>
      </c>
      <c r="F727" s="43" t="s">
        <v>52</v>
      </c>
      <c r="G727" s="43" t="s">
        <v>100</v>
      </c>
      <c r="H727" s="43" t="s">
        <v>101</v>
      </c>
      <c r="I727" s="43" t="s">
        <v>52</v>
      </c>
      <c r="J727" s="44"/>
      <c r="K727" s="54">
        <v>1092</v>
      </c>
      <c r="L727" s="54">
        <v>1092</v>
      </c>
      <c r="M727" s="54">
        <v>0</v>
      </c>
      <c r="N727" s="54">
        <v>0</v>
      </c>
      <c r="O727" s="54">
        <v>1092</v>
      </c>
      <c r="P727" s="55">
        <v>0.11</v>
      </c>
      <c r="Q727" s="61">
        <v>123.57</v>
      </c>
      <c r="R727" s="60"/>
      <c r="S727" s="61">
        <v>123.57</v>
      </c>
    </row>
    <row r="728" ht="20" customHeight="1" spans="1:19">
      <c r="A728" s="43" t="s">
        <v>97</v>
      </c>
      <c r="B728" s="43" t="s">
        <v>102</v>
      </c>
      <c r="C728" s="44"/>
      <c r="D728" s="43" t="s">
        <v>52</v>
      </c>
      <c r="E728" s="43" t="s">
        <v>99</v>
      </c>
      <c r="F728" s="43" t="s">
        <v>52</v>
      </c>
      <c r="G728" s="43" t="s">
        <v>100</v>
      </c>
      <c r="H728" s="43" t="s">
        <v>101</v>
      </c>
      <c r="I728" s="43" t="s">
        <v>52</v>
      </c>
      <c r="J728" s="44"/>
      <c r="K728" s="54">
        <v>4</v>
      </c>
      <c r="L728" s="54">
        <v>4</v>
      </c>
      <c r="M728" s="54">
        <v>0</v>
      </c>
      <c r="N728" s="54">
        <v>0</v>
      </c>
      <c r="O728" s="54">
        <v>4</v>
      </c>
      <c r="P728" s="55">
        <v>0.11</v>
      </c>
      <c r="Q728" s="61">
        <v>0.45</v>
      </c>
      <c r="R728" s="60"/>
      <c r="S728" s="61">
        <v>0.45</v>
      </c>
    </row>
    <row r="729" ht="20" customHeight="1" spans="1:19">
      <c r="A729" s="43" t="s">
        <v>97</v>
      </c>
      <c r="B729" s="43" t="s">
        <v>102</v>
      </c>
      <c r="C729" s="44"/>
      <c r="D729" s="43" t="s">
        <v>52</v>
      </c>
      <c r="E729" s="43" t="s">
        <v>99</v>
      </c>
      <c r="F729" s="43" t="s">
        <v>52</v>
      </c>
      <c r="G729" s="43" t="s">
        <v>100</v>
      </c>
      <c r="H729" s="43" t="s">
        <v>101</v>
      </c>
      <c r="I729" s="43" t="s">
        <v>52</v>
      </c>
      <c r="J729" s="44"/>
      <c r="K729" s="54">
        <v>1</v>
      </c>
      <c r="L729" s="54">
        <v>1</v>
      </c>
      <c r="M729" s="54">
        <v>0</v>
      </c>
      <c r="N729" s="54">
        <v>0</v>
      </c>
      <c r="O729" s="54">
        <v>1</v>
      </c>
      <c r="P729" s="55">
        <v>0.11</v>
      </c>
      <c r="Q729" s="61">
        <v>0.11</v>
      </c>
      <c r="R729" s="60"/>
      <c r="S729" s="61">
        <v>0.11</v>
      </c>
    </row>
    <row r="730" ht="20" customHeight="1" spans="1:19">
      <c r="A730" s="43" t="s">
        <v>97</v>
      </c>
      <c r="B730" s="43" t="s">
        <v>102</v>
      </c>
      <c r="C730" s="44"/>
      <c r="D730" s="43" t="s">
        <v>52</v>
      </c>
      <c r="E730" s="43" t="s">
        <v>99</v>
      </c>
      <c r="F730" s="43" t="s">
        <v>52</v>
      </c>
      <c r="G730" s="43" t="s">
        <v>103</v>
      </c>
      <c r="H730" s="43" t="s">
        <v>104</v>
      </c>
      <c r="I730" s="43" t="s">
        <v>52</v>
      </c>
      <c r="J730" s="44"/>
      <c r="K730" s="54">
        <v>56</v>
      </c>
      <c r="L730" s="54">
        <v>56</v>
      </c>
      <c r="M730" s="54">
        <v>0</v>
      </c>
      <c r="N730" s="54">
        <v>0</v>
      </c>
      <c r="O730" s="54">
        <v>56</v>
      </c>
      <c r="P730" s="55">
        <v>0.02</v>
      </c>
      <c r="Q730" s="61">
        <v>1.08</v>
      </c>
      <c r="R730" s="60"/>
      <c r="S730" s="61">
        <v>1.08</v>
      </c>
    </row>
    <row r="731" ht="20" customHeight="1" spans="1:19">
      <c r="A731" s="43" t="s">
        <v>97</v>
      </c>
      <c r="B731" s="43" t="s">
        <v>102</v>
      </c>
      <c r="C731" s="44"/>
      <c r="D731" s="43" t="s">
        <v>52</v>
      </c>
      <c r="E731" s="43" t="s">
        <v>99</v>
      </c>
      <c r="F731" s="43" t="s">
        <v>52</v>
      </c>
      <c r="G731" s="43" t="s">
        <v>103</v>
      </c>
      <c r="H731" s="43" t="s">
        <v>104</v>
      </c>
      <c r="I731" s="43" t="s">
        <v>52</v>
      </c>
      <c r="J731" s="44"/>
      <c r="K731" s="54">
        <v>14148</v>
      </c>
      <c r="L731" s="54">
        <v>14148</v>
      </c>
      <c r="M731" s="54">
        <v>0</v>
      </c>
      <c r="N731" s="54">
        <v>0</v>
      </c>
      <c r="O731" s="54">
        <v>14148</v>
      </c>
      <c r="P731" s="55">
        <v>0.02</v>
      </c>
      <c r="Q731" s="61">
        <v>272.75</v>
      </c>
      <c r="R731" s="60"/>
      <c r="S731" s="61">
        <v>272.75</v>
      </c>
    </row>
    <row r="732" ht="20" customHeight="1" spans="1:19">
      <c r="A732" s="43" t="s">
        <v>97</v>
      </c>
      <c r="B732" s="43" t="s">
        <v>102</v>
      </c>
      <c r="C732" s="44"/>
      <c r="D732" s="43" t="s">
        <v>52</v>
      </c>
      <c r="E732" s="43" t="s">
        <v>99</v>
      </c>
      <c r="F732" s="43" t="s">
        <v>52</v>
      </c>
      <c r="G732" s="43" t="s">
        <v>103</v>
      </c>
      <c r="H732" s="43" t="s">
        <v>104</v>
      </c>
      <c r="I732" s="43" t="s">
        <v>52</v>
      </c>
      <c r="J732" s="44"/>
      <c r="K732" s="54">
        <v>4</v>
      </c>
      <c r="L732" s="54">
        <v>4</v>
      </c>
      <c r="M732" s="54">
        <v>0</v>
      </c>
      <c r="N732" s="54">
        <v>0</v>
      </c>
      <c r="O732" s="54">
        <v>4</v>
      </c>
      <c r="P732" s="55">
        <v>0.02</v>
      </c>
      <c r="Q732" s="61">
        <v>0.08</v>
      </c>
      <c r="R732" s="60"/>
      <c r="S732" s="61">
        <v>0.08</v>
      </c>
    </row>
    <row r="733" ht="20" customHeight="1" spans="1:19">
      <c r="A733" s="43" t="s">
        <v>105</v>
      </c>
      <c r="B733" s="43" t="s">
        <v>106</v>
      </c>
      <c r="C733" s="44"/>
      <c r="D733" s="43" t="s">
        <v>52</v>
      </c>
      <c r="E733" s="43" t="s">
        <v>107</v>
      </c>
      <c r="F733" s="43" t="s">
        <v>52</v>
      </c>
      <c r="G733" s="43" t="s">
        <v>108</v>
      </c>
      <c r="H733" s="43" t="s">
        <v>109</v>
      </c>
      <c r="I733" s="43" t="s">
        <v>52</v>
      </c>
      <c r="J733" s="44"/>
      <c r="K733" s="54">
        <v>20736</v>
      </c>
      <c r="L733" s="54">
        <v>20736</v>
      </c>
      <c r="M733" s="54">
        <v>0</v>
      </c>
      <c r="N733" s="54">
        <v>0</v>
      </c>
      <c r="O733" s="54">
        <v>20736</v>
      </c>
      <c r="P733" s="55">
        <v>0.01</v>
      </c>
      <c r="Q733" s="61">
        <v>150.96</v>
      </c>
      <c r="R733" s="60"/>
      <c r="S733" s="61">
        <v>150.96</v>
      </c>
    </row>
    <row r="734" ht="20" customHeight="1" spans="1:19">
      <c r="A734" s="43" t="s">
        <v>105</v>
      </c>
      <c r="B734" s="43" t="s">
        <v>106</v>
      </c>
      <c r="C734" s="44"/>
      <c r="D734" s="43" t="s">
        <v>52</v>
      </c>
      <c r="E734" s="43" t="s">
        <v>107</v>
      </c>
      <c r="F734" s="43" t="s">
        <v>52</v>
      </c>
      <c r="G734" s="43" t="s">
        <v>108</v>
      </c>
      <c r="H734" s="43" t="s">
        <v>109</v>
      </c>
      <c r="I734" s="43" t="s">
        <v>52</v>
      </c>
      <c r="J734" s="44"/>
      <c r="K734" s="54">
        <v>180</v>
      </c>
      <c r="L734" s="54">
        <v>180</v>
      </c>
      <c r="M734" s="54">
        <v>0</v>
      </c>
      <c r="N734" s="54">
        <v>0</v>
      </c>
      <c r="O734" s="54">
        <v>180</v>
      </c>
      <c r="P734" s="55">
        <v>0.01</v>
      </c>
      <c r="Q734" s="61">
        <v>1.31</v>
      </c>
      <c r="R734" s="60"/>
      <c r="S734" s="61">
        <v>1.31</v>
      </c>
    </row>
    <row r="735" ht="20" customHeight="1" spans="1:19">
      <c r="A735" s="43" t="s">
        <v>105</v>
      </c>
      <c r="B735" s="43" t="s">
        <v>106</v>
      </c>
      <c r="C735" s="44"/>
      <c r="D735" s="43" t="s">
        <v>52</v>
      </c>
      <c r="E735" s="43" t="s">
        <v>107</v>
      </c>
      <c r="F735" s="43" t="s">
        <v>52</v>
      </c>
      <c r="G735" s="43" t="s">
        <v>108</v>
      </c>
      <c r="H735" s="43" t="s">
        <v>109</v>
      </c>
      <c r="I735" s="43" t="s">
        <v>52</v>
      </c>
      <c r="J735" s="44"/>
      <c r="K735" s="54">
        <v>8640</v>
      </c>
      <c r="L735" s="54">
        <v>8640</v>
      </c>
      <c r="M735" s="54">
        <v>0</v>
      </c>
      <c r="N735" s="54">
        <v>0</v>
      </c>
      <c r="O735" s="54">
        <v>8640</v>
      </c>
      <c r="P735" s="55">
        <v>0.01</v>
      </c>
      <c r="Q735" s="61">
        <v>62.9</v>
      </c>
      <c r="R735" s="60"/>
      <c r="S735" s="61">
        <v>62.9</v>
      </c>
    </row>
    <row r="736" ht="20" customHeight="1" spans="1:19">
      <c r="A736" s="43" t="s">
        <v>105</v>
      </c>
      <c r="B736" s="43" t="s">
        <v>106</v>
      </c>
      <c r="C736" s="44"/>
      <c r="D736" s="43" t="s">
        <v>52</v>
      </c>
      <c r="E736" s="43" t="s">
        <v>107</v>
      </c>
      <c r="F736" s="43" t="s">
        <v>52</v>
      </c>
      <c r="G736" s="43" t="s">
        <v>108</v>
      </c>
      <c r="H736" s="43" t="s">
        <v>109</v>
      </c>
      <c r="I736" s="43" t="s">
        <v>52</v>
      </c>
      <c r="J736" s="44"/>
      <c r="K736" s="54">
        <v>252</v>
      </c>
      <c r="L736" s="54">
        <v>252</v>
      </c>
      <c r="M736" s="54">
        <v>0</v>
      </c>
      <c r="N736" s="54">
        <v>0</v>
      </c>
      <c r="O736" s="54">
        <v>252</v>
      </c>
      <c r="P736" s="55">
        <v>0.01</v>
      </c>
      <c r="Q736" s="61">
        <v>1.83</v>
      </c>
      <c r="R736" s="60"/>
      <c r="S736" s="61">
        <v>1.83</v>
      </c>
    </row>
    <row r="737" ht="20" customHeight="1" spans="1:19">
      <c r="A737" s="43" t="s">
        <v>105</v>
      </c>
      <c r="B737" s="43" t="s">
        <v>106</v>
      </c>
      <c r="C737" s="44"/>
      <c r="D737" s="43" t="s">
        <v>52</v>
      </c>
      <c r="E737" s="43" t="s">
        <v>107</v>
      </c>
      <c r="F737" s="43" t="s">
        <v>52</v>
      </c>
      <c r="G737" s="43" t="s">
        <v>108</v>
      </c>
      <c r="H737" s="43" t="s">
        <v>109</v>
      </c>
      <c r="I737" s="43" t="s">
        <v>52</v>
      </c>
      <c r="J737" s="44"/>
      <c r="K737" s="54">
        <v>9360</v>
      </c>
      <c r="L737" s="54">
        <v>9360</v>
      </c>
      <c r="M737" s="54">
        <v>0</v>
      </c>
      <c r="N737" s="54">
        <v>0</v>
      </c>
      <c r="O737" s="54">
        <v>9360</v>
      </c>
      <c r="P737" s="55">
        <v>0.01</v>
      </c>
      <c r="Q737" s="61">
        <v>68.14</v>
      </c>
      <c r="R737" s="60"/>
      <c r="S737" s="61">
        <v>68.14</v>
      </c>
    </row>
    <row r="738" ht="13" customHeight="1" spans="1:19">
      <c r="A738" s="47" t="s">
        <v>143</v>
      </c>
      <c r="B738" s="48"/>
      <c r="C738" s="48"/>
      <c r="D738" s="48"/>
      <c r="E738" s="48"/>
      <c r="F738" s="48"/>
      <c r="G738" s="48"/>
      <c r="H738" s="48"/>
      <c r="I738" s="48"/>
      <c r="J738" s="56"/>
      <c r="K738" s="47" t="s">
        <v>144</v>
      </c>
      <c r="L738" s="57">
        <v>114938</v>
      </c>
      <c r="M738" s="58">
        <v>0</v>
      </c>
      <c r="N738" s="58">
        <v>0</v>
      </c>
      <c r="O738" s="58">
        <v>114938</v>
      </c>
      <c r="P738" s="59" t="s">
        <v>52</v>
      </c>
      <c r="Q738" s="62"/>
      <c r="R738" s="62"/>
      <c r="S738" s="63">
        <v>1304.74</v>
      </c>
    </row>
    <row r="739" ht="19" customHeight="1" spans="1:19">
      <c r="A739" s="43" t="s">
        <v>145</v>
      </c>
      <c r="B739" s="44"/>
      <c r="C739" s="44"/>
      <c r="D739" s="49" t="s">
        <v>146</v>
      </c>
      <c r="E739" s="50" t="s">
        <v>147</v>
      </c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56"/>
      <c r="S739" s="56"/>
    </row>
    <row r="740" ht="19" customHeight="1" spans="1:19">
      <c r="A740" s="49" t="s">
        <v>146</v>
      </c>
      <c r="B740" s="51"/>
      <c r="C740" s="51"/>
      <c r="D740" s="49" t="s">
        <v>146</v>
      </c>
      <c r="E740" s="49" t="s">
        <v>119</v>
      </c>
      <c r="F740" s="52">
        <v>700</v>
      </c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56"/>
      <c r="S740" s="56"/>
    </row>
    <row r="741" ht="12" customHeight="1" spans="1:19">
      <c r="A741" s="46" t="s">
        <v>52</v>
      </c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56"/>
      <c r="S741" s="56"/>
    </row>
    <row r="742" ht="14" customHeight="1" spans="1:19">
      <c r="A742" s="43" t="s">
        <v>67</v>
      </c>
      <c r="B742" s="44"/>
      <c r="C742" s="44"/>
      <c r="D742" s="45" t="s">
        <v>124</v>
      </c>
      <c r="E742" s="43" t="s">
        <v>69</v>
      </c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</row>
    <row r="743" ht="14" customHeight="1" spans="1:19">
      <c r="A743" s="43" t="s">
        <v>70</v>
      </c>
      <c r="B743" s="44"/>
      <c r="C743" s="44"/>
      <c r="D743" s="45" t="s">
        <v>124</v>
      </c>
      <c r="E743" s="43" t="s">
        <v>71</v>
      </c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</row>
    <row r="744" ht="14" customHeight="1" spans="1:19">
      <c r="A744" s="43" t="s">
        <v>82</v>
      </c>
      <c r="B744" s="44"/>
      <c r="C744" s="44"/>
      <c r="D744" s="45" t="s">
        <v>124</v>
      </c>
      <c r="E744" s="43" t="s">
        <v>83</v>
      </c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</row>
    <row r="745" ht="14" customHeight="1" spans="1:19">
      <c r="A745" s="43" t="s">
        <v>72</v>
      </c>
      <c r="B745" s="44"/>
      <c r="C745" s="44"/>
      <c r="D745" s="45" t="s">
        <v>124</v>
      </c>
      <c r="E745" s="43" t="s">
        <v>125</v>
      </c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</row>
    <row r="746" ht="14" customHeight="1" spans="1:19">
      <c r="A746" s="43" t="s">
        <v>126</v>
      </c>
      <c r="B746" s="44"/>
      <c r="C746" s="44"/>
      <c r="D746" s="45" t="s">
        <v>124</v>
      </c>
      <c r="E746" s="43" t="s">
        <v>168</v>
      </c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</row>
    <row r="747" ht="14" customHeight="1" spans="1:19">
      <c r="A747" s="43" t="s">
        <v>76</v>
      </c>
      <c r="B747" s="44"/>
      <c r="C747" s="44"/>
      <c r="D747" s="45" t="s">
        <v>124</v>
      </c>
      <c r="E747" s="43" t="s">
        <v>77</v>
      </c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</row>
    <row r="748" ht="14" customHeight="1" spans="1:19">
      <c r="A748" s="43" t="s">
        <v>78</v>
      </c>
      <c r="B748" s="44"/>
      <c r="C748" s="44"/>
      <c r="D748" s="45" t="s">
        <v>124</v>
      </c>
      <c r="E748" s="43" t="s">
        <v>79</v>
      </c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</row>
    <row r="749" ht="14" customHeight="1" spans="1:19">
      <c r="A749" s="43" t="s">
        <v>80</v>
      </c>
      <c r="B749" s="44"/>
      <c r="C749" s="44"/>
      <c r="D749" s="45" t="s">
        <v>124</v>
      </c>
      <c r="E749" s="43" t="s">
        <v>81</v>
      </c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</row>
    <row r="750" ht="17" customHeight="1" spans="1:19">
      <c r="A750" s="46" t="s">
        <v>52</v>
      </c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</row>
    <row r="751" ht="14" customHeight="1" spans="1:19">
      <c r="A751" s="43" t="s">
        <v>84</v>
      </c>
      <c r="B751" s="43" t="s">
        <v>85</v>
      </c>
      <c r="C751" s="44"/>
      <c r="D751" s="43" t="s">
        <v>52</v>
      </c>
      <c r="E751" s="43" t="s">
        <v>87</v>
      </c>
      <c r="F751" s="43" t="s">
        <v>88</v>
      </c>
      <c r="G751" s="43" t="s">
        <v>89</v>
      </c>
      <c r="H751" s="43" t="s">
        <v>90</v>
      </c>
      <c r="I751" s="43" t="s">
        <v>91</v>
      </c>
      <c r="J751" s="44"/>
      <c r="K751" s="53" t="s">
        <v>128</v>
      </c>
      <c r="L751" s="53" t="s">
        <v>129</v>
      </c>
      <c r="M751" s="53" t="s">
        <v>130</v>
      </c>
      <c r="N751" s="53" t="s">
        <v>131</v>
      </c>
      <c r="O751" s="53" t="s">
        <v>132</v>
      </c>
      <c r="P751" s="53" t="s">
        <v>93</v>
      </c>
      <c r="Q751" s="53" t="s">
        <v>94</v>
      </c>
      <c r="R751" s="60"/>
      <c r="S751" s="53" t="s">
        <v>133</v>
      </c>
    </row>
    <row r="752" ht="20" customHeight="1" spans="1:19">
      <c r="A752" s="43" t="s">
        <v>134</v>
      </c>
      <c r="B752" s="43" t="s">
        <v>135</v>
      </c>
      <c r="C752" s="44"/>
      <c r="D752" s="43" t="s">
        <v>52</v>
      </c>
      <c r="E752" s="43" t="s">
        <v>136</v>
      </c>
      <c r="F752" s="43" t="s">
        <v>52</v>
      </c>
      <c r="G752" s="43" t="s">
        <v>108</v>
      </c>
      <c r="H752" s="43" t="s">
        <v>109</v>
      </c>
      <c r="I752" s="43" t="s">
        <v>52</v>
      </c>
      <c r="J752" s="44"/>
      <c r="K752" s="54">
        <v>34272</v>
      </c>
      <c r="L752" s="54">
        <v>34272</v>
      </c>
      <c r="M752" s="54">
        <v>0</v>
      </c>
      <c r="N752" s="54">
        <v>0</v>
      </c>
      <c r="O752" s="54">
        <v>34272</v>
      </c>
      <c r="P752" s="55">
        <v>0.01</v>
      </c>
      <c r="Q752" s="61">
        <v>249.5</v>
      </c>
      <c r="R752" s="60"/>
      <c r="S752" s="61">
        <v>249.5</v>
      </c>
    </row>
    <row r="753" ht="20" customHeight="1" spans="1:19">
      <c r="A753" s="43" t="s">
        <v>134</v>
      </c>
      <c r="B753" s="43" t="s">
        <v>135</v>
      </c>
      <c r="C753" s="44"/>
      <c r="D753" s="43" t="s">
        <v>52</v>
      </c>
      <c r="E753" s="43" t="s">
        <v>136</v>
      </c>
      <c r="F753" s="43" t="s">
        <v>52</v>
      </c>
      <c r="G753" s="43" t="s">
        <v>108</v>
      </c>
      <c r="H753" s="43" t="s">
        <v>109</v>
      </c>
      <c r="I753" s="43" t="s">
        <v>52</v>
      </c>
      <c r="J753" s="44"/>
      <c r="K753" s="54">
        <v>4752</v>
      </c>
      <c r="L753" s="54">
        <v>4752</v>
      </c>
      <c r="M753" s="54">
        <v>0</v>
      </c>
      <c r="N753" s="54">
        <v>0</v>
      </c>
      <c r="O753" s="54">
        <v>4752</v>
      </c>
      <c r="P753" s="55">
        <v>0.01</v>
      </c>
      <c r="Q753" s="61">
        <v>34.59</v>
      </c>
      <c r="R753" s="60"/>
      <c r="S753" s="61">
        <v>34.59</v>
      </c>
    </row>
    <row r="754" ht="20" customHeight="1" spans="1:19">
      <c r="A754" s="43" t="s">
        <v>134</v>
      </c>
      <c r="B754" s="43" t="s">
        <v>135</v>
      </c>
      <c r="C754" s="44"/>
      <c r="D754" s="43" t="s">
        <v>52</v>
      </c>
      <c r="E754" s="43" t="s">
        <v>136</v>
      </c>
      <c r="F754" s="43" t="s">
        <v>52</v>
      </c>
      <c r="G754" s="43" t="s">
        <v>108</v>
      </c>
      <c r="H754" s="43" t="s">
        <v>109</v>
      </c>
      <c r="I754" s="43" t="s">
        <v>52</v>
      </c>
      <c r="J754" s="44"/>
      <c r="K754" s="54">
        <v>144</v>
      </c>
      <c r="L754" s="54">
        <v>144</v>
      </c>
      <c r="M754" s="54">
        <v>0</v>
      </c>
      <c r="N754" s="54">
        <v>0</v>
      </c>
      <c r="O754" s="54">
        <v>144</v>
      </c>
      <c r="P754" s="55">
        <v>0.01</v>
      </c>
      <c r="Q754" s="61">
        <v>1.05</v>
      </c>
      <c r="R754" s="60"/>
      <c r="S754" s="61">
        <v>1.05</v>
      </c>
    </row>
    <row r="755" ht="20" customHeight="1" spans="1:19">
      <c r="A755" s="43" t="s">
        <v>137</v>
      </c>
      <c r="B755" s="43" t="s">
        <v>138</v>
      </c>
      <c r="C755" s="44"/>
      <c r="D755" s="43" t="s">
        <v>52</v>
      </c>
      <c r="E755" s="43" t="s">
        <v>139</v>
      </c>
      <c r="F755" s="43" t="s">
        <v>52</v>
      </c>
      <c r="G755" s="43" t="s">
        <v>100</v>
      </c>
      <c r="H755" s="43" t="s">
        <v>101</v>
      </c>
      <c r="I755" s="43" t="s">
        <v>52</v>
      </c>
      <c r="J755" s="44"/>
      <c r="K755" s="54">
        <v>1692</v>
      </c>
      <c r="L755" s="54">
        <v>1692</v>
      </c>
      <c r="M755" s="54">
        <v>0</v>
      </c>
      <c r="N755" s="54">
        <v>0</v>
      </c>
      <c r="O755" s="54">
        <v>1692</v>
      </c>
      <c r="P755" s="55">
        <v>0.11</v>
      </c>
      <c r="Q755" s="61">
        <v>191.47</v>
      </c>
      <c r="R755" s="60"/>
      <c r="S755" s="61">
        <v>191.47</v>
      </c>
    </row>
    <row r="756" ht="20" customHeight="1" spans="1:19">
      <c r="A756" s="43" t="s">
        <v>137</v>
      </c>
      <c r="B756" s="43" t="s">
        <v>138</v>
      </c>
      <c r="C756" s="44"/>
      <c r="D756" s="43" t="s">
        <v>52</v>
      </c>
      <c r="E756" s="43" t="s">
        <v>139</v>
      </c>
      <c r="F756" s="43" t="s">
        <v>52</v>
      </c>
      <c r="G756" s="43" t="s">
        <v>100</v>
      </c>
      <c r="H756" s="43" t="s">
        <v>101</v>
      </c>
      <c r="I756" s="43" t="s">
        <v>52</v>
      </c>
      <c r="J756" s="44"/>
      <c r="K756" s="54">
        <v>8</v>
      </c>
      <c r="L756" s="54">
        <v>8</v>
      </c>
      <c r="M756" s="54">
        <v>0</v>
      </c>
      <c r="N756" s="54">
        <v>0</v>
      </c>
      <c r="O756" s="54">
        <v>8</v>
      </c>
      <c r="P756" s="55">
        <v>0.11</v>
      </c>
      <c r="Q756" s="61">
        <v>0.91</v>
      </c>
      <c r="R756" s="60"/>
      <c r="S756" s="61">
        <v>0.91</v>
      </c>
    </row>
    <row r="757" ht="20" customHeight="1" spans="1:19">
      <c r="A757" s="43" t="s">
        <v>137</v>
      </c>
      <c r="B757" s="43" t="s">
        <v>138</v>
      </c>
      <c r="C757" s="44"/>
      <c r="D757" s="43" t="s">
        <v>52</v>
      </c>
      <c r="E757" s="43" t="s">
        <v>139</v>
      </c>
      <c r="F757" s="43" t="s">
        <v>52</v>
      </c>
      <c r="G757" s="43" t="s">
        <v>100</v>
      </c>
      <c r="H757" s="43" t="s">
        <v>101</v>
      </c>
      <c r="I757" s="43" t="s">
        <v>52</v>
      </c>
      <c r="J757" s="44"/>
      <c r="K757" s="54">
        <v>10</v>
      </c>
      <c r="L757" s="54">
        <v>10</v>
      </c>
      <c r="M757" s="54">
        <v>0</v>
      </c>
      <c r="N757" s="54">
        <v>0</v>
      </c>
      <c r="O757" s="54">
        <v>10</v>
      </c>
      <c r="P757" s="55">
        <v>0.11</v>
      </c>
      <c r="Q757" s="61">
        <v>1.13</v>
      </c>
      <c r="R757" s="60"/>
      <c r="S757" s="61">
        <v>1.13</v>
      </c>
    </row>
    <row r="758" ht="20" customHeight="1" spans="1:19">
      <c r="A758" s="43" t="s">
        <v>140</v>
      </c>
      <c r="B758" s="43" t="s">
        <v>141</v>
      </c>
      <c r="C758" s="44"/>
      <c r="D758" s="43" t="s">
        <v>52</v>
      </c>
      <c r="E758" s="43" t="s">
        <v>142</v>
      </c>
      <c r="F758" s="43" t="s">
        <v>52</v>
      </c>
      <c r="G758" s="43" t="s">
        <v>108</v>
      </c>
      <c r="H758" s="43" t="s">
        <v>109</v>
      </c>
      <c r="I758" s="43" t="s">
        <v>52</v>
      </c>
      <c r="J758" s="44"/>
      <c r="K758" s="54">
        <v>180</v>
      </c>
      <c r="L758" s="54">
        <v>180</v>
      </c>
      <c r="M758" s="54">
        <v>0</v>
      </c>
      <c r="N758" s="54">
        <v>0</v>
      </c>
      <c r="O758" s="54">
        <v>180</v>
      </c>
      <c r="P758" s="55">
        <v>0.01</v>
      </c>
      <c r="Q758" s="61">
        <v>1.31</v>
      </c>
      <c r="R758" s="60"/>
      <c r="S758" s="61">
        <v>1.31</v>
      </c>
    </row>
    <row r="759" ht="20" customHeight="1" spans="1:19">
      <c r="A759" s="43" t="s">
        <v>140</v>
      </c>
      <c r="B759" s="43" t="s">
        <v>141</v>
      </c>
      <c r="C759" s="44"/>
      <c r="D759" s="43" t="s">
        <v>52</v>
      </c>
      <c r="E759" s="43" t="s">
        <v>142</v>
      </c>
      <c r="F759" s="43" t="s">
        <v>52</v>
      </c>
      <c r="G759" s="43" t="s">
        <v>108</v>
      </c>
      <c r="H759" s="43" t="s">
        <v>109</v>
      </c>
      <c r="I759" s="43" t="s">
        <v>52</v>
      </c>
      <c r="J759" s="44"/>
      <c r="K759" s="54">
        <v>24</v>
      </c>
      <c r="L759" s="54">
        <v>24</v>
      </c>
      <c r="M759" s="54">
        <v>0</v>
      </c>
      <c r="N759" s="54">
        <v>0</v>
      </c>
      <c r="O759" s="54">
        <v>24</v>
      </c>
      <c r="P759" s="55">
        <v>0.01</v>
      </c>
      <c r="Q759" s="61">
        <v>0.17</v>
      </c>
      <c r="R759" s="60"/>
      <c r="S759" s="61">
        <v>0.17</v>
      </c>
    </row>
    <row r="760" ht="20" customHeight="1" spans="1:19">
      <c r="A760" s="43" t="s">
        <v>140</v>
      </c>
      <c r="B760" s="43" t="s">
        <v>141</v>
      </c>
      <c r="C760" s="44"/>
      <c r="D760" s="43" t="s">
        <v>52</v>
      </c>
      <c r="E760" s="43" t="s">
        <v>142</v>
      </c>
      <c r="F760" s="43" t="s">
        <v>52</v>
      </c>
      <c r="G760" s="43" t="s">
        <v>108</v>
      </c>
      <c r="H760" s="43" t="s">
        <v>109</v>
      </c>
      <c r="I760" s="43" t="s">
        <v>52</v>
      </c>
      <c r="J760" s="44"/>
      <c r="K760" s="54">
        <v>19224</v>
      </c>
      <c r="L760" s="54">
        <v>19224</v>
      </c>
      <c r="M760" s="54">
        <v>0</v>
      </c>
      <c r="N760" s="54">
        <v>0</v>
      </c>
      <c r="O760" s="54">
        <v>19224</v>
      </c>
      <c r="P760" s="55">
        <v>0.01</v>
      </c>
      <c r="Q760" s="61">
        <v>139.95</v>
      </c>
      <c r="R760" s="60"/>
      <c r="S760" s="61">
        <v>139.95</v>
      </c>
    </row>
    <row r="761" ht="20" customHeight="1" spans="1:19">
      <c r="A761" s="43" t="s">
        <v>140</v>
      </c>
      <c r="B761" s="43" t="s">
        <v>141</v>
      </c>
      <c r="C761" s="44"/>
      <c r="D761" s="43" t="s">
        <v>52</v>
      </c>
      <c r="E761" s="43" t="s">
        <v>142</v>
      </c>
      <c r="F761" s="43" t="s">
        <v>52</v>
      </c>
      <c r="G761" s="43" t="s">
        <v>108</v>
      </c>
      <c r="H761" s="43" t="s">
        <v>109</v>
      </c>
      <c r="I761" s="43" t="s">
        <v>52</v>
      </c>
      <c r="J761" s="44"/>
      <c r="K761" s="54">
        <v>156</v>
      </c>
      <c r="L761" s="54">
        <v>156</v>
      </c>
      <c r="M761" s="54">
        <v>0</v>
      </c>
      <c r="N761" s="54">
        <v>0</v>
      </c>
      <c r="O761" s="54">
        <v>156</v>
      </c>
      <c r="P761" s="55">
        <v>0.01</v>
      </c>
      <c r="Q761" s="61">
        <v>1.14</v>
      </c>
      <c r="R761" s="60"/>
      <c r="S761" s="61">
        <v>1.14</v>
      </c>
    </row>
    <row r="762" ht="20" customHeight="1" spans="1:19">
      <c r="A762" s="43" t="s">
        <v>97</v>
      </c>
      <c r="B762" s="43" t="s">
        <v>102</v>
      </c>
      <c r="C762" s="44"/>
      <c r="D762" s="43" t="s">
        <v>52</v>
      </c>
      <c r="E762" s="43" t="s">
        <v>99</v>
      </c>
      <c r="F762" s="43" t="s">
        <v>52</v>
      </c>
      <c r="G762" s="43" t="s">
        <v>100</v>
      </c>
      <c r="H762" s="43" t="s">
        <v>101</v>
      </c>
      <c r="I762" s="43" t="s">
        <v>52</v>
      </c>
      <c r="J762" s="44"/>
      <c r="K762" s="54">
        <v>3</v>
      </c>
      <c r="L762" s="54">
        <v>3</v>
      </c>
      <c r="M762" s="54">
        <v>0</v>
      </c>
      <c r="N762" s="54">
        <v>0</v>
      </c>
      <c r="O762" s="54">
        <v>3</v>
      </c>
      <c r="P762" s="55">
        <v>0.11</v>
      </c>
      <c r="Q762" s="61">
        <v>0.34</v>
      </c>
      <c r="R762" s="60"/>
      <c r="S762" s="61">
        <v>0.34</v>
      </c>
    </row>
    <row r="763" ht="20" customHeight="1" spans="1:19">
      <c r="A763" s="43" t="s">
        <v>97</v>
      </c>
      <c r="B763" s="43" t="s">
        <v>102</v>
      </c>
      <c r="C763" s="44"/>
      <c r="D763" s="43" t="s">
        <v>52</v>
      </c>
      <c r="E763" s="43" t="s">
        <v>99</v>
      </c>
      <c r="F763" s="43" t="s">
        <v>52</v>
      </c>
      <c r="G763" s="43" t="s">
        <v>100</v>
      </c>
      <c r="H763" s="43" t="s">
        <v>101</v>
      </c>
      <c r="I763" s="43" t="s">
        <v>52</v>
      </c>
      <c r="J763" s="44"/>
      <c r="K763" s="54">
        <v>4</v>
      </c>
      <c r="L763" s="54">
        <v>4</v>
      </c>
      <c r="M763" s="54">
        <v>0</v>
      </c>
      <c r="N763" s="54">
        <v>0</v>
      </c>
      <c r="O763" s="54">
        <v>4</v>
      </c>
      <c r="P763" s="55">
        <v>0.11</v>
      </c>
      <c r="Q763" s="61">
        <v>0.45</v>
      </c>
      <c r="R763" s="60"/>
      <c r="S763" s="61">
        <v>0.45</v>
      </c>
    </row>
    <row r="764" ht="20" customHeight="1" spans="1:19">
      <c r="A764" s="43" t="s">
        <v>97</v>
      </c>
      <c r="B764" s="43" t="s">
        <v>102</v>
      </c>
      <c r="C764" s="44"/>
      <c r="D764" s="43" t="s">
        <v>52</v>
      </c>
      <c r="E764" s="43" t="s">
        <v>99</v>
      </c>
      <c r="F764" s="43" t="s">
        <v>52</v>
      </c>
      <c r="G764" s="43" t="s">
        <v>100</v>
      </c>
      <c r="H764" s="43" t="s">
        <v>101</v>
      </c>
      <c r="I764" s="43" t="s">
        <v>52</v>
      </c>
      <c r="J764" s="44"/>
      <c r="K764" s="54">
        <v>1092</v>
      </c>
      <c r="L764" s="54">
        <v>1092</v>
      </c>
      <c r="M764" s="54">
        <v>0</v>
      </c>
      <c r="N764" s="54">
        <v>0</v>
      </c>
      <c r="O764" s="54">
        <v>1092</v>
      </c>
      <c r="P764" s="55">
        <v>0.11</v>
      </c>
      <c r="Q764" s="61">
        <v>123.57</v>
      </c>
      <c r="R764" s="60"/>
      <c r="S764" s="61">
        <v>123.57</v>
      </c>
    </row>
    <row r="765" ht="20" customHeight="1" spans="1:19">
      <c r="A765" s="43" t="s">
        <v>97</v>
      </c>
      <c r="B765" s="43" t="s">
        <v>102</v>
      </c>
      <c r="C765" s="44"/>
      <c r="D765" s="43" t="s">
        <v>52</v>
      </c>
      <c r="E765" s="43" t="s">
        <v>99</v>
      </c>
      <c r="F765" s="43" t="s">
        <v>52</v>
      </c>
      <c r="G765" s="43" t="s">
        <v>100</v>
      </c>
      <c r="H765" s="43" t="s">
        <v>101</v>
      </c>
      <c r="I765" s="43" t="s">
        <v>52</v>
      </c>
      <c r="J765" s="44"/>
      <c r="K765" s="54">
        <v>1</v>
      </c>
      <c r="L765" s="54">
        <v>1</v>
      </c>
      <c r="M765" s="54">
        <v>0</v>
      </c>
      <c r="N765" s="54">
        <v>0</v>
      </c>
      <c r="O765" s="54">
        <v>1</v>
      </c>
      <c r="P765" s="55">
        <v>0.11</v>
      </c>
      <c r="Q765" s="61">
        <v>0.11</v>
      </c>
      <c r="R765" s="60"/>
      <c r="S765" s="61">
        <v>0.11</v>
      </c>
    </row>
    <row r="766" ht="20" customHeight="1" spans="1:19">
      <c r="A766" s="43" t="s">
        <v>97</v>
      </c>
      <c r="B766" s="43" t="s">
        <v>102</v>
      </c>
      <c r="C766" s="44"/>
      <c r="D766" s="43" t="s">
        <v>52</v>
      </c>
      <c r="E766" s="43" t="s">
        <v>99</v>
      </c>
      <c r="F766" s="43" t="s">
        <v>52</v>
      </c>
      <c r="G766" s="43" t="s">
        <v>103</v>
      </c>
      <c r="H766" s="43" t="s">
        <v>104</v>
      </c>
      <c r="I766" s="43" t="s">
        <v>52</v>
      </c>
      <c r="J766" s="44"/>
      <c r="K766" s="54">
        <v>56</v>
      </c>
      <c r="L766" s="54">
        <v>56</v>
      </c>
      <c r="M766" s="54">
        <v>0</v>
      </c>
      <c r="N766" s="54">
        <v>0</v>
      </c>
      <c r="O766" s="54">
        <v>56</v>
      </c>
      <c r="P766" s="55">
        <v>0.02</v>
      </c>
      <c r="Q766" s="61">
        <v>1.08</v>
      </c>
      <c r="R766" s="60"/>
      <c r="S766" s="61">
        <v>1.08</v>
      </c>
    </row>
    <row r="767" ht="20" customHeight="1" spans="1:19">
      <c r="A767" s="43" t="s">
        <v>97</v>
      </c>
      <c r="B767" s="43" t="s">
        <v>102</v>
      </c>
      <c r="C767" s="44"/>
      <c r="D767" s="43" t="s">
        <v>52</v>
      </c>
      <c r="E767" s="43" t="s">
        <v>99</v>
      </c>
      <c r="F767" s="43" t="s">
        <v>52</v>
      </c>
      <c r="G767" s="43" t="s">
        <v>103</v>
      </c>
      <c r="H767" s="43" t="s">
        <v>104</v>
      </c>
      <c r="I767" s="43" t="s">
        <v>52</v>
      </c>
      <c r="J767" s="44"/>
      <c r="K767" s="54">
        <v>14148</v>
      </c>
      <c r="L767" s="54">
        <v>14148</v>
      </c>
      <c r="M767" s="54">
        <v>0</v>
      </c>
      <c r="N767" s="54">
        <v>0</v>
      </c>
      <c r="O767" s="54">
        <v>14148</v>
      </c>
      <c r="P767" s="55">
        <v>0.02</v>
      </c>
      <c r="Q767" s="61">
        <v>272.75</v>
      </c>
      <c r="R767" s="60"/>
      <c r="S767" s="61">
        <v>272.75</v>
      </c>
    </row>
    <row r="768" ht="20" customHeight="1" spans="1:19">
      <c r="A768" s="43" t="s">
        <v>97</v>
      </c>
      <c r="B768" s="43" t="s">
        <v>102</v>
      </c>
      <c r="C768" s="44"/>
      <c r="D768" s="43" t="s">
        <v>52</v>
      </c>
      <c r="E768" s="43" t="s">
        <v>99</v>
      </c>
      <c r="F768" s="43" t="s">
        <v>52</v>
      </c>
      <c r="G768" s="43" t="s">
        <v>103</v>
      </c>
      <c r="H768" s="43" t="s">
        <v>104</v>
      </c>
      <c r="I768" s="43" t="s">
        <v>52</v>
      </c>
      <c r="J768" s="44"/>
      <c r="K768" s="54">
        <v>4</v>
      </c>
      <c r="L768" s="54">
        <v>4</v>
      </c>
      <c r="M768" s="54">
        <v>0</v>
      </c>
      <c r="N768" s="54">
        <v>0</v>
      </c>
      <c r="O768" s="54">
        <v>4</v>
      </c>
      <c r="P768" s="55">
        <v>0.02</v>
      </c>
      <c r="Q768" s="61">
        <v>0.08</v>
      </c>
      <c r="R768" s="60"/>
      <c r="S768" s="61">
        <v>0.08</v>
      </c>
    </row>
    <row r="769" ht="20" customHeight="1" spans="1:19">
      <c r="A769" s="43" t="s">
        <v>105</v>
      </c>
      <c r="B769" s="43" t="s">
        <v>106</v>
      </c>
      <c r="C769" s="44"/>
      <c r="D769" s="43" t="s">
        <v>52</v>
      </c>
      <c r="E769" s="43" t="s">
        <v>107</v>
      </c>
      <c r="F769" s="43" t="s">
        <v>52</v>
      </c>
      <c r="G769" s="43" t="s">
        <v>108</v>
      </c>
      <c r="H769" s="43" t="s">
        <v>109</v>
      </c>
      <c r="I769" s="43" t="s">
        <v>52</v>
      </c>
      <c r="J769" s="44"/>
      <c r="K769" s="54">
        <v>20736</v>
      </c>
      <c r="L769" s="54">
        <v>20736</v>
      </c>
      <c r="M769" s="54">
        <v>0</v>
      </c>
      <c r="N769" s="54">
        <v>0</v>
      </c>
      <c r="O769" s="54">
        <v>20736</v>
      </c>
      <c r="P769" s="55">
        <v>0.01</v>
      </c>
      <c r="Q769" s="61">
        <v>150.96</v>
      </c>
      <c r="R769" s="60"/>
      <c r="S769" s="61">
        <v>150.96</v>
      </c>
    </row>
    <row r="770" ht="20" customHeight="1" spans="1:19">
      <c r="A770" s="43" t="s">
        <v>105</v>
      </c>
      <c r="B770" s="43" t="s">
        <v>106</v>
      </c>
      <c r="C770" s="44"/>
      <c r="D770" s="43" t="s">
        <v>52</v>
      </c>
      <c r="E770" s="43" t="s">
        <v>107</v>
      </c>
      <c r="F770" s="43" t="s">
        <v>52</v>
      </c>
      <c r="G770" s="43" t="s">
        <v>108</v>
      </c>
      <c r="H770" s="43" t="s">
        <v>109</v>
      </c>
      <c r="I770" s="43" t="s">
        <v>52</v>
      </c>
      <c r="J770" s="44"/>
      <c r="K770" s="54">
        <v>180</v>
      </c>
      <c r="L770" s="54">
        <v>180</v>
      </c>
      <c r="M770" s="54">
        <v>0</v>
      </c>
      <c r="N770" s="54">
        <v>0</v>
      </c>
      <c r="O770" s="54">
        <v>180</v>
      </c>
      <c r="P770" s="55">
        <v>0.01</v>
      </c>
      <c r="Q770" s="61">
        <v>1.31</v>
      </c>
      <c r="R770" s="60"/>
      <c r="S770" s="61">
        <v>1.31</v>
      </c>
    </row>
    <row r="771" ht="20" customHeight="1" spans="1:19">
      <c r="A771" s="43" t="s">
        <v>105</v>
      </c>
      <c r="B771" s="43" t="s">
        <v>106</v>
      </c>
      <c r="C771" s="44"/>
      <c r="D771" s="43" t="s">
        <v>52</v>
      </c>
      <c r="E771" s="43" t="s">
        <v>107</v>
      </c>
      <c r="F771" s="43" t="s">
        <v>52</v>
      </c>
      <c r="G771" s="43" t="s">
        <v>108</v>
      </c>
      <c r="H771" s="43" t="s">
        <v>109</v>
      </c>
      <c r="I771" s="43" t="s">
        <v>52</v>
      </c>
      <c r="J771" s="44"/>
      <c r="K771" s="54">
        <v>8640</v>
      </c>
      <c r="L771" s="54">
        <v>8640</v>
      </c>
      <c r="M771" s="54">
        <v>0</v>
      </c>
      <c r="N771" s="54">
        <v>0</v>
      </c>
      <c r="O771" s="54">
        <v>8640</v>
      </c>
      <c r="P771" s="55">
        <v>0.01</v>
      </c>
      <c r="Q771" s="61">
        <v>62.9</v>
      </c>
      <c r="R771" s="60"/>
      <c r="S771" s="61">
        <v>62.9</v>
      </c>
    </row>
    <row r="772" ht="20" customHeight="1" spans="1:19">
      <c r="A772" s="43" t="s">
        <v>105</v>
      </c>
      <c r="B772" s="43" t="s">
        <v>106</v>
      </c>
      <c r="C772" s="44"/>
      <c r="D772" s="43" t="s">
        <v>52</v>
      </c>
      <c r="E772" s="43" t="s">
        <v>107</v>
      </c>
      <c r="F772" s="43" t="s">
        <v>52</v>
      </c>
      <c r="G772" s="43" t="s">
        <v>108</v>
      </c>
      <c r="H772" s="43" t="s">
        <v>109</v>
      </c>
      <c r="I772" s="43" t="s">
        <v>52</v>
      </c>
      <c r="J772" s="44"/>
      <c r="K772" s="54">
        <v>252</v>
      </c>
      <c r="L772" s="54">
        <v>252</v>
      </c>
      <c r="M772" s="54">
        <v>0</v>
      </c>
      <c r="N772" s="54">
        <v>0</v>
      </c>
      <c r="O772" s="54">
        <v>252</v>
      </c>
      <c r="P772" s="55">
        <v>0.01</v>
      </c>
      <c r="Q772" s="61">
        <v>1.83</v>
      </c>
      <c r="R772" s="60"/>
      <c r="S772" s="61">
        <v>1.83</v>
      </c>
    </row>
    <row r="773" ht="20" customHeight="1" spans="1:19">
      <c r="A773" s="43" t="s">
        <v>105</v>
      </c>
      <c r="B773" s="43" t="s">
        <v>106</v>
      </c>
      <c r="C773" s="44"/>
      <c r="D773" s="43" t="s">
        <v>52</v>
      </c>
      <c r="E773" s="43" t="s">
        <v>107</v>
      </c>
      <c r="F773" s="43" t="s">
        <v>52</v>
      </c>
      <c r="G773" s="43" t="s">
        <v>108</v>
      </c>
      <c r="H773" s="43" t="s">
        <v>109</v>
      </c>
      <c r="I773" s="43" t="s">
        <v>52</v>
      </c>
      <c r="J773" s="44"/>
      <c r="K773" s="54">
        <v>9360</v>
      </c>
      <c r="L773" s="54">
        <v>9360</v>
      </c>
      <c r="M773" s="54">
        <v>0</v>
      </c>
      <c r="N773" s="54">
        <v>0</v>
      </c>
      <c r="O773" s="54">
        <v>9360</v>
      </c>
      <c r="P773" s="55">
        <v>0.01</v>
      </c>
      <c r="Q773" s="61">
        <v>68.14</v>
      </c>
      <c r="R773" s="60"/>
      <c r="S773" s="61">
        <v>68.14</v>
      </c>
    </row>
    <row r="774" ht="13" customHeight="1" spans="1:19">
      <c r="A774" s="47" t="s">
        <v>143</v>
      </c>
      <c r="B774" s="48"/>
      <c r="C774" s="48"/>
      <c r="D774" s="48"/>
      <c r="E774" s="48"/>
      <c r="F774" s="48"/>
      <c r="G774" s="48"/>
      <c r="H774" s="48"/>
      <c r="I774" s="48"/>
      <c r="J774" s="56"/>
      <c r="K774" s="47" t="s">
        <v>144</v>
      </c>
      <c r="L774" s="57">
        <v>114938</v>
      </c>
      <c r="M774" s="58">
        <v>0</v>
      </c>
      <c r="N774" s="58">
        <v>0</v>
      </c>
      <c r="O774" s="58">
        <v>114938</v>
      </c>
      <c r="P774" s="59" t="s">
        <v>52</v>
      </c>
      <c r="Q774" s="62"/>
      <c r="R774" s="62"/>
      <c r="S774" s="63">
        <v>1304.74</v>
      </c>
    </row>
    <row r="775" ht="19" customHeight="1" spans="1:19">
      <c r="A775" s="43" t="s">
        <v>145</v>
      </c>
      <c r="B775" s="44"/>
      <c r="C775" s="44"/>
      <c r="D775" s="49" t="s">
        <v>146</v>
      </c>
      <c r="E775" s="50" t="s">
        <v>147</v>
      </c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56"/>
      <c r="S775" s="56"/>
    </row>
    <row r="776" ht="19" customHeight="1" spans="1:19">
      <c r="A776" s="49" t="s">
        <v>146</v>
      </c>
      <c r="B776" s="51"/>
      <c r="C776" s="51"/>
      <c r="D776" s="49" t="s">
        <v>146</v>
      </c>
      <c r="E776" s="49" t="s">
        <v>119</v>
      </c>
      <c r="F776" s="52">
        <v>700</v>
      </c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56"/>
      <c r="S776" s="56"/>
    </row>
    <row r="777" ht="12" customHeight="1" spans="1:19">
      <c r="A777" s="46" t="s">
        <v>52</v>
      </c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56"/>
      <c r="S777" s="56"/>
    </row>
    <row r="778" ht="14" customHeight="1" spans="1:19">
      <c r="A778" s="43" t="s">
        <v>67</v>
      </c>
      <c r="B778" s="44"/>
      <c r="C778" s="44"/>
      <c r="D778" s="45" t="s">
        <v>124</v>
      </c>
      <c r="E778" s="43" t="s">
        <v>69</v>
      </c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</row>
    <row r="779" ht="14" customHeight="1" spans="1:19">
      <c r="A779" s="43" t="s">
        <v>70</v>
      </c>
      <c r="B779" s="44"/>
      <c r="C779" s="44"/>
      <c r="D779" s="45" t="s">
        <v>124</v>
      </c>
      <c r="E779" s="43" t="s">
        <v>71</v>
      </c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</row>
    <row r="780" ht="14" customHeight="1" spans="1:19">
      <c r="A780" s="43" t="s">
        <v>82</v>
      </c>
      <c r="B780" s="44"/>
      <c r="C780" s="44"/>
      <c r="D780" s="45" t="s">
        <v>124</v>
      </c>
      <c r="E780" s="43" t="s">
        <v>83</v>
      </c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</row>
    <row r="781" ht="14" customHeight="1" spans="1:19">
      <c r="A781" s="43" t="s">
        <v>72</v>
      </c>
      <c r="B781" s="44"/>
      <c r="C781" s="44"/>
      <c r="D781" s="45" t="s">
        <v>124</v>
      </c>
      <c r="E781" s="43" t="s">
        <v>125</v>
      </c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</row>
    <row r="782" ht="14" customHeight="1" spans="1:19">
      <c r="A782" s="43" t="s">
        <v>126</v>
      </c>
      <c r="B782" s="44"/>
      <c r="C782" s="44"/>
      <c r="D782" s="45" t="s">
        <v>124</v>
      </c>
      <c r="E782" s="43" t="s">
        <v>169</v>
      </c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</row>
    <row r="783" ht="14" customHeight="1" spans="1:19">
      <c r="A783" s="43" t="s">
        <v>76</v>
      </c>
      <c r="B783" s="44"/>
      <c r="C783" s="44"/>
      <c r="D783" s="45" t="s">
        <v>124</v>
      </c>
      <c r="E783" s="43" t="s">
        <v>77</v>
      </c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</row>
    <row r="784" ht="14" customHeight="1" spans="1:19">
      <c r="A784" s="43" t="s">
        <v>78</v>
      </c>
      <c r="B784" s="44"/>
      <c r="C784" s="44"/>
      <c r="D784" s="45" t="s">
        <v>124</v>
      </c>
      <c r="E784" s="43" t="s">
        <v>79</v>
      </c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</row>
    <row r="785" ht="14" customHeight="1" spans="1:19">
      <c r="A785" s="43" t="s">
        <v>80</v>
      </c>
      <c r="B785" s="44"/>
      <c r="C785" s="44"/>
      <c r="D785" s="45" t="s">
        <v>124</v>
      </c>
      <c r="E785" s="43" t="s">
        <v>81</v>
      </c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</row>
    <row r="786" ht="17" customHeight="1" spans="1:19">
      <c r="A786" s="46" t="s">
        <v>52</v>
      </c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</row>
    <row r="787" ht="14" customHeight="1" spans="1:19">
      <c r="A787" s="43" t="s">
        <v>84</v>
      </c>
      <c r="B787" s="43" t="s">
        <v>85</v>
      </c>
      <c r="C787" s="44"/>
      <c r="D787" s="43" t="s">
        <v>52</v>
      </c>
      <c r="E787" s="43" t="s">
        <v>87</v>
      </c>
      <c r="F787" s="43" t="s">
        <v>88</v>
      </c>
      <c r="G787" s="43" t="s">
        <v>89</v>
      </c>
      <c r="H787" s="43" t="s">
        <v>90</v>
      </c>
      <c r="I787" s="43" t="s">
        <v>91</v>
      </c>
      <c r="J787" s="44"/>
      <c r="K787" s="53" t="s">
        <v>128</v>
      </c>
      <c r="L787" s="53" t="s">
        <v>129</v>
      </c>
      <c r="M787" s="53" t="s">
        <v>130</v>
      </c>
      <c r="N787" s="53" t="s">
        <v>131</v>
      </c>
      <c r="O787" s="53" t="s">
        <v>132</v>
      </c>
      <c r="P787" s="53" t="s">
        <v>93</v>
      </c>
      <c r="Q787" s="53" t="s">
        <v>94</v>
      </c>
      <c r="R787" s="60"/>
      <c r="S787" s="53" t="s">
        <v>133</v>
      </c>
    </row>
    <row r="788" ht="20" customHeight="1" spans="1:19">
      <c r="A788" s="43" t="s">
        <v>134</v>
      </c>
      <c r="B788" s="43" t="s">
        <v>135</v>
      </c>
      <c r="C788" s="44"/>
      <c r="D788" s="43" t="s">
        <v>52</v>
      </c>
      <c r="E788" s="43" t="s">
        <v>136</v>
      </c>
      <c r="F788" s="43" t="s">
        <v>52</v>
      </c>
      <c r="G788" s="43" t="s">
        <v>108</v>
      </c>
      <c r="H788" s="43" t="s">
        <v>109</v>
      </c>
      <c r="I788" s="43" t="s">
        <v>52</v>
      </c>
      <c r="J788" s="44"/>
      <c r="K788" s="54">
        <v>34272</v>
      </c>
      <c r="L788" s="54">
        <v>34272</v>
      </c>
      <c r="M788" s="54">
        <v>0</v>
      </c>
      <c r="N788" s="54">
        <v>0</v>
      </c>
      <c r="O788" s="54">
        <v>34272</v>
      </c>
      <c r="P788" s="55">
        <v>0.01</v>
      </c>
      <c r="Q788" s="61">
        <v>249.5</v>
      </c>
      <c r="R788" s="60"/>
      <c r="S788" s="61">
        <v>249.5</v>
      </c>
    </row>
    <row r="789" ht="20" customHeight="1" spans="1:19">
      <c r="A789" s="43" t="s">
        <v>134</v>
      </c>
      <c r="B789" s="43" t="s">
        <v>135</v>
      </c>
      <c r="C789" s="44"/>
      <c r="D789" s="43" t="s">
        <v>52</v>
      </c>
      <c r="E789" s="43" t="s">
        <v>136</v>
      </c>
      <c r="F789" s="43" t="s">
        <v>52</v>
      </c>
      <c r="G789" s="43" t="s">
        <v>108</v>
      </c>
      <c r="H789" s="43" t="s">
        <v>109</v>
      </c>
      <c r="I789" s="43" t="s">
        <v>52</v>
      </c>
      <c r="J789" s="44"/>
      <c r="K789" s="54">
        <v>4752</v>
      </c>
      <c r="L789" s="54">
        <v>4752</v>
      </c>
      <c r="M789" s="54">
        <v>0</v>
      </c>
      <c r="N789" s="54">
        <v>0</v>
      </c>
      <c r="O789" s="54">
        <v>4752</v>
      </c>
      <c r="P789" s="55">
        <v>0.01</v>
      </c>
      <c r="Q789" s="61">
        <v>34.59</v>
      </c>
      <c r="R789" s="60"/>
      <c r="S789" s="61">
        <v>34.59</v>
      </c>
    </row>
    <row r="790" ht="20" customHeight="1" spans="1:19">
      <c r="A790" s="43" t="s">
        <v>134</v>
      </c>
      <c r="B790" s="43" t="s">
        <v>135</v>
      </c>
      <c r="C790" s="44"/>
      <c r="D790" s="43" t="s">
        <v>52</v>
      </c>
      <c r="E790" s="43" t="s">
        <v>136</v>
      </c>
      <c r="F790" s="43" t="s">
        <v>52</v>
      </c>
      <c r="G790" s="43" t="s">
        <v>108</v>
      </c>
      <c r="H790" s="43" t="s">
        <v>109</v>
      </c>
      <c r="I790" s="43" t="s">
        <v>52</v>
      </c>
      <c r="J790" s="44"/>
      <c r="K790" s="54">
        <v>144</v>
      </c>
      <c r="L790" s="54">
        <v>144</v>
      </c>
      <c r="M790" s="54">
        <v>0</v>
      </c>
      <c r="N790" s="54">
        <v>0</v>
      </c>
      <c r="O790" s="54">
        <v>144</v>
      </c>
      <c r="P790" s="55">
        <v>0.01</v>
      </c>
      <c r="Q790" s="61">
        <v>1.05</v>
      </c>
      <c r="R790" s="60"/>
      <c r="S790" s="61">
        <v>1.05</v>
      </c>
    </row>
    <row r="791" ht="20" customHeight="1" spans="1:19">
      <c r="A791" s="43" t="s">
        <v>137</v>
      </c>
      <c r="B791" s="43" t="s">
        <v>138</v>
      </c>
      <c r="C791" s="44"/>
      <c r="D791" s="43" t="s">
        <v>52</v>
      </c>
      <c r="E791" s="43" t="s">
        <v>139</v>
      </c>
      <c r="F791" s="43" t="s">
        <v>52</v>
      </c>
      <c r="G791" s="43" t="s">
        <v>100</v>
      </c>
      <c r="H791" s="43" t="s">
        <v>101</v>
      </c>
      <c r="I791" s="43" t="s">
        <v>52</v>
      </c>
      <c r="J791" s="44"/>
      <c r="K791" s="54">
        <v>1692</v>
      </c>
      <c r="L791" s="54">
        <v>1692</v>
      </c>
      <c r="M791" s="54">
        <v>0</v>
      </c>
      <c r="N791" s="54">
        <v>0</v>
      </c>
      <c r="O791" s="54">
        <v>1692</v>
      </c>
      <c r="P791" s="55">
        <v>0.11</v>
      </c>
      <c r="Q791" s="61">
        <v>191.47</v>
      </c>
      <c r="R791" s="60"/>
      <c r="S791" s="61">
        <v>191.47</v>
      </c>
    </row>
    <row r="792" ht="20" customHeight="1" spans="1:19">
      <c r="A792" s="43" t="s">
        <v>137</v>
      </c>
      <c r="B792" s="43" t="s">
        <v>138</v>
      </c>
      <c r="C792" s="44"/>
      <c r="D792" s="43" t="s">
        <v>52</v>
      </c>
      <c r="E792" s="43" t="s">
        <v>139</v>
      </c>
      <c r="F792" s="43" t="s">
        <v>52</v>
      </c>
      <c r="G792" s="43" t="s">
        <v>100</v>
      </c>
      <c r="H792" s="43" t="s">
        <v>101</v>
      </c>
      <c r="I792" s="43" t="s">
        <v>52</v>
      </c>
      <c r="J792" s="44"/>
      <c r="K792" s="54">
        <v>8</v>
      </c>
      <c r="L792" s="54">
        <v>8</v>
      </c>
      <c r="M792" s="54">
        <v>0</v>
      </c>
      <c r="N792" s="54">
        <v>0</v>
      </c>
      <c r="O792" s="54">
        <v>8</v>
      </c>
      <c r="P792" s="55">
        <v>0.11</v>
      </c>
      <c r="Q792" s="61">
        <v>0.91</v>
      </c>
      <c r="R792" s="60"/>
      <c r="S792" s="61">
        <v>0.91</v>
      </c>
    </row>
    <row r="793" ht="20" customHeight="1" spans="1:19">
      <c r="A793" s="43" t="s">
        <v>137</v>
      </c>
      <c r="B793" s="43" t="s">
        <v>138</v>
      </c>
      <c r="C793" s="44"/>
      <c r="D793" s="43" t="s">
        <v>52</v>
      </c>
      <c r="E793" s="43" t="s">
        <v>139</v>
      </c>
      <c r="F793" s="43" t="s">
        <v>52</v>
      </c>
      <c r="G793" s="43" t="s">
        <v>100</v>
      </c>
      <c r="H793" s="43" t="s">
        <v>101</v>
      </c>
      <c r="I793" s="43" t="s">
        <v>52</v>
      </c>
      <c r="J793" s="44"/>
      <c r="K793" s="54">
        <v>10</v>
      </c>
      <c r="L793" s="54">
        <v>10</v>
      </c>
      <c r="M793" s="54">
        <v>0</v>
      </c>
      <c r="N793" s="54">
        <v>0</v>
      </c>
      <c r="O793" s="54">
        <v>10</v>
      </c>
      <c r="P793" s="55">
        <v>0.11</v>
      </c>
      <c r="Q793" s="61">
        <v>1.13</v>
      </c>
      <c r="R793" s="60"/>
      <c r="S793" s="61">
        <v>1.13</v>
      </c>
    </row>
    <row r="794" ht="20" customHeight="1" spans="1:19">
      <c r="A794" s="43" t="s">
        <v>140</v>
      </c>
      <c r="B794" s="43" t="s">
        <v>141</v>
      </c>
      <c r="C794" s="44"/>
      <c r="D794" s="43" t="s">
        <v>52</v>
      </c>
      <c r="E794" s="43" t="s">
        <v>142</v>
      </c>
      <c r="F794" s="43" t="s">
        <v>52</v>
      </c>
      <c r="G794" s="43" t="s">
        <v>108</v>
      </c>
      <c r="H794" s="43" t="s">
        <v>109</v>
      </c>
      <c r="I794" s="43" t="s">
        <v>52</v>
      </c>
      <c r="J794" s="44"/>
      <c r="K794" s="54">
        <v>180</v>
      </c>
      <c r="L794" s="54">
        <v>180</v>
      </c>
      <c r="M794" s="54">
        <v>0</v>
      </c>
      <c r="N794" s="54">
        <v>0</v>
      </c>
      <c r="O794" s="54">
        <v>180</v>
      </c>
      <c r="P794" s="55">
        <v>0.01</v>
      </c>
      <c r="Q794" s="61">
        <v>1.31</v>
      </c>
      <c r="R794" s="60"/>
      <c r="S794" s="61">
        <v>1.31</v>
      </c>
    </row>
    <row r="795" ht="20" customHeight="1" spans="1:19">
      <c r="A795" s="43" t="s">
        <v>140</v>
      </c>
      <c r="B795" s="43" t="s">
        <v>141</v>
      </c>
      <c r="C795" s="44"/>
      <c r="D795" s="43" t="s">
        <v>52</v>
      </c>
      <c r="E795" s="43" t="s">
        <v>142</v>
      </c>
      <c r="F795" s="43" t="s">
        <v>52</v>
      </c>
      <c r="G795" s="43" t="s">
        <v>108</v>
      </c>
      <c r="H795" s="43" t="s">
        <v>109</v>
      </c>
      <c r="I795" s="43" t="s">
        <v>52</v>
      </c>
      <c r="J795" s="44"/>
      <c r="K795" s="54">
        <v>24</v>
      </c>
      <c r="L795" s="54">
        <v>24</v>
      </c>
      <c r="M795" s="54">
        <v>0</v>
      </c>
      <c r="N795" s="54">
        <v>0</v>
      </c>
      <c r="O795" s="54">
        <v>24</v>
      </c>
      <c r="P795" s="55">
        <v>0.01</v>
      </c>
      <c r="Q795" s="61">
        <v>0.17</v>
      </c>
      <c r="R795" s="60"/>
      <c r="S795" s="61">
        <v>0.17</v>
      </c>
    </row>
    <row r="796" ht="20" customHeight="1" spans="1:19">
      <c r="A796" s="43" t="s">
        <v>140</v>
      </c>
      <c r="B796" s="43" t="s">
        <v>141</v>
      </c>
      <c r="C796" s="44"/>
      <c r="D796" s="43" t="s">
        <v>52</v>
      </c>
      <c r="E796" s="43" t="s">
        <v>142</v>
      </c>
      <c r="F796" s="43" t="s">
        <v>52</v>
      </c>
      <c r="G796" s="43" t="s">
        <v>108</v>
      </c>
      <c r="H796" s="43" t="s">
        <v>109</v>
      </c>
      <c r="I796" s="43" t="s">
        <v>52</v>
      </c>
      <c r="J796" s="44"/>
      <c r="K796" s="54">
        <v>19224</v>
      </c>
      <c r="L796" s="54">
        <v>19224</v>
      </c>
      <c r="M796" s="54">
        <v>0</v>
      </c>
      <c r="N796" s="54">
        <v>0</v>
      </c>
      <c r="O796" s="54">
        <v>19224</v>
      </c>
      <c r="P796" s="55">
        <v>0.01</v>
      </c>
      <c r="Q796" s="61">
        <v>139.95</v>
      </c>
      <c r="R796" s="60"/>
      <c r="S796" s="61">
        <v>139.95</v>
      </c>
    </row>
    <row r="797" ht="20" customHeight="1" spans="1:19">
      <c r="A797" s="43" t="s">
        <v>140</v>
      </c>
      <c r="B797" s="43" t="s">
        <v>141</v>
      </c>
      <c r="C797" s="44"/>
      <c r="D797" s="43" t="s">
        <v>52</v>
      </c>
      <c r="E797" s="43" t="s">
        <v>142</v>
      </c>
      <c r="F797" s="43" t="s">
        <v>52</v>
      </c>
      <c r="G797" s="43" t="s">
        <v>108</v>
      </c>
      <c r="H797" s="43" t="s">
        <v>109</v>
      </c>
      <c r="I797" s="43" t="s">
        <v>52</v>
      </c>
      <c r="J797" s="44"/>
      <c r="K797" s="54">
        <v>156</v>
      </c>
      <c r="L797" s="54">
        <v>156</v>
      </c>
      <c r="M797" s="54">
        <v>0</v>
      </c>
      <c r="N797" s="54">
        <v>0</v>
      </c>
      <c r="O797" s="54">
        <v>156</v>
      </c>
      <c r="P797" s="55">
        <v>0.01</v>
      </c>
      <c r="Q797" s="61">
        <v>1.14</v>
      </c>
      <c r="R797" s="60"/>
      <c r="S797" s="61">
        <v>1.14</v>
      </c>
    </row>
    <row r="798" ht="20" customHeight="1" spans="1:19">
      <c r="A798" s="43" t="s">
        <v>97</v>
      </c>
      <c r="B798" s="43" t="s">
        <v>102</v>
      </c>
      <c r="C798" s="44"/>
      <c r="D798" s="43" t="s">
        <v>52</v>
      </c>
      <c r="E798" s="43" t="s">
        <v>99</v>
      </c>
      <c r="F798" s="43" t="s">
        <v>52</v>
      </c>
      <c r="G798" s="43" t="s">
        <v>100</v>
      </c>
      <c r="H798" s="43" t="s">
        <v>101</v>
      </c>
      <c r="I798" s="43" t="s">
        <v>52</v>
      </c>
      <c r="J798" s="44"/>
      <c r="K798" s="54">
        <v>3</v>
      </c>
      <c r="L798" s="54">
        <v>3</v>
      </c>
      <c r="M798" s="54">
        <v>0</v>
      </c>
      <c r="N798" s="54">
        <v>0</v>
      </c>
      <c r="O798" s="54">
        <v>3</v>
      </c>
      <c r="P798" s="55">
        <v>0.11</v>
      </c>
      <c r="Q798" s="61">
        <v>0.34</v>
      </c>
      <c r="R798" s="60"/>
      <c r="S798" s="61">
        <v>0.34</v>
      </c>
    </row>
    <row r="799" ht="20" customHeight="1" spans="1:19">
      <c r="A799" s="43" t="s">
        <v>97</v>
      </c>
      <c r="B799" s="43" t="s">
        <v>102</v>
      </c>
      <c r="C799" s="44"/>
      <c r="D799" s="43" t="s">
        <v>52</v>
      </c>
      <c r="E799" s="43" t="s">
        <v>99</v>
      </c>
      <c r="F799" s="43" t="s">
        <v>52</v>
      </c>
      <c r="G799" s="43" t="s">
        <v>100</v>
      </c>
      <c r="H799" s="43" t="s">
        <v>101</v>
      </c>
      <c r="I799" s="43" t="s">
        <v>52</v>
      </c>
      <c r="J799" s="44"/>
      <c r="K799" s="54">
        <v>4</v>
      </c>
      <c r="L799" s="54">
        <v>4</v>
      </c>
      <c r="M799" s="54">
        <v>0</v>
      </c>
      <c r="N799" s="54">
        <v>0</v>
      </c>
      <c r="O799" s="54">
        <v>4</v>
      </c>
      <c r="P799" s="55">
        <v>0.11</v>
      </c>
      <c r="Q799" s="61">
        <v>0.45</v>
      </c>
      <c r="R799" s="60"/>
      <c r="S799" s="61">
        <v>0.45</v>
      </c>
    </row>
    <row r="800" ht="20" customHeight="1" spans="1:19">
      <c r="A800" s="43" t="s">
        <v>97</v>
      </c>
      <c r="B800" s="43" t="s">
        <v>102</v>
      </c>
      <c r="C800" s="44"/>
      <c r="D800" s="43" t="s">
        <v>52</v>
      </c>
      <c r="E800" s="43" t="s">
        <v>99</v>
      </c>
      <c r="F800" s="43" t="s">
        <v>52</v>
      </c>
      <c r="G800" s="43" t="s">
        <v>100</v>
      </c>
      <c r="H800" s="43" t="s">
        <v>101</v>
      </c>
      <c r="I800" s="43" t="s">
        <v>52</v>
      </c>
      <c r="J800" s="44"/>
      <c r="K800" s="54">
        <v>1092</v>
      </c>
      <c r="L800" s="54">
        <v>1092</v>
      </c>
      <c r="M800" s="54">
        <v>0</v>
      </c>
      <c r="N800" s="54">
        <v>0</v>
      </c>
      <c r="O800" s="54">
        <v>1092</v>
      </c>
      <c r="P800" s="55">
        <v>0.11</v>
      </c>
      <c r="Q800" s="61">
        <v>123.57</v>
      </c>
      <c r="R800" s="60"/>
      <c r="S800" s="61">
        <v>123.57</v>
      </c>
    </row>
    <row r="801" ht="20" customHeight="1" spans="1:19">
      <c r="A801" s="43" t="s">
        <v>97</v>
      </c>
      <c r="B801" s="43" t="s">
        <v>102</v>
      </c>
      <c r="C801" s="44"/>
      <c r="D801" s="43" t="s">
        <v>52</v>
      </c>
      <c r="E801" s="43" t="s">
        <v>99</v>
      </c>
      <c r="F801" s="43" t="s">
        <v>52</v>
      </c>
      <c r="G801" s="43" t="s">
        <v>100</v>
      </c>
      <c r="H801" s="43" t="s">
        <v>101</v>
      </c>
      <c r="I801" s="43" t="s">
        <v>52</v>
      </c>
      <c r="J801" s="44"/>
      <c r="K801" s="54">
        <v>1</v>
      </c>
      <c r="L801" s="54">
        <v>1</v>
      </c>
      <c r="M801" s="54">
        <v>0</v>
      </c>
      <c r="N801" s="54">
        <v>0</v>
      </c>
      <c r="O801" s="54">
        <v>1</v>
      </c>
      <c r="P801" s="55">
        <v>0.11</v>
      </c>
      <c r="Q801" s="61">
        <v>0.11</v>
      </c>
      <c r="R801" s="60"/>
      <c r="S801" s="61">
        <v>0.11</v>
      </c>
    </row>
    <row r="802" ht="20" customHeight="1" spans="1:19">
      <c r="A802" s="43" t="s">
        <v>97</v>
      </c>
      <c r="B802" s="43" t="s">
        <v>102</v>
      </c>
      <c r="C802" s="44"/>
      <c r="D802" s="43" t="s">
        <v>52</v>
      </c>
      <c r="E802" s="43" t="s">
        <v>99</v>
      </c>
      <c r="F802" s="43" t="s">
        <v>52</v>
      </c>
      <c r="G802" s="43" t="s">
        <v>103</v>
      </c>
      <c r="H802" s="43" t="s">
        <v>104</v>
      </c>
      <c r="I802" s="43" t="s">
        <v>52</v>
      </c>
      <c r="J802" s="44"/>
      <c r="K802" s="54">
        <v>56</v>
      </c>
      <c r="L802" s="54">
        <v>56</v>
      </c>
      <c r="M802" s="54">
        <v>0</v>
      </c>
      <c r="N802" s="54">
        <v>0</v>
      </c>
      <c r="O802" s="54">
        <v>56</v>
      </c>
      <c r="P802" s="55">
        <v>0.02</v>
      </c>
      <c r="Q802" s="61">
        <v>1.08</v>
      </c>
      <c r="R802" s="60"/>
      <c r="S802" s="61">
        <v>1.08</v>
      </c>
    </row>
    <row r="803" ht="20" customHeight="1" spans="1:19">
      <c r="A803" s="43" t="s">
        <v>97</v>
      </c>
      <c r="B803" s="43" t="s">
        <v>102</v>
      </c>
      <c r="C803" s="44"/>
      <c r="D803" s="43" t="s">
        <v>52</v>
      </c>
      <c r="E803" s="43" t="s">
        <v>99</v>
      </c>
      <c r="F803" s="43" t="s">
        <v>52</v>
      </c>
      <c r="G803" s="43" t="s">
        <v>103</v>
      </c>
      <c r="H803" s="43" t="s">
        <v>104</v>
      </c>
      <c r="I803" s="43" t="s">
        <v>52</v>
      </c>
      <c r="J803" s="44"/>
      <c r="K803" s="54">
        <v>14148</v>
      </c>
      <c r="L803" s="54">
        <v>14148</v>
      </c>
      <c r="M803" s="54">
        <v>0</v>
      </c>
      <c r="N803" s="54">
        <v>0</v>
      </c>
      <c r="O803" s="54">
        <v>14148</v>
      </c>
      <c r="P803" s="55">
        <v>0.02</v>
      </c>
      <c r="Q803" s="61">
        <v>272.75</v>
      </c>
      <c r="R803" s="60"/>
      <c r="S803" s="61">
        <v>272.75</v>
      </c>
    </row>
    <row r="804" ht="20" customHeight="1" spans="1:19">
      <c r="A804" s="43" t="s">
        <v>97</v>
      </c>
      <c r="B804" s="43" t="s">
        <v>102</v>
      </c>
      <c r="C804" s="44"/>
      <c r="D804" s="43" t="s">
        <v>52</v>
      </c>
      <c r="E804" s="43" t="s">
        <v>99</v>
      </c>
      <c r="F804" s="43" t="s">
        <v>52</v>
      </c>
      <c r="G804" s="43" t="s">
        <v>103</v>
      </c>
      <c r="H804" s="43" t="s">
        <v>104</v>
      </c>
      <c r="I804" s="43" t="s">
        <v>52</v>
      </c>
      <c r="J804" s="44"/>
      <c r="K804" s="54">
        <v>4</v>
      </c>
      <c r="L804" s="54">
        <v>4</v>
      </c>
      <c r="M804" s="54">
        <v>0</v>
      </c>
      <c r="N804" s="54">
        <v>0</v>
      </c>
      <c r="O804" s="54">
        <v>4</v>
      </c>
      <c r="P804" s="55">
        <v>0.02</v>
      </c>
      <c r="Q804" s="61">
        <v>0.08</v>
      </c>
      <c r="R804" s="60"/>
      <c r="S804" s="61">
        <v>0.08</v>
      </c>
    </row>
    <row r="805" ht="20" customHeight="1" spans="1:19">
      <c r="A805" s="43" t="s">
        <v>105</v>
      </c>
      <c r="B805" s="43" t="s">
        <v>106</v>
      </c>
      <c r="C805" s="44"/>
      <c r="D805" s="43" t="s">
        <v>52</v>
      </c>
      <c r="E805" s="43" t="s">
        <v>107</v>
      </c>
      <c r="F805" s="43" t="s">
        <v>52</v>
      </c>
      <c r="G805" s="43" t="s">
        <v>108</v>
      </c>
      <c r="H805" s="43" t="s">
        <v>109</v>
      </c>
      <c r="I805" s="43" t="s">
        <v>52</v>
      </c>
      <c r="J805" s="44"/>
      <c r="K805" s="54">
        <v>20736</v>
      </c>
      <c r="L805" s="54">
        <v>20736</v>
      </c>
      <c r="M805" s="54">
        <v>0</v>
      </c>
      <c r="N805" s="54">
        <v>0</v>
      </c>
      <c r="O805" s="54">
        <v>20736</v>
      </c>
      <c r="P805" s="55">
        <v>0.01</v>
      </c>
      <c r="Q805" s="61">
        <v>150.96</v>
      </c>
      <c r="R805" s="60"/>
      <c r="S805" s="61">
        <v>150.96</v>
      </c>
    </row>
    <row r="806" ht="20" customHeight="1" spans="1:19">
      <c r="A806" s="43" t="s">
        <v>105</v>
      </c>
      <c r="B806" s="43" t="s">
        <v>106</v>
      </c>
      <c r="C806" s="44"/>
      <c r="D806" s="43" t="s">
        <v>52</v>
      </c>
      <c r="E806" s="43" t="s">
        <v>107</v>
      </c>
      <c r="F806" s="43" t="s">
        <v>52</v>
      </c>
      <c r="G806" s="43" t="s">
        <v>108</v>
      </c>
      <c r="H806" s="43" t="s">
        <v>109</v>
      </c>
      <c r="I806" s="43" t="s">
        <v>52</v>
      </c>
      <c r="J806" s="44"/>
      <c r="K806" s="54">
        <v>180</v>
      </c>
      <c r="L806" s="54">
        <v>180</v>
      </c>
      <c r="M806" s="54">
        <v>0</v>
      </c>
      <c r="N806" s="54">
        <v>0</v>
      </c>
      <c r="O806" s="54">
        <v>180</v>
      </c>
      <c r="P806" s="55">
        <v>0.01</v>
      </c>
      <c r="Q806" s="61">
        <v>1.31</v>
      </c>
      <c r="R806" s="60"/>
      <c r="S806" s="61">
        <v>1.31</v>
      </c>
    </row>
    <row r="807" ht="20" customHeight="1" spans="1:19">
      <c r="A807" s="43" t="s">
        <v>105</v>
      </c>
      <c r="B807" s="43" t="s">
        <v>106</v>
      </c>
      <c r="C807" s="44"/>
      <c r="D807" s="43" t="s">
        <v>52</v>
      </c>
      <c r="E807" s="43" t="s">
        <v>107</v>
      </c>
      <c r="F807" s="43" t="s">
        <v>52</v>
      </c>
      <c r="G807" s="43" t="s">
        <v>108</v>
      </c>
      <c r="H807" s="43" t="s">
        <v>109</v>
      </c>
      <c r="I807" s="43" t="s">
        <v>52</v>
      </c>
      <c r="J807" s="44"/>
      <c r="K807" s="54">
        <v>8640</v>
      </c>
      <c r="L807" s="54">
        <v>8640</v>
      </c>
      <c r="M807" s="54">
        <v>0</v>
      </c>
      <c r="N807" s="54">
        <v>0</v>
      </c>
      <c r="O807" s="54">
        <v>8640</v>
      </c>
      <c r="P807" s="55">
        <v>0.01</v>
      </c>
      <c r="Q807" s="61">
        <v>62.9</v>
      </c>
      <c r="R807" s="60"/>
      <c r="S807" s="61">
        <v>62.9</v>
      </c>
    </row>
    <row r="808" ht="20" customHeight="1" spans="1:19">
      <c r="A808" s="43" t="s">
        <v>105</v>
      </c>
      <c r="B808" s="43" t="s">
        <v>106</v>
      </c>
      <c r="C808" s="44"/>
      <c r="D808" s="43" t="s">
        <v>52</v>
      </c>
      <c r="E808" s="43" t="s">
        <v>107</v>
      </c>
      <c r="F808" s="43" t="s">
        <v>52</v>
      </c>
      <c r="G808" s="43" t="s">
        <v>108</v>
      </c>
      <c r="H808" s="43" t="s">
        <v>109</v>
      </c>
      <c r="I808" s="43" t="s">
        <v>52</v>
      </c>
      <c r="J808" s="44"/>
      <c r="K808" s="54">
        <v>252</v>
      </c>
      <c r="L808" s="54">
        <v>252</v>
      </c>
      <c r="M808" s="54">
        <v>0</v>
      </c>
      <c r="N808" s="54">
        <v>0</v>
      </c>
      <c r="O808" s="54">
        <v>252</v>
      </c>
      <c r="P808" s="55">
        <v>0.01</v>
      </c>
      <c r="Q808" s="61">
        <v>1.83</v>
      </c>
      <c r="R808" s="60"/>
      <c r="S808" s="61">
        <v>1.83</v>
      </c>
    </row>
    <row r="809" ht="20" customHeight="1" spans="1:19">
      <c r="A809" s="43" t="s">
        <v>105</v>
      </c>
      <c r="B809" s="43" t="s">
        <v>106</v>
      </c>
      <c r="C809" s="44"/>
      <c r="D809" s="43" t="s">
        <v>52</v>
      </c>
      <c r="E809" s="43" t="s">
        <v>107</v>
      </c>
      <c r="F809" s="43" t="s">
        <v>52</v>
      </c>
      <c r="G809" s="43" t="s">
        <v>108</v>
      </c>
      <c r="H809" s="43" t="s">
        <v>109</v>
      </c>
      <c r="I809" s="43" t="s">
        <v>52</v>
      </c>
      <c r="J809" s="44"/>
      <c r="K809" s="54">
        <v>9360</v>
      </c>
      <c r="L809" s="54">
        <v>9360</v>
      </c>
      <c r="M809" s="54">
        <v>0</v>
      </c>
      <c r="N809" s="54">
        <v>0</v>
      </c>
      <c r="O809" s="54">
        <v>9360</v>
      </c>
      <c r="P809" s="55">
        <v>0.01</v>
      </c>
      <c r="Q809" s="61">
        <v>68.14</v>
      </c>
      <c r="R809" s="60"/>
      <c r="S809" s="61">
        <v>68.14</v>
      </c>
    </row>
    <row r="810" ht="13" customHeight="1" spans="1:19">
      <c r="A810" s="47" t="s">
        <v>143</v>
      </c>
      <c r="B810" s="48"/>
      <c r="C810" s="48"/>
      <c r="D810" s="48"/>
      <c r="E810" s="48"/>
      <c r="F810" s="48"/>
      <c r="G810" s="48"/>
      <c r="H810" s="48"/>
      <c r="I810" s="48"/>
      <c r="J810" s="56"/>
      <c r="K810" s="47" t="s">
        <v>144</v>
      </c>
      <c r="L810" s="57">
        <v>114938</v>
      </c>
      <c r="M810" s="58">
        <v>0</v>
      </c>
      <c r="N810" s="58">
        <v>0</v>
      </c>
      <c r="O810" s="58">
        <v>114938</v>
      </c>
      <c r="P810" s="59" t="s">
        <v>52</v>
      </c>
      <c r="Q810" s="62"/>
      <c r="R810" s="62"/>
      <c r="S810" s="63">
        <v>1304.74</v>
      </c>
    </row>
    <row r="811" ht="19" customHeight="1" spans="1:19">
      <c r="A811" s="43" t="s">
        <v>145</v>
      </c>
      <c r="B811" s="44"/>
      <c r="C811" s="44"/>
      <c r="D811" s="49" t="s">
        <v>146</v>
      </c>
      <c r="E811" s="50" t="s">
        <v>147</v>
      </c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56"/>
      <c r="S811" s="56"/>
    </row>
    <row r="812" ht="19" customHeight="1" spans="1:19">
      <c r="A812" s="49" t="s">
        <v>146</v>
      </c>
      <c r="B812" s="51"/>
      <c r="C812" s="51"/>
      <c r="D812" s="49" t="s">
        <v>146</v>
      </c>
      <c r="E812" s="49" t="s">
        <v>119</v>
      </c>
      <c r="F812" s="52">
        <v>700</v>
      </c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56"/>
      <c r="S812" s="56"/>
    </row>
    <row r="813" ht="12" customHeight="1" spans="1:19">
      <c r="A813" s="46" t="s">
        <v>52</v>
      </c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56"/>
      <c r="S813" s="56"/>
    </row>
    <row r="814" ht="14" customHeight="1" spans="1:19">
      <c r="A814" s="43" t="s">
        <v>67</v>
      </c>
      <c r="B814" s="44"/>
      <c r="C814" s="44"/>
      <c r="D814" s="45" t="s">
        <v>124</v>
      </c>
      <c r="E814" s="43" t="s">
        <v>69</v>
      </c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</row>
    <row r="815" ht="14" customHeight="1" spans="1:19">
      <c r="A815" s="43" t="s">
        <v>70</v>
      </c>
      <c r="B815" s="44"/>
      <c r="C815" s="44"/>
      <c r="D815" s="45" t="s">
        <v>124</v>
      </c>
      <c r="E815" s="43" t="s">
        <v>71</v>
      </c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</row>
    <row r="816" ht="14" customHeight="1" spans="1:19">
      <c r="A816" s="43" t="s">
        <v>82</v>
      </c>
      <c r="B816" s="44"/>
      <c r="C816" s="44"/>
      <c r="D816" s="45" t="s">
        <v>124</v>
      </c>
      <c r="E816" s="43" t="s">
        <v>83</v>
      </c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</row>
    <row r="817" ht="14" customHeight="1" spans="1:19">
      <c r="A817" s="43" t="s">
        <v>72</v>
      </c>
      <c r="B817" s="44"/>
      <c r="C817" s="44"/>
      <c r="D817" s="45" t="s">
        <v>124</v>
      </c>
      <c r="E817" s="43" t="s">
        <v>125</v>
      </c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</row>
    <row r="818" ht="14" customHeight="1" spans="1:19">
      <c r="A818" s="43" t="s">
        <v>126</v>
      </c>
      <c r="B818" s="44"/>
      <c r="C818" s="44"/>
      <c r="D818" s="45" t="s">
        <v>124</v>
      </c>
      <c r="E818" s="43" t="s">
        <v>170</v>
      </c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</row>
    <row r="819" ht="14" customHeight="1" spans="1:19">
      <c r="A819" s="43" t="s">
        <v>76</v>
      </c>
      <c r="B819" s="44"/>
      <c r="C819" s="44"/>
      <c r="D819" s="45" t="s">
        <v>124</v>
      </c>
      <c r="E819" s="43" t="s">
        <v>77</v>
      </c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</row>
    <row r="820" ht="14" customHeight="1" spans="1:19">
      <c r="A820" s="43" t="s">
        <v>78</v>
      </c>
      <c r="B820" s="44"/>
      <c r="C820" s="44"/>
      <c r="D820" s="45" t="s">
        <v>124</v>
      </c>
      <c r="E820" s="43" t="s">
        <v>79</v>
      </c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</row>
    <row r="821" ht="14" customHeight="1" spans="1:19">
      <c r="A821" s="43" t="s">
        <v>80</v>
      </c>
      <c r="B821" s="44"/>
      <c r="C821" s="44"/>
      <c r="D821" s="45" t="s">
        <v>124</v>
      </c>
      <c r="E821" s="43" t="s">
        <v>81</v>
      </c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</row>
    <row r="822" ht="17" customHeight="1" spans="1:19">
      <c r="A822" s="46" t="s">
        <v>52</v>
      </c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</row>
    <row r="823" ht="14" customHeight="1" spans="1:19">
      <c r="A823" s="43" t="s">
        <v>84</v>
      </c>
      <c r="B823" s="43" t="s">
        <v>85</v>
      </c>
      <c r="C823" s="44"/>
      <c r="D823" s="43" t="s">
        <v>52</v>
      </c>
      <c r="E823" s="43" t="s">
        <v>87</v>
      </c>
      <c r="F823" s="43" t="s">
        <v>88</v>
      </c>
      <c r="G823" s="43" t="s">
        <v>89</v>
      </c>
      <c r="H823" s="43" t="s">
        <v>90</v>
      </c>
      <c r="I823" s="43" t="s">
        <v>91</v>
      </c>
      <c r="J823" s="44"/>
      <c r="K823" s="53" t="s">
        <v>128</v>
      </c>
      <c r="L823" s="53" t="s">
        <v>129</v>
      </c>
      <c r="M823" s="53" t="s">
        <v>130</v>
      </c>
      <c r="N823" s="53" t="s">
        <v>131</v>
      </c>
      <c r="O823" s="53" t="s">
        <v>132</v>
      </c>
      <c r="P823" s="53" t="s">
        <v>93</v>
      </c>
      <c r="Q823" s="53" t="s">
        <v>94</v>
      </c>
      <c r="R823" s="60"/>
      <c r="S823" s="53" t="s">
        <v>133</v>
      </c>
    </row>
    <row r="824" ht="20" customHeight="1" spans="1:19">
      <c r="A824" s="43" t="s">
        <v>134</v>
      </c>
      <c r="B824" s="43" t="s">
        <v>135</v>
      </c>
      <c r="C824" s="44"/>
      <c r="D824" s="43" t="s">
        <v>52</v>
      </c>
      <c r="E824" s="43" t="s">
        <v>136</v>
      </c>
      <c r="F824" s="43" t="s">
        <v>52</v>
      </c>
      <c r="G824" s="43" t="s">
        <v>108</v>
      </c>
      <c r="H824" s="43" t="s">
        <v>109</v>
      </c>
      <c r="I824" s="43" t="s">
        <v>52</v>
      </c>
      <c r="J824" s="44"/>
      <c r="K824" s="54">
        <v>34272</v>
      </c>
      <c r="L824" s="54">
        <v>34272</v>
      </c>
      <c r="M824" s="54">
        <v>0</v>
      </c>
      <c r="N824" s="54">
        <v>0</v>
      </c>
      <c r="O824" s="54">
        <v>34272</v>
      </c>
      <c r="P824" s="55">
        <v>0.01</v>
      </c>
      <c r="Q824" s="61">
        <v>249.5</v>
      </c>
      <c r="R824" s="60"/>
      <c r="S824" s="61">
        <v>249.5</v>
      </c>
    </row>
    <row r="825" ht="20" customHeight="1" spans="1:19">
      <c r="A825" s="43" t="s">
        <v>134</v>
      </c>
      <c r="B825" s="43" t="s">
        <v>135</v>
      </c>
      <c r="C825" s="44"/>
      <c r="D825" s="43" t="s">
        <v>52</v>
      </c>
      <c r="E825" s="43" t="s">
        <v>136</v>
      </c>
      <c r="F825" s="43" t="s">
        <v>52</v>
      </c>
      <c r="G825" s="43" t="s">
        <v>108</v>
      </c>
      <c r="H825" s="43" t="s">
        <v>109</v>
      </c>
      <c r="I825" s="43" t="s">
        <v>52</v>
      </c>
      <c r="J825" s="44"/>
      <c r="K825" s="54">
        <v>4752</v>
      </c>
      <c r="L825" s="54">
        <v>4752</v>
      </c>
      <c r="M825" s="54">
        <v>0</v>
      </c>
      <c r="N825" s="54">
        <v>0</v>
      </c>
      <c r="O825" s="54">
        <v>4752</v>
      </c>
      <c r="P825" s="55">
        <v>0.01</v>
      </c>
      <c r="Q825" s="61">
        <v>34.59</v>
      </c>
      <c r="R825" s="60"/>
      <c r="S825" s="61">
        <v>34.59</v>
      </c>
    </row>
    <row r="826" ht="20" customHeight="1" spans="1:19">
      <c r="A826" s="43" t="s">
        <v>134</v>
      </c>
      <c r="B826" s="43" t="s">
        <v>135</v>
      </c>
      <c r="C826" s="44"/>
      <c r="D826" s="43" t="s">
        <v>52</v>
      </c>
      <c r="E826" s="43" t="s">
        <v>136</v>
      </c>
      <c r="F826" s="43" t="s">
        <v>52</v>
      </c>
      <c r="G826" s="43" t="s">
        <v>108</v>
      </c>
      <c r="H826" s="43" t="s">
        <v>109</v>
      </c>
      <c r="I826" s="43" t="s">
        <v>52</v>
      </c>
      <c r="J826" s="44"/>
      <c r="K826" s="54">
        <v>144</v>
      </c>
      <c r="L826" s="54">
        <v>144</v>
      </c>
      <c r="M826" s="54">
        <v>0</v>
      </c>
      <c r="N826" s="54">
        <v>0</v>
      </c>
      <c r="O826" s="54">
        <v>144</v>
      </c>
      <c r="P826" s="55">
        <v>0.01</v>
      </c>
      <c r="Q826" s="61">
        <v>1.05</v>
      </c>
      <c r="R826" s="60"/>
      <c r="S826" s="61">
        <v>1.05</v>
      </c>
    </row>
    <row r="827" ht="20" customHeight="1" spans="1:19">
      <c r="A827" s="43" t="s">
        <v>137</v>
      </c>
      <c r="B827" s="43" t="s">
        <v>138</v>
      </c>
      <c r="C827" s="44"/>
      <c r="D827" s="43" t="s">
        <v>52</v>
      </c>
      <c r="E827" s="43" t="s">
        <v>139</v>
      </c>
      <c r="F827" s="43" t="s">
        <v>52</v>
      </c>
      <c r="G827" s="43" t="s">
        <v>100</v>
      </c>
      <c r="H827" s="43" t="s">
        <v>101</v>
      </c>
      <c r="I827" s="43" t="s">
        <v>52</v>
      </c>
      <c r="J827" s="44"/>
      <c r="K827" s="54">
        <v>1692</v>
      </c>
      <c r="L827" s="54">
        <v>1692</v>
      </c>
      <c r="M827" s="54">
        <v>0</v>
      </c>
      <c r="N827" s="54">
        <v>0</v>
      </c>
      <c r="O827" s="54">
        <v>1692</v>
      </c>
      <c r="P827" s="55">
        <v>0.11</v>
      </c>
      <c r="Q827" s="61">
        <v>191.47</v>
      </c>
      <c r="R827" s="60"/>
      <c r="S827" s="61">
        <v>191.47</v>
      </c>
    </row>
    <row r="828" ht="20" customHeight="1" spans="1:19">
      <c r="A828" s="43" t="s">
        <v>137</v>
      </c>
      <c r="B828" s="43" t="s">
        <v>138</v>
      </c>
      <c r="C828" s="44"/>
      <c r="D828" s="43" t="s">
        <v>52</v>
      </c>
      <c r="E828" s="43" t="s">
        <v>139</v>
      </c>
      <c r="F828" s="43" t="s">
        <v>52</v>
      </c>
      <c r="G828" s="43" t="s">
        <v>100</v>
      </c>
      <c r="H828" s="43" t="s">
        <v>101</v>
      </c>
      <c r="I828" s="43" t="s">
        <v>52</v>
      </c>
      <c r="J828" s="44"/>
      <c r="K828" s="54">
        <v>8</v>
      </c>
      <c r="L828" s="54">
        <v>8</v>
      </c>
      <c r="M828" s="54">
        <v>0</v>
      </c>
      <c r="N828" s="54">
        <v>0</v>
      </c>
      <c r="O828" s="54">
        <v>8</v>
      </c>
      <c r="P828" s="55">
        <v>0.11</v>
      </c>
      <c r="Q828" s="61">
        <v>0.91</v>
      </c>
      <c r="R828" s="60"/>
      <c r="S828" s="61">
        <v>0.91</v>
      </c>
    </row>
    <row r="829" ht="20" customHeight="1" spans="1:19">
      <c r="A829" s="43" t="s">
        <v>137</v>
      </c>
      <c r="B829" s="43" t="s">
        <v>138</v>
      </c>
      <c r="C829" s="44"/>
      <c r="D829" s="43" t="s">
        <v>52</v>
      </c>
      <c r="E829" s="43" t="s">
        <v>139</v>
      </c>
      <c r="F829" s="43" t="s">
        <v>52</v>
      </c>
      <c r="G829" s="43" t="s">
        <v>100</v>
      </c>
      <c r="H829" s="43" t="s">
        <v>101</v>
      </c>
      <c r="I829" s="43" t="s">
        <v>52</v>
      </c>
      <c r="J829" s="44"/>
      <c r="K829" s="54">
        <v>10</v>
      </c>
      <c r="L829" s="54">
        <v>10</v>
      </c>
      <c r="M829" s="54">
        <v>0</v>
      </c>
      <c r="N829" s="54">
        <v>0</v>
      </c>
      <c r="O829" s="54">
        <v>10</v>
      </c>
      <c r="P829" s="55">
        <v>0.11</v>
      </c>
      <c r="Q829" s="61">
        <v>1.13</v>
      </c>
      <c r="R829" s="60"/>
      <c r="S829" s="61">
        <v>1.13</v>
      </c>
    </row>
    <row r="830" ht="20" customHeight="1" spans="1:19">
      <c r="A830" s="43" t="s">
        <v>140</v>
      </c>
      <c r="B830" s="43" t="s">
        <v>141</v>
      </c>
      <c r="C830" s="44"/>
      <c r="D830" s="43" t="s">
        <v>52</v>
      </c>
      <c r="E830" s="43" t="s">
        <v>142</v>
      </c>
      <c r="F830" s="43" t="s">
        <v>52</v>
      </c>
      <c r="G830" s="43" t="s">
        <v>108</v>
      </c>
      <c r="H830" s="43" t="s">
        <v>109</v>
      </c>
      <c r="I830" s="43" t="s">
        <v>52</v>
      </c>
      <c r="J830" s="44"/>
      <c r="K830" s="54">
        <v>180</v>
      </c>
      <c r="L830" s="54">
        <v>180</v>
      </c>
      <c r="M830" s="54">
        <v>0</v>
      </c>
      <c r="N830" s="54">
        <v>0</v>
      </c>
      <c r="O830" s="54">
        <v>180</v>
      </c>
      <c r="P830" s="55">
        <v>0.01</v>
      </c>
      <c r="Q830" s="61">
        <v>1.31</v>
      </c>
      <c r="R830" s="60"/>
      <c r="S830" s="61">
        <v>1.31</v>
      </c>
    </row>
    <row r="831" ht="20" customHeight="1" spans="1:19">
      <c r="A831" s="43" t="s">
        <v>140</v>
      </c>
      <c r="B831" s="43" t="s">
        <v>141</v>
      </c>
      <c r="C831" s="44"/>
      <c r="D831" s="43" t="s">
        <v>52</v>
      </c>
      <c r="E831" s="43" t="s">
        <v>142</v>
      </c>
      <c r="F831" s="43" t="s">
        <v>52</v>
      </c>
      <c r="G831" s="43" t="s">
        <v>108</v>
      </c>
      <c r="H831" s="43" t="s">
        <v>109</v>
      </c>
      <c r="I831" s="43" t="s">
        <v>52</v>
      </c>
      <c r="J831" s="44"/>
      <c r="K831" s="54">
        <v>24</v>
      </c>
      <c r="L831" s="54">
        <v>24</v>
      </c>
      <c r="M831" s="54">
        <v>0</v>
      </c>
      <c r="N831" s="54">
        <v>0</v>
      </c>
      <c r="O831" s="54">
        <v>24</v>
      </c>
      <c r="P831" s="55">
        <v>0.01</v>
      </c>
      <c r="Q831" s="61">
        <v>0.17</v>
      </c>
      <c r="R831" s="60"/>
      <c r="S831" s="61">
        <v>0.17</v>
      </c>
    </row>
    <row r="832" ht="20" customHeight="1" spans="1:19">
      <c r="A832" s="43" t="s">
        <v>140</v>
      </c>
      <c r="B832" s="43" t="s">
        <v>141</v>
      </c>
      <c r="C832" s="44"/>
      <c r="D832" s="43" t="s">
        <v>52</v>
      </c>
      <c r="E832" s="43" t="s">
        <v>142</v>
      </c>
      <c r="F832" s="43" t="s">
        <v>52</v>
      </c>
      <c r="G832" s="43" t="s">
        <v>108</v>
      </c>
      <c r="H832" s="43" t="s">
        <v>109</v>
      </c>
      <c r="I832" s="43" t="s">
        <v>52</v>
      </c>
      <c r="J832" s="44"/>
      <c r="K832" s="54">
        <v>19224</v>
      </c>
      <c r="L832" s="54">
        <v>19224</v>
      </c>
      <c r="M832" s="54">
        <v>0</v>
      </c>
      <c r="N832" s="54">
        <v>0</v>
      </c>
      <c r="O832" s="54">
        <v>19224</v>
      </c>
      <c r="P832" s="55">
        <v>0.01</v>
      </c>
      <c r="Q832" s="61">
        <v>139.95</v>
      </c>
      <c r="R832" s="60"/>
      <c r="S832" s="61">
        <v>139.95</v>
      </c>
    </row>
    <row r="833" ht="20" customHeight="1" spans="1:19">
      <c r="A833" s="43" t="s">
        <v>140</v>
      </c>
      <c r="B833" s="43" t="s">
        <v>141</v>
      </c>
      <c r="C833" s="44"/>
      <c r="D833" s="43" t="s">
        <v>52</v>
      </c>
      <c r="E833" s="43" t="s">
        <v>142</v>
      </c>
      <c r="F833" s="43" t="s">
        <v>52</v>
      </c>
      <c r="G833" s="43" t="s">
        <v>108</v>
      </c>
      <c r="H833" s="43" t="s">
        <v>109</v>
      </c>
      <c r="I833" s="43" t="s">
        <v>52</v>
      </c>
      <c r="J833" s="44"/>
      <c r="K833" s="54">
        <v>156</v>
      </c>
      <c r="L833" s="54">
        <v>156</v>
      </c>
      <c r="M833" s="54">
        <v>0</v>
      </c>
      <c r="N833" s="54">
        <v>0</v>
      </c>
      <c r="O833" s="54">
        <v>156</v>
      </c>
      <c r="P833" s="55">
        <v>0.01</v>
      </c>
      <c r="Q833" s="61">
        <v>1.14</v>
      </c>
      <c r="R833" s="60"/>
      <c r="S833" s="61">
        <v>1.14</v>
      </c>
    </row>
    <row r="834" ht="20" customHeight="1" spans="1:19">
      <c r="A834" s="43" t="s">
        <v>97</v>
      </c>
      <c r="B834" s="43" t="s">
        <v>102</v>
      </c>
      <c r="C834" s="44"/>
      <c r="D834" s="43" t="s">
        <v>52</v>
      </c>
      <c r="E834" s="43" t="s">
        <v>99</v>
      </c>
      <c r="F834" s="43" t="s">
        <v>52</v>
      </c>
      <c r="G834" s="43" t="s">
        <v>100</v>
      </c>
      <c r="H834" s="43" t="s">
        <v>101</v>
      </c>
      <c r="I834" s="43" t="s">
        <v>52</v>
      </c>
      <c r="J834" s="44"/>
      <c r="K834" s="54">
        <v>3</v>
      </c>
      <c r="L834" s="54">
        <v>3</v>
      </c>
      <c r="M834" s="54">
        <v>0</v>
      </c>
      <c r="N834" s="54">
        <v>0</v>
      </c>
      <c r="O834" s="54">
        <v>3</v>
      </c>
      <c r="P834" s="55">
        <v>0.11</v>
      </c>
      <c r="Q834" s="61">
        <v>0.34</v>
      </c>
      <c r="R834" s="60"/>
      <c r="S834" s="61">
        <v>0.34</v>
      </c>
    </row>
    <row r="835" ht="20" customHeight="1" spans="1:19">
      <c r="A835" s="43" t="s">
        <v>97</v>
      </c>
      <c r="B835" s="43" t="s">
        <v>102</v>
      </c>
      <c r="C835" s="44"/>
      <c r="D835" s="43" t="s">
        <v>52</v>
      </c>
      <c r="E835" s="43" t="s">
        <v>99</v>
      </c>
      <c r="F835" s="43" t="s">
        <v>52</v>
      </c>
      <c r="G835" s="43" t="s">
        <v>100</v>
      </c>
      <c r="H835" s="43" t="s">
        <v>101</v>
      </c>
      <c r="I835" s="43" t="s">
        <v>52</v>
      </c>
      <c r="J835" s="44"/>
      <c r="K835" s="54">
        <v>4</v>
      </c>
      <c r="L835" s="54">
        <v>4</v>
      </c>
      <c r="M835" s="54">
        <v>0</v>
      </c>
      <c r="N835" s="54">
        <v>0</v>
      </c>
      <c r="O835" s="54">
        <v>4</v>
      </c>
      <c r="P835" s="55">
        <v>0.11</v>
      </c>
      <c r="Q835" s="61">
        <v>0.45</v>
      </c>
      <c r="R835" s="60"/>
      <c r="S835" s="61">
        <v>0.45</v>
      </c>
    </row>
    <row r="836" ht="20" customHeight="1" spans="1:19">
      <c r="A836" s="43" t="s">
        <v>97</v>
      </c>
      <c r="B836" s="43" t="s">
        <v>102</v>
      </c>
      <c r="C836" s="44"/>
      <c r="D836" s="43" t="s">
        <v>52</v>
      </c>
      <c r="E836" s="43" t="s">
        <v>99</v>
      </c>
      <c r="F836" s="43" t="s">
        <v>52</v>
      </c>
      <c r="G836" s="43" t="s">
        <v>100</v>
      </c>
      <c r="H836" s="43" t="s">
        <v>101</v>
      </c>
      <c r="I836" s="43" t="s">
        <v>52</v>
      </c>
      <c r="J836" s="44"/>
      <c r="K836" s="54">
        <v>1092</v>
      </c>
      <c r="L836" s="54">
        <v>1092</v>
      </c>
      <c r="M836" s="54">
        <v>0</v>
      </c>
      <c r="N836" s="54">
        <v>0</v>
      </c>
      <c r="O836" s="54">
        <v>1092</v>
      </c>
      <c r="P836" s="55">
        <v>0.11</v>
      </c>
      <c r="Q836" s="61">
        <v>123.57</v>
      </c>
      <c r="R836" s="60"/>
      <c r="S836" s="61">
        <v>123.57</v>
      </c>
    </row>
    <row r="837" ht="20" customHeight="1" spans="1:19">
      <c r="A837" s="43" t="s">
        <v>97</v>
      </c>
      <c r="B837" s="43" t="s">
        <v>102</v>
      </c>
      <c r="C837" s="44"/>
      <c r="D837" s="43" t="s">
        <v>52</v>
      </c>
      <c r="E837" s="43" t="s">
        <v>99</v>
      </c>
      <c r="F837" s="43" t="s">
        <v>52</v>
      </c>
      <c r="G837" s="43" t="s">
        <v>100</v>
      </c>
      <c r="H837" s="43" t="s">
        <v>101</v>
      </c>
      <c r="I837" s="43" t="s">
        <v>52</v>
      </c>
      <c r="J837" s="44"/>
      <c r="K837" s="54">
        <v>1</v>
      </c>
      <c r="L837" s="54">
        <v>1</v>
      </c>
      <c r="M837" s="54">
        <v>0</v>
      </c>
      <c r="N837" s="54">
        <v>0</v>
      </c>
      <c r="O837" s="54">
        <v>1</v>
      </c>
      <c r="P837" s="55">
        <v>0.11</v>
      </c>
      <c r="Q837" s="61">
        <v>0.11</v>
      </c>
      <c r="R837" s="60"/>
      <c r="S837" s="61">
        <v>0.11</v>
      </c>
    </row>
    <row r="838" ht="20" customHeight="1" spans="1:19">
      <c r="A838" s="43" t="s">
        <v>97</v>
      </c>
      <c r="B838" s="43" t="s">
        <v>102</v>
      </c>
      <c r="C838" s="44"/>
      <c r="D838" s="43" t="s">
        <v>52</v>
      </c>
      <c r="E838" s="43" t="s">
        <v>99</v>
      </c>
      <c r="F838" s="43" t="s">
        <v>52</v>
      </c>
      <c r="G838" s="43" t="s">
        <v>103</v>
      </c>
      <c r="H838" s="43" t="s">
        <v>104</v>
      </c>
      <c r="I838" s="43" t="s">
        <v>52</v>
      </c>
      <c r="J838" s="44"/>
      <c r="K838" s="54">
        <v>4</v>
      </c>
      <c r="L838" s="54">
        <v>4</v>
      </c>
      <c r="M838" s="54">
        <v>0</v>
      </c>
      <c r="N838" s="54">
        <v>0</v>
      </c>
      <c r="O838" s="54">
        <v>4</v>
      </c>
      <c r="P838" s="55">
        <v>0.02</v>
      </c>
      <c r="Q838" s="61">
        <v>0.08</v>
      </c>
      <c r="R838" s="60"/>
      <c r="S838" s="61">
        <v>0.08</v>
      </c>
    </row>
    <row r="839" ht="20" customHeight="1" spans="1:19">
      <c r="A839" s="43" t="s">
        <v>97</v>
      </c>
      <c r="B839" s="43" t="s">
        <v>102</v>
      </c>
      <c r="C839" s="44"/>
      <c r="D839" s="43" t="s">
        <v>52</v>
      </c>
      <c r="E839" s="43" t="s">
        <v>99</v>
      </c>
      <c r="F839" s="43" t="s">
        <v>52</v>
      </c>
      <c r="G839" s="43" t="s">
        <v>103</v>
      </c>
      <c r="H839" s="43" t="s">
        <v>104</v>
      </c>
      <c r="I839" s="43" t="s">
        <v>52</v>
      </c>
      <c r="J839" s="44"/>
      <c r="K839" s="54">
        <v>14148</v>
      </c>
      <c r="L839" s="54">
        <v>14148</v>
      </c>
      <c r="M839" s="54">
        <v>0</v>
      </c>
      <c r="N839" s="54">
        <v>0</v>
      </c>
      <c r="O839" s="54">
        <v>14148</v>
      </c>
      <c r="P839" s="55">
        <v>0.02</v>
      </c>
      <c r="Q839" s="61">
        <v>272.75</v>
      </c>
      <c r="R839" s="60"/>
      <c r="S839" s="61">
        <v>272.75</v>
      </c>
    </row>
    <row r="840" ht="20" customHeight="1" spans="1:19">
      <c r="A840" s="43" t="s">
        <v>97</v>
      </c>
      <c r="B840" s="43" t="s">
        <v>102</v>
      </c>
      <c r="C840" s="44"/>
      <c r="D840" s="43" t="s">
        <v>52</v>
      </c>
      <c r="E840" s="43" t="s">
        <v>99</v>
      </c>
      <c r="F840" s="43" t="s">
        <v>52</v>
      </c>
      <c r="G840" s="43" t="s">
        <v>103</v>
      </c>
      <c r="H840" s="43" t="s">
        <v>104</v>
      </c>
      <c r="I840" s="43" t="s">
        <v>52</v>
      </c>
      <c r="J840" s="44"/>
      <c r="K840" s="54">
        <v>56</v>
      </c>
      <c r="L840" s="54">
        <v>56</v>
      </c>
      <c r="M840" s="54">
        <v>0</v>
      </c>
      <c r="N840" s="54">
        <v>0</v>
      </c>
      <c r="O840" s="54">
        <v>56</v>
      </c>
      <c r="P840" s="55">
        <v>0.02</v>
      </c>
      <c r="Q840" s="61">
        <v>1.08</v>
      </c>
      <c r="R840" s="60"/>
      <c r="S840" s="61">
        <v>1.08</v>
      </c>
    </row>
    <row r="841" ht="20" customHeight="1" spans="1:19">
      <c r="A841" s="43" t="s">
        <v>105</v>
      </c>
      <c r="B841" s="43" t="s">
        <v>106</v>
      </c>
      <c r="C841" s="44"/>
      <c r="D841" s="43" t="s">
        <v>52</v>
      </c>
      <c r="E841" s="43" t="s">
        <v>107</v>
      </c>
      <c r="F841" s="43" t="s">
        <v>52</v>
      </c>
      <c r="G841" s="43" t="s">
        <v>108</v>
      </c>
      <c r="H841" s="43" t="s">
        <v>109</v>
      </c>
      <c r="I841" s="43" t="s">
        <v>52</v>
      </c>
      <c r="J841" s="44"/>
      <c r="K841" s="54">
        <v>20736</v>
      </c>
      <c r="L841" s="54">
        <v>20736</v>
      </c>
      <c r="M841" s="54">
        <v>0</v>
      </c>
      <c r="N841" s="54">
        <v>0</v>
      </c>
      <c r="O841" s="54">
        <v>20736</v>
      </c>
      <c r="P841" s="55">
        <v>0.01</v>
      </c>
      <c r="Q841" s="61">
        <v>150.96</v>
      </c>
      <c r="R841" s="60"/>
      <c r="S841" s="61">
        <v>150.96</v>
      </c>
    </row>
    <row r="842" ht="20" customHeight="1" spans="1:19">
      <c r="A842" s="43" t="s">
        <v>105</v>
      </c>
      <c r="B842" s="43" t="s">
        <v>106</v>
      </c>
      <c r="C842" s="44"/>
      <c r="D842" s="43" t="s">
        <v>52</v>
      </c>
      <c r="E842" s="43" t="s">
        <v>107</v>
      </c>
      <c r="F842" s="43" t="s">
        <v>52</v>
      </c>
      <c r="G842" s="43" t="s">
        <v>108</v>
      </c>
      <c r="H842" s="43" t="s">
        <v>109</v>
      </c>
      <c r="I842" s="43" t="s">
        <v>52</v>
      </c>
      <c r="J842" s="44"/>
      <c r="K842" s="54">
        <v>252</v>
      </c>
      <c r="L842" s="54">
        <v>252</v>
      </c>
      <c r="M842" s="54">
        <v>0</v>
      </c>
      <c r="N842" s="54">
        <v>0</v>
      </c>
      <c r="O842" s="54">
        <v>252</v>
      </c>
      <c r="P842" s="55">
        <v>0.01</v>
      </c>
      <c r="Q842" s="61">
        <v>1.83</v>
      </c>
      <c r="R842" s="60"/>
      <c r="S842" s="61">
        <v>1.83</v>
      </c>
    </row>
    <row r="843" ht="20" customHeight="1" spans="1:19">
      <c r="A843" s="43" t="s">
        <v>105</v>
      </c>
      <c r="B843" s="43" t="s">
        <v>106</v>
      </c>
      <c r="C843" s="44"/>
      <c r="D843" s="43" t="s">
        <v>52</v>
      </c>
      <c r="E843" s="43" t="s">
        <v>107</v>
      </c>
      <c r="F843" s="43" t="s">
        <v>52</v>
      </c>
      <c r="G843" s="43" t="s">
        <v>108</v>
      </c>
      <c r="H843" s="43" t="s">
        <v>109</v>
      </c>
      <c r="I843" s="43" t="s">
        <v>52</v>
      </c>
      <c r="J843" s="44"/>
      <c r="K843" s="54">
        <v>8640</v>
      </c>
      <c r="L843" s="54">
        <v>8640</v>
      </c>
      <c r="M843" s="54">
        <v>0</v>
      </c>
      <c r="N843" s="54">
        <v>0</v>
      </c>
      <c r="O843" s="54">
        <v>8640</v>
      </c>
      <c r="P843" s="55">
        <v>0.01</v>
      </c>
      <c r="Q843" s="61">
        <v>62.9</v>
      </c>
      <c r="R843" s="60"/>
      <c r="S843" s="61">
        <v>62.9</v>
      </c>
    </row>
    <row r="844" ht="20" customHeight="1" spans="1:19">
      <c r="A844" s="43" t="s">
        <v>105</v>
      </c>
      <c r="B844" s="43" t="s">
        <v>106</v>
      </c>
      <c r="C844" s="44"/>
      <c r="D844" s="43" t="s">
        <v>52</v>
      </c>
      <c r="E844" s="43" t="s">
        <v>107</v>
      </c>
      <c r="F844" s="43" t="s">
        <v>52</v>
      </c>
      <c r="G844" s="43" t="s">
        <v>108</v>
      </c>
      <c r="H844" s="43" t="s">
        <v>109</v>
      </c>
      <c r="I844" s="43" t="s">
        <v>52</v>
      </c>
      <c r="J844" s="44"/>
      <c r="K844" s="54">
        <v>180</v>
      </c>
      <c r="L844" s="54">
        <v>180</v>
      </c>
      <c r="M844" s="54">
        <v>0</v>
      </c>
      <c r="N844" s="54">
        <v>0</v>
      </c>
      <c r="O844" s="54">
        <v>180</v>
      </c>
      <c r="P844" s="55">
        <v>0.01</v>
      </c>
      <c r="Q844" s="61">
        <v>1.31</v>
      </c>
      <c r="R844" s="60"/>
      <c r="S844" s="61">
        <v>1.31</v>
      </c>
    </row>
    <row r="845" ht="20" customHeight="1" spans="1:19">
      <c r="A845" s="43" t="s">
        <v>105</v>
      </c>
      <c r="B845" s="43" t="s">
        <v>106</v>
      </c>
      <c r="C845" s="44"/>
      <c r="D845" s="43" t="s">
        <v>52</v>
      </c>
      <c r="E845" s="43" t="s">
        <v>107</v>
      </c>
      <c r="F845" s="43" t="s">
        <v>52</v>
      </c>
      <c r="G845" s="43" t="s">
        <v>108</v>
      </c>
      <c r="H845" s="43" t="s">
        <v>109</v>
      </c>
      <c r="I845" s="43" t="s">
        <v>52</v>
      </c>
      <c r="J845" s="44"/>
      <c r="K845" s="54">
        <v>9360</v>
      </c>
      <c r="L845" s="54">
        <v>9360</v>
      </c>
      <c r="M845" s="54">
        <v>0</v>
      </c>
      <c r="N845" s="54">
        <v>0</v>
      </c>
      <c r="O845" s="54">
        <v>9360</v>
      </c>
      <c r="P845" s="55">
        <v>0.01</v>
      </c>
      <c r="Q845" s="61">
        <v>68.14</v>
      </c>
      <c r="R845" s="60"/>
      <c r="S845" s="61">
        <v>68.14</v>
      </c>
    </row>
    <row r="846" ht="20" customHeight="1" spans="1:19">
      <c r="A846" s="43" t="s">
        <v>110</v>
      </c>
      <c r="B846" s="43" t="s">
        <v>111</v>
      </c>
      <c r="C846" s="44"/>
      <c r="D846" s="43" t="s">
        <v>52</v>
      </c>
      <c r="E846" s="43" t="s">
        <v>112</v>
      </c>
      <c r="F846" s="43" t="s">
        <v>52</v>
      </c>
      <c r="G846" s="43" t="s">
        <v>103</v>
      </c>
      <c r="H846" s="43" t="s">
        <v>104</v>
      </c>
      <c r="I846" s="43" t="s">
        <v>52</v>
      </c>
      <c r="J846" s="44"/>
      <c r="K846" s="54">
        <v>72</v>
      </c>
      <c r="L846" s="54">
        <v>0</v>
      </c>
      <c r="M846" s="54">
        <v>72</v>
      </c>
      <c r="N846" s="54">
        <v>0</v>
      </c>
      <c r="O846" s="54">
        <v>72</v>
      </c>
      <c r="P846" s="55">
        <v>0.02</v>
      </c>
      <c r="Q846" s="61">
        <v>1.39</v>
      </c>
      <c r="R846" s="60"/>
      <c r="S846" s="61">
        <v>1.39</v>
      </c>
    </row>
    <row r="847" ht="20" customHeight="1" spans="1:19">
      <c r="A847" s="43" t="s">
        <v>110</v>
      </c>
      <c r="B847" s="43" t="s">
        <v>111</v>
      </c>
      <c r="C847" s="44"/>
      <c r="D847" s="43" t="s">
        <v>52</v>
      </c>
      <c r="E847" s="43" t="s">
        <v>112</v>
      </c>
      <c r="F847" s="43" t="s">
        <v>52</v>
      </c>
      <c r="G847" s="43" t="s">
        <v>103</v>
      </c>
      <c r="H847" s="43" t="s">
        <v>104</v>
      </c>
      <c r="I847" s="43" t="s">
        <v>52</v>
      </c>
      <c r="J847" s="44"/>
      <c r="K847" s="54">
        <v>14112</v>
      </c>
      <c r="L847" s="54">
        <v>0</v>
      </c>
      <c r="M847" s="54">
        <v>14112</v>
      </c>
      <c r="N847" s="54">
        <v>0</v>
      </c>
      <c r="O847" s="54">
        <v>14112</v>
      </c>
      <c r="P847" s="55">
        <v>0.02</v>
      </c>
      <c r="Q847" s="61">
        <v>272.05</v>
      </c>
      <c r="R847" s="60"/>
      <c r="S847" s="61">
        <v>272.05</v>
      </c>
    </row>
    <row r="848" ht="20" customHeight="1" spans="1:19">
      <c r="A848" s="43" t="s">
        <v>110</v>
      </c>
      <c r="B848" s="43" t="s">
        <v>111</v>
      </c>
      <c r="C848" s="44"/>
      <c r="D848" s="43" t="s">
        <v>52</v>
      </c>
      <c r="E848" s="43" t="s">
        <v>112</v>
      </c>
      <c r="F848" s="43" t="s">
        <v>52</v>
      </c>
      <c r="G848" s="43" t="s">
        <v>103</v>
      </c>
      <c r="H848" s="43" t="s">
        <v>104</v>
      </c>
      <c r="I848" s="43" t="s">
        <v>52</v>
      </c>
      <c r="J848" s="44"/>
      <c r="K848" s="54">
        <v>20</v>
      </c>
      <c r="L848" s="54">
        <v>0</v>
      </c>
      <c r="M848" s="54">
        <v>20</v>
      </c>
      <c r="N848" s="54">
        <v>0</v>
      </c>
      <c r="O848" s="54">
        <v>20</v>
      </c>
      <c r="P848" s="55">
        <v>0.02</v>
      </c>
      <c r="Q848" s="61">
        <v>0.39</v>
      </c>
      <c r="R848" s="60"/>
      <c r="S848" s="61">
        <v>0.39</v>
      </c>
    </row>
    <row r="849" ht="20" customHeight="1" spans="1:19">
      <c r="A849" s="43" t="s">
        <v>110</v>
      </c>
      <c r="B849" s="43" t="s">
        <v>111</v>
      </c>
      <c r="C849" s="44"/>
      <c r="D849" s="43" t="s">
        <v>52</v>
      </c>
      <c r="E849" s="43" t="s">
        <v>112</v>
      </c>
      <c r="F849" s="43" t="s">
        <v>52</v>
      </c>
      <c r="G849" s="43" t="s">
        <v>103</v>
      </c>
      <c r="H849" s="43" t="s">
        <v>104</v>
      </c>
      <c r="I849" s="43" t="s">
        <v>52</v>
      </c>
      <c r="J849" s="44"/>
      <c r="K849" s="54">
        <v>4</v>
      </c>
      <c r="L849" s="54">
        <v>0</v>
      </c>
      <c r="M849" s="54">
        <v>4</v>
      </c>
      <c r="N849" s="54">
        <v>0</v>
      </c>
      <c r="O849" s="54">
        <v>4</v>
      </c>
      <c r="P849" s="55">
        <v>0.02</v>
      </c>
      <c r="Q849" s="61">
        <v>0.08</v>
      </c>
      <c r="R849" s="60"/>
      <c r="S849" s="61">
        <v>0.08</v>
      </c>
    </row>
    <row r="850" ht="13" customHeight="1" spans="1:19">
      <c r="A850" s="47" t="s">
        <v>143</v>
      </c>
      <c r="B850" s="48"/>
      <c r="C850" s="48"/>
      <c r="D850" s="48"/>
      <c r="E850" s="48"/>
      <c r="F850" s="48"/>
      <c r="G850" s="48"/>
      <c r="H850" s="48"/>
      <c r="I850" s="48"/>
      <c r="J850" s="56"/>
      <c r="K850" s="47" t="s">
        <v>144</v>
      </c>
      <c r="L850" s="57">
        <v>114938</v>
      </c>
      <c r="M850" s="58">
        <v>14208</v>
      </c>
      <c r="N850" s="58">
        <v>0</v>
      </c>
      <c r="O850" s="58">
        <v>129146</v>
      </c>
      <c r="P850" s="59" t="s">
        <v>52</v>
      </c>
      <c r="Q850" s="62"/>
      <c r="R850" s="62"/>
      <c r="S850" s="63">
        <v>1578.65</v>
      </c>
    </row>
    <row r="851" ht="19" customHeight="1" spans="1:19">
      <c r="A851" s="43" t="s">
        <v>145</v>
      </c>
      <c r="B851" s="44"/>
      <c r="C851" s="44"/>
      <c r="D851" s="49" t="s">
        <v>146</v>
      </c>
      <c r="E851" s="50" t="s">
        <v>147</v>
      </c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56"/>
      <c r="S851" s="56"/>
    </row>
    <row r="852" ht="19" customHeight="1" spans="1:19">
      <c r="A852" s="49" t="s">
        <v>146</v>
      </c>
      <c r="B852" s="51"/>
      <c r="C852" s="51"/>
      <c r="D852" s="49" t="s">
        <v>146</v>
      </c>
      <c r="E852" s="49" t="s">
        <v>119</v>
      </c>
      <c r="F852" s="52">
        <v>700</v>
      </c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56"/>
      <c r="S852" s="56"/>
    </row>
    <row r="853" ht="12" customHeight="1" spans="1:19">
      <c r="A853" s="46" t="s">
        <v>52</v>
      </c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56"/>
      <c r="S853" s="56"/>
    </row>
    <row r="854" ht="14" customHeight="1" spans="1:19">
      <c r="A854" s="43" t="s">
        <v>67</v>
      </c>
      <c r="B854" s="44"/>
      <c r="C854" s="44"/>
      <c r="D854" s="45" t="s">
        <v>124</v>
      </c>
      <c r="E854" s="43" t="s">
        <v>69</v>
      </c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</row>
    <row r="855" ht="14" customHeight="1" spans="1:19">
      <c r="A855" s="43" t="s">
        <v>70</v>
      </c>
      <c r="B855" s="44"/>
      <c r="C855" s="44"/>
      <c r="D855" s="45" t="s">
        <v>124</v>
      </c>
      <c r="E855" s="43" t="s">
        <v>71</v>
      </c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</row>
    <row r="856" ht="14" customHeight="1" spans="1:19">
      <c r="A856" s="43" t="s">
        <v>82</v>
      </c>
      <c r="B856" s="44"/>
      <c r="C856" s="44"/>
      <c r="D856" s="45" t="s">
        <v>124</v>
      </c>
      <c r="E856" s="43" t="s">
        <v>83</v>
      </c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</row>
    <row r="857" ht="14" customHeight="1" spans="1:19">
      <c r="A857" s="43" t="s">
        <v>72</v>
      </c>
      <c r="B857" s="44"/>
      <c r="C857" s="44"/>
      <c r="D857" s="45" t="s">
        <v>124</v>
      </c>
      <c r="E857" s="43" t="s">
        <v>125</v>
      </c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</row>
    <row r="858" ht="14" customHeight="1" spans="1:19">
      <c r="A858" s="43" t="s">
        <v>126</v>
      </c>
      <c r="B858" s="44"/>
      <c r="C858" s="44"/>
      <c r="D858" s="45" t="s">
        <v>124</v>
      </c>
      <c r="E858" s="43" t="s">
        <v>171</v>
      </c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</row>
    <row r="859" ht="14" customHeight="1" spans="1:19">
      <c r="A859" s="43" t="s">
        <v>76</v>
      </c>
      <c r="B859" s="44"/>
      <c r="C859" s="44"/>
      <c r="D859" s="45" t="s">
        <v>124</v>
      </c>
      <c r="E859" s="43" t="s">
        <v>77</v>
      </c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</row>
    <row r="860" ht="14" customHeight="1" spans="1:19">
      <c r="A860" s="43" t="s">
        <v>78</v>
      </c>
      <c r="B860" s="44"/>
      <c r="C860" s="44"/>
      <c r="D860" s="45" t="s">
        <v>124</v>
      </c>
      <c r="E860" s="43" t="s">
        <v>79</v>
      </c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</row>
    <row r="861" ht="14" customHeight="1" spans="1:19">
      <c r="A861" s="43" t="s">
        <v>80</v>
      </c>
      <c r="B861" s="44"/>
      <c r="C861" s="44"/>
      <c r="D861" s="45" t="s">
        <v>124</v>
      </c>
      <c r="E861" s="43" t="s">
        <v>81</v>
      </c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</row>
    <row r="862" ht="17" customHeight="1" spans="1:19">
      <c r="A862" s="46" t="s">
        <v>52</v>
      </c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</row>
    <row r="863" ht="14" customHeight="1" spans="1:19">
      <c r="A863" s="43" t="s">
        <v>84</v>
      </c>
      <c r="B863" s="43" t="s">
        <v>85</v>
      </c>
      <c r="C863" s="44"/>
      <c r="D863" s="43" t="s">
        <v>52</v>
      </c>
      <c r="E863" s="43" t="s">
        <v>87</v>
      </c>
      <c r="F863" s="43" t="s">
        <v>88</v>
      </c>
      <c r="G863" s="43" t="s">
        <v>89</v>
      </c>
      <c r="H863" s="43" t="s">
        <v>90</v>
      </c>
      <c r="I863" s="43" t="s">
        <v>91</v>
      </c>
      <c r="J863" s="44"/>
      <c r="K863" s="53" t="s">
        <v>128</v>
      </c>
      <c r="L863" s="53" t="s">
        <v>129</v>
      </c>
      <c r="M863" s="53" t="s">
        <v>130</v>
      </c>
      <c r="N863" s="53" t="s">
        <v>131</v>
      </c>
      <c r="O863" s="53" t="s">
        <v>132</v>
      </c>
      <c r="P863" s="53" t="s">
        <v>93</v>
      </c>
      <c r="Q863" s="53" t="s">
        <v>94</v>
      </c>
      <c r="R863" s="60"/>
      <c r="S863" s="53" t="s">
        <v>133</v>
      </c>
    </row>
    <row r="864" ht="20" customHeight="1" spans="1:19">
      <c r="A864" s="43" t="s">
        <v>134</v>
      </c>
      <c r="B864" s="43" t="s">
        <v>135</v>
      </c>
      <c r="C864" s="44"/>
      <c r="D864" s="43" t="s">
        <v>52</v>
      </c>
      <c r="E864" s="43" t="s">
        <v>136</v>
      </c>
      <c r="F864" s="43" t="s">
        <v>52</v>
      </c>
      <c r="G864" s="43" t="s">
        <v>108</v>
      </c>
      <c r="H864" s="43" t="s">
        <v>109</v>
      </c>
      <c r="I864" s="43" t="s">
        <v>52</v>
      </c>
      <c r="J864" s="44"/>
      <c r="K864" s="54">
        <v>34272</v>
      </c>
      <c r="L864" s="54">
        <v>34272</v>
      </c>
      <c r="M864" s="54">
        <v>0</v>
      </c>
      <c r="N864" s="54">
        <v>0</v>
      </c>
      <c r="O864" s="54">
        <v>34272</v>
      </c>
      <c r="P864" s="55">
        <v>0.01</v>
      </c>
      <c r="Q864" s="61">
        <v>249.5</v>
      </c>
      <c r="R864" s="60"/>
      <c r="S864" s="61">
        <v>249.5</v>
      </c>
    </row>
    <row r="865" ht="20" customHeight="1" spans="1:19">
      <c r="A865" s="43" t="s">
        <v>134</v>
      </c>
      <c r="B865" s="43" t="s">
        <v>135</v>
      </c>
      <c r="C865" s="44"/>
      <c r="D865" s="43" t="s">
        <v>52</v>
      </c>
      <c r="E865" s="43" t="s">
        <v>136</v>
      </c>
      <c r="F865" s="43" t="s">
        <v>52</v>
      </c>
      <c r="G865" s="43" t="s">
        <v>108</v>
      </c>
      <c r="H865" s="43" t="s">
        <v>109</v>
      </c>
      <c r="I865" s="43" t="s">
        <v>52</v>
      </c>
      <c r="J865" s="44"/>
      <c r="K865" s="54">
        <v>4752</v>
      </c>
      <c r="L865" s="54">
        <v>4752</v>
      </c>
      <c r="M865" s="54">
        <v>0</v>
      </c>
      <c r="N865" s="54">
        <v>0</v>
      </c>
      <c r="O865" s="54">
        <v>4752</v>
      </c>
      <c r="P865" s="55">
        <v>0.01</v>
      </c>
      <c r="Q865" s="61">
        <v>34.59</v>
      </c>
      <c r="R865" s="60"/>
      <c r="S865" s="61">
        <v>34.59</v>
      </c>
    </row>
    <row r="866" ht="20" customHeight="1" spans="1:19">
      <c r="A866" s="43" t="s">
        <v>134</v>
      </c>
      <c r="B866" s="43" t="s">
        <v>135</v>
      </c>
      <c r="C866" s="44"/>
      <c r="D866" s="43" t="s">
        <v>52</v>
      </c>
      <c r="E866" s="43" t="s">
        <v>136</v>
      </c>
      <c r="F866" s="43" t="s">
        <v>52</v>
      </c>
      <c r="G866" s="43" t="s">
        <v>108</v>
      </c>
      <c r="H866" s="43" t="s">
        <v>109</v>
      </c>
      <c r="I866" s="43" t="s">
        <v>52</v>
      </c>
      <c r="J866" s="44"/>
      <c r="K866" s="54">
        <v>144</v>
      </c>
      <c r="L866" s="54">
        <v>144</v>
      </c>
      <c r="M866" s="54">
        <v>0</v>
      </c>
      <c r="N866" s="54">
        <v>0</v>
      </c>
      <c r="O866" s="54">
        <v>144</v>
      </c>
      <c r="P866" s="55">
        <v>0.01</v>
      </c>
      <c r="Q866" s="61">
        <v>1.05</v>
      </c>
      <c r="R866" s="60"/>
      <c r="S866" s="61">
        <v>1.05</v>
      </c>
    </row>
    <row r="867" ht="20" customHeight="1" spans="1:19">
      <c r="A867" s="43" t="s">
        <v>137</v>
      </c>
      <c r="B867" s="43" t="s">
        <v>138</v>
      </c>
      <c r="C867" s="44"/>
      <c r="D867" s="43" t="s">
        <v>52</v>
      </c>
      <c r="E867" s="43" t="s">
        <v>139</v>
      </c>
      <c r="F867" s="43" t="s">
        <v>52</v>
      </c>
      <c r="G867" s="43" t="s">
        <v>100</v>
      </c>
      <c r="H867" s="43" t="s">
        <v>101</v>
      </c>
      <c r="I867" s="43" t="s">
        <v>52</v>
      </c>
      <c r="J867" s="44"/>
      <c r="K867" s="54">
        <v>1692</v>
      </c>
      <c r="L867" s="54">
        <v>1692</v>
      </c>
      <c r="M867" s="54">
        <v>0</v>
      </c>
      <c r="N867" s="54">
        <v>0</v>
      </c>
      <c r="O867" s="54">
        <v>1692</v>
      </c>
      <c r="P867" s="55">
        <v>0.11</v>
      </c>
      <c r="Q867" s="61">
        <v>191.47</v>
      </c>
      <c r="R867" s="60"/>
      <c r="S867" s="61">
        <v>191.47</v>
      </c>
    </row>
    <row r="868" ht="20" customHeight="1" spans="1:19">
      <c r="A868" s="43" t="s">
        <v>137</v>
      </c>
      <c r="B868" s="43" t="s">
        <v>138</v>
      </c>
      <c r="C868" s="44"/>
      <c r="D868" s="43" t="s">
        <v>52</v>
      </c>
      <c r="E868" s="43" t="s">
        <v>139</v>
      </c>
      <c r="F868" s="43" t="s">
        <v>52</v>
      </c>
      <c r="G868" s="43" t="s">
        <v>100</v>
      </c>
      <c r="H868" s="43" t="s">
        <v>101</v>
      </c>
      <c r="I868" s="43" t="s">
        <v>52</v>
      </c>
      <c r="J868" s="44"/>
      <c r="K868" s="54">
        <v>8</v>
      </c>
      <c r="L868" s="54">
        <v>8</v>
      </c>
      <c r="M868" s="54">
        <v>0</v>
      </c>
      <c r="N868" s="54">
        <v>0</v>
      </c>
      <c r="O868" s="54">
        <v>8</v>
      </c>
      <c r="P868" s="55">
        <v>0.11</v>
      </c>
      <c r="Q868" s="61">
        <v>0.91</v>
      </c>
      <c r="R868" s="60"/>
      <c r="S868" s="61">
        <v>0.91</v>
      </c>
    </row>
    <row r="869" ht="20" customHeight="1" spans="1:19">
      <c r="A869" s="43" t="s">
        <v>137</v>
      </c>
      <c r="B869" s="43" t="s">
        <v>138</v>
      </c>
      <c r="C869" s="44"/>
      <c r="D869" s="43" t="s">
        <v>52</v>
      </c>
      <c r="E869" s="43" t="s">
        <v>139</v>
      </c>
      <c r="F869" s="43" t="s">
        <v>52</v>
      </c>
      <c r="G869" s="43" t="s">
        <v>100</v>
      </c>
      <c r="H869" s="43" t="s">
        <v>101</v>
      </c>
      <c r="I869" s="43" t="s">
        <v>52</v>
      </c>
      <c r="J869" s="44"/>
      <c r="K869" s="54">
        <v>10</v>
      </c>
      <c r="L869" s="54">
        <v>10</v>
      </c>
      <c r="M869" s="54">
        <v>0</v>
      </c>
      <c r="N869" s="54">
        <v>0</v>
      </c>
      <c r="O869" s="54">
        <v>10</v>
      </c>
      <c r="P869" s="55">
        <v>0.11</v>
      </c>
      <c r="Q869" s="61">
        <v>1.13</v>
      </c>
      <c r="R869" s="60"/>
      <c r="S869" s="61">
        <v>1.13</v>
      </c>
    </row>
    <row r="870" ht="20" customHeight="1" spans="1:19">
      <c r="A870" s="43" t="s">
        <v>140</v>
      </c>
      <c r="B870" s="43" t="s">
        <v>141</v>
      </c>
      <c r="C870" s="44"/>
      <c r="D870" s="43" t="s">
        <v>52</v>
      </c>
      <c r="E870" s="43" t="s">
        <v>142</v>
      </c>
      <c r="F870" s="43" t="s">
        <v>52</v>
      </c>
      <c r="G870" s="43" t="s">
        <v>108</v>
      </c>
      <c r="H870" s="43" t="s">
        <v>109</v>
      </c>
      <c r="I870" s="43" t="s">
        <v>52</v>
      </c>
      <c r="J870" s="44"/>
      <c r="K870" s="54">
        <v>180</v>
      </c>
      <c r="L870" s="54">
        <v>180</v>
      </c>
      <c r="M870" s="54">
        <v>0</v>
      </c>
      <c r="N870" s="54">
        <v>0</v>
      </c>
      <c r="O870" s="54">
        <v>180</v>
      </c>
      <c r="P870" s="55">
        <v>0.01</v>
      </c>
      <c r="Q870" s="61">
        <v>1.31</v>
      </c>
      <c r="R870" s="60"/>
      <c r="S870" s="61">
        <v>1.31</v>
      </c>
    </row>
    <row r="871" ht="20" customHeight="1" spans="1:19">
      <c r="A871" s="43" t="s">
        <v>140</v>
      </c>
      <c r="B871" s="43" t="s">
        <v>141</v>
      </c>
      <c r="C871" s="44"/>
      <c r="D871" s="43" t="s">
        <v>52</v>
      </c>
      <c r="E871" s="43" t="s">
        <v>142</v>
      </c>
      <c r="F871" s="43" t="s">
        <v>52</v>
      </c>
      <c r="G871" s="43" t="s">
        <v>108</v>
      </c>
      <c r="H871" s="43" t="s">
        <v>109</v>
      </c>
      <c r="I871" s="43" t="s">
        <v>52</v>
      </c>
      <c r="J871" s="44"/>
      <c r="K871" s="54">
        <v>24</v>
      </c>
      <c r="L871" s="54">
        <v>24</v>
      </c>
      <c r="M871" s="54">
        <v>0</v>
      </c>
      <c r="N871" s="54">
        <v>0</v>
      </c>
      <c r="O871" s="54">
        <v>24</v>
      </c>
      <c r="P871" s="55">
        <v>0.01</v>
      </c>
      <c r="Q871" s="61">
        <v>0.17</v>
      </c>
      <c r="R871" s="60"/>
      <c r="S871" s="61">
        <v>0.17</v>
      </c>
    </row>
    <row r="872" ht="20" customHeight="1" spans="1:19">
      <c r="A872" s="43" t="s">
        <v>140</v>
      </c>
      <c r="B872" s="43" t="s">
        <v>141</v>
      </c>
      <c r="C872" s="44"/>
      <c r="D872" s="43" t="s">
        <v>52</v>
      </c>
      <c r="E872" s="43" t="s">
        <v>142</v>
      </c>
      <c r="F872" s="43" t="s">
        <v>52</v>
      </c>
      <c r="G872" s="43" t="s">
        <v>108</v>
      </c>
      <c r="H872" s="43" t="s">
        <v>109</v>
      </c>
      <c r="I872" s="43" t="s">
        <v>52</v>
      </c>
      <c r="J872" s="44"/>
      <c r="K872" s="54">
        <v>19224</v>
      </c>
      <c r="L872" s="54">
        <v>19224</v>
      </c>
      <c r="M872" s="54">
        <v>0</v>
      </c>
      <c r="N872" s="54">
        <v>0</v>
      </c>
      <c r="O872" s="54">
        <v>19224</v>
      </c>
      <c r="P872" s="55">
        <v>0.01</v>
      </c>
      <c r="Q872" s="61">
        <v>139.95</v>
      </c>
      <c r="R872" s="60"/>
      <c r="S872" s="61">
        <v>139.95</v>
      </c>
    </row>
    <row r="873" ht="20" customHeight="1" spans="1:19">
      <c r="A873" s="43" t="s">
        <v>140</v>
      </c>
      <c r="B873" s="43" t="s">
        <v>141</v>
      </c>
      <c r="C873" s="44"/>
      <c r="D873" s="43" t="s">
        <v>52</v>
      </c>
      <c r="E873" s="43" t="s">
        <v>142</v>
      </c>
      <c r="F873" s="43" t="s">
        <v>52</v>
      </c>
      <c r="G873" s="43" t="s">
        <v>108</v>
      </c>
      <c r="H873" s="43" t="s">
        <v>109</v>
      </c>
      <c r="I873" s="43" t="s">
        <v>52</v>
      </c>
      <c r="J873" s="44"/>
      <c r="K873" s="54">
        <v>156</v>
      </c>
      <c r="L873" s="54">
        <v>156</v>
      </c>
      <c r="M873" s="54">
        <v>0</v>
      </c>
      <c r="N873" s="54">
        <v>0</v>
      </c>
      <c r="O873" s="54">
        <v>156</v>
      </c>
      <c r="P873" s="55">
        <v>0.01</v>
      </c>
      <c r="Q873" s="61">
        <v>1.14</v>
      </c>
      <c r="R873" s="60"/>
      <c r="S873" s="61">
        <v>1.14</v>
      </c>
    </row>
    <row r="874" ht="20" customHeight="1" spans="1:19">
      <c r="A874" s="43" t="s">
        <v>97</v>
      </c>
      <c r="B874" s="43" t="s">
        <v>102</v>
      </c>
      <c r="C874" s="44"/>
      <c r="D874" s="43" t="s">
        <v>52</v>
      </c>
      <c r="E874" s="43" t="s">
        <v>99</v>
      </c>
      <c r="F874" s="43" t="s">
        <v>52</v>
      </c>
      <c r="G874" s="43" t="s">
        <v>100</v>
      </c>
      <c r="H874" s="43" t="s">
        <v>101</v>
      </c>
      <c r="I874" s="43" t="s">
        <v>52</v>
      </c>
      <c r="J874" s="44"/>
      <c r="K874" s="54">
        <v>3</v>
      </c>
      <c r="L874" s="54">
        <v>3</v>
      </c>
      <c r="M874" s="54">
        <v>0</v>
      </c>
      <c r="N874" s="54">
        <v>0</v>
      </c>
      <c r="O874" s="54">
        <v>3</v>
      </c>
      <c r="P874" s="55">
        <v>0.11</v>
      </c>
      <c r="Q874" s="61">
        <v>0.34</v>
      </c>
      <c r="R874" s="60"/>
      <c r="S874" s="61">
        <v>0.34</v>
      </c>
    </row>
    <row r="875" ht="20" customHeight="1" spans="1:19">
      <c r="A875" s="43" t="s">
        <v>97</v>
      </c>
      <c r="B875" s="43" t="s">
        <v>102</v>
      </c>
      <c r="C875" s="44"/>
      <c r="D875" s="43" t="s">
        <v>52</v>
      </c>
      <c r="E875" s="43" t="s">
        <v>99</v>
      </c>
      <c r="F875" s="43" t="s">
        <v>52</v>
      </c>
      <c r="G875" s="43" t="s">
        <v>100</v>
      </c>
      <c r="H875" s="43" t="s">
        <v>101</v>
      </c>
      <c r="I875" s="43" t="s">
        <v>52</v>
      </c>
      <c r="J875" s="44"/>
      <c r="K875" s="54">
        <v>4</v>
      </c>
      <c r="L875" s="54">
        <v>4</v>
      </c>
      <c r="M875" s="54">
        <v>0</v>
      </c>
      <c r="N875" s="54">
        <v>0</v>
      </c>
      <c r="O875" s="54">
        <v>4</v>
      </c>
      <c r="P875" s="55">
        <v>0.11</v>
      </c>
      <c r="Q875" s="61">
        <v>0.45</v>
      </c>
      <c r="R875" s="60"/>
      <c r="S875" s="61">
        <v>0.45</v>
      </c>
    </row>
    <row r="876" ht="20" customHeight="1" spans="1:19">
      <c r="A876" s="43" t="s">
        <v>97</v>
      </c>
      <c r="B876" s="43" t="s">
        <v>102</v>
      </c>
      <c r="C876" s="44"/>
      <c r="D876" s="43" t="s">
        <v>52</v>
      </c>
      <c r="E876" s="43" t="s">
        <v>99</v>
      </c>
      <c r="F876" s="43" t="s">
        <v>52</v>
      </c>
      <c r="G876" s="43" t="s">
        <v>100</v>
      </c>
      <c r="H876" s="43" t="s">
        <v>101</v>
      </c>
      <c r="I876" s="43" t="s">
        <v>52</v>
      </c>
      <c r="J876" s="44"/>
      <c r="K876" s="54">
        <v>1092</v>
      </c>
      <c r="L876" s="54">
        <v>1092</v>
      </c>
      <c r="M876" s="54">
        <v>0</v>
      </c>
      <c r="N876" s="54">
        <v>0</v>
      </c>
      <c r="O876" s="54">
        <v>1092</v>
      </c>
      <c r="P876" s="55">
        <v>0.11</v>
      </c>
      <c r="Q876" s="61">
        <v>123.57</v>
      </c>
      <c r="R876" s="60"/>
      <c r="S876" s="61">
        <v>123.57</v>
      </c>
    </row>
    <row r="877" ht="20" customHeight="1" spans="1:19">
      <c r="A877" s="43" t="s">
        <v>97</v>
      </c>
      <c r="B877" s="43" t="s">
        <v>102</v>
      </c>
      <c r="C877" s="44"/>
      <c r="D877" s="43" t="s">
        <v>52</v>
      </c>
      <c r="E877" s="43" t="s">
        <v>99</v>
      </c>
      <c r="F877" s="43" t="s">
        <v>52</v>
      </c>
      <c r="G877" s="43" t="s">
        <v>100</v>
      </c>
      <c r="H877" s="43" t="s">
        <v>101</v>
      </c>
      <c r="I877" s="43" t="s">
        <v>52</v>
      </c>
      <c r="J877" s="44"/>
      <c r="K877" s="54">
        <v>1</v>
      </c>
      <c r="L877" s="54">
        <v>1</v>
      </c>
      <c r="M877" s="54">
        <v>0</v>
      </c>
      <c r="N877" s="54">
        <v>0</v>
      </c>
      <c r="O877" s="54">
        <v>1</v>
      </c>
      <c r="P877" s="55">
        <v>0.11</v>
      </c>
      <c r="Q877" s="61">
        <v>0.11</v>
      </c>
      <c r="R877" s="60"/>
      <c r="S877" s="61">
        <v>0.11</v>
      </c>
    </row>
    <row r="878" ht="20" customHeight="1" spans="1:19">
      <c r="A878" s="43" t="s">
        <v>97</v>
      </c>
      <c r="B878" s="43" t="s">
        <v>102</v>
      </c>
      <c r="C878" s="44"/>
      <c r="D878" s="43" t="s">
        <v>52</v>
      </c>
      <c r="E878" s="43" t="s">
        <v>99</v>
      </c>
      <c r="F878" s="43" t="s">
        <v>52</v>
      </c>
      <c r="G878" s="43" t="s">
        <v>103</v>
      </c>
      <c r="H878" s="43" t="s">
        <v>104</v>
      </c>
      <c r="I878" s="43" t="s">
        <v>52</v>
      </c>
      <c r="J878" s="44"/>
      <c r="K878" s="54">
        <v>4</v>
      </c>
      <c r="L878" s="54">
        <v>4</v>
      </c>
      <c r="M878" s="54">
        <v>0</v>
      </c>
      <c r="N878" s="54">
        <v>0</v>
      </c>
      <c r="O878" s="54">
        <v>4</v>
      </c>
      <c r="P878" s="55">
        <v>0.02</v>
      </c>
      <c r="Q878" s="61">
        <v>0.08</v>
      </c>
      <c r="R878" s="60"/>
      <c r="S878" s="61">
        <v>0.08</v>
      </c>
    </row>
    <row r="879" ht="20" customHeight="1" spans="1:19">
      <c r="A879" s="43" t="s">
        <v>97</v>
      </c>
      <c r="B879" s="43" t="s">
        <v>102</v>
      </c>
      <c r="C879" s="44"/>
      <c r="D879" s="43" t="s">
        <v>52</v>
      </c>
      <c r="E879" s="43" t="s">
        <v>99</v>
      </c>
      <c r="F879" s="43" t="s">
        <v>52</v>
      </c>
      <c r="G879" s="43" t="s">
        <v>103</v>
      </c>
      <c r="H879" s="43" t="s">
        <v>104</v>
      </c>
      <c r="I879" s="43" t="s">
        <v>52</v>
      </c>
      <c r="J879" s="44"/>
      <c r="K879" s="54">
        <v>14148</v>
      </c>
      <c r="L879" s="54">
        <v>14148</v>
      </c>
      <c r="M879" s="54">
        <v>0</v>
      </c>
      <c r="N879" s="54">
        <v>0</v>
      </c>
      <c r="O879" s="54">
        <v>14148</v>
      </c>
      <c r="P879" s="55">
        <v>0.02</v>
      </c>
      <c r="Q879" s="61">
        <v>272.75</v>
      </c>
      <c r="R879" s="60"/>
      <c r="S879" s="61">
        <v>272.75</v>
      </c>
    </row>
    <row r="880" ht="20" customHeight="1" spans="1:19">
      <c r="A880" s="43" t="s">
        <v>97</v>
      </c>
      <c r="B880" s="43" t="s">
        <v>102</v>
      </c>
      <c r="C880" s="44"/>
      <c r="D880" s="43" t="s">
        <v>52</v>
      </c>
      <c r="E880" s="43" t="s">
        <v>99</v>
      </c>
      <c r="F880" s="43" t="s">
        <v>52</v>
      </c>
      <c r="G880" s="43" t="s">
        <v>103</v>
      </c>
      <c r="H880" s="43" t="s">
        <v>104</v>
      </c>
      <c r="I880" s="43" t="s">
        <v>52</v>
      </c>
      <c r="J880" s="44"/>
      <c r="K880" s="54">
        <v>56</v>
      </c>
      <c r="L880" s="54">
        <v>56</v>
      </c>
      <c r="M880" s="54">
        <v>0</v>
      </c>
      <c r="N880" s="54">
        <v>0</v>
      </c>
      <c r="O880" s="54">
        <v>56</v>
      </c>
      <c r="P880" s="55">
        <v>0.02</v>
      </c>
      <c r="Q880" s="61">
        <v>1.08</v>
      </c>
      <c r="R880" s="60"/>
      <c r="S880" s="61">
        <v>1.08</v>
      </c>
    </row>
    <row r="881" ht="20" customHeight="1" spans="1:19">
      <c r="A881" s="43" t="s">
        <v>105</v>
      </c>
      <c r="B881" s="43" t="s">
        <v>106</v>
      </c>
      <c r="C881" s="44"/>
      <c r="D881" s="43" t="s">
        <v>52</v>
      </c>
      <c r="E881" s="43" t="s">
        <v>107</v>
      </c>
      <c r="F881" s="43" t="s">
        <v>52</v>
      </c>
      <c r="G881" s="43" t="s">
        <v>108</v>
      </c>
      <c r="H881" s="43" t="s">
        <v>109</v>
      </c>
      <c r="I881" s="43" t="s">
        <v>52</v>
      </c>
      <c r="J881" s="44"/>
      <c r="K881" s="54">
        <v>20736</v>
      </c>
      <c r="L881" s="54">
        <v>20736</v>
      </c>
      <c r="M881" s="54">
        <v>0</v>
      </c>
      <c r="N881" s="54">
        <v>0</v>
      </c>
      <c r="O881" s="54">
        <v>20736</v>
      </c>
      <c r="P881" s="55">
        <v>0.01</v>
      </c>
      <c r="Q881" s="61">
        <v>150.96</v>
      </c>
      <c r="R881" s="60"/>
      <c r="S881" s="61">
        <v>150.96</v>
      </c>
    </row>
    <row r="882" ht="20" customHeight="1" spans="1:19">
      <c r="A882" s="43" t="s">
        <v>105</v>
      </c>
      <c r="B882" s="43" t="s">
        <v>106</v>
      </c>
      <c r="C882" s="44"/>
      <c r="D882" s="43" t="s">
        <v>52</v>
      </c>
      <c r="E882" s="43" t="s">
        <v>107</v>
      </c>
      <c r="F882" s="43" t="s">
        <v>52</v>
      </c>
      <c r="G882" s="43" t="s">
        <v>108</v>
      </c>
      <c r="H882" s="43" t="s">
        <v>109</v>
      </c>
      <c r="I882" s="43" t="s">
        <v>52</v>
      </c>
      <c r="J882" s="44"/>
      <c r="K882" s="54">
        <v>252</v>
      </c>
      <c r="L882" s="54">
        <v>252</v>
      </c>
      <c r="M882" s="54">
        <v>0</v>
      </c>
      <c r="N882" s="54">
        <v>0</v>
      </c>
      <c r="O882" s="54">
        <v>252</v>
      </c>
      <c r="P882" s="55">
        <v>0.01</v>
      </c>
      <c r="Q882" s="61">
        <v>1.83</v>
      </c>
      <c r="R882" s="60"/>
      <c r="S882" s="61">
        <v>1.83</v>
      </c>
    </row>
    <row r="883" ht="20" customHeight="1" spans="1:19">
      <c r="A883" s="43" t="s">
        <v>105</v>
      </c>
      <c r="B883" s="43" t="s">
        <v>106</v>
      </c>
      <c r="C883" s="44"/>
      <c r="D883" s="43" t="s">
        <v>52</v>
      </c>
      <c r="E883" s="43" t="s">
        <v>107</v>
      </c>
      <c r="F883" s="43" t="s">
        <v>52</v>
      </c>
      <c r="G883" s="43" t="s">
        <v>108</v>
      </c>
      <c r="H883" s="43" t="s">
        <v>109</v>
      </c>
      <c r="I883" s="43" t="s">
        <v>52</v>
      </c>
      <c r="J883" s="44"/>
      <c r="K883" s="54">
        <v>8640</v>
      </c>
      <c r="L883" s="54">
        <v>8640</v>
      </c>
      <c r="M883" s="54">
        <v>0</v>
      </c>
      <c r="N883" s="54">
        <v>0</v>
      </c>
      <c r="O883" s="54">
        <v>8640</v>
      </c>
      <c r="P883" s="55">
        <v>0.01</v>
      </c>
      <c r="Q883" s="61">
        <v>62.9</v>
      </c>
      <c r="R883" s="60"/>
      <c r="S883" s="61">
        <v>62.9</v>
      </c>
    </row>
    <row r="884" ht="20" customHeight="1" spans="1:19">
      <c r="A884" s="43" t="s">
        <v>105</v>
      </c>
      <c r="B884" s="43" t="s">
        <v>106</v>
      </c>
      <c r="C884" s="44"/>
      <c r="D884" s="43" t="s">
        <v>52</v>
      </c>
      <c r="E884" s="43" t="s">
        <v>107</v>
      </c>
      <c r="F884" s="43" t="s">
        <v>52</v>
      </c>
      <c r="G884" s="43" t="s">
        <v>108</v>
      </c>
      <c r="H884" s="43" t="s">
        <v>109</v>
      </c>
      <c r="I884" s="43" t="s">
        <v>52</v>
      </c>
      <c r="J884" s="44"/>
      <c r="K884" s="54">
        <v>180</v>
      </c>
      <c r="L884" s="54">
        <v>180</v>
      </c>
      <c r="M884" s="54">
        <v>0</v>
      </c>
      <c r="N884" s="54">
        <v>0</v>
      </c>
      <c r="O884" s="54">
        <v>180</v>
      </c>
      <c r="P884" s="55">
        <v>0.01</v>
      </c>
      <c r="Q884" s="61">
        <v>1.31</v>
      </c>
      <c r="R884" s="60"/>
      <c r="S884" s="61">
        <v>1.31</v>
      </c>
    </row>
    <row r="885" ht="20" customHeight="1" spans="1:19">
      <c r="A885" s="43" t="s">
        <v>105</v>
      </c>
      <c r="B885" s="43" t="s">
        <v>106</v>
      </c>
      <c r="C885" s="44"/>
      <c r="D885" s="43" t="s">
        <v>52</v>
      </c>
      <c r="E885" s="43" t="s">
        <v>107</v>
      </c>
      <c r="F885" s="43" t="s">
        <v>52</v>
      </c>
      <c r="G885" s="43" t="s">
        <v>108</v>
      </c>
      <c r="H885" s="43" t="s">
        <v>109</v>
      </c>
      <c r="I885" s="43" t="s">
        <v>52</v>
      </c>
      <c r="J885" s="44"/>
      <c r="K885" s="54">
        <v>9360</v>
      </c>
      <c r="L885" s="54">
        <v>9360</v>
      </c>
      <c r="M885" s="54">
        <v>0</v>
      </c>
      <c r="N885" s="54">
        <v>0</v>
      </c>
      <c r="O885" s="54">
        <v>9360</v>
      </c>
      <c r="P885" s="55">
        <v>0.01</v>
      </c>
      <c r="Q885" s="61">
        <v>68.14</v>
      </c>
      <c r="R885" s="60"/>
      <c r="S885" s="61">
        <v>68.14</v>
      </c>
    </row>
    <row r="886" ht="20" customHeight="1" spans="1:19">
      <c r="A886" s="43" t="s">
        <v>110</v>
      </c>
      <c r="B886" s="43" t="s">
        <v>111</v>
      </c>
      <c r="C886" s="44"/>
      <c r="D886" s="43" t="s">
        <v>52</v>
      </c>
      <c r="E886" s="43" t="s">
        <v>112</v>
      </c>
      <c r="F886" s="43" t="s">
        <v>52</v>
      </c>
      <c r="G886" s="43" t="s">
        <v>103</v>
      </c>
      <c r="H886" s="43" t="s">
        <v>104</v>
      </c>
      <c r="I886" s="43" t="s">
        <v>52</v>
      </c>
      <c r="J886" s="44"/>
      <c r="K886" s="54">
        <v>72</v>
      </c>
      <c r="L886" s="54">
        <v>72</v>
      </c>
      <c r="M886" s="54">
        <v>0</v>
      </c>
      <c r="N886" s="54">
        <v>0</v>
      </c>
      <c r="O886" s="54">
        <v>72</v>
      </c>
      <c r="P886" s="55">
        <v>0.02</v>
      </c>
      <c r="Q886" s="61">
        <v>1.39</v>
      </c>
      <c r="R886" s="60"/>
      <c r="S886" s="61">
        <v>1.39</v>
      </c>
    </row>
    <row r="887" ht="20" customHeight="1" spans="1:19">
      <c r="A887" s="43" t="s">
        <v>110</v>
      </c>
      <c r="B887" s="43" t="s">
        <v>111</v>
      </c>
      <c r="C887" s="44"/>
      <c r="D887" s="43" t="s">
        <v>52</v>
      </c>
      <c r="E887" s="43" t="s">
        <v>112</v>
      </c>
      <c r="F887" s="43" t="s">
        <v>52</v>
      </c>
      <c r="G887" s="43" t="s">
        <v>103</v>
      </c>
      <c r="H887" s="43" t="s">
        <v>104</v>
      </c>
      <c r="I887" s="43" t="s">
        <v>52</v>
      </c>
      <c r="J887" s="44"/>
      <c r="K887" s="54">
        <v>14112</v>
      </c>
      <c r="L887" s="54">
        <v>14112</v>
      </c>
      <c r="M887" s="54">
        <v>0</v>
      </c>
      <c r="N887" s="54">
        <v>0</v>
      </c>
      <c r="O887" s="54">
        <v>14112</v>
      </c>
      <c r="P887" s="55">
        <v>0.02</v>
      </c>
      <c r="Q887" s="61">
        <v>272.05</v>
      </c>
      <c r="R887" s="60"/>
      <c r="S887" s="61">
        <v>272.05</v>
      </c>
    </row>
    <row r="888" ht="20" customHeight="1" spans="1:19">
      <c r="A888" s="43" t="s">
        <v>110</v>
      </c>
      <c r="B888" s="43" t="s">
        <v>111</v>
      </c>
      <c r="C888" s="44"/>
      <c r="D888" s="43" t="s">
        <v>52</v>
      </c>
      <c r="E888" s="43" t="s">
        <v>112</v>
      </c>
      <c r="F888" s="43" t="s">
        <v>52</v>
      </c>
      <c r="G888" s="43" t="s">
        <v>103</v>
      </c>
      <c r="H888" s="43" t="s">
        <v>104</v>
      </c>
      <c r="I888" s="43" t="s">
        <v>52</v>
      </c>
      <c r="J888" s="44"/>
      <c r="K888" s="54">
        <v>20</v>
      </c>
      <c r="L888" s="54">
        <v>20</v>
      </c>
      <c r="M888" s="54">
        <v>0</v>
      </c>
      <c r="N888" s="54">
        <v>0</v>
      </c>
      <c r="O888" s="54">
        <v>20</v>
      </c>
      <c r="P888" s="55">
        <v>0.02</v>
      </c>
      <c r="Q888" s="61">
        <v>0.39</v>
      </c>
      <c r="R888" s="60"/>
      <c r="S888" s="61">
        <v>0.39</v>
      </c>
    </row>
    <row r="889" ht="20" customHeight="1" spans="1:19">
      <c r="A889" s="43" t="s">
        <v>110</v>
      </c>
      <c r="B889" s="43" t="s">
        <v>111</v>
      </c>
      <c r="C889" s="44"/>
      <c r="D889" s="43" t="s">
        <v>52</v>
      </c>
      <c r="E889" s="43" t="s">
        <v>112</v>
      </c>
      <c r="F889" s="43" t="s">
        <v>52</v>
      </c>
      <c r="G889" s="43" t="s">
        <v>103</v>
      </c>
      <c r="H889" s="43" t="s">
        <v>104</v>
      </c>
      <c r="I889" s="43" t="s">
        <v>52</v>
      </c>
      <c r="J889" s="44"/>
      <c r="K889" s="54">
        <v>4</v>
      </c>
      <c r="L889" s="54">
        <v>4</v>
      </c>
      <c r="M889" s="54">
        <v>0</v>
      </c>
      <c r="N889" s="54">
        <v>0</v>
      </c>
      <c r="O889" s="54">
        <v>4</v>
      </c>
      <c r="P889" s="55">
        <v>0.02</v>
      </c>
      <c r="Q889" s="61">
        <v>0.08</v>
      </c>
      <c r="R889" s="60"/>
      <c r="S889" s="61">
        <v>0.08</v>
      </c>
    </row>
    <row r="890" ht="13" customHeight="1" spans="1:19">
      <c r="A890" s="47" t="s">
        <v>143</v>
      </c>
      <c r="B890" s="48"/>
      <c r="C890" s="48"/>
      <c r="D890" s="48"/>
      <c r="E890" s="48"/>
      <c r="F890" s="48"/>
      <c r="G890" s="48"/>
      <c r="H890" s="48"/>
      <c r="I890" s="48"/>
      <c r="J890" s="56"/>
      <c r="K890" s="47" t="s">
        <v>144</v>
      </c>
      <c r="L890" s="57">
        <v>129146</v>
      </c>
      <c r="M890" s="58">
        <v>0</v>
      </c>
      <c r="N890" s="58">
        <v>0</v>
      </c>
      <c r="O890" s="58">
        <v>129146</v>
      </c>
      <c r="P890" s="59" t="s">
        <v>52</v>
      </c>
      <c r="Q890" s="62"/>
      <c r="R890" s="62"/>
      <c r="S890" s="63">
        <v>1578.65</v>
      </c>
    </row>
    <row r="891" ht="19" customHeight="1" spans="1:19">
      <c r="A891" s="43" t="s">
        <v>145</v>
      </c>
      <c r="B891" s="44"/>
      <c r="C891" s="44"/>
      <c r="D891" s="49" t="s">
        <v>146</v>
      </c>
      <c r="E891" s="50" t="s">
        <v>147</v>
      </c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56"/>
      <c r="S891" s="56"/>
    </row>
    <row r="892" ht="19" customHeight="1" spans="1:19">
      <c r="A892" s="49" t="s">
        <v>146</v>
      </c>
      <c r="B892" s="51"/>
      <c r="C892" s="51"/>
      <c r="D892" s="49" t="s">
        <v>146</v>
      </c>
      <c r="E892" s="49" t="s">
        <v>119</v>
      </c>
      <c r="F892" s="52">
        <v>700</v>
      </c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56"/>
      <c r="S892" s="56"/>
    </row>
    <row r="893" ht="12" customHeight="1" spans="1:19">
      <c r="A893" s="46" t="s">
        <v>52</v>
      </c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56"/>
      <c r="S893" s="56"/>
    </row>
    <row r="894" ht="14" customHeight="1" spans="1:19">
      <c r="A894" s="43" t="s">
        <v>67</v>
      </c>
      <c r="B894" s="44"/>
      <c r="C894" s="44"/>
      <c r="D894" s="45" t="s">
        <v>124</v>
      </c>
      <c r="E894" s="43" t="s">
        <v>69</v>
      </c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</row>
    <row r="895" ht="14" customHeight="1" spans="1:19">
      <c r="A895" s="43" t="s">
        <v>70</v>
      </c>
      <c r="B895" s="44"/>
      <c r="C895" s="44"/>
      <c r="D895" s="45" t="s">
        <v>124</v>
      </c>
      <c r="E895" s="43" t="s">
        <v>71</v>
      </c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</row>
    <row r="896" ht="14" customHeight="1" spans="1:19">
      <c r="A896" s="43" t="s">
        <v>82</v>
      </c>
      <c r="B896" s="44"/>
      <c r="C896" s="44"/>
      <c r="D896" s="45" t="s">
        <v>124</v>
      </c>
      <c r="E896" s="43" t="s">
        <v>83</v>
      </c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</row>
    <row r="897" ht="14" customHeight="1" spans="1:19">
      <c r="A897" s="43" t="s">
        <v>72</v>
      </c>
      <c r="B897" s="44"/>
      <c r="C897" s="44"/>
      <c r="D897" s="45" t="s">
        <v>124</v>
      </c>
      <c r="E897" s="43" t="s">
        <v>125</v>
      </c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</row>
    <row r="898" ht="14" customHeight="1" spans="1:19">
      <c r="A898" s="43" t="s">
        <v>126</v>
      </c>
      <c r="B898" s="44"/>
      <c r="C898" s="44"/>
      <c r="D898" s="45" t="s">
        <v>124</v>
      </c>
      <c r="E898" s="43" t="s">
        <v>172</v>
      </c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</row>
    <row r="899" ht="14" customHeight="1" spans="1:19">
      <c r="A899" s="43" t="s">
        <v>76</v>
      </c>
      <c r="B899" s="44"/>
      <c r="C899" s="44"/>
      <c r="D899" s="45" t="s">
        <v>124</v>
      </c>
      <c r="E899" s="43" t="s">
        <v>77</v>
      </c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</row>
    <row r="900" ht="14" customHeight="1" spans="1:19">
      <c r="A900" s="43" t="s">
        <v>78</v>
      </c>
      <c r="B900" s="44"/>
      <c r="C900" s="44"/>
      <c r="D900" s="45" t="s">
        <v>124</v>
      </c>
      <c r="E900" s="43" t="s">
        <v>79</v>
      </c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</row>
    <row r="901" ht="14" customHeight="1" spans="1:19">
      <c r="A901" s="43" t="s">
        <v>80</v>
      </c>
      <c r="B901" s="44"/>
      <c r="C901" s="44"/>
      <c r="D901" s="45" t="s">
        <v>124</v>
      </c>
      <c r="E901" s="43" t="s">
        <v>81</v>
      </c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</row>
    <row r="902" ht="17" customHeight="1" spans="1:19">
      <c r="A902" s="46" t="s">
        <v>52</v>
      </c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</row>
    <row r="903" ht="14" customHeight="1" spans="1:19">
      <c r="A903" s="43" t="s">
        <v>84</v>
      </c>
      <c r="B903" s="43" t="s">
        <v>85</v>
      </c>
      <c r="C903" s="44"/>
      <c r="D903" s="43" t="s">
        <v>52</v>
      </c>
      <c r="E903" s="43" t="s">
        <v>87</v>
      </c>
      <c r="F903" s="43" t="s">
        <v>88</v>
      </c>
      <c r="G903" s="43" t="s">
        <v>89</v>
      </c>
      <c r="H903" s="43" t="s">
        <v>90</v>
      </c>
      <c r="I903" s="43" t="s">
        <v>91</v>
      </c>
      <c r="J903" s="44"/>
      <c r="K903" s="53" t="s">
        <v>128</v>
      </c>
      <c r="L903" s="53" t="s">
        <v>129</v>
      </c>
      <c r="M903" s="53" t="s">
        <v>130</v>
      </c>
      <c r="N903" s="53" t="s">
        <v>131</v>
      </c>
      <c r="O903" s="53" t="s">
        <v>132</v>
      </c>
      <c r="P903" s="53" t="s">
        <v>93</v>
      </c>
      <c r="Q903" s="53" t="s">
        <v>94</v>
      </c>
      <c r="R903" s="60"/>
      <c r="S903" s="53" t="s">
        <v>133</v>
      </c>
    </row>
    <row r="904" ht="20" customHeight="1" spans="1:19">
      <c r="A904" s="43" t="s">
        <v>134</v>
      </c>
      <c r="B904" s="43" t="s">
        <v>135</v>
      </c>
      <c r="C904" s="44"/>
      <c r="D904" s="43" t="s">
        <v>52</v>
      </c>
      <c r="E904" s="43" t="s">
        <v>136</v>
      </c>
      <c r="F904" s="43" t="s">
        <v>52</v>
      </c>
      <c r="G904" s="43" t="s">
        <v>108</v>
      </c>
      <c r="H904" s="43" t="s">
        <v>109</v>
      </c>
      <c r="I904" s="43" t="s">
        <v>52</v>
      </c>
      <c r="J904" s="44"/>
      <c r="K904" s="54">
        <v>34272</v>
      </c>
      <c r="L904" s="54">
        <v>34272</v>
      </c>
      <c r="M904" s="54">
        <v>0</v>
      </c>
      <c r="N904" s="54">
        <v>0</v>
      </c>
      <c r="O904" s="54">
        <v>34272</v>
      </c>
      <c r="P904" s="55">
        <v>0.01</v>
      </c>
      <c r="Q904" s="61">
        <v>249.5</v>
      </c>
      <c r="R904" s="60"/>
      <c r="S904" s="61">
        <v>249.5</v>
      </c>
    </row>
    <row r="905" ht="20" customHeight="1" spans="1:19">
      <c r="A905" s="43" t="s">
        <v>134</v>
      </c>
      <c r="B905" s="43" t="s">
        <v>135</v>
      </c>
      <c r="C905" s="44"/>
      <c r="D905" s="43" t="s">
        <v>52</v>
      </c>
      <c r="E905" s="43" t="s">
        <v>136</v>
      </c>
      <c r="F905" s="43" t="s">
        <v>52</v>
      </c>
      <c r="G905" s="43" t="s">
        <v>108</v>
      </c>
      <c r="H905" s="43" t="s">
        <v>109</v>
      </c>
      <c r="I905" s="43" t="s">
        <v>52</v>
      </c>
      <c r="J905" s="44"/>
      <c r="K905" s="54">
        <v>4752</v>
      </c>
      <c r="L905" s="54">
        <v>4752</v>
      </c>
      <c r="M905" s="54">
        <v>0</v>
      </c>
      <c r="N905" s="54">
        <v>0</v>
      </c>
      <c r="O905" s="54">
        <v>4752</v>
      </c>
      <c r="P905" s="55">
        <v>0.01</v>
      </c>
      <c r="Q905" s="61">
        <v>34.59</v>
      </c>
      <c r="R905" s="60"/>
      <c r="S905" s="61">
        <v>34.59</v>
      </c>
    </row>
    <row r="906" ht="20" customHeight="1" spans="1:19">
      <c r="A906" s="43" t="s">
        <v>134</v>
      </c>
      <c r="B906" s="43" t="s">
        <v>135</v>
      </c>
      <c r="C906" s="44"/>
      <c r="D906" s="43" t="s">
        <v>52</v>
      </c>
      <c r="E906" s="43" t="s">
        <v>136</v>
      </c>
      <c r="F906" s="43" t="s">
        <v>52</v>
      </c>
      <c r="G906" s="43" t="s">
        <v>108</v>
      </c>
      <c r="H906" s="43" t="s">
        <v>109</v>
      </c>
      <c r="I906" s="43" t="s">
        <v>52</v>
      </c>
      <c r="J906" s="44"/>
      <c r="K906" s="54">
        <v>144</v>
      </c>
      <c r="L906" s="54">
        <v>144</v>
      </c>
      <c r="M906" s="54">
        <v>0</v>
      </c>
      <c r="N906" s="54">
        <v>0</v>
      </c>
      <c r="O906" s="54">
        <v>144</v>
      </c>
      <c r="P906" s="55">
        <v>0.01</v>
      </c>
      <c r="Q906" s="61">
        <v>1.05</v>
      </c>
      <c r="R906" s="60"/>
      <c r="S906" s="61">
        <v>1.05</v>
      </c>
    </row>
    <row r="907" ht="20" customHeight="1" spans="1:19">
      <c r="A907" s="43" t="s">
        <v>137</v>
      </c>
      <c r="B907" s="43" t="s">
        <v>138</v>
      </c>
      <c r="C907" s="44"/>
      <c r="D907" s="43" t="s">
        <v>52</v>
      </c>
      <c r="E907" s="43" t="s">
        <v>139</v>
      </c>
      <c r="F907" s="43" t="s">
        <v>52</v>
      </c>
      <c r="G907" s="43" t="s">
        <v>100</v>
      </c>
      <c r="H907" s="43" t="s">
        <v>101</v>
      </c>
      <c r="I907" s="43" t="s">
        <v>52</v>
      </c>
      <c r="J907" s="44"/>
      <c r="K907" s="54">
        <v>1692</v>
      </c>
      <c r="L907" s="54">
        <v>1692</v>
      </c>
      <c r="M907" s="54">
        <v>0</v>
      </c>
      <c r="N907" s="54">
        <v>0</v>
      </c>
      <c r="O907" s="54">
        <v>1692</v>
      </c>
      <c r="P907" s="55">
        <v>0.11</v>
      </c>
      <c r="Q907" s="61">
        <v>191.47</v>
      </c>
      <c r="R907" s="60"/>
      <c r="S907" s="61">
        <v>191.47</v>
      </c>
    </row>
    <row r="908" ht="20" customHeight="1" spans="1:19">
      <c r="A908" s="43" t="s">
        <v>137</v>
      </c>
      <c r="B908" s="43" t="s">
        <v>138</v>
      </c>
      <c r="C908" s="44"/>
      <c r="D908" s="43" t="s">
        <v>52</v>
      </c>
      <c r="E908" s="43" t="s">
        <v>139</v>
      </c>
      <c r="F908" s="43" t="s">
        <v>52</v>
      </c>
      <c r="G908" s="43" t="s">
        <v>100</v>
      </c>
      <c r="H908" s="43" t="s">
        <v>101</v>
      </c>
      <c r="I908" s="43" t="s">
        <v>52</v>
      </c>
      <c r="J908" s="44"/>
      <c r="K908" s="54">
        <v>8</v>
      </c>
      <c r="L908" s="54">
        <v>8</v>
      </c>
      <c r="M908" s="54">
        <v>0</v>
      </c>
      <c r="N908" s="54">
        <v>0</v>
      </c>
      <c r="O908" s="54">
        <v>8</v>
      </c>
      <c r="P908" s="55">
        <v>0.11</v>
      </c>
      <c r="Q908" s="61">
        <v>0.91</v>
      </c>
      <c r="R908" s="60"/>
      <c r="S908" s="61">
        <v>0.91</v>
      </c>
    </row>
    <row r="909" ht="20" customHeight="1" spans="1:19">
      <c r="A909" s="43" t="s">
        <v>137</v>
      </c>
      <c r="B909" s="43" t="s">
        <v>138</v>
      </c>
      <c r="C909" s="44"/>
      <c r="D909" s="43" t="s">
        <v>52</v>
      </c>
      <c r="E909" s="43" t="s">
        <v>139</v>
      </c>
      <c r="F909" s="43" t="s">
        <v>52</v>
      </c>
      <c r="G909" s="43" t="s">
        <v>100</v>
      </c>
      <c r="H909" s="43" t="s">
        <v>101</v>
      </c>
      <c r="I909" s="43" t="s">
        <v>52</v>
      </c>
      <c r="J909" s="44"/>
      <c r="K909" s="54">
        <v>10</v>
      </c>
      <c r="L909" s="54">
        <v>10</v>
      </c>
      <c r="M909" s="54">
        <v>0</v>
      </c>
      <c r="N909" s="54">
        <v>0</v>
      </c>
      <c r="O909" s="54">
        <v>10</v>
      </c>
      <c r="P909" s="55">
        <v>0.11</v>
      </c>
      <c r="Q909" s="61">
        <v>1.13</v>
      </c>
      <c r="R909" s="60"/>
      <c r="S909" s="61">
        <v>1.13</v>
      </c>
    </row>
    <row r="910" ht="20" customHeight="1" spans="1:19">
      <c r="A910" s="43" t="s">
        <v>140</v>
      </c>
      <c r="B910" s="43" t="s">
        <v>141</v>
      </c>
      <c r="C910" s="44"/>
      <c r="D910" s="43" t="s">
        <v>52</v>
      </c>
      <c r="E910" s="43" t="s">
        <v>142</v>
      </c>
      <c r="F910" s="43" t="s">
        <v>52</v>
      </c>
      <c r="G910" s="43" t="s">
        <v>108</v>
      </c>
      <c r="H910" s="43" t="s">
        <v>109</v>
      </c>
      <c r="I910" s="43" t="s">
        <v>52</v>
      </c>
      <c r="J910" s="44"/>
      <c r="K910" s="54">
        <v>180</v>
      </c>
      <c r="L910" s="54">
        <v>180</v>
      </c>
      <c r="M910" s="54">
        <v>0</v>
      </c>
      <c r="N910" s="54">
        <v>0</v>
      </c>
      <c r="O910" s="54">
        <v>180</v>
      </c>
      <c r="P910" s="55">
        <v>0.01</v>
      </c>
      <c r="Q910" s="61">
        <v>1.31</v>
      </c>
      <c r="R910" s="60"/>
      <c r="S910" s="61">
        <v>1.31</v>
      </c>
    </row>
    <row r="911" ht="20" customHeight="1" spans="1:19">
      <c r="A911" s="43" t="s">
        <v>140</v>
      </c>
      <c r="B911" s="43" t="s">
        <v>141</v>
      </c>
      <c r="C911" s="44"/>
      <c r="D911" s="43" t="s">
        <v>52</v>
      </c>
      <c r="E911" s="43" t="s">
        <v>142</v>
      </c>
      <c r="F911" s="43" t="s">
        <v>52</v>
      </c>
      <c r="G911" s="43" t="s">
        <v>108</v>
      </c>
      <c r="H911" s="43" t="s">
        <v>109</v>
      </c>
      <c r="I911" s="43" t="s">
        <v>52</v>
      </c>
      <c r="J911" s="44"/>
      <c r="K911" s="54">
        <v>24</v>
      </c>
      <c r="L911" s="54">
        <v>24</v>
      </c>
      <c r="M911" s="54">
        <v>0</v>
      </c>
      <c r="N911" s="54">
        <v>0</v>
      </c>
      <c r="O911" s="54">
        <v>24</v>
      </c>
      <c r="P911" s="55">
        <v>0.01</v>
      </c>
      <c r="Q911" s="61">
        <v>0.17</v>
      </c>
      <c r="R911" s="60"/>
      <c r="S911" s="61">
        <v>0.17</v>
      </c>
    </row>
    <row r="912" ht="20" customHeight="1" spans="1:19">
      <c r="A912" s="43" t="s">
        <v>140</v>
      </c>
      <c r="B912" s="43" t="s">
        <v>141</v>
      </c>
      <c r="C912" s="44"/>
      <c r="D912" s="43" t="s">
        <v>52</v>
      </c>
      <c r="E912" s="43" t="s">
        <v>142</v>
      </c>
      <c r="F912" s="43" t="s">
        <v>52</v>
      </c>
      <c r="G912" s="43" t="s">
        <v>108</v>
      </c>
      <c r="H912" s="43" t="s">
        <v>109</v>
      </c>
      <c r="I912" s="43" t="s">
        <v>52</v>
      </c>
      <c r="J912" s="44"/>
      <c r="K912" s="54">
        <v>19224</v>
      </c>
      <c r="L912" s="54">
        <v>19224</v>
      </c>
      <c r="M912" s="54">
        <v>0</v>
      </c>
      <c r="N912" s="54">
        <v>0</v>
      </c>
      <c r="O912" s="54">
        <v>19224</v>
      </c>
      <c r="P912" s="55">
        <v>0.01</v>
      </c>
      <c r="Q912" s="61">
        <v>139.95</v>
      </c>
      <c r="R912" s="60"/>
      <c r="S912" s="61">
        <v>139.95</v>
      </c>
    </row>
    <row r="913" ht="20" customHeight="1" spans="1:19">
      <c r="A913" s="43" t="s">
        <v>140</v>
      </c>
      <c r="B913" s="43" t="s">
        <v>141</v>
      </c>
      <c r="C913" s="44"/>
      <c r="D913" s="43" t="s">
        <v>52</v>
      </c>
      <c r="E913" s="43" t="s">
        <v>142</v>
      </c>
      <c r="F913" s="43" t="s">
        <v>52</v>
      </c>
      <c r="G913" s="43" t="s">
        <v>108</v>
      </c>
      <c r="H913" s="43" t="s">
        <v>109</v>
      </c>
      <c r="I913" s="43" t="s">
        <v>52</v>
      </c>
      <c r="J913" s="44"/>
      <c r="K913" s="54">
        <v>156</v>
      </c>
      <c r="L913" s="54">
        <v>156</v>
      </c>
      <c r="M913" s="54">
        <v>0</v>
      </c>
      <c r="N913" s="54">
        <v>0</v>
      </c>
      <c r="O913" s="54">
        <v>156</v>
      </c>
      <c r="P913" s="55">
        <v>0.01</v>
      </c>
      <c r="Q913" s="61">
        <v>1.14</v>
      </c>
      <c r="R913" s="60"/>
      <c r="S913" s="61">
        <v>1.14</v>
      </c>
    </row>
    <row r="914" ht="20" customHeight="1" spans="1:19">
      <c r="A914" s="43" t="s">
        <v>97</v>
      </c>
      <c r="B914" s="43" t="s">
        <v>102</v>
      </c>
      <c r="C914" s="44"/>
      <c r="D914" s="43" t="s">
        <v>52</v>
      </c>
      <c r="E914" s="43" t="s">
        <v>99</v>
      </c>
      <c r="F914" s="43" t="s">
        <v>52</v>
      </c>
      <c r="G914" s="43" t="s">
        <v>100</v>
      </c>
      <c r="H914" s="43" t="s">
        <v>101</v>
      </c>
      <c r="I914" s="43" t="s">
        <v>52</v>
      </c>
      <c r="J914" s="44"/>
      <c r="K914" s="54">
        <v>3</v>
      </c>
      <c r="L914" s="54">
        <v>3</v>
      </c>
      <c r="M914" s="54">
        <v>0</v>
      </c>
      <c r="N914" s="54">
        <v>0</v>
      </c>
      <c r="O914" s="54">
        <v>3</v>
      </c>
      <c r="P914" s="55">
        <v>0.11</v>
      </c>
      <c r="Q914" s="61">
        <v>0.34</v>
      </c>
      <c r="R914" s="60"/>
      <c r="S914" s="61">
        <v>0.34</v>
      </c>
    </row>
    <row r="915" ht="20" customHeight="1" spans="1:19">
      <c r="A915" s="43" t="s">
        <v>97</v>
      </c>
      <c r="B915" s="43" t="s">
        <v>102</v>
      </c>
      <c r="C915" s="44"/>
      <c r="D915" s="43" t="s">
        <v>52</v>
      </c>
      <c r="E915" s="43" t="s">
        <v>99</v>
      </c>
      <c r="F915" s="43" t="s">
        <v>52</v>
      </c>
      <c r="G915" s="43" t="s">
        <v>100</v>
      </c>
      <c r="H915" s="43" t="s">
        <v>101</v>
      </c>
      <c r="I915" s="43" t="s">
        <v>52</v>
      </c>
      <c r="J915" s="44"/>
      <c r="K915" s="54">
        <v>4</v>
      </c>
      <c r="L915" s="54">
        <v>4</v>
      </c>
      <c r="M915" s="54">
        <v>0</v>
      </c>
      <c r="N915" s="54">
        <v>0</v>
      </c>
      <c r="O915" s="54">
        <v>4</v>
      </c>
      <c r="P915" s="55">
        <v>0.11</v>
      </c>
      <c r="Q915" s="61">
        <v>0.45</v>
      </c>
      <c r="R915" s="60"/>
      <c r="S915" s="61">
        <v>0.45</v>
      </c>
    </row>
    <row r="916" ht="20" customHeight="1" spans="1:19">
      <c r="A916" s="43" t="s">
        <v>97</v>
      </c>
      <c r="B916" s="43" t="s">
        <v>102</v>
      </c>
      <c r="C916" s="44"/>
      <c r="D916" s="43" t="s">
        <v>52</v>
      </c>
      <c r="E916" s="43" t="s">
        <v>99</v>
      </c>
      <c r="F916" s="43" t="s">
        <v>52</v>
      </c>
      <c r="G916" s="43" t="s">
        <v>100</v>
      </c>
      <c r="H916" s="43" t="s">
        <v>101</v>
      </c>
      <c r="I916" s="43" t="s">
        <v>52</v>
      </c>
      <c r="J916" s="44"/>
      <c r="K916" s="54">
        <v>1092</v>
      </c>
      <c r="L916" s="54">
        <v>1092</v>
      </c>
      <c r="M916" s="54">
        <v>0</v>
      </c>
      <c r="N916" s="54">
        <v>0</v>
      </c>
      <c r="O916" s="54">
        <v>1092</v>
      </c>
      <c r="P916" s="55">
        <v>0.11</v>
      </c>
      <c r="Q916" s="61">
        <v>123.57</v>
      </c>
      <c r="R916" s="60"/>
      <c r="S916" s="61">
        <v>123.57</v>
      </c>
    </row>
    <row r="917" ht="20" customHeight="1" spans="1:19">
      <c r="A917" s="43" t="s">
        <v>97</v>
      </c>
      <c r="B917" s="43" t="s">
        <v>102</v>
      </c>
      <c r="C917" s="44"/>
      <c r="D917" s="43" t="s">
        <v>52</v>
      </c>
      <c r="E917" s="43" t="s">
        <v>99</v>
      </c>
      <c r="F917" s="43" t="s">
        <v>52</v>
      </c>
      <c r="G917" s="43" t="s">
        <v>100</v>
      </c>
      <c r="H917" s="43" t="s">
        <v>101</v>
      </c>
      <c r="I917" s="43" t="s">
        <v>52</v>
      </c>
      <c r="J917" s="44"/>
      <c r="K917" s="54">
        <v>1</v>
      </c>
      <c r="L917" s="54">
        <v>1</v>
      </c>
      <c r="M917" s="54">
        <v>0</v>
      </c>
      <c r="N917" s="54">
        <v>0</v>
      </c>
      <c r="O917" s="54">
        <v>1</v>
      </c>
      <c r="P917" s="55">
        <v>0.11</v>
      </c>
      <c r="Q917" s="61">
        <v>0.11</v>
      </c>
      <c r="R917" s="60"/>
      <c r="S917" s="61">
        <v>0.11</v>
      </c>
    </row>
    <row r="918" ht="20" customHeight="1" spans="1:19">
      <c r="A918" s="43" t="s">
        <v>97</v>
      </c>
      <c r="B918" s="43" t="s">
        <v>102</v>
      </c>
      <c r="C918" s="44"/>
      <c r="D918" s="43" t="s">
        <v>52</v>
      </c>
      <c r="E918" s="43" t="s">
        <v>99</v>
      </c>
      <c r="F918" s="43" t="s">
        <v>52</v>
      </c>
      <c r="G918" s="43" t="s">
        <v>103</v>
      </c>
      <c r="H918" s="43" t="s">
        <v>104</v>
      </c>
      <c r="I918" s="43" t="s">
        <v>52</v>
      </c>
      <c r="J918" s="44"/>
      <c r="K918" s="54">
        <v>4</v>
      </c>
      <c r="L918" s="54">
        <v>4</v>
      </c>
      <c r="M918" s="54">
        <v>0</v>
      </c>
      <c r="N918" s="54">
        <v>0</v>
      </c>
      <c r="O918" s="54">
        <v>4</v>
      </c>
      <c r="P918" s="55">
        <v>0.02</v>
      </c>
      <c r="Q918" s="61">
        <v>0.08</v>
      </c>
      <c r="R918" s="60"/>
      <c r="S918" s="61">
        <v>0.08</v>
      </c>
    </row>
    <row r="919" ht="20" customHeight="1" spans="1:19">
      <c r="A919" s="43" t="s">
        <v>97</v>
      </c>
      <c r="B919" s="43" t="s">
        <v>102</v>
      </c>
      <c r="C919" s="44"/>
      <c r="D919" s="43" t="s">
        <v>52</v>
      </c>
      <c r="E919" s="43" t="s">
        <v>99</v>
      </c>
      <c r="F919" s="43" t="s">
        <v>52</v>
      </c>
      <c r="G919" s="43" t="s">
        <v>103</v>
      </c>
      <c r="H919" s="43" t="s">
        <v>104</v>
      </c>
      <c r="I919" s="43" t="s">
        <v>52</v>
      </c>
      <c r="J919" s="44"/>
      <c r="K919" s="54">
        <v>14148</v>
      </c>
      <c r="L919" s="54">
        <v>14148</v>
      </c>
      <c r="M919" s="54">
        <v>0</v>
      </c>
      <c r="N919" s="54">
        <v>0</v>
      </c>
      <c r="O919" s="54">
        <v>14148</v>
      </c>
      <c r="P919" s="55">
        <v>0.02</v>
      </c>
      <c r="Q919" s="61">
        <v>272.75</v>
      </c>
      <c r="R919" s="60"/>
      <c r="S919" s="61">
        <v>272.75</v>
      </c>
    </row>
    <row r="920" ht="20" customHeight="1" spans="1:19">
      <c r="A920" s="43" t="s">
        <v>97</v>
      </c>
      <c r="B920" s="43" t="s">
        <v>102</v>
      </c>
      <c r="C920" s="44"/>
      <c r="D920" s="43" t="s">
        <v>52</v>
      </c>
      <c r="E920" s="43" t="s">
        <v>99</v>
      </c>
      <c r="F920" s="43" t="s">
        <v>52</v>
      </c>
      <c r="G920" s="43" t="s">
        <v>103</v>
      </c>
      <c r="H920" s="43" t="s">
        <v>104</v>
      </c>
      <c r="I920" s="43" t="s">
        <v>52</v>
      </c>
      <c r="J920" s="44"/>
      <c r="K920" s="54">
        <v>56</v>
      </c>
      <c r="L920" s="54">
        <v>56</v>
      </c>
      <c r="M920" s="54">
        <v>0</v>
      </c>
      <c r="N920" s="54">
        <v>0</v>
      </c>
      <c r="O920" s="54">
        <v>56</v>
      </c>
      <c r="P920" s="55">
        <v>0.02</v>
      </c>
      <c r="Q920" s="61">
        <v>1.08</v>
      </c>
      <c r="R920" s="60"/>
      <c r="S920" s="61">
        <v>1.08</v>
      </c>
    </row>
    <row r="921" ht="20" customHeight="1" spans="1:19">
      <c r="A921" s="43" t="s">
        <v>105</v>
      </c>
      <c r="B921" s="43" t="s">
        <v>106</v>
      </c>
      <c r="C921" s="44"/>
      <c r="D921" s="43" t="s">
        <v>52</v>
      </c>
      <c r="E921" s="43" t="s">
        <v>107</v>
      </c>
      <c r="F921" s="43" t="s">
        <v>52</v>
      </c>
      <c r="G921" s="43" t="s">
        <v>108</v>
      </c>
      <c r="H921" s="43" t="s">
        <v>109</v>
      </c>
      <c r="I921" s="43" t="s">
        <v>52</v>
      </c>
      <c r="J921" s="44"/>
      <c r="K921" s="54">
        <v>20736</v>
      </c>
      <c r="L921" s="54">
        <v>20736</v>
      </c>
      <c r="M921" s="54">
        <v>0</v>
      </c>
      <c r="N921" s="54">
        <v>0</v>
      </c>
      <c r="O921" s="54">
        <v>20736</v>
      </c>
      <c r="P921" s="55">
        <v>0.01</v>
      </c>
      <c r="Q921" s="61">
        <v>150.96</v>
      </c>
      <c r="R921" s="60"/>
      <c r="S921" s="61">
        <v>150.96</v>
      </c>
    </row>
    <row r="922" ht="20" customHeight="1" spans="1:19">
      <c r="A922" s="43" t="s">
        <v>105</v>
      </c>
      <c r="B922" s="43" t="s">
        <v>106</v>
      </c>
      <c r="C922" s="44"/>
      <c r="D922" s="43" t="s">
        <v>52</v>
      </c>
      <c r="E922" s="43" t="s">
        <v>107</v>
      </c>
      <c r="F922" s="43" t="s">
        <v>52</v>
      </c>
      <c r="G922" s="43" t="s">
        <v>108</v>
      </c>
      <c r="H922" s="43" t="s">
        <v>109</v>
      </c>
      <c r="I922" s="43" t="s">
        <v>52</v>
      </c>
      <c r="J922" s="44"/>
      <c r="K922" s="54">
        <v>252</v>
      </c>
      <c r="L922" s="54">
        <v>252</v>
      </c>
      <c r="M922" s="54">
        <v>0</v>
      </c>
      <c r="N922" s="54">
        <v>0</v>
      </c>
      <c r="O922" s="54">
        <v>252</v>
      </c>
      <c r="P922" s="55">
        <v>0.01</v>
      </c>
      <c r="Q922" s="61">
        <v>1.83</v>
      </c>
      <c r="R922" s="60"/>
      <c r="S922" s="61">
        <v>1.83</v>
      </c>
    </row>
    <row r="923" ht="20" customHeight="1" spans="1:19">
      <c r="A923" s="43" t="s">
        <v>105</v>
      </c>
      <c r="B923" s="43" t="s">
        <v>106</v>
      </c>
      <c r="C923" s="44"/>
      <c r="D923" s="43" t="s">
        <v>52</v>
      </c>
      <c r="E923" s="43" t="s">
        <v>107</v>
      </c>
      <c r="F923" s="43" t="s">
        <v>52</v>
      </c>
      <c r="G923" s="43" t="s">
        <v>108</v>
      </c>
      <c r="H923" s="43" t="s">
        <v>109</v>
      </c>
      <c r="I923" s="43" t="s">
        <v>52</v>
      </c>
      <c r="J923" s="44"/>
      <c r="K923" s="54">
        <v>8640</v>
      </c>
      <c r="L923" s="54">
        <v>8640</v>
      </c>
      <c r="M923" s="54">
        <v>0</v>
      </c>
      <c r="N923" s="54">
        <v>0</v>
      </c>
      <c r="O923" s="54">
        <v>8640</v>
      </c>
      <c r="P923" s="55">
        <v>0.01</v>
      </c>
      <c r="Q923" s="61">
        <v>62.9</v>
      </c>
      <c r="R923" s="60"/>
      <c r="S923" s="61">
        <v>62.9</v>
      </c>
    </row>
    <row r="924" ht="20" customHeight="1" spans="1:19">
      <c r="A924" s="43" t="s">
        <v>105</v>
      </c>
      <c r="B924" s="43" t="s">
        <v>106</v>
      </c>
      <c r="C924" s="44"/>
      <c r="D924" s="43" t="s">
        <v>52</v>
      </c>
      <c r="E924" s="43" t="s">
        <v>107</v>
      </c>
      <c r="F924" s="43" t="s">
        <v>52</v>
      </c>
      <c r="G924" s="43" t="s">
        <v>108</v>
      </c>
      <c r="H924" s="43" t="s">
        <v>109</v>
      </c>
      <c r="I924" s="43" t="s">
        <v>52</v>
      </c>
      <c r="J924" s="44"/>
      <c r="K924" s="54">
        <v>180</v>
      </c>
      <c r="L924" s="54">
        <v>180</v>
      </c>
      <c r="M924" s="54">
        <v>0</v>
      </c>
      <c r="N924" s="54">
        <v>0</v>
      </c>
      <c r="O924" s="54">
        <v>180</v>
      </c>
      <c r="P924" s="55">
        <v>0.01</v>
      </c>
      <c r="Q924" s="61">
        <v>1.31</v>
      </c>
      <c r="R924" s="60"/>
      <c r="S924" s="61">
        <v>1.31</v>
      </c>
    </row>
    <row r="925" ht="20" customHeight="1" spans="1:19">
      <c r="A925" s="43" t="s">
        <v>105</v>
      </c>
      <c r="B925" s="43" t="s">
        <v>106</v>
      </c>
      <c r="C925" s="44"/>
      <c r="D925" s="43" t="s">
        <v>52</v>
      </c>
      <c r="E925" s="43" t="s">
        <v>107</v>
      </c>
      <c r="F925" s="43" t="s">
        <v>52</v>
      </c>
      <c r="G925" s="43" t="s">
        <v>108</v>
      </c>
      <c r="H925" s="43" t="s">
        <v>109</v>
      </c>
      <c r="I925" s="43" t="s">
        <v>52</v>
      </c>
      <c r="J925" s="44"/>
      <c r="K925" s="54">
        <v>9360</v>
      </c>
      <c r="L925" s="54">
        <v>9360</v>
      </c>
      <c r="M925" s="54">
        <v>0</v>
      </c>
      <c r="N925" s="54">
        <v>0</v>
      </c>
      <c r="O925" s="54">
        <v>9360</v>
      </c>
      <c r="P925" s="55">
        <v>0.01</v>
      </c>
      <c r="Q925" s="61">
        <v>68.14</v>
      </c>
      <c r="R925" s="60"/>
      <c r="S925" s="61">
        <v>68.14</v>
      </c>
    </row>
    <row r="926" ht="20" customHeight="1" spans="1:19">
      <c r="A926" s="43" t="s">
        <v>110</v>
      </c>
      <c r="B926" s="43" t="s">
        <v>111</v>
      </c>
      <c r="C926" s="44"/>
      <c r="D926" s="43" t="s">
        <v>52</v>
      </c>
      <c r="E926" s="43" t="s">
        <v>112</v>
      </c>
      <c r="F926" s="43" t="s">
        <v>52</v>
      </c>
      <c r="G926" s="43" t="s">
        <v>103</v>
      </c>
      <c r="H926" s="43" t="s">
        <v>104</v>
      </c>
      <c r="I926" s="43" t="s">
        <v>52</v>
      </c>
      <c r="J926" s="44"/>
      <c r="K926" s="54">
        <v>72</v>
      </c>
      <c r="L926" s="54">
        <v>72</v>
      </c>
      <c r="M926" s="54">
        <v>0</v>
      </c>
      <c r="N926" s="54">
        <v>0</v>
      </c>
      <c r="O926" s="54">
        <v>72</v>
      </c>
      <c r="P926" s="55">
        <v>0.02</v>
      </c>
      <c r="Q926" s="61">
        <v>1.39</v>
      </c>
      <c r="R926" s="60"/>
      <c r="S926" s="61">
        <v>1.39</v>
      </c>
    </row>
    <row r="927" ht="20" customHeight="1" spans="1:19">
      <c r="A927" s="43" t="s">
        <v>110</v>
      </c>
      <c r="B927" s="43" t="s">
        <v>111</v>
      </c>
      <c r="C927" s="44"/>
      <c r="D927" s="43" t="s">
        <v>52</v>
      </c>
      <c r="E927" s="43" t="s">
        <v>112</v>
      </c>
      <c r="F927" s="43" t="s">
        <v>52</v>
      </c>
      <c r="G927" s="43" t="s">
        <v>103</v>
      </c>
      <c r="H927" s="43" t="s">
        <v>104</v>
      </c>
      <c r="I927" s="43" t="s">
        <v>52</v>
      </c>
      <c r="J927" s="44"/>
      <c r="K927" s="54">
        <v>14112</v>
      </c>
      <c r="L927" s="54">
        <v>14112</v>
      </c>
      <c r="M927" s="54">
        <v>0</v>
      </c>
      <c r="N927" s="54">
        <v>0</v>
      </c>
      <c r="O927" s="54">
        <v>14112</v>
      </c>
      <c r="P927" s="55">
        <v>0.02</v>
      </c>
      <c r="Q927" s="61">
        <v>272.05</v>
      </c>
      <c r="R927" s="60"/>
      <c r="S927" s="61">
        <v>272.05</v>
      </c>
    </row>
    <row r="928" ht="20" customHeight="1" spans="1:19">
      <c r="A928" s="43" t="s">
        <v>110</v>
      </c>
      <c r="B928" s="43" t="s">
        <v>111</v>
      </c>
      <c r="C928" s="44"/>
      <c r="D928" s="43" t="s">
        <v>52</v>
      </c>
      <c r="E928" s="43" t="s">
        <v>112</v>
      </c>
      <c r="F928" s="43" t="s">
        <v>52</v>
      </c>
      <c r="G928" s="43" t="s">
        <v>103</v>
      </c>
      <c r="H928" s="43" t="s">
        <v>104</v>
      </c>
      <c r="I928" s="43" t="s">
        <v>52</v>
      </c>
      <c r="J928" s="44"/>
      <c r="K928" s="54">
        <v>20</v>
      </c>
      <c r="L928" s="54">
        <v>20</v>
      </c>
      <c r="M928" s="54">
        <v>0</v>
      </c>
      <c r="N928" s="54">
        <v>0</v>
      </c>
      <c r="O928" s="54">
        <v>20</v>
      </c>
      <c r="P928" s="55">
        <v>0.02</v>
      </c>
      <c r="Q928" s="61">
        <v>0.39</v>
      </c>
      <c r="R928" s="60"/>
      <c r="S928" s="61">
        <v>0.39</v>
      </c>
    </row>
    <row r="929" ht="20" customHeight="1" spans="1:19">
      <c r="A929" s="43" t="s">
        <v>110</v>
      </c>
      <c r="B929" s="43" t="s">
        <v>111</v>
      </c>
      <c r="C929" s="44"/>
      <c r="D929" s="43" t="s">
        <v>52</v>
      </c>
      <c r="E929" s="43" t="s">
        <v>112</v>
      </c>
      <c r="F929" s="43" t="s">
        <v>52</v>
      </c>
      <c r="G929" s="43" t="s">
        <v>103</v>
      </c>
      <c r="H929" s="43" t="s">
        <v>104</v>
      </c>
      <c r="I929" s="43" t="s">
        <v>52</v>
      </c>
      <c r="J929" s="44"/>
      <c r="K929" s="54">
        <v>4</v>
      </c>
      <c r="L929" s="54">
        <v>4</v>
      </c>
      <c r="M929" s="54">
        <v>0</v>
      </c>
      <c r="N929" s="54">
        <v>0</v>
      </c>
      <c r="O929" s="54">
        <v>4</v>
      </c>
      <c r="P929" s="55">
        <v>0.02</v>
      </c>
      <c r="Q929" s="61">
        <v>0.08</v>
      </c>
      <c r="R929" s="60"/>
      <c r="S929" s="61">
        <v>0.08</v>
      </c>
    </row>
    <row r="930" ht="13" customHeight="1" spans="1:19">
      <c r="A930" s="47" t="s">
        <v>143</v>
      </c>
      <c r="B930" s="48"/>
      <c r="C930" s="48"/>
      <c r="D930" s="48"/>
      <c r="E930" s="48"/>
      <c r="F930" s="48"/>
      <c r="G930" s="48"/>
      <c r="H930" s="48"/>
      <c r="I930" s="48"/>
      <c r="J930" s="56"/>
      <c r="K930" s="47" t="s">
        <v>144</v>
      </c>
      <c r="L930" s="57">
        <v>129146</v>
      </c>
      <c r="M930" s="58">
        <v>0</v>
      </c>
      <c r="N930" s="58">
        <v>0</v>
      </c>
      <c r="O930" s="58">
        <v>129146</v>
      </c>
      <c r="P930" s="59" t="s">
        <v>52</v>
      </c>
      <c r="Q930" s="62"/>
      <c r="R930" s="62"/>
      <c r="S930" s="63">
        <v>1578.65</v>
      </c>
    </row>
    <row r="931" ht="19" customHeight="1" spans="1:19">
      <c r="A931" s="43" t="s">
        <v>145</v>
      </c>
      <c r="B931" s="44"/>
      <c r="C931" s="44"/>
      <c r="D931" s="49" t="s">
        <v>146</v>
      </c>
      <c r="E931" s="50" t="s">
        <v>147</v>
      </c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56"/>
      <c r="S931" s="56"/>
    </row>
    <row r="932" ht="19" customHeight="1" spans="1:19">
      <c r="A932" s="49" t="s">
        <v>146</v>
      </c>
      <c r="B932" s="51"/>
      <c r="C932" s="51"/>
      <c r="D932" s="49" t="s">
        <v>146</v>
      </c>
      <c r="E932" s="49" t="s">
        <v>119</v>
      </c>
      <c r="F932" s="52">
        <v>700</v>
      </c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56"/>
      <c r="S932" s="56"/>
    </row>
    <row r="933" ht="12" customHeight="1" spans="1:19">
      <c r="A933" s="46" t="s">
        <v>52</v>
      </c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56"/>
      <c r="S933" s="56"/>
    </row>
    <row r="934" ht="14" customHeight="1" spans="1:19">
      <c r="A934" s="43" t="s">
        <v>67</v>
      </c>
      <c r="B934" s="44"/>
      <c r="C934" s="44"/>
      <c r="D934" s="45" t="s">
        <v>124</v>
      </c>
      <c r="E934" s="43" t="s">
        <v>69</v>
      </c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</row>
    <row r="935" ht="14" customHeight="1" spans="1:19">
      <c r="A935" s="43" t="s">
        <v>70</v>
      </c>
      <c r="B935" s="44"/>
      <c r="C935" s="44"/>
      <c r="D935" s="45" t="s">
        <v>124</v>
      </c>
      <c r="E935" s="43" t="s">
        <v>71</v>
      </c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</row>
    <row r="936" ht="14" customHeight="1" spans="1:19">
      <c r="A936" s="43" t="s">
        <v>82</v>
      </c>
      <c r="B936" s="44"/>
      <c r="C936" s="44"/>
      <c r="D936" s="45" t="s">
        <v>124</v>
      </c>
      <c r="E936" s="43" t="s">
        <v>83</v>
      </c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</row>
    <row r="937" ht="14" customHeight="1" spans="1:19">
      <c r="A937" s="43" t="s">
        <v>72</v>
      </c>
      <c r="B937" s="44"/>
      <c r="C937" s="44"/>
      <c r="D937" s="45" t="s">
        <v>124</v>
      </c>
      <c r="E937" s="43" t="s">
        <v>125</v>
      </c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</row>
    <row r="938" ht="14" customHeight="1" spans="1:19">
      <c r="A938" s="43" t="s">
        <v>126</v>
      </c>
      <c r="B938" s="44"/>
      <c r="C938" s="44"/>
      <c r="D938" s="45" t="s">
        <v>124</v>
      </c>
      <c r="E938" s="43" t="s">
        <v>173</v>
      </c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</row>
    <row r="939" ht="14" customHeight="1" spans="1:19">
      <c r="A939" s="43" t="s">
        <v>76</v>
      </c>
      <c r="B939" s="44"/>
      <c r="C939" s="44"/>
      <c r="D939" s="45" t="s">
        <v>124</v>
      </c>
      <c r="E939" s="43" t="s">
        <v>77</v>
      </c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</row>
    <row r="940" ht="14" customHeight="1" spans="1:19">
      <c r="A940" s="43" t="s">
        <v>78</v>
      </c>
      <c r="B940" s="44"/>
      <c r="C940" s="44"/>
      <c r="D940" s="45" t="s">
        <v>124</v>
      </c>
      <c r="E940" s="43" t="s">
        <v>79</v>
      </c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</row>
    <row r="941" ht="14" customHeight="1" spans="1:19">
      <c r="A941" s="43" t="s">
        <v>80</v>
      </c>
      <c r="B941" s="44"/>
      <c r="C941" s="44"/>
      <c r="D941" s="45" t="s">
        <v>124</v>
      </c>
      <c r="E941" s="43" t="s">
        <v>81</v>
      </c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</row>
    <row r="942" ht="17" customHeight="1" spans="1:19">
      <c r="A942" s="46" t="s">
        <v>52</v>
      </c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</row>
    <row r="943" ht="14" customHeight="1" spans="1:19">
      <c r="A943" s="43" t="s">
        <v>84</v>
      </c>
      <c r="B943" s="43" t="s">
        <v>85</v>
      </c>
      <c r="C943" s="44"/>
      <c r="D943" s="43" t="s">
        <v>52</v>
      </c>
      <c r="E943" s="43" t="s">
        <v>87</v>
      </c>
      <c r="F943" s="43" t="s">
        <v>88</v>
      </c>
      <c r="G943" s="43" t="s">
        <v>89</v>
      </c>
      <c r="H943" s="43" t="s">
        <v>90</v>
      </c>
      <c r="I943" s="43" t="s">
        <v>91</v>
      </c>
      <c r="J943" s="44"/>
      <c r="K943" s="53" t="s">
        <v>128</v>
      </c>
      <c r="L943" s="53" t="s">
        <v>129</v>
      </c>
      <c r="M943" s="53" t="s">
        <v>130</v>
      </c>
      <c r="N943" s="53" t="s">
        <v>131</v>
      </c>
      <c r="O943" s="53" t="s">
        <v>132</v>
      </c>
      <c r="P943" s="53" t="s">
        <v>93</v>
      </c>
      <c r="Q943" s="53" t="s">
        <v>94</v>
      </c>
      <c r="R943" s="60"/>
      <c r="S943" s="53" t="s">
        <v>133</v>
      </c>
    </row>
    <row r="944" ht="20" customHeight="1" spans="1:19">
      <c r="A944" s="43" t="s">
        <v>134</v>
      </c>
      <c r="B944" s="43" t="s">
        <v>135</v>
      </c>
      <c r="C944" s="44"/>
      <c r="D944" s="43" t="s">
        <v>52</v>
      </c>
      <c r="E944" s="43" t="s">
        <v>136</v>
      </c>
      <c r="F944" s="43" t="s">
        <v>52</v>
      </c>
      <c r="G944" s="43" t="s">
        <v>108</v>
      </c>
      <c r="H944" s="43" t="s">
        <v>109</v>
      </c>
      <c r="I944" s="43" t="s">
        <v>52</v>
      </c>
      <c r="J944" s="44"/>
      <c r="K944" s="54">
        <v>34272</v>
      </c>
      <c r="L944" s="54">
        <v>34272</v>
      </c>
      <c r="M944" s="54">
        <v>0</v>
      </c>
      <c r="N944" s="54">
        <v>0</v>
      </c>
      <c r="O944" s="54">
        <v>34272</v>
      </c>
      <c r="P944" s="55">
        <v>0.01</v>
      </c>
      <c r="Q944" s="61">
        <v>249.5</v>
      </c>
      <c r="R944" s="60"/>
      <c r="S944" s="61">
        <v>249.5</v>
      </c>
    </row>
    <row r="945" ht="20" customHeight="1" spans="1:19">
      <c r="A945" s="43" t="s">
        <v>134</v>
      </c>
      <c r="B945" s="43" t="s">
        <v>135</v>
      </c>
      <c r="C945" s="44"/>
      <c r="D945" s="43" t="s">
        <v>52</v>
      </c>
      <c r="E945" s="43" t="s">
        <v>136</v>
      </c>
      <c r="F945" s="43" t="s">
        <v>52</v>
      </c>
      <c r="G945" s="43" t="s">
        <v>108</v>
      </c>
      <c r="H945" s="43" t="s">
        <v>109</v>
      </c>
      <c r="I945" s="43" t="s">
        <v>52</v>
      </c>
      <c r="J945" s="44"/>
      <c r="K945" s="54">
        <v>4752</v>
      </c>
      <c r="L945" s="54">
        <v>4752</v>
      </c>
      <c r="M945" s="54">
        <v>0</v>
      </c>
      <c r="N945" s="54">
        <v>0</v>
      </c>
      <c r="O945" s="54">
        <v>4752</v>
      </c>
      <c r="P945" s="55">
        <v>0.01</v>
      </c>
      <c r="Q945" s="61">
        <v>34.59</v>
      </c>
      <c r="R945" s="60"/>
      <c r="S945" s="61">
        <v>34.59</v>
      </c>
    </row>
    <row r="946" ht="20" customHeight="1" spans="1:19">
      <c r="A946" s="43" t="s">
        <v>134</v>
      </c>
      <c r="B946" s="43" t="s">
        <v>135</v>
      </c>
      <c r="C946" s="44"/>
      <c r="D946" s="43" t="s">
        <v>52</v>
      </c>
      <c r="E946" s="43" t="s">
        <v>136</v>
      </c>
      <c r="F946" s="43" t="s">
        <v>52</v>
      </c>
      <c r="G946" s="43" t="s">
        <v>108</v>
      </c>
      <c r="H946" s="43" t="s">
        <v>109</v>
      </c>
      <c r="I946" s="43" t="s">
        <v>52</v>
      </c>
      <c r="J946" s="44"/>
      <c r="K946" s="54">
        <v>144</v>
      </c>
      <c r="L946" s="54">
        <v>144</v>
      </c>
      <c r="M946" s="54">
        <v>0</v>
      </c>
      <c r="N946" s="54">
        <v>0</v>
      </c>
      <c r="O946" s="54">
        <v>144</v>
      </c>
      <c r="P946" s="55">
        <v>0.01</v>
      </c>
      <c r="Q946" s="61">
        <v>1.05</v>
      </c>
      <c r="R946" s="60"/>
      <c r="S946" s="61">
        <v>1.05</v>
      </c>
    </row>
    <row r="947" ht="20" customHeight="1" spans="1:19">
      <c r="A947" s="43" t="s">
        <v>137</v>
      </c>
      <c r="B947" s="43" t="s">
        <v>138</v>
      </c>
      <c r="C947" s="44"/>
      <c r="D947" s="43" t="s">
        <v>52</v>
      </c>
      <c r="E947" s="43" t="s">
        <v>139</v>
      </c>
      <c r="F947" s="43" t="s">
        <v>52</v>
      </c>
      <c r="G947" s="43" t="s">
        <v>100</v>
      </c>
      <c r="H947" s="43" t="s">
        <v>101</v>
      </c>
      <c r="I947" s="43" t="s">
        <v>52</v>
      </c>
      <c r="J947" s="44"/>
      <c r="K947" s="54">
        <v>1692</v>
      </c>
      <c r="L947" s="54">
        <v>1692</v>
      </c>
      <c r="M947" s="54">
        <v>0</v>
      </c>
      <c r="N947" s="54">
        <v>0</v>
      </c>
      <c r="O947" s="54">
        <v>1692</v>
      </c>
      <c r="P947" s="55">
        <v>0.11</v>
      </c>
      <c r="Q947" s="61">
        <v>191.47</v>
      </c>
      <c r="R947" s="60"/>
      <c r="S947" s="61">
        <v>191.47</v>
      </c>
    </row>
    <row r="948" ht="20" customHeight="1" spans="1:19">
      <c r="A948" s="43" t="s">
        <v>137</v>
      </c>
      <c r="B948" s="43" t="s">
        <v>138</v>
      </c>
      <c r="C948" s="44"/>
      <c r="D948" s="43" t="s">
        <v>52</v>
      </c>
      <c r="E948" s="43" t="s">
        <v>139</v>
      </c>
      <c r="F948" s="43" t="s">
        <v>52</v>
      </c>
      <c r="G948" s="43" t="s">
        <v>100</v>
      </c>
      <c r="H948" s="43" t="s">
        <v>101</v>
      </c>
      <c r="I948" s="43" t="s">
        <v>52</v>
      </c>
      <c r="J948" s="44"/>
      <c r="K948" s="54">
        <v>8</v>
      </c>
      <c r="L948" s="54">
        <v>8</v>
      </c>
      <c r="M948" s="54">
        <v>0</v>
      </c>
      <c r="N948" s="54">
        <v>0</v>
      </c>
      <c r="O948" s="54">
        <v>8</v>
      </c>
      <c r="P948" s="55">
        <v>0.11</v>
      </c>
      <c r="Q948" s="61">
        <v>0.91</v>
      </c>
      <c r="R948" s="60"/>
      <c r="S948" s="61">
        <v>0.91</v>
      </c>
    </row>
    <row r="949" ht="20" customHeight="1" spans="1:19">
      <c r="A949" s="43" t="s">
        <v>137</v>
      </c>
      <c r="B949" s="43" t="s">
        <v>138</v>
      </c>
      <c r="C949" s="44"/>
      <c r="D949" s="43" t="s">
        <v>52</v>
      </c>
      <c r="E949" s="43" t="s">
        <v>139</v>
      </c>
      <c r="F949" s="43" t="s">
        <v>52</v>
      </c>
      <c r="G949" s="43" t="s">
        <v>100</v>
      </c>
      <c r="H949" s="43" t="s">
        <v>101</v>
      </c>
      <c r="I949" s="43" t="s">
        <v>52</v>
      </c>
      <c r="J949" s="44"/>
      <c r="K949" s="54">
        <v>10</v>
      </c>
      <c r="L949" s="54">
        <v>10</v>
      </c>
      <c r="M949" s="54">
        <v>0</v>
      </c>
      <c r="N949" s="54">
        <v>0</v>
      </c>
      <c r="O949" s="54">
        <v>10</v>
      </c>
      <c r="P949" s="55">
        <v>0.11</v>
      </c>
      <c r="Q949" s="61">
        <v>1.13</v>
      </c>
      <c r="R949" s="60"/>
      <c r="S949" s="61">
        <v>1.13</v>
      </c>
    </row>
    <row r="950" ht="20" customHeight="1" spans="1:19">
      <c r="A950" s="43" t="s">
        <v>140</v>
      </c>
      <c r="B950" s="43" t="s">
        <v>141</v>
      </c>
      <c r="C950" s="44"/>
      <c r="D950" s="43" t="s">
        <v>52</v>
      </c>
      <c r="E950" s="43" t="s">
        <v>142</v>
      </c>
      <c r="F950" s="43" t="s">
        <v>52</v>
      </c>
      <c r="G950" s="43" t="s">
        <v>108</v>
      </c>
      <c r="H950" s="43" t="s">
        <v>109</v>
      </c>
      <c r="I950" s="43" t="s">
        <v>52</v>
      </c>
      <c r="J950" s="44"/>
      <c r="K950" s="54">
        <v>180</v>
      </c>
      <c r="L950" s="54">
        <v>180</v>
      </c>
      <c r="M950" s="54">
        <v>0</v>
      </c>
      <c r="N950" s="54">
        <v>0</v>
      </c>
      <c r="O950" s="54">
        <v>180</v>
      </c>
      <c r="P950" s="55">
        <v>0.01</v>
      </c>
      <c r="Q950" s="61">
        <v>1.31</v>
      </c>
      <c r="R950" s="60"/>
      <c r="S950" s="61">
        <v>1.31</v>
      </c>
    </row>
    <row r="951" ht="20" customHeight="1" spans="1:19">
      <c r="A951" s="43" t="s">
        <v>140</v>
      </c>
      <c r="B951" s="43" t="s">
        <v>141</v>
      </c>
      <c r="C951" s="44"/>
      <c r="D951" s="43" t="s">
        <v>52</v>
      </c>
      <c r="E951" s="43" t="s">
        <v>142</v>
      </c>
      <c r="F951" s="43" t="s">
        <v>52</v>
      </c>
      <c r="G951" s="43" t="s">
        <v>108</v>
      </c>
      <c r="H951" s="43" t="s">
        <v>109</v>
      </c>
      <c r="I951" s="43" t="s">
        <v>52</v>
      </c>
      <c r="J951" s="44"/>
      <c r="K951" s="54">
        <v>24</v>
      </c>
      <c r="L951" s="54">
        <v>24</v>
      </c>
      <c r="M951" s="54">
        <v>0</v>
      </c>
      <c r="N951" s="54">
        <v>0</v>
      </c>
      <c r="O951" s="54">
        <v>24</v>
      </c>
      <c r="P951" s="55">
        <v>0.01</v>
      </c>
      <c r="Q951" s="61">
        <v>0.17</v>
      </c>
      <c r="R951" s="60"/>
      <c r="S951" s="61">
        <v>0.17</v>
      </c>
    </row>
    <row r="952" ht="20" customHeight="1" spans="1:19">
      <c r="A952" s="43" t="s">
        <v>140</v>
      </c>
      <c r="B952" s="43" t="s">
        <v>141</v>
      </c>
      <c r="C952" s="44"/>
      <c r="D952" s="43" t="s">
        <v>52</v>
      </c>
      <c r="E952" s="43" t="s">
        <v>142</v>
      </c>
      <c r="F952" s="43" t="s">
        <v>52</v>
      </c>
      <c r="G952" s="43" t="s">
        <v>108</v>
      </c>
      <c r="H952" s="43" t="s">
        <v>109</v>
      </c>
      <c r="I952" s="43" t="s">
        <v>52</v>
      </c>
      <c r="J952" s="44"/>
      <c r="K952" s="54">
        <v>19224</v>
      </c>
      <c r="L952" s="54">
        <v>19224</v>
      </c>
      <c r="M952" s="54">
        <v>0</v>
      </c>
      <c r="N952" s="54">
        <v>0</v>
      </c>
      <c r="O952" s="54">
        <v>19224</v>
      </c>
      <c r="P952" s="55">
        <v>0.01</v>
      </c>
      <c r="Q952" s="61">
        <v>139.95</v>
      </c>
      <c r="R952" s="60"/>
      <c r="S952" s="61">
        <v>139.95</v>
      </c>
    </row>
    <row r="953" ht="20" customHeight="1" spans="1:19">
      <c r="A953" s="43" t="s">
        <v>140</v>
      </c>
      <c r="B953" s="43" t="s">
        <v>141</v>
      </c>
      <c r="C953" s="44"/>
      <c r="D953" s="43" t="s">
        <v>52</v>
      </c>
      <c r="E953" s="43" t="s">
        <v>142</v>
      </c>
      <c r="F953" s="43" t="s">
        <v>52</v>
      </c>
      <c r="G953" s="43" t="s">
        <v>108</v>
      </c>
      <c r="H953" s="43" t="s">
        <v>109</v>
      </c>
      <c r="I953" s="43" t="s">
        <v>52</v>
      </c>
      <c r="J953" s="44"/>
      <c r="K953" s="54">
        <v>156</v>
      </c>
      <c r="L953" s="54">
        <v>156</v>
      </c>
      <c r="M953" s="54">
        <v>0</v>
      </c>
      <c r="N953" s="54">
        <v>0</v>
      </c>
      <c r="O953" s="54">
        <v>156</v>
      </c>
      <c r="P953" s="55">
        <v>0.01</v>
      </c>
      <c r="Q953" s="61">
        <v>1.14</v>
      </c>
      <c r="R953" s="60"/>
      <c r="S953" s="61">
        <v>1.14</v>
      </c>
    </row>
    <row r="954" ht="20" customHeight="1" spans="1:19">
      <c r="A954" s="43" t="s">
        <v>97</v>
      </c>
      <c r="B954" s="43" t="s">
        <v>102</v>
      </c>
      <c r="C954" s="44"/>
      <c r="D954" s="43" t="s">
        <v>52</v>
      </c>
      <c r="E954" s="43" t="s">
        <v>99</v>
      </c>
      <c r="F954" s="43" t="s">
        <v>52</v>
      </c>
      <c r="G954" s="43" t="s">
        <v>100</v>
      </c>
      <c r="H954" s="43" t="s">
        <v>101</v>
      </c>
      <c r="I954" s="43" t="s">
        <v>52</v>
      </c>
      <c r="J954" s="44"/>
      <c r="K954" s="54">
        <v>3</v>
      </c>
      <c r="L954" s="54">
        <v>3</v>
      </c>
      <c r="M954" s="54">
        <v>0</v>
      </c>
      <c r="N954" s="54">
        <v>0</v>
      </c>
      <c r="O954" s="54">
        <v>3</v>
      </c>
      <c r="P954" s="55">
        <v>0.11</v>
      </c>
      <c r="Q954" s="61">
        <v>0.34</v>
      </c>
      <c r="R954" s="60"/>
      <c r="S954" s="61">
        <v>0.34</v>
      </c>
    </row>
    <row r="955" ht="20" customHeight="1" spans="1:19">
      <c r="A955" s="43" t="s">
        <v>97</v>
      </c>
      <c r="B955" s="43" t="s">
        <v>102</v>
      </c>
      <c r="C955" s="44"/>
      <c r="D955" s="43" t="s">
        <v>52</v>
      </c>
      <c r="E955" s="43" t="s">
        <v>99</v>
      </c>
      <c r="F955" s="43" t="s">
        <v>52</v>
      </c>
      <c r="G955" s="43" t="s">
        <v>100</v>
      </c>
      <c r="H955" s="43" t="s">
        <v>101</v>
      </c>
      <c r="I955" s="43" t="s">
        <v>52</v>
      </c>
      <c r="J955" s="44"/>
      <c r="K955" s="54">
        <v>4</v>
      </c>
      <c r="L955" s="54">
        <v>4</v>
      </c>
      <c r="M955" s="54">
        <v>0</v>
      </c>
      <c r="N955" s="54">
        <v>0</v>
      </c>
      <c r="O955" s="54">
        <v>4</v>
      </c>
      <c r="P955" s="55">
        <v>0.11</v>
      </c>
      <c r="Q955" s="61">
        <v>0.45</v>
      </c>
      <c r="R955" s="60"/>
      <c r="S955" s="61">
        <v>0.45</v>
      </c>
    </row>
    <row r="956" ht="20" customHeight="1" spans="1:19">
      <c r="A956" s="43" t="s">
        <v>97</v>
      </c>
      <c r="B956" s="43" t="s">
        <v>102</v>
      </c>
      <c r="C956" s="44"/>
      <c r="D956" s="43" t="s">
        <v>52</v>
      </c>
      <c r="E956" s="43" t="s">
        <v>99</v>
      </c>
      <c r="F956" s="43" t="s">
        <v>52</v>
      </c>
      <c r="G956" s="43" t="s">
        <v>100</v>
      </c>
      <c r="H956" s="43" t="s">
        <v>101</v>
      </c>
      <c r="I956" s="43" t="s">
        <v>52</v>
      </c>
      <c r="J956" s="44"/>
      <c r="K956" s="54">
        <v>1092</v>
      </c>
      <c r="L956" s="54">
        <v>1092</v>
      </c>
      <c r="M956" s="54">
        <v>0</v>
      </c>
      <c r="N956" s="54">
        <v>0</v>
      </c>
      <c r="O956" s="54">
        <v>1092</v>
      </c>
      <c r="P956" s="55">
        <v>0.11</v>
      </c>
      <c r="Q956" s="61">
        <v>123.57</v>
      </c>
      <c r="R956" s="60"/>
      <c r="S956" s="61">
        <v>123.57</v>
      </c>
    </row>
    <row r="957" ht="20" customHeight="1" spans="1:19">
      <c r="A957" s="43" t="s">
        <v>97</v>
      </c>
      <c r="B957" s="43" t="s">
        <v>102</v>
      </c>
      <c r="C957" s="44"/>
      <c r="D957" s="43" t="s">
        <v>52</v>
      </c>
      <c r="E957" s="43" t="s">
        <v>99</v>
      </c>
      <c r="F957" s="43" t="s">
        <v>52</v>
      </c>
      <c r="G957" s="43" t="s">
        <v>100</v>
      </c>
      <c r="H957" s="43" t="s">
        <v>101</v>
      </c>
      <c r="I957" s="43" t="s">
        <v>52</v>
      </c>
      <c r="J957" s="44"/>
      <c r="K957" s="54">
        <v>1</v>
      </c>
      <c r="L957" s="54">
        <v>1</v>
      </c>
      <c r="M957" s="54">
        <v>0</v>
      </c>
      <c r="N957" s="54">
        <v>0</v>
      </c>
      <c r="O957" s="54">
        <v>1</v>
      </c>
      <c r="P957" s="55">
        <v>0.11</v>
      </c>
      <c r="Q957" s="61">
        <v>0.11</v>
      </c>
      <c r="R957" s="60"/>
      <c r="S957" s="61">
        <v>0.11</v>
      </c>
    </row>
    <row r="958" ht="20" customHeight="1" spans="1:19">
      <c r="A958" s="43" t="s">
        <v>97</v>
      </c>
      <c r="B958" s="43" t="s">
        <v>102</v>
      </c>
      <c r="C958" s="44"/>
      <c r="D958" s="43" t="s">
        <v>52</v>
      </c>
      <c r="E958" s="43" t="s">
        <v>99</v>
      </c>
      <c r="F958" s="43" t="s">
        <v>52</v>
      </c>
      <c r="G958" s="43" t="s">
        <v>103</v>
      </c>
      <c r="H958" s="43" t="s">
        <v>104</v>
      </c>
      <c r="I958" s="43" t="s">
        <v>52</v>
      </c>
      <c r="J958" s="44"/>
      <c r="K958" s="54">
        <v>4</v>
      </c>
      <c r="L958" s="54">
        <v>4</v>
      </c>
      <c r="M958" s="54">
        <v>0</v>
      </c>
      <c r="N958" s="54">
        <v>0</v>
      </c>
      <c r="O958" s="54">
        <v>4</v>
      </c>
      <c r="P958" s="55">
        <v>0.02</v>
      </c>
      <c r="Q958" s="61">
        <v>0.08</v>
      </c>
      <c r="R958" s="60"/>
      <c r="S958" s="61">
        <v>0.08</v>
      </c>
    </row>
    <row r="959" ht="20" customHeight="1" spans="1:19">
      <c r="A959" s="43" t="s">
        <v>97</v>
      </c>
      <c r="B959" s="43" t="s">
        <v>102</v>
      </c>
      <c r="C959" s="44"/>
      <c r="D959" s="43" t="s">
        <v>52</v>
      </c>
      <c r="E959" s="43" t="s">
        <v>99</v>
      </c>
      <c r="F959" s="43" t="s">
        <v>52</v>
      </c>
      <c r="G959" s="43" t="s">
        <v>103</v>
      </c>
      <c r="H959" s="43" t="s">
        <v>104</v>
      </c>
      <c r="I959" s="43" t="s">
        <v>52</v>
      </c>
      <c r="J959" s="44"/>
      <c r="K959" s="54">
        <v>14148</v>
      </c>
      <c r="L959" s="54">
        <v>14148</v>
      </c>
      <c r="M959" s="54">
        <v>0</v>
      </c>
      <c r="N959" s="54">
        <v>0</v>
      </c>
      <c r="O959" s="54">
        <v>14148</v>
      </c>
      <c r="P959" s="55">
        <v>0.02</v>
      </c>
      <c r="Q959" s="61">
        <v>272.75</v>
      </c>
      <c r="R959" s="60"/>
      <c r="S959" s="61">
        <v>272.75</v>
      </c>
    </row>
    <row r="960" ht="20" customHeight="1" spans="1:19">
      <c r="A960" s="43" t="s">
        <v>97</v>
      </c>
      <c r="B960" s="43" t="s">
        <v>102</v>
      </c>
      <c r="C960" s="44"/>
      <c r="D960" s="43" t="s">
        <v>52</v>
      </c>
      <c r="E960" s="43" t="s">
        <v>99</v>
      </c>
      <c r="F960" s="43" t="s">
        <v>52</v>
      </c>
      <c r="G960" s="43" t="s">
        <v>103</v>
      </c>
      <c r="H960" s="43" t="s">
        <v>104</v>
      </c>
      <c r="I960" s="43" t="s">
        <v>52</v>
      </c>
      <c r="J960" s="44"/>
      <c r="K960" s="54">
        <v>56</v>
      </c>
      <c r="L960" s="54">
        <v>56</v>
      </c>
      <c r="M960" s="54">
        <v>0</v>
      </c>
      <c r="N960" s="54">
        <v>0</v>
      </c>
      <c r="O960" s="54">
        <v>56</v>
      </c>
      <c r="P960" s="55">
        <v>0.02</v>
      </c>
      <c r="Q960" s="61">
        <v>1.08</v>
      </c>
      <c r="R960" s="60"/>
      <c r="S960" s="61">
        <v>1.08</v>
      </c>
    </row>
    <row r="961" ht="20" customHeight="1" spans="1:19">
      <c r="A961" s="43" t="s">
        <v>105</v>
      </c>
      <c r="B961" s="43" t="s">
        <v>106</v>
      </c>
      <c r="C961" s="44"/>
      <c r="D961" s="43" t="s">
        <v>52</v>
      </c>
      <c r="E961" s="43" t="s">
        <v>107</v>
      </c>
      <c r="F961" s="43" t="s">
        <v>52</v>
      </c>
      <c r="G961" s="43" t="s">
        <v>108</v>
      </c>
      <c r="H961" s="43" t="s">
        <v>109</v>
      </c>
      <c r="I961" s="43" t="s">
        <v>52</v>
      </c>
      <c r="J961" s="44"/>
      <c r="K961" s="54">
        <v>20736</v>
      </c>
      <c r="L961" s="54">
        <v>20736</v>
      </c>
      <c r="M961" s="54">
        <v>0</v>
      </c>
      <c r="N961" s="54">
        <v>0</v>
      </c>
      <c r="O961" s="54">
        <v>20736</v>
      </c>
      <c r="P961" s="55">
        <v>0.01</v>
      </c>
      <c r="Q961" s="61">
        <v>150.96</v>
      </c>
      <c r="R961" s="60"/>
      <c r="S961" s="61">
        <v>150.96</v>
      </c>
    </row>
    <row r="962" ht="20" customHeight="1" spans="1:19">
      <c r="A962" s="43" t="s">
        <v>105</v>
      </c>
      <c r="B962" s="43" t="s">
        <v>106</v>
      </c>
      <c r="C962" s="44"/>
      <c r="D962" s="43" t="s">
        <v>52</v>
      </c>
      <c r="E962" s="43" t="s">
        <v>107</v>
      </c>
      <c r="F962" s="43" t="s">
        <v>52</v>
      </c>
      <c r="G962" s="43" t="s">
        <v>108</v>
      </c>
      <c r="H962" s="43" t="s">
        <v>109</v>
      </c>
      <c r="I962" s="43" t="s">
        <v>52</v>
      </c>
      <c r="J962" s="44"/>
      <c r="K962" s="54">
        <v>252</v>
      </c>
      <c r="L962" s="54">
        <v>252</v>
      </c>
      <c r="M962" s="54">
        <v>0</v>
      </c>
      <c r="N962" s="54">
        <v>0</v>
      </c>
      <c r="O962" s="54">
        <v>252</v>
      </c>
      <c r="P962" s="55">
        <v>0.01</v>
      </c>
      <c r="Q962" s="61">
        <v>1.83</v>
      </c>
      <c r="R962" s="60"/>
      <c r="S962" s="61">
        <v>1.83</v>
      </c>
    </row>
    <row r="963" ht="20" customHeight="1" spans="1:19">
      <c r="A963" s="43" t="s">
        <v>105</v>
      </c>
      <c r="B963" s="43" t="s">
        <v>106</v>
      </c>
      <c r="C963" s="44"/>
      <c r="D963" s="43" t="s">
        <v>52</v>
      </c>
      <c r="E963" s="43" t="s">
        <v>107</v>
      </c>
      <c r="F963" s="43" t="s">
        <v>52</v>
      </c>
      <c r="G963" s="43" t="s">
        <v>108</v>
      </c>
      <c r="H963" s="43" t="s">
        <v>109</v>
      </c>
      <c r="I963" s="43" t="s">
        <v>52</v>
      </c>
      <c r="J963" s="44"/>
      <c r="K963" s="54">
        <v>8640</v>
      </c>
      <c r="L963" s="54">
        <v>8640</v>
      </c>
      <c r="M963" s="54">
        <v>0</v>
      </c>
      <c r="N963" s="54">
        <v>0</v>
      </c>
      <c r="O963" s="54">
        <v>8640</v>
      </c>
      <c r="P963" s="55">
        <v>0.01</v>
      </c>
      <c r="Q963" s="61">
        <v>62.9</v>
      </c>
      <c r="R963" s="60"/>
      <c r="S963" s="61">
        <v>62.9</v>
      </c>
    </row>
    <row r="964" ht="20" customHeight="1" spans="1:19">
      <c r="A964" s="43" t="s">
        <v>105</v>
      </c>
      <c r="B964" s="43" t="s">
        <v>106</v>
      </c>
      <c r="C964" s="44"/>
      <c r="D964" s="43" t="s">
        <v>52</v>
      </c>
      <c r="E964" s="43" t="s">
        <v>107</v>
      </c>
      <c r="F964" s="43" t="s">
        <v>52</v>
      </c>
      <c r="G964" s="43" t="s">
        <v>108</v>
      </c>
      <c r="H964" s="43" t="s">
        <v>109</v>
      </c>
      <c r="I964" s="43" t="s">
        <v>52</v>
      </c>
      <c r="J964" s="44"/>
      <c r="K964" s="54">
        <v>180</v>
      </c>
      <c r="L964" s="54">
        <v>180</v>
      </c>
      <c r="M964" s="54">
        <v>0</v>
      </c>
      <c r="N964" s="54">
        <v>0</v>
      </c>
      <c r="O964" s="54">
        <v>180</v>
      </c>
      <c r="P964" s="55">
        <v>0.01</v>
      </c>
      <c r="Q964" s="61">
        <v>1.31</v>
      </c>
      <c r="R964" s="60"/>
      <c r="S964" s="61">
        <v>1.31</v>
      </c>
    </row>
    <row r="965" ht="20" customHeight="1" spans="1:19">
      <c r="A965" s="43" t="s">
        <v>105</v>
      </c>
      <c r="B965" s="43" t="s">
        <v>106</v>
      </c>
      <c r="C965" s="44"/>
      <c r="D965" s="43" t="s">
        <v>52</v>
      </c>
      <c r="E965" s="43" t="s">
        <v>107</v>
      </c>
      <c r="F965" s="43" t="s">
        <v>52</v>
      </c>
      <c r="G965" s="43" t="s">
        <v>108</v>
      </c>
      <c r="H965" s="43" t="s">
        <v>109</v>
      </c>
      <c r="I965" s="43" t="s">
        <v>52</v>
      </c>
      <c r="J965" s="44"/>
      <c r="K965" s="54">
        <v>9360</v>
      </c>
      <c r="L965" s="54">
        <v>9360</v>
      </c>
      <c r="M965" s="54">
        <v>0</v>
      </c>
      <c r="N965" s="54">
        <v>0</v>
      </c>
      <c r="O965" s="54">
        <v>9360</v>
      </c>
      <c r="P965" s="55">
        <v>0.01</v>
      </c>
      <c r="Q965" s="61">
        <v>68.14</v>
      </c>
      <c r="R965" s="60"/>
      <c r="S965" s="61">
        <v>68.14</v>
      </c>
    </row>
    <row r="966" ht="20" customHeight="1" spans="1:19">
      <c r="A966" s="43" t="s">
        <v>110</v>
      </c>
      <c r="B966" s="43" t="s">
        <v>111</v>
      </c>
      <c r="C966" s="44"/>
      <c r="D966" s="43" t="s">
        <v>52</v>
      </c>
      <c r="E966" s="43" t="s">
        <v>112</v>
      </c>
      <c r="F966" s="43" t="s">
        <v>52</v>
      </c>
      <c r="G966" s="43" t="s">
        <v>103</v>
      </c>
      <c r="H966" s="43" t="s">
        <v>104</v>
      </c>
      <c r="I966" s="43" t="s">
        <v>52</v>
      </c>
      <c r="J966" s="44"/>
      <c r="K966" s="54">
        <v>72</v>
      </c>
      <c r="L966" s="54">
        <v>72</v>
      </c>
      <c r="M966" s="54">
        <v>0</v>
      </c>
      <c r="N966" s="54">
        <v>0</v>
      </c>
      <c r="O966" s="54">
        <v>72</v>
      </c>
      <c r="P966" s="55">
        <v>0.02</v>
      </c>
      <c r="Q966" s="61">
        <v>1.39</v>
      </c>
      <c r="R966" s="60"/>
      <c r="S966" s="61">
        <v>1.39</v>
      </c>
    </row>
    <row r="967" ht="20" customHeight="1" spans="1:19">
      <c r="A967" s="43" t="s">
        <v>110</v>
      </c>
      <c r="B967" s="43" t="s">
        <v>111</v>
      </c>
      <c r="C967" s="44"/>
      <c r="D967" s="43" t="s">
        <v>52</v>
      </c>
      <c r="E967" s="43" t="s">
        <v>112</v>
      </c>
      <c r="F967" s="43" t="s">
        <v>52</v>
      </c>
      <c r="G967" s="43" t="s">
        <v>103</v>
      </c>
      <c r="H967" s="43" t="s">
        <v>104</v>
      </c>
      <c r="I967" s="43" t="s">
        <v>52</v>
      </c>
      <c r="J967" s="44"/>
      <c r="K967" s="54">
        <v>14112</v>
      </c>
      <c r="L967" s="54">
        <v>14112</v>
      </c>
      <c r="M967" s="54">
        <v>0</v>
      </c>
      <c r="N967" s="54">
        <v>0</v>
      </c>
      <c r="O967" s="54">
        <v>14112</v>
      </c>
      <c r="P967" s="55">
        <v>0.02</v>
      </c>
      <c r="Q967" s="61">
        <v>272.05</v>
      </c>
      <c r="R967" s="60"/>
      <c r="S967" s="61">
        <v>272.05</v>
      </c>
    </row>
    <row r="968" ht="20" customHeight="1" spans="1:19">
      <c r="A968" s="43" t="s">
        <v>110</v>
      </c>
      <c r="B968" s="43" t="s">
        <v>111</v>
      </c>
      <c r="C968" s="44"/>
      <c r="D968" s="43" t="s">
        <v>52</v>
      </c>
      <c r="E968" s="43" t="s">
        <v>112</v>
      </c>
      <c r="F968" s="43" t="s">
        <v>52</v>
      </c>
      <c r="G968" s="43" t="s">
        <v>103</v>
      </c>
      <c r="H968" s="43" t="s">
        <v>104</v>
      </c>
      <c r="I968" s="43" t="s">
        <v>52</v>
      </c>
      <c r="J968" s="44"/>
      <c r="K968" s="54">
        <v>20</v>
      </c>
      <c r="L968" s="54">
        <v>20</v>
      </c>
      <c r="M968" s="54">
        <v>0</v>
      </c>
      <c r="N968" s="54">
        <v>0</v>
      </c>
      <c r="O968" s="54">
        <v>20</v>
      </c>
      <c r="P968" s="55">
        <v>0.02</v>
      </c>
      <c r="Q968" s="61">
        <v>0.39</v>
      </c>
      <c r="R968" s="60"/>
      <c r="S968" s="61">
        <v>0.39</v>
      </c>
    </row>
    <row r="969" ht="20" customHeight="1" spans="1:19">
      <c r="A969" s="43" t="s">
        <v>110</v>
      </c>
      <c r="B969" s="43" t="s">
        <v>111</v>
      </c>
      <c r="C969" s="44"/>
      <c r="D969" s="43" t="s">
        <v>52</v>
      </c>
      <c r="E969" s="43" t="s">
        <v>112</v>
      </c>
      <c r="F969" s="43" t="s">
        <v>52</v>
      </c>
      <c r="G969" s="43" t="s">
        <v>103</v>
      </c>
      <c r="H969" s="43" t="s">
        <v>104</v>
      </c>
      <c r="I969" s="43" t="s">
        <v>52</v>
      </c>
      <c r="J969" s="44"/>
      <c r="K969" s="54">
        <v>4</v>
      </c>
      <c r="L969" s="54">
        <v>4</v>
      </c>
      <c r="M969" s="54">
        <v>0</v>
      </c>
      <c r="N969" s="54">
        <v>0</v>
      </c>
      <c r="O969" s="54">
        <v>4</v>
      </c>
      <c r="P969" s="55">
        <v>0.02</v>
      </c>
      <c r="Q969" s="61">
        <v>0.08</v>
      </c>
      <c r="R969" s="60"/>
      <c r="S969" s="61">
        <v>0.08</v>
      </c>
    </row>
    <row r="970" ht="13" customHeight="1" spans="1:19">
      <c r="A970" s="47" t="s">
        <v>143</v>
      </c>
      <c r="B970" s="48"/>
      <c r="C970" s="48"/>
      <c r="D970" s="48"/>
      <c r="E970" s="48"/>
      <c r="F970" s="48"/>
      <c r="G970" s="48"/>
      <c r="H970" s="48"/>
      <c r="I970" s="48"/>
      <c r="J970" s="56"/>
      <c r="K970" s="47" t="s">
        <v>144</v>
      </c>
      <c r="L970" s="57">
        <v>129146</v>
      </c>
      <c r="M970" s="58">
        <v>0</v>
      </c>
      <c r="N970" s="58">
        <v>0</v>
      </c>
      <c r="O970" s="58">
        <v>129146</v>
      </c>
      <c r="P970" s="59" t="s">
        <v>52</v>
      </c>
      <c r="Q970" s="62"/>
      <c r="R970" s="62"/>
      <c r="S970" s="63">
        <v>1578.65</v>
      </c>
    </row>
    <row r="971" ht="19" customHeight="1" spans="1:19">
      <c r="A971" s="43" t="s">
        <v>145</v>
      </c>
      <c r="B971" s="44"/>
      <c r="C971" s="44"/>
      <c r="D971" s="49" t="s">
        <v>146</v>
      </c>
      <c r="E971" s="50" t="s">
        <v>147</v>
      </c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56"/>
      <c r="S971" s="56"/>
    </row>
    <row r="972" ht="19" customHeight="1" spans="1:19">
      <c r="A972" s="49" t="s">
        <v>146</v>
      </c>
      <c r="B972" s="51"/>
      <c r="C972" s="51"/>
      <c r="D972" s="49" t="s">
        <v>146</v>
      </c>
      <c r="E972" s="49" t="s">
        <v>119</v>
      </c>
      <c r="F972" s="52">
        <v>700</v>
      </c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56"/>
      <c r="S972" s="56"/>
    </row>
    <row r="973" ht="12" customHeight="1" spans="1:19">
      <c r="A973" s="46" t="s">
        <v>52</v>
      </c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56"/>
      <c r="S973" s="56"/>
    </row>
    <row r="974" ht="14" customHeight="1" spans="1:19">
      <c r="A974" s="43" t="s">
        <v>67</v>
      </c>
      <c r="B974" s="44"/>
      <c r="C974" s="44"/>
      <c r="D974" s="45" t="s">
        <v>124</v>
      </c>
      <c r="E974" s="43" t="s">
        <v>69</v>
      </c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</row>
    <row r="975" ht="14" customHeight="1" spans="1:19">
      <c r="A975" s="43" t="s">
        <v>70</v>
      </c>
      <c r="B975" s="44"/>
      <c r="C975" s="44"/>
      <c r="D975" s="45" t="s">
        <v>124</v>
      </c>
      <c r="E975" s="43" t="s">
        <v>71</v>
      </c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</row>
    <row r="976" ht="14" customHeight="1" spans="1:19">
      <c r="A976" s="43" t="s">
        <v>82</v>
      </c>
      <c r="B976" s="44"/>
      <c r="C976" s="44"/>
      <c r="D976" s="45" t="s">
        <v>124</v>
      </c>
      <c r="E976" s="43" t="s">
        <v>83</v>
      </c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</row>
    <row r="977" ht="14" customHeight="1" spans="1:19">
      <c r="A977" s="43" t="s">
        <v>72</v>
      </c>
      <c r="B977" s="44"/>
      <c r="C977" s="44"/>
      <c r="D977" s="45" t="s">
        <v>124</v>
      </c>
      <c r="E977" s="43" t="s">
        <v>125</v>
      </c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</row>
    <row r="978" ht="14" customHeight="1" spans="1:19">
      <c r="A978" s="43" t="s">
        <v>126</v>
      </c>
      <c r="B978" s="44"/>
      <c r="C978" s="44"/>
      <c r="D978" s="45" t="s">
        <v>124</v>
      </c>
      <c r="E978" s="43" t="s">
        <v>174</v>
      </c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</row>
    <row r="979" ht="14" customHeight="1" spans="1:19">
      <c r="A979" s="43" t="s">
        <v>76</v>
      </c>
      <c r="B979" s="44"/>
      <c r="C979" s="44"/>
      <c r="D979" s="45" t="s">
        <v>124</v>
      </c>
      <c r="E979" s="43" t="s">
        <v>77</v>
      </c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</row>
    <row r="980" ht="14" customHeight="1" spans="1:19">
      <c r="A980" s="43" t="s">
        <v>78</v>
      </c>
      <c r="B980" s="44"/>
      <c r="C980" s="44"/>
      <c r="D980" s="45" t="s">
        <v>124</v>
      </c>
      <c r="E980" s="43" t="s">
        <v>79</v>
      </c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</row>
    <row r="981" ht="14" customHeight="1" spans="1:19">
      <c r="A981" s="43" t="s">
        <v>80</v>
      </c>
      <c r="B981" s="44"/>
      <c r="C981" s="44"/>
      <c r="D981" s="45" t="s">
        <v>124</v>
      </c>
      <c r="E981" s="43" t="s">
        <v>81</v>
      </c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</row>
    <row r="982" ht="17" customHeight="1" spans="1:19">
      <c r="A982" s="46" t="s">
        <v>52</v>
      </c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</row>
    <row r="983" ht="14" customHeight="1" spans="1:19">
      <c r="A983" s="43" t="s">
        <v>84</v>
      </c>
      <c r="B983" s="43" t="s">
        <v>85</v>
      </c>
      <c r="C983" s="44"/>
      <c r="D983" s="43" t="s">
        <v>52</v>
      </c>
      <c r="E983" s="43" t="s">
        <v>87</v>
      </c>
      <c r="F983" s="43" t="s">
        <v>88</v>
      </c>
      <c r="G983" s="43" t="s">
        <v>89</v>
      </c>
      <c r="H983" s="43" t="s">
        <v>90</v>
      </c>
      <c r="I983" s="43" t="s">
        <v>91</v>
      </c>
      <c r="J983" s="44"/>
      <c r="K983" s="53" t="s">
        <v>128</v>
      </c>
      <c r="L983" s="53" t="s">
        <v>129</v>
      </c>
      <c r="M983" s="53" t="s">
        <v>130</v>
      </c>
      <c r="N983" s="53" t="s">
        <v>131</v>
      </c>
      <c r="O983" s="53" t="s">
        <v>132</v>
      </c>
      <c r="P983" s="53" t="s">
        <v>93</v>
      </c>
      <c r="Q983" s="53" t="s">
        <v>94</v>
      </c>
      <c r="R983" s="60"/>
      <c r="S983" s="53" t="s">
        <v>133</v>
      </c>
    </row>
    <row r="984" ht="20" customHeight="1" spans="1:19">
      <c r="A984" s="43" t="s">
        <v>134</v>
      </c>
      <c r="B984" s="43" t="s">
        <v>135</v>
      </c>
      <c r="C984" s="44"/>
      <c r="D984" s="43" t="s">
        <v>52</v>
      </c>
      <c r="E984" s="43" t="s">
        <v>136</v>
      </c>
      <c r="F984" s="43" t="s">
        <v>52</v>
      </c>
      <c r="G984" s="43" t="s">
        <v>108</v>
      </c>
      <c r="H984" s="43" t="s">
        <v>109</v>
      </c>
      <c r="I984" s="43" t="s">
        <v>52</v>
      </c>
      <c r="J984" s="44"/>
      <c r="K984" s="54">
        <v>34272</v>
      </c>
      <c r="L984" s="54">
        <v>34272</v>
      </c>
      <c r="M984" s="54">
        <v>0</v>
      </c>
      <c r="N984" s="54">
        <v>0</v>
      </c>
      <c r="O984" s="54">
        <v>34272</v>
      </c>
      <c r="P984" s="55">
        <v>0.01</v>
      </c>
      <c r="Q984" s="61">
        <v>249.5</v>
      </c>
      <c r="R984" s="60"/>
      <c r="S984" s="61">
        <v>249.5</v>
      </c>
    </row>
    <row r="985" ht="20" customHeight="1" spans="1:19">
      <c r="A985" s="43" t="s">
        <v>134</v>
      </c>
      <c r="B985" s="43" t="s">
        <v>135</v>
      </c>
      <c r="C985" s="44"/>
      <c r="D985" s="43" t="s">
        <v>52</v>
      </c>
      <c r="E985" s="43" t="s">
        <v>136</v>
      </c>
      <c r="F985" s="43" t="s">
        <v>52</v>
      </c>
      <c r="G985" s="43" t="s">
        <v>108</v>
      </c>
      <c r="H985" s="43" t="s">
        <v>109</v>
      </c>
      <c r="I985" s="43" t="s">
        <v>52</v>
      </c>
      <c r="J985" s="44"/>
      <c r="K985" s="54">
        <v>4752</v>
      </c>
      <c r="L985" s="54">
        <v>4752</v>
      </c>
      <c r="M985" s="54">
        <v>0</v>
      </c>
      <c r="N985" s="54">
        <v>0</v>
      </c>
      <c r="O985" s="54">
        <v>4752</v>
      </c>
      <c r="P985" s="55">
        <v>0.01</v>
      </c>
      <c r="Q985" s="61">
        <v>34.59</v>
      </c>
      <c r="R985" s="60"/>
      <c r="S985" s="61">
        <v>34.59</v>
      </c>
    </row>
    <row r="986" ht="20" customHeight="1" spans="1:19">
      <c r="A986" s="43" t="s">
        <v>134</v>
      </c>
      <c r="B986" s="43" t="s">
        <v>135</v>
      </c>
      <c r="C986" s="44"/>
      <c r="D986" s="43" t="s">
        <v>52</v>
      </c>
      <c r="E986" s="43" t="s">
        <v>136</v>
      </c>
      <c r="F986" s="43" t="s">
        <v>52</v>
      </c>
      <c r="G986" s="43" t="s">
        <v>108</v>
      </c>
      <c r="H986" s="43" t="s">
        <v>109</v>
      </c>
      <c r="I986" s="43" t="s">
        <v>52</v>
      </c>
      <c r="J986" s="44"/>
      <c r="K986" s="54">
        <v>144</v>
      </c>
      <c r="L986" s="54">
        <v>144</v>
      </c>
      <c r="M986" s="54">
        <v>0</v>
      </c>
      <c r="N986" s="54">
        <v>0</v>
      </c>
      <c r="O986" s="54">
        <v>144</v>
      </c>
      <c r="P986" s="55">
        <v>0.01</v>
      </c>
      <c r="Q986" s="61">
        <v>1.05</v>
      </c>
      <c r="R986" s="60"/>
      <c r="S986" s="61">
        <v>1.05</v>
      </c>
    </row>
    <row r="987" ht="20" customHeight="1" spans="1:19">
      <c r="A987" s="43" t="s">
        <v>137</v>
      </c>
      <c r="B987" s="43" t="s">
        <v>138</v>
      </c>
      <c r="C987" s="44"/>
      <c r="D987" s="43" t="s">
        <v>52</v>
      </c>
      <c r="E987" s="43" t="s">
        <v>139</v>
      </c>
      <c r="F987" s="43" t="s">
        <v>52</v>
      </c>
      <c r="G987" s="43" t="s">
        <v>100</v>
      </c>
      <c r="H987" s="43" t="s">
        <v>101</v>
      </c>
      <c r="I987" s="43" t="s">
        <v>52</v>
      </c>
      <c r="J987" s="44"/>
      <c r="K987" s="54">
        <v>1692</v>
      </c>
      <c r="L987" s="54">
        <v>1692</v>
      </c>
      <c r="M987" s="54">
        <v>0</v>
      </c>
      <c r="N987" s="54">
        <v>0</v>
      </c>
      <c r="O987" s="54">
        <v>1692</v>
      </c>
      <c r="P987" s="55">
        <v>0.11</v>
      </c>
      <c r="Q987" s="61">
        <v>191.47</v>
      </c>
      <c r="R987" s="60"/>
      <c r="S987" s="61">
        <v>191.47</v>
      </c>
    </row>
    <row r="988" ht="20" customHeight="1" spans="1:19">
      <c r="A988" s="43" t="s">
        <v>137</v>
      </c>
      <c r="B988" s="43" t="s">
        <v>138</v>
      </c>
      <c r="C988" s="44"/>
      <c r="D988" s="43" t="s">
        <v>52</v>
      </c>
      <c r="E988" s="43" t="s">
        <v>139</v>
      </c>
      <c r="F988" s="43" t="s">
        <v>52</v>
      </c>
      <c r="G988" s="43" t="s">
        <v>100</v>
      </c>
      <c r="H988" s="43" t="s">
        <v>101</v>
      </c>
      <c r="I988" s="43" t="s">
        <v>52</v>
      </c>
      <c r="J988" s="44"/>
      <c r="K988" s="54">
        <v>8</v>
      </c>
      <c r="L988" s="54">
        <v>8</v>
      </c>
      <c r="M988" s="54">
        <v>0</v>
      </c>
      <c r="N988" s="54">
        <v>0</v>
      </c>
      <c r="O988" s="54">
        <v>8</v>
      </c>
      <c r="P988" s="55">
        <v>0.11</v>
      </c>
      <c r="Q988" s="61">
        <v>0.91</v>
      </c>
      <c r="R988" s="60"/>
      <c r="S988" s="61">
        <v>0.91</v>
      </c>
    </row>
    <row r="989" ht="20" customHeight="1" spans="1:19">
      <c r="A989" s="43" t="s">
        <v>137</v>
      </c>
      <c r="B989" s="43" t="s">
        <v>138</v>
      </c>
      <c r="C989" s="44"/>
      <c r="D989" s="43" t="s">
        <v>52</v>
      </c>
      <c r="E989" s="43" t="s">
        <v>139</v>
      </c>
      <c r="F989" s="43" t="s">
        <v>52</v>
      </c>
      <c r="G989" s="43" t="s">
        <v>100</v>
      </c>
      <c r="H989" s="43" t="s">
        <v>101</v>
      </c>
      <c r="I989" s="43" t="s">
        <v>52</v>
      </c>
      <c r="J989" s="44"/>
      <c r="K989" s="54">
        <v>10</v>
      </c>
      <c r="L989" s="54">
        <v>10</v>
      </c>
      <c r="M989" s="54">
        <v>0</v>
      </c>
      <c r="N989" s="54">
        <v>0</v>
      </c>
      <c r="O989" s="54">
        <v>10</v>
      </c>
      <c r="P989" s="55">
        <v>0.11</v>
      </c>
      <c r="Q989" s="61">
        <v>1.13</v>
      </c>
      <c r="R989" s="60"/>
      <c r="S989" s="61">
        <v>1.13</v>
      </c>
    </row>
    <row r="990" ht="20" customHeight="1" spans="1:19">
      <c r="A990" s="43" t="s">
        <v>140</v>
      </c>
      <c r="B990" s="43" t="s">
        <v>141</v>
      </c>
      <c r="C990" s="44"/>
      <c r="D990" s="43" t="s">
        <v>52</v>
      </c>
      <c r="E990" s="43" t="s">
        <v>142</v>
      </c>
      <c r="F990" s="43" t="s">
        <v>52</v>
      </c>
      <c r="G990" s="43" t="s">
        <v>108</v>
      </c>
      <c r="H990" s="43" t="s">
        <v>109</v>
      </c>
      <c r="I990" s="43" t="s">
        <v>52</v>
      </c>
      <c r="J990" s="44"/>
      <c r="K990" s="54">
        <v>180</v>
      </c>
      <c r="L990" s="54">
        <v>180</v>
      </c>
      <c r="M990" s="54">
        <v>0</v>
      </c>
      <c r="N990" s="54">
        <v>0</v>
      </c>
      <c r="O990" s="54">
        <v>180</v>
      </c>
      <c r="P990" s="55">
        <v>0.01</v>
      </c>
      <c r="Q990" s="61">
        <v>1.31</v>
      </c>
      <c r="R990" s="60"/>
      <c r="S990" s="61">
        <v>1.31</v>
      </c>
    </row>
    <row r="991" ht="20" customHeight="1" spans="1:19">
      <c r="A991" s="43" t="s">
        <v>140</v>
      </c>
      <c r="B991" s="43" t="s">
        <v>141</v>
      </c>
      <c r="C991" s="44"/>
      <c r="D991" s="43" t="s">
        <v>52</v>
      </c>
      <c r="E991" s="43" t="s">
        <v>142</v>
      </c>
      <c r="F991" s="43" t="s">
        <v>52</v>
      </c>
      <c r="G991" s="43" t="s">
        <v>108</v>
      </c>
      <c r="H991" s="43" t="s">
        <v>109</v>
      </c>
      <c r="I991" s="43" t="s">
        <v>52</v>
      </c>
      <c r="J991" s="44"/>
      <c r="K991" s="54">
        <v>24</v>
      </c>
      <c r="L991" s="54">
        <v>24</v>
      </c>
      <c r="M991" s="54">
        <v>0</v>
      </c>
      <c r="N991" s="54">
        <v>0</v>
      </c>
      <c r="O991" s="54">
        <v>24</v>
      </c>
      <c r="P991" s="55">
        <v>0.01</v>
      </c>
      <c r="Q991" s="61">
        <v>0.17</v>
      </c>
      <c r="R991" s="60"/>
      <c r="S991" s="61">
        <v>0.17</v>
      </c>
    </row>
    <row r="992" ht="20" customHeight="1" spans="1:19">
      <c r="A992" s="43" t="s">
        <v>140</v>
      </c>
      <c r="B992" s="43" t="s">
        <v>141</v>
      </c>
      <c r="C992" s="44"/>
      <c r="D992" s="43" t="s">
        <v>52</v>
      </c>
      <c r="E992" s="43" t="s">
        <v>142</v>
      </c>
      <c r="F992" s="43" t="s">
        <v>52</v>
      </c>
      <c r="G992" s="43" t="s">
        <v>108</v>
      </c>
      <c r="H992" s="43" t="s">
        <v>109</v>
      </c>
      <c r="I992" s="43" t="s">
        <v>52</v>
      </c>
      <c r="J992" s="44"/>
      <c r="K992" s="54">
        <v>19224</v>
      </c>
      <c r="L992" s="54">
        <v>19224</v>
      </c>
      <c r="M992" s="54">
        <v>0</v>
      </c>
      <c r="N992" s="54">
        <v>0</v>
      </c>
      <c r="O992" s="54">
        <v>19224</v>
      </c>
      <c r="P992" s="55">
        <v>0.01</v>
      </c>
      <c r="Q992" s="61">
        <v>139.95</v>
      </c>
      <c r="R992" s="60"/>
      <c r="S992" s="61">
        <v>139.95</v>
      </c>
    </row>
    <row r="993" ht="20" customHeight="1" spans="1:19">
      <c r="A993" s="43" t="s">
        <v>140</v>
      </c>
      <c r="B993" s="43" t="s">
        <v>141</v>
      </c>
      <c r="C993" s="44"/>
      <c r="D993" s="43" t="s">
        <v>52</v>
      </c>
      <c r="E993" s="43" t="s">
        <v>142</v>
      </c>
      <c r="F993" s="43" t="s">
        <v>52</v>
      </c>
      <c r="G993" s="43" t="s">
        <v>108</v>
      </c>
      <c r="H993" s="43" t="s">
        <v>109</v>
      </c>
      <c r="I993" s="43" t="s">
        <v>52</v>
      </c>
      <c r="J993" s="44"/>
      <c r="K993" s="54">
        <v>156</v>
      </c>
      <c r="L993" s="54">
        <v>156</v>
      </c>
      <c r="M993" s="54">
        <v>0</v>
      </c>
      <c r="N993" s="54">
        <v>0</v>
      </c>
      <c r="O993" s="54">
        <v>156</v>
      </c>
      <c r="P993" s="55">
        <v>0.01</v>
      </c>
      <c r="Q993" s="61">
        <v>1.14</v>
      </c>
      <c r="R993" s="60"/>
      <c r="S993" s="61">
        <v>1.14</v>
      </c>
    </row>
    <row r="994" ht="20" customHeight="1" spans="1:19">
      <c r="A994" s="43" t="s">
        <v>97</v>
      </c>
      <c r="B994" s="43" t="s">
        <v>102</v>
      </c>
      <c r="C994" s="44"/>
      <c r="D994" s="43" t="s">
        <v>52</v>
      </c>
      <c r="E994" s="43" t="s">
        <v>99</v>
      </c>
      <c r="F994" s="43" t="s">
        <v>52</v>
      </c>
      <c r="G994" s="43" t="s">
        <v>100</v>
      </c>
      <c r="H994" s="43" t="s">
        <v>101</v>
      </c>
      <c r="I994" s="43" t="s">
        <v>52</v>
      </c>
      <c r="J994" s="44"/>
      <c r="K994" s="54">
        <v>3</v>
      </c>
      <c r="L994" s="54">
        <v>3</v>
      </c>
      <c r="M994" s="54">
        <v>0</v>
      </c>
      <c r="N994" s="54">
        <v>0</v>
      </c>
      <c r="O994" s="54">
        <v>3</v>
      </c>
      <c r="P994" s="55">
        <v>0.11</v>
      </c>
      <c r="Q994" s="61">
        <v>0.34</v>
      </c>
      <c r="R994" s="60"/>
      <c r="S994" s="61">
        <v>0.34</v>
      </c>
    </row>
    <row r="995" ht="20" customHeight="1" spans="1:19">
      <c r="A995" s="43" t="s">
        <v>97</v>
      </c>
      <c r="B995" s="43" t="s">
        <v>102</v>
      </c>
      <c r="C995" s="44"/>
      <c r="D995" s="43" t="s">
        <v>52</v>
      </c>
      <c r="E995" s="43" t="s">
        <v>99</v>
      </c>
      <c r="F995" s="43" t="s">
        <v>52</v>
      </c>
      <c r="G995" s="43" t="s">
        <v>100</v>
      </c>
      <c r="H995" s="43" t="s">
        <v>101</v>
      </c>
      <c r="I995" s="43" t="s">
        <v>52</v>
      </c>
      <c r="J995" s="44"/>
      <c r="K995" s="54">
        <v>4</v>
      </c>
      <c r="L995" s="54">
        <v>4</v>
      </c>
      <c r="M995" s="54">
        <v>0</v>
      </c>
      <c r="N995" s="54">
        <v>0</v>
      </c>
      <c r="O995" s="54">
        <v>4</v>
      </c>
      <c r="P995" s="55">
        <v>0.11</v>
      </c>
      <c r="Q995" s="61">
        <v>0.45</v>
      </c>
      <c r="R995" s="60"/>
      <c r="S995" s="61">
        <v>0.45</v>
      </c>
    </row>
    <row r="996" ht="20" customHeight="1" spans="1:19">
      <c r="A996" s="43" t="s">
        <v>97</v>
      </c>
      <c r="B996" s="43" t="s">
        <v>102</v>
      </c>
      <c r="C996" s="44"/>
      <c r="D996" s="43" t="s">
        <v>52</v>
      </c>
      <c r="E996" s="43" t="s">
        <v>99</v>
      </c>
      <c r="F996" s="43" t="s">
        <v>52</v>
      </c>
      <c r="G996" s="43" t="s">
        <v>100</v>
      </c>
      <c r="H996" s="43" t="s">
        <v>101</v>
      </c>
      <c r="I996" s="43" t="s">
        <v>52</v>
      </c>
      <c r="J996" s="44"/>
      <c r="K996" s="54">
        <v>1092</v>
      </c>
      <c r="L996" s="54">
        <v>1092</v>
      </c>
      <c r="M996" s="54">
        <v>0</v>
      </c>
      <c r="N996" s="54">
        <v>0</v>
      </c>
      <c r="O996" s="54">
        <v>1092</v>
      </c>
      <c r="P996" s="55">
        <v>0.11</v>
      </c>
      <c r="Q996" s="61">
        <v>123.57</v>
      </c>
      <c r="R996" s="60"/>
      <c r="S996" s="61">
        <v>123.57</v>
      </c>
    </row>
    <row r="997" ht="20" customHeight="1" spans="1:19">
      <c r="A997" s="43" t="s">
        <v>97</v>
      </c>
      <c r="B997" s="43" t="s">
        <v>102</v>
      </c>
      <c r="C997" s="44"/>
      <c r="D997" s="43" t="s">
        <v>52</v>
      </c>
      <c r="E997" s="43" t="s">
        <v>99</v>
      </c>
      <c r="F997" s="43" t="s">
        <v>52</v>
      </c>
      <c r="G997" s="43" t="s">
        <v>100</v>
      </c>
      <c r="H997" s="43" t="s">
        <v>101</v>
      </c>
      <c r="I997" s="43" t="s">
        <v>52</v>
      </c>
      <c r="J997" s="44"/>
      <c r="K997" s="54">
        <v>1</v>
      </c>
      <c r="L997" s="54">
        <v>1</v>
      </c>
      <c r="M997" s="54">
        <v>0</v>
      </c>
      <c r="N997" s="54">
        <v>0</v>
      </c>
      <c r="O997" s="54">
        <v>1</v>
      </c>
      <c r="P997" s="55">
        <v>0.11</v>
      </c>
      <c r="Q997" s="61">
        <v>0.11</v>
      </c>
      <c r="R997" s="60"/>
      <c r="S997" s="61">
        <v>0.11</v>
      </c>
    </row>
    <row r="998" ht="20" customHeight="1" spans="1:19">
      <c r="A998" s="43" t="s">
        <v>97</v>
      </c>
      <c r="B998" s="43" t="s">
        <v>102</v>
      </c>
      <c r="C998" s="44"/>
      <c r="D998" s="43" t="s">
        <v>52</v>
      </c>
      <c r="E998" s="43" t="s">
        <v>99</v>
      </c>
      <c r="F998" s="43" t="s">
        <v>52</v>
      </c>
      <c r="G998" s="43" t="s">
        <v>103</v>
      </c>
      <c r="H998" s="43" t="s">
        <v>104</v>
      </c>
      <c r="I998" s="43" t="s">
        <v>52</v>
      </c>
      <c r="J998" s="44"/>
      <c r="K998" s="54">
        <v>4</v>
      </c>
      <c r="L998" s="54">
        <v>4</v>
      </c>
      <c r="M998" s="54">
        <v>0</v>
      </c>
      <c r="N998" s="54">
        <v>0</v>
      </c>
      <c r="O998" s="54">
        <v>4</v>
      </c>
      <c r="P998" s="55">
        <v>0.02</v>
      </c>
      <c r="Q998" s="61">
        <v>0.08</v>
      </c>
      <c r="R998" s="60"/>
      <c r="S998" s="61">
        <v>0.08</v>
      </c>
    </row>
    <row r="999" ht="20" customHeight="1" spans="1:19">
      <c r="A999" s="43" t="s">
        <v>97</v>
      </c>
      <c r="B999" s="43" t="s">
        <v>102</v>
      </c>
      <c r="C999" s="44"/>
      <c r="D999" s="43" t="s">
        <v>52</v>
      </c>
      <c r="E999" s="43" t="s">
        <v>99</v>
      </c>
      <c r="F999" s="43" t="s">
        <v>52</v>
      </c>
      <c r="G999" s="43" t="s">
        <v>103</v>
      </c>
      <c r="H999" s="43" t="s">
        <v>104</v>
      </c>
      <c r="I999" s="43" t="s">
        <v>52</v>
      </c>
      <c r="J999" s="44"/>
      <c r="K999" s="54">
        <v>14148</v>
      </c>
      <c r="L999" s="54">
        <v>14148</v>
      </c>
      <c r="M999" s="54">
        <v>0</v>
      </c>
      <c r="N999" s="54">
        <v>0</v>
      </c>
      <c r="O999" s="54">
        <v>14148</v>
      </c>
      <c r="P999" s="55">
        <v>0.02</v>
      </c>
      <c r="Q999" s="61">
        <v>272.75</v>
      </c>
      <c r="R999" s="60"/>
      <c r="S999" s="61">
        <v>272.75</v>
      </c>
    </row>
    <row r="1000" ht="20" customHeight="1" spans="1:19">
      <c r="A1000" s="43" t="s">
        <v>97</v>
      </c>
      <c r="B1000" s="43" t="s">
        <v>102</v>
      </c>
      <c r="C1000" s="44"/>
      <c r="D1000" s="43" t="s">
        <v>52</v>
      </c>
      <c r="E1000" s="43" t="s">
        <v>99</v>
      </c>
      <c r="F1000" s="43" t="s">
        <v>52</v>
      </c>
      <c r="G1000" s="43" t="s">
        <v>103</v>
      </c>
      <c r="H1000" s="43" t="s">
        <v>104</v>
      </c>
      <c r="I1000" s="43" t="s">
        <v>52</v>
      </c>
      <c r="J1000" s="44"/>
      <c r="K1000" s="54">
        <v>56</v>
      </c>
      <c r="L1000" s="54">
        <v>56</v>
      </c>
      <c r="M1000" s="54">
        <v>0</v>
      </c>
      <c r="N1000" s="54">
        <v>0</v>
      </c>
      <c r="O1000" s="54">
        <v>56</v>
      </c>
      <c r="P1000" s="55">
        <v>0.02</v>
      </c>
      <c r="Q1000" s="61">
        <v>1.08</v>
      </c>
      <c r="R1000" s="60"/>
      <c r="S1000" s="61">
        <v>1.08</v>
      </c>
    </row>
    <row r="1001" ht="20" customHeight="1" spans="1:19">
      <c r="A1001" s="43" t="s">
        <v>105</v>
      </c>
      <c r="B1001" s="43" t="s">
        <v>106</v>
      </c>
      <c r="C1001" s="44"/>
      <c r="D1001" s="43" t="s">
        <v>52</v>
      </c>
      <c r="E1001" s="43" t="s">
        <v>107</v>
      </c>
      <c r="F1001" s="43" t="s">
        <v>52</v>
      </c>
      <c r="G1001" s="43" t="s">
        <v>108</v>
      </c>
      <c r="H1001" s="43" t="s">
        <v>109</v>
      </c>
      <c r="I1001" s="43" t="s">
        <v>52</v>
      </c>
      <c r="J1001" s="44"/>
      <c r="K1001" s="54">
        <v>20736</v>
      </c>
      <c r="L1001" s="54">
        <v>20736</v>
      </c>
      <c r="M1001" s="54">
        <v>0</v>
      </c>
      <c r="N1001" s="54">
        <v>0</v>
      </c>
      <c r="O1001" s="54">
        <v>20736</v>
      </c>
      <c r="P1001" s="55">
        <v>0.01</v>
      </c>
      <c r="Q1001" s="61">
        <v>150.96</v>
      </c>
      <c r="R1001" s="60"/>
      <c r="S1001" s="61">
        <v>150.96</v>
      </c>
    </row>
    <row r="1002" ht="20" customHeight="1" spans="1:19">
      <c r="A1002" s="43" t="s">
        <v>105</v>
      </c>
      <c r="B1002" s="43" t="s">
        <v>106</v>
      </c>
      <c r="C1002" s="44"/>
      <c r="D1002" s="43" t="s">
        <v>52</v>
      </c>
      <c r="E1002" s="43" t="s">
        <v>107</v>
      </c>
      <c r="F1002" s="43" t="s">
        <v>52</v>
      </c>
      <c r="G1002" s="43" t="s">
        <v>108</v>
      </c>
      <c r="H1002" s="43" t="s">
        <v>109</v>
      </c>
      <c r="I1002" s="43" t="s">
        <v>52</v>
      </c>
      <c r="J1002" s="44"/>
      <c r="K1002" s="54">
        <v>252</v>
      </c>
      <c r="L1002" s="54">
        <v>252</v>
      </c>
      <c r="M1002" s="54">
        <v>0</v>
      </c>
      <c r="N1002" s="54">
        <v>0</v>
      </c>
      <c r="O1002" s="54">
        <v>252</v>
      </c>
      <c r="P1002" s="55">
        <v>0.01</v>
      </c>
      <c r="Q1002" s="61">
        <v>1.83</v>
      </c>
      <c r="R1002" s="60"/>
      <c r="S1002" s="61">
        <v>1.83</v>
      </c>
    </row>
    <row r="1003" ht="20" customHeight="1" spans="1:19">
      <c r="A1003" s="43" t="s">
        <v>105</v>
      </c>
      <c r="B1003" s="43" t="s">
        <v>106</v>
      </c>
      <c r="C1003" s="44"/>
      <c r="D1003" s="43" t="s">
        <v>52</v>
      </c>
      <c r="E1003" s="43" t="s">
        <v>107</v>
      </c>
      <c r="F1003" s="43" t="s">
        <v>52</v>
      </c>
      <c r="G1003" s="43" t="s">
        <v>108</v>
      </c>
      <c r="H1003" s="43" t="s">
        <v>109</v>
      </c>
      <c r="I1003" s="43" t="s">
        <v>52</v>
      </c>
      <c r="J1003" s="44"/>
      <c r="K1003" s="54">
        <v>8640</v>
      </c>
      <c r="L1003" s="54">
        <v>8640</v>
      </c>
      <c r="M1003" s="54">
        <v>0</v>
      </c>
      <c r="N1003" s="54">
        <v>0</v>
      </c>
      <c r="O1003" s="54">
        <v>8640</v>
      </c>
      <c r="P1003" s="55">
        <v>0.01</v>
      </c>
      <c r="Q1003" s="61">
        <v>62.9</v>
      </c>
      <c r="R1003" s="60"/>
      <c r="S1003" s="61">
        <v>62.9</v>
      </c>
    </row>
    <row r="1004" ht="20" customHeight="1" spans="1:19">
      <c r="A1004" s="43" t="s">
        <v>105</v>
      </c>
      <c r="B1004" s="43" t="s">
        <v>106</v>
      </c>
      <c r="C1004" s="44"/>
      <c r="D1004" s="43" t="s">
        <v>52</v>
      </c>
      <c r="E1004" s="43" t="s">
        <v>107</v>
      </c>
      <c r="F1004" s="43" t="s">
        <v>52</v>
      </c>
      <c r="G1004" s="43" t="s">
        <v>108</v>
      </c>
      <c r="H1004" s="43" t="s">
        <v>109</v>
      </c>
      <c r="I1004" s="43" t="s">
        <v>52</v>
      </c>
      <c r="J1004" s="44"/>
      <c r="K1004" s="54">
        <v>180</v>
      </c>
      <c r="L1004" s="54">
        <v>180</v>
      </c>
      <c r="M1004" s="54">
        <v>0</v>
      </c>
      <c r="N1004" s="54">
        <v>0</v>
      </c>
      <c r="O1004" s="54">
        <v>180</v>
      </c>
      <c r="P1004" s="55">
        <v>0.01</v>
      </c>
      <c r="Q1004" s="61">
        <v>1.31</v>
      </c>
      <c r="R1004" s="60"/>
      <c r="S1004" s="61">
        <v>1.31</v>
      </c>
    </row>
    <row r="1005" ht="20" customHeight="1" spans="1:19">
      <c r="A1005" s="43" t="s">
        <v>105</v>
      </c>
      <c r="B1005" s="43" t="s">
        <v>106</v>
      </c>
      <c r="C1005" s="44"/>
      <c r="D1005" s="43" t="s">
        <v>52</v>
      </c>
      <c r="E1005" s="43" t="s">
        <v>107</v>
      </c>
      <c r="F1005" s="43" t="s">
        <v>52</v>
      </c>
      <c r="G1005" s="43" t="s">
        <v>108</v>
      </c>
      <c r="H1005" s="43" t="s">
        <v>109</v>
      </c>
      <c r="I1005" s="43" t="s">
        <v>52</v>
      </c>
      <c r="J1005" s="44"/>
      <c r="K1005" s="54">
        <v>9360</v>
      </c>
      <c r="L1005" s="54">
        <v>9360</v>
      </c>
      <c r="M1005" s="54">
        <v>0</v>
      </c>
      <c r="N1005" s="54">
        <v>0</v>
      </c>
      <c r="O1005" s="54">
        <v>9360</v>
      </c>
      <c r="P1005" s="55">
        <v>0.01</v>
      </c>
      <c r="Q1005" s="61">
        <v>68.14</v>
      </c>
      <c r="R1005" s="60"/>
      <c r="S1005" s="61">
        <v>68.14</v>
      </c>
    </row>
    <row r="1006" ht="20" customHeight="1" spans="1:19">
      <c r="A1006" s="43" t="s">
        <v>110</v>
      </c>
      <c r="B1006" s="43" t="s">
        <v>111</v>
      </c>
      <c r="C1006" s="44"/>
      <c r="D1006" s="43" t="s">
        <v>52</v>
      </c>
      <c r="E1006" s="43" t="s">
        <v>112</v>
      </c>
      <c r="F1006" s="43" t="s">
        <v>52</v>
      </c>
      <c r="G1006" s="43" t="s">
        <v>103</v>
      </c>
      <c r="H1006" s="43" t="s">
        <v>104</v>
      </c>
      <c r="I1006" s="43" t="s">
        <v>52</v>
      </c>
      <c r="J1006" s="44"/>
      <c r="K1006" s="54">
        <v>72</v>
      </c>
      <c r="L1006" s="54">
        <v>72</v>
      </c>
      <c r="M1006" s="54">
        <v>0</v>
      </c>
      <c r="N1006" s="54">
        <v>0</v>
      </c>
      <c r="O1006" s="54">
        <v>72</v>
      </c>
      <c r="P1006" s="55">
        <v>0.02</v>
      </c>
      <c r="Q1006" s="61">
        <v>1.39</v>
      </c>
      <c r="R1006" s="60"/>
      <c r="S1006" s="61">
        <v>1.39</v>
      </c>
    </row>
    <row r="1007" ht="20" customHeight="1" spans="1:19">
      <c r="A1007" s="43" t="s">
        <v>110</v>
      </c>
      <c r="B1007" s="43" t="s">
        <v>111</v>
      </c>
      <c r="C1007" s="44"/>
      <c r="D1007" s="43" t="s">
        <v>52</v>
      </c>
      <c r="E1007" s="43" t="s">
        <v>112</v>
      </c>
      <c r="F1007" s="43" t="s">
        <v>52</v>
      </c>
      <c r="G1007" s="43" t="s">
        <v>103</v>
      </c>
      <c r="H1007" s="43" t="s">
        <v>104</v>
      </c>
      <c r="I1007" s="43" t="s">
        <v>52</v>
      </c>
      <c r="J1007" s="44"/>
      <c r="K1007" s="54">
        <v>14112</v>
      </c>
      <c r="L1007" s="54">
        <v>14112</v>
      </c>
      <c r="M1007" s="54">
        <v>0</v>
      </c>
      <c r="N1007" s="54">
        <v>0</v>
      </c>
      <c r="O1007" s="54">
        <v>14112</v>
      </c>
      <c r="P1007" s="55">
        <v>0.02</v>
      </c>
      <c r="Q1007" s="61">
        <v>272.05</v>
      </c>
      <c r="R1007" s="60"/>
      <c r="S1007" s="61">
        <v>272.05</v>
      </c>
    </row>
    <row r="1008" ht="20" customHeight="1" spans="1:19">
      <c r="A1008" s="43" t="s">
        <v>110</v>
      </c>
      <c r="B1008" s="43" t="s">
        <v>111</v>
      </c>
      <c r="C1008" s="44"/>
      <c r="D1008" s="43" t="s">
        <v>52</v>
      </c>
      <c r="E1008" s="43" t="s">
        <v>112</v>
      </c>
      <c r="F1008" s="43" t="s">
        <v>52</v>
      </c>
      <c r="G1008" s="43" t="s">
        <v>103</v>
      </c>
      <c r="H1008" s="43" t="s">
        <v>104</v>
      </c>
      <c r="I1008" s="43" t="s">
        <v>52</v>
      </c>
      <c r="J1008" s="44"/>
      <c r="K1008" s="54">
        <v>20</v>
      </c>
      <c r="L1008" s="54">
        <v>20</v>
      </c>
      <c r="M1008" s="54">
        <v>0</v>
      </c>
      <c r="N1008" s="54">
        <v>0</v>
      </c>
      <c r="O1008" s="54">
        <v>20</v>
      </c>
      <c r="P1008" s="55">
        <v>0.02</v>
      </c>
      <c r="Q1008" s="61">
        <v>0.39</v>
      </c>
      <c r="R1008" s="60"/>
      <c r="S1008" s="61">
        <v>0.39</v>
      </c>
    </row>
    <row r="1009" ht="20" customHeight="1" spans="1:19">
      <c r="A1009" s="43" t="s">
        <v>110</v>
      </c>
      <c r="B1009" s="43" t="s">
        <v>111</v>
      </c>
      <c r="C1009" s="44"/>
      <c r="D1009" s="43" t="s">
        <v>52</v>
      </c>
      <c r="E1009" s="43" t="s">
        <v>112</v>
      </c>
      <c r="F1009" s="43" t="s">
        <v>52</v>
      </c>
      <c r="G1009" s="43" t="s">
        <v>103</v>
      </c>
      <c r="H1009" s="43" t="s">
        <v>104</v>
      </c>
      <c r="I1009" s="43" t="s">
        <v>52</v>
      </c>
      <c r="J1009" s="44"/>
      <c r="K1009" s="54">
        <v>4</v>
      </c>
      <c r="L1009" s="54">
        <v>4</v>
      </c>
      <c r="M1009" s="54">
        <v>0</v>
      </c>
      <c r="N1009" s="54">
        <v>0</v>
      </c>
      <c r="O1009" s="54">
        <v>4</v>
      </c>
      <c r="P1009" s="55">
        <v>0.02</v>
      </c>
      <c r="Q1009" s="61">
        <v>0.08</v>
      </c>
      <c r="R1009" s="60"/>
      <c r="S1009" s="61">
        <v>0.08</v>
      </c>
    </row>
    <row r="1010" ht="13" customHeight="1" spans="1:19">
      <c r="A1010" s="47" t="s">
        <v>143</v>
      </c>
      <c r="B1010" s="48"/>
      <c r="C1010" s="48"/>
      <c r="D1010" s="48"/>
      <c r="E1010" s="48"/>
      <c r="F1010" s="48"/>
      <c r="G1010" s="48"/>
      <c r="H1010" s="48"/>
      <c r="I1010" s="48"/>
      <c r="J1010" s="56"/>
      <c r="K1010" s="47" t="s">
        <v>144</v>
      </c>
      <c r="L1010" s="57">
        <v>129146</v>
      </c>
      <c r="M1010" s="58">
        <v>0</v>
      </c>
      <c r="N1010" s="58">
        <v>0</v>
      </c>
      <c r="O1010" s="58">
        <v>129146</v>
      </c>
      <c r="P1010" s="59" t="s">
        <v>52</v>
      </c>
      <c r="Q1010" s="62"/>
      <c r="R1010" s="62"/>
      <c r="S1010" s="63">
        <v>1578.65</v>
      </c>
    </row>
    <row r="1011" ht="19" customHeight="1" spans="1:19">
      <c r="A1011" s="43" t="s">
        <v>145</v>
      </c>
      <c r="B1011" s="44"/>
      <c r="C1011" s="44"/>
      <c r="D1011" s="49" t="s">
        <v>146</v>
      </c>
      <c r="E1011" s="50" t="s">
        <v>147</v>
      </c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56"/>
      <c r="S1011" s="56"/>
    </row>
    <row r="1012" ht="19" customHeight="1" spans="1:19">
      <c r="A1012" s="49" t="s">
        <v>146</v>
      </c>
      <c r="B1012" s="51"/>
      <c r="C1012" s="51"/>
      <c r="D1012" s="49" t="s">
        <v>146</v>
      </c>
      <c r="E1012" s="49" t="s">
        <v>119</v>
      </c>
      <c r="F1012" s="52">
        <v>700</v>
      </c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56"/>
      <c r="S1012" s="56"/>
    </row>
    <row r="1013" ht="12" customHeight="1" spans="1:19">
      <c r="A1013" s="46" t="s">
        <v>52</v>
      </c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56"/>
      <c r="S1013" s="56"/>
    </row>
    <row r="1014" ht="14" customHeight="1" spans="1:19">
      <c r="A1014" s="43" t="s">
        <v>67</v>
      </c>
      <c r="B1014" s="44"/>
      <c r="C1014" s="44"/>
      <c r="D1014" s="45" t="s">
        <v>124</v>
      </c>
      <c r="E1014" s="43" t="s">
        <v>69</v>
      </c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</row>
    <row r="1015" ht="14" customHeight="1" spans="1:19">
      <c r="A1015" s="43" t="s">
        <v>70</v>
      </c>
      <c r="B1015" s="44"/>
      <c r="C1015" s="44"/>
      <c r="D1015" s="45" t="s">
        <v>124</v>
      </c>
      <c r="E1015" s="43" t="s">
        <v>71</v>
      </c>
      <c r="F1015" s="44"/>
      <c r="G1015" s="44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</row>
    <row r="1016" ht="14" customHeight="1" spans="1:19">
      <c r="A1016" s="43" t="s">
        <v>82</v>
      </c>
      <c r="B1016" s="44"/>
      <c r="C1016" s="44"/>
      <c r="D1016" s="45" t="s">
        <v>124</v>
      </c>
      <c r="E1016" s="43" t="s">
        <v>83</v>
      </c>
      <c r="F1016" s="44"/>
      <c r="G1016" s="44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</row>
    <row r="1017" ht="14" customHeight="1" spans="1:19">
      <c r="A1017" s="43" t="s">
        <v>72</v>
      </c>
      <c r="B1017" s="44"/>
      <c r="C1017" s="44"/>
      <c r="D1017" s="45" t="s">
        <v>124</v>
      </c>
      <c r="E1017" s="43" t="s">
        <v>125</v>
      </c>
      <c r="F1017" s="44"/>
      <c r="G1017" s="44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</row>
    <row r="1018" ht="14" customHeight="1" spans="1:19">
      <c r="A1018" s="43" t="s">
        <v>126</v>
      </c>
      <c r="B1018" s="44"/>
      <c r="C1018" s="44"/>
      <c r="D1018" s="45" t="s">
        <v>124</v>
      </c>
      <c r="E1018" s="43" t="s">
        <v>175</v>
      </c>
      <c r="F1018" s="44"/>
      <c r="G1018" s="44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</row>
    <row r="1019" ht="14" customHeight="1" spans="1:19">
      <c r="A1019" s="43" t="s">
        <v>76</v>
      </c>
      <c r="B1019" s="44"/>
      <c r="C1019" s="44"/>
      <c r="D1019" s="45" t="s">
        <v>124</v>
      </c>
      <c r="E1019" s="43" t="s">
        <v>77</v>
      </c>
      <c r="F1019" s="44"/>
      <c r="G1019" s="44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</row>
    <row r="1020" ht="14" customHeight="1" spans="1:19">
      <c r="A1020" s="43" t="s">
        <v>78</v>
      </c>
      <c r="B1020" s="44"/>
      <c r="C1020" s="44"/>
      <c r="D1020" s="45" t="s">
        <v>124</v>
      </c>
      <c r="E1020" s="43" t="s">
        <v>79</v>
      </c>
      <c r="F1020" s="44"/>
      <c r="G1020" s="44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</row>
    <row r="1021" ht="14" customHeight="1" spans="1:19">
      <c r="A1021" s="43" t="s">
        <v>80</v>
      </c>
      <c r="B1021" s="44"/>
      <c r="C1021" s="44"/>
      <c r="D1021" s="45" t="s">
        <v>124</v>
      </c>
      <c r="E1021" s="43" t="s">
        <v>81</v>
      </c>
      <c r="F1021" s="44"/>
      <c r="G1021" s="44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</row>
    <row r="1022" ht="17" customHeight="1" spans="1:19">
      <c r="A1022" s="46" t="s">
        <v>52</v>
      </c>
      <c r="B1022" s="4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</row>
    <row r="1023" ht="14" customHeight="1" spans="1:19">
      <c r="A1023" s="43" t="s">
        <v>84</v>
      </c>
      <c r="B1023" s="43" t="s">
        <v>85</v>
      </c>
      <c r="C1023" s="44"/>
      <c r="D1023" s="43" t="s">
        <v>52</v>
      </c>
      <c r="E1023" s="43" t="s">
        <v>87</v>
      </c>
      <c r="F1023" s="43" t="s">
        <v>88</v>
      </c>
      <c r="G1023" s="43" t="s">
        <v>89</v>
      </c>
      <c r="H1023" s="43" t="s">
        <v>90</v>
      </c>
      <c r="I1023" s="43" t="s">
        <v>91</v>
      </c>
      <c r="J1023" s="44"/>
      <c r="K1023" s="53" t="s">
        <v>128</v>
      </c>
      <c r="L1023" s="53" t="s">
        <v>129</v>
      </c>
      <c r="M1023" s="53" t="s">
        <v>130</v>
      </c>
      <c r="N1023" s="53" t="s">
        <v>131</v>
      </c>
      <c r="O1023" s="53" t="s">
        <v>132</v>
      </c>
      <c r="P1023" s="53" t="s">
        <v>93</v>
      </c>
      <c r="Q1023" s="53" t="s">
        <v>94</v>
      </c>
      <c r="R1023" s="60"/>
      <c r="S1023" s="53" t="s">
        <v>133</v>
      </c>
    </row>
    <row r="1024" ht="20" customHeight="1" spans="1:19">
      <c r="A1024" s="43" t="s">
        <v>134</v>
      </c>
      <c r="B1024" s="43" t="s">
        <v>135</v>
      </c>
      <c r="C1024" s="44"/>
      <c r="D1024" s="43" t="s">
        <v>52</v>
      </c>
      <c r="E1024" s="43" t="s">
        <v>136</v>
      </c>
      <c r="F1024" s="43" t="s">
        <v>52</v>
      </c>
      <c r="G1024" s="43" t="s">
        <v>108</v>
      </c>
      <c r="H1024" s="43" t="s">
        <v>109</v>
      </c>
      <c r="I1024" s="43" t="s">
        <v>52</v>
      </c>
      <c r="J1024" s="44"/>
      <c r="K1024" s="54">
        <v>34272</v>
      </c>
      <c r="L1024" s="54">
        <v>34272</v>
      </c>
      <c r="M1024" s="54">
        <v>0</v>
      </c>
      <c r="N1024" s="54">
        <v>0</v>
      </c>
      <c r="O1024" s="54">
        <v>34272</v>
      </c>
      <c r="P1024" s="55">
        <v>0.01</v>
      </c>
      <c r="Q1024" s="61">
        <v>249.5</v>
      </c>
      <c r="R1024" s="60"/>
      <c r="S1024" s="61">
        <v>249.5</v>
      </c>
    </row>
    <row r="1025" ht="20" customHeight="1" spans="1:19">
      <c r="A1025" s="43" t="s">
        <v>134</v>
      </c>
      <c r="B1025" s="43" t="s">
        <v>135</v>
      </c>
      <c r="C1025" s="44"/>
      <c r="D1025" s="43" t="s">
        <v>52</v>
      </c>
      <c r="E1025" s="43" t="s">
        <v>136</v>
      </c>
      <c r="F1025" s="43" t="s">
        <v>52</v>
      </c>
      <c r="G1025" s="43" t="s">
        <v>108</v>
      </c>
      <c r="H1025" s="43" t="s">
        <v>109</v>
      </c>
      <c r="I1025" s="43" t="s">
        <v>52</v>
      </c>
      <c r="J1025" s="44"/>
      <c r="K1025" s="54">
        <v>4752</v>
      </c>
      <c r="L1025" s="54">
        <v>4752</v>
      </c>
      <c r="M1025" s="54">
        <v>0</v>
      </c>
      <c r="N1025" s="54">
        <v>0</v>
      </c>
      <c r="O1025" s="54">
        <v>4752</v>
      </c>
      <c r="P1025" s="55">
        <v>0.01</v>
      </c>
      <c r="Q1025" s="61">
        <v>34.59</v>
      </c>
      <c r="R1025" s="60"/>
      <c r="S1025" s="61">
        <v>34.59</v>
      </c>
    </row>
    <row r="1026" ht="20" customHeight="1" spans="1:19">
      <c r="A1026" s="43" t="s">
        <v>134</v>
      </c>
      <c r="B1026" s="43" t="s">
        <v>135</v>
      </c>
      <c r="C1026" s="44"/>
      <c r="D1026" s="43" t="s">
        <v>52</v>
      </c>
      <c r="E1026" s="43" t="s">
        <v>136</v>
      </c>
      <c r="F1026" s="43" t="s">
        <v>52</v>
      </c>
      <c r="G1026" s="43" t="s">
        <v>108</v>
      </c>
      <c r="H1026" s="43" t="s">
        <v>109</v>
      </c>
      <c r="I1026" s="43" t="s">
        <v>52</v>
      </c>
      <c r="J1026" s="44"/>
      <c r="K1026" s="54">
        <v>144</v>
      </c>
      <c r="L1026" s="54">
        <v>144</v>
      </c>
      <c r="M1026" s="54">
        <v>0</v>
      </c>
      <c r="N1026" s="54">
        <v>0</v>
      </c>
      <c r="O1026" s="54">
        <v>144</v>
      </c>
      <c r="P1026" s="55">
        <v>0.01</v>
      </c>
      <c r="Q1026" s="61">
        <v>1.05</v>
      </c>
      <c r="R1026" s="60"/>
      <c r="S1026" s="61">
        <v>1.05</v>
      </c>
    </row>
    <row r="1027" ht="20" customHeight="1" spans="1:19">
      <c r="A1027" s="43" t="s">
        <v>137</v>
      </c>
      <c r="B1027" s="43" t="s">
        <v>138</v>
      </c>
      <c r="C1027" s="44"/>
      <c r="D1027" s="43" t="s">
        <v>52</v>
      </c>
      <c r="E1027" s="43" t="s">
        <v>139</v>
      </c>
      <c r="F1027" s="43" t="s">
        <v>52</v>
      </c>
      <c r="G1027" s="43" t="s">
        <v>100</v>
      </c>
      <c r="H1027" s="43" t="s">
        <v>101</v>
      </c>
      <c r="I1027" s="43" t="s">
        <v>52</v>
      </c>
      <c r="J1027" s="44"/>
      <c r="K1027" s="54">
        <v>1692</v>
      </c>
      <c r="L1027" s="54">
        <v>1692</v>
      </c>
      <c r="M1027" s="54">
        <v>0</v>
      </c>
      <c r="N1027" s="54">
        <v>0</v>
      </c>
      <c r="O1027" s="54">
        <v>1692</v>
      </c>
      <c r="P1027" s="55">
        <v>0.11</v>
      </c>
      <c r="Q1027" s="61">
        <v>191.47</v>
      </c>
      <c r="R1027" s="60"/>
      <c r="S1027" s="61">
        <v>191.47</v>
      </c>
    </row>
    <row r="1028" ht="20" customHeight="1" spans="1:19">
      <c r="A1028" s="43" t="s">
        <v>137</v>
      </c>
      <c r="B1028" s="43" t="s">
        <v>138</v>
      </c>
      <c r="C1028" s="44"/>
      <c r="D1028" s="43" t="s">
        <v>52</v>
      </c>
      <c r="E1028" s="43" t="s">
        <v>139</v>
      </c>
      <c r="F1028" s="43" t="s">
        <v>52</v>
      </c>
      <c r="G1028" s="43" t="s">
        <v>100</v>
      </c>
      <c r="H1028" s="43" t="s">
        <v>101</v>
      </c>
      <c r="I1028" s="43" t="s">
        <v>52</v>
      </c>
      <c r="J1028" s="44"/>
      <c r="K1028" s="54">
        <v>8</v>
      </c>
      <c r="L1028" s="54">
        <v>8</v>
      </c>
      <c r="M1028" s="54">
        <v>0</v>
      </c>
      <c r="N1028" s="54">
        <v>0</v>
      </c>
      <c r="O1028" s="54">
        <v>8</v>
      </c>
      <c r="P1028" s="55">
        <v>0.11</v>
      </c>
      <c r="Q1028" s="61">
        <v>0.91</v>
      </c>
      <c r="R1028" s="60"/>
      <c r="S1028" s="61">
        <v>0.91</v>
      </c>
    </row>
    <row r="1029" ht="20" customHeight="1" spans="1:19">
      <c r="A1029" s="43" t="s">
        <v>137</v>
      </c>
      <c r="B1029" s="43" t="s">
        <v>138</v>
      </c>
      <c r="C1029" s="44"/>
      <c r="D1029" s="43" t="s">
        <v>52</v>
      </c>
      <c r="E1029" s="43" t="s">
        <v>139</v>
      </c>
      <c r="F1029" s="43" t="s">
        <v>52</v>
      </c>
      <c r="G1029" s="43" t="s">
        <v>100</v>
      </c>
      <c r="H1029" s="43" t="s">
        <v>101</v>
      </c>
      <c r="I1029" s="43" t="s">
        <v>52</v>
      </c>
      <c r="J1029" s="44"/>
      <c r="K1029" s="54">
        <v>10</v>
      </c>
      <c r="L1029" s="54">
        <v>10</v>
      </c>
      <c r="M1029" s="54">
        <v>0</v>
      </c>
      <c r="N1029" s="54">
        <v>0</v>
      </c>
      <c r="O1029" s="54">
        <v>10</v>
      </c>
      <c r="P1029" s="55">
        <v>0.11</v>
      </c>
      <c r="Q1029" s="61">
        <v>1.13</v>
      </c>
      <c r="R1029" s="60"/>
      <c r="S1029" s="61">
        <v>1.13</v>
      </c>
    </row>
    <row r="1030" ht="20" customHeight="1" spans="1:19">
      <c r="A1030" s="43" t="s">
        <v>140</v>
      </c>
      <c r="B1030" s="43" t="s">
        <v>141</v>
      </c>
      <c r="C1030" s="44"/>
      <c r="D1030" s="43" t="s">
        <v>52</v>
      </c>
      <c r="E1030" s="43" t="s">
        <v>142</v>
      </c>
      <c r="F1030" s="43" t="s">
        <v>52</v>
      </c>
      <c r="G1030" s="43" t="s">
        <v>108</v>
      </c>
      <c r="H1030" s="43" t="s">
        <v>109</v>
      </c>
      <c r="I1030" s="43" t="s">
        <v>52</v>
      </c>
      <c r="J1030" s="44"/>
      <c r="K1030" s="54">
        <v>180</v>
      </c>
      <c r="L1030" s="54">
        <v>180</v>
      </c>
      <c r="M1030" s="54">
        <v>0</v>
      </c>
      <c r="N1030" s="54">
        <v>0</v>
      </c>
      <c r="O1030" s="54">
        <v>180</v>
      </c>
      <c r="P1030" s="55">
        <v>0.01</v>
      </c>
      <c r="Q1030" s="61">
        <v>1.31</v>
      </c>
      <c r="R1030" s="60"/>
      <c r="S1030" s="61">
        <v>1.31</v>
      </c>
    </row>
    <row r="1031" ht="20" customHeight="1" spans="1:19">
      <c r="A1031" s="43" t="s">
        <v>140</v>
      </c>
      <c r="B1031" s="43" t="s">
        <v>141</v>
      </c>
      <c r="C1031" s="44"/>
      <c r="D1031" s="43" t="s">
        <v>52</v>
      </c>
      <c r="E1031" s="43" t="s">
        <v>142</v>
      </c>
      <c r="F1031" s="43" t="s">
        <v>52</v>
      </c>
      <c r="G1031" s="43" t="s">
        <v>108</v>
      </c>
      <c r="H1031" s="43" t="s">
        <v>109</v>
      </c>
      <c r="I1031" s="43" t="s">
        <v>52</v>
      </c>
      <c r="J1031" s="44"/>
      <c r="K1031" s="54">
        <v>24</v>
      </c>
      <c r="L1031" s="54">
        <v>24</v>
      </c>
      <c r="M1031" s="54">
        <v>0</v>
      </c>
      <c r="N1031" s="54">
        <v>0</v>
      </c>
      <c r="O1031" s="54">
        <v>24</v>
      </c>
      <c r="P1031" s="55">
        <v>0.01</v>
      </c>
      <c r="Q1031" s="61">
        <v>0.17</v>
      </c>
      <c r="R1031" s="60"/>
      <c r="S1031" s="61">
        <v>0.17</v>
      </c>
    </row>
    <row r="1032" ht="20" customHeight="1" spans="1:19">
      <c r="A1032" s="43" t="s">
        <v>140</v>
      </c>
      <c r="B1032" s="43" t="s">
        <v>141</v>
      </c>
      <c r="C1032" s="44"/>
      <c r="D1032" s="43" t="s">
        <v>52</v>
      </c>
      <c r="E1032" s="43" t="s">
        <v>142</v>
      </c>
      <c r="F1032" s="43" t="s">
        <v>52</v>
      </c>
      <c r="G1032" s="43" t="s">
        <v>108</v>
      </c>
      <c r="H1032" s="43" t="s">
        <v>109</v>
      </c>
      <c r="I1032" s="43" t="s">
        <v>52</v>
      </c>
      <c r="J1032" s="44"/>
      <c r="K1032" s="54">
        <v>19224</v>
      </c>
      <c r="L1032" s="54">
        <v>19224</v>
      </c>
      <c r="M1032" s="54">
        <v>0</v>
      </c>
      <c r="N1032" s="54">
        <v>0</v>
      </c>
      <c r="O1032" s="54">
        <v>19224</v>
      </c>
      <c r="P1032" s="55">
        <v>0.01</v>
      </c>
      <c r="Q1032" s="61">
        <v>139.95</v>
      </c>
      <c r="R1032" s="60"/>
      <c r="S1032" s="61">
        <v>139.95</v>
      </c>
    </row>
    <row r="1033" ht="20" customHeight="1" spans="1:19">
      <c r="A1033" s="43" t="s">
        <v>140</v>
      </c>
      <c r="B1033" s="43" t="s">
        <v>141</v>
      </c>
      <c r="C1033" s="44"/>
      <c r="D1033" s="43" t="s">
        <v>52</v>
      </c>
      <c r="E1033" s="43" t="s">
        <v>142</v>
      </c>
      <c r="F1033" s="43" t="s">
        <v>52</v>
      </c>
      <c r="G1033" s="43" t="s">
        <v>108</v>
      </c>
      <c r="H1033" s="43" t="s">
        <v>109</v>
      </c>
      <c r="I1033" s="43" t="s">
        <v>52</v>
      </c>
      <c r="J1033" s="44"/>
      <c r="K1033" s="54">
        <v>156</v>
      </c>
      <c r="L1033" s="54">
        <v>156</v>
      </c>
      <c r="M1033" s="54">
        <v>0</v>
      </c>
      <c r="N1033" s="54">
        <v>0</v>
      </c>
      <c r="O1033" s="54">
        <v>156</v>
      </c>
      <c r="P1033" s="55">
        <v>0.01</v>
      </c>
      <c r="Q1033" s="61">
        <v>1.14</v>
      </c>
      <c r="R1033" s="60"/>
      <c r="S1033" s="61">
        <v>1.14</v>
      </c>
    </row>
    <row r="1034" ht="20" customHeight="1" spans="1:19">
      <c r="A1034" s="43" t="s">
        <v>97</v>
      </c>
      <c r="B1034" s="43" t="s">
        <v>102</v>
      </c>
      <c r="C1034" s="44"/>
      <c r="D1034" s="43" t="s">
        <v>52</v>
      </c>
      <c r="E1034" s="43" t="s">
        <v>99</v>
      </c>
      <c r="F1034" s="43" t="s">
        <v>52</v>
      </c>
      <c r="G1034" s="43" t="s">
        <v>100</v>
      </c>
      <c r="H1034" s="43" t="s">
        <v>101</v>
      </c>
      <c r="I1034" s="43" t="s">
        <v>52</v>
      </c>
      <c r="J1034" s="44"/>
      <c r="K1034" s="54">
        <v>3</v>
      </c>
      <c r="L1034" s="54">
        <v>3</v>
      </c>
      <c r="M1034" s="54">
        <v>0</v>
      </c>
      <c r="N1034" s="54">
        <v>0</v>
      </c>
      <c r="O1034" s="54">
        <v>3</v>
      </c>
      <c r="P1034" s="55">
        <v>0.11</v>
      </c>
      <c r="Q1034" s="61">
        <v>0.34</v>
      </c>
      <c r="R1034" s="60"/>
      <c r="S1034" s="61">
        <v>0.34</v>
      </c>
    </row>
    <row r="1035" ht="20" customHeight="1" spans="1:19">
      <c r="A1035" s="43" t="s">
        <v>97</v>
      </c>
      <c r="B1035" s="43" t="s">
        <v>102</v>
      </c>
      <c r="C1035" s="44"/>
      <c r="D1035" s="43" t="s">
        <v>52</v>
      </c>
      <c r="E1035" s="43" t="s">
        <v>99</v>
      </c>
      <c r="F1035" s="43" t="s">
        <v>52</v>
      </c>
      <c r="G1035" s="43" t="s">
        <v>100</v>
      </c>
      <c r="H1035" s="43" t="s">
        <v>101</v>
      </c>
      <c r="I1035" s="43" t="s">
        <v>52</v>
      </c>
      <c r="J1035" s="44"/>
      <c r="K1035" s="54">
        <v>4</v>
      </c>
      <c r="L1035" s="54">
        <v>4</v>
      </c>
      <c r="M1035" s="54">
        <v>0</v>
      </c>
      <c r="N1035" s="54">
        <v>0</v>
      </c>
      <c r="O1035" s="54">
        <v>4</v>
      </c>
      <c r="P1035" s="55">
        <v>0.11</v>
      </c>
      <c r="Q1035" s="61">
        <v>0.45</v>
      </c>
      <c r="R1035" s="60"/>
      <c r="S1035" s="61">
        <v>0.45</v>
      </c>
    </row>
    <row r="1036" ht="20" customHeight="1" spans="1:19">
      <c r="A1036" s="43" t="s">
        <v>97</v>
      </c>
      <c r="B1036" s="43" t="s">
        <v>102</v>
      </c>
      <c r="C1036" s="44"/>
      <c r="D1036" s="43" t="s">
        <v>52</v>
      </c>
      <c r="E1036" s="43" t="s">
        <v>99</v>
      </c>
      <c r="F1036" s="43" t="s">
        <v>52</v>
      </c>
      <c r="G1036" s="43" t="s">
        <v>100</v>
      </c>
      <c r="H1036" s="43" t="s">
        <v>101</v>
      </c>
      <c r="I1036" s="43" t="s">
        <v>52</v>
      </c>
      <c r="J1036" s="44"/>
      <c r="K1036" s="54">
        <v>1092</v>
      </c>
      <c r="L1036" s="54">
        <v>1092</v>
      </c>
      <c r="M1036" s="54">
        <v>0</v>
      </c>
      <c r="N1036" s="54">
        <v>0</v>
      </c>
      <c r="O1036" s="54">
        <v>1092</v>
      </c>
      <c r="P1036" s="55">
        <v>0.11</v>
      </c>
      <c r="Q1036" s="61">
        <v>123.57</v>
      </c>
      <c r="R1036" s="60"/>
      <c r="S1036" s="61">
        <v>123.57</v>
      </c>
    </row>
    <row r="1037" ht="20" customHeight="1" spans="1:19">
      <c r="A1037" s="43" t="s">
        <v>97</v>
      </c>
      <c r="B1037" s="43" t="s">
        <v>102</v>
      </c>
      <c r="C1037" s="44"/>
      <c r="D1037" s="43" t="s">
        <v>52</v>
      </c>
      <c r="E1037" s="43" t="s">
        <v>99</v>
      </c>
      <c r="F1037" s="43" t="s">
        <v>52</v>
      </c>
      <c r="G1037" s="43" t="s">
        <v>100</v>
      </c>
      <c r="H1037" s="43" t="s">
        <v>101</v>
      </c>
      <c r="I1037" s="43" t="s">
        <v>52</v>
      </c>
      <c r="J1037" s="44"/>
      <c r="K1037" s="54">
        <v>1</v>
      </c>
      <c r="L1037" s="54">
        <v>1</v>
      </c>
      <c r="M1037" s="54">
        <v>0</v>
      </c>
      <c r="N1037" s="54">
        <v>0</v>
      </c>
      <c r="O1037" s="54">
        <v>1</v>
      </c>
      <c r="P1037" s="55">
        <v>0.11</v>
      </c>
      <c r="Q1037" s="61">
        <v>0.11</v>
      </c>
      <c r="R1037" s="60"/>
      <c r="S1037" s="61">
        <v>0.11</v>
      </c>
    </row>
    <row r="1038" ht="20" customHeight="1" spans="1:19">
      <c r="A1038" s="43" t="s">
        <v>97</v>
      </c>
      <c r="B1038" s="43" t="s">
        <v>102</v>
      </c>
      <c r="C1038" s="44"/>
      <c r="D1038" s="43" t="s">
        <v>52</v>
      </c>
      <c r="E1038" s="43" t="s">
        <v>99</v>
      </c>
      <c r="F1038" s="43" t="s">
        <v>52</v>
      </c>
      <c r="G1038" s="43" t="s">
        <v>103</v>
      </c>
      <c r="H1038" s="43" t="s">
        <v>104</v>
      </c>
      <c r="I1038" s="43" t="s">
        <v>52</v>
      </c>
      <c r="J1038" s="44"/>
      <c r="K1038" s="54">
        <v>4</v>
      </c>
      <c r="L1038" s="54">
        <v>4</v>
      </c>
      <c r="M1038" s="54">
        <v>0</v>
      </c>
      <c r="N1038" s="54">
        <v>0</v>
      </c>
      <c r="O1038" s="54">
        <v>4</v>
      </c>
      <c r="P1038" s="55">
        <v>0.02</v>
      </c>
      <c r="Q1038" s="61">
        <v>0.08</v>
      </c>
      <c r="R1038" s="60"/>
      <c r="S1038" s="61">
        <v>0.08</v>
      </c>
    </row>
    <row r="1039" ht="20" customHeight="1" spans="1:19">
      <c r="A1039" s="43" t="s">
        <v>97</v>
      </c>
      <c r="B1039" s="43" t="s">
        <v>102</v>
      </c>
      <c r="C1039" s="44"/>
      <c r="D1039" s="43" t="s">
        <v>52</v>
      </c>
      <c r="E1039" s="43" t="s">
        <v>99</v>
      </c>
      <c r="F1039" s="43" t="s">
        <v>52</v>
      </c>
      <c r="G1039" s="43" t="s">
        <v>103</v>
      </c>
      <c r="H1039" s="43" t="s">
        <v>104</v>
      </c>
      <c r="I1039" s="43" t="s">
        <v>52</v>
      </c>
      <c r="J1039" s="44"/>
      <c r="K1039" s="54">
        <v>14148</v>
      </c>
      <c r="L1039" s="54">
        <v>14148</v>
      </c>
      <c r="M1039" s="54">
        <v>0</v>
      </c>
      <c r="N1039" s="54">
        <v>0</v>
      </c>
      <c r="O1039" s="54">
        <v>14148</v>
      </c>
      <c r="P1039" s="55">
        <v>0.02</v>
      </c>
      <c r="Q1039" s="61">
        <v>272.75</v>
      </c>
      <c r="R1039" s="60"/>
      <c r="S1039" s="61">
        <v>272.75</v>
      </c>
    </row>
    <row r="1040" ht="20" customHeight="1" spans="1:19">
      <c r="A1040" s="43" t="s">
        <v>97</v>
      </c>
      <c r="B1040" s="43" t="s">
        <v>102</v>
      </c>
      <c r="C1040" s="44"/>
      <c r="D1040" s="43" t="s">
        <v>52</v>
      </c>
      <c r="E1040" s="43" t="s">
        <v>99</v>
      </c>
      <c r="F1040" s="43" t="s">
        <v>52</v>
      </c>
      <c r="G1040" s="43" t="s">
        <v>103</v>
      </c>
      <c r="H1040" s="43" t="s">
        <v>104</v>
      </c>
      <c r="I1040" s="43" t="s">
        <v>52</v>
      </c>
      <c r="J1040" s="44"/>
      <c r="K1040" s="54">
        <v>56</v>
      </c>
      <c r="L1040" s="54">
        <v>56</v>
      </c>
      <c r="M1040" s="54">
        <v>0</v>
      </c>
      <c r="N1040" s="54">
        <v>0</v>
      </c>
      <c r="O1040" s="54">
        <v>56</v>
      </c>
      <c r="P1040" s="55">
        <v>0.02</v>
      </c>
      <c r="Q1040" s="61">
        <v>1.08</v>
      </c>
      <c r="R1040" s="60"/>
      <c r="S1040" s="61">
        <v>1.08</v>
      </c>
    </row>
    <row r="1041" ht="20" customHeight="1" spans="1:19">
      <c r="A1041" s="43" t="s">
        <v>105</v>
      </c>
      <c r="B1041" s="43" t="s">
        <v>106</v>
      </c>
      <c r="C1041" s="44"/>
      <c r="D1041" s="43" t="s">
        <v>52</v>
      </c>
      <c r="E1041" s="43" t="s">
        <v>107</v>
      </c>
      <c r="F1041" s="43" t="s">
        <v>52</v>
      </c>
      <c r="G1041" s="43" t="s">
        <v>108</v>
      </c>
      <c r="H1041" s="43" t="s">
        <v>109</v>
      </c>
      <c r="I1041" s="43" t="s">
        <v>52</v>
      </c>
      <c r="J1041" s="44"/>
      <c r="K1041" s="54">
        <v>20736</v>
      </c>
      <c r="L1041" s="54">
        <v>20736</v>
      </c>
      <c r="M1041" s="54">
        <v>0</v>
      </c>
      <c r="N1041" s="54">
        <v>0</v>
      </c>
      <c r="O1041" s="54">
        <v>20736</v>
      </c>
      <c r="P1041" s="55">
        <v>0.01</v>
      </c>
      <c r="Q1041" s="61">
        <v>150.96</v>
      </c>
      <c r="R1041" s="60"/>
      <c r="S1041" s="61">
        <v>150.96</v>
      </c>
    </row>
    <row r="1042" ht="20" customHeight="1" spans="1:19">
      <c r="A1042" s="43" t="s">
        <v>105</v>
      </c>
      <c r="B1042" s="43" t="s">
        <v>106</v>
      </c>
      <c r="C1042" s="44"/>
      <c r="D1042" s="43" t="s">
        <v>52</v>
      </c>
      <c r="E1042" s="43" t="s">
        <v>107</v>
      </c>
      <c r="F1042" s="43" t="s">
        <v>52</v>
      </c>
      <c r="G1042" s="43" t="s">
        <v>108</v>
      </c>
      <c r="H1042" s="43" t="s">
        <v>109</v>
      </c>
      <c r="I1042" s="43" t="s">
        <v>52</v>
      </c>
      <c r="J1042" s="44"/>
      <c r="K1042" s="54">
        <v>252</v>
      </c>
      <c r="L1042" s="54">
        <v>252</v>
      </c>
      <c r="M1042" s="54">
        <v>0</v>
      </c>
      <c r="N1042" s="54">
        <v>0</v>
      </c>
      <c r="O1042" s="54">
        <v>252</v>
      </c>
      <c r="P1042" s="55">
        <v>0.01</v>
      </c>
      <c r="Q1042" s="61">
        <v>1.83</v>
      </c>
      <c r="R1042" s="60"/>
      <c r="S1042" s="61">
        <v>1.83</v>
      </c>
    </row>
    <row r="1043" ht="20" customHeight="1" spans="1:19">
      <c r="A1043" s="43" t="s">
        <v>105</v>
      </c>
      <c r="B1043" s="43" t="s">
        <v>106</v>
      </c>
      <c r="C1043" s="44"/>
      <c r="D1043" s="43" t="s">
        <v>52</v>
      </c>
      <c r="E1043" s="43" t="s">
        <v>107</v>
      </c>
      <c r="F1043" s="43" t="s">
        <v>52</v>
      </c>
      <c r="G1043" s="43" t="s">
        <v>108</v>
      </c>
      <c r="H1043" s="43" t="s">
        <v>109</v>
      </c>
      <c r="I1043" s="43" t="s">
        <v>52</v>
      </c>
      <c r="J1043" s="44"/>
      <c r="K1043" s="54">
        <v>8640</v>
      </c>
      <c r="L1043" s="54">
        <v>8640</v>
      </c>
      <c r="M1043" s="54">
        <v>0</v>
      </c>
      <c r="N1043" s="54">
        <v>0</v>
      </c>
      <c r="O1043" s="54">
        <v>8640</v>
      </c>
      <c r="P1043" s="55">
        <v>0.01</v>
      </c>
      <c r="Q1043" s="61">
        <v>62.9</v>
      </c>
      <c r="R1043" s="60"/>
      <c r="S1043" s="61">
        <v>62.9</v>
      </c>
    </row>
    <row r="1044" ht="20" customHeight="1" spans="1:19">
      <c r="A1044" s="43" t="s">
        <v>105</v>
      </c>
      <c r="B1044" s="43" t="s">
        <v>106</v>
      </c>
      <c r="C1044" s="44"/>
      <c r="D1044" s="43" t="s">
        <v>52</v>
      </c>
      <c r="E1044" s="43" t="s">
        <v>107</v>
      </c>
      <c r="F1044" s="43" t="s">
        <v>52</v>
      </c>
      <c r="G1044" s="43" t="s">
        <v>108</v>
      </c>
      <c r="H1044" s="43" t="s">
        <v>109</v>
      </c>
      <c r="I1044" s="43" t="s">
        <v>52</v>
      </c>
      <c r="J1044" s="44"/>
      <c r="K1044" s="54">
        <v>180</v>
      </c>
      <c r="L1044" s="54">
        <v>180</v>
      </c>
      <c r="M1044" s="54">
        <v>0</v>
      </c>
      <c r="N1044" s="54">
        <v>0</v>
      </c>
      <c r="O1044" s="54">
        <v>180</v>
      </c>
      <c r="P1044" s="55">
        <v>0.01</v>
      </c>
      <c r="Q1044" s="61">
        <v>1.31</v>
      </c>
      <c r="R1044" s="60"/>
      <c r="S1044" s="61">
        <v>1.31</v>
      </c>
    </row>
    <row r="1045" ht="20" customHeight="1" spans="1:19">
      <c r="A1045" s="43" t="s">
        <v>105</v>
      </c>
      <c r="B1045" s="43" t="s">
        <v>106</v>
      </c>
      <c r="C1045" s="44"/>
      <c r="D1045" s="43" t="s">
        <v>52</v>
      </c>
      <c r="E1045" s="43" t="s">
        <v>107</v>
      </c>
      <c r="F1045" s="43" t="s">
        <v>52</v>
      </c>
      <c r="G1045" s="43" t="s">
        <v>108</v>
      </c>
      <c r="H1045" s="43" t="s">
        <v>109</v>
      </c>
      <c r="I1045" s="43" t="s">
        <v>52</v>
      </c>
      <c r="J1045" s="44"/>
      <c r="K1045" s="54">
        <v>9360</v>
      </c>
      <c r="L1045" s="54">
        <v>9360</v>
      </c>
      <c r="M1045" s="54">
        <v>0</v>
      </c>
      <c r="N1045" s="54">
        <v>0</v>
      </c>
      <c r="O1045" s="54">
        <v>9360</v>
      </c>
      <c r="P1045" s="55">
        <v>0.01</v>
      </c>
      <c r="Q1045" s="61">
        <v>68.14</v>
      </c>
      <c r="R1045" s="60"/>
      <c r="S1045" s="61">
        <v>68.14</v>
      </c>
    </row>
    <row r="1046" ht="20" customHeight="1" spans="1:19">
      <c r="A1046" s="43" t="s">
        <v>110</v>
      </c>
      <c r="B1046" s="43" t="s">
        <v>111</v>
      </c>
      <c r="C1046" s="44"/>
      <c r="D1046" s="43" t="s">
        <v>52</v>
      </c>
      <c r="E1046" s="43" t="s">
        <v>112</v>
      </c>
      <c r="F1046" s="43" t="s">
        <v>52</v>
      </c>
      <c r="G1046" s="43" t="s">
        <v>103</v>
      </c>
      <c r="H1046" s="43" t="s">
        <v>104</v>
      </c>
      <c r="I1046" s="43" t="s">
        <v>52</v>
      </c>
      <c r="J1046" s="44"/>
      <c r="K1046" s="54">
        <v>72</v>
      </c>
      <c r="L1046" s="54">
        <v>72</v>
      </c>
      <c r="M1046" s="54">
        <v>0</v>
      </c>
      <c r="N1046" s="54">
        <v>0</v>
      </c>
      <c r="O1046" s="54">
        <v>72</v>
      </c>
      <c r="P1046" s="55">
        <v>0.02</v>
      </c>
      <c r="Q1046" s="61">
        <v>1.39</v>
      </c>
      <c r="R1046" s="60"/>
      <c r="S1046" s="61">
        <v>1.39</v>
      </c>
    </row>
    <row r="1047" ht="20" customHeight="1" spans="1:19">
      <c r="A1047" s="43" t="s">
        <v>110</v>
      </c>
      <c r="B1047" s="43" t="s">
        <v>111</v>
      </c>
      <c r="C1047" s="44"/>
      <c r="D1047" s="43" t="s">
        <v>52</v>
      </c>
      <c r="E1047" s="43" t="s">
        <v>112</v>
      </c>
      <c r="F1047" s="43" t="s">
        <v>52</v>
      </c>
      <c r="G1047" s="43" t="s">
        <v>103</v>
      </c>
      <c r="H1047" s="43" t="s">
        <v>104</v>
      </c>
      <c r="I1047" s="43" t="s">
        <v>52</v>
      </c>
      <c r="J1047" s="44"/>
      <c r="K1047" s="54">
        <v>14112</v>
      </c>
      <c r="L1047" s="54">
        <v>14112</v>
      </c>
      <c r="M1047" s="54">
        <v>0</v>
      </c>
      <c r="N1047" s="54">
        <v>0</v>
      </c>
      <c r="O1047" s="54">
        <v>14112</v>
      </c>
      <c r="P1047" s="55">
        <v>0.02</v>
      </c>
      <c r="Q1047" s="61">
        <v>272.05</v>
      </c>
      <c r="R1047" s="60"/>
      <c r="S1047" s="61">
        <v>272.05</v>
      </c>
    </row>
    <row r="1048" ht="20" customHeight="1" spans="1:19">
      <c r="A1048" s="43" t="s">
        <v>110</v>
      </c>
      <c r="B1048" s="43" t="s">
        <v>111</v>
      </c>
      <c r="C1048" s="44"/>
      <c r="D1048" s="43" t="s">
        <v>52</v>
      </c>
      <c r="E1048" s="43" t="s">
        <v>112</v>
      </c>
      <c r="F1048" s="43" t="s">
        <v>52</v>
      </c>
      <c r="G1048" s="43" t="s">
        <v>103</v>
      </c>
      <c r="H1048" s="43" t="s">
        <v>104</v>
      </c>
      <c r="I1048" s="43" t="s">
        <v>52</v>
      </c>
      <c r="J1048" s="44"/>
      <c r="K1048" s="54">
        <v>20</v>
      </c>
      <c r="L1048" s="54">
        <v>20</v>
      </c>
      <c r="M1048" s="54">
        <v>0</v>
      </c>
      <c r="N1048" s="54">
        <v>0</v>
      </c>
      <c r="O1048" s="54">
        <v>20</v>
      </c>
      <c r="P1048" s="55">
        <v>0.02</v>
      </c>
      <c r="Q1048" s="61">
        <v>0.39</v>
      </c>
      <c r="R1048" s="60"/>
      <c r="S1048" s="61">
        <v>0.39</v>
      </c>
    </row>
    <row r="1049" ht="20" customHeight="1" spans="1:19">
      <c r="A1049" s="43" t="s">
        <v>110</v>
      </c>
      <c r="B1049" s="43" t="s">
        <v>111</v>
      </c>
      <c r="C1049" s="44"/>
      <c r="D1049" s="43" t="s">
        <v>52</v>
      </c>
      <c r="E1049" s="43" t="s">
        <v>112</v>
      </c>
      <c r="F1049" s="43" t="s">
        <v>52</v>
      </c>
      <c r="G1049" s="43" t="s">
        <v>103</v>
      </c>
      <c r="H1049" s="43" t="s">
        <v>104</v>
      </c>
      <c r="I1049" s="43" t="s">
        <v>52</v>
      </c>
      <c r="J1049" s="44"/>
      <c r="K1049" s="54">
        <v>4</v>
      </c>
      <c r="L1049" s="54">
        <v>4</v>
      </c>
      <c r="M1049" s="54">
        <v>0</v>
      </c>
      <c r="N1049" s="54">
        <v>0</v>
      </c>
      <c r="O1049" s="54">
        <v>4</v>
      </c>
      <c r="P1049" s="55">
        <v>0.02</v>
      </c>
      <c r="Q1049" s="61">
        <v>0.08</v>
      </c>
      <c r="R1049" s="60"/>
      <c r="S1049" s="61">
        <v>0.08</v>
      </c>
    </row>
    <row r="1050" ht="13" customHeight="1" spans="1:19">
      <c r="A1050" s="47" t="s">
        <v>143</v>
      </c>
      <c r="B1050" s="48"/>
      <c r="C1050" s="48"/>
      <c r="D1050" s="48"/>
      <c r="E1050" s="48"/>
      <c r="F1050" s="48"/>
      <c r="G1050" s="48"/>
      <c r="H1050" s="48"/>
      <c r="I1050" s="48"/>
      <c r="J1050" s="56"/>
      <c r="K1050" s="47" t="s">
        <v>144</v>
      </c>
      <c r="L1050" s="57">
        <v>129146</v>
      </c>
      <c r="M1050" s="58">
        <v>0</v>
      </c>
      <c r="N1050" s="58">
        <v>0</v>
      </c>
      <c r="O1050" s="58">
        <v>129146</v>
      </c>
      <c r="P1050" s="59" t="s">
        <v>52</v>
      </c>
      <c r="Q1050" s="62"/>
      <c r="R1050" s="62"/>
      <c r="S1050" s="63">
        <v>1578.65</v>
      </c>
    </row>
    <row r="1051" ht="19" customHeight="1" spans="1:19">
      <c r="A1051" s="43" t="s">
        <v>145</v>
      </c>
      <c r="B1051" s="44"/>
      <c r="C1051" s="44"/>
      <c r="D1051" s="49" t="s">
        <v>146</v>
      </c>
      <c r="E1051" s="50" t="s">
        <v>147</v>
      </c>
      <c r="F1051" s="44"/>
      <c r="G1051" s="44"/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  <c r="R1051" s="56"/>
      <c r="S1051" s="56"/>
    </row>
    <row r="1052" ht="19" customHeight="1" spans="1:19">
      <c r="A1052" s="49" t="s">
        <v>146</v>
      </c>
      <c r="B1052" s="51"/>
      <c r="C1052" s="51"/>
      <c r="D1052" s="49" t="s">
        <v>146</v>
      </c>
      <c r="E1052" s="49" t="s">
        <v>119</v>
      </c>
      <c r="F1052" s="52">
        <v>700</v>
      </c>
      <c r="G1052" s="44"/>
      <c r="H1052" s="44"/>
      <c r="I1052" s="44"/>
      <c r="J1052" s="44"/>
      <c r="K1052" s="44"/>
      <c r="L1052" s="44"/>
      <c r="M1052" s="44"/>
      <c r="N1052" s="44"/>
      <c r="O1052" s="44"/>
      <c r="P1052" s="44"/>
      <c r="Q1052" s="44"/>
      <c r="R1052" s="56"/>
      <c r="S1052" s="56"/>
    </row>
    <row r="1053" ht="12" customHeight="1" spans="1:19">
      <c r="A1053" s="46" t="s">
        <v>52</v>
      </c>
      <c r="B1053" s="40"/>
      <c r="C1053" s="40"/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56"/>
      <c r="S1053" s="56"/>
    </row>
    <row r="1054" ht="14" customHeight="1" spans="1:19">
      <c r="A1054" s="43" t="s">
        <v>67</v>
      </c>
      <c r="B1054" s="44"/>
      <c r="C1054" s="44"/>
      <c r="D1054" s="45" t="s">
        <v>124</v>
      </c>
      <c r="E1054" s="43" t="s">
        <v>69</v>
      </c>
      <c r="F1054" s="44"/>
      <c r="G1054" s="44"/>
      <c r="H1054" s="44"/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  <c r="S1054" s="44"/>
    </row>
    <row r="1055" ht="14" customHeight="1" spans="1:19">
      <c r="A1055" s="43" t="s">
        <v>70</v>
      </c>
      <c r="B1055" s="44"/>
      <c r="C1055" s="44"/>
      <c r="D1055" s="45" t="s">
        <v>124</v>
      </c>
      <c r="E1055" s="43" t="s">
        <v>71</v>
      </c>
      <c r="F1055" s="44"/>
      <c r="G1055" s="44"/>
      <c r="H1055" s="44"/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</row>
    <row r="1056" ht="14" customHeight="1" spans="1:19">
      <c r="A1056" s="43" t="s">
        <v>82</v>
      </c>
      <c r="B1056" s="44"/>
      <c r="C1056" s="44"/>
      <c r="D1056" s="45" t="s">
        <v>124</v>
      </c>
      <c r="E1056" s="43" t="s">
        <v>83</v>
      </c>
      <c r="F1056" s="44"/>
      <c r="G1056" s="44"/>
      <c r="H1056" s="44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</row>
    <row r="1057" ht="14" customHeight="1" spans="1:19">
      <c r="A1057" s="43" t="s">
        <v>72</v>
      </c>
      <c r="B1057" s="44"/>
      <c r="C1057" s="44"/>
      <c r="D1057" s="45" t="s">
        <v>124</v>
      </c>
      <c r="E1057" s="43" t="s">
        <v>125</v>
      </c>
      <c r="F1057" s="44"/>
      <c r="G1057" s="44"/>
      <c r="H1057" s="44"/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</row>
    <row r="1058" ht="14" customHeight="1" spans="1:19">
      <c r="A1058" s="43" t="s">
        <v>126</v>
      </c>
      <c r="B1058" s="44"/>
      <c r="C1058" s="44"/>
      <c r="D1058" s="45" t="s">
        <v>124</v>
      </c>
      <c r="E1058" s="43" t="s">
        <v>176</v>
      </c>
      <c r="F1058" s="44"/>
      <c r="G1058" s="44"/>
      <c r="H1058" s="44"/>
      <c r="I1058" s="44"/>
      <c r="J1058" s="44"/>
      <c r="K1058" s="44"/>
      <c r="L1058" s="44"/>
      <c r="M1058" s="44"/>
      <c r="N1058" s="44"/>
      <c r="O1058" s="44"/>
      <c r="P1058" s="44"/>
      <c r="Q1058" s="44"/>
      <c r="R1058" s="44"/>
      <c r="S1058" s="44"/>
    </row>
    <row r="1059" ht="14" customHeight="1" spans="1:19">
      <c r="A1059" s="43" t="s">
        <v>76</v>
      </c>
      <c r="B1059" s="44"/>
      <c r="C1059" s="44"/>
      <c r="D1059" s="45" t="s">
        <v>124</v>
      </c>
      <c r="E1059" s="43" t="s">
        <v>77</v>
      </c>
      <c r="F1059" s="44"/>
      <c r="G1059" s="44"/>
      <c r="H1059" s="44"/>
      <c r="I1059" s="44"/>
      <c r="J1059" s="44"/>
      <c r="K1059" s="44"/>
      <c r="L1059" s="44"/>
      <c r="M1059" s="44"/>
      <c r="N1059" s="44"/>
      <c r="O1059" s="44"/>
      <c r="P1059" s="44"/>
      <c r="Q1059" s="44"/>
      <c r="R1059" s="44"/>
      <c r="S1059" s="44"/>
    </row>
    <row r="1060" ht="14" customHeight="1" spans="1:19">
      <c r="A1060" s="43" t="s">
        <v>78</v>
      </c>
      <c r="B1060" s="44"/>
      <c r="C1060" s="44"/>
      <c r="D1060" s="45" t="s">
        <v>124</v>
      </c>
      <c r="E1060" s="43" t="s">
        <v>79</v>
      </c>
      <c r="F1060" s="44"/>
      <c r="G1060" s="44"/>
      <c r="H1060" s="44"/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</row>
    <row r="1061" ht="14" customHeight="1" spans="1:19">
      <c r="A1061" s="43" t="s">
        <v>80</v>
      </c>
      <c r="B1061" s="44"/>
      <c r="C1061" s="44"/>
      <c r="D1061" s="45" t="s">
        <v>124</v>
      </c>
      <c r="E1061" s="43" t="s">
        <v>81</v>
      </c>
      <c r="F1061" s="44"/>
      <c r="G1061" s="44"/>
      <c r="H1061" s="44"/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</row>
    <row r="1062" ht="17" customHeight="1" spans="1:19">
      <c r="A1062" s="46" t="s">
        <v>52</v>
      </c>
      <c r="B1062" s="40"/>
      <c r="C1062" s="40"/>
      <c r="D1062" s="40"/>
      <c r="E1062" s="40"/>
      <c r="F1062" s="40"/>
      <c r="G1062" s="40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</row>
    <row r="1063" ht="14" customHeight="1" spans="1:19">
      <c r="A1063" s="43" t="s">
        <v>84</v>
      </c>
      <c r="B1063" s="43" t="s">
        <v>85</v>
      </c>
      <c r="C1063" s="44"/>
      <c r="D1063" s="43" t="s">
        <v>52</v>
      </c>
      <c r="E1063" s="43" t="s">
        <v>87</v>
      </c>
      <c r="F1063" s="43" t="s">
        <v>88</v>
      </c>
      <c r="G1063" s="43" t="s">
        <v>89</v>
      </c>
      <c r="H1063" s="43" t="s">
        <v>90</v>
      </c>
      <c r="I1063" s="43" t="s">
        <v>91</v>
      </c>
      <c r="J1063" s="44"/>
      <c r="K1063" s="53" t="s">
        <v>128</v>
      </c>
      <c r="L1063" s="53" t="s">
        <v>129</v>
      </c>
      <c r="M1063" s="53" t="s">
        <v>130</v>
      </c>
      <c r="N1063" s="53" t="s">
        <v>131</v>
      </c>
      <c r="O1063" s="53" t="s">
        <v>132</v>
      </c>
      <c r="P1063" s="53" t="s">
        <v>93</v>
      </c>
      <c r="Q1063" s="53" t="s">
        <v>94</v>
      </c>
      <c r="R1063" s="60"/>
      <c r="S1063" s="53" t="s">
        <v>133</v>
      </c>
    </row>
    <row r="1064" ht="20" customHeight="1" spans="1:19">
      <c r="A1064" s="43" t="s">
        <v>134</v>
      </c>
      <c r="B1064" s="43" t="s">
        <v>135</v>
      </c>
      <c r="C1064" s="44"/>
      <c r="D1064" s="43" t="s">
        <v>52</v>
      </c>
      <c r="E1064" s="43" t="s">
        <v>136</v>
      </c>
      <c r="F1064" s="43" t="s">
        <v>52</v>
      </c>
      <c r="G1064" s="43" t="s">
        <v>108</v>
      </c>
      <c r="H1064" s="43" t="s">
        <v>109</v>
      </c>
      <c r="I1064" s="43" t="s">
        <v>52</v>
      </c>
      <c r="J1064" s="44"/>
      <c r="K1064" s="54">
        <v>4752</v>
      </c>
      <c r="L1064" s="54">
        <v>4752</v>
      </c>
      <c r="M1064" s="54">
        <v>0</v>
      </c>
      <c r="N1064" s="54">
        <v>0</v>
      </c>
      <c r="O1064" s="54">
        <v>4752</v>
      </c>
      <c r="P1064" s="55">
        <v>0.01</v>
      </c>
      <c r="Q1064" s="61">
        <v>34.59</v>
      </c>
      <c r="R1064" s="60"/>
      <c r="S1064" s="61">
        <v>34.59</v>
      </c>
    </row>
    <row r="1065" ht="20" customHeight="1" spans="1:19">
      <c r="A1065" s="43" t="s">
        <v>134</v>
      </c>
      <c r="B1065" s="43" t="s">
        <v>135</v>
      </c>
      <c r="C1065" s="44"/>
      <c r="D1065" s="43" t="s">
        <v>52</v>
      </c>
      <c r="E1065" s="43" t="s">
        <v>136</v>
      </c>
      <c r="F1065" s="43" t="s">
        <v>52</v>
      </c>
      <c r="G1065" s="43" t="s">
        <v>108</v>
      </c>
      <c r="H1065" s="43" t="s">
        <v>109</v>
      </c>
      <c r="I1065" s="43" t="s">
        <v>52</v>
      </c>
      <c r="J1065" s="44"/>
      <c r="K1065" s="54">
        <v>144</v>
      </c>
      <c r="L1065" s="54">
        <v>144</v>
      </c>
      <c r="M1065" s="54">
        <v>0</v>
      </c>
      <c r="N1065" s="54">
        <v>0</v>
      </c>
      <c r="O1065" s="54">
        <v>144</v>
      </c>
      <c r="P1065" s="55">
        <v>0.01</v>
      </c>
      <c r="Q1065" s="61">
        <v>1.05</v>
      </c>
      <c r="R1065" s="60"/>
      <c r="S1065" s="61">
        <v>1.05</v>
      </c>
    </row>
    <row r="1066" ht="20" customHeight="1" spans="1:19">
      <c r="A1066" s="43" t="s">
        <v>134</v>
      </c>
      <c r="B1066" s="43" t="s">
        <v>135</v>
      </c>
      <c r="C1066" s="44"/>
      <c r="D1066" s="43" t="s">
        <v>52</v>
      </c>
      <c r="E1066" s="43" t="s">
        <v>136</v>
      </c>
      <c r="F1066" s="43" t="s">
        <v>52</v>
      </c>
      <c r="G1066" s="43" t="s">
        <v>108</v>
      </c>
      <c r="H1066" s="43" t="s">
        <v>109</v>
      </c>
      <c r="I1066" s="43" t="s">
        <v>52</v>
      </c>
      <c r="J1066" s="44"/>
      <c r="K1066" s="54">
        <v>34272</v>
      </c>
      <c r="L1066" s="54">
        <v>34272</v>
      </c>
      <c r="M1066" s="54">
        <v>0</v>
      </c>
      <c r="N1066" s="54">
        <v>0</v>
      </c>
      <c r="O1066" s="54">
        <v>34272</v>
      </c>
      <c r="P1066" s="55">
        <v>0.01</v>
      </c>
      <c r="Q1066" s="61">
        <v>249.5</v>
      </c>
      <c r="R1066" s="60"/>
      <c r="S1066" s="61">
        <v>249.5</v>
      </c>
    </row>
    <row r="1067" ht="20" customHeight="1" spans="1:19">
      <c r="A1067" s="43" t="s">
        <v>137</v>
      </c>
      <c r="B1067" s="43" t="s">
        <v>138</v>
      </c>
      <c r="C1067" s="44"/>
      <c r="D1067" s="43" t="s">
        <v>52</v>
      </c>
      <c r="E1067" s="43" t="s">
        <v>139</v>
      </c>
      <c r="F1067" s="43" t="s">
        <v>52</v>
      </c>
      <c r="G1067" s="43" t="s">
        <v>100</v>
      </c>
      <c r="H1067" s="43" t="s">
        <v>101</v>
      </c>
      <c r="I1067" s="43" t="s">
        <v>52</v>
      </c>
      <c r="J1067" s="44"/>
      <c r="K1067" s="54">
        <v>1692</v>
      </c>
      <c r="L1067" s="54">
        <v>1692</v>
      </c>
      <c r="M1067" s="54">
        <v>0</v>
      </c>
      <c r="N1067" s="54">
        <v>0</v>
      </c>
      <c r="O1067" s="54">
        <v>1692</v>
      </c>
      <c r="P1067" s="55">
        <v>0.11</v>
      </c>
      <c r="Q1067" s="61">
        <v>191.47</v>
      </c>
      <c r="R1067" s="60"/>
      <c r="S1067" s="61">
        <v>191.47</v>
      </c>
    </row>
    <row r="1068" ht="20" customHeight="1" spans="1:19">
      <c r="A1068" s="43" t="s">
        <v>137</v>
      </c>
      <c r="B1068" s="43" t="s">
        <v>138</v>
      </c>
      <c r="C1068" s="44"/>
      <c r="D1068" s="43" t="s">
        <v>52</v>
      </c>
      <c r="E1068" s="43" t="s">
        <v>139</v>
      </c>
      <c r="F1068" s="43" t="s">
        <v>52</v>
      </c>
      <c r="G1068" s="43" t="s">
        <v>100</v>
      </c>
      <c r="H1068" s="43" t="s">
        <v>101</v>
      </c>
      <c r="I1068" s="43" t="s">
        <v>52</v>
      </c>
      <c r="J1068" s="44"/>
      <c r="K1068" s="54">
        <v>10</v>
      </c>
      <c r="L1068" s="54">
        <v>10</v>
      </c>
      <c r="M1068" s="54">
        <v>0</v>
      </c>
      <c r="N1068" s="54">
        <v>0</v>
      </c>
      <c r="O1068" s="54">
        <v>10</v>
      </c>
      <c r="P1068" s="55">
        <v>0.11</v>
      </c>
      <c r="Q1068" s="61">
        <v>1.13</v>
      </c>
      <c r="R1068" s="60"/>
      <c r="S1068" s="61">
        <v>1.13</v>
      </c>
    </row>
    <row r="1069" ht="20" customHeight="1" spans="1:19">
      <c r="A1069" s="43" t="s">
        <v>137</v>
      </c>
      <c r="B1069" s="43" t="s">
        <v>138</v>
      </c>
      <c r="C1069" s="44"/>
      <c r="D1069" s="43" t="s">
        <v>52</v>
      </c>
      <c r="E1069" s="43" t="s">
        <v>139</v>
      </c>
      <c r="F1069" s="43" t="s">
        <v>52</v>
      </c>
      <c r="G1069" s="43" t="s">
        <v>100</v>
      </c>
      <c r="H1069" s="43" t="s">
        <v>101</v>
      </c>
      <c r="I1069" s="43" t="s">
        <v>52</v>
      </c>
      <c r="J1069" s="44"/>
      <c r="K1069" s="54">
        <v>8</v>
      </c>
      <c r="L1069" s="54">
        <v>8</v>
      </c>
      <c r="M1069" s="54">
        <v>0</v>
      </c>
      <c r="N1069" s="54">
        <v>0</v>
      </c>
      <c r="O1069" s="54">
        <v>8</v>
      </c>
      <c r="P1069" s="55">
        <v>0.11</v>
      </c>
      <c r="Q1069" s="61">
        <v>0.91</v>
      </c>
      <c r="R1069" s="60"/>
      <c r="S1069" s="61">
        <v>0.91</v>
      </c>
    </row>
    <row r="1070" ht="20" customHeight="1" spans="1:19">
      <c r="A1070" s="43" t="s">
        <v>140</v>
      </c>
      <c r="B1070" s="43" t="s">
        <v>141</v>
      </c>
      <c r="C1070" s="44"/>
      <c r="D1070" s="43" t="s">
        <v>52</v>
      </c>
      <c r="E1070" s="43" t="s">
        <v>142</v>
      </c>
      <c r="F1070" s="43" t="s">
        <v>52</v>
      </c>
      <c r="G1070" s="43" t="s">
        <v>108</v>
      </c>
      <c r="H1070" s="43" t="s">
        <v>109</v>
      </c>
      <c r="I1070" s="43" t="s">
        <v>52</v>
      </c>
      <c r="J1070" s="44"/>
      <c r="K1070" s="54">
        <v>156</v>
      </c>
      <c r="L1070" s="54">
        <v>156</v>
      </c>
      <c r="M1070" s="54">
        <v>0</v>
      </c>
      <c r="N1070" s="54">
        <v>0</v>
      </c>
      <c r="O1070" s="54">
        <v>156</v>
      </c>
      <c r="P1070" s="55">
        <v>0.01</v>
      </c>
      <c r="Q1070" s="61">
        <v>1.14</v>
      </c>
      <c r="R1070" s="60"/>
      <c r="S1070" s="61">
        <v>1.14</v>
      </c>
    </row>
    <row r="1071" ht="20" customHeight="1" spans="1:19">
      <c r="A1071" s="43" t="s">
        <v>140</v>
      </c>
      <c r="B1071" s="43" t="s">
        <v>141</v>
      </c>
      <c r="C1071" s="44"/>
      <c r="D1071" s="43" t="s">
        <v>52</v>
      </c>
      <c r="E1071" s="43" t="s">
        <v>142</v>
      </c>
      <c r="F1071" s="43" t="s">
        <v>52</v>
      </c>
      <c r="G1071" s="43" t="s">
        <v>108</v>
      </c>
      <c r="H1071" s="43" t="s">
        <v>109</v>
      </c>
      <c r="I1071" s="43" t="s">
        <v>52</v>
      </c>
      <c r="J1071" s="44"/>
      <c r="K1071" s="54">
        <v>24</v>
      </c>
      <c r="L1071" s="54">
        <v>24</v>
      </c>
      <c r="M1071" s="54">
        <v>0</v>
      </c>
      <c r="N1071" s="54">
        <v>0</v>
      </c>
      <c r="O1071" s="54">
        <v>24</v>
      </c>
      <c r="P1071" s="55">
        <v>0.01</v>
      </c>
      <c r="Q1071" s="61">
        <v>0.17</v>
      </c>
      <c r="R1071" s="60"/>
      <c r="S1071" s="61">
        <v>0.17</v>
      </c>
    </row>
    <row r="1072" ht="20" customHeight="1" spans="1:19">
      <c r="A1072" s="43" t="s">
        <v>140</v>
      </c>
      <c r="B1072" s="43" t="s">
        <v>141</v>
      </c>
      <c r="C1072" s="44"/>
      <c r="D1072" s="43" t="s">
        <v>52</v>
      </c>
      <c r="E1072" s="43" t="s">
        <v>142</v>
      </c>
      <c r="F1072" s="43" t="s">
        <v>52</v>
      </c>
      <c r="G1072" s="43" t="s">
        <v>108</v>
      </c>
      <c r="H1072" s="43" t="s">
        <v>109</v>
      </c>
      <c r="I1072" s="43" t="s">
        <v>52</v>
      </c>
      <c r="J1072" s="44"/>
      <c r="K1072" s="54">
        <v>180</v>
      </c>
      <c r="L1072" s="54">
        <v>180</v>
      </c>
      <c r="M1072" s="54">
        <v>0</v>
      </c>
      <c r="N1072" s="54">
        <v>0</v>
      </c>
      <c r="O1072" s="54">
        <v>180</v>
      </c>
      <c r="P1072" s="55">
        <v>0.01</v>
      </c>
      <c r="Q1072" s="61">
        <v>1.31</v>
      </c>
      <c r="R1072" s="60"/>
      <c r="S1072" s="61">
        <v>1.31</v>
      </c>
    </row>
    <row r="1073" ht="20" customHeight="1" spans="1:19">
      <c r="A1073" s="43" t="s">
        <v>140</v>
      </c>
      <c r="B1073" s="43" t="s">
        <v>141</v>
      </c>
      <c r="C1073" s="44"/>
      <c r="D1073" s="43" t="s">
        <v>52</v>
      </c>
      <c r="E1073" s="43" t="s">
        <v>142</v>
      </c>
      <c r="F1073" s="43" t="s">
        <v>52</v>
      </c>
      <c r="G1073" s="43" t="s">
        <v>108</v>
      </c>
      <c r="H1073" s="43" t="s">
        <v>109</v>
      </c>
      <c r="I1073" s="43" t="s">
        <v>52</v>
      </c>
      <c r="J1073" s="44"/>
      <c r="K1073" s="54">
        <v>19224</v>
      </c>
      <c r="L1073" s="54">
        <v>19224</v>
      </c>
      <c r="M1073" s="54">
        <v>0</v>
      </c>
      <c r="N1073" s="54">
        <v>0</v>
      </c>
      <c r="O1073" s="54">
        <v>19224</v>
      </c>
      <c r="P1073" s="55">
        <v>0.01</v>
      </c>
      <c r="Q1073" s="61">
        <v>139.95</v>
      </c>
      <c r="R1073" s="60"/>
      <c r="S1073" s="61">
        <v>139.95</v>
      </c>
    </row>
    <row r="1074" ht="20" customHeight="1" spans="1:19">
      <c r="A1074" s="43" t="s">
        <v>97</v>
      </c>
      <c r="B1074" s="43" t="s">
        <v>102</v>
      </c>
      <c r="C1074" s="44"/>
      <c r="D1074" s="43" t="s">
        <v>52</v>
      </c>
      <c r="E1074" s="43" t="s">
        <v>99</v>
      </c>
      <c r="F1074" s="43" t="s">
        <v>52</v>
      </c>
      <c r="G1074" s="43" t="s">
        <v>100</v>
      </c>
      <c r="H1074" s="43" t="s">
        <v>101</v>
      </c>
      <c r="I1074" s="43" t="s">
        <v>52</v>
      </c>
      <c r="J1074" s="44"/>
      <c r="K1074" s="54">
        <v>3</v>
      </c>
      <c r="L1074" s="54">
        <v>3</v>
      </c>
      <c r="M1074" s="54">
        <v>0</v>
      </c>
      <c r="N1074" s="54">
        <v>0</v>
      </c>
      <c r="O1074" s="54">
        <v>3</v>
      </c>
      <c r="P1074" s="55">
        <v>0.11</v>
      </c>
      <c r="Q1074" s="61">
        <v>0.34</v>
      </c>
      <c r="R1074" s="60"/>
      <c r="S1074" s="61">
        <v>0.34</v>
      </c>
    </row>
    <row r="1075" ht="20" customHeight="1" spans="1:19">
      <c r="A1075" s="43" t="s">
        <v>97</v>
      </c>
      <c r="B1075" s="43" t="s">
        <v>102</v>
      </c>
      <c r="C1075" s="44"/>
      <c r="D1075" s="43" t="s">
        <v>52</v>
      </c>
      <c r="E1075" s="43" t="s">
        <v>99</v>
      </c>
      <c r="F1075" s="43" t="s">
        <v>52</v>
      </c>
      <c r="G1075" s="43" t="s">
        <v>100</v>
      </c>
      <c r="H1075" s="43" t="s">
        <v>101</v>
      </c>
      <c r="I1075" s="43" t="s">
        <v>52</v>
      </c>
      <c r="J1075" s="44"/>
      <c r="K1075" s="54">
        <v>4</v>
      </c>
      <c r="L1075" s="54">
        <v>4</v>
      </c>
      <c r="M1075" s="54">
        <v>0</v>
      </c>
      <c r="N1075" s="54">
        <v>0</v>
      </c>
      <c r="O1075" s="54">
        <v>4</v>
      </c>
      <c r="P1075" s="55">
        <v>0.11</v>
      </c>
      <c r="Q1075" s="61">
        <v>0.45</v>
      </c>
      <c r="R1075" s="60"/>
      <c r="S1075" s="61">
        <v>0.45</v>
      </c>
    </row>
    <row r="1076" ht="20" customHeight="1" spans="1:19">
      <c r="A1076" s="43" t="s">
        <v>97</v>
      </c>
      <c r="B1076" s="43" t="s">
        <v>102</v>
      </c>
      <c r="C1076" s="44"/>
      <c r="D1076" s="43" t="s">
        <v>52</v>
      </c>
      <c r="E1076" s="43" t="s">
        <v>99</v>
      </c>
      <c r="F1076" s="43" t="s">
        <v>52</v>
      </c>
      <c r="G1076" s="43" t="s">
        <v>100</v>
      </c>
      <c r="H1076" s="43" t="s">
        <v>101</v>
      </c>
      <c r="I1076" s="43" t="s">
        <v>52</v>
      </c>
      <c r="J1076" s="44"/>
      <c r="K1076" s="54">
        <v>1092</v>
      </c>
      <c r="L1076" s="54">
        <v>1092</v>
      </c>
      <c r="M1076" s="54">
        <v>0</v>
      </c>
      <c r="N1076" s="54">
        <v>0</v>
      </c>
      <c r="O1076" s="54">
        <v>1092</v>
      </c>
      <c r="P1076" s="55">
        <v>0.11</v>
      </c>
      <c r="Q1076" s="61">
        <v>123.57</v>
      </c>
      <c r="R1076" s="60"/>
      <c r="S1076" s="61">
        <v>123.57</v>
      </c>
    </row>
    <row r="1077" ht="20" customHeight="1" spans="1:19">
      <c r="A1077" s="43" t="s">
        <v>97</v>
      </c>
      <c r="B1077" s="43" t="s">
        <v>102</v>
      </c>
      <c r="C1077" s="44"/>
      <c r="D1077" s="43" t="s">
        <v>52</v>
      </c>
      <c r="E1077" s="43" t="s">
        <v>99</v>
      </c>
      <c r="F1077" s="43" t="s">
        <v>52</v>
      </c>
      <c r="G1077" s="43" t="s">
        <v>100</v>
      </c>
      <c r="H1077" s="43" t="s">
        <v>101</v>
      </c>
      <c r="I1077" s="43" t="s">
        <v>52</v>
      </c>
      <c r="J1077" s="44"/>
      <c r="K1077" s="54">
        <v>1</v>
      </c>
      <c r="L1077" s="54">
        <v>1</v>
      </c>
      <c r="M1077" s="54">
        <v>0</v>
      </c>
      <c r="N1077" s="54">
        <v>0</v>
      </c>
      <c r="O1077" s="54">
        <v>1</v>
      </c>
      <c r="P1077" s="55">
        <v>0.11</v>
      </c>
      <c r="Q1077" s="61">
        <v>0.11</v>
      </c>
      <c r="R1077" s="60"/>
      <c r="S1077" s="61">
        <v>0.11</v>
      </c>
    </row>
    <row r="1078" ht="20" customHeight="1" spans="1:19">
      <c r="A1078" s="43" t="s">
        <v>97</v>
      </c>
      <c r="B1078" s="43" t="s">
        <v>102</v>
      </c>
      <c r="C1078" s="44"/>
      <c r="D1078" s="43" t="s">
        <v>52</v>
      </c>
      <c r="E1078" s="43" t="s">
        <v>99</v>
      </c>
      <c r="F1078" s="43" t="s">
        <v>52</v>
      </c>
      <c r="G1078" s="43" t="s">
        <v>103</v>
      </c>
      <c r="H1078" s="43" t="s">
        <v>104</v>
      </c>
      <c r="I1078" s="43" t="s">
        <v>52</v>
      </c>
      <c r="J1078" s="44"/>
      <c r="K1078" s="54">
        <v>4</v>
      </c>
      <c r="L1078" s="54">
        <v>4</v>
      </c>
      <c r="M1078" s="54">
        <v>0</v>
      </c>
      <c r="N1078" s="54">
        <v>0</v>
      </c>
      <c r="O1078" s="54">
        <v>4</v>
      </c>
      <c r="P1078" s="55">
        <v>0.02</v>
      </c>
      <c r="Q1078" s="61">
        <v>0.08</v>
      </c>
      <c r="R1078" s="60"/>
      <c r="S1078" s="61">
        <v>0.08</v>
      </c>
    </row>
    <row r="1079" ht="20" customHeight="1" spans="1:19">
      <c r="A1079" s="43" t="s">
        <v>97</v>
      </c>
      <c r="B1079" s="43" t="s">
        <v>102</v>
      </c>
      <c r="C1079" s="44"/>
      <c r="D1079" s="43" t="s">
        <v>52</v>
      </c>
      <c r="E1079" s="43" t="s">
        <v>99</v>
      </c>
      <c r="F1079" s="43" t="s">
        <v>52</v>
      </c>
      <c r="G1079" s="43" t="s">
        <v>103</v>
      </c>
      <c r="H1079" s="43" t="s">
        <v>104</v>
      </c>
      <c r="I1079" s="43" t="s">
        <v>52</v>
      </c>
      <c r="J1079" s="44"/>
      <c r="K1079" s="54">
        <v>14148</v>
      </c>
      <c r="L1079" s="54">
        <v>14148</v>
      </c>
      <c r="M1079" s="54">
        <v>0</v>
      </c>
      <c r="N1079" s="54">
        <v>0</v>
      </c>
      <c r="O1079" s="54">
        <v>14148</v>
      </c>
      <c r="P1079" s="55">
        <v>0.02</v>
      </c>
      <c r="Q1079" s="61">
        <v>272.75</v>
      </c>
      <c r="R1079" s="60"/>
      <c r="S1079" s="61">
        <v>272.75</v>
      </c>
    </row>
    <row r="1080" ht="20" customHeight="1" spans="1:19">
      <c r="A1080" s="43" t="s">
        <v>97</v>
      </c>
      <c r="B1080" s="43" t="s">
        <v>102</v>
      </c>
      <c r="C1080" s="44"/>
      <c r="D1080" s="43" t="s">
        <v>52</v>
      </c>
      <c r="E1080" s="43" t="s">
        <v>99</v>
      </c>
      <c r="F1080" s="43" t="s">
        <v>52</v>
      </c>
      <c r="G1080" s="43" t="s">
        <v>103</v>
      </c>
      <c r="H1080" s="43" t="s">
        <v>104</v>
      </c>
      <c r="I1080" s="43" t="s">
        <v>52</v>
      </c>
      <c r="J1080" s="44"/>
      <c r="K1080" s="54">
        <v>56</v>
      </c>
      <c r="L1080" s="54">
        <v>56</v>
      </c>
      <c r="M1080" s="54">
        <v>0</v>
      </c>
      <c r="N1080" s="54">
        <v>0</v>
      </c>
      <c r="O1080" s="54">
        <v>56</v>
      </c>
      <c r="P1080" s="55">
        <v>0.02</v>
      </c>
      <c r="Q1080" s="61">
        <v>1.08</v>
      </c>
      <c r="R1080" s="60"/>
      <c r="S1080" s="61">
        <v>1.08</v>
      </c>
    </row>
    <row r="1081" ht="20" customHeight="1" spans="1:19">
      <c r="A1081" s="43" t="s">
        <v>105</v>
      </c>
      <c r="B1081" s="43" t="s">
        <v>106</v>
      </c>
      <c r="C1081" s="44"/>
      <c r="D1081" s="43" t="s">
        <v>52</v>
      </c>
      <c r="E1081" s="43" t="s">
        <v>107</v>
      </c>
      <c r="F1081" s="43" t="s">
        <v>52</v>
      </c>
      <c r="G1081" s="43" t="s">
        <v>108</v>
      </c>
      <c r="H1081" s="43" t="s">
        <v>109</v>
      </c>
      <c r="I1081" s="43" t="s">
        <v>52</v>
      </c>
      <c r="J1081" s="44"/>
      <c r="K1081" s="54">
        <v>180</v>
      </c>
      <c r="L1081" s="54">
        <v>180</v>
      </c>
      <c r="M1081" s="54">
        <v>0</v>
      </c>
      <c r="N1081" s="54">
        <v>0</v>
      </c>
      <c r="O1081" s="54">
        <v>180</v>
      </c>
      <c r="P1081" s="55">
        <v>0.01</v>
      </c>
      <c r="Q1081" s="61">
        <v>1.31</v>
      </c>
      <c r="R1081" s="60"/>
      <c r="S1081" s="61">
        <v>1.31</v>
      </c>
    </row>
    <row r="1082" ht="20" customHeight="1" spans="1:19">
      <c r="A1082" s="43" t="s">
        <v>105</v>
      </c>
      <c r="B1082" s="43" t="s">
        <v>106</v>
      </c>
      <c r="C1082" s="44"/>
      <c r="D1082" s="43" t="s">
        <v>52</v>
      </c>
      <c r="E1082" s="43" t="s">
        <v>107</v>
      </c>
      <c r="F1082" s="43" t="s">
        <v>52</v>
      </c>
      <c r="G1082" s="43" t="s">
        <v>108</v>
      </c>
      <c r="H1082" s="43" t="s">
        <v>109</v>
      </c>
      <c r="I1082" s="43" t="s">
        <v>52</v>
      </c>
      <c r="J1082" s="44"/>
      <c r="K1082" s="54">
        <v>9360</v>
      </c>
      <c r="L1082" s="54">
        <v>9360</v>
      </c>
      <c r="M1082" s="54">
        <v>0</v>
      </c>
      <c r="N1082" s="54">
        <v>0</v>
      </c>
      <c r="O1082" s="54">
        <v>9360</v>
      </c>
      <c r="P1082" s="55">
        <v>0.01</v>
      </c>
      <c r="Q1082" s="61">
        <v>68.14</v>
      </c>
      <c r="R1082" s="60"/>
      <c r="S1082" s="61">
        <v>68.14</v>
      </c>
    </row>
    <row r="1083" ht="20" customHeight="1" spans="1:19">
      <c r="A1083" s="43" t="s">
        <v>105</v>
      </c>
      <c r="B1083" s="43" t="s">
        <v>106</v>
      </c>
      <c r="C1083" s="44"/>
      <c r="D1083" s="43" t="s">
        <v>52</v>
      </c>
      <c r="E1083" s="43" t="s">
        <v>107</v>
      </c>
      <c r="F1083" s="43" t="s">
        <v>52</v>
      </c>
      <c r="G1083" s="43" t="s">
        <v>108</v>
      </c>
      <c r="H1083" s="43" t="s">
        <v>109</v>
      </c>
      <c r="I1083" s="43" t="s">
        <v>52</v>
      </c>
      <c r="J1083" s="44"/>
      <c r="K1083" s="54">
        <v>252</v>
      </c>
      <c r="L1083" s="54">
        <v>252</v>
      </c>
      <c r="M1083" s="54">
        <v>0</v>
      </c>
      <c r="N1083" s="54">
        <v>0</v>
      </c>
      <c r="O1083" s="54">
        <v>252</v>
      </c>
      <c r="P1083" s="55">
        <v>0.01</v>
      </c>
      <c r="Q1083" s="61">
        <v>1.83</v>
      </c>
      <c r="R1083" s="60"/>
      <c r="S1083" s="61">
        <v>1.83</v>
      </c>
    </row>
    <row r="1084" ht="20" customHeight="1" spans="1:19">
      <c r="A1084" s="43" t="s">
        <v>105</v>
      </c>
      <c r="B1084" s="43" t="s">
        <v>106</v>
      </c>
      <c r="C1084" s="44"/>
      <c r="D1084" s="43" t="s">
        <v>52</v>
      </c>
      <c r="E1084" s="43" t="s">
        <v>107</v>
      </c>
      <c r="F1084" s="43" t="s">
        <v>52</v>
      </c>
      <c r="G1084" s="43" t="s">
        <v>108</v>
      </c>
      <c r="H1084" s="43" t="s">
        <v>109</v>
      </c>
      <c r="I1084" s="43" t="s">
        <v>52</v>
      </c>
      <c r="J1084" s="44"/>
      <c r="K1084" s="54">
        <v>8640</v>
      </c>
      <c r="L1084" s="54">
        <v>8640</v>
      </c>
      <c r="M1084" s="54">
        <v>0</v>
      </c>
      <c r="N1084" s="54">
        <v>0</v>
      </c>
      <c r="O1084" s="54">
        <v>8640</v>
      </c>
      <c r="P1084" s="55">
        <v>0.01</v>
      </c>
      <c r="Q1084" s="61">
        <v>62.9</v>
      </c>
      <c r="R1084" s="60"/>
      <c r="S1084" s="61">
        <v>62.9</v>
      </c>
    </row>
    <row r="1085" ht="20" customHeight="1" spans="1:19">
      <c r="A1085" s="43" t="s">
        <v>105</v>
      </c>
      <c r="B1085" s="43" t="s">
        <v>106</v>
      </c>
      <c r="C1085" s="44"/>
      <c r="D1085" s="43" t="s">
        <v>52</v>
      </c>
      <c r="E1085" s="43" t="s">
        <v>107</v>
      </c>
      <c r="F1085" s="43" t="s">
        <v>52</v>
      </c>
      <c r="G1085" s="43" t="s">
        <v>108</v>
      </c>
      <c r="H1085" s="43" t="s">
        <v>109</v>
      </c>
      <c r="I1085" s="43" t="s">
        <v>52</v>
      </c>
      <c r="J1085" s="44"/>
      <c r="K1085" s="54">
        <v>20736</v>
      </c>
      <c r="L1085" s="54">
        <v>20736</v>
      </c>
      <c r="M1085" s="54">
        <v>0</v>
      </c>
      <c r="N1085" s="54">
        <v>0</v>
      </c>
      <c r="O1085" s="54">
        <v>20736</v>
      </c>
      <c r="P1085" s="55">
        <v>0.01</v>
      </c>
      <c r="Q1085" s="61">
        <v>150.96</v>
      </c>
      <c r="R1085" s="60"/>
      <c r="S1085" s="61">
        <v>150.96</v>
      </c>
    </row>
    <row r="1086" ht="20" customHeight="1" spans="1:19">
      <c r="A1086" s="43" t="s">
        <v>110</v>
      </c>
      <c r="B1086" s="43" t="s">
        <v>111</v>
      </c>
      <c r="C1086" s="44"/>
      <c r="D1086" s="43" t="s">
        <v>52</v>
      </c>
      <c r="E1086" s="43" t="s">
        <v>112</v>
      </c>
      <c r="F1086" s="43" t="s">
        <v>52</v>
      </c>
      <c r="G1086" s="43" t="s">
        <v>103</v>
      </c>
      <c r="H1086" s="43" t="s">
        <v>104</v>
      </c>
      <c r="I1086" s="43" t="s">
        <v>52</v>
      </c>
      <c r="J1086" s="44"/>
      <c r="K1086" s="54">
        <v>72</v>
      </c>
      <c r="L1086" s="54">
        <v>72</v>
      </c>
      <c r="M1086" s="54">
        <v>0</v>
      </c>
      <c r="N1086" s="54">
        <v>0</v>
      </c>
      <c r="O1086" s="54">
        <v>72</v>
      </c>
      <c r="P1086" s="55">
        <v>0.02</v>
      </c>
      <c r="Q1086" s="61">
        <v>1.39</v>
      </c>
      <c r="R1086" s="60"/>
      <c r="S1086" s="61">
        <v>1.39</v>
      </c>
    </row>
    <row r="1087" ht="20" customHeight="1" spans="1:19">
      <c r="A1087" s="43" t="s">
        <v>110</v>
      </c>
      <c r="B1087" s="43" t="s">
        <v>111</v>
      </c>
      <c r="C1087" s="44"/>
      <c r="D1087" s="43" t="s">
        <v>52</v>
      </c>
      <c r="E1087" s="43" t="s">
        <v>112</v>
      </c>
      <c r="F1087" s="43" t="s">
        <v>52</v>
      </c>
      <c r="G1087" s="43" t="s">
        <v>103</v>
      </c>
      <c r="H1087" s="43" t="s">
        <v>104</v>
      </c>
      <c r="I1087" s="43" t="s">
        <v>52</v>
      </c>
      <c r="J1087" s="44"/>
      <c r="K1087" s="54">
        <v>14112</v>
      </c>
      <c r="L1087" s="54">
        <v>14112</v>
      </c>
      <c r="M1087" s="54">
        <v>0</v>
      </c>
      <c r="N1087" s="54">
        <v>0</v>
      </c>
      <c r="O1087" s="54">
        <v>14112</v>
      </c>
      <c r="P1087" s="55">
        <v>0.02</v>
      </c>
      <c r="Q1087" s="61">
        <v>272.05</v>
      </c>
      <c r="R1087" s="60"/>
      <c r="S1087" s="61">
        <v>272.05</v>
      </c>
    </row>
    <row r="1088" ht="20" customHeight="1" spans="1:19">
      <c r="A1088" s="43" t="s">
        <v>110</v>
      </c>
      <c r="B1088" s="43" t="s">
        <v>111</v>
      </c>
      <c r="C1088" s="44"/>
      <c r="D1088" s="43" t="s">
        <v>52</v>
      </c>
      <c r="E1088" s="43" t="s">
        <v>112</v>
      </c>
      <c r="F1088" s="43" t="s">
        <v>52</v>
      </c>
      <c r="G1088" s="43" t="s">
        <v>103</v>
      </c>
      <c r="H1088" s="43" t="s">
        <v>104</v>
      </c>
      <c r="I1088" s="43" t="s">
        <v>52</v>
      </c>
      <c r="J1088" s="44"/>
      <c r="K1088" s="54">
        <v>20</v>
      </c>
      <c r="L1088" s="54">
        <v>20</v>
      </c>
      <c r="M1088" s="54">
        <v>0</v>
      </c>
      <c r="N1088" s="54">
        <v>0</v>
      </c>
      <c r="O1088" s="54">
        <v>20</v>
      </c>
      <c r="P1088" s="55">
        <v>0.02</v>
      </c>
      <c r="Q1088" s="61">
        <v>0.39</v>
      </c>
      <c r="R1088" s="60"/>
      <c r="S1088" s="61">
        <v>0.39</v>
      </c>
    </row>
    <row r="1089" ht="20" customHeight="1" spans="1:19">
      <c r="A1089" s="43" t="s">
        <v>110</v>
      </c>
      <c r="B1089" s="43" t="s">
        <v>111</v>
      </c>
      <c r="C1089" s="44"/>
      <c r="D1089" s="43" t="s">
        <v>52</v>
      </c>
      <c r="E1089" s="43" t="s">
        <v>112</v>
      </c>
      <c r="F1089" s="43" t="s">
        <v>52</v>
      </c>
      <c r="G1089" s="43" t="s">
        <v>103</v>
      </c>
      <c r="H1089" s="43" t="s">
        <v>104</v>
      </c>
      <c r="I1089" s="43" t="s">
        <v>52</v>
      </c>
      <c r="J1089" s="44"/>
      <c r="K1089" s="54">
        <v>4</v>
      </c>
      <c r="L1089" s="54">
        <v>4</v>
      </c>
      <c r="M1089" s="54">
        <v>0</v>
      </c>
      <c r="N1089" s="54">
        <v>0</v>
      </c>
      <c r="O1089" s="54">
        <v>4</v>
      </c>
      <c r="P1089" s="55">
        <v>0.02</v>
      </c>
      <c r="Q1089" s="61">
        <v>0.08</v>
      </c>
      <c r="R1089" s="60"/>
      <c r="S1089" s="61">
        <v>0.08</v>
      </c>
    </row>
    <row r="1090" ht="13" customHeight="1" spans="1:19">
      <c r="A1090" s="47" t="s">
        <v>143</v>
      </c>
      <c r="B1090" s="48"/>
      <c r="C1090" s="48"/>
      <c r="D1090" s="48"/>
      <c r="E1090" s="48"/>
      <c r="F1090" s="48"/>
      <c r="G1090" s="48"/>
      <c r="H1090" s="48"/>
      <c r="I1090" s="48"/>
      <c r="J1090" s="56"/>
      <c r="K1090" s="47" t="s">
        <v>144</v>
      </c>
      <c r="L1090" s="57">
        <v>129146</v>
      </c>
      <c r="M1090" s="58">
        <v>0</v>
      </c>
      <c r="N1090" s="58">
        <v>0</v>
      </c>
      <c r="O1090" s="58">
        <v>129146</v>
      </c>
      <c r="P1090" s="59" t="s">
        <v>52</v>
      </c>
      <c r="Q1090" s="62"/>
      <c r="R1090" s="62"/>
      <c r="S1090" s="63">
        <v>1578.65</v>
      </c>
    </row>
    <row r="1091" ht="19" customHeight="1" spans="1:19">
      <c r="A1091" s="43" t="s">
        <v>145</v>
      </c>
      <c r="B1091" s="44"/>
      <c r="C1091" s="44"/>
      <c r="D1091" s="49" t="s">
        <v>146</v>
      </c>
      <c r="E1091" s="50" t="s">
        <v>147</v>
      </c>
      <c r="F1091" s="44"/>
      <c r="G1091" s="44"/>
      <c r="H1091" s="44"/>
      <c r="I1091" s="44"/>
      <c r="J1091" s="44"/>
      <c r="K1091" s="44"/>
      <c r="L1091" s="44"/>
      <c r="M1091" s="44"/>
      <c r="N1091" s="44"/>
      <c r="O1091" s="44"/>
      <c r="P1091" s="44"/>
      <c r="Q1091" s="44"/>
      <c r="R1091" s="56"/>
      <c r="S1091" s="56"/>
    </row>
    <row r="1092" ht="19" customHeight="1" spans="1:19">
      <c r="A1092" s="49" t="s">
        <v>146</v>
      </c>
      <c r="B1092" s="51"/>
      <c r="C1092" s="51"/>
      <c r="D1092" s="49" t="s">
        <v>146</v>
      </c>
      <c r="E1092" s="49" t="s">
        <v>119</v>
      </c>
      <c r="F1092" s="52">
        <v>700</v>
      </c>
      <c r="G1092" s="44"/>
      <c r="H1092" s="44"/>
      <c r="I1092" s="44"/>
      <c r="J1092" s="44"/>
      <c r="K1092" s="44"/>
      <c r="L1092" s="44"/>
      <c r="M1092" s="44"/>
      <c r="N1092" s="44"/>
      <c r="O1092" s="44"/>
      <c r="P1092" s="44"/>
      <c r="Q1092" s="44"/>
      <c r="R1092" s="56"/>
      <c r="S1092" s="56"/>
    </row>
    <row r="1093" ht="12" customHeight="1" spans="1:19">
      <c r="A1093" s="46" t="s">
        <v>52</v>
      </c>
      <c r="B1093" s="40"/>
      <c r="C1093" s="40"/>
      <c r="D1093" s="40"/>
      <c r="E1093" s="40"/>
      <c r="F1093" s="40"/>
      <c r="G1093" s="40"/>
      <c r="H1093" s="40"/>
      <c r="I1093" s="40"/>
      <c r="J1093" s="40"/>
      <c r="K1093" s="40"/>
      <c r="L1093" s="40"/>
      <c r="M1093" s="40"/>
      <c r="N1093" s="40"/>
      <c r="O1093" s="40"/>
      <c r="P1093" s="40"/>
      <c r="Q1093" s="40"/>
      <c r="R1093" s="56"/>
      <c r="S1093" s="56"/>
    </row>
    <row r="1094" ht="23" customHeight="1" spans="1:19">
      <c r="A1094" s="43" t="s">
        <v>177</v>
      </c>
      <c r="B1094" s="44"/>
      <c r="C1094" s="44"/>
      <c r="D1094" s="64" t="s">
        <v>178</v>
      </c>
      <c r="E1094" s="49" t="s">
        <v>119</v>
      </c>
      <c r="F1094" s="52">
        <v>9308.41</v>
      </c>
      <c r="G1094" s="44"/>
      <c r="H1094" s="44"/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  <c r="S1094" s="44"/>
    </row>
    <row r="1095" spans="6:19">
      <c r="F1095" s="52" t="s">
        <v>179</v>
      </c>
      <c r="G1095" s="44"/>
      <c r="H1095" s="44"/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  <c r="S1095" s="44"/>
    </row>
    <row r="1096" spans="3:10">
      <c r="C1096" s="65" t="s">
        <v>180</v>
      </c>
      <c r="D1096" s="65"/>
      <c r="E1096" s="65"/>
      <c r="F1096" s="65"/>
      <c r="G1096" s="65"/>
      <c r="H1096" s="65"/>
      <c r="I1096" s="65"/>
      <c r="J1096" s="65"/>
    </row>
    <row r="1097" ht="15" spans="3:10">
      <c r="C1097" s="66" t="s">
        <v>181</v>
      </c>
      <c r="D1097" s="66"/>
      <c r="E1097" s="67" t="s">
        <v>182</v>
      </c>
      <c r="F1097" s="68"/>
      <c r="G1097" s="69" t="s">
        <v>183</v>
      </c>
      <c r="H1097" s="70" t="s">
        <v>184</v>
      </c>
      <c r="I1097" s="66" t="s">
        <v>185</v>
      </c>
      <c r="J1097" s="69" t="s">
        <v>186</v>
      </c>
    </row>
    <row r="1098" ht="15" spans="3:10">
      <c r="C1098" s="71">
        <v>45748</v>
      </c>
      <c r="D1098" s="71"/>
      <c r="E1098" s="72">
        <v>621.22</v>
      </c>
      <c r="F1098" s="73">
        <v>1500</v>
      </c>
      <c r="G1098" s="74" t="s">
        <v>187</v>
      </c>
      <c r="H1098" s="72">
        <f t="shared" ref="H1098:H1127" si="0">E1098-F1098</f>
        <v>-878.78</v>
      </c>
      <c r="I1098" s="72">
        <v>0</v>
      </c>
      <c r="J1098" s="74">
        <v>0</v>
      </c>
    </row>
    <row r="1099" ht="15" spans="3:10">
      <c r="C1099" s="71">
        <v>45749</v>
      </c>
      <c r="D1099" s="71"/>
      <c r="E1099" s="72">
        <v>1019.6</v>
      </c>
      <c r="F1099" s="73">
        <v>1500</v>
      </c>
      <c r="G1099" s="74" t="s">
        <v>187</v>
      </c>
      <c r="H1099" s="72">
        <f t="shared" si="0"/>
        <v>-480.4</v>
      </c>
      <c r="I1099" s="72">
        <v>0</v>
      </c>
      <c r="J1099" s="74">
        <v>0</v>
      </c>
    </row>
    <row r="1100" ht="15" spans="3:10">
      <c r="C1100" s="71">
        <v>45750</v>
      </c>
      <c r="D1100" s="71"/>
      <c r="E1100" s="72">
        <v>1304.74</v>
      </c>
      <c r="F1100" s="73">
        <v>1500</v>
      </c>
      <c r="G1100" s="74" t="s">
        <v>187</v>
      </c>
      <c r="H1100" s="72">
        <f t="shared" si="0"/>
        <v>-195.26</v>
      </c>
      <c r="I1100" s="72">
        <v>0</v>
      </c>
      <c r="J1100" s="74">
        <v>0</v>
      </c>
    </row>
    <row r="1101" ht="15" spans="3:10">
      <c r="C1101" s="71">
        <v>45751</v>
      </c>
      <c r="D1101" s="71"/>
      <c r="E1101" s="72">
        <v>1304.74</v>
      </c>
      <c r="F1101" s="73">
        <v>1500</v>
      </c>
      <c r="G1101" s="74" t="s">
        <v>187</v>
      </c>
      <c r="H1101" s="72">
        <f t="shared" si="0"/>
        <v>-195.26</v>
      </c>
      <c r="I1101" s="72">
        <v>0</v>
      </c>
      <c r="J1101" s="74">
        <v>0</v>
      </c>
    </row>
    <row r="1102" ht="15" spans="3:10">
      <c r="C1102" s="71">
        <v>45752</v>
      </c>
      <c r="D1102" s="71"/>
      <c r="E1102" s="72">
        <v>1304.74</v>
      </c>
      <c r="F1102" s="73">
        <v>1500</v>
      </c>
      <c r="G1102" s="74" t="s">
        <v>187</v>
      </c>
      <c r="H1102" s="72">
        <f t="shared" si="0"/>
        <v>-195.26</v>
      </c>
      <c r="I1102" s="72">
        <v>0</v>
      </c>
      <c r="J1102" s="74">
        <v>0</v>
      </c>
    </row>
    <row r="1103" ht="15" spans="3:10">
      <c r="C1103" s="71">
        <v>45753</v>
      </c>
      <c r="D1103" s="71"/>
      <c r="E1103" s="72">
        <v>1304.74</v>
      </c>
      <c r="F1103" s="73">
        <v>1500</v>
      </c>
      <c r="G1103" s="74" t="s">
        <v>187</v>
      </c>
      <c r="H1103" s="72">
        <f t="shared" si="0"/>
        <v>-195.26</v>
      </c>
      <c r="I1103" s="72">
        <v>0</v>
      </c>
      <c r="J1103" s="74">
        <v>0</v>
      </c>
    </row>
    <row r="1104" ht="15" spans="3:10">
      <c r="C1104" s="71">
        <v>45754</v>
      </c>
      <c r="D1104" s="71"/>
      <c r="E1104" s="72">
        <v>1304.74</v>
      </c>
      <c r="F1104" s="73">
        <v>1500</v>
      </c>
      <c r="G1104" s="74" t="s">
        <v>187</v>
      </c>
      <c r="H1104" s="72">
        <f t="shared" si="0"/>
        <v>-195.26</v>
      </c>
      <c r="I1104" s="72">
        <v>0</v>
      </c>
      <c r="J1104" s="74">
        <v>0</v>
      </c>
    </row>
    <row r="1105" ht="15" spans="3:10">
      <c r="C1105" s="71">
        <v>45755</v>
      </c>
      <c r="D1105" s="71"/>
      <c r="E1105" s="72">
        <v>1304.74</v>
      </c>
      <c r="F1105" s="73">
        <v>1500</v>
      </c>
      <c r="G1105" s="74" t="s">
        <v>187</v>
      </c>
      <c r="H1105" s="72">
        <f t="shared" si="0"/>
        <v>-195.26</v>
      </c>
      <c r="I1105" s="72">
        <v>0</v>
      </c>
      <c r="J1105" s="74">
        <v>0</v>
      </c>
    </row>
    <row r="1106" ht="15" spans="3:10">
      <c r="C1106" s="71">
        <v>45756</v>
      </c>
      <c r="D1106" s="71"/>
      <c r="E1106" s="72">
        <v>1304.74</v>
      </c>
      <c r="F1106" s="73">
        <v>1500</v>
      </c>
      <c r="G1106" s="74" t="s">
        <v>187</v>
      </c>
      <c r="H1106" s="72">
        <f t="shared" si="0"/>
        <v>-195.26</v>
      </c>
      <c r="I1106" s="72">
        <v>0</v>
      </c>
      <c r="J1106" s="74">
        <v>0</v>
      </c>
    </row>
    <row r="1107" ht="15" spans="3:10">
      <c r="C1107" s="71">
        <v>45757</v>
      </c>
      <c r="D1107" s="71"/>
      <c r="E1107" s="72">
        <v>1304.74</v>
      </c>
      <c r="F1107" s="73">
        <v>1500</v>
      </c>
      <c r="G1107" s="74" t="s">
        <v>187</v>
      </c>
      <c r="H1107" s="72">
        <f t="shared" si="0"/>
        <v>-195.26</v>
      </c>
      <c r="I1107" s="72">
        <v>0</v>
      </c>
      <c r="J1107" s="74">
        <v>0</v>
      </c>
    </row>
    <row r="1108" ht="15" spans="3:10">
      <c r="C1108" s="71">
        <v>45758</v>
      </c>
      <c r="D1108" s="71"/>
      <c r="E1108" s="72">
        <v>1304.74</v>
      </c>
      <c r="F1108" s="73">
        <v>1500</v>
      </c>
      <c r="G1108" s="74" t="s">
        <v>187</v>
      </c>
      <c r="H1108" s="72">
        <f t="shared" si="0"/>
        <v>-195.26</v>
      </c>
      <c r="I1108" s="72">
        <v>0</v>
      </c>
      <c r="J1108" s="74">
        <v>0</v>
      </c>
    </row>
    <row r="1109" ht="15" spans="3:10">
      <c r="C1109" s="71">
        <v>45759</v>
      </c>
      <c r="D1109" s="71"/>
      <c r="E1109" s="72">
        <v>1304.74</v>
      </c>
      <c r="F1109" s="73">
        <v>1500</v>
      </c>
      <c r="G1109" s="74" t="s">
        <v>187</v>
      </c>
      <c r="H1109" s="72">
        <f t="shared" si="0"/>
        <v>-195.26</v>
      </c>
      <c r="I1109" s="72">
        <v>0</v>
      </c>
      <c r="J1109" s="74">
        <v>0</v>
      </c>
    </row>
    <row r="1110" ht="15" spans="3:10">
      <c r="C1110" s="71">
        <v>45760</v>
      </c>
      <c r="D1110" s="71"/>
      <c r="E1110" s="72">
        <v>1304.74</v>
      </c>
      <c r="F1110" s="73">
        <v>1500</v>
      </c>
      <c r="G1110" s="74" t="s">
        <v>187</v>
      </c>
      <c r="H1110" s="72">
        <f t="shared" si="0"/>
        <v>-195.26</v>
      </c>
      <c r="I1110" s="72">
        <v>0</v>
      </c>
      <c r="J1110" s="74">
        <v>0</v>
      </c>
    </row>
    <row r="1111" ht="15" spans="3:10">
      <c r="C1111" s="71">
        <v>45761</v>
      </c>
      <c r="D1111" s="71"/>
      <c r="E1111" s="72">
        <v>1304.74</v>
      </c>
      <c r="F1111" s="73">
        <v>1500</v>
      </c>
      <c r="G1111" s="74" t="s">
        <v>187</v>
      </c>
      <c r="H1111" s="72">
        <f t="shared" si="0"/>
        <v>-195.26</v>
      </c>
      <c r="I1111" s="72">
        <v>0</v>
      </c>
      <c r="J1111" s="74">
        <v>0</v>
      </c>
    </row>
    <row r="1112" ht="15" spans="3:10">
      <c r="C1112" s="71">
        <v>45762</v>
      </c>
      <c r="D1112" s="71"/>
      <c r="E1112" s="72">
        <v>1304.74</v>
      </c>
      <c r="F1112" s="73">
        <v>1500</v>
      </c>
      <c r="G1112" s="74" t="s">
        <v>187</v>
      </c>
      <c r="H1112" s="72">
        <f t="shared" si="0"/>
        <v>-195.26</v>
      </c>
      <c r="I1112" s="72">
        <v>0</v>
      </c>
      <c r="J1112" s="74">
        <v>0</v>
      </c>
    </row>
    <row r="1113" ht="15" spans="3:10">
      <c r="C1113" s="71">
        <v>45763</v>
      </c>
      <c r="D1113" s="71"/>
      <c r="E1113" s="72">
        <v>1304.74</v>
      </c>
      <c r="F1113" s="73">
        <v>1500</v>
      </c>
      <c r="G1113" s="74" t="s">
        <v>187</v>
      </c>
      <c r="H1113" s="72">
        <f t="shared" si="0"/>
        <v>-195.26</v>
      </c>
      <c r="I1113" s="72">
        <v>0</v>
      </c>
      <c r="J1113" s="74">
        <v>0</v>
      </c>
    </row>
    <row r="1114" ht="15" spans="3:10">
      <c r="C1114" s="71">
        <v>45764</v>
      </c>
      <c r="D1114" s="71"/>
      <c r="E1114" s="72">
        <v>1304.74</v>
      </c>
      <c r="F1114" s="73">
        <v>1500</v>
      </c>
      <c r="G1114" s="74" t="s">
        <v>187</v>
      </c>
      <c r="H1114" s="72">
        <f t="shared" si="0"/>
        <v>-195.26</v>
      </c>
      <c r="I1114" s="72">
        <v>0</v>
      </c>
      <c r="J1114" s="74">
        <v>0</v>
      </c>
    </row>
    <row r="1115" ht="15" spans="3:11">
      <c r="C1115" s="71">
        <v>45765</v>
      </c>
      <c r="D1115" s="71"/>
      <c r="E1115" s="72">
        <v>1304.74</v>
      </c>
      <c r="F1115" s="73">
        <v>1500</v>
      </c>
      <c r="G1115" s="74" t="s">
        <v>187</v>
      </c>
      <c r="H1115" s="72">
        <f t="shared" si="0"/>
        <v>-195.26</v>
      </c>
      <c r="I1115" s="72">
        <v>0</v>
      </c>
      <c r="J1115" s="74">
        <v>0</v>
      </c>
      <c r="K1115" s="36" t="s">
        <v>188</v>
      </c>
    </row>
    <row r="1116" ht="15" spans="3:10">
      <c r="C1116" s="71">
        <v>45766</v>
      </c>
      <c r="D1116" s="71"/>
      <c r="E1116" s="72">
        <v>1304.74</v>
      </c>
      <c r="F1116" s="73">
        <v>1500</v>
      </c>
      <c r="G1116" s="74">
        <v>700</v>
      </c>
      <c r="H1116" s="72">
        <f t="shared" si="0"/>
        <v>-195.26</v>
      </c>
      <c r="I1116" s="72">
        <v>0</v>
      </c>
      <c r="J1116" s="74">
        <v>0</v>
      </c>
    </row>
    <row r="1117" ht="15" spans="3:10">
      <c r="C1117" s="71">
        <v>45767</v>
      </c>
      <c r="D1117" s="71"/>
      <c r="E1117" s="72">
        <v>1304.74</v>
      </c>
      <c r="F1117" s="73">
        <v>1500</v>
      </c>
      <c r="G1117" s="74">
        <v>700</v>
      </c>
      <c r="H1117" s="72">
        <f t="shared" si="0"/>
        <v>-195.26</v>
      </c>
      <c r="I1117" s="72">
        <v>0</v>
      </c>
      <c r="J1117" s="74">
        <v>0</v>
      </c>
    </row>
    <row r="1118" ht="15" spans="3:10">
      <c r="C1118" s="71">
        <v>45768</v>
      </c>
      <c r="D1118" s="71"/>
      <c r="E1118" s="72">
        <v>1304.74</v>
      </c>
      <c r="F1118" s="73">
        <v>1500</v>
      </c>
      <c r="G1118" s="74">
        <v>700</v>
      </c>
      <c r="H1118" s="72">
        <f t="shared" si="0"/>
        <v>-195.26</v>
      </c>
      <c r="I1118" s="72">
        <v>0</v>
      </c>
      <c r="J1118" s="74">
        <v>0</v>
      </c>
    </row>
    <row r="1119" ht="15" spans="3:10">
      <c r="C1119" s="71">
        <v>45769</v>
      </c>
      <c r="D1119" s="71"/>
      <c r="E1119" s="72">
        <v>1304.74</v>
      </c>
      <c r="F1119" s="73">
        <v>1500</v>
      </c>
      <c r="G1119" s="74">
        <v>700</v>
      </c>
      <c r="H1119" s="72">
        <f t="shared" si="0"/>
        <v>-195.26</v>
      </c>
      <c r="I1119" s="72">
        <v>0</v>
      </c>
      <c r="J1119" s="74">
        <v>0</v>
      </c>
    </row>
    <row r="1120" ht="15" spans="3:10">
      <c r="C1120" s="71">
        <v>45770</v>
      </c>
      <c r="D1120" s="71"/>
      <c r="E1120" s="72">
        <v>1304.74</v>
      </c>
      <c r="F1120" s="73">
        <v>1500</v>
      </c>
      <c r="G1120" s="74">
        <v>700</v>
      </c>
      <c r="H1120" s="72">
        <f t="shared" si="0"/>
        <v>-195.26</v>
      </c>
      <c r="I1120" s="72">
        <v>0</v>
      </c>
      <c r="J1120" s="74">
        <v>0</v>
      </c>
    </row>
    <row r="1121" ht="15" spans="3:10">
      <c r="C1121" s="71">
        <v>45771</v>
      </c>
      <c r="D1121" s="71"/>
      <c r="E1121" s="72">
        <v>1578.65</v>
      </c>
      <c r="F1121" s="73">
        <v>1500</v>
      </c>
      <c r="G1121" s="74">
        <v>700</v>
      </c>
      <c r="H1121" s="72">
        <f t="shared" si="0"/>
        <v>78.6500000000001</v>
      </c>
      <c r="I1121" s="72"/>
      <c r="J1121" s="74">
        <f t="shared" ref="J1121:J1127" si="1">H1121*1.65</f>
        <v>129.7725</v>
      </c>
    </row>
    <row r="1122" ht="15" spans="3:10">
      <c r="C1122" s="71">
        <v>45772</v>
      </c>
      <c r="D1122" s="71"/>
      <c r="E1122" s="72">
        <v>1578.65</v>
      </c>
      <c r="F1122" s="73">
        <v>1500</v>
      </c>
      <c r="G1122" s="74">
        <v>700</v>
      </c>
      <c r="H1122" s="72">
        <f t="shared" si="0"/>
        <v>78.6500000000001</v>
      </c>
      <c r="I1122" s="72"/>
      <c r="J1122" s="74">
        <f t="shared" si="1"/>
        <v>129.7725</v>
      </c>
    </row>
    <row r="1123" ht="15" spans="3:10">
      <c r="C1123" s="71">
        <v>45773</v>
      </c>
      <c r="D1123" s="71"/>
      <c r="E1123" s="72">
        <v>1578.65</v>
      </c>
      <c r="F1123" s="73">
        <v>1500</v>
      </c>
      <c r="G1123" s="74">
        <v>700</v>
      </c>
      <c r="H1123" s="72">
        <f t="shared" si="0"/>
        <v>78.6500000000001</v>
      </c>
      <c r="I1123" s="72"/>
      <c r="J1123" s="74">
        <f t="shared" si="1"/>
        <v>129.7725</v>
      </c>
    </row>
    <row r="1124" ht="15" spans="3:10">
      <c r="C1124" s="71">
        <v>45774</v>
      </c>
      <c r="D1124" s="71"/>
      <c r="E1124" s="72">
        <v>1578.65</v>
      </c>
      <c r="F1124" s="73">
        <v>1500</v>
      </c>
      <c r="G1124" s="74">
        <v>700</v>
      </c>
      <c r="H1124" s="72">
        <f t="shared" si="0"/>
        <v>78.6500000000001</v>
      </c>
      <c r="I1124" s="72"/>
      <c r="J1124" s="74">
        <f t="shared" si="1"/>
        <v>129.7725</v>
      </c>
    </row>
    <row r="1125" ht="15" spans="3:10">
      <c r="C1125" s="71">
        <v>45775</v>
      </c>
      <c r="D1125" s="71"/>
      <c r="E1125" s="72">
        <v>1578.65</v>
      </c>
      <c r="F1125" s="73">
        <v>1500</v>
      </c>
      <c r="G1125" s="74">
        <v>700</v>
      </c>
      <c r="H1125" s="72">
        <f t="shared" si="0"/>
        <v>78.6500000000001</v>
      </c>
      <c r="I1125" s="72"/>
      <c r="J1125" s="74">
        <f t="shared" si="1"/>
        <v>129.7725</v>
      </c>
    </row>
    <row r="1126" ht="15" spans="3:10">
      <c r="C1126" s="71">
        <v>45776</v>
      </c>
      <c r="D1126" s="71"/>
      <c r="E1126" s="72">
        <v>1578.65</v>
      </c>
      <c r="F1126" s="73">
        <v>1500</v>
      </c>
      <c r="G1126" s="74">
        <v>700</v>
      </c>
      <c r="H1126" s="72">
        <f t="shared" si="0"/>
        <v>78.6500000000001</v>
      </c>
      <c r="I1126" s="72"/>
      <c r="J1126" s="74">
        <f t="shared" si="1"/>
        <v>129.7725</v>
      </c>
    </row>
    <row r="1127" ht="15" spans="3:10">
      <c r="C1127" s="71">
        <v>45777</v>
      </c>
      <c r="D1127" s="71"/>
      <c r="E1127" s="72">
        <v>1578.65</v>
      </c>
      <c r="F1127" s="73">
        <v>1500</v>
      </c>
      <c r="G1127" s="74">
        <v>700</v>
      </c>
      <c r="H1127" s="72">
        <f t="shared" si="0"/>
        <v>78.6500000000001</v>
      </c>
      <c r="I1127" s="72"/>
      <c r="J1127" s="74">
        <f t="shared" si="1"/>
        <v>129.7725</v>
      </c>
    </row>
    <row r="1128" ht="15" spans="3:10">
      <c r="C1128" s="75"/>
      <c r="D1128" s="75"/>
      <c r="E1128" s="75"/>
      <c r="F1128" s="75"/>
      <c r="G1128" s="76">
        <f>SUM(G1116:G1127)</f>
        <v>8400</v>
      </c>
      <c r="H1128" s="75"/>
      <c r="I1128" s="75"/>
      <c r="J1128" s="77">
        <f>SUM(J1116:J1127)</f>
        <v>908.407500000001</v>
      </c>
    </row>
    <row r="1129" spans="7:10">
      <c r="G1129" s="36" t="s">
        <v>189</v>
      </c>
      <c r="J1129" s="36" t="s">
        <v>190</v>
      </c>
    </row>
  </sheetData>
  <autoFilter xmlns:etc="http://www.wps.cn/officeDocument/2017/etCustomData" ref="A12:S1129" etc:filterBottomFollowUsedRange="0">
    <extLst/>
  </autoFilter>
  <mergeCells count="2831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A23:I23"/>
    <mergeCell ref="P23:R23"/>
    <mergeCell ref="A24:C24"/>
    <mergeCell ref="E24:Q24"/>
    <mergeCell ref="A25:C25"/>
    <mergeCell ref="F25:Q25"/>
    <mergeCell ref="A26:Q26"/>
    <mergeCell ref="A27:C27"/>
    <mergeCell ref="E27:S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C34"/>
    <mergeCell ref="E34:S34"/>
    <mergeCell ref="A35:S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A54:I54"/>
    <mergeCell ref="P54:R54"/>
    <mergeCell ref="A55:C55"/>
    <mergeCell ref="E55:Q55"/>
    <mergeCell ref="A56:C56"/>
    <mergeCell ref="F56:Q56"/>
    <mergeCell ref="A57:Q57"/>
    <mergeCell ref="A58:C58"/>
    <mergeCell ref="E58:S58"/>
    <mergeCell ref="A59:C59"/>
    <mergeCell ref="E59:S59"/>
    <mergeCell ref="A60:C60"/>
    <mergeCell ref="E60:S60"/>
    <mergeCell ref="A61:C61"/>
    <mergeCell ref="E61:S61"/>
    <mergeCell ref="A62:C62"/>
    <mergeCell ref="E62:S62"/>
    <mergeCell ref="A63:C63"/>
    <mergeCell ref="E63:S63"/>
    <mergeCell ref="A64:C64"/>
    <mergeCell ref="E64:S64"/>
    <mergeCell ref="A65:C65"/>
    <mergeCell ref="E65:S65"/>
    <mergeCell ref="A66:S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A90:I90"/>
    <mergeCell ref="P90:R90"/>
    <mergeCell ref="A91:C91"/>
    <mergeCell ref="E91:Q91"/>
    <mergeCell ref="A92:C92"/>
    <mergeCell ref="F92:Q92"/>
    <mergeCell ref="A93:Q93"/>
    <mergeCell ref="A94:C94"/>
    <mergeCell ref="E94:S94"/>
    <mergeCell ref="A95:C95"/>
    <mergeCell ref="E95:S95"/>
    <mergeCell ref="A96:C96"/>
    <mergeCell ref="E96:S96"/>
    <mergeCell ref="A97:C97"/>
    <mergeCell ref="E97:S97"/>
    <mergeCell ref="A98:C98"/>
    <mergeCell ref="E98:S98"/>
    <mergeCell ref="A99:C99"/>
    <mergeCell ref="E99:S99"/>
    <mergeCell ref="A100:C100"/>
    <mergeCell ref="E100:S100"/>
    <mergeCell ref="A101:C101"/>
    <mergeCell ref="E101:S101"/>
    <mergeCell ref="A102:S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A126:I126"/>
    <mergeCell ref="P126:R126"/>
    <mergeCell ref="A127:C127"/>
    <mergeCell ref="E127:Q127"/>
    <mergeCell ref="A128:C128"/>
    <mergeCell ref="F128:Q128"/>
    <mergeCell ref="A129:Q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C136"/>
    <mergeCell ref="E136:S136"/>
    <mergeCell ref="A137:C137"/>
    <mergeCell ref="E137:S137"/>
    <mergeCell ref="A138:S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A162:I162"/>
    <mergeCell ref="P162:R162"/>
    <mergeCell ref="A163:C163"/>
    <mergeCell ref="E163:Q163"/>
    <mergeCell ref="A164:C164"/>
    <mergeCell ref="F164:Q164"/>
    <mergeCell ref="A165:Q165"/>
    <mergeCell ref="A166:C166"/>
    <mergeCell ref="E166:S166"/>
    <mergeCell ref="A167:C167"/>
    <mergeCell ref="E167:S167"/>
    <mergeCell ref="A168:C168"/>
    <mergeCell ref="E168:S168"/>
    <mergeCell ref="A169:C169"/>
    <mergeCell ref="E169:S169"/>
    <mergeCell ref="A170:C170"/>
    <mergeCell ref="E170:S170"/>
    <mergeCell ref="A171:C171"/>
    <mergeCell ref="E171:S171"/>
    <mergeCell ref="A172:C172"/>
    <mergeCell ref="E172:S172"/>
    <mergeCell ref="A173:C173"/>
    <mergeCell ref="E173:S173"/>
    <mergeCell ref="A174:S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A198:I198"/>
    <mergeCell ref="P198:R198"/>
    <mergeCell ref="A199:C199"/>
    <mergeCell ref="E199:Q199"/>
    <mergeCell ref="A200:C200"/>
    <mergeCell ref="F200:Q200"/>
    <mergeCell ref="A201:Q201"/>
    <mergeCell ref="A202:C202"/>
    <mergeCell ref="E202:S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S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A234:I234"/>
    <mergeCell ref="P234:R234"/>
    <mergeCell ref="A235:C235"/>
    <mergeCell ref="E235:Q235"/>
    <mergeCell ref="A236:C236"/>
    <mergeCell ref="F236:Q236"/>
    <mergeCell ref="A237:Q237"/>
    <mergeCell ref="A238:C238"/>
    <mergeCell ref="E238:S238"/>
    <mergeCell ref="A239:C239"/>
    <mergeCell ref="E239:S239"/>
    <mergeCell ref="A240:C240"/>
    <mergeCell ref="E240:S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C245"/>
    <mergeCell ref="E245:S245"/>
    <mergeCell ref="A246:S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A270:I270"/>
    <mergeCell ref="P270:R270"/>
    <mergeCell ref="A271:C271"/>
    <mergeCell ref="E271:Q271"/>
    <mergeCell ref="A272:C272"/>
    <mergeCell ref="F272:Q272"/>
    <mergeCell ref="A273:Q273"/>
    <mergeCell ref="A274:C274"/>
    <mergeCell ref="E274:S274"/>
    <mergeCell ref="A275:C275"/>
    <mergeCell ref="E275:S275"/>
    <mergeCell ref="A276:C276"/>
    <mergeCell ref="E276:S276"/>
    <mergeCell ref="A277:C277"/>
    <mergeCell ref="E277:S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S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A306:I306"/>
    <mergeCell ref="P306:R306"/>
    <mergeCell ref="A307:C307"/>
    <mergeCell ref="E307:Q307"/>
    <mergeCell ref="A308:C308"/>
    <mergeCell ref="F308:Q308"/>
    <mergeCell ref="A309:Q309"/>
    <mergeCell ref="A310:C310"/>
    <mergeCell ref="E310:S310"/>
    <mergeCell ref="A311:C311"/>
    <mergeCell ref="E311:S311"/>
    <mergeCell ref="A312:C312"/>
    <mergeCell ref="E312:S312"/>
    <mergeCell ref="A313:C313"/>
    <mergeCell ref="E313:S313"/>
    <mergeCell ref="A314:C314"/>
    <mergeCell ref="E314:S314"/>
    <mergeCell ref="A315:C315"/>
    <mergeCell ref="E315:S315"/>
    <mergeCell ref="A316:C316"/>
    <mergeCell ref="E316:S316"/>
    <mergeCell ref="A317:C317"/>
    <mergeCell ref="E317:S317"/>
    <mergeCell ref="A318:S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A342:I342"/>
    <mergeCell ref="P342:R342"/>
    <mergeCell ref="A343:C343"/>
    <mergeCell ref="E343:Q343"/>
    <mergeCell ref="A344:C344"/>
    <mergeCell ref="F344:Q344"/>
    <mergeCell ref="A345:Q345"/>
    <mergeCell ref="A346:C346"/>
    <mergeCell ref="E346:S346"/>
    <mergeCell ref="A347:C347"/>
    <mergeCell ref="E347:S347"/>
    <mergeCell ref="A348:C348"/>
    <mergeCell ref="E348:S348"/>
    <mergeCell ref="A349:C349"/>
    <mergeCell ref="E349:S349"/>
    <mergeCell ref="A350:C350"/>
    <mergeCell ref="E350:S350"/>
    <mergeCell ref="A351:C351"/>
    <mergeCell ref="E351:S351"/>
    <mergeCell ref="A352:C352"/>
    <mergeCell ref="E352:S352"/>
    <mergeCell ref="A353:C353"/>
    <mergeCell ref="E353:S353"/>
    <mergeCell ref="A354:S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A378:I378"/>
    <mergeCell ref="P378:R378"/>
    <mergeCell ref="A379:C379"/>
    <mergeCell ref="E379:Q379"/>
    <mergeCell ref="A380:C380"/>
    <mergeCell ref="F380:Q380"/>
    <mergeCell ref="A381:Q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C386"/>
    <mergeCell ref="E386:S386"/>
    <mergeCell ref="A387:C387"/>
    <mergeCell ref="E387:S387"/>
    <mergeCell ref="A388:C388"/>
    <mergeCell ref="E388:S388"/>
    <mergeCell ref="A389:C389"/>
    <mergeCell ref="E389:S389"/>
    <mergeCell ref="A390:S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A414:I414"/>
    <mergeCell ref="P414:R414"/>
    <mergeCell ref="A415:C415"/>
    <mergeCell ref="E415:Q415"/>
    <mergeCell ref="A416:C416"/>
    <mergeCell ref="F416:Q416"/>
    <mergeCell ref="A417:Q417"/>
    <mergeCell ref="A418:C418"/>
    <mergeCell ref="E418:S418"/>
    <mergeCell ref="A419:C419"/>
    <mergeCell ref="E419:S419"/>
    <mergeCell ref="A420:C420"/>
    <mergeCell ref="E420:S420"/>
    <mergeCell ref="A421:C421"/>
    <mergeCell ref="E421:S421"/>
    <mergeCell ref="A422:C422"/>
    <mergeCell ref="E422:S422"/>
    <mergeCell ref="A423:C423"/>
    <mergeCell ref="E423:S423"/>
    <mergeCell ref="A424:C424"/>
    <mergeCell ref="E424:S424"/>
    <mergeCell ref="A425:C425"/>
    <mergeCell ref="E425:S425"/>
    <mergeCell ref="A426:S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A450:I450"/>
    <mergeCell ref="P450:R450"/>
    <mergeCell ref="A451:C451"/>
    <mergeCell ref="E451:Q451"/>
    <mergeCell ref="A452:C452"/>
    <mergeCell ref="F452:Q452"/>
    <mergeCell ref="A453:Q453"/>
    <mergeCell ref="A454:C454"/>
    <mergeCell ref="E454:S454"/>
    <mergeCell ref="A455:C455"/>
    <mergeCell ref="E455:S455"/>
    <mergeCell ref="A456:C456"/>
    <mergeCell ref="E456:S456"/>
    <mergeCell ref="A457:C457"/>
    <mergeCell ref="E457:S457"/>
    <mergeCell ref="A458:C458"/>
    <mergeCell ref="E458:S458"/>
    <mergeCell ref="A459:C459"/>
    <mergeCell ref="E459:S459"/>
    <mergeCell ref="A460:C460"/>
    <mergeCell ref="E460:S460"/>
    <mergeCell ref="A461:C461"/>
    <mergeCell ref="E461:S461"/>
    <mergeCell ref="A462:S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A486:I486"/>
    <mergeCell ref="P486:R486"/>
    <mergeCell ref="A487:C487"/>
    <mergeCell ref="E487:Q487"/>
    <mergeCell ref="A488:C488"/>
    <mergeCell ref="F488:Q488"/>
    <mergeCell ref="A489:Q489"/>
    <mergeCell ref="A490:C490"/>
    <mergeCell ref="E490:S490"/>
    <mergeCell ref="A491:C491"/>
    <mergeCell ref="E491:S491"/>
    <mergeCell ref="A492:C492"/>
    <mergeCell ref="E492:S492"/>
    <mergeCell ref="A493:C493"/>
    <mergeCell ref="E493:S493"/>
    <mergeCell ref="A494:C494"/>
    <mergeCell ref="E494:S494"/>
    <mergeCell ref="A495:C495"/>
    <mergeCell ref="E495:S495"/>
    <mergeCell ref="A496:C496"/>
    <mergeCell ref="E496:S496"/>
    <mergeCell ref="A497:C497"/>
    <mergeCell ref="E497:S497"/>
    <mergeCell ref="A498:S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A522:I522"/>
    <mergeCell ref="P522:R522"/>
    <mergeCell ref="A523:C523"/>
    <mergeCell ref="E523:Q523"/>
    <mergeCell ref="A524:C524"/>
    <mergeCell ref="F524:Q524"/>
    <mergeCell ref="A525:Q525"/>
    <mergeCell ref="A526:C526"/>
    <mergeCell ref="E526:S526"/>
    <mergeCell ref="A527:C527"/>
    <mergeCell ref="E527:S527"/>
    <mergeCell ref="A528:C528"/>
    <mergeCell ref="E528:S528"/>
    <mergeCell ref="A529:C529"/>
    <mergeCell ref="E529:S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S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A558:I558"/>
    <mergeCell ref="P558:R558"/>
    <mergeCell ref="A559:C559"/>
    <mergeCell ref="E559:Q559"/>
    <mergeCell ref="A560:C560"/>
    <mergeCell ref="F560:Q560"/>
    <mergeCell ref="A561:Q561"/>
    <mergeCell ref="A562:C562"/>
    <mergeCell ref="E562:S562"/>
    <mergeCell ref="A563:C563"/>
    <mergeCell ref="E563:S563"/>
    <mergeCell ref="A564:C564"/>
    <mergeCell ref="E564:S564"/>
    <mergeCell ref="A565:C565"/>
    <mergeCell ref="E565:S565"/>
    <mergeCell ref="A566:C566"/>
    <mergeCell ref="E566:S566"/>
    <mergeCell ref="A567:C567"/>
    <mergeCell ref="E567:S567"/>
    <mergeCell ref="A568:C568"/>
    <mergeCell ref="E568:S568"/>
    <mergeCell ref="A569:C569"/>
    <mergeCell ref="E569:S569"/>
    <mergeCell ref="A570:S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A594:I594"/>
    <mergeCell ref="P594:R594"/>
    <mergeCell ref="A595:C595"/>
    <mergeCell ref="E595:Q595"/>
    <mergeCell ref="A596:C596"/>
    <mergeCell ref="F596:Q596"/>
    <mergeCell ref="A597:Q597"/>
    <mergeCell ref="A598:C598"/>
    <mergeCell ref="E598:S598"/>
    <mergeCell ref="A599:C599"/>
    <mergeCell ref="E599:S599"/>
    <mergeCell ref="A600:C600"/>
    <mergeCell ref="E600:S600"/>
    <mergeCell ref="A601:C601"/>
    <mergeCell ref="E601:S601"/>
    <mergeCell ref="A602:C602"/>
    <mergeCell ref="E602:S602"/>
    <mergeCell ref="A603:C603"/>
    <mergeCell ref="E603:S603"/>
    <mergeCell ref="A604:C604"/>
    <mergeCell ref="E604:S604"/>
    <mergeCell ref="A605:C605"/>
    <mergeCell ref="E605:S605"/>
    <mergeCell ref="A606:S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A630:I630"/>
    <mergeCell ref="P630:R630"/>
    <mergeCell ref="A631:C631"/>
    <mergeCell ref="E631:Q631"/>
    <mergeCell ref="A632:C632"/>
    <mergeCell ref="F632:Q632"/>
    <mergeCell ref="A633:Q633"/>
    <mergeCell ref="A634:C634"/>
    <mergeCell ref="E634:S634"/>
    <mergeCell ref="A635:C635"/>
    <mergeCell ref="E635:S635"/>
    <mergeCell ref="A636:C636"/>
    <mergeCell ref="E636:S636"/>
    <mergeCell ref="A637:C637"/>
    <mergeCell ref="E637:S637"/>
    <mergeCell ref="A638:C638"/>
    <mergeCell ref="E638:S638"/>
    <mergeCell ref="A639:C639"/>
    <mergeCell ref="E639:S639"/>
    <mergeCell ref="A640:C640"/>
    <mergeCell ref="E640:S640"/>
    <mergeCell ref="A641:C641"/>
    <mergeCell ref="E641:S641"/>
    <mergeCell ref="A642:S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A666:I666"/>
    <mergeCell ref="P666:R666"/>
    <mergeCell ref="A667:C667"/>
    <mergeCell ref="E667:Q667"/>
    <mergeCell ref="A668:C668"/>
    <mergeCell ref="F668:Q668"/>
    <mergeCell ref="A669:Q669"/>
    <mergeCell ref="A670:C670"/>
    <mergeCell ref="E670:S670"/>
    <mergeCell ref="A671:C671"/>
    <mergeCell ref="E671:S671"/>
    <mergeCell ref="A672:C672"/>
    <mergeCell ref="E672:S672"/>
    <mergeCell ref="A673:C673"/>
    <mergeCell ref="E673:S673"/>
    <mergeCell ref="A674:C674"/>
    <mergeCell ref="E674:S674"/>
    <mergeCell ref="A675:C675"/>
    <mergeCell ref="E675:S675"/>
    <mergeCell ref="A676:C676"/>
    <mergeCell ref="E676:S676"/>
    <mergeCell ref="A677:C677"/>
    <mergeCell ref="E677:S677"/>
    <mergeCell ref="A678:S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A702:I702"/>
    <mergeCell ref="P702:R702"/>
    <mergeCell ref="A703:C703"/>
    <mergeCell ref="E703:Q703"/>
    <mergeCell ref="A704:C704"/>
    <mergeCell ref="F704:Q704"/>
    <mergeCell ref="A705:Q705"/>
    <mergeCell ref="A706:C706"/>
    <mergeCell ref="E706:S706"/>
    <mergeCell ref="A707:C707"/>
    <mergeCell ref="E707:S707"/>
    <mergeCell ref="A708:C708"/>
    <mergeCell ref="E708:S708"/>
    <mergeCell ref="A709:C709"/>
    <mergeCell ref="E709:S709"/>
    <mergeCell ref="A710:C710"/>
    <mergeCell ref="E710:S710"/>
    <mergeCell ref="A711:C711"/>
    <mergeCell ref="E711:S711"/>
    <mergeCell ref="A712:C712"/>
    <mergeCell ref="E712:S712"/>
    <mergeCell ref="A713:C713"/>
    <mergeCell ref="E713:S713"/>
    <mergeCell ref="A714:S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A738:I738"/>
    <mergeCell ref="P738:R738"/>
    <mergeCell ref="A739:C739"/>
    <mergeCell ref="E739:Q739"/>
    <mergeCell ref="A740:C740"/>
    <mergeCell ref="F740:Q740"/>
    <mergeCell ref="A741:Q741"/>
    <mergeCell ref="A742:C742"/>
    <mergeCell ref="E742:S742"/>
    <mergeCell ref="A743:C743"/>
    <mergeCell ref="E743:S743"/>
    <mergeCell ref="A744:C744"/>
    <mergeCell ref="E744:S744"/>
    <mergeCell ref="A745:C745"/>
    <mergeCell ref="E745:S745"/>
    <mergeCell ref="A746:C746"/>
    <mergeCell ref="E746:S746"/>
    <mergeCell ref="A747:C747"/>
    <mergeCell ref="E747:S747"/>
    <mergeCell ref="A748:C748"/>
    <mergeCell ref="E748:S748"/>
    <mergeCell ref="A749:C749"/>
    <mergeCell ref="E749:S749"/>
    <mergeCell ref="A750:S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A774:I774"/>
    <mergeCell ref="P774:R774"/>
    <mergeCell ref="A775:C775"/>
    <mergeCell ref="E775:Q775"/>
    <mergeCell ref="A776:C776"/>
    <mergeCell ref="F776:Q776"/>
    <mergeCell ref="A777:Q777"/>
    <mergeCell ref="A778:C778"/>
    <mergeCell ref="E778:S778"/>
    <mergeCell ref="A779:C779"/>
    <mergeCell ref="E779:S779"/>
    <mergeCell ref="A780:C780"/>
    <mergeCell ref="E780:S780"/>
    <mergeCell ref="A781:C781"/>
    <mergeCell ref="E781:S781"/>
    <mergeCell ref="A782:C782"/>
    <mergeCell ref="E782:S782"/>
    <mergeCell ref="A783:C783"/>
    <mergeCell ref="E783:S783"/>
    <mergeCell ref="A784:C784"/>
    <mergeCell ref="E784:S784"/>
    <mergeCell ref="A785:C785"/>
    <mergeCell ref="E785:S785"/>
    <mergeCell ref="A786:S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A810:I810"/>
    <mergeCell ref="P810:R810"/>
    <mergeCell ref="A811:C811"/>
    <mergeCell ref="E811:Q811"/>
    <mergeCell ref="A812:C812"/>
    <mergeCell ref="F812:Q812"/>
    <mergeCell ref="A813:Q813"/>
    <mergeCell ref="A814:C814"/>
    <mergeCell ref="E814:S814"/>
    <mergeCell ref="A815:C815"/>
    <mergeCell ref="E815:S815"/>
    <mergeCell ref="A816:C816"/>
    <mergeCell ref="E816:S816"/>
    <mergeCell ref="A817:C817"/>
    <mergeCell ref="E817:S817"/>
    <mergeCell ref="A818:C818"/>
    <mergeCell ref="E818:S818"/>
    <mergeCell ref="A819:C819"/>
    <mergeCell ref="E819:S819"/>
    <mergeCell ref="A820:C820"/>
    <mergeCell ref="E820:S820"/>
    <mergeCell ref="A821:C821"/>
    <mergeCell ref="E821:S821"/>
    <mergeCell ref="A822:S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A850:I850"/>
    <mergeCell ref="P850:R850"/>
    <mergeCell ref="A851:C851"/>
    <mergeCell ref="E851:Q851"/>
    <mergeCell ref="A852:C852"/>
    <mergeCell ref="F852:Q852"/>
    <mergeCell ref="A853:Q853"/>
    <mergeCell ref="A854:C854"/>
    <mergeCell ref="E854:S854"/>
    <mergeCell ref="A855:C855"/>
    <mergeCell ref="E855:S855"/>
    <mergeCell ref="A856:C856"/>
    <mergeCell ref="E856:S856"/>
    <mergeCell ref="A857:C857"/>
    <mergeCell ref="E857:S857"/>
    <mergeCell ref="A858:C858"/>
    <mergeCell ref="E858:S858"/>
    <mergeCell ref="A859:C859"/>
    <mergeCell ref="E859:S859"/>
    <mergeCell ref="A860:C860"/>
    <mergeCell ref="E860:S860"/>
    <mergeCell ref="A861:C861"/>
    <mergeCell ref="E861:S861"/>
    <mergeCell ref="A862:S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A890:I890"/>
    <mergeCell ref="P890:R890"/>
    <mergeCell ref="A891:C891"/>
    <mergeCell ref="E891:Q891"/>
    <mergeCell ref="A892:C892"/>
    <mergeCell ref="F892:Q892"/>
    <mergeCell ref="A893:Q893"/>
    <mergeCell ref="A894:C894"/>
    <mergeCell ref="E894:S894"/>
    <mergeCell ref="A895:C895"/>
    <mergeCell ref="E895:S895"/>
    <mergeCell ref="A896:C896"/>
    <mergeCell ref="E896:S896"/>
    <mergeCell ref="A897:C897"/>
    <mergeCell ref="E897:S897"/>
    <mergeCell ref="A898:C898"/>
    <mergeCell ref="E898:S898"/>
    <mergeCell ref="A899:C899"/>
    <mergeCell ref="E899:S899"/>
    <mergeCell ref="A900:C900"/>
    <mergeCell ref="E900:S900"/>
    <mergeCell ref="A901:C901"/>
    <mergeCell ref="E901:S901"/>
    <mergeCell ref="A902:S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A930:I930"/>
    <mergeCell ref="P930:R930"/>
    <mergeCell ref="A931:C931"/>
    <mergeCell ref="E931:Q931"/>
    <mergeCell ref="A932:C932"/>
    <mergeCell ref="F932:Q932"/>
    <mergeCell ref="A933:Q933"/>
    <mergeCell ref="A934:C934"/>
    <mergeCell ref="E934:S934"/>
    <mergeCell ref="A935:C935"/>
    <mergeCell ref="E935:S935"/>
    <mergeCell ref="A936:C936"/>
    <mergeCell ref="E936:S936"/>
    <mergeCell ref="A937:C937"/>
    <mergeCell ref="E937:S937"/>
    <mergeCell ref="A938:C938"/>
    <mergeCell ref="E938:S938"/>
    <mergeCell ref="A939:C939"/>
    <mergeCell ref="E939:S939"/>
    <mergeCell ref="A940:C940"/>
    <mergeCell ref="E940:S940"/>
    <mergeCell ref="A941:C941"/>
    <mergeCell ref="E941:S941"/>
    <mergeCell ref="A942:S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A970:I970"/>
    <mergeCell ref="P970:R970"/>
    <mergeCell ref="A971:C971"/>
    <mergeCell ref="E971:Q971"/>
    <mergeCell ref="A972:C972"/>
    <mergeCell ref="F972:Q972"/>
    <mergeCell ref="A973:Q973"/>
    <mergeCell ref="A974:C974"/>
    <mergeCell ref="E974:S974"/>
    <mergeCell ref="A975:C975"/>
    <mergeCell ref="E975:S975"/>
    <mergeCell ref="A976:C976"/>
    <mergeCell ref="E976:S976"/>
    <mergeCell ref="A977:C977"/>
    <mergeCell ref="E977:S977"/>
    <mergeCell ref="A978:C978"/>
    <mergeCell ref="E978:S978"/>
    <mergeCell ref="A979:C979"/>
    <mergeCell ref="E979:S979"/>
    <mergeCell ref="A980:C980"/>
    <mergeCell ref="E980:S980"/>
    <mergeCell ref="A981:C981"/>
    <mergeCell ref="E981:S981"/>
    <mergeCell ref="A982:S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A1010:I1010"/>
    <mergeCell ref="P1010:R1010"/>
    <mergeCell ref="A1011:C1011"/>
    <mergeCell ref="E1011:Q1011"/>
    <mergeCell ref="A1012:C1012"/>
    <mergeCell ref="F1012:Q1012"/>
    <mergeCell ref="A1013:Q1013"/>
    <mergeCell ref="A1014:C1014"/>
    <mergeCell ref="E1014:S1014"/>
    <mergeCell ref="A1015:C1015"/>
    <mergeCell ref="E1015:S1015"/>
    <mergeCell ref="A1016:C1016"/>
    <mergeCell ref="E1016:S1016"/>
    <mergeCell ref="A1017:C1017"/>
    <mergeCell ref="E1017:S1017"/>
    <mergeCell ref="A1018:C1018"/>
    <mergeCell ref="E1018:S1018"/>
    <mergeCell ref="A1019:C1019"/>
    <mergeCell ref="E1019:S1019"/>
    <mergeCell ref="A1020:C1020"/>
    <mergeCell ref="E1020:S1020"/>
    <mergeCell ref="A1021:C1021"/>
    <mergeCell ref="E1021:S1021"/>
    <mergeCell ref="A1022:S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A1050:I1050"/>
    <mergeCell ref="P1050:R1050"/>
    <mergeCell ref="A1051:C1051"/>
    <mergeCell ref="E1051:Q1051"/>
    <mergeCell ref="A1052:C1052"/>
    <mergeCell ref="F1052:Q1052"/>
    <mergeCell ref="A1053:Q1053"/>
    <mergeCell ref="A1054:C1054"/>
    <mergeCell ref="E1054:S1054"/>
    <mergeCell ref="A1055:C1055"/>
    <mergeCell ref="E1055:S1055"/>
    <mergeCell ref="A1056:C1056"/>
    <mergeCell ref="E1056:S1056"/>
    <mergeCell ref="A1057:C1057"/>
    <mergeCell ref="E1057:S1057"/>
    <mergeCell ref="A1058:C1058"/>
    <mergeCell ref="E1058:S1058"/>
    <mergeCell ref="A1059:C1059"/>
    <mergeCell ref="E1059:S1059"/>
    <mergeCell ref="A1060:C1060"/>
    <mergeCell ref="E1060:S1060"/>
    <mergeCell ref="A1061:C1061"/>
    <mergeCell ref="E1061:S1061"/>
    <mergeCell ref="A1062:S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A1090:I1090"/>
    <mergeCell ref="P1090:R1090"/>
    <mergeCell ref="A1091:C1091"/>
    <mergeCell ref="E1091:Q1091"/>
    <mergeCell ref="A1092:C1092"/>
    <mergeCell ref="F1092:Q1092"/>
    <mergeCell ref="A1093:Q1093"/>
    <mergeCell ref="A1094:C1094"/>
    <mergeCell ref="F1094:S1094"/>
    <mergeCell ref="F1095:S1095"/>
    <mergeCell ref="C1096:J1096"/>
    <mergeCell ref="E1097:F1097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A23"/>
  <sheetViews>
    <sheetView workbookViewId="0">
      <selection activeCell="K25" sqref="K25"/>
    </sheetView>
  </sheetViews>
  <sheetFormatPr defaultColWidth="9" defaultRowHeight="14.25"/>
  <cols>
    <col min="1" max="1" width="11.8333333333333" customWidth="1"/>
    <col min="2" max="2" width="32.0833333333333" customWidth="1"/>
    <col min="3" max="3" width="12.25" customWidth="1"/>
    <col min="4" max="4" width="24.8333333333333" customWidth="1"/>
    <col min="5" max="5" width="21.5" customWidth="1"/>
    <col min="6" max="6" width="12.0833333333333" customWidth="1"/>
    <col min="7" max="7" width="16.8333333333333" customWidth="1"/>
    <col min="8" max="8" width="14.75" customWidth="1"/>
    <col min="9" max="9" width="9.75" customWidth="1"/>
    <col min="10" max="10" width="9.375"/>
    <col min="12" max="12" width="9.375"/>
  </cols>
  <sheetData>
    <row r="1" ht="19" customHeight="1" spans="1:8">
      <c r="A1" s="2" t="s">
        <v>191</v>
      </c>
      <c r="B1" s="2"/>
      <c r="C1" s="2"/>
      <c r="D1" s="2"/>
      <c r="E1" s="2"/>
      <c r="F1" s="2"/>
      <c r="G1" s="2"/>
      <c r="H1" s="2"/>
    </row>
    <row r="2" ht="14.15" customHeight="1" spans="1:8">
      <c r="A2" s="3" t="s">
        <v>192</v>
      </c>
      <c r="B2" s="4"/>
      <c r="C2" s="5" t="s">
        <v>193</v>
      </c>
      <c r="D2" s="6" t="s">
        <v>194</v>
      </c>
      <c r="E2" s="3"/>
      <c r="F2" s="3"/>
      <c r="G2" s="3"/>
      <c r="H2" s="3"/>
    </row>
    <row r="3" ht="14.15" customHeight="1" spans="1:8">
      <c r="A3" s="3" t="s">
        <v>195</v>
      </c>
      <c r="B3" s="4"/>
      <c r="C3" s="5" t="s">
        <v>193</v>
      </c>
      <c r="D3" s="6" t="s">
        <v>196</v>
      </c>
      <c r="E3" s="3"/>
      <c r="F3" s="3"/>
      <c r="G3" s="3"/>
      <c r="H3" s="3"/>
    </row>
    <row r="4" ht="14.15" customHeight="1" spans="1:8">
      <c r="A4" s="3" t="s">
        <v>197</v>
      </c>
      <c r="B4" s="4"/>
      <c r="C4" s="5" t="s">
        <v>193</v>
      </c>
      <c r="D4" s="6" t="s">
        <v>196</v>
      </c>
      <c r="E4" s="3"/>
      <c r="F4" s="3"/>
      <c r="G4" s="3"/>
      <c r="H4" s="3"/>
    </row>
    <row r="5" ht="11.25" customHeight="1" spans="1:8">
      <c r="A5" s="3" t="s">
        <v>198</v>
      </c>
      <c r="B5" s="4"/>
      <c r="C5" s="5" t="s">
        <v>193</v>
      </c>
      <c r="D5" s="6" t="s">
        <v>199</v>
      </c>
      <c r="E5" s="3"/>
      <c r="F5" s="3"/>
      <c r="G5" s="3"/>
      <c r="H5" s="3"/>
    </row>
    <row r="6" ht="11.25" customHeight="1" spans="1:8">
      <c r="A6" s="3"/>
      <c r="B6" s="4"/>
      <c r="C6" s="5"/>
      <c r="D6" s="6"/>
      <c r="E6" s="4"/>
      <c r="F6" s="4"/>
      <c r="G6" s="4"/>
      <c r="H6" s="4"/>
    </row>
    <row r="7" s="1" customFormat="1" spans="1:235">
      <c r="A7" s="7" t="s">
        <v>200</v>
      </c>
      <c r="B7" s="8" t="s">
        <v>201</v>
      </c>
      <c r="C7" s="9"/>
      <c r="D7" s="10" t="s">
        <v>202</v>
      </c>
      <c r="E7" s="10" t="s">
        <v>203</v>
      </c>
      <c r="F7" s="10" t="s">
        <v>204</v>
      </c>
      <c r="G7" s="10" t="s">
        <v>205</v>
      </c>
      <c r="H7" s="10" t="s">
        <v>206</v>
      </c>
      <c r="I7" s="31"/>
      <c r="K7" s="32"/>
      <c r="L7" s="33"/>
      <c r="M7" s="31"/>
      <c r="P7" s="32"/>
      <c r="Q7" s="35"/>
      <c r="R7" s="32"/>
      <c r="S7" s="32"/>
      <c r="T7" s="33"/>
      <c r="U7" s="31"/>
      <c r="X7" s="32"/>
      <c r="Y7" s="35"/>
      <c r="Z7" s="32"/>
      <c r="AA7" s="32"/>
      <c r="AB7" s="33"/>
      <c r="AC7" s="31"/>
      <c r="AF7" s="32"/>
      <c r="AG7" s="35"/>
      <c r="AH7" s="32"/>
      <c r="AI7" s="32"/>
      <c r="AJ7" s="33"/>
      <c r="AK7" s="31"/>
      <c r="AN7" s="32"/>
      <c r="AO7" s="35"/>
      <c r="AP7" s="32"/>
      <c r="AQ7" s="32"/>
      <c r="AR7" s="33"/>
      <c r="AS7" s="31"/>
      <c r="AV7" s="32"/>
      <c r="AW7" s="35"/>
      <c r="AX7" s="32"/>
      <c r="AY7" s="32"/>
      <c r="AZ7" s="33"/>
      <c r="BA7" s="31"/>
      <c r="BD7" s="32"/>
      <c r="BE7" s="35"/>
      <c r="BF7" s="32"/>
      <c r="BG7" s="32"/>
      <c r="BH7" s="33"/>
      <c r="BI7" s="31"/>
      <c r="BL7" s="32"/>
      <c r="BM7" s="35"/>
      <c r="BN7" s="32"/>
      <c r="BO7" s="32"/>
      <c r="BP7" s="33"/>
      <c r="BQ7" s="31"/>
      <c r="BT7" s="32"/>
      <c r="BU7" s="35"/>
      <c r="BV7" s="32"/>
      <c r="BW7" s="32"/>
      <c r="BX7" s="33"/>
      <c r="BY7" s="31"/>
      <c r="CB7" s="32"/>
      <c r="CC7" s="35"/>
      <c r="CD7" s="32"/>
      <c r="CE7" s="32"/>
      <c r="CF7" s="33"/>
      <c r="CG7" s="31"/>
      <c r="CJ7" s="32"/>
      <c r="CK7" s="35"/>
      <c r="CL7" s="32"/>
      <c r="CM7" s="32"/>
      <c r="CN7" s="33"/>
      <c r="CO7" s="31"/>
      <c r="CR7" s="32"/>
      <c r="CS7" s="35"/>
      <c r="CT7" s="32"/>
      <c r="CU7" s="32"/>
      <c r="CV7" s="33"/>
      <c r="CW7" s="31"/>
      <c r="CZ7" s="32"/>
      <c r="DA7" s="35"/>
      <c r="DB7" s="32"/>
      <c r="DC7" s="32"/>
      <c r="DD7" s="33"/>
      <c r="DE7" s="31"/>
      <c r="DH7" s="32"/>
      <c r="DI7" s="35"/>
      <c r="DJ7" s="32"/>
      <c r="DK7" s="32"/>
      <c r="DL7" s="33"/>
      <c r="DM7" s="31"/>
      <c r="DP7" s="32"/>
      <c r="DQ7" s="35"/>
      <c r="DR7" s="32"/>
      <c r="DS7" s="32"/>
      <c r="DT7" s="33"/>
      <c r="DU7" s="31"/>
      <c r="DX7" s="32"/>
      <c r="DY7" s="35"/>
      <c r="DZ7" s="32"/>
      <c r="EA7" s="32"/>
      <c r="EB7" s="33"/>
      <c r="EC7" s="31"/>
      <c r="EF7" s="32"/>
      <c r="EG7" s="35"/>
      <c r="EH7" s="32"/>
      <c r="EI7" s="32"/>
      <c r="EJ7" s="33"/>
      <c r="EK7" s="31"/>
      <c r="EN7" s="32"/>
      <c r="EO7" s="35"/>
      <c r="EP7" s="32"/>
      <c r="EQ7" s="32"/>
      <c r="ER7" s="33"/>
      <c r="ES7" s="31"/>
      <c r="EV7" s="32"/>
      <c r="EW7" s="35"/>
      <c r="EX7" s="32"/>
      <c r="EY7" s="32"/>
      <c r="EZ7" s="33"/>
      <c r="FA7" s="31"/>
      <c r="FD7" s="32"/>
      <c r="FE7" s="35"/>
      <c r="FF7" s="32"/>
      <c r="FG7" s="32"/>
      <c r="FH7" s="33"/>
      <c r="FI7" s="31"/>
      <c r="FL7" s="32"/>
      <c r="FM7" s="35"/>
      <c r="FN7" s="32"/>
      <c r="FO7" s="32"/>
      <c r="FP7" s="33"/>
      <c r="FQ7" s="31"/>
      <c r="FT7" s="32"/>
      <c r="FU7" s="35"/>
      <c r="FV7" s="32"/>
      <c r="FW7" s="32"/>
      <c r="FX7" s="33"/>
      <c r="FY7" s="31"/>
      <c r="GB7" s="32"/>
      <c r="GC7" s="35"/>
      <c r="GD7" s="32"/>
      <c r="GE7" s="32"/>
      <c r="GF7" s="33"/>
      <c r="GG7" s="31"/>
      <c r="GJ7" s="32"/>
      <c r="GK7" s="35"/>
      <c r="GL7" s="32"/>
      <c r="GM7" s="32"/>
      <c r="GN7" s="33"/>
      <c r="GO7" s="31"/>
      <c r="GR7" s="32"/>
      <c r="GS7" s="35"/>
      <c r="GT7" s="32"/>
      <c r="GU7" s="32"/>
      <c r="GV7" s="33"/>
      <c r="GW7" s="31"/>
      <c r="GZ7" s="32"/>
      <c r="HA7" s="35"/>
      <c r="HB7" s="32"/>
      <c r="HC7" s="32"/>
      <c r="HD7" s="33"/>
      <c r="HE7" s="31"/>
      <c r="HH7" s="32"/>
      <c r="HI7" s="35"/>
      <c r="HJ7" s="32"/>
      <c r="HK7" s="32"/>
      <c r="HL7" s="33"/>
      <c r="HM7" s="31"/>
      <c r="HP7" s="32"/>
      <c r="HQ7" s="35"/>
      <c r="HR7" s="32"/>
      <c r="HS7" s="32"/>
      <c r="HT7" s="33"/>
      <c r="HU7" s="31"/>
      <c r="HX7" s="32"/>
      <c r="HY7" s="35"/>
      <c r="HZ7" s="32"/>
      <c r="IA7" s="32"/>
    </row>
    <row r="8" s="1" customFormat="1" ht="16.5" customHeight="1" spans="1:8">
      <c r="A8" s="11">
        <v>1</v>
      </c>
      <c r="B8" s="12" t="s">
        <v>207</v>
      </c>
      <c r="C8" s="13"/>
      <c r="D8" s="10">
        <v>250</v>
      </c>
      <c r="E8" s="14" t="s">
        <v>208</v>
      </c>
      <c r="F8" s="10">
        <v>2</v>
      </c>
      <c r="G8" s="10">
        <f>D8*F8</f>
        <v>500</v>
      </c>
      <c r="H8" s="10"/>
    </row>
    <row r="9" s="1" customFormat="1" spans="1:8">
      <c r="A9" s="11">
        <v>2</v>
      </c>
      <c r="B9" s="15" t="s">
        <v>28</v>
      </c>
      <c r="C9" s="13"/>
      <c r="D9" s="10">
        <v>50</v>
      </c>
      <c r="E9" s="14" t="s">
        <v>209</v>
      </c>
      <c r="F9" s="10"/>
      <c r="G9" s="10">
        <f>D9*F9</f>
        <v>0</v>
      </c>
      <c r="H9" s="10"/>
    </row>
    <row r="10" s="1" customFormat="1" spans="1:8">
      <c r="A10" s="11">
        <v>3</v>
      </c>
      <c r="B10" s="12" t="s">
        <v>210</v>
      </c>
      <c r="C10" s="13"/>
      <c r="D10" s="10">
        <v>1480</v>
      </c>
      <c r="E10" s="14" t="s">
        <v>208</v>
      </c>
      <c r="F10" s="10">
        <v>1</v>
      </c>
      <c r="G10" s="10">
        <f>D10*F10*1.08</f>
        <v>1598.4</v>
      </c>
      <c r="H10" s="10" t="s">
        <v>211</v>
      </c>
    </row>
    <row r="11" s="1" customFormat="1" spans="1:8">
      <c r="A11" s="11">
        <v>4</v>
      </c>
      <c r="B11" s="12" t="s">
        <v>212</v>
      </c>
      <c r="C11" s="13"/>
      <c r="D11" s="10">
        <v>200</v>
      </c>
      <c r="E11" s="14" t="s">
        <v>208</v>
      </c>
      <c r="F11" s="10">
        <v>1</v>
      </c>
      <c r="G11" s="10">
        <f>D11*F11</f>
        <v>200</v>
      </c>
      <c r="H11" s="10"/>
    </row>
    <row r="12" s="1" customFormat="1" spans="1:8">
      <c r="A12" s="11">
        <v>5</v>
      </c>
      <c r="B12" s="12" t="s">
        <v>213</v>
      </c>
      <c r="C12" s="13"/>
      <c r="D12" s="10"/>
      <c r="E12" s="14" t="s">
        <v>208</v>
      </c>
      <c r="F12" s="10"/>
      <c r="G12" s="10">
        <f>D12*F12</f>
        <v>0</v>
      </c>
      <c r="H12" s="10" t="s">
        <v>211</v>
      </c>
    </row>
    <row r="13" s="1" customFormat="1" spans="1:8">
      <c r="A13" s="11">
        <v>6</v>
      </c>
      <c r="B13" s="12" t="s">
        <v>214</v>
      </c>
      <c r="C13" s="13"/>
      <c r="D13" s="10">
        <v>100</v>
      </c>
      <c r="E13" s="14" t="s">
        <v>208</v>
      </c>
      <c r="F13" s="10"/>
      <c r="G13" s="10">
        <f>D13*F13</f>
        <v>0</v>
      </c>
      <c r="H13" s="10"/>
    </row>
    <row r="14" s="1" customFormat="1" spans="1:8">
      <c r="A14" s="11">
        <v>7</v>
      </c>
      <c r="B14" s="12" t="s">
        <v>215</v>
      </c>
      <c r="C14" s="13"/>
      <c r="D14" s="10">
        <v>50</v>
      </c>
      <c r="E14" s="14" t="s">
        <v>208</v>
      </c>
      <c r="F14" s="10">
        <v>2</v>
      </c>
      <c r="G14" s="10">
        <f>D14*F14</f>
        <v>100</v>
      </c>
      <c r="H14" s="10"/>
    </row>
    <row r="15" spans="1:8">
      <c r="A15" s="16"/>
      <c r="B15" s="16"/>
      <c r="C15" s="16"/>
      <c r="D15" s="16"/>
      <c r="E15" s="16"/>
      <c r="F15" s="16"/>
      <c r="G15" s="16"/>
      <c r="H15" s="16"/>
    </row>
    <row r="21" ht="24" spans="1:9">
      <c r="A21" s="17" t="s">
        <v>216</v>
      </c>
      <c r="B21" s="18" t="s">
        <v>217</v>
      </c>
      <c r="C21" s="19" t="s">
        <v>218</v>
      </c>
      <c r="D21" s="20" t="s">
        <v>219</v>
      </c>
      <c r="E21" s="19" t="s">
        <v>220</v>
      </c>
      <c r="F21" s="21" t="s">
        <v>221</v>
      </c>
      <c r="G21" s="22" t="s">
        <v>222</v>
      </c>
      <c r="H21" s="23" t="s">
        <v>223</v>
      </c>
      <c r="I21" s="34"/>
    </row>
    <row r="22" ht="24" spans="1:9">
      <c r="A22" s="24" t="s">
        <v>224</v>
      </c>
      <c r="B22" s="25" t="s">
        <v>225</v>
      </c>
      <c r="C22" s="26">
        <v>250</v>
      </c>
      <c r="D22" s="27">
        <v>50</v>
      </c>
      <c r="E22" s="26" t="s">
        <v>52</v>
      </c>
      <c r="F22" s="28"/>
      <c r="G22" s="28"/>
      <c r="H22" s="29">
        <f>SUM(C22:G22)</f>
        <v>300</v>
      </c>
      <c r="I22" s="34" t="s">
        <v>226</v>
      </c>
    </row>
    <row r="23" ht="31" customHeight="1" spans="1:9">
      <c r="A23" s="157" t="s">
        <v>227</v>
      </c>
      <c r="B23" s="25" t="s">
        <v>225</v>
      </c>
      <c r="C23" s="26">
        <v>250</v>
      </c>
      <c r="D23" s="27">
        <v>50</v>
      </c>
      <c r="E23" s="26" t="s">
        <v>52</v>
      </c>
      <c r="F23" s="28">
        <v>200</v>
      </c>
      <c r="G23" s="28">
        <f>1480*1.08</f>
        <v>1598.4</v>
      </c>
      <c r="H23" s="29">
        <f>SUM(C23:G23)</f>
        <v>2098.4</v>
      </c>
      <c r="I23" s="34" t="s">
        <v>226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D22">
    <cfRule type="expression" dxfId="0" priority="2" stopIfTrue="1">
      <formula>AND(COUNTIF(#REF!,D22)&gt;1,NOT(ISBLANK(D22)))</formula>
    </cfRule>
  </conditionalFormatting>
  <conditionalFormatting sqref="D23">
    <cfRule type="expression" dxfId="0" priority="1" stopIfTrue="1">
      <formula>AND(COUNTIF(#REF!,D23)&gt;1,NOT(ISBLANK(D23)))</formula>
    </cfRule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4C1F71A-B6DE-4B09-908F-03B44977EF4F}">
  <ds:schemaRefs/>
</ds:datastoreItem>
</file>

<file path=customXml/itemProps2.xml><?xml version="1.0" encoding="utf-8"?>
<ds:datastoreItem xmlns:ds="http://schemas.openxmlformats.org/officeDocument/2006/customXml" ds:itemID="{6A94FDC5-43BA-4DEA-B4DF-95E93617CD6D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Invoice</vt:lpstr>
      <vt:lpstr>InvoiceBillReport</vt:lpstr>
      <vt:lpstr>HandlingBillingReport</vt:lpstr>
      <vt:lpstr>StorageBillingRpt</vt:lpstr>
      <vt:lpstr>Customs Clearance With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2025-05-15T10:45:47Z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F8673F12C2974EFAAAF35E8281A0E179_13</vt:lpwstr>
  </property>
  <property fmtid="{D5CDD505-2E9C-101B-9397-08002B2CF9AE}" pid="3" name="KSOProductBuildVer">
    <vt:lpwstr>2052-12.1.0.20784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