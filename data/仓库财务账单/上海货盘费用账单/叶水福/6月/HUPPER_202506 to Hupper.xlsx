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VAS GW20250507-08-09-SEKU651311" sheetId="26" r:id="rId1"/>
    <sheet name="VAS 6月COSU6421188390-CSNU557267" sheetId="2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  <comment ref="L7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
</t>
        </r>
      </text>
    </comment>
  </commentList>
</comments>
</file>

<file path=xl/comments2.xml><?xml version="1.0" encoding="utf-8"?>
<comments xmlns="http://schemas.openxmlformats.org/spreadsheetml/2006/main">
  <authors>
    <author>86180</author>
    <author>Anna Ye</author>
  </authors>
  <commentList>
    <comment ref="L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  <comment ref="AF5" authorId="1">
      <text>
        <r>
          <rPr>
            <b/>
            <sz val="9"/>
            <rFont val="Tahoma"/>
            <charset val="134"/>
          </rPr>
          <t>Anna Ye:</t>
        </r>
        <r>
          <rPr>
            <sz val="9"/>
            <rFont val="Tahoma"/>
            <charset val="134"/>
          </rPr>
          <t xml:space="preserve">
2箱唛+1超重标+1条码+1变压器信息标</t>
        </r>
      </text>
    </comment>
    <comment ref="L60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
</t>
        </r>
      </text>
    </comment>
  </commentList>
</comments>
</file>

<file path=xl/sharedStrings.xml><?xml version="1.0" encoding="utf-8"?>
<sst xmlns="http://schemas.openxmlformats.org/spreadsheetml/2006/main" count="923" uniqueCount="506">
  <si>
    <t>运营人员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</si>
  <si>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</si>
  <si>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</si>
  <si>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</si>
  <si>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</si>
  <si>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</si>
  <si>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</si>
  <si>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</si>
  <si>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</si>
  <si>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</si>
  <si>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</si>
  <si>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</si>
  <si>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</si>
  <si>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</si>
  <si>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</si>
  <si>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</si>
  <si>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</si>
  <si>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</si>
  <si>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货件编号 从</t>
  </si>
  <si>
    <t>到</t>
  </si>
  <si>
    <t>箱唛</t>
  </si>
  <si>
    <t>啤酒瓶&amp;大提琴条码</t>
  </si>
  <si>
    <t>条形码</t>
  </si>
  <si>
    <t>中小提琴条码</t>
  </si>
  <si>
    <t>床罩卡纸</t>
  </si>
  <si>
    <t>乐器检查</t>
  </si>
  <si>
    <t>一件代发&amp;车载收纳篮</t>
  </si>
  <si>
    <t>下水管(检查+换配件+换包装)</t>
  </si>
  <si>
    <t>文璇</t>
  </si>
  <si>
    <t>账号6</t>
  </si>
  <si>
    <t>车载收纳篮</t>
  </si>
  <si>
    <t>GAW-Car Bag</t>
  </si>
  <si>
    <t>X004L17MLP</t>
  </si>
  <si>
    <t>B01JHZVVP6</t>
  </si>
  <si>
    <t>62x52x37</t>
  </si>
  <si>
    <t>封箱机</t>
  </si>
  <si>
    <t>GAW-Tape Dispenser</t>
  </si>
  <si>
    <t>X004KXU473</t>
  </si>
  <si>
    <t>B077GCV6PH</t>
  </si>
  <si>
    <t>55*33*40</t>
  </si>
  <si>
    <t>开瓶器蓝色</t>
  </si>
  <si>
    <t>GAW-bottle opener-BL</t>
  </si>
  <si>
    <t>X004KXUPSL</t>
  </si>
  <si>
    <t>B06WD2942V</t>
  </si>
  <si>
    <t>32*27*22</t>
  </si>
  <si>
    <t>开瓶器棕色</t>
  </si>
  <si>
    <t>GAW-bottle opener-PAI</t>
  </si>
  <si>
    <t>X004KXXW1X</t>
  </si>
  <si>
    <t>B0728KMRCN</t>
  </si>
  <si>
    <t>开瓶器全棕</t>
  </si>
  <si>
    <t>GAW-bottle opener-MA</t>
  </si>
  <si>
    <t>X004KXXVC3</t>
  </si>
  <si>
    <t>B072FR6SHB</t>
  </si>
  <si>
    <t>开瓶器深棕</t>
  </si>
  <si>
    <t>GAW-bottle opener-PA</t>
  </si>
  <si>
    <t>X004KXAVFD</t>
  </si>
  <si>
    <t>B0725YVSQB</t>
  </si>
  <si>
    <t>发完</t>
  </si>
  <si>
    <t>长笛</t>
  </si>
  <si>
    <t>GAW-Flute</t>
  </si>
  <si>
    <t>X004L17VDJ</t>
  </si>
  <si>
    <t>B07V5XBJZK</t>
  </si>
  <si>
    <t>45*31*45</t>
  </si>
  <si>
    <t>自行车座椅</t>
  </si>
  <si>
    <t>GAW-Bicycle Seat-S</t>
  </si>
  <si>
    <t>X004KXY311</t>
  </si>
  <si>
    <t>B01H60SXAK</t>
  </si>
  <si>
    <t>61x28x42</t>
  </si>
  <si>
    <t>GAW-Bicycle Seat-XL</t>
  </si>
  <si>
    <t>X004KXAUBD</t>
  </si>
  <si>
    <t>B07BMX71L2</t>
  </si>
  <si>
    <t>60.5x32x53.5</t>
  </si>
  <si>
    <t>安防探测仪</t>
  </si>
  <si>
    <t>GAW-Motion Sensor-500ft</t>
  </si>
  <si>
    <t>X004L1JPTH</t>
  </si>
  <si>
    <t>B00I0BVP9Q</t>
  </si>
  <si>
    <t>44.4x37.6x38.4</t>
  </si>
  <si>
    <t>健身卡</t>
  </si>
  <si>
    <t>GAW-Half-Balance Ball</t>
  </si>
  <si>
    <t>X004NGIH67</t>
  </si>
  <si>
    <t>B07CW2KMC2</t>
  </si>
  <si>
    <t>副 29.5x28x14CM (箱)</t>
  </si>
  <si>
    <t>GAW-Suspension Vol1</t>
  </si>
  <si>
    <t>X004NGSZ2D</t>
  </si>
  <si>
    <t>B01MUB959U</t>
  </si>
  <si>
    <t>GAW-Resistance Belt</t>
  </si>
  <si>
    <t>X004P3WYYJ</t>
  </si>
  <si>
    <t>B071GQ426Q</t>
  </si>
  <si>
    <t>GAW-Stability Ball</t>
  </si>
  <si>
    <t>X004P3VJZJ</t>
  </si>
  <si>
    <t>B075WFD6CF</t>
  </si>
  <si>
    <t>GAW-Foam Roller</t>
  </si>
  <si>
    <t>X004P41GSN</t>
  </si>
  <si>
    <t>B07DSWGS88</t>
  </si>
  <si>
    <t>咖啡壶棕色</t>
  </si>
  <si>
    <t>GAW-Maker-Brown</t>
  </si>
  <si>
    <t>X004P8NBMD</t>
  </si>
  <si>
    <t>B0744CQYJD</t>
  </si>
  <si>
    <t>35*28*25</t>
  </si>
  <si>
    <t>咖啡壶黑色</t>
  </si>
  <si>
    <t>GAW-Maker-Black</t>
  </si>
  <si>
    <t>X004P8V98L</t>
  </si>
  <si>
    <t>B07XQGHVBD</t>
  </si>
  <si>
    <t>健身绑带</t>
  </si>
  <si>
    <t>GAW-Belt-2pcs</t>
  </si>
  <si>
    <t>X004P8T6YZ</t>
  </si>
  <si>
    <t>B07613TPVL</t>
  </si>
  <si>
    <t>40x30x30</t>
  </si>
  <si>
    <t>洗衣机下水管</t>
  </si>
  <si>
    <t>GAW-Hose-6ft</t>
  </si>
  <si>
    <t>X004P8URSJ</t>
  </si>
  <si>
    <t>B07BGHC4TD</t>
  </si>
  <si>
    <t>59x41x34</t>
  </si>
  <si>
    <t>洗衣机水管</t>
  </si>
  <si>
    <t>GAW-Hose-2pack</t>
  </si>
  <si>
    <t>X004P8SVWN</t>
  </si>
  <si>
    <t>B06XDMBJR6</t>
  </si>
  <si>
    <t>43x24x32</t>
  </si>
  <si>
    <t>漏斗4件装白色</t>
  </si>
  <si>
    <t>GAW-Funnel-White</t>
  </si>
  <si>
    <t>X004P3SCJP</t>
  </si>
  <si>
    <t>B07RRBKM1S</t>
  </si>
  <si>
    <t>56x16x40</t>
  </si>
  <si>
    <t>漏斗3件装蓝色</t>
  </si>
  <si>
    <t>GAW-Funnel-Blue</t>
  </si>
  <si>
    <t>X004P424VB</t>
  </si>
  <si>
    <t>B07RR956HS</t>
  </si>
  <si>
    <t>58x34x41</t>
  </si>
  <si>
    <t>漏斗3件装彩色</t>
  </si>
  <si>
    <t>GAW-Funnel-CO</t>
  </si>
  <si>
    <t>X004P3SFT7</t>
  </si>
  <si>
    <t>B07RQ6RC3Q</t>
  </si>
  <si>
    <t>56x37x33</t>
  </si>
  <si>
    <t>漏斗3件装黑色</t>
  </si>
  <si>
    <t>GAW-Funnel-Black</t>
  </si>
  <si>
    <t>X004P41R4V</t>
  </si>
  <si>
    <t>B07ZJZFQH4</t>
  </si>
  <si>
    <t>53x17x39</t>
  </si>
  <si>
    <t>电大提琴</t>
  </si>
  <si>
    <t>GAW-Ecello1-4/4Bk</t>
  </si>
  <si>
    <t>X004KXWM41</t>
  </si>
  <si>
    <t>B007ESVCR6</t>
  </si>
  <si>
    <t>137*27*48</t>
  </si>
  <si>
    <t>GAW-Ecello1-4/4Mh</t>
  </si>
  <si>
    <t>X004KXB2M9</t>
  </si>
  <si>
    <t>B0051HN2PW</t>
  </si>
  <si>
    <t>GAW-Ecello4-4/4Bk</t>
  </si>
  <si>
    <t>X004KXK87J</t>
  </si>
  <si>
    <t>B0051HNHES</t>
  </si>
  <si>
    <t>中提琴</t>
  </si>
  <si>
    <t>GAW-Viola-CVA400-16.5In</t>
  </si>
  <si>
    <t>X004L17AVR</t>
  </si>
  <si>
    <t>B0051UYM2G</t>
  </si>
  <si>
    <t>88*49*57</t>
  </si>
  <si>
    <t>GAW-Viola-CVA400-14In</t>
  </si>
  <si>
    <t>X004L17J8B</t>
  </si>
  <si>
    <t>B000GQNPBO</t>
  </si>
  <si>
    <t>79*72*52</t>
  </si>
  <si>
    <t>中提琴 紫色</t>
  </si>
  <si>
    <t>GAW-16-MA-Pu</t>
  </si>
  <si>
    <t>X004NGFNFF</t>
  </si>
  <si>
    <t>B006LCCYC8</t>
  </si>
  <si>
    <t>87*51*54</t>
  </si>
  <si>
    <t>中提琴 白色</t>
  </si>
  <si>
    <t>GAW-16-MA-Wh</t>
  </si>
  <si>
    <t>X004NFWNIV</t>
  </si>
  <si>
    <t>B006LCCZT0</t>
  </si>
  <si>
    <t>GAW-16-MA250</t>
  </si>
  <si>
    <t>X004NGBMS7</t>
  </si>
  <si>
    <t>B006LCCUTU</t>
  </si>
  <si>
    <t>87x51x54CM</t>
  </si>
  <si>
    <t>GAW-15-MA350</t>
  </si>
  <si>
    <t>X004NG5HO7</t>
  </si>
  <si>
    <t>B0085C9TKM</t>
  </si>
  <si>
    <t>87x51x55CM</t>
  </si>
  <si>
    <t>GAW-12-MA250</t>
  </si>
  <si>
    <t>X004P3ZGW1</t>
  </si>
  <si>
    <t>B006LCDNF0</t>
  </si>
  <si>
    <t>73*67*44</t>
  </si>
  <si>
    <t>账号2</t>
  </si>
  <si>
    <t>充电座</t>
  </si>
  <si>
    <t>ELA-Charging Station</t>
  </si>
  <si>
    <t>X004BPOR4V</t>
  </si>
  <si>
    <t>B07222V19V</t>
  </si>
  <si>
    <t>48x35x33CM</t>
  </si>
  <si>
    <t>ELA-Cable</t>
  </si>
  <si>
    <t>X004BQT6YV</t>
  </si>
  <si>
    <t>B07KPPPSDZ</t>
  </si>
  <si>
    <t>ELA-Equipment</t>
  </si>
  <si>
    <t>X004BQT6YL</t>
  </si>
  <si>
    <t>B07N13F48K</t>
  </si>
  <si>
    <t>ELA-Stretching</t>
  </si>
  <si>
    <t>X004BQT6M3</t>
  </si>
  <si>
    <t>B076YK9PNT</t>
  </si>
  <si>
    <t>账号4</t>
  </si>
  <si>
    <t>小提琴</t>
  </si>
  <si>
    <t>ECE-AViolinCVN300-4/4</t>
  </si>
  <si>
    <t>X004CMBJLR</t>
  </si>
  <si>
    <t>B00EOYKGH0</t>
  </si>
  <si>
    <t>82*74*50</t>
  </si>
  <si>
    <t>电子小提琴蓝</t>
  </si>
  <si>
    <t>Eviolin4/4CEVN-32inch-Blue</t>
  </si>
  <si>
    <t>X004CMPRQ5</t>
  </si>
  <si>
    <t>B003F1PRFO</t>
  </si>
  <si>
    <t>82*45*50</t>
  </si>
  <si>
    <t>电子小提琴黄</t>
  </si>
  <si>
    <t>Eviolin4/4CEVN-32inch-Natural</t>
  </si>
  <si>
    <t>X004CMPRPV</t>
  </si>
  <si>
    <t>B003F274FY</t>
  </si>
  <si>
    <t>ViolaMA-16inch-Purple</t>
  </si>
  <si>
    <t>X004BGGRGV</t>
  </si>
  <si>
    <t>ECE-ViolaMA250-16In</t>
  </si>
  <si>
    <t>X004BF2P9Z</t>
  </si>
  <si>
    <t>ECE-Viola-CVA400-14In</t>
  </si>
  <si>
    <t>X004CMP8TV</t>
  </si>
  <si>
    <t>何梦晴</t>
  </si>
  <si>
    <t>梅森罐6pack</t>
  </si>
  <si>
    <t>Mason-16oz6pcs</t>
  </si>
  <si>
    <t>X0046QLNID</t>
  </si>
  <si>
    <t>B0938GY8DW</t>
  </si>
  <si>
    <t>61.5*31.5*36cm</t>
  </si>
  <si>
    <t>vas单</t>
  </si>
  <si>
    <t>生蚝刀</t>
  </si>
  <si>
    <t>Oystershucker-2set</t>
  </si>
  <si>
    <t>X0046NZDO1</t>
  </si>
  <si>
    <t>B00VQFE1MQ</t>
  </si>
  <si>
    <t>48x44x36</t>
  </si>
  <si>
    <t>手套</t>
  </si>
  <si>
    <t>纸巾架</t>
  </si>
  <si>
    <t>Tissueholder-1pack</t>
  </si>
  <si>
    <t>X0046O05DT</t>
  </si>
  <si>
    <t>B08SSRJSYL</t>
  </si>
  <si>
    <t>36*36*38cm</t>
  </si>
  <si>
    <t>琥珀色玻璃罐12个</t>
  </si>
  <si>
    <t>Amberjar-8oz12pcs</t>
  </si>
  <si>
    <t>X0046NT3ZV</t>
  </si>
  <si>
    <t>B095J5PK57</t>
  </si>
  <si>
    <t>51x33x38</t>
  </si>
  <si>
    <t>琥珀色玻璃罐6个</t>
  </si>
  <si>
    <t>Amberjar-8oz6pcs</t>
  </si>
  <si>
    <t>X0046NT405</t>
  </si>
  <si>
    <t>B095J2YDG1</t>
  </si>
  <si>
    <t>50x35x38</t>
  </si>
  <si>
    <t>厨房排水过滤器</t>
  </si>
  <si>
    <t>Drainkit-2pack</t>
  </si>
  <si>
    <t>X0046O4MG5</t>
  </si>
  <si>
    <t>B06XZ8JFB5</t>
  </si>
  <si>
    <t>46.5*47.5*25</t>
  </si>
  <si>
    <t>Springclip-2pack</t>
  </si>
  <si>
    <t>X0046O1KIN</t>
  </si>
  <si>
    <t>B07BGGXW9W</t>
  </si>
  <si>
    <t>44*44*27</t>
  </si>
  <si>
    <t>账号1</t>
  </si>
  <si>
    <t>谢欢</t>
  </si>
  <si>
    <t>换绿色卡纸</t>
  </si>
  <si>
    <t>床罩光面 妈妈和女儿</t>
  </si>
  <si>
    <t>ME02-9-TwinXL</t>
  </si>
  <si>
    <t>X003Z5FCN3</t>
  </si>
  <si>
    <t>B004BAPK0K</t>
  </si>
  <si>
    <t>57x30x35CM (箱)</t>
  </si>
  <si>
    <t>ME01-9-Queen</t>
  </si>
  <si>
    <t>X003Z52JGB</t>
  </si>
  <si>
    <t>B00C2TRA6Y</t>
  </si>
  <si>
    <t>57x30x36CM (箱)</t>
  </si>
  <si>
    <t>床罩（毛面）
绿色四人</t>
  </si>
  <si>
    <t>PME06-6-9-Full</t>
  </si>
  <si>
    <t>X003Z6MOAV</t>
  </si>
  <si>
    <t>B004BAB1RG</t>
  </si>
  <si>
    <t>57x30x37CM (箱)</t>
  </si>
  <si>
    <t>防雨帐篷</t>
  </si>
  <si>
    <t>Camping Tarp-GY</t>
  </si>
  <si>
    <t>X004L31I59</t>
  </si>
  <si>
    <t>B07ZPH8Q1D</t>
  </si>
  <si>
    <t>件 40x34x41CM (箱)</t>
  </si>
  <si>
    <t>账号5</t>
  </si>
  <si>
    <t>换橙色卡纸</t>
  </si>
  <si>
    <t>床罩橙色卡纸 妈妈和女儿</t>
  </si>
  <si>
    <t>5W-9-TwinXL</t>
  </si>
  <si>
    <t>X004BL5D7F</t>
  </si>
  <si>
    <t>57x30x36CM</t>
  </si>
  <si>
    <t>5W-9-Queen</t>
  </si>
  <si>
    <t>X004BL5D75</t>
  </si>
  <si>
    <t xml:space="preserve">57x30x36CM </t>
  </si>
  <si>
    <t>床罩橙色卡纸 妈妈亲吻婴儿</t>
  </si>
  <si>
    <t>5CL-14"TwinXL</t>
  </si>
  <si>
    <t>X004BH2EGH</t>
  </si>
  <si>
    <t>B003PWNGK6</t>
  </si>
  <si>
    <t>床罩橙色卡纸 狗</t>
  </si>
  <si>
    <t>5ZME-9"Twin</t>
  </si>
  <si>
    <t>X004BGY3AD</t>
  </si>
  <si>
    <t>B004BA8UWA</t>
  </si>
  <si>
    <t>5ZME-9"TwinXL</t>
  </si>
  <si>
    <t>X004BH69HH</t>
  </si>
  <si>
    <t>B004VN316M</t>
  </si>
  <si>
    <t>5ZME-12"TwinXL</t>
  </si>
  <si>
    <t>X004BGQI1F</t>
  </si>
  <si>
    <t>B00B50IA56</t>
  </si>
  <si>
    <t>5ZME-9"Full</t>
  </si>
  <si>
    <t>X004BGVN3N</t>
  </si>
  <si>
    <t>5ZME-12"Full</t>
  </si>
  <si>
    <t>X004BGOIN5</t>
  </si>
  <si>
    <t>B004BAB28O</t>
  </si>
  <si>
    <t>New5ZME-15"Queen</t>
  </si>
  <si>
    <t>X004M4V2YJ</t>
  </si>
  <si>
    <t>B004BAEFK6</t>
  </si>
  <si>
    <t>60x34x32CM (箱)</t>
  </si>
  <si>
    <t>5ZME-9"King</t>
  </si>
  <si>
    <t>X004BH07B1</t>
  </si>
  <si>
    <t>B004BAEERK</t>
  </si>
  <si>
    <t>5ZME-18"King</t>
  </si>
  <si>
    <t>X004BGYADN</t>
  </si>
  <si>
    <t>B004BA8WBE</t>
  </si>
  <si>
    <t>不用换卡纸</t>
  </si>
  <si>
    <t>床罩（毛面）</t>
  </si>
  <si>
    <t>6PM-12-15"-King</t>
  </si>
  <si>
    <t>X004NI8BST</t>
  </si>
  <si>
    <t>B004BACOYU</t>
  </si>
  <si>
    <t>6PM-12-15"-Queen</t>
  </si>
  <si>
    <t>X004NIFITT</t>
  </si>
  <si>
    <t>6PM-15-18"-Queen</t>
  </si>
  <si>
    <t>X004NIJ2OL</t>
  </si>
  <si>
    <t>B004BAEFWY</t>
  </si>
  <si>
    <t>6PM-6-9"-Full</t>
  </si>
  <si>
    <t>X004NI9VEH</t>
  </si>
  <si>
    <t>6PM-6-9"-Twin</t>
  </si>
  <si>
    <t>X004NI88L9</t>
  </si>
  <si>
    <t>6PM-6-9"-TwinXL</t>
  </si>
  <si>
    <t>X004NI8A2V</t>
  </si>
  <si>
    <t>6PM-9-12"-King</t>
  </si>
  <si>
    <t>X004NIJ359</t>
  </si>
  <si>
    <t>B004BAB2LG</t>
  </si>
  <si>
    <t>6PM-9-12"-Twin</t>
  </si>
  <si>
    <t>X004NI893V</t>
  </si>
  <si>
    <t>B01B51NXKQ</t>
  </si>
  <si>
    <t>6PM-9-12"-Full</t>
  </si>
  <si>
    <t>X004NI9VLZ</t>
  </si>
  <si>
    <t>付宏健</t>
  </si>
  <si>
    <t>账号8</t>
  </si>
  <si>
    <t>玩具汽车</t>
  </si>
  <si>
    <t>orange rc car</t>
  </si>
  <si>
    <t>X004P8P97N</t>
  </si>
  <si>
    <t>B096MRLQS7</t>
  </si>
  <si>
    <t>63x57x22.5CM</t>
  </si>
  <si>
    <t>blue rc car</t>
  </si>
  <si>
    <t>X004P8UM2F</t>
  </si>
  <si>
    <t>B096MQGDCP</t>
  </si>
  <si>
    <t>yellow rc car</t>
  </si>
  <si>
    <t>X004P8KIGZ</t>
  </si>
  <si>
    <t>B096T5JF19</t>
  </si>
  <si>
    <t xml:space="preserve">68x64x31.5CM </t>
  </si>
  <si>
    <t>car green</t>
  </si>
  <si>
    <t>X004P8KIH9</t>
  </si>
  <si>
    <t>B096T325SF</t>
  </si>
  <si>
    <t>海外仓</t>
  </si>
  <si>
    <t>PME10-6-9-Twin</t>
  </si>
  <si>
    <t>X003Z6MOA1</t>
  </si>
  <si>
    <t>PME13-9-12-Twin</t>
  </si>
  <si>
    <t>X003Z6M94R</t>
  </si>
  <si>
    <t>PME18inch-King</t>
  </si>
  <si>
    <t>X0043EO3BR</t>
  </si>
  <si>
    <t>GAW-Eviolin-Blue</t>
  </si>
  <si>
    <t>X004L176ZH</t>
  </si>
  <si>
    <t>电子小提琴红</t>
  </si>
  <si>
    <t>GAW-Eviolin-Red</t>
  </si>
  <si>
    <t>X004L1JCNB</t>
  </si>
  <si>
    <t>B003F1TDBS</t>
  </si>
  <si>
    <t>电子小提琴白</t>
  </si>
  <si>
    <t>GAW-Eviolin-White</t>
  </si>
  <si>
    <t>X004L1720V</t>
  </si>
  <si>
    <t>B003F2ATV0</t>
  </si>
  <si>
    <t>标签数量</t>
  </si>
  <si>
    <t>收入</t>
  </si>
  <si>
    <t>海外仓asin标签</t>
  </si>
  <si>
    <t>啤酒瓶+大提琴条形码</t>
  </si>
  <si>
    <t>中小提琴条形码</t>
  </si>
  <si>
    <t>检查乐器</t>
  </si>
  <si>
    <t>蚝刀套装&amp;松紧带</t>
  </si>
  <si>
    <t>过滤器二合一</t>
  </si>
  <si>
    <t>EXPANSION条形码</t>
  </si>
  <si>
    <t>EXPANSION箱唛</t>
  </si>
  <si>
    <t>账号10</t>
  </si>
  <si>
    <t>凡小雪</t>
  </si>
  <si>
    <t>三脚吉他架</t>
  </si>
  <si>
    <t>10US-F-Adjustable Guitar Stand</t>
  </si>
  <si>
    <t>X004P7VG5N</t>
  </si>
  <si>
    <t>B019BNMVFI</t>
  </si>
  <si>
    <t>38x38x46CM (箱)</t>
  </si>
  <si>
    <t>账号5-US</t>
  </si>
  <si>
    <t>陈浩诚</t>
  </si>
  <si>
    <t>户外投屏</t>
  </si>
  <si>
    <t>FBM-Projector Screen-1012</t>
  </si>
  <si>
    <t>X002B9P6AP</t>
  </si>
  <si>
    <t>B01B3MW7CC</t>
  </si>
  <si>
    <t>60*46*41CM(箱)</t>
  </si>
  <si>
    <t>变压器</t>
  </si>
  <si>
    <t>B01B3MW7CC-1</t>
  </si>
  <si>
    <t>账号8-US</t>
  </si>
  <si>
    <t>Satin Antique-Viola</t>
  </si>
  <si>
    <t>X004N0W1KL</t>
  </si>
  <si>
    <t>87*51*54cm</t>
  </si>
  <si>
    <t>Nickel-Viola</t>
  </si>
  <si>
    <t>X004N1IXWF</t>
  </si>
  <si>
    <t>82*74*50cm</t>
  </si>
  <si>
    <t>Natural-Viola</t>
  </si>
  <si>
    <t>X004N1HBIH</t>
  </si>
  <si>
    <t>79*72*52cm</t>
  </si>
  <si>
    <t>Varnish-Violin</t>
  </si>
  <si>
    <t>X004N1IXVV</t>
  </si>
  <si>
    <t>B00EOYKHR4</t>
  </si>
  <si>
    <t>87*70*50cm</t>
  </si>
  <si>
    <t>枪支灯</t>
  </si>
  <si>
    <t>DT-M2</t>
  </si>
  <si>
    <t>X004PUP8JP</t>
  </si>
  <si>
    <t>B06XW2RLPC</t>
  </si>
  <si>
    <t>50x29x37.5CM</t>
  </si>
  <si>
    <t>DT-M3</t>
  </si>
  <si>
    <t>X004PUK6BP</t>
  </si>
  <si>
    <t>B08713NLJR</t>
  </si>
  <si>
    <t>NewME-9"-TwinXL</t>
  </si>
  <si>
    <t>X004CURXMX</t>
  </si>
  <si>
    <t>WME-9"-Queen2</t>
  </si>
  <si>
    <t>X004M3H6S1</t>
  </si>
  <si>
    <t>床笠 full妈妈和婴儿</t>
  </si>
  <si>
    <t>MP28-14-Full</t>
  </si>
  <si>
    <t>X003Z6JPQ7</t>
  </si>
  <si>
    <t>B00B29B23C</t>
  </si>
  <si>
    <t>条 57x30x36CM (箱)</t>
  </si>
  <si>
    <t>PME16-6-9-TwinXL</t>
  </si>
  <si>
    <t>X003Z6M947</t>
  </si>
  <si>
    <t>PME14-9-12-TwinXL</t>
  </si>
  <si>
    <t>X003Z683KL</t>
  </si>
  <si>
    <t>PME11-12-15-Queen</t>
  </si>
  <si>
    <t>X003Z683JH</t>
  </si>
  <si>
    <t>PME20-6-9-King</t>
  </si>
  <si>
    <t>X003Z6M94H</t>
  </si>
  <si>
    <t>PME12-12-15-King</t>
  </si>
  <si>
    <t>X003Z6MOB5</t>
  </si>
  <si>
    <t>不换卡纸</t>
  </si>
  <si>
    <t>账号13</t>
  </si>
  <si>
    <t>袁梦</t>
  </si>
  <si>
    <t>2套一装，实际发4Pcs</t>
  </si>
  <si>
    <t>松紧带</t>
  </si>
  <si>
    <t>HO-US13-BANDSSET-RED4</t>
  </si>
  <si>
    <t>X004PUZOKX</t>
  </si>
  <si>
    <t>套 40x30x30CM (箱)</t>
  </si>
  <si>
    <t>自行车坐垫</t>
  </si>
  <si>
    <t>HO-US13-BikeSeatCushion-BK</t>
  </si>
  <si>
    <t>X004PUY7AB</t>
  </si>
  <si>
    <t>B015TGEV0Y</t>
  </si>
  <si>
    <t>32*38*62 CM(箱)</t>
  </si>
  <si>
    <t>轻质登山杖-黑色</t>
  </si>
  <si>
    <t>HO-US13-TrekkingPoles-BK</t>
  </si>
  <si>
    <t>X004PUXOW3</t>
  </si>
  <si>
    <t>B01MRQCENJ</t>
  </si>
  <si>
    <t>68*46*22 CM(箱)</t>
  </si>
  <si>
    <t>健身球-蓝色</t>
  </si>
  <si>
    <t>HO-US13-ExerciseBall-BU</t>
  </si>
  <si>
    <t>X004PUJVSJ</t>
  </si>
  <si>
    <t>B010MVAJZ2</t>
  </si>
  <si>
    <t>62.5*26*40 CM(箱)</t>
  </si>
  <si>
    <t>健身球-黑色</t>
  </si>
  <si>
    <t>HO-US13-ExerciseBall-BK</t>
  </si>
  <si>
    <t>X004PUBYHF</t>
  </si>
  <si>
    <t>B010MVAMH2</t>
  </si>
  <si>
    <t>抗疲劳垫</t>
  </si>
  <si>
    <t>HO-US13-FMat-39Black</t>
  </si>
  <si>
    <t>X004P7XT2V</t>
  </si>
  <si>
    <t>B00M8O122G</t>
  </si>
  <si>
    <t>102*53*21 CM(箱)</t>
  </si>
  <si>
    <t>HO-US13-FMat-32Black</t>
  </si>
  <si>
    <t>X004P83QY1</t>
  </si>
  <si>
    <t>B01HFKUJEY</t>
  </si>
  <si>
    <t>84*53*21.5 CM(箱)</t>
  </si>
  <si>
    <t>HO-US13-FMat-39Grey</t>
  </si>
  <si>
    <t>X004P85G8Z</t>
  </si>
  <si>
    <t>B073BQKHPR</t>
  </si>
  <si>
    <t>自行车鞍座</t>
  </si>
  <si>
    <t>HO-US13-ReplacementSaddle-BK</t>
  </si>
  <si>
    <t>X004PV25DV</t>
  </si>
  <si>
    <t>个 60.5x32x53.5CM (箱)</t>
  </si>
  <si>
    <t>折叠桌</t>
  </si>
  <si>
    <t>HO-US13-TVTray-BK</t>
  </si>
  <si>
    <t>X004PUC2KX</t>
  </si>
  <si>
    <t>B08BBFJ84H</t>
  </si>
  <si>
    <t>台44x32x56CM (箱)</t>
  </si>
  <si>
    <t>竹板游戏挂钩</t>
  </si>
  <si>
    <t>HO-US13-RingTossGame</t>
  </si>
  <si>
    <t>X004PX7ZXJ</t>
  </si>
  <si>
    <t>B01CYOJNPC</t>
  </si>
  <si>
    <t>套 45x38x40CM (箱)</t>
  </si>
  <si>
    <t>哈贝尔</t>
  </si>
  <si>
    <t>Collgene-FoldingTable/Black</t>
  </si>
  <si>
    <t>X004DALQCZ</t>
  </si>
  <si>
    <t>44*31.5*56</t>
  </si>
  <si>
    <t>海外仓每箱需要贴海外仓asin标签</t>
  </si>
  <si>
    <t>PME09-9-12-Full</t>
  </si>
  <si>
    <t>X003Z6CKHN</t>
  </si>
  <si>
    <t>VAS已做
不换卡纸</t>
  </si>
  <si>
    <t>6PM-12-15"-Twin</t>
  </si>
  <si>
    <t>X004NIIT7R</t>
  </si>
  <si>
    <t>B004VMYD92</t>
  </si>
  <si>
    <t>啤酒瓶</t>
  </si>
  <si>
    <t>Beerbottle-6pack</t>
  </si>
  <si>
    <t>X0046NZ16L</t>
  </si>
  <si>
    <t>B08PL6MC7G</t>
  </si>
  <si>
    <t>42x31x16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</si>
</sst>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CNY]\ #,##0.00_);[Red]\([$CNY]\ #,##0.00\)"/>
    <numFmt numFmtId="177" formatCode="0.00_ "/>
  </numFmts>
  <fonts count="52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rgb="FF000000"/>
      <name val="等线"/>
      <charset val="134"/>
    </font>
    <font>
      <sz val="8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theme="1"/>
      <name val="等线 Light"/>
      <charset val="134"/>
      <scheme val="major"/>
    </font>
    <font>
      <sz val="10"/>
      <color theme="1"/>
      <name val="微软雅黑"/>
      <charset val="134"/>
    </font>
    <font>
      <sz val="10"/>
      <color theme="1"/>
      <name val="宋体"/>
      <charset val="134"/>
    </font>
    <font>
      <sz val="10"/>
      <color theme="1"/>
      <name val="等线"/>
      <charset val="134"/>
    </font>
    <font>
      <b/>
      <sz val="10"/>
      <color theme="1"/>
      <name val="等线"/>
      <charset val="134"/>
      <scheme val="minor"/>
    </font>
    <font>
      <b/>
      <sz val="8"/>
      <color rgb="FFFF0000"/>
      <name val="等线"/>
      <charset val="134"/>
      <scheme val="minor"/>
    </font>
    <font>
      <b/>
      <sz val="8"/>
      <color theme="1"/>
      <name val="等线"/>
      <charset val="134"/>
      <scheme val="minor"/>
    </font>
    <font>
      <sz val="9"/>
      <color theme="1"/>
      <name val="等线"/>
      <charset val="134"/>
      <scheme val="minor"/>
    </font>
    <font>
      <b/>
      <sz val="10"/>
      <color theme="1"/>
      <name val="宋体"/>
      <charset val="134"/>
    </font>
    <font>
      <sz val="10"/>
      <color rgb="FF000000"/>
      <name val="宋体"/>
      <charset val="134"/>
    </font>
    <font>
      <sz val="10"/>
      <color rgb="FF000000"/>
      <name val="等线"/>
      <charset val="134"/>
    </font>
    <font>
      <sz val="10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2"/>
      <name val="宋体"/>
      <charset val="134"/>
    </font>
    <font>
      <sz val="8"/>
      <color theme="1"/>
      <name val="宋体"/>
      <charset val="134"/>
    </font>
    <font>
      <sz val="10"/>
      <name val="宋体"/>
      <charset val="134"/>
    </font>
    <font>
      <b/>
      <sz val="10"/>
      <color rgb="FFFF0000"/>
      <name val="等线"/>
      <charset val="134"/>
      <scheme val="minor"/>
    </font>
    <font>
      <sz val="11"/>
      <color theme="1"/>
      <name val="等线"/>
      <charset val="134"/>
    </font>
    <font>
      <sz val="10"/>
      <color rgb="FF000000"/>
      <name val="Calibri"/>
      <charset val="134"/>
    </font>
    <font>
      <sz val="10"/>
      <color rgb="FF000000"/>
      <name val="等线"/>
      <charset val="134"/>
      <scheme val="minor"/>
    </font>
    <font>
      <sz val="11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1"/>
      <color indexed="8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9"/>
      <name val="Tahoma"/>
      <charset val="134"/>
    </font>
    <font>
      <sz val="9"/>
      <name val="Tahoma"/>
      <charset val="134"/>
    </font>
  </fonts>
  <fills count="39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3" borderId="11" applyNumberFormat="0" applyAlignment="0" applyProtection="0">
      <alignment vertical="center"/>
    </xf>
    <xf numFmtId="0" fontId="36" fillId="14" borderId="12" applyNumberFormat="0" applyAlignment="0" applyProtection="0">
      <alignment vertical="center"/>
    </xf>
    <xf numFmtId="0" fontId="37" fillId="14" borderId="11" applyNumberFormat="0" applyAlignment="0" applyProtection="0">
      <alignment vertical="center"/>
    </xf>
    <xf numFmtId="0" fontId="38" fillId="15" borderId="13" applyNumberForma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4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5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46" fillId="0" borderId="0"/>
    <xf numFmtId="176" fontId="47" fillId="0" borderId="0" applyFont="0" applyFill="0" applyBorder="0" applyAlignment="0" applyProtection="0"/>
  </cellStyleXfs>
  <cellXfs count="166">
    <xf numFmtId="0" fontId="0" fillId="0" borderId="0" xfId="0">
      <alignment vertical="center"/>
    </xf>
    <xf numFmtId="0" fontId="1" fillId="0" borderId="0" xfId="50" applyFont="1">
      <alignment vertical="center"/>
    </xf>
    <xf numFmtId="0" fontId="2" fillId="0" borderId="0" xfId="50" applyFont="1">
      <alignment vertical="center"/>
    </xf>
    <xf numFmtId="0" fontId="0" fillId="0" borderId="0" xfId="50">
      <alignment vertical="center"/>
    </xf>
    <xf numFmtId="0" fontId="0" fillId="0" borderId="0" xfId="50" applyAlignment="1">
      <alignment horizontal="left" vertical="center"/>
    </xf>
    <xf numFmtId="0" fontId="0" fillId="0" borderId="0" xfId="50" applyAlignment="1">
      <alignment horizontal="center" vertical="center"/>
    </xf>
    <xf numFmtId="0" fontId="0" fillId="0" borderId="0" xfId="50" applyAlignment="1">
      <alignment horizontal="right" vertical="center"/>
    </xf>
    <xf numFmtId="0" fontId="3" fillId="0" borderId="1" xfId="50" applyFont="1" applyBorder="1">
      <alignment vertical="center"/>
    </xf>
    <xf numFmtId="0" fontId="3" fillId="2" borderId="1" xfId="50" applyFont="1" applyFill="1" applyBorder="1">
      <alignment vertical="center"/>
    </xf>
    <xf numFmtId="0" fontId="3" fillId="2" borderId="1" xfId="50" applyFont="1" applyFill="1" applyBorder="1" applyAlignment="1">
      <alignment horizontal="left" vertical="center"/>
    </xf>
    <xf numFmtId="0" fontId="3" fillId="2" borderId="1" xfId="50" applyFont="1" applyFill="1" applyBorder="1" applyAlignment="1">
      <alignment horizontal="center" vertical="center"/>
    </xf>
    <xf numFmtId="0" fontId="3" fillId="2" borderId="1" xfId="50" applyFont="1" applyFill="1" applyBorder="1" applyAlignment="1">
      <alignment horizontal="right" vertical="center"/>
    </xf>
    <xf numFmtId="0" fontId="4" fillId="3" borderId="1" xfId="50" applyFont="1" applyFill="1" applyBorder="1">
      <alignment vertical="center"/>
    </xf>
    <xf numFmtId="0" fontId="4" fillId="4" borderId="1" xfId="50" applyFont="1" applyFill="1" applyBorder="1">
      <alignment vertical="center"/>
    </xf>
    <xf numFmtId="0" fontId="4" fillId="4" borderId="1" xfId="50" applyFont="1" applyFill="1" applyBorder="1" applyAlignment="1">
      <alignment horizontal="left" vertical="center"/>
    </xf>
    <xf numFmtId="0" fontId="4" fillId="4" borderId="2" xfId="50" applyFont="1" applyFill="1" applyBorder="1" applyAlignment="1">
      <alignment horizontal="center" vertical="center"/>
    </xf>
    <xf numFmtId="0" fontId="4" fillId="4" borderId="2" xfId="50" applyFont="1" applyFill="1" applyBorder="1" applyAlignment="1">
      <alignment horizontal="right" vertical="center"/>
    </xf>
    <xf numFmtId="0" fontId="4" fillId="0" borderId="1" xfId="50" applyFont="1" applyBorder="1">
      <alignment vertical="center"/>
    </xf>
    <xf numFmtId="0" fontId="5" fillId="4" borderId="1" xfId="50" applyFont="1" applyFill="1" applyBorder="1" applyAlignment="1">
      <alignment horizontal="center" vertical="center"/>
    </xf>
    <xf numFmtId="0" fontId="4" fillId="4" borderId="1" xfId="50" applyFont="1" applyFill="1" applyBorder="1" applyAlignment="1">
      <alignment horizontal="right" vertical="center"/>
    </xf>
    <xf numFmtId="0" fontId="5" fillId="4" borderId="1" xfId="50" applyFont="1" applyFill="1" applyBorder="1" applyAlignment="1">
      <alignment horizontal="center" vertical="center" wrapText="1"/>
    </xf>
    <xf numFmtId="0" fontId="4" fillId="4" borderId="1" xfId="50" applyFont="1" applyFill="1" applyBorder="1" applyAlignment="1">
      <alignment horizontal="center" vertical="center"/>
    </xf>
    <xf numFmtId="0" fontId="5" fillId="4" borderId="1" xfId="50" applyFont="1" applyFill="1" applyBorder="1" applyAlignment="1">
      <alignment horizontal="left" vertical="center" wrapText="1"/>
    </xf>
    <xf numFmtId="0" fontId="5" fillId="4" borderId="1" xfId="50" applyFont="1" applyFill="1" applyBorder="1" applyAlignment="1">
      <alignment horizontal="left" vertical="center"/>
    </xf>
    <xf numFmtId="0" fontId="6" fillId="4" borderId="1" xfId="50" applyFont="1" applyFill="1" applyBorder="1" applyAlignment="1">
      <alignment horizontal="right" vertical="center" wrapText="1"/>
    </xf>
    <xf numFmtId="0" fontId="7" fillId="4" borderId="1" xfId="50" applyFont="1" applyFill="1" applyBorder="1" applyAlignment="1">
      <alignment horizontal="left" vertical="center" wrapText="1"/>
    </xf>
    <xf numFmtId="0" fontId="4" fillId="4" borderId="1" xfId="50" applyFont="1" applyFill="1" applyBorder="1" applyAlignment="1">
      <alignment vertical="center" wrapText="1"/>
    </xf>
    <xf numFmtId="0" fontId="7" fillId="3" borderId="1" xfId="50" applyFont="1" applyFill="1" applyBorder="1">
      <alignment vertical="center"/>
    </xf>
    <xf numFmtId="0" fontId="7" fillId="4" borderId="1" xfId="50" applyFont="1" applyFill="1" applyBorder="1">
      <alignment vertical="center"/>
    </xf>
    <xf numFmtId="0" fontId="7" fillId="4" borderId="1" xfId="50" applyFont="1" applyFill="1" applyBorder="1" applyAlignment="1">
      <alignment horizontal="left" vertical="center"/>
    </xf>
    <xf numFmtId="0" fontId="7" fillId="4" borderId="1" xfId="50" applyFont="1" applyFill="1" applyBorder="1" applyAlignment="1">
      <alignment horizontal="center" vertical="center"/>
    </xf>
    <xf numFmtId="0" fontId="7" fillId="4" borderId="1" xfId="50" applyFont="1" applyFill="1" applyBorder="1" applyAlignment="1">
      <alignment horizontal="right" vertical="center"/>
    </xf>
    <xf numFmtId="0" fontId="7" fillId="0" borderId="1" xfId="50" applyFont="1" applyBorder="1">
      <alignment vertical="center"/>
    </xf>
    <xf numFmtId="0" fontId="8" fillId="4" borderId="1" xfId="50" applyFont="1" applyFill="1" applyBorder="1" applyAlignment="1">
      <alignment horizontal="center" vertical="center"/>
    </xf>
    <xf numFmtId="0" fontId="8" fillId="4" borderId="1" xfId="50" applyFont="1" applyFill="1" applyBorder="1">
      <alignment vertical="center"/>
    </xf>
    <xf numFmtId="0" fontId="8" fillId="4" borderId="1" xfId="50" applyFont="1" applyFill="1" applyBorder="1" applyAlignment="1">
      <alignment horizontal="left" vertical="center"/>
    </xf>
    <xf numFmtId="0" fontId="8" fillId="4" borderId="1" xfId="50" applyFont="1" applyFill="1" applyBorder="1" applyAlignment="1">
      <alignment horizontal="right" vertical="center"/>
    </xf>
    <xf numFmtId="0" fontId="4" fillId="4" borderId="1" xfId="50" applyFont="1" applyFill="1" applyBorder="1" applyAlignment="1">
      <alignment horizontal="left" vertical="center" wrapText="1"/>
    </xf>
    <xf numFmtId="0" fontId="7" fillId="4" borderId="1" xfId="50" applyFont="1" applyFill="1" applyBorder="1" applyAlignment="1">
      <alignment horizontal="center" vertical="center" wrapText="1"/>
    </xf>
    <xf numFmtId="0" fontId="7" fillId="4" borderId="1" xfId="50" applyFont="1" applyFill="1" applyBorder="1" applyAlignment="1">
      <alignment horizontal="right" vertical="center" wrapText="1"/>
    </xf>
    <xf numFmtId="0" fontId="9" fillId="4" borderId="1" xfId="50" applyFont="1" applyFill="1" applyBorder="1">
      <alignment vertical="center"/>
    </xf>
    <xf numFmtId="0" fontId="3" fillId="4" borderId="1" xfId="50" applyFont="1" applyFill="1" applyBorder="1" applyAlignment="1">
      <alignment horizontal="left" vertical="center"/>
    </xf>
    <xf numFmtId="0" fontId="3" fillId="4" borderId="1" xfId="50" applyFont="1" applyFill="1" applyBorder="1" applyAlignment="1">
      <alignment horizontal="center" vertical="center"/>
    </xf>
    <xf numFmtId="0" fontId="4" fillId="5" borderId="1" xfId="50" applyFont="1" applyFill="1" applyBorder="1">
      <alignment vertical="center"/>
    </xf>
    <xf numFmtId="0" fontId="4" fillId="0" borderId="1" xfId="50" applyFont="1" applyBorder="1" applyAlignment="1">
      <alignment horizontal="left" vertical="center"/>
    </xf>
    <xf numFmtId="0" fontId="4" fillId="0" borderId="1" xfId="50" applyFont="1" applyBorder="1" applyAlignment="1">
      <alignment horizontal="center" vertical="center"/>
    </xf>
    <xf numFmtId="0" fontId="4" fillId="0" borderId="1" xfId="50" applyFont="1" applyBorder="1" applyAlignment="1">
      <alignment horizontal="right" vertical="center"/>
    </xf>
    <xf numFmtId="0" fontId="10" fillId="6" borderId="1" xfId="50" applyFont="1" applyFill="1" applyBorder="1" applyAlignment="1">
      <alignment horizontal="right" vertical="center"/>
    </xf>
    <xf numFmtId="0" fontId="11" fillId="6" borderId="1" xfId="50" applyFont="1" applyFill="1" applyBorder="1" applyAlignment="1">
      <alignment horizontal="right" vertical="center"/>
    </xf>
    <xf numFmtId="0" fontId="12" fillId="2" borderId="1" xfId="50" applyFont="1" applyFill="1" applyBorder="1">
      <alignment vertical="center"/>
    </xf>
    <xf numFmtId="0" fontId="12" fillId="2" borderId="1" xfId="50" applyFont="1" applyFill="1" applyBorder="1" applyAlignment="1">
      <alignment horizontal="center" vertical="center"/>
    </xf>
    <xf numFmtId="0" fontId="12" fillId="2" borderId="1" xfId="50" applyFont="1" applyFill="1" applyBorder="1" applyAlignment="1">
      <alignment horizontal="right" vertical="center"/>
    </xf>
    <xf numFmtId="0" fontId="4" fillId="0" borderId="2" xfId="50" applyFont="1" applyBorder="1">
      <alignment vertical="center"/>
    </xf>
    <xf numFmtId="0" fontId="4" fillId="0" borderId="2" xfId="50" applyFont="1" applyBorder="1" applyAlignment="1">
      <alignment horizontal="right" vertical="center"/>
    </xf>
    <xf numFmtId="177" fontId="4" fillId="0" borderId="1" xfId="50" applyNumberFormat="1" applyFont="1" applyBorder="1" applyAlignment="1">
      <alignment horizontal="right" vertical="center"/>
    </xf>
    <xf numFmtId="177" fontId="4" fillId="0" borderId="1" xfId="50" applyNumberFormat="1" applyFont="1" applyBorder="1" applyAlignment="1">
      <alignment horizontal="center" vertical="center"/>
    </xf>
    <xf numFmtId="177" fontId="8" fillId="0" borderId="1" xfId="50" applyNumberFormat="1" applyFont="1" applyBorder="1">
      <alignment vertical="center"/>
    </xf>
    <xf numFmtId="177" fontId="4" fillId="0" borderId="1" xfId="50" applyNumberFormat="1" applyFont="1" applyBorder="1">
      <alignment vertical="center"/>
    </xf>
    <xf numFmtId="0" fontId="7" fillId="0" borderId="1" xfId="50" applyFont="1" applyBorder="1" applyAlignment="1">
      <alignment horizontal="right" vertical="center"/>
    </xf>
    <xf numFmtId="0" fontId="8" fillId="0" borderId="1" xfId="50" applyFont="1" applyBorder="1" applyAlignment="1">
      <alignment horizontal="right" vertical="center"/>
    </xf>
    <xf numFmtId="0" fontId="13" fillId="4" borderId="1" xfId="50" applyFont="1" applyFill="1" applyBorder="1" applyAlignment="1">
      <alignment horizontal="right" vertical="center"/>
    </xf>
    <xf numFmtId="0" fontId="14" fillId="0" borderId="1" xfId="50" applyFont="1" applyBorder="1">
      <alignment vertical="center"/>
    </xf>
    <xf numFmtId="0" fontId="14" fillId="0" borderId="1" xfId="50" applyFont="1" applyBorder="1" applyAlignment="1">
      <alignment horizontal="center" vertical="center"/>
    </xf>
    <xf numFmtId="0" fontId="14" fillId="0" borderId="1" xfId="50" applyFont="1" applyBorder="1" applyAlignment="1">
      <alignment horizontal="right" vertical="center"/>
    </xf>
    <xf numFmtId="177" fontId="15" fillId="0" borderId="1" xfId="50" applyNumberFormat="1" applyFont="1" applyBorder="1" applyAlignment="1">
      <alignment horizontal="right" vertical="center"/>
    </xf>
    <xf numFmtId="0" fontId="15" fillId="0" borderId="1" xfId="50" applyFont="1" applyBorder="1" applyAlignment="1">
      <alignment horizontal="right" vertical="center"/>
    </xf>
    <xf numFmtId="0" fontId="15" fillId="0" borderId="1" xfId="50" applyFont="1" applyBorder="1">
      <alignment vertical="center"/>
    </xf>
    <xf numFmtId="177" fontId="14" fillId="0" borderId="1" xfId="50" applyNumberFormat="1" applyFont="1" applyBorder="1" applyAlignment="1">
      <alignment horizontal="right" vertical="center"/>
    </xf>
    <xf numFmtId="177" fontId="7" fillId="0" borderId="1" xfId="50" applyNumberFormat="1" applyFont="1" applyBorder="1" applyAlignment="1">
      <alignment horizontal="right" vertical="center"/>
    </xf>
    <xf numFmtId="0" fontId="9" fillId="4" borderId="1" xfId="50" applyFont="1" applyFill="1" applyBorder="1" applyAlignment="1">
      <alignment horizontal="right" vertical="center"/>
    </xf>
    <xf numFmtId="0" fontId="16" fillId="0" borderId="1" xfId="50" applyFont="1" applyBorder="1" applyAlignment="1">
      <alignment horizontal="right" vertical="center" wrapText="1"/>
    </xf>
    <xf numFmtId="177" fontId="16" fillId="0" borderId="1" xfId="50" applyNumberFormat="1" applyFont="1" applyBorder="1" applyAlignment="1">
      <alignment horizontal="right" vertical="center" wrapText="1"/>
    </xf>
    <xf numFmtId="0" fontId="12" fillId="0" borderId="1" xfId="50" applyFont="1" applyBorder="1">
      <alignment vertical="center"/>
    </xf>
    <xf numFmtId="0" fontId="12" fillId="0" borderId="3" xfId="50" applyFont="1" applyBorder="1">
      <alignment vertical="center"/>
    </xf>
    <xf numFmtId="0" fontId="3" fillId="7" borderId="1" xfId="50" applyFont="1" applyFill="1" applyBorder="1">
      <alignment vertical="center"/>
    </xf>
    <xf numFmtId="0" fontId="3" fillId="7" borderId="1" xfId="50" applyFont="1" applyFill="1" applyBorder="1" applyAlignment="1">
      <alignment vertical="center" wrapText="1"/>
    </xf>
    <xf numFmtId="0" fontId="3" fillId="7" borderId="1" xfId="50" applyFont="1" applyFill="1" applyBorder="1" applyAlignment="1">
      <alignment horizontal="center" vertical="center" wrapText="1"/>
    </xf>
    <xf numFmtId="0" fontId="0" fillId="8" borderId="1" xfId="50" applyFill="1" applyBorder="1">
      <alignment vertical="center"/>
    </xf>
    <xf numFmtId="0" fontId="17" fillId="0" borderId="0" xfId="50" applyFont="1" applyAlignment="1">
      <alignment horizontal="center" vertical="center"/>
    </xf>
    <xf numFmtId="0" fontId="18" fillId="0" borderId="0" xfId="50" applyFont="1" applyAlignment="1">
      <alignment horizontal="center" vertical="center"/>
    </xf>
    <xf numFmtId="0" fontId="19" fillId="0" borderId="0" xfId="50" applyFont="1">
      <alignment vertical="center"/>
    </xf>
    <xf numFmtId="0" fontId="12" fillId="8" borderId="1" xfId="50" applyFont="1" applyFill="1" applyBorder="1">
      <alignment vertical="center"/>
    </xf>
    <xf numFmtId="0" fontId="20" fillId="8" borderId="1" xfId="50" applyFont="1" applyFill="1" applyBorder="1">
      <alignment vertical="center"/>
    </xf>
    <xf numFmtId="0" fontId="1" fillId="8" borderId="1" xfId="50" applyFont="1" applyFill="1" applyBorder="1">
      <alignment vertical="center"/>
    </xf>
    <xf numFmtId="0" fontId="0" fillId="9" borderId="1" xfId="50" applyFill="1" applyBorder="1">
      <alignment vertical="center"/>
    </xf>
    <xf numFmtId="0" fontId="2" fillId="8" borderId="1" xfId="50" applyFont="1" applyFill="1" applyBorder="1">
      <alignment vertical="center"/>
    </xf>
    <xf numFmtId="0" fontId="8" fillId="4" borderId="1" xfId="50" applyFont="1" applyFill="1" applyBorder="1" applyAlignment="1">
      <alignment horizontal="center" vertical="center" wrapText="1"/>
    </xf>
    <xf numFmtId="0" fontId="16" fillId="4" borderId="1" xfId="50" applyFont="1" applyFill="1" applyBorder="1" applyAlignment="1">
      <alignment horizontal="left" vertical="center" wrapText="1"/>
    </xf>
    <xf numFmtId="0" fontId="21" fillId="4" borderId="1" xfId="50" applyFont="1" applyFill="1" applyBorder="1">
      <alignment vertical="center"/>
    </xf>
    <xf numFmtId="0" fontId="21" fillId="4" borderId="1" xfId="50" applyFont="1" applyFill="1" applyBorder="1" applyAlignment="1">
      <alignment horizontal="center" vertical="center" wrapText="1"/>
    </xf>
    <xf numFmtId="0" fontId="21" fillId="4" borderId="1" xfId="50" applyFont="1" applyFill="1" applyBorder="1" applyAlignment="1">
      <alignment horizontal="right" vertical="center" wrapText="1"/>
    </xf>
    <xf numFmtId="0" fontId="21" fillId="0" borderId="1" xfId="50" applyFont="1" applyBorder="1" applyAlignment="1">
      <alignment horizontal="right" vertical="center" wrapText="1"/>
    </xf>
    <xf numFmtId="0" fontId="16" fillId="4" borderId="1" xfId="50" applyFont="1" applyFill="1" applyBorder="1" applyAlignment="1">
      <alignment horizontal="right" vertical="center"/>
    </xf>
    <xf numFmtId="0" fontId="16" fillId="0" borderId="1" xfId="50" applyFont="1" applyBorder="1" applyAlignment="1">
      <alignment horizontal="right" vertical="center"/>
    </xf>
    <xf numFmtId="0" fontId="4" fillId="0" borderId="1" xfId="50" applyFont="1" applyBorder="1" applyAlignment="1">
      <alignment horizontal="right" vertical="center" wrapText="1"/>
    </xf>
    <xf numFmtId="0" fontId="22" fillId="0" borderId="1" xfId="50" applyFont="1" applyBorder="1" applyAlignment="1">
      <alignment horizontal="right" vertical="center"/>
    </xf>
    <xf numFmtId="0" fontId="9" fillId="0" borderId="1" xfId="50" applyFont="1" applyBorder="1" applyAlignment="1">
      <alignment horizontal="right" vertical="center"/>
    </xf>
    <xf numFmtId="0" fontId="4" fillId="0" borderId="0" xfId="50" applyFont="1" applyAlignment="1">
      <alignment horizontal="right" vertical="center"/>
    </xf>
    <xf numFmtId="0" fontId="0" fillId="8" borderId="3" xfId="50" applyFill="1" applyBorder="1" applyAlignment="1">
      <alignment horizontal="center" vertical="center"/>
    </xf>
    <xf numFmtId="0" fontId="0" fillId="8" borderId="4" xfId="50" applyFill="1" applyBorder="1" applyAlignment="1">
      <alignment horizontal="center" vertical="center"/>
    </xf>
    <xf numFmtId="0" fontId="0" fillId="8" borderId="5" xfId="50" applyFill="1" applyBorder="1" applyAlignment="1">
      <alignment horizontal="center" vertical="center"/>
    </xf>
    <xf numFmtId="0" fontId="0" fillId="9" borderId="3" xfId="50" applyFill="1" applyBorder="1">
      <alignment vertical="center"/>
    </xf>
    <xf numFmtId="0" fontId="0" fillId="9" borderId="4" xfId="50" applyFill="1" applyBorder="1">
      <alignment vertical="center"/>
    </xf>
    <xf numFmtId="0" fontId="0" fillId="9" borderId="5" xfId="50" applyFill="1" applyBorder="1">
      <alignment vertical="center"/>
    </xf>
    <xf numFmtId="0" fontId="1" fillId="0" borderId="0" xfId="49" applyFont="1">
      <alignment vertical="center"/>
    </xf>
    <xf numFmtId="0" fontId="23" fillId="0" borderId="0" xfId="49" applyFont="1">
      <alignment vertical="center"/>
    </xf>
    <xf numFmtId="0" fontId="0" fillId="0" borderId="0" xfId="49">
      <alignment vertical="center"/>
    </xf>
    <xf numFmtId="0" fontId="0" fillId="4" borderId="0" xfId="49" applyFill="1">
      <alignment vertical="center"/>
    </xf>
    <xf numFmtId="0" fontId="0" fillId="0" borderId="0" xfId="49" applyAlignment="1">
      <alignment horizontal="right" vertical="center"/>
    </xf>
    <xf numFmtId="0" fontId="4" fillId="0" borderId="1" xfId="49" applyFont="1" applyBorder="1">
      <alignment vertical="center"/>
    </xf>
    <xf numFmtId="0" fontId="4" fillId="4" borderId="1" xfId="49" applyFont="1" applyFill="1" applyBorder="1">
      <alignment vertical="center"/>
    </xf>
    <xf numFmtId="0" fontId="4" fillId="2" borderId="1" xfId="49" applyFont="1" applyFill="1" applyBorder="1">
      <alignment vertical="center"/>
    </xf>
    <xf numFmtId="0" fontId="4" fillId="2" borderId="1" xfId="49" applyFont="1" applyFill="1" applyBorder="1" applyAlignment="1">
      <alignment horizontal="left" vertical="center"/>
    </xf>
    <xf numFmtId="0" fontId="4" fillId="2" borderId="1" xfId="49" applyFont="1" applyFill="1" applyBorder="1" applyAlignment="1">
      <alignment horizontal="center" vertical="center"/>
    </xf>
    <xf numFmtId="0" fontId="4" fillId="0" borderId="1" xfId="49" applyFont="1" applyBorder="1" applyAlignment="1">
      <alignment horizontal="left" vertical="center" wrapText="1"/>
    </xf>
    <xf numFmtId="0" fontId="7" fillId="4" borderId="1" xfId="49" applyFont="1" applyFill="1" applyBorder="1">
      <alignment vertical="center"/>
    </xf>
    <xf numFmtId="0" fontId="7" fillId="0" borderId="1" xfId="49" applyFont="1" applyBorder="1">
      <alignment vertical="center"/>
    </xf>
    <xf numFmtId="0" fontId="7" fillId="10" borderId="1" xfId="49" applyFont="1" applyFill="1" applyBorder="1">
      <alignment vertical="center"/>
    </xf>
    <xf numFmtId="0" fontId="4" fillId="0" borderId="1" xfId="49" applyFont="1" applyBorder="1" applyAlignment="1">
      <alignment horizontal="right" vertical="center"/>
    </xf>
    <xf numFmtId="0" fontId="14" fillId="0" borderId="1" xfId="49" applyFont="1" applyBorder="1" applyAlignment="1">
      <alignment vertical="top"/>
    </xf>
    <xf numFmtId="0" fontId="16" fillId="0" borderId="1" xfId="49" applyFont="1" applyBorder="1" applyAlignment="1">
      <alignment vertical="top"/>
    </xf>
    <xf numFmtId="0" fontId="21" fillId="0" borderId="1" xfId="49" applyFont="1" applyBorder="1">
      <alignment vertical="center"/>
    </xf>
    <xf numFmtId="3" fontId="24" fillId="0" borderId="1" xfId="49" applyNumberFormat="1" applyFont="1" applyBorder="1" applyAlignment="1">
      <alignment horizontal="right" vertical="top"/>
    </xf>
    <xf numFmtId="0" fontId="25" fillId="0" borderId="1" xfId="49" applyFont="1" applyBorder="1" applyAlignment="1">
      <alignment vertical="top"/>
    </xf>
    <xf numFmtId="0" fontId="21" fillId="0" borderId="6" xfId="49" applyFont="1" applyBorder="1">
      <alignment vertical="center"/>
    </xf>
    <xf numFmtId="0" fontId="4" fillId="0" borderId="6" xfId="49" applyFont="1" applyBorder="1">
      <alignment vertical="center"/>
    </xf>
    <xf numFmtId="0" fontId="4" fillId="10" borderId="1" xfId="49" applyFont="1" applyFill="1" applyBorder="1">
      <alignment vertical="center"/>
    </xf>
    <xf numFmtId="0" fontId="9" fillId="4" borderId="1" xfId="49" applyFont="1" applyFill="1" applyBorder="1">
      <alignment vertical="center"/>
    </xf>
    <xf numFmtId="0" fontId="8" fillId="4" borderId="1" xfId="49" applyFont="1" applyFill="1" applyBorder="1" applyAlignment="1">
      <alignment horizontal="center" vertical="center"/>
    </xf>
    <xf numFmtId="0" fontId="9" fillId="6" borderId="1" xfId="49" applyFont="1" applyFill="1" applyBorder="1" applyAlignment="1">
      <alignment horizontal="right" vertical="center"/>
    </xf>
    <xf numFmtId="0" fontId="4" fillId="2" borderId="1" xfId="49" applyFont="1" applyFill="1" applyBorder="1" applyAlignment="1">
      <alignment horizontal="right" vertical="center"/>
    </xf>
    <xf numFmtId="0" fontId="4" fillId="4" borderId="1" xfId="49" applyFont="1" applyFill="1" applyBorder="1" applyAlignment="1">
      <alignment horizontal="right" vertical="center"/>
    </xf>
    <xf numFmtId="0" fontId="7" fillId="0" borderId="1" xfId="49" applyFont="1" applyBorder="1" applyAlignment="1">
      <alignment horizontal="right" vertical="center"/>
    </xf>
    <xf numFmtId="0" fontId="21" fillId="0" borderId="1" xfId="49" applyFont="1" applyBorder="1" applyAlignment="1">
      <alignment horizontal="right" vertical="center"/>
    </xf>
    <xf numFmtId="0" fontId="7" fillId="4" borderId="1" xfId="49" applyFont="1" applyFill="1" applyBorder="1" applyAlignment="1">
      <alignment horizontal="right" vertical="center"/>
    </xf>
    <xf numFmtId="177" fontId="4" fillId="0" borderId="1" xfId="49" applyNumberFormat="1" applyFont="1" applyBorder="1">
      <alignment vertical="center"/>
    </xf>
    <xf numFmtId="177" fontId="4" fillId="0" borderId="1" xfId="49" applyNumberFormat="1" applyFont="1" applyBorder="1" applyAlignment="1">
      <alignment horizontal="right" vertical="center"/>
    </xf>
    <xf numFmtId="0" fontId="4" fillId="0" borderId="6" xfId="49" applyFont="1" applyBorder="1" applyAlignment="1">
      <alignment horizontal="right" vertical="center"/>
    </xf>
    <xf numFmtId="0" fontId="4" fillId="4" borderId="6" xfId="49" applyFont="1" applyFill="1" applyBorder="1" applyAlignment="1">
      <alignment horizontal="right" vertical="center"/>
    </xf>
    <xf numFmtId="0" fontId="4" fillId="0" borderId="1" xfId="49" applyFont="1" applyBorder="1" applyAlignment="1">
      <alignment horizontal="left" vertical="center"/>
    </xf>
    <xf numFmtId="0" fontId="4" fillId="0" borderId="1" xfId="49" applyFont="1" applyBorder="1" applyAlignment="1">
      <alignment horizontal="right" vertical="center" wrapText="1"/>
    </xf>
    <xf numFmtId="0" fontId="17" fillId="2" borderId="0" xfId="49" applyFont="1" applyFill="1" applyAlignment="1">
      <alignment horizontal="center" vertical="center"/>
    </xf>
    <xf numFmtId="0" fontId="0" fillId="2" borderId="0" xfId="49" applyFill="1">
      <alignment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 wrapText="1"/>
    </xf>
    <xf numFmtId="0" fontId="4" fillId="8" borderId="1" xfId="49" applyFont="1" applyFill="1" applyBorder="1" applyAlignment="1">
      <alignment horizontal="right" vertical="center"/>
    </xf>
    <xf numFmtId="0" fontId="7" fillId="8" borderId="1" xfId="49" applyFont="1" applyFill="1" applyBorder="1" applyAlignment="1">
      <alignment horizontal="right" vertical="center"/>
    </xf>
    <xf numFmtId="0" fontId="26" fillId="0" borderId="0" xfId="49" applyFont="1" applyAlignment="1">
      <alignment horizontal="center" vertical="center" wrapText="1"/>
    </xf>
    <xf numFmtId="0" fontId="4" fillId="0" borderId="3" xfId="49" applyFont="1" applyBorder="1">
      <alignment vertical="center"/>
    </xf>
    <xf numFmtId="0" fontId="4" fillId="8" borderId="6" xfId="49" applyFont="1" applyFill="1" applyBorder="1" applyAlignment="1">
      <alignment horizontal="right" vertical="center"/>
    </xf>
    <xf numFmtId="0" fontId="4" fillId="8" borderId="7" xfId="49" applyFont="1" applyFill="1" applyBorder="1" applyAlignment="1">
      <alignment horizontal="right" vertical="center"/>
    </xf>
    <xf numFmtId="0" fontId="4" fillId="8" borderId="2" xfId="49" applyFont="1" applyFill="1" applyBorder="1" applyAlignment="1">
      <alignment horizontal="right" vertical="center"/>
    </xf>
    <xf numFmtId="0" fontId="8" fillId="0" borderId="1" xfId="49" applyFont="1" applyBorder="1">
      <alignment vertical="center"/>
    </xf>
    <xf numFmtId="0" fontId="0" fillId="8" borderId="1" xfId="49" applyFill="1" applyBorder="1" applyAlignment="1">
      <alignment horizontal="right" vertical="center"/>
    </xf>
    <xf numFmtId="0" fontId="1" fillId="8" borderId="1" xfId="49" applyFont="1" applyFill="1" applyBorder="1" applyAlignment="1">
      <alignment horizontal="right" vertical="center"/>
    </xf>
    <xf numFmtId="0" fontId="23" fillId="8" borderId="1" xfId="49" applyFont="1" applyFill="1" applyBorder="1" applyAlignment="1">
      <alignment horizontal="right" vertical="center"/>
    </xf>
    <xf numFmtId="0" fontId="4" fillId="4" borderId="1" xfId="49" applyFont="1" applyFill="1" applyBorder="1" applyAlignment="1">
      <alignment horizontal="center" vertical="center"/>
    </xf>
    <xf numFmtId="0" fontId="4" fillId="11" borderId="1" xfId="49" applyFont="1" applyFill="1" applyBorder="1">
      <alignment vertical="center"/>
    </xf>
    <xf numFmtId="0" fontId="4" fillId="0" borderId="0" xfId="49" applyFont="1">
      <alignment vertical="center"/>
    </xf>
    <xf numFmtId="0" fontId="4" fillId="4" borderId="0" xfId="49" applyFont="1" applyFill="1">
      <alignment vertical="center"/>
    </xf>
    <xf numFmtId="0" fontId="7" fillId="0" borderId="0" xfId="49" applyFont="1">
      <alignment vertical="center"/>
    </xf>
    <xf numFmtId="0" fontId="14" fillId="0" borderId="0" xfId="49" applyFont="1" applyAlignment="1">
      <alignment vertical="top"/>
    </xf>
    <xf numFmtId="0" fontId="16" fillId="0" borderId="1" xfId="49" applyFont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/>
    </xf>
    <xf numFmtId="0" fontId="7" fillId="0" borderId="0" xfId="49" applyFont="1" applyAlignment="1">
      <alignment horizontal="right" vertical="center"/>
    </xf>
    <xf numFmtId="0" fontId="8" fillId="8" borderId="1" xfId="49" applyFont="1" applyFill="1" applyBorder="1" applyAlignment="1">
      <alignment horizontal="right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rmal 3" xfId="50"/>
    <cellStyle name="常规 2" xfId="51"/>
    <cellStyle name="常规 3" xfId="52"/>
    <cellStyle name="常规 4" xfId="53"/>
    <cellStyle name="常规_Motorola Billing for YANGshan invoice02" xfId="54"/>
    <cellStyle name="千位分隔_Motorola Billing for YANGshan invoice02 2" xfId="55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13"/>
  <sheetViews>
    <sheetView tabSelected="1" workbookViewId="0">
      <pane ySplit="1" topLeftCell="A68" activePane="bottomLeft" state="frozen"/>
      <selection/>
      <selection pane="bottomLeft" activeCell="N93" sqref="N93"/>
    </sheetView>
  </sheetViews>
  <sheetFormatPr defaultColWidth="8.725" defaultRowHeight="14.25"/>
  <cols>
    <col min="1" max="1" width="8.725" style="106"/>
    <col min="2" max="2" width="9.63333333333333" style="107" customWidth="1"/>
    <col min="3" max="3" width="16" style="106" customWidth="1"/>
    <col min="4" max="4" width="14.9083333333333" style="106" hidden="1" customWidth="1"/>
    <col min="5" max="5" width="12" style="106" customWidth="1"/>
    <col min="6" max="6" width="13.3666666666667" style="106" customWidth="1"/>
    <col min="7" max="7" width="8.725" style="106"/>
    <col min="8" max="8" width="11.1833333333333" style="106" hidden="1" customWidth="1"/>
    <col min="9" max="9" width="9.36666666666667" style="106" customWidth="1"/>
    <col min="10" max="10" width="8.725" style="108" customWidth="1"/>
    <col min="11" max="11" width="8.725" style="108"/>
    <col min="12" max="12" width="18.8166666666667" style="106" customWidth="1"/>
    <col min="13" max="13" width="12.8166666666667" style="106" customWidth="1"/>
    <col min="14" max="14" width="15.3666666666667" style="108" customWidth="1"/>
    <col min="15" max="15" width="8.725" style="108" customWidth="1"/>
    <col min="16" max="16" width="12.8166666666667" style="108" customWidth="1"/>
    <col min="17" max="21" width="8.725" style="106" customWidth="1"/>
    <col min="22" max="22" width="6.09166666666667" style="106" customWidth="1"/>
    <col min="23" max="16384" width="8.725" style="106"/>
  </cols>
  <sheetData>
    <row r="1" ht="34.5" customHeight="1" spans="1:29">
      <c r="A1" s="109" t="s">
        <v>0</v>
      </c>
      <c r="B1" s="110" t="s">
        <v>1</v>
      </c>
      <c r="C1" s="111" t="s">
        <v>2</v>
      </c>
      <c r="D1" s="112" t="s">
        <v>3</v>
      </c>
      <c r="E1" s="113" t="s">
        <v>4</v>
      </c>
      <c r="F1" s="113" t="s">
        <v>5</v>
      </c>
      <c r="G1" s="113" t="s">
        <v>6</v>
      </c>
      <c r="H1" s="113" t="s">
        <v>7</v>
      </c>
      <c r="I1" s="113" t="s">
        <v>8</v>
      </c>
      <c r="J1" s="129" t="s">
        <v>9</v>
      </c>
      <c r="K1" s="130" t="s">
        <v>10</v>
      </c>
      <c r="L1" s="111" t="s">
        <v>11</v>
      </c>
      <c r="M1" s="113" t="s">
        <v>12</v>
      </c>
      <c r="N1" s="130" t="s">
        <v>13</v>
      </c>
      <c r="O1" s="130" t="s">
        <v>14</v>
      </c>
      <c r="P1" s="130" t="s">
        <v>15</v>
      </c>
      <c r="Q1" s="141" t="s">
        <v>16</v>
      </c>
      <c r="R1" s="142" t="s">
        <v>17</v>
      </c>
      <c r="S1" s="106" t="s">
        <v>18</v>
      </c>
      <c r="T1" s="106" t="s">
        <v>19</v>
      </c>
      <c r="V1" s="143" t="s">
        <v>20</v>
      </c>
      <c r="W1" s="144" t="s">
        <v>21</v>
      </c>
      <c r="X1" s="144" t="s">
        <v>22</v>
      </c>
      <c r="Y1" s="144" t="s">
        <v>23</v>
      </c>
      <c r="Z1" s="144" t="s">
        <v>24</v>
      </c>
      <c r="AA1" s="144" t="s">
        <v>25</v>
      </c>
      <c r="AB1" s="144" t="s">
        <v>26</v>
      </c>
      <c r="AC1" s="144" t="s">
        <v>27</v>
      </c>
    </row>
    <row r="2" spans="1:29">
      <c r="A2" s="109" t="s">
        <v>28</v>
      </c>
      <c r="B2" s="110" t="s">
        <v>29</v>
      </c>
      <c r="C2" s="109" t="s">
        <v>30</v>
      </c>
      <c r="D2" s="109" t="s">
        <v>31</v>
      </c>
      <c r="E2" s="109" t="s">
        <v>32</v>
      </c>
      <c r="F2" s="109" t="s">
        <v>33</v>
      </c>
      <c r="G2" s="109">
        <v>108</v>
      </c>
      <c r="H2" s="109">
        <v>36</v>
      </c>
      <c r="I2" s="109">
        <f>G2</f>
        <v>108</v>
      </c>
      <c r="J2" s="118">
        <v>36</v>
      </c>
      <c r="K2" s="131">
        <f t="shared" ref="K2:K10" si="0">G2/H2</f>
        <v>3</v>
      </c>
      <c r="L2" s="116" t="s">
        <v>34</v>
      </c>
      <c r="M2" s="116">
        <v>0.12</v>
      </c>
      <c r="N2" s="132">
        <f>3024.6/142</f>
        <v>21.3</v>
      </c>
      <c r="O2" s="118">
        <f>N2*K2</f>
        <v>63.9</v>
      </c>
      <c r="P2" s="118">
        <f>M2*K2</f>
        <v>0.36</v>
      </c>
      <c r="V2" s="145">
        <f>K2</f>
        <v>3</v>
      </c>
      <c r="W2" s="145"/>
      <c r="X2" s="145"/>
      <c r="Y2" s="145"/>
      <c r="Z2" s="153"/>
      <c r="AA2" s="153"/>
      <c r="AB2" s="153">
        <v>108</v>
      </c>
      <c r="AC2" s="153"/>
    </row>
    <row r="3" spans="1:29">
      <c r="A3" s="109" t="s">
        <v>28</v>
      </c>
      <c r="B3" s="110"/>
      <c r="C3" s="109" t="s">
        <v>35</v>
      </c>
      <c r="D3" s="109" t="s">
        <v>36</v>
      </c>
      <c r="E3" s="109" t="s">
        <v>37</v>
      </c>
      <c r="F3" s="109" t="s">
        <v>38</v>
      </c>
      <c r="G3" s="109">
        <v>180</v>
      </c>
      <c r="H3" s="109">
        <v>12</v>
      </c>
      <c r="I3" s="109">
        <f t="shared" ref="I3:J22" si="1">G3</f>
        <v>180</v>
      </c>
      <c r="J3" s="118">
        <v>12</v>
      </c>
      <c r="K3" s="131">
        <f t="shared" si="0"/>
        <v>15</v>
      </c>
      <c r="L3" s="109" t="s">
        <v>39</v>
      </c>
      <c r="M3" s="109">
        <v>0.0726</v>
      </c>
      <c r="N3" s="118">
        <v>10.89</v>
      </c>
      <c r="O3" s="118">
        <f t="shared" ref="O3:O10" si="2">N3*K3</f>
        <v>163.35</v>
      </c>
      <c r="P3" s="118">
        <f t="shared" ref="P3:P10" si="3">M3*K3</f>
        <v>1.089</v>
      </c>
      <c r="V3" s="145">
        <f t="shared" ref="V3:V66" si="4">K3</f>
        <v>15</v>
      </c>
      <c r="W3" s="145"/>
      <c r="X3" s="145">
        <f t="shared" ref="X3:X18" si="5">G3</f>
        <v>180</v>
      </c>
      <c r="Y3" s="145"/>
      <c r="Z3" s="153"/>
      <c r="AA3" s="153"/>
      <c r="AB3" s="153"/>
      <c r="AC3" s="153"/>
    </row>
    <row r="4" spans="1:29">
      <c r="A4" s="109" t="s">
        <v>28</v>
      </c>
      <c r="B4" s="110"/>
      <c r="C4" s="109" t="s">
        <v>40</v>
      </c>
      <c r="D4" s="109" t="s">
        <v>41</v>
      </c>
      <c r="E4" s="109" t="s">
        <v>42</v>
      </c>
      <c r="F4" s="109" t="s">
        <v>43</v>
      </c>
      <c r="G4" s="109">
        <v>200</v>
      </c>
      <c r="H4" s="109">
        <v>100</v>
      </c>
      <c r="I4" s="109">
        <f t="shared" si="1"/>
        <v>200</v>
      </c>
      <c r="J4" s="118">
        <v>100</v>
      </c>
      <c r="K4" s="131">
        <f t="shared" si="0"/>
        <v>2</v>
      </c>
      <c r="L4" s="109" t="s">
        <v>44</v>
      </c>
      <c r="M4" s="109">
        <v>0.019</v>
      </c>
      <c r="N4" s="118">
        <v>6.59</v>
      </c>
      <c r="O4" s="118">
        <f t="shared" si="2"/>
        <v>13.18</v>
      </c>
      <c r="P4" s="118">
        <f t="shared" si="3"/>
        <v>0.038</v>
      </c>
      <c r="V4" s="145">
        <f t="shared" si="4"/>
        <v>2</v>
      </c>
      <c r="W4" s="145"/>
      <c r="X4" s="145">
        <f t="shared" si="5"/>
        <v>200</v>
      </c>
      <c r="Y4" s="145"/>
      <c r="Z4" s="153"/>
      <c r="AA4" s="153"/>
      <c r="AB4" s="153"/>
      <c r="AC4" s="153"/>
    </row>
    <row r="5" spans="1:29">
      <c r="A5" s="109" t="s">
        <v>28</v>
      </c>
      <c r="B5" s="110"/>
      <c r="C5" s="109" t="s">
        <v>45</v>
      </c>
      <c r="D5" s="109" t="s">
        <v>46</v>
      </c>
      <c r="E5" s="109" t="s">
        <v>47</v>
      </c>
      <c r="F5" s="109" t="s">
        <v>48</v>
      </c>
      <c r="G5" s="109">
        <v>100</v>
      </c>
      <c r="H5" s="109">
        <v>100</v>
      </c>
      <c r="I5" s="109">
        <f t="shared" si="1"/>
        <v>100</v>
      </c>
      <c r="J5" s="118">
        <v>100</v>
      </c>
      <c r="K5" s="131">
        <f t="shared" si="0"/>
        <v>1</v>
      </c>
      <c r="L5" s="109" t="s">
        <v>44</v>
      </c>
      <c r="M5" s="109">
        <v>0.019</v>
      </c>
      <c r="N5" s="118">
        <v>6.59</v>
      </c>
      <c r="O5" s="118">
        <f t="shared" si="2"/>
        <v>6.59</v>
      </c>
      <c r="P5" s="118">
        <f t="shared" si="3"/>
        <v>0.019</v>
      </c>
      <c r="V5" s="145">
        <f t="shared" si="4"/>
        <v>1</v>
      </c>
      <c r="W5" s="145"/>
      <c r="X5" s="145">
        <f t="shared" si="5"/>
        <v>100</v>
      </c>
      <c r="Y5" s="145"/>
      <c r="Z5" s="153"/>
      <c r="AA5" s="153"/>
      <c r="AB5" s="153"/>
      <c r="AC5" s="153"/>
    </row>
    <row r="6" spans="1:29">
      <c r="A6" s="109" t="s">
        <v>28</v>
      </c>
      <c r="B6" s="110"/>
      <c r="C6" s="109" t="s">
        <v>49</v>
      </c>
      <c r="D6" s="109" t="s">
        <v>50</v>
      </c>
      <c r="E6" s="109" t="s">
        <v>51</v>
      </c>
      <c r="F6" s="109" t="s">
        <v>52</v>
      </c>
      <c r="G6" s="109">
        <v>200</v>
      </c>
      <c r="H6" s="109">
        <v>100</v>
      </c>
      <c r="I6" s="109">
        <f t="shared" si="1"/>
        <v>200</v>
      </c>
      <c r="J6" s="118">
        <v>100</v>
      </c>
      <c r="K6" s="131">
        <f t="shared" si="0"/>
        <v>2</v>
      </c>
      <c r="L6" s="109" t="s">
        <v>44</v>
      </c>
      <c r="M6" s="109">
        <v>0.019</v>
      </c>
      <c r="N6" s="118">
        <v>6.59</v>
      </c>
      <c r="O6" s="118">
        <f t="shared" si="2"/>
        <v>13.18</v>
      </c>
      <c r="P6" s="118">
        <f t="shared" si="3"/>
        <v>0.038</v>
      </c>
      <c r="V6" s="145">
        <f t="shared" si="4"/>
        <v>2</v>
      </c>
      <c r="W6" s="145"/>
      <c r="X6" s="145">
        <f t="shared" si="5"/>
        <v>200</v>
      </c>
      <c r="Y6" s="145"/>
      <c r="Z6" s="153"/>
      <c r="AA6" s="153"/>
      <c r="AB6" s="153"/>
      <c r="AC6" s="153"/>
    </row>
    <row r="7" spans="1:29">
      <c r="A7" s="109" t="s">
        <v>28</v>
      </c>
      <c r="B7" s="110"/>
      <c r="C7" s="109" t="s">
        <v>53</v>
      </c>
      <c r="D7" s="109" t="s">
        <v>54</v>
      </c>
      <c r="E7" s="109" t="s">
        <v>55</v>
      </c>
      <c r="F7" s="109" t="s">
        <v>56</v>
      </c>
      <c r="G7" s="109">
        <v>100</v>
      </c>
      <c r="H7" s="109">
        <v>100</v>
      </c>
      <c r="I7" s="109">
        <f t="shared" si="1"/>
        <v>100</v>
      </c>
      <c r="J7" s="118">
        <v>100</v>
      </c>
      <c r="K7" s="131">
        <f t="shared" si="0"/>
        <v>1</v>
      </c>
      <c r="L7" s="109" t="s">
        <v>44</v>
      </c>
      <c r="M7" s="109">
        <v>0.019</v>
      </c>
      <c r="N7" s="118">
        <v>6.59</v>
      </c>
      <c r="O7" s="118">
        <f t="shared" si="2"/>
        <v>6.59</v>
      </c>
      <c r="P7" s="118">
        <f t="shared" si="3"/>
        <v>0.019</v>
      </c>
      <c r="V7" s="145">
        <f t="shared" si="4"/>
        <v>1</v>
      </c>
      <c r="W7" s="145"/>
      <c r="X7" s="145">
        <f t="shared" si="5"/>
        <v>100</v>
      </c>
      <c r="Y7" s="145"/>
      <c r="Z7" s="153"/>
      <c r="AA7" s="153"/>
      <c r="AB7" s="153"/>
      <c r="AC7" s="153"/>
    </row>
    <row r="8" ht="18" customHeight="1" spans="1:29">
      <c r="A8" s="109" t="s">
        <v>28</v>
      </c>
      <c r="B8" s="110" t="s">
        <v>57</v>
      </c>
      <c r="C8" s="109" t="s">
        <v>58</v>
      </c>
      <c r="D8" s="109" t="s">
        <v>59</v>
      </c>
      <c r="E8" s="114" t="s">
        <v>60</v>
      </c>
      <c r="F8" s="109" t="s">
        <v>61</v>
      </c>
      <c r="G8" s="109">
        <v>120</v>
      </c>
      <c r="H8" s="109">
        <v>10</v>
      </c>
      <c r="I8" s="109">
        <f t="shared" si="1"/>
        <v>120</v>
      </c>
      <c r="J8" s="118">
        <v>10</v>
      </c>
      <c r="K8" s="131">
        <f t="shared" si="0"/>
        <v>12</v>
      </c>
      <c r="L8" s="109" t="s">
        <v>62</v>
      </c>
      <c r="M8" s="109">
        <f>45*31*45/1000000</f>
        <v>0.062775</v>
      </c>
      <c r="N8" s="118">
        <v>9</v>
      </c>
      <c r="O8" s="118">
        <f t="shared" si="2"/>
        <v>108</v>
      </c>
      <c r="P8" s="118">
        <f t="shared" si="3"/>
        <v>0.7533</v>
      </c>
      <c r="V8" s="145">
        <f t="shared" si="4"/>
        <v>12</v>
      </c>
      <c r="W8" s="145"/>
      <c r="X8" s="145">
        <f t="shared" si="5"/>
        <v>120</v>
      </c>
      <c r="Y8" s="145"/>
      <c r="Z8" s="153"/>
      <c r="AA8" s="153">
        <v>120</v>
      </c>
      <c r="AB8" s="153"/>
      <c r="AC8" s="153"/>
    </row>
    <row r="9" spans="1:29">
      <c r="A9" s="109" t="s">
        <v>28</v>
      </c>
      <c r="B9" s="110"/>
      <c r="C9" s="109" t="s">
        <v>63</v>
      </c>
      <c r="D9" s="109" t="s">
        <v>64</v>
      </c>
      <c r="E9" s="109" t="s">
        <v>65</v>
      </c>
      <c r="F9" s="109" t="s">
        <v>66</v>
      </c>
      <c r="G9" s="109">
        <v>100</v>
      </c>
      <c r="H9" s="109">
        <v>20</v>
      </c>
      <c r="I9" s="109">
        <f t="shared" si="1"/>
        <v>100</v>
      </c>
      <c r="J9" s="118">
        <v>20</v>
      </c>
      <c r="K9" s="131">
        <f t="shared" si="0"/>
        <v>5</v>
      </c>
      <c r="L9" s="109" t="s">
        <v>67</v>
      </c>
      <c r="M9" s="109">
        <v>0.128</v>
      </c>
      <c r="N9" s="118">
        <v>14.6</v>
      </c>
      <c r="O9" s="118">
        <f t="shared" si="2"/>
        <v>73</v>
      </c>
      <c r="P9" s="118">
        <f t="shared" si="3"/>
        <v>0.64</v>
      </c>
      <c r="V9" s="145">
        <f t="shared" si="4"/>
        <v>5</v>
      </c>
      <c r="W9" s="145"/>
      <c r="X9" s="145">
        <f t="shared" si="5"/>
        <v>100</v>
      </c>
      <c r="Y9" s="145"/>
      <c r="Z9" s="153"/>
      <c r="AA9" s="153"/>
      <c r="AB9" s="153"/>
      <c r="AC9" s="153"/>
    </row>
    <row r="10" spans="1:29">
      <c r="A10" s="109" t="s">
        <v>28</v>
      </c>
      <c r="B10" s="110"/>
      <c r="C10" s="109" t="s">
        <v>63</v>
      </c>
      <c r="D10" s="109" t="s">
        <v>68</v>
      </c>
      <c r="E10" s="109" t="s">
        <v>69</v>
      </c>
      <c r="F10" s="109" t="s">
        <v>70</v>
      </c>
      <c r="G10" s="109">
        <v>120</v>
      </c>
      <c r="H10" s="109">
        <v>12</v>
      </c>
      <c r="I10" s="109">
        <f t="shared" si="1"/>
        <v>120</v>
      </c>
      <c r="J10" s="118">
        <v>12</v>
      </c>
      <c r="K10" s="131">
        <f t="shared" si="0"/>
        <v>10</v>
      </c>
      <c r="L10" s="109" t="s">
        <v>71</v>
      </c>
      <c r="M10" s="109">
        <v>0.1512</v>
      </c>
      <c r="N10" s="118">
        <v>13.08</v>
      </c>
      <c r="O10" s="118">
        <f t="shared" si="2"/>
        <v>130.8</v>
      </c>
      <c r="P10" s="118">
        <f t="shared" si="3"/>
        <v>1.512</v>
      </c>
      <c r="V10" s="145">
        <f t="shared" si="4"/>
        <v>10</v>
      </c>
      <c r="W10" s="145"/>
      <c r="X10" s="145">
        <f t="shared" si="5"/>
        <v>120</v>
      </c>
      <c r="Y10" s="145"/>
      <c r="Z10" s="153"/>
      <c r="AA10" s="153"/>
      <c r="AB10" s="153"/>
      <c r="AC10" s="153"/>
    </row>
    <row r="11" s="104" customFormat="1" ht="13.5" spans="1:29">
      <c r="A11" s="109" t="s">
        <v>28</v>
      </c>
      <c r="B11" s="115" t="s">
        <v>57</v>
      </c>
      <c r="C11" s="116" t="s">
        <v>72</v>
      </c>
      <c r="D11" s="116" t="s">
        <v>73</v>
      </c>
      <c r="E11" s="116" t="s">
        <v>74</v>
      </c>
      <c r="F11" s="116" t="s">
        <v>75</v>
      </c>
      <c r="G11" s="117">
        <v>235</v>
      </c>
      <c r="H11" s="116">
        <v>30</v>
      </c>
      <c r="I11" s="133">
        <f t="shared" si="1"/>
        <v>235</v>
      </c>
      <c r="J11" s="132">
        <v>30</v>
      </c>
      <c r="K11" s="131">
        <v>8</v>
      </c>
      <c r="L11" s="116" t="s">
        <v>76</v>
      </c>
      <c r="M11" s="116">
        <f>44.4*37.6*38.4/1000000</f>
        <v>0.064106496</v>
      </c>
      <c r="N11" s="132">
        <f>0.42*30</f>
        <v>12.6</v>
      </c>
      <c r="O11" s="132">
        <f>0.42*5</f>
        <v>2.1</v>
      </c>
      <c r="P11" s="132">
        <f>M11*1</f>
        <v>0.064106496</v>
      </c>
      <c r="V11" s="145">
        <f t="shared" si="4"/>
        <v>8</v>
      </c>
      <c r="W11" s="145"/>
      <c r="X11" s="145">
        <f t="shared" si="5"/>
        <v>235</v>
      </c>
      <c r="Y11" s="145"/>
      <c r="Z11" s="154"/>
      <c r="AA11" s="154"/>
      <c r="AB11" s="154"/>
      <c r="AC11" s="154"/>
    </row>
    <row r="12" spans="1:29">
      <c r="A12" s="109" t="s">
        <v>28</v>
      </c>
      <c r="B12" s="110"/>
      <c r="C12" s="109" t="s">
        <v>77</v>
      </c>
      <c r="D12" s="109" t="s">
        <v>78</v>
      </c>
      <c r="E12" s="109" t="s">
        <v>79</v>
      </c>
      <c r="F12" s="109" t="s">
        <v>80</v>
      </c>
      <c r="G12" s="118">
        <v>150</v>
      </c>
      <c r="H12" s="109">
        <v>30</v>
      </c>
      <c r="I12" s="121">
        <f t="shared" si="1"/>
        <v>150</v>
      </c>
      <c r="J12" s="118">
        <v>30</v>
      </c>
      <c r="K12" s="131">
        <f t="shared" ref="K12:K35" si="6">G12/H12</f>
        <v>5</v>
      </c>
      <c r="L12" s="118" t="s">
        <v>81</v>
      </c>
      <c r="M12" s="118">
        <v>0.011564</v>
      </c>
      <c r="N12" s="118">
        <v>10.5</v>
      </c>
      <c r="O12" s="118">
        <f t="shared" ref="O12:O35" si="7">N12*K12</f>
        <v>52.5</v>
      </c>
      <c r="P12" s="118">
        <f t="shared" ref="P12:P35" si="8">M12*K12</f>
        <v>0.05782</v>
      </c>
      <c r="V12" s="145">
        <f t="shared" si="4"/>
        <v>5</v>
      </c>
      <c r="W12" s="145"/>
      <c r="X12" s="145">
        <f t="shared" si="5"/>
        <v>150</v>
      </c>
      <c r="Y12" s="145"/>
      <c r="Z12" s="153"/>
      <c r="AA12" s="153"/>
      <c r="AB12" s="153"/>
      <c r="AC12" s="153"/>
    </row>
    <row r="13" spans="1:29">
      <c r="A13" s="109" t="s">
        <v>28</v>
      </c>
      <c r="B13" s="110"/>
      <c r="C13" s="109" t="s">
        <v>77</v>
      </c>
      <c r="D13" s="110" t="s">
        <v>82</v>
      </c>
      <c r="E13" s="109" t="s">
        <v>83</v>
      </c>
      <c r="F13" s="110" t="s">
        <v>84</v>
      </c>
      <c r="G13" s="118">
        <v>150</v>
      </c>
      <c r="H13" s="109">
        <v>30</v>
      </c>
      <c r="I13" s="121">
        <f t="shared" si="1"/>
        <v>150</v>
      </c>
      <c r="J13" s="118">
        <v>30</v>
      </c>
      <c r="K13" s="131">
        <f t="shared" si="6"/>
        <v>5</v>
      </c>
      <c r="L13" s="118" t="s">
        <v>81</v>
      </c>
      <c r="M13" s="118">
        <v>0.011564</v>
      </c>
      <c r="N13" s="118">
        <v>10.5</v>
      </c>
      <c r="O13" s="118">
        <f t="shared" si="7"/>
        <v>52.5</v>
      </c>
      <c r="P13" s="118">
        <f t="shared" si="8"/>
        <v>0.05782</v>
      </c>
      <c r="V13" s="145">
        <f t="shared" si="4"/>
        <v>5</v>
      </c>
      <c r="W13" s="145"/>
      <c r="X13" s="145">
        <f t="shared" si="5"/>
        <v>150</v>
      </c>
      <c r="Y13" s="145"/>
      <c r="Z13" s="153"/>
      <c r="AA13" s="153"/>
      <c r="AB13" s="153"/>
      <c r="AC13" s="153"/>
    </row>
    <row r="14" spans="1:29">
      <c r="A14" s="109" t="s">
        <v>28</v>
      </c>
      <c r="B14" s="110"/>
      <c r="C14" s="109" t="s">
        <v>77</v>
      </c>
      <c r="D14" s="110" t="s">
        <v>85</v>
      </c>
      <c r="E14" s="109" t="s">
        <v>86</v>
      </c>
      <c r="F14" s="109" t="s">
        <v>87</v>
      </c>
      <c r="G14" s="118">
        <v>150</v>
      </c>
      <c r="H14" s="109">
        <v>30</v>
      </c>
      <c r="I14" s="118">
        <f t="shared" si="1"/>
        <v>150</v>
      </c>
      <c r="J14" s="118">
        <v>30</v>
      </c>
      <c r="K14" s="131">
        <f t="shared" si="6"/>
        <v>5</v>
      </c>
      <c r="L14" s="118" t="s">
        <v>81</v>
      </c>
      <c r="M14" s="118">
        <v>0.011564</v>
      </c>
      <c r="N14" s="118">
        <v>10.5</v>
      </c>
      <c r="O14" s="118">
        <f t="shared" si="7"/>
        <v>52.5</v>
      </c>
      <c r="P14" s="118">
        <f t="shared" si="8"/>
        <v>0.05782</v>
      </c>
      <c r="V14" s="145">
        <f t="shared" si="4"/>
        <v>5</v>
      </c>
      <c r="W14" s="145"/>
      <c r="X14" s="145">
        <f t="shared" si="5"/>
        <v>150</v>
      </c>
      <c r="Y14" s="145"/>
      <c r="Z14" s="153"/>
      <c r="AA14" s="153"/>
      <c r="AB14" s="153"/>
      <c r="AC14" s="153"/>
    </row>
    <row r="15" spans="1:29">
      <c r="A15" s="109" t="s">
        <v>28</v>
      </c>
      <c r="B15" s="110"/>
      <c r="C15" s="109" t="s">
        <v>77</v>
      </c>
      <c r="D15" s="110" t="s">
        <v>88</v>
      </c>
      <c r="E15" s="109" t="s">
        <v>89</v>
      </c>
      <c r="F15" s="109" t="s">
        <v>90</v>
      </c>
      <c r="G15" s="118">
        <v>150</v>
      </c>
      <c r="H15" s="109">
        <v>30</v>
      </c>
      <c r="I15" s="118">
        <f t="shared" si="1"/>
        <v>150</v>
      </c>
      <c r="J15" s="118">
        <v>30</v>
      </c>
      <c r="K15" s="131">
        <f t="shared" si="6"/>
        <v>5</v>
      </c>
      <c r="L15" s="118" t="s">
        <v>81</v>
      </c>
      <c r="M15" s="118">
        <v>0.011564</v>
      </c>
      <c r="N15" s="118">
        <v>10.5</v>
      </c>
      <c r="O15" s="118">
        <f t="shared" si="7"/>
        <v>52.5</v>
      </c>
      <c r="P15" s="118">
        <f t="shared" si="8"/>
        <v>0.05782</v>
      </c>
      <c r="V15" s="145">
        <f t="shared" si="4"/>
        <v>5</v>
      </c>
      <c r="W15" s="145"/>
      <c r="X15" s="145">
        <f t="shared" si="5"/>
        <v>150</v>
      </c>
      <c r="Y15" s="145"/>
      <c r="Z15" s="153"/>
      <c r="AA15" s="153"/>
      <c r="AB15" s="153"/>
      <c r="AC15" s="153"/>
    </row>
    <row r="16" spans="1:29">
      <c r="A16" s="109" t="s">
        <v>28</v>
      </c>
      <c r="B16" s="110"/>
      <c r="C16" s="109" t="s">
        <v>77</v>
      </c>
      <c r="D16" s="110" t="s">
        <v>91</v>
      </c>
      <c r="E16" s="109" t="s">
        <v>92</v>
      </c>
      <c r="F16" s="109" t="s">
        <v>93</v>
      </c>
      <c r="G16" s="118">
        <v>150</v>
      </c>
      <c r="H16" s="109">
        <v>30</v>
      </c>
      <c r="I16" s="118">
        <f t="shared" si="1"/>
        <v>150</v>
      </c>
      <c r="J16" s="118">
        <v>30</v>
      </c>
      <c r="K16" s="131">
        <f t="shared" si="6"/>
        <v>5</v>
      </c>
      <c r="L16" s="118" t="s">
        <v>81</v>
      </c>
      <c r="M16" s="118">
        <v>0.011564</v>
      </c>
      <c r="N16" s="118">
        <v>10.5</v>
      </c>
      <c r="O16" s="118">
        <f t="shared" si="7"/>
        <v>52.5</v>
      </c>
      <c r="P16" s="118">
        <f t="shared" si="8"/>
        <v>0.05782</v>
      </c>
      <c r="V16" s="145">
        <f t="shared" si="4"/>
        <v>5</v>
      </c>
      <c r="W16" s="145"/>
      <c r="X16" s="145">
        <f t="shared" si="5"/>
        <v>150</v>
      </c>
      <c r="Y16" s="145"/>
      <c r="Z16" s="153"/>
      <c r="AA16" s="153"/>
      <c r="AB16" s="153"/>
      <c r="AC16" s="153"/>
    </row>
    <row r="17" s="104" customFormat="1" ht="13.5" spans="1:29">
      <c r="A17" s="109" t="s">
        <v>28</v>
      </c>
      <c r="B17" s="115"/>
      <c r="C17" s="116" t="s">
        <v>94</v>
      </c>
      <c r="D17" s="116" t="s">
        <v>95</v>
      </c>
      <c r="E17" s="116" t="s">
        <v>96</v>
      </c>
      <c r="F17" s="116" t="s">
        <v>97</v>
      </c>
      <c r="G17" s="116">
        <v>60</v>
      </c>
      <c r="H17" s="116">
        <v>6</v>
      </c>
      <c r="I17" s="116">
        <f t="shared" si="1"/>
        <v>60</v>
      </c>
      <c r="J17" s="132">
        <f>H17</f>
        <v>6</v>
      </c>
      <c r="K17" s="134">
        <f t="shared" si="6"/>
        <v>10</v>
      </c>
      <c r="L17" s="116" t="s">
        <v>98</v>
      </c>
      <c r="M17" s="116">
        <v>0.0245</v>
      </c>
      <c r="N17" s="132">
        <v>6.09</v>
      </c>
      <c r="O17" s="132">
        <f t="shared" si="7"/>
        <v>60.9</v>
      </c>
      <c r="P17" s="132">
        <f t="shared" si="8"/>
        <v>0.245</v>
      </c>
      <c r="V17" s="145">
        <f t="shared" si="4"/>
        <v>10</v>
      </c>
      <c r="W17" s="145"/>
      <c r="X17" s="145">
        <f t="shared" si="5"/>
        <v>60</v>
      </c>
      <c r="Y17" s="145"/>
      <c r="Z17" s="154"/>
      <c r="AA17" s="154"/>
      <c r="AB17" s="154"/>
      <c r="AC17" s="154"/>
    </row>
    <row r="18" s="104" customFormat="1" ht="13.5" spans="1:29">
      <c r="A18" s="109" t="s">
        <v>28</v>
      </c>
      <c r="B18" s="115"/>
      <c r="C18" s="116" t="s">
        <v>99</v>
      </c>
      <c r="D18" s="116" t="s">
        <v>100</v>
      </c>
      <c r="E18" s="116" t="s">
        <v>101</v>
      </c>
      <c r="F18" s="116" t="s">
        <v>102</v>
      </c>
      <c r="G18" s="116">
        <v>60</v>
      </c>
      <c r="H18" s="116">
        <v>6</v>
      </c>
      <c r="I18" s="116">
        <f t="shared" si="1"/>
        <v>60</v>
      </c>
      <c r="J18" s="132">
        <f>H18</f>
        <v>6</v>
      </c>
      <c r="K18" s="134">
        <f t="shared" si="6"/>
        <v>10</v>
      </c>
      <c r="L18" s="116" t="s">
        <v>98</v>
      </c>
      <c r="M18" s="116">
        <v>0.0245</v>
      </c>
      <c r="N18" s="132">
        <v>6.09</v>
      </c>
      <c r="O18" s="132">
        <f t="shared" si="7"/>
        <v>60.9</v>
      </c>
      <c r="P18" s="132">
        <f t="shared" si="8"/>
        <v>0.245</v>
      </c>
      <c r="V18" s="145">
        <f t="shared" si="4"/>
        <v>10</v>
      </c>
      <c r="W18" s="145"/>
      <c r="X18" s="145">
        <f t="shared" si="5"/>
        <v>60</v>
      </c>
      <c r="Y18" s="145"/>
      <c r="Z18" s="154"/>
      <c r="AA18" s="154"/>
      <c r="AB18" s="154"/>
      <c r="AC18" s="154"/>
    </row>
    <row r="19" s="104" customFormat="1" ht="13.5" spans="1:29">
      <c r="A19" s="109" t="s">
        <v>28</v>
      </c>
      <c r="B19" s="115"/>
      <c r="C19" s="116" t="s">
        <v>103</v>
      </c>
      <c r="D19" s="116" t="s">
        <v>104</v>
      </c>
      <c r="E19" s="116" t="s">
        <v>105</v>
      </c>
      <c r="F19" s="116" t="s">
        <v>106</v>
      </c>
      <c r="G19" s="116">
        <v>110</v>
      </c>
      <c r="H19" s="116">
        <v>55</v>
      </c>
      <c r="I19" s="116">
        <f t="shared" si="1"/>
        <v>110</v>
      </c>
      <c r="J19" s="132">
        <f>H19</f>
        <v>55</v>
      </c>
      <c r="K19" s="134">
        <f t="shared" si="6"/>
        <v>2</v>
      </c>
      <c r="L19" s="116" t="s">
        <v>107</v>
      </c>
      <c r="M19" s="116">
        <v>0.04</v>
      </c>
      <c r="N19" s="132">
        <v>10.5</v>
      </c>
      <c r="O19" s="132">
        <f t="shared" si="7"/>
        <v>21</v>
      </c>
      <c r="P19" s="132">
        <f t="shared" si="8"/>
        <v>0.08</v>
      </c>
      <c r="V19" s="145">
        <f t="shared" si="4"/>
        <v>2</v>
      </c>
      <c r="W19" s="146"/>
      <c r="X19" s="146"/>
      <c r="Y19" s="146"/>
      <c r="Z19" s="146"/>
      <c r="AA19" s="146"/>
      <c r="AB19" s="146">
        <f>G19</f>
        <v>110</v>
      </c>
      <c r="AC19" s="146"/>
    </row>
    <row r="20" s="104" customFormat="1" ht="13.5" spans="1:29">
      <c r="A20" s="109" t="s">
        <v>28</v>
      </c>
      <c r="B20" s="115"/>
      <c r="C20" s="116" t="s">
        <v>108</v>
      </c>
      <c r="D20" s="116" t="s">
        <v>109</v>
      </c>
      <c r="E20" s="116" t="s">
        <v>110</v>
      </c>
      <c r="F20" s="116" t="s">
        <v>111</v>
      </c>
      <c r="G20" s="116">
        <v>48</v>
      </c>
      <c r="H20" s="116">
        <v>24</v>
      </c>
      <c r="I20" s="116">
        <f t="shared" si="1"/>
        <v>48</v>
      </c>
      <c r="J20" s="132">
        <f>H20</f>
        <v>24</v>
      </c>
      <c r="K20" s="134">
        <f t="shared" si="6"/>
        <v>2</v>
      </c>
      <c r="L20" s="116" t="s">
        <v>112</v>
      </c>
      <c r="M20" s="116">
        <v>0.08</v>
      </c>
      <c r="N20" s="132">
        <v>8</v>
      </c>
      <c r="O20" s="132">
        <f t="shared" si="7"/>
        <v>16</v>
      </c>
      <c r="P20" s="132">
        <f t="shared" si="8"/>
        <v>0.16</v>
      </c>
      <c r="V20" s="145">
        <f t="shared" si="4"/>
        <v>2</v>
      </c>
      <c r="W20" s="146"/>
      <c r="X20" s="146"/>
      <c r="Y20" s="146"/>
      <c r="Z20" s="146"/>
      <c r="AA20" s="146"/>
      <c r="AB20" s="146"/>
      <c r="AC20" s="146">
        <v>48</v>
      </c>
    </row>
    <row r="21" s="104" customFormat="1" ht="13.5" spans="1:29">
      <c r="A21" s="109" t="s">
        <v>28</v>
      </c>
      <c r="B21" s="115"/>
      <c r="C21" s="116" t="s">
        <v>113</v>
      </c>
      <c r="D21" s="116" t="s">
        <v>114</v>
      </c>
      <c r="E21" s="116" t="s">
        <v>115</v>
      </c>
      <c r="F21" s="119" t="s">
        <v>116</v>
      </c>
      <c r="G21" s="116">
        <v>50</v>
      </c>
      <c r="H21" s="116">
        <v>10</v>
      </c>
      <c r="I21" s="116">
        <f t="shared" si="1"/>
        <v>50</v>
      </c>
      <c r="J21" s="132">
        <v>10</v>
      </c>
      <c r="K21" s="134">
        <f t="shared" si="6"/>
        <v>5</v>
      </c>
      <c r="L21" s="116" t="s">
        <v>117</v>
      </c>
      <c r="M21" s="116">
        <v>0.033</v>
      </c>
      <c r="N21" s="132">
        <v>9.6</v>
      </c>
      <c r="O21" s="132">
        <f t="shared" si="7"/>
        <v>48</v>
      </c>
      <c r="P21" s="132">
        <f t="shared" si="8"/>
        <v>0.165</v>
      </c>
      <c r="Q21" s="147"/>
      <c r="V21" s="145">
        <f t="shared" si="4"/>
        <v>5</v>
      </c>
      <c r="W21" s="146"/>
      <c r="X21" s="146">
        <f>G21</f>
        <v>50</v>
      </c>
      <c r="Y21" s="146"/>
      <c r="Z21" s="146"/>
      <c r="AA21" s="146"/>
      <c r="AB21" s="146"/>
      <c r="AC21" s="146"/>
    </row>
    <row r="22" s="104" customFormat="1" ht="13.5" spans="1:29">
      <c r="A22" s="109" t="s">
        <v>28</v>
      </c>
      <c r="B22" s="115"/>
      <c r="C22" s="116" t="s">
        <v>118</v>
      </c>
      <c r="D22" s="116" t="s">
        <v>119</v>
      </c>
      <c r="E22" s="116" t="s">
        <v>120</v>
      </c>
      <c r="F22" s="116" t="s">
        <v>121</v>
      </c>
      <c r="G22" s="116">
        <v>80</v>
      </c>
      <c r="H22" s="116">
        <v>40</v>
      </c>
      <c r="I22" s="116">
        <f t="shared" si="1"/>
        <v>80</v>
      </c>
      <c r="J22" s="132">
        <f t="shared" si="1"/>
        <v>40</v>
      </c>
      <c r="K22" s="134">
        <f t="shared" si="6"/>
        <v>2</v>
      </c>
      <c r="L22" s="116" t="s">
        <v>122</v>
      </c>
      <c r="M22" s="116">
        <v>0.036</v>
      </c>
      <c r="N22" s="132">
        <v>2.5</v>
      </c>
      <c r="O22" s="132">
        <f t="shared" si="7"/>
        <v>5</v>
      </c>
      <c r="P22" s="132">
        <f t="shared" si="8"/>
        <v>0.072</v>
      </c>
      <c r="V22" s="145">
        <f t="shared" si="4"/>
        <v>2</v>
      </c>
      <c r="W22" s="146"/>
      <c r="X22" s="146">
        <f>G22</f>
        <v>80</v>
      </c>
      <c r="Y22" s="146"/>
      <c r="Z22" s="146"/>
      <c r="AA22" s="146"/>
      <c r="AB22" s="146"/>
      <c r="AC22" s="146"/>
    </row>
    <row r="23" s="104" customFormat="1" ht="13.5" spans="1:29">
      <c r="A23" s="109" t="s">
        <v>28</v>
      </c>
      <c r="B23" s="115"/>
      <c r="C23" s="116" t="s">
        <v>123</v>
      </c>
      <c r="D23" s="116" t="s">
        <v>124</v>
      </c>
      <c r="E23" s="116" t="s">
        <v>125</v>
      </c>
      <c r="F23" s="116" t="s">
        <v>126</v>
      </c>
      <c r="G23" s="116">
        <v>60</v>
      </c>
      <c r="H23" s="116">
        <v>60</v>
      </c>
      <c r="I23" s="116">
        <f t="shared" ref="I23:J35" si="9">G23</f>
        <v>60</v>
      </c>
      <c r="J23" s="132">
        <f t="shared" si="9"/>
        <v>60</v>
      </c>
      <c r="K23" s="134">
        <f t="shared" si="6"/>
        <v>1</v>
      </c>
      <c r="L23" s="116" t="s">
        <v>127</v>
      </c>
      <c r="M23" s="116">
        <v>0.08</v>
      </c>
      <c r="N23" s="132">
        <v>6.6</v>
      </c>
      <c r="O23" s="132">
        <f t="shared" si="7"/>
        <v>6.6</v>
      </c>
      <c r="P23" s="132">
        <f t="shared" si="8"/>
        <v>0.08</v>
      </c>
      <c r="V23" s="145">
        <f t="shared" si="4"/>
        <v>1</v>
      </c>
      <c r="W23" s="146"/>
      <c r="X23" s="146">
        <f>G23</f>
        <v>60</v>
      </c>
      <c r="Y23" s="146"/>
      <c r="Z23" s="146"/>
      <c r="AA23" s="146"/>
      <c r="AB23" s="146"/>
      <c r="AC23" s="146"/>
    </row>
    <row r="24" s="104" customFormat="1" ht="13.5" spans="1:29">
      <c r="A24" s="109" t="s">
        <v>28</v>
      </c>
      <c r="B24" s="115"/>
      <c r="C24" s="116" t="s">
        <v>128</v>
      </c>
      <c r="D24" s="116" t="s">
        <v>129</v>
      </c>
      <c r="E24" s="116" t="s">
        <v>130</v>
      </c>
      <c r="F24" s="116" t="s">
        <v>131</v>
      </c>
      <c r="G24" s="116">
        <v>60</v>
      </c>
      <c r="H24" s="116">
        <v>20</v>
      </c>
      <c r="I24" s="116">
        <f t="shared" si="9"/>
        <v>60</v>
      </c>
      <c r="J24" s="132">
        <f t="shared" si="9"/>
        <v>20</v>
      </c>
      <c r="K24" s="134">
        <f t="shared" si="6"/>
        <v>3</v>
      </c>
      <c r="L24" s="116" t="s">
        <v>132</v>
      </c>
      <c r="M24" s="116">
        <v>0.068</v>
      </c>
      <c r="N24" s="132">
        <v>3.2</v>
      </c>
      <c r="O24" s="132">
        <f t="shared" si="7"/>
        <v>9.6</v>
      </c>
      <c r="P24" s="132">
        <f t="shared" si="8"/>
        <v>0.204</v>
      </c>
      <c r="V24" s="145">
        <f t="shared" si="4"/>
        <v>3</v>
      </c>
      <c r="W24" s="146"/>
      <c r="X24" s="146">
        <f>G24</f>
        <v>60</v>
      </c>
      <c r="Y24" s="146"/>
      <c r="Z24" s="146"/>
      <c r="AA24" s="146"/>
      <c r="AB24" s="146"/>
      <c r="AC24" s="146"/>
    </row>
    <row r="25" s="104" customFormat="1" ht="13.5" spans="1:29">
      <c r="A25" s="109" t="s">
        <v>28</v>
      </c>
      <c r="B25" s="115"/>
      <c r="C25" s="116" t="s">
        <v>133</v>
      </c>
      <c r="D25" s="116" t="s">
        <v>134</v>
      </c>
      <c r="E25" s="116" t="s">
        <v>135</v>
      </c>
      <c r="F25" s="116" t="s">
        <v>136</v>
      </c>
      <c r="G25" s="116">
        <v>60</v>
      </c>
      <c r="H25" s="116">
        <v>20</v>
      </c>
      <c r="I25" s="116">
        <f t="shared" si="9"/>
        <v>60</v>
      </c>
      <c r="J25" s="132">
        <f t="shared" si="9"/>
        <v>20</v>
      </c>
      <c r="K25" s="134">
        <f t="shared" si="6"/>
        <v>3</v>
      </c>
      <c r="L25" s="116" t="s">
        <v>137</v>
      </c>
      <c r="M25" s="116">
        <v>0.035</v>
      </c>
      <c r="N25" s="132">
        <v>2.6</v>
      </c>
      <c r="O25" s="132">
        <f t="shared" si="7"/>
        <v>7.8</v>
      </c>
      <c r="P25" s="132">
        <f t="shared" si="8"/>
        <v>0.105</v>
      </c>
      <c r="V25" s="145">
        <f t="shared" si="4"/>
        <v>3</v>
      </c>
      <c r="W25" s="146"/>
      <c r="X25" s="146">
        <f>G25</f>
        <v>60</v>
      </c>
      <c r="Y25" s="146"/>
      <c r="Z25" s="146"/>
      <c r="AA25" s="146"/>
      <c r="AB25" s="146"/>
      <c r="AC25" s="146"/>
    </row>
    <row r="26" spans="1:29">
      <c r="A26" s="109" t="s">
        <v>28</v>
      </c>
      <c r="B26" s="110"/>
      <c r="C26" s="109" t="s">
        <v>138</v>
      </c>
      <c r="D26" s="109" t="s">
        <v>139</v>
      </c>
      <c r="E26" s="109" t="s">
        <v>140</v>
      </c>
      <c r="F26" s="120" t="s">
        <v>141</v>
      </c>
      <c r="G26" s="121">
        <v>8</v>
      </c>
      <c r="H26" s="122">
        <v>1</v>
      </c>
      <c r="I26" s="109">
        <f t="shared" si="9"/>
        <v>8</v>
      </c>
      <c r="J26" s="122">
        <v>1</v>
      </c>
      <c r="K26" s="131">
        <f t="shared" si="6"/>
        <v>8</v>
      </c>
      <c r="L26" s="109" t="s">
        <v>142</v>
      </c>
      <c r="M26" s="135">
        <v>0.178</v>
      </c>
      <c r="N26" s="136">
        <v>8.6</v>
      </c>
      <c r="O26" s="118">
        <f t="shared" si="7"/>
        <v>68.8</v>
      </c>
      <c r="P26" s="118">
        <f t="shared" si="8"/>
        <v>1.424</v>
      </c>
      <c r="V26" s="145">
        <f t="shared" si="4"/>
        <v>8</v>
      </c>
      <c r="W26" s="145">
        <f>G26</f>
        <v>8</v>
      </c>
      <c r="X26" s="145"/>
      <c r="Y26" s="145"/>
      <c r="Z26" s="145"/>
      <c r="AA26" s="145">
        <f t="shared" ref="AA26:AA35" si="10">G26</f>
        <v>8</v>
      </c>
      <c r="AB26" s="145"/>
      <c r="AC26" s="145"/>
    </row>
    <row r="27" spans="1:29">
      <c r="A27" s="109" t="s">
        <v>28</v>
      </c>
      <c r="B27" s="110"/>
      <c r="C27" s="109" t="s">
        <v>138</v>
      </c>
      <c r="D27" s="109" t="s">
        <v>143</v>
      </c>
      <c r="E27" s="109" t="s">
        <v>144</v>
      </c>
      <c r="F27" s="120" t="s">
        <v>145</v>
      </c>
      <c r="G27" s="121">
        <v>5</v>
      </c>
      <c r="H27" s="122">
        <v>1</v>
      </c>
      <c r="I27" s="109">
        <f t="shared" si="9"/>
        <v>5</v>
      </c>
      <c r="J27" s="122">
        <v>1</v>
      </c>
      <c r="K27" s="131">
        <f t="shared" si="6"/>
        <v>5</v>
      </c>
      <c r="L27" s="109" t="s">
        <v>142</v>
      </c>
      <c r="M27" s="135">
        <v>0.178</v>
      </c>
      <c r="N27" s="136">
        <v>8.6</v>
      </c>
      <c r="O27" s="118">
        <f t="shared" si="7"/>
        <v>43</v>
      </c>
      <c r="P27" s="118">
        <f t="shared" si="8"/>
        <v>0.89</v>
      </c>
      <c r="V27" s="145">
        <f t="shared" si="4"/>
        <v>5</v>
      </c>
      <c r="W27" s="145">
        <f>G27</f>
        <v>5</v>
      </c>
      <c r="X27" s="145"/>
      <c r="Y27" s="145"/>
      <c r="Z27" s="145"/>
      <c r="AA27" s="145">
        <f t="shared" si="10"/>
        <v>5</v>
      </c>
      <c r="AB27" s="145"/>
      <c r="AC27" s="145"/>
    </row>
    <row r="28" spans="1:29">
      <c r="A28" s="109" t="s">
        <v>28</v>
      </c>
      <c r="B28" s="110"/>
      <c r="C28" s="109" t="s">
        <v>138</v>
      </c>
      <c r="D28" s="109" t="s">
        <v>146</v>
      </c>
      <c r="E28" s="109" t="s">
        <v>147</v>
      </c>
      <c r="F28" s="120" t="s">
        <v>148</v>
      </c>
      <c r="G28" s="121">
        <v>5</v>
      </c>
      <c r="H28" s="122">
        <v>1</v>
      </c>
      <c r="I28" s="109">
        <f t="shared" si="9"/>
        <v>5</v>
      </c>
      <c r="J28" s="122">
        <v>1</v>
      </c>
      <c r="K28" s="131">
        <f t="shared" si="6"/>
        <v>5</v>
      </c>
      <c r="L28" s="109" t="s">
        <v>142</v>
      </c>
      <c r="M28" s="135">
        <v>0.178</v>
      </c>
      <c r="N28" s="136">
        <v>7.7</v>
      </c>
      <c r="O28" s="118">
        <f t="shared" si="7"/>
        <v>38.5</v>
      </c>
      <c r="P28" s="118">
        <f t="shared" si="8"/>
        <v>0.89</v>
      </c>
      <c r="V28" s="145">
        <f t="shared" si="4"/>
        <v>5</v>
      </c>
      <c r="W28" s="145">
        <f>G28</f>
        <v>5</v>
      </c>
      <c r="X28" s="145"/>
      <c r="Y28" s="145"/>
      <c r="Z28" s="145"/>
      <c r="AA28" s="145">
        <f t="shared" si="10"/>
        <v>5</v>
      </c>
      <c r="AB28" s="145"/>
      <c r="AC28" s="145"/>
    </row>
    <row r="29" spans="1:29">
      <c r="A29" s="109" t="s">
        <v>28</v>
      </c>
      <c r="B29" s="110"/>
      <c r="C29" s="109" t="s">
        <v>149</v>
      </c>
      <c r="D29" s="109" t="s">
        <v>150</v>
      </c>
      <c r="E29" s="109" t="s">
        <v>151</v>
      </c>
      <c r="F29" s="120" t="s">
        <v>152</v>
      </c>
      <c r="G29" s="121">
        <v>12</v>
      </c>
      <c r="H29" s="122">
        <v>6</v>
      </c>
      <c r="I29" s="109">
        <f t="shared" si="9"/>
        <v>12</v>
      </c>
      <c r="J29" s="122">
        <v>6</v>
      </c>
      <c r="K29" s="131">
        <f t="shared" si="6"/>
        <v>2</v>
      </c>
      <c r="L29" s="109" t="s">
        <v>153</v>
      </c>
      <c r="M29" s="135">
        <v>0.245784</v>
      </c>
      <c r="N29" s="136">
        <v>22.7</v>
      </c>
      <c r="O29" s="118">
        <f t="shared" si="7"/>
        <v>45.4</v>
      </c>
      <c r="P29" s="118">
        <f t="shared" si="8"/>
        <v>0.491568</v>
      </c>
      <c r="V29" s="145">
        <f t="shared" si="4"/>
        <v>2</v>
      </c>
      <c r="W29" s="145"/>
      <c r="X29" s="145"/>
      <c r="Y29" s="145">
        <f t="shared" ref="Y29:Y35" si="11">G29</f>
        <v>12</v>
      </c>
      <c r="Z29" s="145"/>
      <c r="AA29" s="145">
        <f t="shared" si="10"/>
        <v>12</v>
      </c>
      <c r="AB29" s="145"/>
      <c r="AC29" s="145"/>
    </row>
    <row r="30" spans="1:29">
      <c r="A30" s="109" t="s">
        <v>28</v>
      </c>
      <c r="B30" s="110"/>
      <c r="C30" s="109" t="s">
        <v>149</v>
      </c>
      <c r="D30" s="109" t="s">
        <v>154</v>
      </c>
      <c r="E30" s="109" t="s">
        <v>155</v>
      </c>
      <c r="F30" s="123" t="s">
        <v>156</v>
      </c>
      <c r="G30" s="121">
        <v>20</v>
      </c>
      <c r="H30" s="122">
        <v>10</v>
      </c>
      <c r="I30" s="109">
        <f t="shared" si="9"/>
        <v>20</v>
      </c>
      <c r="J30" s="122">
        <v>10</v>
      </c>
      <c r="K30" s="131">
        <f t="shared" si="6"/>
        <v>2</v>
      </c>
      <c r="L30" s="109" t="s">
        <v>157</v>
      </c>
      <c r="M30" s="135">
        <v>0.303</v>
      </c>
      <c r="N30" s="136">
        <v>22.5</v>
      </c>
      <c r="O30" s="118">
        <f t="shared" si="7"/>
        <v>45</v>
      </c>
      <c r="P30" s="118">
        <f t="shared" si="8"/>
        <v>0.606</v>
      </c>
      <c r="V30" s="145">
        <f t="shared" si="4"/>
        <v>2</v>
      </c>
      <c r="W30" s="145"/>
      <c r="X30" s="145"/>
      <c r="Y30" s="145">
        <f t="shared" si="11"/>
        <v>20</v>
      </c>
      <c r="Z30" s="145"/>
      <c r="AA30" s="145">
        <f t="shared" si="10"/>
        <v>20</v>
      </c>
      <c r="AB30" s="145"/>
      <c r="AC30" s="145"/>
    </row>
    <row r="31" s="104" customFormat="1" ht="13.5" spans="1:29">
      <c r="A31" s="109" t="s">
        <v>28</v>
      </c>
      <c r="B31" s="115"/>
      <c r="C31" s="109" t="s">
        <v>158</v>
      </c>
      <c r="D31" s="121" t="s">
        <v>159</v>
      </c>
      <c r="E31" s="121" t="s">
        <v>160</v>
      </c>
      <c r="F31" s="109" t="s">
        <v>161</v>
      </c>
      <c r="G31" s="109">
        <v>18</v>
      </c>
      <c r="H31" s="109">
        <v>6</v>
      </c>
      <c r="I31" s="121">
        <f t="shared" si="9"/>
        <v>18</v>
      </c>
      <c r="J31" s="118">
        <v>6</v>
      </c>
      <c r="K31" s="131">
        <f t="shared" si="6"/>
        <v>3</v>
      </c>
      <c r="L31" s="109" t="s">
        <v>162</v>
      </c>
      <c r="M31" s="121">
        <f>87*51*54/1000000</f>
        <v>0.239598</v>
      </c>
      <c r="N31" s="118">
        <v>16</v>
      </c>
      <c r="O31" s="118">
        <f t="shared" si="7"/>
        <v>48</v>
      </c>
      <c r="P31" s="118">
        <f t="shared" si="8"/>
        <v>0.718794</v>
      </c>
      <c r="V31" s="145">
        <f t="shared" si="4"/>
        <v>3</v>
      </c>
      <c r="W31" s="145"/>
      <c r="X31" s="145"/>
      <c r="Y31" s="145">
        <f t="shared" si="11"/>
        <v>18</v>
      </c>
      <c r="Z31" s="146"/>
      <c r="AA31" s="145">
        <f t="shared" si="10"/>
        <v>18</v>
      </c>
      <c r="AB31" s="146"/>
      <c r="AC31" s="146"/>
    </row>
    <row r="32" spans="1:29">
      <c r="A32" s="109" t="s">
        <v>28</v>
      </c>
      <c r="B32" s="110"/>
      <c r="C32" s="109" t="s">
        <v>163</v>
      </c>
      <c r="D32" s="121" t="s">
        <v>164</v>
      </c>
      <c r="E32" s="121" t="s">
        <v>165</v>
      </c>
      <c r="F32" s="109" t="s">
        <v>166</v>
      </c>
      <c r="G32" s="109">
        <v>18</v>
      </c>
      <c r="H32" s="109">
        <v>6</v>
      </c>
      <c r="I32" s="121">
        <f t="shared" si="9"/>
        <v>18</v>
      </c>
      <c r="J32" s="118">
        <v>6</v>
      </c>
      <c r="K32" s="131">
        <f t="shared" si="6"/>
        <v>3</v>
      </c>
      <c r="L32" s="109" t="s">
        <v>162</v>
      </c>
      <c r="M32" s="121">
        <f>87*51*54/1000000</f>
        <v>0.239598</v>
      </c>
      <c r="N32" s="118">
        <v>16</v>
      </c>
      <c r="O32" s="118">
        <f t="shared" si="7"/>
        <v>48</v>
      </c>
      <c r="P32" s="118">
        <f t="shared" si="8"/>
        <v>0.718794</v>
      </c>
      <c r="V32" s="145">
        <f t="shared" si="4"/>
        <v>3</v>
      </c>
      <c r="W32" s="145"/>
      <c r="X32" s="145"/>
      <c r="Y32" s="145">
        <f t="shared" si="11"/>
        <v>18</v>
      </c>
      <c r="Z32" s="145"/>
      <c r="AA32" s="145">
        <f t="shared" si="10"/>
        <v>18</v>
      </c>
      <c r="AB32" s="145"/>
      <c r="AC32" s="145"/>
    </row>
    <row r="33" spans="1:29">
      <c r="A33" s="109" t="s">
        <v>28</v>
      </c>
      <c r="B33" s="110"/>
      <c r="C33" s="109" t="s">
        <v>149</v>
      </c>
      <c r="D33" s="109" t="s">
        <v>167</v>
      </c>
      <c r="E33" s="109" t="s">
        <v>168</v>
      </c>
      <c r="F33" s="109" t="s">
        <v>169</v>
      </c>
      <c r="G33" s="109">
        <v>18</v>
      </c>
      <c r="H33" s="109">
        <v>6</v>
      </c>
      <c r="I33" s="121">
        <f t="shared" si="9"/>
        <v>18</v>
      </c>
      <c r="J33" s="118">
        <v>6</v>
      </c>
      <c r="K33" s="131">
        <f t="shared" si="6"/>
        <v>3</v>
      </c>
      <c r="L33" s="109" t="s">
        <v>170</v>
      </c>
      <c r="M33" s="109">
        <v>0.26</v>
      </c>
      <c r="N33" s="118">
        <v>16</v>
      </c>
      <c r="O33" s="118">
        <f t="shared" si="7"/>
        <v>48</v>
      </c>
      <c r="P33" s="118">
        <f t="shared" si="8"/>
        <v>0.78</v>
      </c>
      <c r="V33" s="145">
        <f t="shared" si="4"/>
        <v>3</v>
      </c>
      <c r="W33" s="145"/>
      <c r="X33" s="145"/>
      <c r="Y33" s="145">
        <f t="shared" si="11"/>
        <v>18</v>
      </c>
      <c r="Z33" s="145"/>
      <c r="AA33" s="145">
        <f t="shared" si="10"/>
        <v>18</v>
      </c>
      <c r="AB33" s="145"/>
      <c r="AC33" s="145"/>
    </row>
    <row r="34" spans="1:29">
      <c r="A34" s="109" t="s">
        <v>28</v>
      </c>
      <c r="B34" s="110"/>
      <c r="C34" s="109" t="s">
        <v>149</v>
      </c>
      <c r="D34" s="109" t="s">
        <v>171</v>
      </c>
      <c r="E34" s="109" t="s">
        <v>172</v>
      </c>
      <c r="F34" s="109" t="s">
        <v>173</v>
      </c>
      <c r="G34" s="109">
        <v>18</v>
      </c>
      <c r="H34" s="109">
        <v>6</v>
      </c>
      <c r="I34" s="121">
        <f t="shared" si="9"/>
        <v>18</v>
      </c>
      <c r="J34" s="118">
        <v>6</v>
      </c>
      <c r="K34" s="131">
        <f t="shared" si="6"/>
        <v>3</v>
      </c>
      <c r="L34" s="109" t="s">
        <v>174</v>
      </c>
      <c r="M34" s="109">
        <v>0.26</v>
      </c>
      <c r="N34" s="118">
        <v>16</v>
      </c>
      <c r="O34" s="118">
        <f t="shared" si="7"/>
        <v>48</v>
      </c>
      <c r="P34" s="118">
        <f t="shared" si="8"/>
        <v>0.78</v>
      </c>
      <c r="V34" s="145">
        <f t="shared" si="4"/>
        <v>3</v>
      </c>
      <c r="W34" s="145"/>
      <c r="X34" s="145"/>
      <c r="Y34" s="145">
        <f t="shared" si="11"/>
        <v>18</v>
      </c>
      <c r="Z34" s="145"/>
      <c r="AA34" s="145">
        <f t="shared" si="10"/>
        <v>18</v>
      </c>
      <c r="AB34" s="145"/>
      <c r="AC34" s="145"/>
    </row>
    <row r="35" spans="1:29">
      <c r="A35" s="109" t="s">
        <v>28</v>
      </c>
      <c r="B35" s="110"/>
      <c r="C35" s="109" t="s">
        <v>149</v>
      </c>
      <c r="D35" s="124" t="s">
        <v>175</v>
      </c>
      <c r="E35" s="124" t="s">
        <v>176</v>
      </c>
      <c r="F35" s="125" t="s">
        <v>177</v>
      </c>
      <c r="G35" s="125">
        <v>20</v>
      </c>
      <c r="H35" s="125">
        <v>10</v>
      </c>
      <c r="I35" s="124">
        <f t="shared" si="9"/>
        <v>20</v>
      </c>
      <c r="J35" s="137">
        <v>10</v>
      </c>
      <c r="K35" s="138">
        <f t="shared" si="6"/>
        <v>2</v>
      </c>
      <c r="L35" s="125" t="s">
        <v>178</v>
      </c>
      <c r="M35" s="124">
        <f>73*67*44/1000000</f>
        <v>0.215204</v>
      </c>
      <c r="N35" s="137">
        <v>16.5</v>
      </c>
      <c r="O35" s="137">
        <f t="shared" si="7"/>
        <v>33</v>
      </c>
      <c r="P35" s="137">
        <f t="shared" si="8"/>
        <v>0.430408</v>
      </c>
      <c r="V35" s="145">
        <f t="shared" si="4"/>
        <v>2</v>
      </c>
      <c r="W35" s="145"/>
      <c r="X35" s="145"/>
      <c r="Y35" s="145">
        <f t="shared" si="11"/>
        <v>20</v>
      </c>
      <c r="Z35" s="145"/>
      <c r="AA35" s="145">
        <f t="shared" si="10"/>
        <v>20</v>
      </c>
      <c r="AB35" s="145"/>
      <c r="AC35" s="145"/>
    </row>
    <row r="36" spans="1:29">
      <c r="A36" s="109"/>
      <c r="B36" s="110"/>
      <c r="C36" s="109"/>
      <c r="D36" s="109"/>
      <c r="E36" s="109"/>
      <c r="F36" s="109"/>
      <c r="G36" s="109"/>
      <c r="H36" s="109"/>
      <c r="I36" s="109"/>
      <c r="J36" s="118"/>
      <c r="K36" s="131"/>
      <c r="L36" s="109"/>
      <c r="M36" s="109"/>
      <c r="N36" s="118"/>
      <c r="O36" s="118"/>
      <c r="P36" s="118"/>
      <c r="Q36" s="109"/>
      <c r="R36" s="109"/>
      <c r="S36" s="109"/>
      <c r="T36" s="109"/>
      <c r="U36" s="148"/>
      <c r="V36" s="145"/>
      <c r="W36" s="145"/>
      <c r="X36" s="145"/>
      <c r="Y36" s="145"/>
      <c r="Z36" s="145"/>
      <c r="AA36" s="145"/>
      <c r="AB36" s="145"/>
      <c r="AC36" s="145"/>
    </row>
    <row r="37" spans="1:29">
      <c r="A37" s="109"/>
      <c r="B37" s="110"/>
      <c r="C37" s="109"/>
      <c r="D37" s="109"/>
      <c r="E37" s="109"/>
      <c r="F37" s="109"/>
      <c r="G37" s="109"/>
      <c r="H37" s="109"/>
      <c r="I37" s="109"/>
      <c r="J37" s="118"/>
      <c r="K37" s="131"/>
      <c r="L37" s="109"/>
      <c r="M37" s="109"/>
      <c r="N37" s="118"/>
      <c r="O37" s="118"/>
      <c r="P37" s="118"/>
      <c r="Q37" s="109"/>
      <c r="R37" s="109"/>
      <c r="S37" s="109"/>
      <c r="T37" s="109"/>
      <c r="U37" s="148"/>
      <c r="V37" s="145"/>
      <c r="W37" s="145"/>
      <c r="X37" s="145"/>
      <c r="Y37" s="145"/>
      <c r="Z37" s="145"/>
      <c r="AA37" s="145"/>
      <c r="AB37" s="145"/>
      <c r="AC37" s="145"/>
    </row>
    <row r="38" spans="1:29">
      <c r="A38" s="109"/>
      <c r="B38" s="110"/>
      <c r="C38" s="109"/>
      <c r="D38" s="109"/>
      <c r="E38" s="109"/>
      <c r="F38" s="109"/>
      <c r="G38" s="109"/>
      <c r="H38" s="109"/>
      <c r="I38" s="109"/>
      <c r="J38" s="118"/>
      <c r="K38" s="131"/>
      <c r="L38" s="109"/>
      <c r="M38" s="109"/>
      <c r="N38" s="118"/>
      <c r="O38" s="118"/>
      <c r="P38" s="118"/>
      <c r="Q38" s="109"/>
      <c r="R38" s="109"/>
      <c r="S38" s="109"/>
      <c r="T38" s="109"/>
      <c r="U38" s="148"/>
      <c r="V38" s="145"/>
      <c r="W38" s="145"/>
      <c r="X38" s="145"/>
      <c r="Y38" s="145"/>
      <c r="Z38" s="145"/>
      <c r="AA38" s="145"/>
      <c r="AB38" s="145"/>
      <c r="AC38" s="145"/>
    </row>
    <row r="39" spans="1:29">
      <c r="A39" s="109" t="s">
        <v>28</v>
      </c>
      <c r="B39" s="110" t="s">
        <v>179</v>
      </c>
      <c r="C39" s="109" t="s">
        <v>180</v>
      </c>
      <c r="D39" s="109" t="s">
        <v>181</v>
      </c>
      <c r="E39" s="109" t="s">
        <v>182</v>
      </c>
      <c r="F39" s="109" t="s">
        <v>183</v>
      </c>
      <c r="G39" s="109">
        <v>800</v>
      </c>
      <c r="H39" s="109">
        <v>20</v>
      </c>
      <c r="I39" s="121">
        <f>G39</f>
        <v>800</v>
      </c>
      <c r="J39" s="118">
        <v>20</v>
      </c>
      <c r="K39" s="131">
        <f>G39/H39</f>
        <v>40</v>
      </c>
      <c r="L39" s="109" t="s">
        <v>184</v>
      </c>
      <c r="M39" s="109">
        <v>0.05544</v>
      </c>
      <c r="N39" s="118">
        <v>20.4</v>
      </c>
      <c r="O39" s="118">
        <f>N39*K39</f>
        <v>816</v>
      </c>
      <c r="P39" s="118">
        <f>M39*K39</f>
        <v>2.2176</v>
      </c>
      <c r="Q39" s="121"/>
      <c r="R39" s="109"/>
      <c r="S39" s="109"/>
      <c r="T39" s="109"/>
      <c r="U39" s="148"/>
      <c r="V39" s="145">
        <f t="shared" si="4"/>
        <v>40</v>
      </c>
      <c r="W39" s="145"/>
      <c r="X39" s="145"/>
      <c r="Y39" s="145"/>
      <c r="Z39" s="145"/>
      <c r="AA39" s="145"/>
      <c r="AB39" s="145">
        <f>G39</f>
        <v>800</v>
      </c>
      <c r="AC39" s="145"/>
    </row>
    <row r="40" spans="1:29">
      <c r="A40" s="109" t="s">
        <v>28</v>
      </c>
      <c r="B40" s="110"/>
      <c r="C40" s="109" t="s">
        <v>77</v>
      </c>
      <c r="D40" s="121" t="s">
        <v>185</v>
      </c>
      <c r="E40" s="121" t="s">
        <v>186</v>
      </c>
      <c r="F40" s="109" t="s">
        <v>187</v>
      </c>
      <c r="G40" s="109">
        <v>120</v>
      </c>
      <c r="H40" s="109">
        <v>30</v>
      </c>
      <c r="I40" s="121">
        <f>G40</f>
        <v>120</v>
      </c>
      <c r="J40" s="118">
        <v>30</v>
      </c>
      <c r="K40" s="131">
        <f>G40/H40</f>
        <v>4</v>
      </c>
      <c r="L40" s="121" t="s">
        <v>81</v>
      </c>
      <c r="M40" s="121">
        <v>0.011564</v>
      </c>
      <c r="N40" s="118">
        <v>10.5</v>
      </c>
      <c r="O40" s="118">
        <f>N40*K40</f>
        <v>42</v>
      </c>
      <c r="P40" s="118">
        <f>M40*K40</f>
        <v>0.046256</v>
      </c>
      <c r="Q40" s="121"/>
      <c r="R40" s="109"/>
      <c r="S40" s="109"/>
      <c r="T40" s="109"/>
      <c r="U40" s="148"/>
      <c r="V40" s="145">
        <f t="shared" si="4"/>
        <v>4</v>
      </c>
      <c r="W40" s="145"/>
      <c r="X40" s="145">
        <f>G40</f>
        <v>120</v>
      </c>
      <c r="Y40" s="145"/>
      <c r="Z40" s="145"/>
      <c r="AA40" s="145"/>
      <c r="AB40" s="145"/>
      <c r="AC40" s="145"/>
    </row>
    <row r="41" ht="15" customHeight="1" spans="1:29">
      <c r="A41" s="109" t="s">
        <v>28</v>
      </c>
      <c r="B41" s="110"/>
      <c r="C41" s="109" t="s">
        <v>77</v>
      </c>
      <c r="D41" s="109" t="s">
        <v>188</v>
      </c>
      <c r="E41" s="109" t="s">
        <v>189</v>
      </c>
      <c r="F41" s="109" t="s">
        <v>190</v>
      </c>
      <c r="G41" s="109">
        <v>120</v>
      </c>
      <c r="H41" s="109">
        <v>30</v>
      </c>
      <c r="I41" s="121">
        <f>G41</f>
        <v>120</v>
      </c>
      <c r="J41" s="118">
        <v>30</v>
      </c>
      <c r="K41" s="131">
        <f>G41/H41</f>
        <v>4</v>
      </c>
      <c r="L41" s="109" t="s">
        <v>81</v>
      </c>
      <c r="M41" s="109">
        <v>0.011564</v>
      </c>
      <c r="N41" s="118">
        <v>10.5</v>
      </c>
      <c r="O41" s="118">
        <f>N41*K41</f>
        <v>42</v>
      </c>
      <c r="P41" s="118">
        <f>M41*K41</f>
        <v>0.046256</v>
      </c>
      <c r="Q41" s="121"/>
      <c r="R41" s="109"/>
      <c r="S41" s="109"/>
      <c r="T41" s="109"/>
      <c r="U41" s="148"/>
      <c r="V41" s="145">
        <f t="shared" si="4"/>
        <v>4</v>
      </c>
      <c r="W41" s="145"/>
      <c r="X41" s="145">
        <f>G41</f>
        <v>120</v>
      </c>
      <c r="Y41" s="145"/>
      <c r="Z41" s="145"/>
      <c r="AA41" s="145"/>
      <c r="AB41" s="145"/>
      <c r="AC41" s="145"/>
    </row>
    <row r="42" spans="1:29">
      <c r="A42" s="109" t="s">
        <v>28</v>
      </c>
      <c r="B42" s="110" t="s">
        <v>57</v>
      </c>
      <c r="C42" s="109" t="s">
        <v>77</v>
      </c>
      <c r="D42" s="121" t="s">
        <v>191</v>
      </c>
      <c r="E42" s="121" t="s">
        <v>192</v>
      </c>
      <c r="F42" s="109" t="s">
        <v>193</v>
      </c>
      <c r="G42" s="126">
        <v>207</v>
      </c>
      <c r="H42" s="109">
        <v>30</v>
      </c>
      <c r="I42" s="121">
        <f>G42</f>
        <v>207</v>
      </c>
      <c r="J42" s="118">
        <v>30</v>
      </c>
      <c r="K42" s="131">
        <v>7</v>
      </c>
      <c r="L42" s="121" t="s">
        <v>81</v>
      </c>
      <c r="M42" s="121">
        <v>0.011564</v>
      </c>
      <c r="N42" s="118">
        <v>10.5</v>
      </c>
      <c r="O42" s="118">
        <f>N42*K42</f>
        <v>73.5</v>
      </c>
      <c r="P42" s="118">
        <f>M42*K42</f>
        <v>0.080948</v>
      </c>
      <c r="Q42" s="121"/>
      <c r="R42" s="109"/>
      <c r="S42" s="109"/>
      <c r="T42" s="109"/>
      <c r="U42" s="148"/>
      <c r="V42" s="145">
        <f t="shared" si="4"/>
        <v>7</v>
      </c>
      <c r="W42" s="145"/>
      <c r="X42" s="145">
        <f>G42</f>
        <v>207</v>
      </c>
      <c r="Y42" s="145"/>
      <c r="Z42" s="145"/>
      <c r="AA42" s="145"/>
      <c r="AB42" s="145"/>
      <c r="AC42" s="145"/>
    </row>
    <row r="43" spans="1:29">
      <c r="A43" s="109"/>
      <c r="B43" s="110"/>
      <c r="C43" s="109"/>
      <c r="D43" s="109"/>
      <c r="E43" s="109"/>
      <c r="F43" s="109"/>
      <c r="G43" s="109"/>
      <c r="H43" s="109"/>
      <c r="I43" s="121"/>
      <c r="J43" s="118"/>
      <c r="K43" s="131"/>
      <c r="L43" s="109"/>
      <c r="M43" s="109"/>
      <c r="N43" s="118"/>
      <c r="O43" s="118"/>
      <c r="P43" s="118"/>
      <c r="Q43" s="121"/>
      <c r="R43" s="109"/>
      <c r="S43" s="109"/>
      <c r="T43" s="109"/>
      <c r="U43" s="109"/>
      <c r="V43" s="145"/>
      <c r="W43" s="145"/>
      <c r="X43" s="145"/>
      <c r="Y43" s="145"/>
      <c r="Z43" s="145"/>
      <c r="AA43" s="145"/>
      <c r="AB43" s="145"/>
      <c r="AC43" s="145"/>
    </row>
    <row r="44" spans="1:29">
      <c r="A44" s="109"/>
      <c r="B44" s="110"/>
      <c r="C44" s="109"/>
      <c r="D44" s="121"/>
      <c r="E44" s="121"/>
      <c r="F44" s="109"/>
      <c r="G44" s="109"/>
      <c r="H44" s="109"/>
      <c r="I44" s="121"/>
      <c r="J44" s="118"/>
      <c r="K44" s="131"/>
      <c r="L44" s="121"/>
      <c r="M44" s="121"/>
      <c r="N44" s="118"/>
      <c r="O44" s="118"/>
      <c r="P44" s="118"/>
      <c r="Q44" s="121"/>
      <c r="R44" s="109"/>
      <c r="S44" s="109"/>
      <c r="T44" s="109"/>
      <c r="U44" s="109"/>
      <c r="V44" s="145"/>
      <c r="W44" s="145"/>
      <c r="X44" s="145"/>
      <c r="Y44" s="145"/>
      <c r="Z44" s="145"/>
      <c r="AA44" s="145"/>
      <c r="AB44" s="145"/>
      <c r="AC44" s="145"/>
    </row>
    <row r="45" spans="1:29">
      <c r="A45" s="109" t="s">
        <v>28</v>
      </c>
      <c r="B45" s="110" t="s">
        <v>194</v>
      </c>
      <c r="C45" s="109" t="s">
        <v>195</v>
      </c>
      <c r="D45" s="109" t="s">
        <v>196</v>
      </c>
      <c r="E45" s="109" t="s">
        <v>197</v>
      </c>
      <c r="F45" s="109" t="s">
        <v>198</v>
      </c>
      <c r="G45" s="109">
        <v>50</v>
      </c>
      <c r="H45" s="109">
        <v>10</v>
      </c>
      <c r="I45" s="121">
        <f t="shared" ref="I45:I50" si="12">G45</f>
        <v>50</v>
      </c>
      <c r="J45" s="118">
        <v>10</v>
      </c>
      <c r="K45" s="131">
        <f t="shared" ref="K45:K50" si="13">G45/H45</f>
        <v>5</v>
      </c>
      <c r="L45" s="109" t="s">
        <v>199</v>
      </c>
      <c r="M45" s="109">
        <v>0.3034</v>
      </c>
      <c r="N45" s="118">
        <v>23.6</v>
      </c>
      <c r="O45" s="118">
        <f t="shared" ref="O45:O50" si="14">N45*K45</f>
        <v>118</v>
      </c>
      <c r="P45" s="118">
        <f t="shared" ref="P45:P50" si="15">M45*K45</f>
        <v>1.517</v>
      </c>
      <c r="Q45" s="121"/>
      <c r="R45" s="109"/>
      <c r="S45" s="109"/>
      <c r="T45" s="109"/>
      <c r="U45" s="109"/>
      <c r="V45" s="145">
        <f t="shared" si="4"/>
        <v>5</v>
      </c>
      <c r="W45" s="145"/>
      <c r="X45" s="145"/>
      <c r="Y45" s="145">
        <f t="shared" ref="Y45:Y50" si="16">G45</f>
        <v>50</v>
      </c>
      <c r="Z45" s="145"/>
      <c r="AA45" s="145">
        <f t="shared" ref="AA45:AA50" si="17">G45</f>
        <v>50</v>
      </c>
      <c r="AB45" s="145"/>
      <c r="AC45" s="145"/>
    </row>
    <row r="46" spans="1:29">
      <c r="A46" s="109" t="s">
        <v>28</v>
      </c>
      <c r="B46" s="110"/>
      <c r="C46" s="109" t="s">
        <v>200</v>
      </c>
      <c r="D46" s="109" t="s">
        <v>201</v>
      </c>
      <c r="E46" s="109" t="s">
        <v>202</v>
      </c>
      <c r="F46" s="109" t="s">
        <v>203</v>
      </c>
      <c r="G46" s="109">
        <v>12</v>
      </c>
      <c r="H46" s="109">
        <v>6</v>
      </c>
      <c r="I46" s="121">
        <f t="shared" si="12"/>
        <v>12</v>
      </c>
      <c r="J46" s="118">
        <v>6</v>
      </c>
      <c r="K46" s="131">
        <f t="shared" si="13"/>
        <v>2</v>
      </c>
      <c r="L46" s="109" t="s">
        <v>204</v>
      </c>
      <c r="M46" s="109">
        <v>0.1845</v>
      </c>
      <c r="N46" s="118">
        <v>11.4</v>
      </c>
      <c r="O46" s="118">
        <f t="shared" si="14"/>
        <v>22.8</v>
      </c>
      <c r="P46" s="118">
        <f t="shared" si="15"/>
        <v>0.369</v>
      </c>
      <c r="Q46" s="121"/>
      <c r="R46" s="109"/>
      <c r="S46" s="109"/>
      <c r="T46" s="109"/>
      <c r="U46" s="109"/>
      <c r="V46" s="145">
        <f t="shared" si="4"/>
        <v>2</v>
      </c>
      <c r="W46" s="145"/>
      <c r="X46" s="145"/>
      <c r="Y46" s="145">
        <f t="shared" si="16"/>
        <v>12</v>
      </c>
      <c r="Z46" s="145"/>
      <c r="AA46" s="145">
        <f t="shared" si="17"/>
        <v>12</v>
      </c>
      <c r="AB46" s="145"/>
      <c r="AC46" s="145"/>
    </row>
    <row r="47" spans="1:29">
      <c r="A47" s="109" t="s">
        <v>28</v>
      </c>
      <c r="B47" s="110"/>
      <c r="C47" s="109" t="s">
        <v>205</v>
      </c>
      <c r="D47" s="121" t="s">
        <v>206</v>
      </c>
      <c r="E47" s="121" t="s">
        <v>207</v>
      </c>
      <c r="F47" s="109" t="s">
        <v>208</v>
      </c>
      <c r="G47" s="109">
        <v>12</v>
      </c>
      <c r="H47" s="109">
        <v>6</v>
      </c>
      <c r="I47" s="121">
        <f t="shared" si="12"/>
        <v>12</v>
      </c>
      <c r="J47" s="118">
        <v>6</v>
      </c>
      <c r="K47" s="131">
        <f t="shared" si="13"/>
        <v>2</v>
      </c>
      <c r="L47" s="121" t="s">
        <v>204</v>
      </c>
      <c r="M47" s="121">
        <v>0.1845</v>
      </c>
      <c r="N47" s="118">
        <v>11.4</v>
      </c>
      <c r="O47" s="118">
        <f t="shared" si="14"/>
        <v>22.8</v>
      </c>
      <c r="P47" s="118">
        <f t="shared" si="15"/>
        <v>0.369</v>
      </c>
      <c r="Q47" s="121"/>
      <c r="R47" s="109"/>
      <c r="S47" s="109"/>
      <c r="T47" s="109"/>
      <c r="U47" s="109"/>
      <c r="V47" s="145">
        <f t="shared" si="4"/>
        <v>2</v>
      </c>
      <c r="W47" s="145"/>
      <c r="X47" s="145"/>
      <c r="Y47" s="145">
        <f t="shared" si="16"/>
        <v>12</v>
      </c>
      <c r="Z47" s="145"/>
      <c r="AA47" s="145">
        <f t="shared" si="17"/>
        <v>12</v>
      </c>
      <c r="AB47" s="145"/>
      <c r="AC47" s="145"/>
    </row>
    <row r="48" s="104" customFormat="1" ht="13.5" spans="1:29">
      <c r="A48" s="109" t="s">
        <v>28</v>
      </c>
      <c r="B48" s="115"/>
      <c r="C48" s="109" t="s">
        <v>158</v>
      </c>
      <c r="D48" s="109" t="s">
        <v>209</v>
      </c>
      <c r="E48" s="109" t="s">
        <v>210</v>
      </c>
      <c r="F48" s="109" t="s">
        <v>161</v>
      </c>
      <c r="G48" s="109">
        <v>18</v>
      </c>
      <c r="H48" s="109">
        <v>6</v>
      </c>
      <c r="I48" s="121">
        <f t="shared" si="12"/>
        <v>18</v>
      </c>
      <c r="J48" s="118">
        <v>6</v>
      </c>
      <c r="K48" s="131">
        <f t="shared" si="13"/>
        <v>3</v>
      </c>
      <c r="L48" s="109" t="s">
        <v>162</v>
      </c>
      <c r="M48" s="109">
        <f>87*51*54/1000000</f>
        <v>0.239598</v>
      </c>
      <c r="N48" s="118">
        <v>16</v>
      </c>
      <c r="O48" s="118">
        <f t="shared" si="14"/>
        <v>48</v>
      </c>
      <c r="P48" s="118">
        <f t="shared" si="15"/>
        <v>0.718794</v>
      </c>
      <c r="Q48" s="121"/>
      <c r="R48" s="116"/>
      <c r="S48" s="116"/>
      <c r="T48" s="116"/>
      <c r="U48" s="116"/>
      <c r="V48" s="145">
        <f t="shared" si="4"/>
        <v>3</v>
      </c>
      <c r="W48" s="145"/>
      <c r="X48" s="145"/>
      <c r="Y48" s="145">
        <f t="shared" si="16"/>
        <v>18</v>
      </c>
      <c r="Z48" s="146"/>
      <c r="AA48" s="145">
        <f t="shared" si="17"/>
        <v>18</v>
      </c>
      <c r="AB48" s="146"/>
      <c r="AC48" s="146"/>
    </row>
    <row r="49" spans="1:29">
      <c r="A49" s="109" t="s">
        <v>28</v>
      </c>
      <c r="B49" s="110"/>
      <c r="C49" s="109" t="s">
        <v>149</v>
      </c>
      <c r="D49" s="121" t="s">
        <v>211</v>
      </c>
      <c r="E49" s="121" t="s">
        <v>212</v>
      </c>
      <c r="F49" s="109" t="s">
        <v>169</v>
      </c>
      <c r="G49" s="109">
        <v>18</v>
      </c>
      <c r="H49" s="109">
        <v>6</v>
      </c>
      <c r="I49" s="121">
        <f t="shared" si="12"/>
        <v>18</v>
      </c>
      <c r="J49" s="118">
        <v>6</v>
      </c>
      <c r="K49" s="131">
        <f t="shared" si="13"/>
        <v>3</v>
      </c>
      <c r="L49" s="121" t="s">
        <v>170</v>
      </c>
      <c r="M49" s="121">
        <v>0.26</v>
      </c>
      <c r="N49" s="118">
        <v>16.02</v>
      </c>
      <c r="O49" s="118">
        <f t="shared" si="14"/>
        <v>48.06</v>
      </c>
      <c r="P49" s="118">
        <f t="shared" si="15"/>
        <v>0.78</v>
      </c>
      <c r="Q49" s="121"/>
      <c r="R49" s="109"/>
      <c r="S49" s="109"/>
      <c r="T49" s="109"/>
      <c r="U49" s="109"/>
      <c r="V49" s="145">
        <f t="shared" si="4"/>
        <v>3</v>
      </c>
      <c r="W49" s="145"/>
      <c r="X49" s="145"/>
      <c r="Y49" s="145">
        <f t="shared" si="16"/>
        <v>18</v>
      </c>
      <c r="Z49" s="145"/>
      <c r="AA49" s="145">
        <f t="shared" si="17"/>
        <v>18</v>
      </c>
      <c r="AB49" s="145"/>
      <c r="AC49" s="145"/>
    </row>
    <row r="50" spans="1:29">
      <c r="A50" s="109" t="s">
        <v>28</v>
      </c>
      <c r="B50" s="110"/>
      <c r="C50" s="109" t="s">
        <v>149</v>
      </c>
      <c r="D50" s="109" t="s">
        <v>213</v>
      </c>
      <c r="E50" s="109" t="s">
        <v>214</v>
      </c>
      <c r="F50" s="109" t="s">
        <v>156</v>
      </c>
      <c r="G50" s="109">
        <v>20</v>
      </c>
      <c r="H50" s="109">
        <v>10</v>
      </c>
      <c r="I50" s="121">
        <f t="shared" si="12"/>
        <v>20</v>
      </c>
      <c r="J50" s="118">
        <v>10</v>
      </c>
      <c r="K50" s="131">
        <f t="shared" si="13"/>
        <v>2</v>
      </c>
      <c r="L50" s="109" t="s">
        <v>157</v>
      </c>
      <c r="M50" s="109">
        <v>0.303</v>
      </c>
      <c r="N50" s="118">
        <v>22.5</v>
      </c>
      <c r="O50" s="118">
        <f t="shared" si="14"/>
        <v>45</v>
      </c>
      <c r="P50" s="118">
        <f t="shared" si="15"/>
        <v>0.606</v>
      </c>
      <c r="Q50" s="121"/>
      <c r="R50" s="109"/>
      <c r="S50" s="109"/>
      <c r="T50" s="109"/>
      <c r="U50" s="109"/>
      <c r="V50" s="145">
        <f t="shared" si="4"/>
        <v>2</v>
      </c>
      <c r="W50" s="145"/>
      <c r="X50" s="145"/>
      <c r="Y50" s="145">
        <f t="shared" si="16"/>
        <v>20</v>
      </c>
      <c r="Z50" s="145"/>
      <c r="AA50" s="145">
        <f t="shared" si="17"/>
        <v>20</v>
      </c>
      <c r="AB50" s="145"/>
      <c r="AC50" s="145"/>
    </row>
    <row r="51" spans="1:29">
      <c r="A51" s="109"/>
      <c r="B51" s="110"/>
      <c r="C51" s="109"/>
      <c r="D51" s="121"/>
      <c r="E51" s="121"/>
      <c r="F51" s="109"/>
      <c r="G51" s="109"/>
      <c r="H51" s="109"/>
      <c r="I51" s="121"/>
      <c r="J51" s="118"/>
      <c r="K51" s="131"/>
      <c r="L51" s="121"/>
      <c r="M51" s="121"/>
      <c r="N51" s="118"/>
      <c r="O51" s="118"/>
      <c r="P51" s="118"/>
      <c r="Q51" s="121"/>
      <c r="R51" s="109"/>
      <c r="S51" s="109"/>
      <c r="T51" s="109"/>
      <c r="U51" s="109"/>
      <c r="V51" s="145"/>
      <c r="W51" s="145"/>
      <c r="X51" s="145"/>
      <c r="Y51" s="145"/>
      <c r="Z51" s="145"/>
      <c r="AA51" s="145"/>
      <c r="AB51" s="145"/>
      <c r="AC51" s="145"/>
    </row>
    <row r="52" spans="1:29">
      <c r="A52" s="109" t="s">
        <v>215</v>
      </c>
      <c r="B52" s="110" t="s">
        <v>179</v>
      </c>
      <c r="C52" s="126" t="s">
        <v>216</v>
      </c>
      <c r="D52" s="109" t="s">
        <v>217</v>
      </c>
      <c r="E52" s="109" t="s">
        <v>218</v>
      </c>
      <c r="F52" s="109" t="s">
        <v>219</v>
      </c>
      <c r="G52" s="109">
        <v>192</v>
      </c>
      <c r="H52" s="109">
        <v>6</v>
      </c>
      <c r="I52" s="109">
        <f>G52*6</f>
        <v>1152</v>
      </c>
      <c r="J52" s="118">
        <v>36</v>
      </c>
      <c r="K52" s="131">
        <f>G52/H52</f>
        <v>32</v>
      </c>
      <c r="L52" s="109" t="s">
        <v>220</v>
      </c>
      <c r="M52" s="109">
        <f>(61.5*31.5*36)/1000000</f>
        <v>0.069741</v>
      </c>
      <c r="N52" s="118">
        <v>69.12</v>
      </c>
      <c r="O52" s="118">
        <f>N52*K52</f>
        <v>2211.84</v>
      </c>
      <c r="P52" s="118">
        <f>M52*K52</f>
        <v>2.231712</v>
      </c>
      <c r="Q52" s="121"/>
      <c r="R52" s="109"/>
      <c r="S52" s="109"/>
      <c r="T52" s="109"/>
      <c r="U52" s="109"/>
      <c r="V52" s="145">
        <f t="shared" si="4"/>
        <v>32</v>
      </c>
      <c r="W52" s="149"/>
      <c r="X52" s="149"/>
      <c r="Y52" s="149"/>
      <c r="Z52" s="145"/>
      <c r="AA52" s="145"/>
      <c r="AB52" s="145"/>
      <c r="AC52" s="145"/>
    </row>
    <row r="53" spans="1:29">
      <c r="A53" s="109" t="s">
        <v>215</v>
      </c>
      <c r="B53" s="127" t="s">
        <v>221</v>
      </c>
      <c r="C53" s="126" t="s">
        <v>222</v>
      </c>
      <c r="D53" s="109" t="s">
        <v>223</v>
      </c>
      <c r="E53" s="109" t="s">
        <v>224</v>
      </c>
      <c r="F53" s="109" t="s">
        <v>225</v>
      </c>
      <c r="G53" s="118">
        <v>144</v>
      </c>
      <c r="H53" s="118">
        <v>36</v>
      </c>
      <c r="I53" s="109">
        <f>G53*2</f>
        <v>288</v>
      </c>
      <c r="J53" s="118">
        <v>72</v>
      </c>
      <c r="K53" s="131">
        <f>G53/H53</f>
        <v>4</v>
      </c>
      <c r="L53" s="139" t="s">
        <v>226</v>
      </c>
      <c r="M53" s="109">
        <f>(48*44*36)/1000000</f>
        <v>0.076032</v>
      </c>
      <c r="N53" s="118">
        <v>17</v>
      </c>
      <c r="O53" s="118">
        <f>N53*K53</f>
        <v>68</v>
      </c>
      <c r="P53" s="118">
        <f>M53*K53</f>
        <v>0.304128</v>
      </c>
      <c r="Q53" s="121"/>
      <c r="R53" s="109"/>
      <c r="S53" s="109"/>
      <c r="T53" s="109"/>
      <c r="U53" s="109"/>
      <c r="V53" s="145">
        <f t="shared" si="4"/>
        <v>4</v>
      </c>
      <c r="W53" s="150"/>
      <c r="X53" s="150"/>
      <c r="Y53" s="150"/>
      <c r="Z53" s="145"/>
      <c r="AA53" s="145"/>
      <c r="AB53" s="145"/>
      <c r="AC53" s="145"/>
    </row>
    <row r="54" spans="1:29">
      <c r="A54" s="109" t="s">
        <v>215</v>
      </c>
      <c r="B54" s="127"/>
      <c r="C54" s="126" t="s">
        <v>227</v>
      </c>
      <c r="D54" s="109"/>
      <c r="E54" s="109"/>
      <c r="F54" s="109"/>
      <c r="G54" s="118"/>
      <c r="H54" s="118"/>
      <c r="I54" s="109">
        <f>G53*2</f>
        <v>288</v>
      </c>
      <c r="J54" s="118">
        <v>72</v>
      </c>
      <c r="K54" s="131"/>
      <c r="L54" s="139"/>
      <c r="M54" s="109"/>
      <c r="N54" s="118"/>
      <c r="O54" s="118"/>
      <c r="P54" s="118"/>
      <c r="Q54" s="121"/>
      <c r="R54" s="109"/>
      <c r="S54" s="109"/>
      <c r="T54" s="109"/>
      <c r="U54" s="109"/>
      <c r="V54" s="145"/>
      <c r="W54" s="150"/>
      <c r="X54" s="150"/>
      <c r="Y54" s="150"/>
      <c r="Z54" s="145"/>
      <c r="AA54" s="145"/>
      <c r="AB54" s="145"/>
      <c r="AC54" s="145"/>
    </row>
    <row r="55" spans="1:29">
      <c r="A55" s="109" t="s">
        <v>215</v>
      </c>
      <c r="B55" s="127"/>
      <c r="C55" s="126" t="s">
        <v>228</v>
      </c>
      <c r="D55" s="109" t="s">
        <v>229</v>
      </c>
      <c r="E55" s="109" t="s">
        <v>230</v>
      </c>
      <c r="F55" s="109" t="s">
        <v>231</v>
      </c>
      <c r="G55" s="109">
        <v>56</v>
      </c>
      <c r="H55" s="109">
        <v>8</v>
      </c>
      <c r="I55" s="109">
        <f>G55</f>
        <v>56</v>
      </c>
      <c r="J55" s="118">
        <v>8</v>
      </c>
      <c r="K55" s="131">
        <f t="shared" ref="K55:K59" si="18">G55/H55</f>
        <v>7</v>
      </c>
      <c r="L55" s="109" t="s">
        <v>232</v>
      </c>
      <c r="M55" s="109">
        <f>(36*36*38)/1000000</f>
        <v>0.049248</v>
      </c>
      <c r="N55" s="118">
        <v>5.82</v>
      </c>
      <c r="O55" s="118">
        <f t="shared" ref="O55:O59" si="19">N55*K55</f>
        <v>40.74</v>
      </c>
      <c r="P55" s="118">
        <f t="shared" ref="P55:P59" si="20">M55*K55</f>
        <v>0.344736</v>
      </c>
      <c r="Q55" s="121"/>
      <c r="R55" s="109"/>
      <c r="S55" s="109"/>
      <c r="T55" s="109"/>
      <c r="U55" s="109"/>
      <c r="V55" s="145">
        <f t="shared" si="4"/>
        <v>7</v>
      </c>
      <c r="W55" s="150"/>
      <c r="X55" s="150"/>
      <c r="Y55" s="150"/>
      <c r="Z55" s="145"/>
      <c r="AA55" s="145"/>
      <c r="AB55" s="145"/>
      <c r="AC55" s="145"/>
    </row>
    <row r="56" spans="1:29">
      <c r="A56" s="109" t="s">
        <v>215</v>
      </c>
      <c r="B56" s="127"/>
      <c r="C56" s="126" t="s">
        <v>233</v>
      </c>
      <c r="D56" s="109" t="s">
        <v>234</v>
      </c>
      <c r="E56" s="109" t="s">
        <v>235</v>
      </c>
      <c r="F56" s="109" t="s">
        <v>236</v>
      </c>
      <c r="G56" s="109">
        <v>210</v>
      </c>
      <c r="H56" s="109">
        <v>6</v>
      </c>
      <c r="I56" s="109">
        <f>G56*12</f>
        <v>2520</v>
      </c>
      <c r="J56" s="118">
        <f>H56*12</f>
        <v>72</v>
      </c>
      <c r="K56" s="131">
        <f t="shared" si="18"/>
        <v>35</v>
      </c>
      <c r="L56" s="109" t="s">
        <v>237</v>
      </c>
      <c r="M56" s="109">
        <f>(51*33*38)/1000000</f>
        <v>0.063954</v>
      </c>
      <c r="N56" s="118">
        <v>16.8</v>
      </c>
      <c r="O56" s="118">
        <f t="shared" si="19"/>
        <v>588</v>
      </c>
      <c r="P56" s="118">
        <f t="shared" si="20"/>
        <v>2.23839</v>
      </c>
      <c r="Q56" s="121"/>
      <c r="R56" s="109"/>
      <c r="S56" s="109"/>
      <c r="T56" s="109"/>
      <c r="U56" s="109"/>
      <c r="V56" s="145">
        <f t="shared" si="4"/>
        <v>35</v>
      </c>
      <c r="W56" s="150"/>
      <c r="X56" s="150"/>
      <c r="Y56" s="150"/>
      <c r="Z56" s="145"/>
      <c r="AA56" s="145"/>
      <c r="AB56" s="145"/>
      <c r="AC56" s="145"/>
    </row>
    <row r="57" spans="1:29">
      <c r="A57" s="109" t="s">
        <v>215</v>
      </c>
      <c r="B57" s="127"/>
      <c r="C57" s="126" t="s">
        <v>238</v>
      </c>
      <c r="D57" s="109" t="s">
        <v>239</v>
      </c>
      <c r="E57" s="114" t="s">
        <v>240</v>
      </c>
      <c r="F57" s="109" t="s">
        <v>241</v>
      </c>
      <c r="G57" s="109">
        <v>156</v>
      </c>
      <c r="H57" s="109">
        <v>12</v>
      </c>
      <c r="I57" s="109">
        <f>G57*6</f>
        <v>936</v>
      </c>
      <c r="J57" s="140">
        <f>H57*6</f>
        <v>72</v>
      </c>
      <c r="K57" s="131">
        <f t="shared" si="18"/>
        <v>13</v>
      </c>
      <c r="L57" s="109" t="s">
        <v>242</v>
      </c>
      <c r="M57" s="109">
        <f>(50*35*38)/1000000</f>
        <v>0.0665</v>
      </c>
      <c r="N57" s="118">
        <v>17</v>
      </c>
      <c r="O57" s="140">
        <f t="shared" si="19"/>
        <v>221</v>
      </c>
      <c r="P57" s="118">
        <f t="shared" si="20"/>
        <v>0.8645</v>
      </c>
      <c r="Q57" s="121"/>
      <c r="R57" s="109"/>
      <c r="S57" s="109"/>
      <c r="T57" s="109"/>
      <c r="U57" s="109"/>
      <c r="V57" s="145">
        <f t="shared" si="4"/>
        <v>13</v>
      </c>
      <c r="W57" s="150"/>
      <c r="X57" s="150"/>
      <c r="Y57" s="150"/>
      <c r="Z57" s="145"/>
      <c r="AA57" s="145"/>
      <c r="AB57" s="145"/>
      <c r="AC57" s="145"/>
    </row>
    <row r="58" spans="1:29">
      <c r="A58" s="109" t="s">
        <v>215</v>
      </c>
      <c r="B58" s="127"/>
      <c r="C58" s="126" t="s">
        <v>243</v>
      </c>
      <c r="D58" s="109" t="s">
        <v>244</v>
      </c>
      <c r="E58" s="109" t="s">
        <v>245</v>
      </c>
      <c r="F58" s="109" t="s">
        <v>246</v>
      </c>
      <c r="G58" s="109">
        <v>100</v>
      </c>
      <c r="H58" s="109">
        <v>20</v>
      </c>
      <c r="I58" s="109">
        <f>G58*2</f>
        <v>200</v>
      </c>
      <c r="J58" s="118">
        <f>H58*2</f>
        <v>40</v>
      </c>
      <c r="K58" s="131">
        <f t="shared" si="18"/>
        <v>5</v>
      </c>
      <c r="L58" s="109" t="s">
        <v>247</v>
      </c>
      <c r="M58" s="109">
        <f>(46.5*47.5*25)/1000000</f>
        <v>0.05521875</v>
      </c>
      <c r="N58" s="118">
        <v>7.65</v>
      </c>
      <c r="O58" s="118">
        <f t="shared" si="19"/>
        <v>38.25</v>
      </c>
      <c r="P58" s="118">
        <f t="shared" si="20"/>
        <v>0.27609375</v>
      </c>
      <c r="Q58" s="121"/>
      <c r="R58" s="109"/>
      <c r="S58" s="109"/>
      <c r="T58" s="109"/>
      <c r="U58" s="109"/>
      <c r="V58" s="145">
        <f t="shared" si="4"/>
        <v>5</v>
      </c>
      <c r="W58" s="150"/>
      <c r="X58" s="150"/>
      <c r="Y58" s="150"/>
      <c r="Z58" s="145"/>
      <c r="AA58" s="145"/>
      <c r="AB58" s="145"/>
      <c r="AC58" s="145"/>
    </row>
    <row r="59" spans="1:29">
      <c r="A59" s="109" t="s">
        <v>215</v>
      </c>
      <c r="B59" s="127"/>
      <c r="C59" s="126" t="s">
        <v>243</v>
      </c>
      <c r="D59" s="109" t="s">
        <v>248</v>
      </c>
      <c r="E59" s="109" t="s">
        <v>249</v>
      </c>
      <c r="F59" s="109" t="s">
        <v>250</v>
      </c>
      <c r="G59" s="109">
        <v>50</v>
      </c>
      <c r="H59" s="109">
        <v>50</v>
      </c>
      <c r="I59" s="109">
        <f>G59*2</f>
        <v>100</v>
      </c>
      <c r="J59" s="118">
        <v>100</v>
      </c>
      <c r="K59" s="131">
        <f t="shared" si="18"/>
        <v>1</v>
      </c>
      <c r="L59" s="109" t="s">
        <v>251</v>
      </c>
      <c r="M59" s="109">
        <f>(44*44*27)/1000000</f>
        <v>0.052272</v>
      </c>
      <c r="N59" s="118">
        <v>4.27</v>
      </c>
      <c r="O59" s="118">
        <f t="shared" si="19"/>
        <v>4.27</v>
      </c>
      <c r="P59" s="118">
        <f t="shared" si="20"/>
        <v>0.052272</v>
      </c>
      <c r="Q59" s="121"/>
      <c r="R59" s="109"/>
      <c r="S59" s="109"/>
      <c r="T59" s="109"/>
      <c r="U59" s="109"/>
      <c r="V59" s="145">
        <f t="shared" si="4"/>
        <v>1</v>
      </c>
      <c r="W59" s="151"/>
      <c r="X59" s="151"/>
      <c r="Y59" s="151"/>
      <c r="Z59" s="145"/>
      <c r="AA59" s="145"/>
      <c r="AB59" s="145"/>
      <c r="AC59" s="145"/>
    </row>
    <row r="60" spans="1:29">
      <c r="A60" s="109"/>
      <c r="B60" s="110"/>
      <c r="C60" s="109"/>
      <c r="D60" s="109"/>
      <c r="E60" s="109"/>
      <c r="F60" s="109"/>
      <c r="G60" s="109"/>
      <c r="H60" s="109"/>
      <c r="I60" s="109"/>
      <c r="J60" s="118"/>
      <c r="K60" s="131"/>
      <c r="L60" s="109"/>
      <c r="M60" s="109"/>
      <c r="N60" s="118"/>
      <c r="O60" s="118"/>
      <c r="P60" s="118"/>
      <c r="Q60" s="121"/>
      <c r="R60" s="109"/>
      <c r="S60" s="109"/>
      <c r="T60" s="109"/>
      <c r="U60" s="109"/>
      <c r="V60" s="145"/>
      <c r="W60" s="145"/>
      <c r="X60" s="145"/>
      <c r="Y60" s="145"/>
      <c r="Z60" s="145"/>
      <c r="AA60" s="145"/>
      <c r="AB60" s="145"/>
      <c r="AC60" s="145"/>
    </row>
    <row r="61" ht="15" customHeight="1" spans="1:29">
      <c r="A61" s="109"/>
      <c r="B61" s="110" t="s">
        <v>252</v>
      </c>
      <c r="C61" s="109"/>
      <c r="D61" s="109"/>
      <c r="E61" s="109"/>
      <c r="F61" s="109"/>
      <c r="G61" s="109"/>
      <c r="H61" s="109"/>
      <c r="I61" s="109"/>
      <c r="J61" s="118"/>
      <c r="K61" s="131"/>
      <c r="L61" s="109"/>
      <c r="M61" s="109"/>
      <c r="N61" s="118"/>
      <c r="O61" s="118"/>
      <c r="P61" s="118"/>
      <c r="Q61" s="121"/>
      <c r="R61" s="109"/>
      <c r="S61" s="109"/>
      <c r="T61" s="109"/>
      <c r="U61" s="109"/>
      <c r="V61" s="145"/>
      <c r="W61" s="145"/>
      <c r="X61" s="145"/>
      <c r="Y61" s="145"/>
      <c r="Z61" s="145"/>
      <c r="AA61" s="145"/>
      <c r="AB61" s="145"/>
      <c r="AC61" s="145"/>
    </row>
    <row r="62" spans="1:29">
      <c r="A62" s="109"/>
      <c r="B62" s="110"/>
      <c r="C62" s="109"/>
      <c r="D62" s="109"/>
      <c r="E62" s="109"/>
      <c r="F62" s="109"/>
      <c r="G62" s="109"/>
      <c r="H62" s="109"/>
      <c r="I62" s="109"/>
      <c r="J62" s="118"/>
      <c r="K62" s="131"/>
      <c r="L62" s="109"/>
      <c r="M62" s="109"/>
      <c r="N62" s="118"/>
      <c r="O62" s="118"/>
      <c r="P62" s="118"/>
      <c r="Q62" s="109"/>
      <c r="R62" s="109"/>
      <c r="S62" s="109"/>
      <c r="T62" s="109"/>
      <c r="U62" s="109"/>
      <c r="V62" s="145"/>
      <c r="W62" s="145"/>
      <c r="X62" s="145"/>
      <c r="Y62" s="145"/>
      <c r="Z62" s="145"/>
      <c r="AA62" s="145"/>
      <c r="AB62" s="145"/>
      <c r="AC62" s="145"/>
    </row>
    <row r="63" s="105" customFormat="1" ht="13" customHeight="1" spans="1:29">
      <c r="A63" s="109" t="s">
        <v>253</v>
      </c>
      <c r="B63" s="128" t="s">
        <v>254</v>
      </c>
      <c r="C63" s="109" t="s">
        <v>255</v>
      </c>
      <c r="D63" s="109" t="s">
        <v>256</v>
      </c>
      <c r="E63" s="109" t="s">
        <v>257</v>
      </c>
      <c r="F63" s="109" t="s">
        <v>258</v>
      </c>
      <c r="G63" s="109">
        <v>150</v>
      </c>
      <c r="H63" s="109">
        <v>10</v>
      </c>
      <c r="I63" s="109">
        <f>G63</f>
        <v>150</v>
      </c>
      <c r="J63" s="118">
        <v>10</v>
      </c>
      <c r="K63" s="131">
        <f>G63/H63</f>
        <v>15</v>
      </c>
      <c r="L63" s="109" t="s">
        <v>259</v>
      </c>
      <c r="M63" s="109">
        <v>0.06</v>
      </c>
      <c r="N63" s="118">
        <v>11.15</v>
      </c>
      <c r="O63" s="118">
        <f>N63*K63</f>
        <v>167.25</v>
      </c>
      <c r="P63" s="118">
        <f>M63*K63</f>
        <v>0.9</v>
      </c>
      <c r="Q63" s="121"/>
      <c r="R63" s="152"/>
      <c r="S63" s="152"/>
      <c r="T63" s="152"/>
      <c r="U63" s="152"/>
      <c r="V63" s="145">
        <f t="shared" si="4"/>
        <v>15</v>
      </c>
      <c r="W63" s="145"/>
      <c r="X63" s="145">
        <f>G63</f>
        <v>150</v>
      </c>
      <c r="Y63" s="145"/>
      <c r="Z63" s="145">
        <f>G63</f>
        <v>150</v>
      </c>
      <c r="AA63" s="145"/>
      <c r="AB63" s="155"/>
      <c r="AC63" s="155"/>
    </row>
    <row r="64" s="105" customFormat="1" ht="13" customHeight="1" spans="1:29">
      <c r="A64" s="109" t="s">
        <v>253</v>
      </c>
      <c r="B64" s="128"/>
      <c r="C64" s="109" t="s">
        <v>255</v>
      </c>
      <c r="D64" s="109" t="s">
        <v>260</v>
      </c>
      <c r="E64" s="109" t="s">
        <v>261</v>
      </c>
      <c r="F64" s="109" t="s">
        <v>262</v>
      </c>
      <c r="G64" s="109">
        <v>280</v>
      </c>
      <c r="H64" s="109">
        <v>8</v>
      </c>
      <c r="I64" s="109">
        <f>G64</f>
        <v>280</v>
      </c>
      <c r="J64" s="118">
        <v>8</v>
      </c>
      <c r="K64" s="131">
        <f>G64/H64</f>
        <v>35</v>
      </c>
      <c r="L64" s="109" t="s">
        <v>263</v>
      </c>
      <c r="M64" s="109">
        <v>0.062</v>
      </c>
      <c r="N64" s="118">
        <v>12.73</v>
      </c>
      <c r="O64" s="118">
        <f>N64*K64</f>
        <v>445.55</v>
      </c>
      <c r="P64" s="118">
        <f>M64*K64</f>
        <v>2.17</v>
      </c>
      <c r="Q64" s="121"/>
      <c r="R64" s="152"/>
      <c r="S64" s="152"/>
      <c r="T64" s="152"/>
      <c r="U64" s="152"/>
      <c r="V64" s="145">
        <f t="shared" si="4"/>
        <v>35</v>
      </c>
      <c r="W64" s="145"/>
      <c r="X64" s="145">
        <f>G64</f>
        <v>280</v>
      </c>
      <c r="Y64" s="145"/>
      <c r="Z64" s="145">
        <f>G64</f>
        <v>280</v>
      </c>
      <c r="AA64" s="145"/>
      <c r="AB64" s="155"/>
      <c r="AC64" s="155"/>
    </row>
    <row r="65" s="105" customFormat="1" ht="13" customHeight="1" spans="1:29">
      <c r="A65" s="109"/>
      <c r="B65" s="128"/>
      <c r="C65" s="109"/>
      <c r="D65" s="109"/>
      <c r="E65" s="114"/>
      <c r="F65" s="109"/>
      <c r="G65" s="109"/>
      <c r="H65" s="109"/>
      <c r="I65" s="109"/>
      <c r="J65" s="140"/>
      <c r="K65" s="131"/>
      <c r="L65" s="109"/>
      <c r="M65" s="109"/>
      <c r="N65" s="118"/>
      <c r="O65" s="140"/>
      <c r="P65" s="118"/>
      <c r="Q65" s="121"/>
      <c r="R65" s="152"/>
      <c r="S65" s="152"/>
      <c r="T65" s="152"/>
      <c r="U65" s="152"/>
      <c r="V65" s="145"/>
      <c r="W65" s="145"/>
      <c r="X65" s="145"/>
      <c r="Y65" s="145"/>
      <c r="Z65" s="145"/>
      <c r="AA65" s="145"/>
      <c r="AB65" s="155"/>
      <c r="AC65" s="155"/>
    </row>
    <row r="66" s="105" customFormat="1" ht="13" customHeight="1" spans="1:29">
      <c r="A66" s="109" t="s">
        <v>253</v>
      </c>
      <c r="B66" s="128"/>
      <c r="C66" s="109" t="s">
        <v>264</v>
      </c>
      <c r="D66" s="109" t="s">
        <v>265</v>
      </c>
      <c r="E66" s="109" t="s">
        <v>266</v>
      </c>
      <c r="F66" s="109" t="s">
        <v>267</v>
      </c>
      <c r="G66" s="109">
        <v>160</v>
      </c>
      <c r="H66" s="109">
        <v>8</v>
      </c>
      <c r="I66" s="109">
        <f>G66</f>
        <v>160</v>
      </c>
      <c r="J66" s="118">
        <v>8</v>
      </c>
      <c r="K66" s="131">
        <f>G66/H66</f>
        <v>20</v>
      </c>
      <c r="L66" s="109" t="s">
        <v>268</v>
      </c>
      <c r="M66" s="109">
        <v>0.061</v>
      </c>
      <c r="N66" s="118">
        <v>12</v>
      </c>
      <c r="O66" s="118">
        <f>N66*K66</f>
        <v>240</v>
      </c>
      <c r="P66" s="118">
        <f>M66*K66</f>
        <v>1.22</v>
      </c>
      <c r="Q66" s="152"/>
      <c r="R66" s="152"/>
      <c r="S66" s="152"/>
      <c r="T66" s="152"/>
      <c r="U66" s="152"/>
      <c r="V66" s="145">
        <f t="shared" si="4"/>
        <v>20</v>
      </c>
      <c r="W66" s="145"/>
      <c r="X66" s="145">
        <f>G66</f>
        <v>160</v>
      </c>
      <c r="Y66" s="145"/>
      <c r="Z66" s="145">
        <f>G66</f>
        <v>160</v>
      </c>
      <c r="AA66" s="145"/>
      <c r="AB66" s="155"/>
      <c r="AC66" s="155"/>
    </row>
    <row r="67" s="105" customFormat="1" ht="13" customHeight="1" spans="1:29">
      <c r="A67" s="109"/>
      <c r="B67" s="128"/>
      <c r="C67" s="109"/>
      <c r="D67" s="109"/>
      <c r="E67" s="109"/>
      <c r="F67" s="109"/>
      <c r="G67" s="109"/>
      <c r="H67" s="109"/>
      <c r="I67" s="109"/>
      <c r="J67" s="118"/>
      <c r="K67" s="131"/>
      <c r="L67" s="109"/>
      <c r="M67" s="109"/>
      <c r="N67" s="118"/>
      <c r="O67" s="118"/>
      <c r="P67" s="118"/>
      <c r="Q67" s="152"/>
      <c r="R67" s="152"/>
      <c r="S67" s="152"/>
      <c r="T67" s="152"/>
      <c r="U67" s="152"/>
      <c r="V67" s="145"/>
      <c r="W67" s="145"/>
      <c r="X67" s="145"/>
      <c r="Y67" s="145"/>
      <c r="Z67" s="145"/>
      <c r="AA67" s="145"/>
      <c r="AB67" s="155"/>
      <c r="AC67" s="155"/>
    </row>
    <row r="68" s="105" customFormat="1" ht="13" customHeight="1" spans="1:29">
      <c r="A68" s="109" t="s">
        <v>253</v>
      </c>
      <c r="B68" s="128"/>
      <c r="C68" s="109" t="s">
        <v>269</v>
      </c>
      <c r="D68" s="109" t="s">
        <v>270</v>
      </c>
      <c r="E68" s="109" t="s">
        <v>271</v>
      </c>
      <c r="F68" s="109" t="s">
        <v>272</v>
      </c>
      <c r="G68" s="109">
        <v>150</v>
      </c>
      <c r="H68" s="109">
        <v>25</v>
      </c>
      <c r="I68" s="109">
        <f t="shared" ref="I68:I73" si="21">G68</f>
        <v>150</v>
      </c>
      <c r="J68" s="118">
        <v>25</v>
      </c>
      <c r="K68" s="131">
        <f t="shared" ref="K68:K73" si="22">G68/H68</f>
        <v>6</v>
      </c>
      <c r="L68" s="109" t="s">
        <v>273</v>
      </c>
      <c r="M68" s="109">
        <v>0.0557</v>
      </c>
      <c r="N68" s="118">
        <v>13</v>
      </c>
      <c r="O68" s="118">
        <f t="shared" ref="O68:O73" si="23">N68*K68</f>
        <v>78</v>
      </c>
      <c r="P68" s="118">
        <f>M68*K68</f>
        <v>0.3342</v>
      </c>
      <c r="Q68" s="152"/>
      <c r="R68" s="152"/>
      <c r="S68" s="152"/>
      <c r="T68" s="152"/>
      <c r="U68" s="152"/>
      <c r="V68" s="145">
        <f t="shared" ref="V68:V98" si="24">K68</f>
        <v>6</v>
      </c>
      <c r="W68" s="145"/>
      <c r="X68" s="145">
        <f>G68</f>
        <v>150</v>
      </c>
      <c r="Y68" s="145"/>
      <c r="Z68" s="145"/>
      <c r="AA68" s="145"/>
      <c r="AB68" s="155"/>
      <c r="AC68" s="155"/>
    </row>
    <row r="69" s="105" customFormat="1" ht="13" customHeight="1" spans="1:29">
      <c r="A69" s="109"/>
      <c r="B69" s="128"/>
      <c r="C69" s="109"/>
      <c r="D69" s="109"/>
      <c r="E69" s="109"/>
      <c r="F69" s="109"/>
      <c r="G69" s="109"/>
      <c r="H69" s="109"/>
      <c r="I69" s="109"/>
      <c r="J69" s="118"/>
      <c r="K69" s="131"/>
      <c r="L69" s="109"/>
      <c r="M69" s="109"/>
      <c r="N69" s="118"/>
      <c r="O69" s="118"/>
      <c r="P69" s="118"/>
      <c r="Q69" s="152"/>
      <c r="R69" s="152"/>
      <c r="S69" s="152"/>
      <c r="T69" s="152"/>
      <c r="U69" s="152"/>
      <c r="V69" s="145"/>
      <c r="W69" s="145"/>
      <c r="X69" s="145"/>
      <c r="Y69" s="145"/>
      <c r="Z69" s="145"/>
      <c r="AA69" s="145"/>
      <c r="AB69" s="155"/>
      <c r="AC69" s="155"/>
    </row>
    <row r="70" s="105" customFormat="1" ht="13" customHeight="1" spans="1:29">
      <c r="A70" s="109"/>
      <c r="B70" s="110" t="s">
        <v>274</v>
      </c>
      <c r="C70" s="109"/>
      <c r="D70" s="109"/>
      <c r="E70" s="114"/>
      <c r="F70" s="109"/>
      <c r="G70" s="109"/>
      <c r="H70" s="109"/>
      <c r="I70" s="109"/>
      <c r="J70" s="140"/>
      <c r="K70" s="131"/>
      <c r="L70" s="109"/>
      <c r="M70" s="109"/>
      <c r="N70" s="118"/>
      <c r="O70" s="140"/>
      <c r="P70" s="118"/>
      <c r="Q70" s="152"/>
      <c r="R70" s="152"/>
      <c r="S70" s="152"/>
      <c r="T70" s="152"/>
      <c r="U70" s="152"/>
      <c r="V70" s="145"/>
      <c r="W70" s="145"/>
      <c r="X70" s="145"/>
      <c r="Y70" s="145"/>
      <c r="Z70" s="145"/>
      <c r="AA70" s="145"/>
      <c r="AB70" s="155"/>
      <c r="AC70" s="155"/>
    </row>
    <row r="71" s="105" customFormat="1" ht="13" customHeight="1" spans="1:29">
      <c r="A71" s="109" t="s">
        <v>253</v>
      </c>
      <c r="B71" s="156" t="s">
        <v>275</v>
      </c>
      <c r="C71" s="109" t="s">
        <v>276</v>
      </c>
      <c r="D71" s="109" t="s">
        <v>277</v>
      </c>
      <c r="E71" s="109" t="s">
        <v>278</v>
      </c>
      <c r="F71" s="109" t="s">
        <v>258</v>
      </c>
      <c r="G71" s="109">
        <v>50</v>
      </c>
      <c r="H71" s="109">
        <v>10</v>
      </c>
      <c r="I71" s="109">
        <f t="shared" si="21"/>
        <v>50</v>
      </c>
      <c r="J71" s="118">
        <v>10</v>
      </c>
      <c r="K71" s="131">
        <f t="shared" si="22"/>
        <v>5</v>
      </c>
      <c r="L71" s="109" t="s">
        <v>279</v>
      </c>
      <c r="M71" s="109">
        <v>0.06</v>
      </c>
      <c r="N71" s="118">
        <v>11.15</v>
      </c>
      <c r="O71" s="118">
        <f t="shared" si="23"/>
        <v>55.75</v>
      </c>
      <c r="P71" s="118">
        <f t="shared" ref="P71:P73" si="25">K71*M71</f>
        <v>0.3</v>
      </c>
      <c r="Q71" s="152"/>
      <c r="R71" s="152"/>
      <c r="S71" s="152"/>
      <c r="T71" s="152"/>
      <c r="U71" s="152"/>
      <c r="V71" s="145">
        <f t="shared" si="24"/>
        <v>5</v>
      </c>
      <c r="W71" s="145"/>
      <c r="X71" s="145">
        <f>G71</f>
        <v>50</v>
      </c>
      <c r="Y71" s="145"/>
      <c r="Z71" s="145">
        <f>G71</f>
        <v>50</v>
      </c>
      <c r="AA71" s="145"/>
      <c r="AB71" s="155"/>
      <c r="AC71" s="155"/>
    </row>
    <row r="72" s="105" customFormat="1" ht="13" customHeight="1" spans="1:29">
      <c r="A72" s="109" t="s">
        <v>253</v>
      </c>
      <c r="B72" s="156"/>
      <c r="C72" s="109" t="s">
        <v>276</v>
      </c>
      <c r="D72" s="109" t="s">
        <v>280</v>
      </c>
      <c r="E72" s="109" t="s">
        <v>281</v>
      </c>
      <c r="F72" s="109" t="s">
        <v>262</v>
      </c>
      <c r="G72" s="109">
        <v>120</v>
      </c>
      <c r="H72" s="109">
        <v>8</v>
      </c>
      <c r="I72" s="109">
        <f t="shared" si="21"/>
        <v>120</v>
      </c>
      <c r="J72" s="118">
        <v>8</v>
      </c>
      <c r="K72" s="131">
        <f t="shared" si="22"/>
        <v>15</v>
      </c>
      <c r="L72" s="109" t="s">
        <v>282</v>
      </c>
      <c r="M72" s="109">
        <v>0.062</v>
      </c>
      <c r="N72" s="118">
        <v>12.27</v>
      </c>
      <c r="O72" s="118">
        <f t="shared" si="23"/>
        <v>184.05</v>
      </c>
      <c r="P72" s="118">
        <f t="shared" si="25"/>
        <v>0.93</v>
      </c>
      <c r="Q72" s="152"/>
      <c r="R72" s="152"/>
      <c r="S72" s="152"/>
      <c r="T72" s="152"/>
      <c r="U72" s="152"/>
      <c r="V72" s="145">
        <f t="shared" si="24"/>
        <v>15</v>
      </c>
      <c r="W72" s="145"/>
      <c r="X72" s="145">
        <f>G72</f>
        <v>120</v>
      </c>
      <c r="Y72" s="145"/>
      <c r="Z72" s="145">
        <f>G72</f>
        <v>120</v>
      </c>
      <c r="AA72" s="145"/>
      <c r="AB72" s="155"/>
      <c r="AC72" s="155"/>
    </row>
    <row r="73" s="105" customFormat="1" ht="13" customHeight="1" spans="1:29">
      <c r="A73" s="109" t="s">
        <v>253</v>
      </c>
      <c r="B73" s="156"/>
      <c r="C73" s="109" t="s">
        <v>283</v>
      </c>
      <c r="D73" s="109" t="s">
        <v>284</v>
      </c>
      <c r="E73" s="109" t="s">
        <v>285</v>
      </c>
      <c r="F73" s="109" t="s">
        <v>286</v>
      </c>
      <c r="G73" s="109">
        <v>36</v>
      </c>
      <c r="H73" s="109">
        <v>12</v>
      </c>
      <c r="I73" s="109">
        <f t="shared" si="21"/>
        <v>36</v>
      </c>
      <c r="J73" s="118">
        <v>12</v>
      </c>
      <c r="K73" s="131">
        <f t="shared" si="22"/>
        <v>3</v>
      </c>
      <c r="L73" s="109" t="s">
        <v>268</v>
      </c>
      <c r="M73" s="109">
        <v>0.063</v>
      </c>
      <c r="N73" s="118">
        <v>9.63</v>
      </c>
      <c r="O73" s="118">
        <f t="shared" si="23"/>
        <v>28.89</v>
      </c>
      <c r="P73" s="118">
        <f t="shared" si="25"/>
        <v>0.189</v>
      </c>
      <c r="Q73" s="152"/>
      <c r="R73" s="152"/>
      <c r="S73" s="152"/>
      <c r="T73" s="152"/>
      <c r="U73" s="152"/>
      <c r="V73" s="145">
        <f t="shared" si="24"/>
        <v>3</v>
      </c>
      <c r="W73" s="145"/>
      <c r="X73" s="145">
        <f>G73</f>
        <v>36</v>
      </c>
      <c r="Y73" s="145"/>
      <c r="Z73" s="145">
        <f>G73</f>
        <v>36</v>
      </c>
      <c r="AA73" s="145"/>
      <c r="AB73" s="155"/>
      <c r="AC73" s="155"/>
    </row>
    <row r="74" s="105" customFormat="1" ht="13" customHeight="1" spans="1:29">
      <c r="A74" s="152"/>
      <c r="B74" s="156"/>
      <c r="C74" s="109"/>
      <c r="D74" s="109"/>
      <c r="E74" s="109"/>
      <c r="F74" s="109"/>
      <c r="G74" s="109"/>
      <c r="H74" s="109"/>
      <c r="I74" s="109"/>
      <c r="J74" s="118"/>
      <c r="K74" s="131"/>
      <c r="L74" s="109"/>
      <c r="M74" s="109"/>
      <c r="N74" s="118"/>
      <c r="O74" s="118"/>
      <c r="P74" s="118"/>
      <c r="Q74" s="152"/>
      <c r="R74" s="152"/>
      <c r="S74" s="152"/>
      <c r="T74" s="152"/>
      <c r="U74" s="152"/>
      <c r="V74" s="145"/>
      <c r="W74" s="145"/>
      <c r="X74" s="145"/>
      <c r="Y74" s="145"/>
      <c r="Z74" s="145"/>
      <c r="AA74" s="145"/>
      <c r="AB74" s="155"/>
      <c r="AC74" s="155"/>
    </row>
    <row r="75" s="105" customFormat="1" ht="13" customHeight="1" spans="1:29">
      <c r="A75" s="109" t="s">
        <v>253</v>
      </c>
      <c r="B75" s="156"/>
      <c r="C75" s="109" t="s">
        <v>287</v>
      </c>
      <c r="D75" s="109" t="s">
        <v>288</v>
      </c>
      <c r="E75" s="109" t="s">
        <v>289</v>
      </c>
      <c r="F75" s="109" t="s">
        <v>290</v>
      </c>
      <c r="G75" s="109">
        <v>60</v>
      </c>
      <c r="H75" s="109">
        <v>10</v>
      </c>
      <c r="I75" s="109">
        <f t="shared" ref="I75:I82" si="26">G75</f>
        <v>60</v>
      </c>
      <c r="J75" s="118">
        <v>10</v>
      </c>
      <c r="K75" s="131">
        <f t="shared" ref="K75:K82" si="27">G75/H75</f>
        <v>6</v>
      </c>
      <c r="L75" s="109" t="s">
        <v>263</v>
      </c>
      <c r="M75" s="109">
        <v>0.062</v>
      </c>
      <c r="N75" s="118">
        <v>11.25</v>
      </c>
      <c r="O75" s="118">
        <f t="shared" ref="O75:O82" si="28">N75*K75</f>
        <v>67.5</v>
      </c>
      <c r="P75" s="118">
        <f t="shared" ref="P75:P82" si="29">K75*M75</f>
        <v>0.372</v>
      </c>
      <c r="Q75" s="152"/>
      <c r="R75" s="152"/>
      <c r="S75" s="152"/>
      <c r="T75" s="152"/>
      <c r="U75" s="152"/>
      <c r="V75" s="145">
        <f t="shared" si="24"/>
        <v>6</v>
      </c>
      <c r="W75" s="145"/>
      <c r="X75" s="145">
        <f t="shared" ref="X75:X93" si="30">G75</f>
        <v>60</v>
      </c>
      <c r="Y75" s="145"/>
      <c r="Z75" s="145">
        <f>G75</f>
        <v>60</v>
      </c>
      <c r="AA75" s="145"/>
      <c r="AB75" s="155"/>
      <c r="AC75" s="155"/>
    </row>
    <row r="76" s="105" customFormat="1" ht="13" customHeight="1" spans="1:29">
      <c r="A76" s="109" t="s">
        <v>253</v>
      </c>
      <c r="B76" s="156"/>
      <c r="C76" s="109" t="s">
        <v>287</v>
      </c>
      <c r="D76" s="109" t="s">
        <v>291</v>
      </c>
      <c r="E76" s="109" t="s">
        <v>292</v>
      </c>
      <c r="F76" s="109" t="s">
        <v>293</v>
      </c>
      <c r="G76" s="109">
        <v>60</v>
      </c>
      <c r="H76" s="109">
        <v>10</v>
      </c>
      <c r="I76" s="109">
        <f t="shared" si="26"/>
        <v>60</v>
      </c>
      <c r="J76" s="118">
        <v>10</v>
      </c>
      <c r="K76" s="131">
        <f t="shared" si="27"/>
        <v>6</v>
      </c>
      <c r="L76" s="109" t="s">
        <v>263</v>
      </c>
      <c r="M76" s="109">
        <v>0.06</v>
      </c>
      <c r="N76" s="118">
        <v>12.8</v>
      </c>
      <c r="O76" s="118">
        <f t="shared" si="28"/>
        <v>76.8</v>
      </c>
      <c r="P76" s="118">
        <f t="shared" si="29"/>
        <v>0.36</v>
      </c>
      <c r="Q76" s="152"/>
      <c r="R76" s="152"/>
      <c r="S76" s="152"/>
      <c r="T76" s="152"/>
      <c r="U76" s="152"/>
      <c r="V76" s="145">
        <f t="shared" si="24"/>
        <v>6</v>
      </c>
      <c r="W76" s="145"/>
      <c r="X76" s="145">
        <f t="shared" si="30"/>
        <v>60</v>
      </c>
      <c r="Y76" s="145"/>
      <c r="Z76" s="145">
        <f t="shared" ref="Z76:Z82" si="31">G75</f>
        <v>60</v>
      </c>
      <c r="AA76" s="145"/>
      <c r="AB76" s="155"/>
      <c r="AC76" s="155"/>
    </row>
    <row r="77" s="105" customFormat="1" ht="13" customHeight="1" spans="1:29">
      <c r="A77" s="109" t="s">
        <v>253</v>
      </c>
      <c r="B77" s="156"/>
      <c r="C77" s="109" t="s">
        <v>287</v>
      </c>
      <c r="D77" s="109" t="s">
        <v>294</v>
      </c>
      <c r="E77" s="109" t="s">
        <v>295</v>
      </c>
      <c r="F77" s="109" t="s">
        <v>296</v>
      </c>
      <c r="G77" s="109">
        <v>60</v>
      </c>
      <c r="H77" s="109">
        <v>10</v>
      </c>
      <c r="I77" s="109">
        <f t="shared" si="26"/>
        <v>60</v>
      </c>
      <c r="J77" s="118">
        <v>10</v>
      </c>
      <c r="K77" s="131">
        <f t="shared" si="27"/>
        <v>6</v>
      </c>
      <c r="L77" s="109" t="s">
        <v>263</v>
      </c>
      <c r="M77" s="109">
        <v>0.062</v>
      </c>
      <c r="N77" s="118">
        <v>13</v>
      </c>
      <c r="O77" s="118">
        <f t="shared" si="28"/>
        <v>78</v>
      </c>
      <c r="P77" s="118">
        <f t="shared" si="29"/>
        <v>0.372</v>
      </c>
      <c r="Q77" s="152"/>
      <c r="R77" s="152"/>
      <c r="S77" s="152"/>
      <c r="T77" s="152"/>
      <c r="U77" s="152"/>
      <c r="V77" s="145">
        <f t="shared" si="24"/>
        <v>6</v>
      </c>
      <c r="W77" s="145"/>
      <c r="X77" s="145">
        <f t="shared" si="30"/>
        <v>60</v>
      </c>
      <c r="Y77" s="145"/>
      <c r="Z77" s="145">
        <f t="shared" si="31"/>
        <v>60</v>
      </c>
      <c r="AA77" s="145"/>
      <c r="AB77" s="155"/>
      <c r="AC77" s="155"/>
    </row>
    <row r="78" s="105" customFormat="1" ht="13" customHeight="1" spans="1:29">
      <c r="A78" s="109" t="s">
        <v>253</v>
      </c>
      <c r="B78" s="156"/>
      <c r="C78" s="109" t="s">
        <v>287</v>
      </c>
      <c r="D78" s="109" t="s">
        <v>297</v>
      </c>
      <c r="E78" s="114" t="s">
        <v>298</v>
      </c>
      <c r="F78" s="109" t="s">
        <v>267</v>
      </c>
      <c r="G78" s="109">
        <v>120</v>
      </c>
      <c r="H78" s="109">
        <v>8</v>
      </c>
      <c r="I78" s="109">
        <f t="shared" si="26"/>
        <v>120</v>
      </c>
      <c r="J78" s="140">
        <v>8</v>
      </c>
      <c r="K78" s="131">
        <f t="shared" si="27"/>
        <v>15</v>
      </c>
      <c r="L78" s="109" t="s">
        <v>268</v>
      </c>
      <c r="M78" s="109">
        <v>0.04974</v>
      </c>
      <c r="N78" s="118">
        <v>12.11</v>
      </c>
      <c r="O78" s="140">
        <f t="shared" si="28"/>
        <v>181.65</v>
      </c>
      <c r="P78" s="118">
        <f t="shared" si="29"/>
        <v>0.7461</v>
      </c>
      <c r="Q78" s="152"/>
      <c r="R78" s="152"/>
      <c r="S78" s="152"/>
      <c r="T78" s="152"/>
      <c r="U78" s="152"/>
      <c r="V78" s="145">
        <f t="shared" si="24"/>
        <v>15</v>
      </c>
      <c r="W78" s="145"/>
      <c r="X78" s="145">
        <f t="shared" si="30"/>
        <v>120</v>
      </c>
      <c r="Y78" s="145"/>
      <c r="Z78" s="145">
        <f t="shared" si="31"/>
        <v>60</v>
      </c>
      <c r="AA78" s="145"/>
      <c r="AB78" s="155"/>
      <c r="AC78" s="155"/>
    </row>
    <row r="79" s="105" customFormat="1" ht="13" customHeight="1" spans="1:29">
      <c r="A79" s="109" t="s">
        <v>253</v>
      </c>
      <c r="B79" s="156"/>
      <c r="C79" s="109" t="s">
        <v>287</v>
      </c>
      <c r="D79" s="109" t="s">
        <v>299</v>
      </c>
      <c r="E79" s="109" t="s">
        <v>300</v>
      </c>
      <c r="F79" s="109" t="s">
        <v>301</v>
      </c>
      <c r="G79" s="109">
        <v>120</v>
      </c>
      <c r="H79" s="109">
        <v>8</v>
      </c>
      <c r="I79" s="109">
        <f t="shared" si="26"/>
        <v>120</v>
      </c>
      <c r="J79" s="118">
        <v>8</v>
      </c>
      <c r="K79" s="131">
        <f t="shared" si="27"/>
        <v>15</v>
      </c>
      <c r="L79" s="109" t="s">
        <v>268</v>
      </c>
      <c r="M79" s="109">
        <v>0.063</v>
      </c>
      <c r="N79" s="118">
        <v>12.11</v>
      </c>
      <c r="O79" s="118">
        <f t="shared" si="28"/>
        <v>181.65</v>
      </c>
      <c r="P79" s="118">
        <f t="shared" si="29"/>
        <v>0.945</v>
      </c>
      <c r="Q79" s="152"/>
      <c r="R79" s="152"/>
      <c r="S79" s="152"/>
      <c r="T79" s="152"/>
      <c r="U79" s="152"/>
      <c r="V79" s="145">
        <f t="shared" si="24"/>
        <v>15</v>
      </c>
      <c r="W79" s="145"/>
      <c r="X79" s="145">
        <f t="shared" si="30"/>
        <v>120</v>
      </c>
      <c r="Y79" s="145"/>
      <c r="Z79" s="145">
        <f t="shared" si="31"/>
        <v>120</v>
      </c>
      <c r="AA79" s="145"/>
      <c r="AB79" s="155"/>
      <c r="AC79" s="155"/>
    </row>
    <row r="80" s="105" customFormat="1" ht="13" customHeight="1" spans="1:29">
      <c r="A80" s="109" t="s">
        <v>253</v>
      </c>
      <c r="B80" s="156"/>
      <c r="C80" s="109" t="s">
        <v>287</v>
      </c>
      <c r="D80" s="109" t="s">
        <v>302</v>
      </c>
      <c r="E80" s="109" t="s">
        <v>303</v>
      </c>
      <c r="F80" s="109" t="s">
        <v>304</v>
      </c>
      <c r="G80" s="109">
        <v>60</v>
      </c>
      <c r="H80" s="109">
        <v>6</v>
      </c>
      <c r="I80" s="109">
        <f t="shared" si="26"/>
        <v>60</v>
      </c>
      <c r="J80" s="118">
        <v>6</v>
      </c>
      <c r="K80" s="131">
        <f t="shared" si="27"/>
        <v>10</v>
      </c>
      <c r="L80" s="109" t="s">
        <v>305</v>
      </c>
      <c r="M80" s="109">
        <v>0.066</v>
      </c>
      <c r="N80" s="118">
        <v>11.07</v>
      </c>
      <c r="O80" s="118">
        <f t="shared" si="28"/>
        <v>110.7</v>
      </c>
      <c r="P80" s="118">
        <f t="shared" si="29"/>
        <v>0.66</v>
      </c>
      <c r="Q80" s="152"/>
      <c r="R80" s="152"/>
      <c r="S80" s="152"/>
      <c r="T80" s="152"/>
      <c r="U80" s="152"/>
      <c r="V80" s="145">
        <f t="shared" si="24"/>
        <v>10</v>
      </c>
      <c r="W80" s="145"/>
      <c r="X80" s="145">
        <f t="shared" si="30"/>
        <v>60</v>
      </c>
      <c r="Y80" s="145"/>
      <c r="Z80" s="145">
        <f t="shared" si="31"/>
        <v>120</v>
      </c>
      <c r="AA80" s="145"/>
      <c r="AB80" s="155"/>
      <c r="AC80" s="155"/>
    </row>
    <row r="81" s="105" customFormat="1" ht="13" customHeight="1" spans="1:29">
      <c r="A81" s="109" t="s">
        <v>253</v>
      </c>
      <c r="B81" s="156"/>
      <c r="C81" s="109" t="s">
        <v>287</v>
      </c>
      <c r="D81" s="109" t="s">
        <v>306</v>
      </c>
      <c r="E81" s="109" t="s">
        <v>307</v>
      </c>
      <c r="F81" s="109" t="s">
        <v>308</v>
      </c>
      <c r="G81" s="109">
        <v>42</v>
      </c>
      <c r="H81" s="109">
        <v>6</v>
      </c>
      <c r="I81" s="109">
        <f t="shared" si="26"/>
        <v>42</v>
      </c>
      <c r="J81" s="118">
        <v>6</v>
      </c>
      <c r="K81" s="131">
        <f t="shared" si="27"/>
        <v>7</v>
      </c>
      <c r="L81" s="109" t="s">
        <v>305</v>
      </c>
      <c r="M81" s="109">
        <v>0.066</v>
      </c>
      <c r="N81" s="118">
        <v>12</v>
      </c>
      <c r="O81" s="118">
        <f t="shared" si="28"/>
        <v>84</v>
      </c>
      <c r="P81" s="118">
        <f t="shared" si="29"/>
        <v>0.462</v>
      </c>
      <c r="Q81" s="152"/>
      <c r="R81" s="152"/>
      <c r="S81" s="152"/>
      <c r="T81" s="152"/>
      <c r="U81" s="152"/>
      <c r="V81" s="145">
        <f t="shared" si="24"/>
        <v>7</v>
      </c>
      <c r="W81" s="145"/>
      <c r="X81" s="145">
        <f t="shared" si="30"/>
        <v>42</v>
      </c>
      <c r="Y81" s="145"/>
      <c r="Z81" s="145">
        <f t="shared" si="31"/>
        <v>60</v>
      </c>
      <c r="AA81" s="145"/>
      <c r="AB81" s="155"/>
      <c r="AC81" s="155"/>
    </row>
    <row r="82" s="105" customFormat="1" ht="13" customHeight="1" spans="1:29">
      <c r="A82" s="109" t="s">
        <v>253</v>
      </c>
      <c r="B82" s="156"/>
      <c r="C82" s="109" t="s">
        <v>287</v>
      </c>
      <c r="D82" s="109" t="s">
        <v>309</v>
      </c>
      <c r="E82" s="109" t="s">
        <v>310</v>
      </c>
      <c r="F82" s="109" t="s">
        <v>311</v>
      </c>
      <c r="G82" s="109">
        <v>72</v>
      </c>
      <c r="H82" s="109">
        <v>6</v>
      </c>
      <c r="I82" s="109">
        <f t="shared" si="26"/>
        <v>72</v>
      </c>
      <c r="J82" s="118">
        <v>6</v>
      </c>
      <c r="K82" s="131">
        <f t="shared" si="27"/>
        <v>12</v>
      </c>
      <c r="L82" s="109" t="s">
        <v>305</v>
      </c>
      <c r="M82" s="109">
        <v>0.066</v>
      </c>
      <c r="N82" s="118">
        <v>13.4</v>
      </c>
      <c r="O82" s="118">
        <f t="shared" si="28"/>
        <v>160.8</v>
      </c>
      <c r="P82" s="118">
        <f t="shared" si="29"/>
        <v>0.792</v>
      </c>
      <c r="Q82" s="152"/>
      <c r="R82" s="152"/>
      <c r="S82" s="152"/>
      <c r="T82" s="152"/>
      <c r="U82" s="152"/>
      <c r="V82" s="145">
        <f t="shared" si="24"/>
        <v>12</v>
      </c>
      <c r="W82" s="145"/>
      <c r="X82" s="145">
        <f t="shared" si="30"/>
        <v>72</v>
      </c>
      <c r="Y82" s="145"/>
      <c r="Z82" s="145">
        <f t="shared" si="31"/>
        <v>42</v>
      </c>
      <c r="AA82" s="145"/>
      <c r="AB82" s="155"/>
      <c r="AC82" s="155"/>
    </row>
    <row r="83" s="105" customFormat="1" ht="13" customHeight="1" spans="1:29">
      <c r="A83" s="109"/>
      <c r="B83" s="128"/>
      <c r="C83" s="109"/>
      <c r="D83" s="109"/>
      <c r="E83" s="109"/>
      <c r="F83" s="109"/>
      <c r="G83" s="109"/>
      <c r="H83" s="109"/>
      <c r="I83" s="109"/>
      <c r="J83" s="118"/>
      <c r="K83" s="131"/>
      <c r="L83" s="109"/>
      <c r="M83" s="109"/>
      <c r="N83" s="118"/>
      <c r="O83" s="118"/>
      <c r="P83" s="118"/>
      <c r="Q83" s="152"/>
      <c r="R83" s="152"/>
      <c r="S83" s="152"/>
      <c r="T83" s="152"/>
      <c r="U83" s="152"/>
      <c r="V83" s="145">
        <f t="shared" si="24"/>
        <v>0</v>
      </c>
      <c r="W83" s="145"/>
      <c r="X83" s="145">
        <f t="shared" si="30"/>
        <v>0</v>
      </c>
      <c r="Y83" s="145"/>
      <c r="Z83" s="145"/>
      <c r="AA83" s="145"/>
      <c r="AB83" s="155"/>
      <c r="AC83" s="155"/>
    </row>
    <row r="84" ht="13" customHeight="1" spans="1:29">
      <c r="A84" s="109"/>
      <c r="B84" s="110" t="s">
        <v>29</v>
      </c>
      <c r="C84" s="109"/>
      <c r="D84" s="109"/>
      <c r="E84" s="109"/>
      <c r="F84" s="109"/>
      <c r="G84" s="109"/>
      <c r="H84" s="109"/>
      <c r="I84" s="109"/>
      <c r="J84" s="118"/>
      <c r="K84" s="131"/>
      <c r="L84" s="109"/>
      <c r="M84" s="109"/>
      <c r="N84" s="118"/>
      <c r="O84" s="118"/>
      <c r="P84" s="118"/>
      <c r="Q84" s="109"/>
      <c r="R84" s="109"/>
      <c r="S84" s="109"/>
      <c r="T84" s="109"/>
      <c r="U84" s="109"/>
      <c r="V84" s="145">
        <f t="shared" si="24"/>
        <v>0</v>
      </c>
      <c r="W84" s="145"/>
      <c r="X84" s="145">
        <f t="shared" si="30"/>
        <v>0</v>
      </c>
      <c r="Y84" s="145"/>
      <c r="Z84" s="145"/>
      <c r="AA84" s="145"/>
      <c r="AB84" s="153"/>
      <c r="AC84" s="153"/>
    </row>
    <row r="85" ht="13" customHeight="1" spans="1:29">
      <c r="A85" s="109" t="s">
        <v>253</v>
      </c>
      <c r="B85" s="156" t="s">
        <v>312</v>
      </c>
      <c r="C85" s="109" t="s">
        <v>313</v>
      </c>
      <c r="D85" s="109" t="s">
        <v>314</v>
      </c>
      <c r="E85" s="109" t="s">
        <v>315</v>
      </c>
      <c r="F85" s="109" t="s">
        <v>316</v>
      </c>
      <c r="G85" s="109">
        <v>150</v>
      </c>
      <c r="H85" s="109">
        <v>6</v>
      </c>
      <c r="I85" s="109">
        <f t="shared" ref="I85:I93" si="32">G85</f>
        <v>150</v>
      </c>
      <c r="J85" s="118">
        <v>6</v>
      </c>
      <c r="K85" s="131">
        <f t="shared" ref="K85:K93" si="33">G85/H85</f>
        <v>25</v>
      </c>
      <c r="L85" s="109" t="s">
        <v>305</v>
      </c>
      <c r="M85" s="109">
        <v>0.066</v>
      </c>
      <c r="N85" s="118">
        <v>12</v>
      </c>
      <c r="O85" s="118">
        <f t="shared" ref="O85:O93" si="34">N85*K85</f>
        <v>300</v>
      </c>
      <c r="P85" s="118">
        <f t="shared" ref="P85:P93" si="35">M85*K85</f>
        <v>1.65</v>
      </c>
      <c r="Q85" s="109"/>
      <c r="R85" s="109"/>
      <c r="S85" s="109"/>
      <c r="T85" s="109"/>
      <c r="U85" s="109"/>
      <c r="V85" s="145">
        <f t="shared" si="24"/>
        <v>25</v>
      </c>
      <c r="W85" s="145"/>
      <c r="X85" s="145">
        <f t="shared" si="30"/>
        <v>150</v>
      </c>
      <c r="Y85" s="145"/>
      <c r="Z85" s="145">
        <f t="shared" ref="Z85:Z93" si="36">G85</f>
        <v>150</v>
      </c>
      <c r="AA85" s="145"/>
      <c r="AB85" s="153"/>
      <c r="AC85" s="153"/>
    </row>
    <row r="86" ht="13" customHeight="1" spans="1:29">
      <c r="A86" s="109" t="s">
        <v>253</v>
      </c>
      <c r="B86" s="156"/>
      <c r="C86" s="109" t="s">
        <v>313</v>
      </c>
      <c r="D86" s="109" t="s">
        <v>317</v>
      </c>
      <c r="E86" s="114" t="s">
        <v>318</v>
      </c>
      <c r="F86" s="109" t="s">
        <v>304</v>
      </c>
      <c r="G86" s="109">
        <v>240</v>
      </c>
      <c r="H86" s="109">
        <v>6</v>
      </c>
      <c r="I86" s="109">
        <f t="shared" si="32"/>
        <v>240</v>
      </c>
      <c r="J86" s="140">
        <v>6</v>
      </c>
      <c r="K86" s="131">
        <f t="shared" si="33"/>
        <v>40</v>
      </c>
      <c r="L86" s="109" t="s">
        <v>305</v>
      </c>
      <c r="M86" s="109">
        <v>0.066</v>
      </c>
      <c r="N86" s="118">
        <v>12</v>
      </c>
      <c r="O86" s="140">
        <f t="shared" si="34"/>
        <v>480</v>
      </c>
      <c r="P86" s="118">
        <f t="shared" si="35"/>
        <v>2.64</v>
      </c>
      <c r="Q86" s="109"/>
      <c r="R86" s="109"/>
      <c r="S86" s="109"/>
      <c r="T86" s="109"/>
      <c r="U86" s="109"/>
      <c r="V86" s="145">
        <f t="shared" si="24"/>
        <v>40</v>
      </c>
      <c r="W86" s="145"/>
      <c r="X86" s="145">
        <f t="shared" si="30"/>
        <v>240</v>
      </c>
      <c r="Y86" s="145"/>
      <c r="Z86" s="145">
        <f t="shared" si="36"/>
        <v>240</v>
      </c>
      <c r="AA86" s="145"/>
      <c r="AB86" s="153"/>
      <c r="AC86" s="153"/>
    </row>
    <row r="87" ht="13" customHeight="1" spans="1:29">
      <c r="A87" s="109" t="s">
        <v>253</v>
      </c>
      <c r="B87" s="156"/>
      <c r="C87" s="109" t="s">
        <v>313</v>
      </c>
      <c r="D87" s="109" t="s">
        <v>319</v>
      </c>
      <c r="E87" s="109" t="s">
        <v>320</v>
      </c>
      <c r="F87" s="109" t="s">
        <v>321</v>
      </c>
      <c r="G87" s="109">
        <v>60</v>
      </c>
      <c r="H87" s="109">
        <v>6</v>
      </c>
      <c r="I87" s="109">
        <f t="shared" si="32"/>
        <v>60</v>
      </c>
      <c r="J87" s="118">
        <v>6</v>
      </c>
      <c r="K87" s="131">
        <f t="shared" si="33"/>
        <v>10</v>
      </c>
      <c r="L87" s="109" t="s">
        <v>305</v>
      </c>
      <c r="M87" s="109">
        <v>0.066</v>
      </c>
      <c r="N87" s="118">
        <v>12</v>
      </c>
      <c r="O87" s="118">
        <f t="shared" si="34"/>
        <v>120</v>
      </c>
      <c r="P87" s="118">
        <f t="shared" si="35"/>
        <v>0.66</v>
      </c>
      <c r="Q87" s="109"/>
      <c r="R87" s="109"/>
      <c r="S87" s="109"/>
      <c r="T87" s="109"/>
      <c r="U87" s="109"/>
      <c r="V87" s="145">
        <f t="shared" si="24"/>
        <v>10</v>
      </c>
      <c r="W87" s="145"/>
      <c r="X87" s="145">
        <f t="shared" si="30"/>
        <v>60</v>
      </c>
      <c r="Y87" s="145"/>
      <c r="Z87" s="145">
        <f t="shared" si="36"/>
        <v>60</v>
      </c>
      <c r="AA87" s="145"/>
      <c r="AB87" s="153"/>
      <c r="AC87" s="153"/>
    </row>
    <row r="88" ht="13" customHeight="1" spans="1:29">
      <c r="A88" s="109" t="s">
        <v>253</v>
      </c>
      <c r="B88" s="156"/>
      <c r="C88" s="109" t="s">
        <v>313</v>
      </c>
      <c r="D88" s="109" t="s">
        <v>322</v>
      </c>
      <c r="E88" s="109" t="s">
        <v>323</v>
      </c>
      <c r="F88" s="109" t="s">
        <v>267</v>
      </c>
      <c r="G88" s="109">
        <v>160</v>
      </c>
      <c r="H88" s="109">
        <v>8</v>
      </c>
      <c r="I88" s="109">
        <f t="shared" si="32"/>
        <v>160</v>
      </c>
      <c r="J88" s="118">
        <v>8</v>
      </c>
      <c r="K88" s="131">
        <f t="shared" si="33"/>
        <v>20</v>
      </c>
      <c r="L88" s="109" t="s">
        <v>268</v>
      </c>
      <c r="M88" s="109">
        <v>0.061</v>
      </c>
      <c r="N88" s="118">
        <v>12</v>
      </c>
      <c r="O88" s="118">
        <f t="shared" si="34"/>
        <v>240</v>
      </c>
      <c r="P88" s="118">
        <f t="shared" si="35"/>
        <v>1.22</v>
      </c>
      <c r="Q88" s="109"/>
      <c r="R88" s="109"/>
      <c r="S88" s="109"/>
      <c r="T88" s="109"/>
      <c r="U88" s="109"/>
      <c r="V88" s="145">
        <f t="shared" si="24"/>
        <v>20</v>
      </c>
      <c r="W88" s="145"/>
      <c r="X88" s="145">
        <f t="shared" si="30"/>
        <v>160</v>
      </c>
      <c r="Y88" s="145"/>
      <c r="Z88" s="145">
        <f t="shared" si="36"/>
        <v>160</v>
      </c>
      <c r="AA88" s="145"/>
      <c r="AB88" s="153"/>
      <c r="AC88" s="153"/>
    </row>
    <row r="89" ht="13" customHeight="1" spans="1:29">
      <c r="A89" s="109" t="s">
        <v>253</v>
      </c>
      <c r="B89" s="156"/>
      <c r="C89" s="109" t="s">
        <v>313</v>
      </c>
      <c r="D89" s="109" t="s">
        <v>324</v>
      </c>
      <c r="E89" s="109" t="s">
        <v>325</v>
      </c>
      <c r="F89" s="109" t="s">
        <v>290</v>
      </c>
      <c r="G89" s="109">
        <v>240</v>
      </c>
      <c r="H89" s="109">
        <v>10</v>
      </c>
      <c r="I89" s="109">
        <f t="shared" si="32"/>
        <v>240</v>
      </c>
      <c r="J89" s="118">
        <v>10</v>
      </c>
      <c r="K89" s="131">
        <f t="shared" si="33"/>
        <v>24</v>
      </c>
      <c r="L89" s="109" t="s">
        <v>268</v>
      </c>
      <c r="M89" s="109">
        <v>0.062</v>
      </c>
      <c r="N89" s="118">
        <v>12</v>
      </c>
      <c r="O89" s="118">
        <f t="shared" si="34"/>
        <v>288</v>
      </c>
      <c r="P89" s="118">
        <f t="shared" si="35"/>
        <v>1.488</v>
      </c>
      <c r="Q89" s="109"/>
      <c r="R89" s="109"/>
      <c r="S89" s="109"/>
      <c r="T89" s="109"/>
      <c r="U89" s="109"/>
      <c r="V89" s="145">
        <f t="shared" si="24"/>
        <v>24</v>
      </c>
      <c r="W89" s="145"/>
      <c r="X89" s="145">
        <f t="shared" si="30"/>
        <v>240</v>
      </c>
      <c r="Y89" s="145"/>
      <c r="Z89" s="145">
        <f t="shared" si="36"/>
        <v>240</v>
      </c>
      <c r="AA89" s="145"/>
      <c r="AB89" s="153"/>
      <c r="AC89" s="153"/>
    </row>
    <row r="90" ht="13" customHeight="1" spans="1:29">
      <c r="A90" s="109" t="s">
        <v>253</v>
      </c>
      <c r="B90" s="156"/>
      <c r="C90" s="109" t="s">
        <v>313</v>
      </c>
      <c r="D90" s="109" t="s">
        <v>326</v>
      </c>
      <c r="E90" s="109" t="s">
        <v>327</v>
      </c>
      <c r="F90" s="109" t="s">
        <v>293</v>
      </c>
      <c r="G90" s="109">
        <v>30</v>
      </c>
      <c r="H90" s="109">
        <v>10</v>
      </c>
      <c r="I90" s="109">
        <f t="shared" si="32"/>
        <v>30</v>
      </c>
      <c r="J90" s="118">
        <v>10</v>
      </c>
      <c r="K90" s="131">
        <f t="shared" si="33"/>
        <v>3</v>
      </c>
      <c r="L90" s="109" t="s">
        <v>263</v>
      </c>
      <c r="M90" s="109">
        <v>0.062</v>
      </c>
      <c r="N90" s="118">
        <v>12</v>
      </c>
      <c r="O90" s="118">
        <f t="shared" si="34"/>
        <v>36</v>
      </c>
      <c r="P90" s="118">
        <f t="shared" si="35"/>
        <v>0.186</v>
      </c>
      <c r="Q90" s="109"/>
      <c r="R90" s="109"/>
      <c r="S90" s="109"/>
      <c r="T90" s="109"/>
      <c r="U90" s="109"/>
      <c r="V90" s="145">
        <f t="shared" si="24"/>
        <v>3</v>
      </c>
      <c r="W90" s="145"/>
      <c r="X90" s="145">
        <f t="shared" si="30"/>
        <v>30</v>
      </c>
      <c r="Y90" s="145"/>
      <c r="Z90" s="145">
        <f t="shared" si="36"/>
        <v>30</v>
      </c>
      <c r="AA90" s="145"/>
      <c r="AB90" s="153"/>
      <c r="AC90" s="153"/>
    </row>
    <row r="91" ht="13" customHeight="1" spans="1:29">
      <c r="A91" s="109" t="s">
        <v>253</v>
      </c>
      <c r="B91" s="156"/>
      <c r="C91" s="109" t="s">
        <v>313</v>
      </c>
      <c r="D91" s="109" t="s">
        <v>328</v>
      </c>
      <c r="E91" s="109" t="s">
        <v>329</v>
      </c>
      <c r="F91" s="109" t="s">
        <v>330</v>
      </c>
      <c r="G91" s="109">
        <v>240</v>
      </c>
      <c r="H91" s="109">
        <v>6</v>
      </c>
      <c r="I91" s="109">
        <f t="shared" si="32"/>
        <v>240</v>
      </c>
      <c r="J91" s="118">
        <v>6</v>
      </c>
      <c r="K91" s="131">
        <f t="shared" si="33"/>
        <v>40</v>
      </c>
      <c r="L91" s="109" t="s">
        <v>305</v>
      </c>
      <c r="M91" s="109">
        <v>0.066</v>
      </c>
      <c r="N91" s="118">
        <v>12</v>
      </c>
      <c r="O91" s="118">
        <f t="shared" si="34"/>
        <v>480</v>
      </c>
      <c r="P91" s="118">
        <f t="shared" si="35"/>
        <v>2.64</v>
      </c>
      <c r="Q91" s="109"/>
      <c r="R91" s="109"/>
      <c r="S91" s="109"/>
      <c r="T91" s="109"/>
      <c r="U91" s="109"/>
      <c r="V91" s="145">
        <f t="shared" si="24"/>
        <v>40</v>
      </c>
      <c r="W91" s="145"/>
      <c r="X91" s="145">
        <f t="shared" si="30"/>
        <v>240</v>
      </c>
      <c r="Y91" s="145"/>
      <c r="Z91" s="145">
        <f t="shared" si="36"/>
        <v>240</v>
      </c>
      <c r="AA91" s="145"/>
      <c r="AB91" s="153"/>
      <c r="AC91" s="153"/>
    </row>
    <row r="92" ht="13" customHeight="1" spans="1:29">
      <c r="A92" s="109" t="s">
        <v>253</v>
      </c>
      <c r="B92" s="156"/>
      <c r="C92" s="109" t="s">
        <v>313</v>
      </c>
      <c r="D92" s="109" t="s">
        <v>331</v>
      </c>
      <c r="E92" s="109" t="s">
        <v>332</v>
      </c>
      <c r="F92" s="109" t="s">
        <v>333</v>
      </c>
      <c r="G92" s="109">
        <v>150</v>
      </c>
      <c r="H92" s="109">
        <v>10</v>
      </c>
      <c r="I92" s="109">
        <f t="shared" si="32"/>
        <v>150</v>
      </c>
      <c r="J92" s="118">
        <v>10</v>
      </c>
      <c r="K92" s="131">
        <f t="shared" si="33"/>
        <v>15</v>
      </c>
      <c r="L92" s="109" t="s">
        <v>263</v>
      </c>
      <c r="M92" s="109">
        <v>0.062</v>
      </c>
      <c r="N92" s="118">
        <v>12</v>
      </c>
      <c r="O92" s="118">
        <f t="shared" si="34"/>
        <v>180</v>
      </c>
      <c r="P92" s="118">
        <f t="shared" si="35"/>
        <v>0.93</v>
      </c>
      <c r="Q92" s="109"/>
      <c r="R92" s="109"/>
      <c r="S92" s="109"/>
      <c r="T92" s="109"/>
      <c r="U92" s="109"/>
      <c r="V92" s="145">
        <f t="shared" si="24"/>
        <v>15</v>
      </c>
      <c r="W92" s="145"/>
      <c r="X92" s="145">
        <f t="shared" si="30"/>
        <v>150</v>
      </c>
      <c r="Y92" s="145"/>
      <c r="Z92" s="145">
        <f t="shared" si="36"/>
        <v>150</v>
      </c>
      <c r="AA92" s="145"/>
      <c r="AB92" s="153"/>
      <c r="AC92" s="153"/>
    </row>
    <row r="93" ht="13" customHeight="1" spans="1:29">
      <c r="A93" s="109" t="s">
        <v>253</v>
      </c>
      <c r="B93" s="156"/>
      <c r="C93" s="109" t="s">
        <v>313</v>
      </c>
      <c r="D93" s="109" t="s">
        <v>334</v>
      </c>
      <c r="E93" s="109" t="s">
        <v>335</v>
      </c>
      <c r="F93" s="109" t="s">
        <v>301</v>
      </c>
      <c r="G93" s="109">
        <v>120</v>
      </c>
      <c r="H93" s="109">
        <v>8</v>
      </c>
      <c r="I93" s="109">
        <f t="shared" si="32"/>
        <v>120</v>
      </c>
      <c r="J93" s="118">
        <v>8</v>
      </c>
      <c r="K93" s="131">
        <f t="shared" si="33"/>
        <v>15</v>
      </c>
      <c r="L93" s="109" t="s">
        <v>263</v>
      </c>
      <c r="M93" s="109">
        <v>0.061</v>
      </c>
      <c r="N93" s="118">
        <v>12</v>
      </c>
      <c r="O93" s="118">
        <f t="shared" si="34"/>
        <v>180</v>
      </c>
      <c r="P93" s="118">
        <f t="shared" si="35"/>
        <v>0.915</v>
      </c>
      <c r="Q93" s="109"/>
      <c r="R93" s="109"/>
      <c r="S93" s="109"/>
      <c r="T93" s="109"/>
      <c r="U93" s="109"/>
      <c r="V93" s="145">
        <f t="shared" si="24"/>
        <v>15</v>
      </c>
      <c r="W93" s="145"/>
      <c r="X93" s="145">
        <f t="shared" si="30"/>
        <v>120</v>
      </c>
      <c r="Y93" s="145"/>
      <c r="Z93" s="145">
        <f t="shared" si="36"/>
        <v>120</v>
      </c>
      <c r="AA93" s="145"/>
      <c r="AB93" s="153"/>
      <c r="AC93" s="153"/>
    </row>
    <row r="94" ht="13" customHeight="1" spans="1:29">
      <c r="A94" s="109"/>
      <c r="B94" s="110"/>
      <c r="C94" s="109"/>
      <c r="D94" s="109"/>
      <c r="E94" s="109"/>
      <c r="F94" s="109"/>
      <c r="G94" s="109"/>
      <c r="H94" s="109"/>
      <c r="I94" s="109"/>
      <c r="J94" s="118"/>
      <c r="K94" s="131"/>
      <c r="L94" s="109"/>
      <c r="M94" s="109"/>
      <c r="N94" s="118"/>
      <c r="O94" s="118"/>
      <c r="P94" s="118"/>
      <c r="Q94" s="109"/>
      <c r="R94" s="109"/>
      <c r="S94" s="109"/>
      <c r="T94" s="109"/>
      <c r="U94" s="109"/>
      <c r="V94" s="145"/>
      <c r="W94" s="145"/>
      <c r="X94" s="145"/>
      <c r="Y94" s="145"/>
      <c r="Z94" s="145"/>
      <c r="AA94" s="145"/>
      <c r="AB94" s="153"/>
      <c r="AC94" s="153"/>
    </row>
    <row r="95" spans="1:29">
      <c r="A95" s="109" t="s">
        <v>336</v>
      </c>
      <c r="B95" s="110" t="s">
        <v>337</v>
      </c>
      <c r="C95" s="109" t="s">
        <v>338</v>
      </c>
      <c r="D95" s="109" t="s">
        <v>339</v>
      </c>
      <c r="E95" s="109" t="s">
        <v>340</v>
      </c>
      <c r="F95" s="109" t="s">
        <v>341</v>
      </c>
      <c r="G95" s="109">
        <v>50</v>
      </c>
      <c r="H95" s="109">
        <v>2</v>
      </c>
      <c r="I95" s="109">
        <f t="shared" ref="I95:I98" si="37">G95</f>
        <v>50</v>
      </c>
      <c r="J95" s="109">
        <v>2</v>
      </c>
      <c r="K95" s="131">
        <f t="shared" ref="K95:K98" si="38">G95/H95</f>
        <v>25</v>
      </c>
      <c r="L95" s="109" t="s">
        <v>342</v>
      </c>
      <c r="M95" s="162">
        <v>0.08079</v>
      </c>
      <c r="N95" s="118">
        <v>7.74</v>
      </c>
      <c r="O95" s="109">
        <f t="shared" ref="O95:O98" si="39">K95*N95</f>
        <v>193.5</v>
      </c>
      <c r="P95" s="109">
        <f t="shared" ref="P95:P98" si="40">M95*K95</f>
        <v>2.01975</v>
      </c>
      <c r="Q95" s="109"/>
      <c r="R95" s="109"/>
      <c r="S95" s="109"/>
      <c r="T95" s="109"/>
      <c r="U95" s="109"/>
      <c r="V95" s="145">
        <f t="shared" si="24"/>
        <v>25</v>
      </c>
      <c r="W95" s="145"/>
      <c r="X95" s="145"/>
      <c r="Y95" s="145"/>
      <c r="Z95" s="145"/>
      <c r="AA95" s="145"/>
      <c r="AB95" s="153"/>
      <c r="AC95" s="153"/>
    </row>
    <row r="96" spans="1:29">
      <c r="A96" s="109"/>
      <c r="B96" s="110" t="s">
        <v>221</v>
      </c>
      <c r="C96" s="109" t="s">
        <v>338</v>
      </c>
      <c r="D96" s="109" t="s">
        <v>343</v>
      </c>
      <c r="E96" s="109" t="s">
        <v>344</v>
      </c>
      <c r="F96" s="109" t="s">
        <v>345</v>
      </c>
      <c r="G96" s="109">
        <v>50</v>
      </c>
      <c r="H96" s="109">
        <v>2</v>
      </c>
      <c r="I96" s="109">
        <f t="shared" si="37"/>
        <v>50</v>
      </c>
      <c r="J96" s="109">
        <v>2</v>
      </c>
      <c r="K96" s="131">
        <f t="shared" si="38"/>
        <v>25</v>
      </c>
      <c r="L96" s="109" t="s">
        <v>342</v>
      </c>
      <c r="M96" s="162">
        <v>0.08079</v>
      </c>
      <c r="N96" s="118">
        <v>7.74</v>
      </c>
      <c r="O96" s="109">
        <f t="shared" si="39"/>
        <v>193.5</v>
      </c>
      <c r="P96" s="109">
        <f t="shared" si="40"/>
        <v>2.01975</v>
      </c>
      <c r="Q96" s="109"/>
      <c r="R96" s="109"/>
      <c r="S96" s="109"/>
      <c r="T96" s="109"/>
      <c r="U96" s="109"/>
      <c r="V96" s="145">
        <f t="shared" si="24"/>
        <v>25</v>
      </c>
      <c r="W96" s="145"/>
      <c r="X96" s="145"/>
      <c r="Y96" s="145"/>
      <c r="Z96" s="145"/>
      <c r="AA96" s="145"/>
      <c r="AB96" s="153"/>
      <c r="AC96" s="153"/>
    </row>
    <row r="97" spans="1:29">
      <c r="A97" s="109"/>
      <c r="B97" s="110"/>
      <c r="C97" s="109" t="s">
        <v>338</v>
      </c>
      <c r="D97" s="109" t="s">
        <v>346</v>
      </c>
      <c r="E97" s="109" t="s">
        <v>347</v>
      </c>
      <c r="F97" s="109" t="s">
        <v>348</v>
      </c>
      <c r="G97" s="109">
        <v>50</v>
      </c>
      <c r="H97" s="109">
        <v>2</v>
      </c>
      <c r="I97" s="109">
        <f t="shared" si="37"/>
        <v>50</v>
      </c>
      <c r="J97" s="109">
        <v>2</v>
      </c>
      <c r="K97" s="131">
        <f t="shared" si="38"/>
        <v>25</v>
      </c>
      <c r="L97" s="109" t="s">
        <v>349</v>
      </c>
      <c r="M97" s="163">
        <v>0.137088</v>
      </c>
      <c r="N97" s="118">
        <v>10.1</v>
      </c>
      <c r="O97" s="109">
        <f t="shared" si="39"/>
        <v>252.5</v>
      </c>
      <c r="P97" s="109">
        <f t="shared" si="40"/>
        <v>3.4272</v>
      </c>
      <c r="Q97" s="109"/>
      <c r="R97" s="109"/>
      <c r="S97" s="109"/>
      <c r="T97" s="109"/>
      <c r="U97" s="109"/>
      <c r="V97" s="145">
        <f t="shared" si="24"/>
        <v>25</v>
      </c>
      <c r="W97" s="145"/>
      <c r="X97" s="145"/>
      <c r="Y97" s="145"/>
      <c r="Z97" s="145"/>
      <c r="AA97" s="145"/>
      <c r="AB97" s="153"/>
      <c r="AC97" s="153"/>
    </row>
    <row r="98" spans="1:29">
      <c r="A98" s="109"/>
      <c r="B98" s="110"/>
      <c r="C98" s="109" t="s">
        <v>338</v>
      </c>
      <c r="D98" s="114" t="s">
        <v>350</v>
      </c>
      <c r="E98" s="114" t="s">
        <v>351</v>
      </c>
      <c r="F98" s="114" t="s">
        <v>352</v>
      </c>
      <c r="G98" s="109">
        <v>50</v>
      </c>
      <c r="H98" s="109">
        <v>2</v>
      </c>
      <c r="I98" s="109">
        <f t="shared" si="37"/>
        <v>50</v>
      </c>
      <c r="J98" s="109">
        <v>2</v>
      </c>
      <c r="K98" s="131">
        <f t="shared" si="38"/>
        <v>25</v>
      </c>
      <c r="L98" s="109" t="s">
        <v>349</v>
      </c>
      <c r="M98" s="163">
        <v>0.137088</v>
      </c>
      <c r="N98" s="118">
        <v>10.1</v>
      </c>
      <c r="O98" s="109">
        <f t="shared" si="39"/>
        <v>252.5</v>
      </c>
      <c r="P98" s="109">
        <f t="shared" si="40"/>
        <v>3.4272</v>
      </c>
      <c r="Q98" s="109"/>
      <c r="R98" s="109"/>
      <c r="S98" s="109"/>
      <c r="T98" s="109"/>
      <c r="U98" s="109"/>
      <c r="V98" s="145">
        <f t="shared" si="24"/>
        <v>25</v>
      </c>
      <c r="W98" s="145"/>
      <c r="X98" s="145"/>
      <c r="Y98" s="145"/>
      <c r="Z98" s="145"/>
      <c r="AA98" s="145"/>
      <c r="AB98" s="153"/>
      <c r="AC98" s="153"/>
    </row>
    <row r="99" ht="14" customHeight="1" spans="1:29">
      <c r="A99" s="109"/>
      <c r="B99" s="110"/>
      <c r="C99" s="109"/>
      <c r="D99" s="109"/>
      <c r="E99" s="109"/>
      <c r="F99" s="109"/>
      <c r="G99" s="109"/>
      <c r="H99" s="109"/>
      <c r="I99" s="109"/>
      <c r="J99" s="118"/>
      <c r="K99" s="131"/>
      <c r="L99" s="109"/>
      <c r="M99" s="109"/>
      <c r="N99" s="118"/>
      <c r="O99" s="118"/>
      <c r="P99" s="118"/>
      <c r="Q99" s="109"/>
      <c r="R99" s="109"/>
      <c r="S99" s="109"/>
      <c r="T99" s="109"/>
      <c r="U99" s="109"/>
      <c r="V99" s="145"/>
      <c r="W99" s="145"/>
      <c r="X99" s="145"/>
      <c r="Y99" s="145"/>
      <c r="Z99" s="145"/>
      <c r="AA99" s="145"/>
      <c r="AB99" s="153"/>
      <c r="AC99" s="153"/>
    </row>
    <row r="100" spans="1:29">
      <c r="A100" s="109"/>
      <c r="B100" s="110"/>
      <c r="C100" s="109"/>
      <c r="D100" s="109"/>
      <c r="E100" s="109"/>
      <c r="F100" s="109"/>
      <c r="G100" s="109"/>
      <c r="H100" s="109"/>
      <c r="I100" s="109"/>
      <c r="J100" s="118"/>
      <c r="K100" s="131"/>
      <c r="L100" s="109"/>
      <c r="M100" s="109"/>
      <c r="N100" s="118"/>
      <c r="O100" s="118"/>
      <c r="P100" s="118"/>
      <c r="Q100" s="109"/>
      <c r="R100" s="109"/>
      <c r="S100" s="109"/>
      <c r="T100" s="109"/>
      <c r="U100" s="109"/>
      <c r="V100" s="145"/>
      <c r="W100" s="145"/>
      <c r="X100" s="145"/>
      <c r="Y100" s="145"/>
      <c r="Z100" s="145"/>
      <c r="AA100" s="145"/>
      <c r="AB100" s="153"/>
      <c r="AC100" s="153"/>
    </row>
    <row r="101" spans="1:29">
      <c r="A101" s="109"/>
      <c r="B101" s="110"/>
      <c r="C101" s="109"/>
      <c r="D101" s="109"/>
      <c r="E101" s="109"/>
      <c r="F101" s="109"/>
      <c r="G101" s="109"/>
      <c r="H101" s="109"/>
      <c r="I101" s="109"/>
      <c r="J101" s="118"/>
      <c r="K101" s="131"/>
      <c r="L101" s="109"/>
      <c r="M101" s="109"/>
      <c r="N101" s="118"/>
      <c r="O101" s="118"/>
      <c r="P101" s="118"/>
      <c r="Q101" s="109"/>
      <c r="R101" s="109"/>
      <c r="S101" s="109"/>
      <c r="T101" s="109"/>
      <c r="U101" s="109"/>
      <c r="V101" s="145"/>
      <c r="W101" s="145"/>
      <c r="X101" s="145"/>
      <c r="Y101" s="145"/>
      <c r="Z101" s="145"/>
      <c r="AA101" s="145"/>
      <c r="AB101" s="153"/>
      <c r="AC101" s="153"/>
    </row>
    <row r="102" ht="15" customHeight="1" spans="1:29">
      <c r="A102" s="110" t="s">
        <v>353</v>
      </c>
      <c r="B102" s="110" t="s">
        <v>252</v>
      </c>
      <c r="C102" s="109"/>
      <c r="D102" s="109"/>
      <c r="E102" s="109"/>
      <c r="F102" s="109"/>
      <c r="G102" s="109"/>
      <c r="H102" s="109"/>
      <c r="I102" s="109"/>
      <c r="J102" s="118"/>
      <c r="K102" s="131"/>
      <c r="L102" s="109"/>
      <c r="M102" s="109"/>
      <c r="N102" s="118"/>
      <c r="O102" s="118"/>
      <c r="P102" s="118"/>
      <c r="Q102" s="121"/>
      <c r="R102" s="109"/>
      <c r="S102" s="109"/>
      <c r="T102" s="109"/>
      <c r="U102" s="109"/>
      <c r="V102" s="145"/>
      <c r="W102" s="145"/>
      <c r="X102" s="145"/>
      <c r="Y102" s="145"/>
      <c r="Z102" s="145"/>
      <c r="AA102" s="145"/>
      <c r="AB102" s="153"/>
      <c r="AC102" s="153"/>
    </row>
    <row r="103" s="105" customFormat="1" ht="13" customHeight="1" spans="1:29">
      <c r="A103" s="109" t="s">
        <v>253</v>
      </c>
      <c r="B103" s="128"/>
      <c r="C103" s="109" t="s">
        <v>264</v>
      </c>
      <c r="D103" s="157" t="s">
        <v>354</v>
      </c>
      <c r="E103" s="109" t="s">
        <v>355</v>
      </c>
      <c r="F103" s="109" t="s">
        <v>290</v>
      </c>
      <c r="G103" s="109">
        <v>60</v>
      </c>
      <c r="H103" s="109">
        <v>10</v>
      </c>
      <c r="I103" s="109">
        <f t="shared" ref="I103:I110" si="41">G103</f>
        <v>60</v>
      </c>
      <c r="J103" s="118">
        <v>10</v>
      </c>
      <c r="K103" s="131">
        <f t="shared" ref="K103:K110" si="42">G103/H103</f>
        <v>6</v>
      </c>
      <c r="L103" s="109" t="s">
        <v>268</v>
      </c>
      <c r="M103" s="109">
        <v>0.062</v>
      </c>
      <c r="N103" s="118">
        <v>12</v>
      </c>
      <c r="O103" s="118">
        <f t="shared" ref="O103:O110" si="43">N103*K103</f>
        <v>72</v>
      </c>
      <c r="P103" s="118">
        <f t="shared" ref="P103:P110" si="44">M103*K103</f>
        <v>0.372</v>
      </c>
      <c r="Q103" s="121"/>
      <c r="R103" s="152"/>
      <c r="S103" s="152"/>
      <c r="T103" s="152"/>
      <c r="U103" s="152"/>
      <c r="V103" s="145"/>
      <c r="W103" s="145"/>
      <c r="X103" s="145">
        <f>G103</f>
        <v>60</v>
      </c>
      <c r="Y103" s="145"/>
      <c r="Z103" s="145">
        <f>X103</f>
        <v>60</v>
      </c>
      <c r="AA103" s="145"/>
      <c r="AB103" s="155"/>
      <c r="AC103" s="155"/>
    </row>
    <row r="104" s="105" customFormat="1" ht="13" customHeight="1" spans="1:29">
      <c r="A104" s="109" t="s">
        <v>253</v>
      </c>
      <c r="B104" s="128"/>
      <c r="C104" s="109" t="s">
        <v>264</v>
      </c>
      <c r="D104" s="157" t="s">
        <v>356</v>
      </c>
      <c r="E104" s="109" t="s">
        <v>357</v>
      </c>
      <c r="F104" s="109" t="s">
        <v>333</v>
      </c>
      <c r="G104" s="109">
        <v>60</v>
      </c>
      <c r="H104" s="109">
        <v>10</v>
      </c>
      <c r="I104" s="109">
        <f t="shared" si="41"/>
        <v>60</v>
      </c>
      <c r="J104" s="118">
        <v>10</v>
      </c>
      <c r="K104" s="131">
        <f t="shared" si="42"/>
        <v>6</v>
      </c>
      <c r="L104" s="109" t="s">
        <v>263</v>
      </c>
      <c r="M104" s="109">
        <v>0.06156</v>
      </c>
      <c r="N104" s="118">
        <v>12</v>
      </c>
      <c r="O104" s="118">
        <f t="shared" si="43"/>
        <v>72</v>
      </c>
      <c r="P104" s="118">
        <f t="shared" si="44"/>
        <v>0.36936</v>
      </c>
      <c r="Q104" s="152"/>
      <c r="R104" s="152"/>
      <c r="S104" s="152"/>
      <c r="T104" s="152"/>
      <c r="U104" s="152"/>
      <c r="V104" s="145"/>
      <c r="W104" s="145"/>
      <c r="X104" s="145">
        <f>G104</f>
        <v>60</v>
      </c>
      <c r="Y104" s="145"/>
      <c r="Z104" s="145">
        <f>X104</f>
        <v>60</v>
      </c>
      <c r="AA104" s="145"/>
      <c r="AB104" s="155"/>
      <c r="AC104" s="155"/>
    </row>
    <row r="105" s="105" customFormat="1" ht="13" customHeight="1" spans="1:29">
      <c r="A105" s="109" t="s">
        <v>253</v>
      </c>
      <c r="B105" s="128"/>
      <c r="C105" s="109" t="s">
        <v>264</v>
      </c>
      <c r="D105" s="157" t="s">
        <v>358</v>
      </c>
      <c r="E105" s="109" t="s">
        <v>359</v>
      </c>
      <c r="F105" s="109" t="s">
        <v>311</v>
      </c>
      <c r="G105" s="109">
        <v>72</v>
      </c>
      <c r="H105" s="109">
        <v>6</v>
      </c>
      <c r="I105" s="109">
        <f t="shared" si="41"/>
        <v>72</v>
      </c>
      <c r="J105" s="118">
        <v>6</v>
      </c>
      <c r="K105" s="131">
        <f t="shared" si="42"/>
        <v>12</v>
      </c>
      <c r="L105" s="109" t="s">
        <v>268</v>
      </c>
      <c r="M105" s="109">
        <v>0.063</v>
      </c>
      <c r="N105" s="118">
        <v>12.11</v>
      </c>
      <c r="O105" s="118">
        <f t="shared" si="43"/>
        <v>145.32</v>
      </c>
      <c r="P105" s="118">
        <f t="shared" si="44"/>
        <v>0.756</v>
      </c>
      <c r="Q105" s="152"/>
      <c r="R105" s="152"/>
      <c r="S105" s="152"/>
      <c r="T105" s="152"/>
      <c r="U105" s="152"/>
      <c r="V105" s="145"/>
      <c r="W105" s="145"/>
      <c r="X105" s="145">
        <f>G105</f>
        <v>72</v>
      </c>
      <c r="Y105" s="145"/>
      <c r="Z105" s="145">
        <f>X105</f>
        <v>72</v>
      </c>
      <c r="AA105" s="145"/>
      <c r="AB105" s="155"/>
      <c r="AC105" s="155"/>
    </row>
    <row r="106" spans="1:29">
      <c r="A106" s="109"/>
      <c r="B106" s="110"/>
      <c r="C106" s="109"/>
      <c r="D106" s="109"/>
      <c r="E106" s="109"/>
      <c r="F106" s="109"/>
      <c r="G106" s="109"/>
      <c r="H106" s="109"/>
      <c r="I106" s="109"/>
      <c r="J106" s="118"/>
      <c r="K106" s="131"/>
      <c r="L106" s="109"/>
      <c r="M106" s="109"/>
      <c r="N106" s="118"/>
      <c r="O106" s="118"/>
      <c r="P106" s="118"/>
      <c r="Q106" s="109"/>
      <c r="R106" s="109"/>
      <c r="S106" s="109"/>
      <c r="T106" s="109"/>
      <c r="U106" s="109"/>
      <c r="V106" s="145"/>
      <c r="W106" s="145"/>
      <c r="X106" s="145"/>
      <c r="Y106" s="145"/>
      <c r="Z106" s="145"/>
      <c r="AA106" s="145"/>
      <c r="AB106" s="153"/>
      <c r="AC106" s="153"/>
    </row>
    <row r="107" spans="1:29">
      <c r="A107" s="109"/>
      <c r="B107" s="110" t="s">
        <v>29</v>
      </c>
      <c r="C107" s="109"/>
      <c r="D107" s="109"/>
      <c r="E107" s="109"/>
      <c r="F107" s="109"/>
      <c r="G107" s="109"/>
      <c r="H107" s="109"/>
      <c r="I107" s="109"/>
      <c r="J107" s="118"/>
      <c r="K107" s="131"/>
      <c r="L107" s="109"/>
      <c r="M107" s="109"/>
      <c r="N107" s="118"/>
      <c r="O107" s="118"/>
      <c r="P107" s="118"/>
      <c r="Q107" s="109"/>
      <c r="R107" s="109"/>
      <c r="S107" s="109"/>
      <c r="T107" s="109"/>
      <c r="U107" s="109"/>
      <c r="V107" s="145"/>
      <c r="W107" s="145"/>
      <c r="X107" s="145"/>
      <c r="Y107" s="145"/>
      <c r="Z107" s="145"/>
      <c r="AA107" s="145"/>
      <c r="AB107" s="153"/>
      <c r="AC107" s="153"/>
    </row>
    <row r="108" spans="1:29">
      <c r="A108" s="109" t="s">
        <v>28</v>
      </c>
      <c r="B108" s="110"/>
      <c r="C108" s="116" t="s">
        <v>200</v>
      </c>
      <c r="D108" s="116" t="s">
        <v>360</v>
      </c>
      <c r="E108" s="116" t="s">
        <v>361</v>
      </c>
      <c r="F108" s="119" t="s">
        <v>203</v>
      </c>
      <c r="G108" s="116">
        <v>18</v>
      </c>
      <c r="H108" s="116">
        <v>6</v>
      </c>
      <c r="I108" s="109">
        <f t="shared" si="41"/>
        <v>18</v>
      </c>
      <c r="J108" s="132">
        <v>6</v>
      </c>
      <c r="K108" s="131">
        <f t="shared" si="42"/>
        <v>3</v>
      </c>
      <c r="L108" s="116" t="s">
        <v>204</v>
      </c>
      <c r="M108" s="132">
        <v>0.1845</v>
      </c>
      <c r="N108" s="132">
        <v>11.4</v>
      </c>
      <c r="O108" s="132">
        <f t="shared" si="43"/>
        <v>34.2</v>
      </c>
      <c r="P108" s="118">
        <f t="shared" si="44"/>
        <v>0.5535</v>
      </c>
      <c r="Q108" s="109"/>
      <c r="R108" s="109"/>
      <c r="S108" s="109"/>
      <c r="T108" s="109"/>
      <c r="U108" s="109"/>
      <c r="V108" s="145"/>
      <c r="W108" s="145"/>
      <c r="X108" s="145"/>
      <c r="Y108" s="145">
        <f>G108</f>
        <v>18</v>
      </c>
      <c r="Z108" s="165"/>
      <c r="AA108" s="145">
        <f>G108</f>
        <v>18</v>
      </c>
      <c r="AB108" s="153"/>
      <c r="AC108" s="153"/>
    </row>
    <row r="109" spans="1:29">
      <c r="A109" s="109" t="s">
        <v>28</v>
      </c>
      <c r="B109" s="110"/>
      <c r="C109" s="116" t="s">
        <v>362</v>
      </c>
      <c r="D109" s="116" t="s">
        <v>363</v>
      </c>
      <c r="E109" s="116" t="s">
        <v>364</v>
      </c>
      <c r="F109" s="116" t="s">
        <v>365</v>
      </c>
      <c r="G109" s="116">
        <v>18</v>
      </c>
      <c r="H109" s="116">
        <v>6</v>
      </c>
      <c r="I109" s="109">
        <f t="shared" si="41"/>
        <v>18</v>
      </c>
      <c r="J109" s="132">
        <v>6</v>
      </c>
      <c r="K109" s="131">
        <f t="shared" si="42"/>
        <v>3</v>
      </c>
      <c r="L109" s="116" t="s">
        <v>204</v>
      </c>
      <c r="M109" s="132">
        <v>0.1845</v>
      </c>
      <c r="N109" s="132">
        <v>11.4</v>
      </c>
      <c r="O109" s="132">
        <f t="shared" si="43"/>
        <v>34.2</v>
      </c>
      <c r="P109" s="132">
        <f t="shared" si="44"/>
        <v>0.5535</v>
      </c>
      <c r="Q109" s="109"/>
      <c r="R109" s="109"/>
      <c r="S109" s="109"/>
      <c r="T109" s="109"/>
      <c r="U109" s="109"/>
      <c r="V109" s="145"/>
      <c r="W109" s="145"/>
      <c r="X109" s="145"/>
      <c r="Y109" s="145">
        <f>G109</f>
        <v>18</v>
      </c>
      <c r="Z109" s="165"/>
      <c r="AA109" s="145">
        <f>G109</f>
        <v>18</v>
      </c>
      <c r="AB109" s="153"/>
      <c r="AC109" s="153"/>
    </row>
    <row r="110" spans="1:29">
      <c r="A110" s="109" t="s">
        <v>28</v>
      </c>
      <c r="B110" s="110"/>
      <c r="C110" s="116" t="s">
        <v>366</v>
      </c>
      <c r="D110" s="116" t="s">
        <v>367</v>
      </c>
      <c r="E110" s="116" t="s">
        <v>368</v>
      </c>
      <c r="F110" s="119" t="s">
        <v>369</v>
      </c>
      <c r="G110" s="116">
        <v>18</v>
      </c>
      <c r="H110" s="116">
        <v>6</v>
      </c>
      <c r="I110" s="109">
        <f t="shared" si="41"/>
        <v>18</v>
      </c>
      <c r="J110" s="132">
        <v>6</v>
      </c>
      <c r="K110" s="131">
        <f t="shared" si="42"/>
        <v>3</v>
      </c>
      <c r="L110" s="116" t="s">
        <v>204</v>
      </c>
      <c r="M110" s="132">
        <v>0.1845</v>
      </c>
      <c r="N110" s="132">
        <v>11.4</v>
      </c>
      <c r="O110" s="132">
        <f t="shared" si="43"/>
        <v>34.2</v>
      </c>
      <c r="P110" s="132">
        <f t="shared" si="44"/>
        <v>0.5535</v>
      </c>
      <c r="Q110" s="109"/>
      <c r="R110" s="109"/>
      <c r="S110" s="109"/>
      <c r="T110" s="109"/>
      <c r="U110" s="109"/>
      <c r="V110" s="145"/>
      <c r="W110" s="145"/>
      <c r="X110" s="145"/>
      <c r="Y110" s="145">
        <f>G110</f>
        <v>18</v>
      </c>
      <c r="Z110" s="165"/>
      <c r="AA110" s="145">
        <f>G110</f>
        <v>18</v>
      </c>
      <c r="AB110" s="153"/>
      <c r="AC110" s="153"/>
    </row>
    <row r="111" spans="1:29">
      <c r="A111" s="158"/>
      <c r="B111" s="159"/>
      <c r="C111" s="160"/>
      <c r="D111" s="160"/>
      <c r="E111" s="160"/>
      <c r="F111" s="161"/>
      <c r="G111" s="160"/>
      <c r="H111" s="160"/>
      <c r="I111" s="158"/>
      <c r="J111" s="164"/>
      <c r="K111" s="131"/>
      <c r="L111" s="116"/>
      <c r="M111" s="132"/>
      <c r="N111" s="132"/>
      <c r="O111" s="132"/>
      <c r="P111" s="132"/>
      <c r="Q111" s="109"/>
      <c r="R111" s="109"/>
      <c r="S111" s="109"/>
      <c r="T111" s="109"/>
      <c r="U111" s="109"/>
      <c r="V111" s="145"/>
      <c r="W111" s="145"/>
      <c r="X111" s="145"/>
      <c r="Y111" s="145"/>
      <c r="Z111" s="165"/>
      <c r="AA111" s="145"/>
      <c r="AB111" s="153"/>
      <c r="AC111" s="153"/>
    </row>
    <row r="112" spans="11:29">
      <c r="K112" s="118" t="s">
        <v>370</v>
      </c>
      <c r="L112" s="109"/>
      <c r="M112" s="109"/>
      <c r="N112" s="118"/>
      <c r="O112" s="118"/>
      <c r="P112" s="118"/>
      <c r="Q112" s="109"/>
      <c r="R112" s="109"/>
      <c r="S112" s="109"/>
      <c r="T112" s="109"/>
      <c r="U112" s="109"/>
      <c r="V112" s="145">
        <f>SUM(V2:V110)</f>
        <v>795</v>
      </c>
      <c r="W112" s="145">
        <f>SUM(W3:W110)</f>
        <v>18</v>
      </c>
      <c r="X112" s="145">
        <f>SUM(X3:X110)</f>
        <v>6104</v>
      </c>
      <c r="Y112" s="145">
        <f t="shared" ref="Y112" si="45">SUM(Y3:Y110)</f>
        <v>308</v>
      </c>
      <c r="Z112" s="145">
        <f>SUM(Z63:Z109)</f>
        <v>2960</v>
      </c>
      <c r="AA112" s="145">
        <f>SUM(AA8:AA110)</f>
        <v>446</v>
      </c>
      <c r="AB112" s="145">
        <f>SUM(AB2:AB111)</f>
        <v>1018</v>
      </c>
      <c r="AC112" s="145">
        <v>48</v>
      </c>
    </row>
    <row r="113" spans="11:29">
      <c r="K113" s="118" t="s">
        <v>371</v>
      </c>
      <c r="L113" s="109"/>
      <c r="M113" s="109"/>
      <c r="N113" s="118"/>
      <c r="O113" s="118"/>
      <c r="P113" s="118"/>
      <c r="Q113" s="109"/>
      <c r="R113" s="109"/>
      <c r="S113" s="109"/>
      <c r="T113" s="109"/>
      <c r="U113" s="109"/>
      <c r="V113" s="145">
        <f>V112*2*0.38</f>
        <v>604.2</v>
      </c>
      <c r="W113" s="145">
        <f>W112*2*0.38</f>
        <v>13.68</v>
      </c>
      <c r="X113" s="145">
        <f>X112*0.46</f>
        <v>2807.84</v>
      </c>
      <c r="Y113" s="145">
        <f>Y112*2*0.62</f>
        <v>381.92</v>
      </c>
      <c r="Z113" s="145">
        <f>Z112*1.2</f>
        <v>3552</v>
      </c>
      <c r="AA113" s="145">
        <f>AA112*3</f>
        <v>1338</v>
      </c>
      <c r="AB113" s="145">
        <f>AB112*0.8</f>
        <v>814.4</v>
      </c>
      <c r="AC113" s="145">
        <f>AC112*1.4</f>
        <v>67.2</v>
      </c>
    </row>
  </sheetData>
  <mergeCells count="15">
    <mergeCell ref="B53:B59"/>
    <mergeCell ref="B63:B66"/>
    <mergeCell ref="B71:B82"/>
    <mergeCell ref="B85:B93"/>
    <mergeCell ref="B96:B98"/>
    <mergeCell ref="B103:B105"/>
    <mergeCell ref="G53:G54"/>
    <mergeCell ref="H53:H54"/>
    <mergeCell ref="K53:K54"/>
    <mergeCell ref="L53:L54"/>
    <mergeCell ref="M53:M54"/>
    <mergeCell ref="N53:N54"/>
    <mergeCell ref="O53:O54"/>
    <mergeCell ref="P53:P54"/>
    <mergeCell ref="X52:X59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81"/>
  <sheetViews>
    <sheetView workbookViewId="0">
      <pane ySplit="1" topLeftCell="A17" activePane="bottomLeft" state="frozen"/>
      <selection/>
      <selection pane="bottomLeft" activeCell="D85" sqref="D85"/>
    </sheetView>
  </sheetViews>
  <sheetFormatPr defaultColWidth="8.725" defaultRowHeight="14.25"/>
  <cols>
    <col min="1" max="1" width="5.90833333333333" style="3" customWidth="1"/>
    <col min="2" max="2" width="14.9083333333333" style="3" customWidth="1"/>
    <col min="3" max="3" width="20.9083333333333" style="3" customWidth="1"/>
    <col min="4" max="4" width="17" style="4" customWidth="1"/>
    <col min="5" max="5" width="13.3666666666667" style="3" customWidth="1"/>
    <col min="6" max="6" width="12.725" style="5" customWidth="1"/>
    <col min="7" max="7" width="6.54166666666667" style="6" customWidth="1"/>
    <col min="8" max="8" width="11.1833333333333" style="6" hidden="1" customWidth="1"/>
    <col min="9" max="9" width="7.26666666666667" style="6" customWidth="1"/>
    <col min="10" max="10" width="8.725" style="6" hidden="1" customWidth="1"/>
    <col min="11" max="11" width="5.36666666666667" style="6" customWidth="1"/>
    <col min="12" max="12" width="18.8166666666667" style="3" hidden="1" customWidth="1"/>
    <col min="13" max="13" width="8.725" style="3" hidden="1" customWidth="1"/>
    <col min="14" max="14" width="15.3666666666667" style="6" hidden="1" customWidth="1"/>
    <col min="15" max="16" width="8.725" style="6" hidden="1" customWidth="1"/>
    <col min="17" max="20" width="8.725" style="3" hidden="1" customWidth="1"/>
    <col min="21" max="21" width="8.725" style="3"/>
    <col min="22" max="22" width="7.81666666666667" style="3" customWidth="1"/>
    <col min="23" max="23" width="5.81666666666667" style="3" customWidth="1"/>
    <col min="24" max="24" width="11.1833333333333" style="3" customWidth="1"/>
    <col min="25" max="25" width="6.90833333333333" style="3" customWidth="1"/>
    <col min="26" max="26" width="8.725" style="3"/>
    <col min="27" max="27" width="7.725" style="3" customWidth="1"/>
    <col min="28" max="28" width="8.63333333333333" style="3" customWidth="1"/>
    <col min="29" max="29" width="6" style="3" customWidth="1"/>
    <col min="30" max="32" width="11.9083333333333" style="3" customWidth="1"/>
    <col min="33" max="16384" width="8.725" style="3"/>
  </cols>
  <sheetData>
    <row r="1" ht="25" customHeight="1" spans="1:32">
      <c r="A1" s="7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10" t="s">
        <v>5</v>
      </c>
      <c r="G1" s="11" t="s">
        <v>6</v>
      </c>
      <c r="H1" s="11" t="s">
        <v>7</v>
      </c>
      <c r="I1" s="47" t="s">
        <v>8</v>
      </c>
      <c r="J1" s="48" t="s">
        <v>9</v>
      </c>
      <c r="K1" s="11" t="s">
        <v>10</v>
      </c>
      <c r="L1" s="49" t="s">
        <v>11</v>
      </c>
      <c r="M1" s="50" t="s">
        <v>12</v>
      </c>
      <c r="N1" s="51" t="s">
        <v>13</v>
      </c>
      <c r="O1" s="51" t="s">
        <v>14</v>
      </c>
      <c r="P1" s="51" t="s">
        <v>15</v>
      </c>
      <c r="Q1" s="50" t="s">
        <v>16</v>
      </c>
      <c r="R1" s="49" t="s">
        <v>17</v>
      </c>
      <c r="S1" s="72" t="s">
        <v>18</v>
      </c>
      <c r="T1" s="73" t="s">
        <v>19</v>
      </c>
      <c r="U1" s="74" t="s">
        <v>20</v>
      </c>
      <c r="V1" s="75" t="s">
        <v>372</v>
      </c>
      <c r="W1" s="74" t="s">
        <v>22</v>
      </c>
      <c r="X1" s="76" t="s">
        <v>373</v>
      </c>
      <c r="Y1" s="75" t="s">
        <v>374</v>
      </c>
      <c r="Z1" s="74" t="s">
        <v>24</v>
      </c>
      <c r="AA1" s="74" t="s">
        <v>375</v>
      </c>
      <c r="AB1" s="75" t="s">
        <v>376</v>
      </c>
      <c r="AC1" s="75" t="s">
        <v>377</v>
      </c>
      <c r="AD1" s="74" t="s">
        <v>378</v>
      </c>
      <c r="AE1" s="74" t="s">
        <v>379</v>
      </c>
      <c r="AF1" s="74" t="s">
        <v>379</v>
      </c>
    </row>
    <row r="2" ht="13" customHeight="1" spans="1:32">
      <c r="A2" s="12" t="s">
        <v>380</v>
      </c>
      <c r="B2" s="13"/>
      <c r="C2" s="13"/>
      <c r="D2" s="14"/>
      <c r="E2" s="13"/>
      <c r="F2" s="15"/>
      <c r="G2" s="16"/>
      <c r="H2" s="16"/>
      <c r="I2" s="16"/>
      <c r="J2" s="16"/>
      <c r="K2" s="16"/>
      <c r="L2" s="52"/>
      <c r="M2" s="52"/>
      <c r="N2" s="53"/>
      <c r="O2" s="53"/>
      <c r="P2" s="52"/>
      <c r="U2" s="77"/>
      <c r="V2" s="77"/>
      <c r="W2" s="77"/>
      <c r="X2" s="77"/>
      <c r="Y2" s="77"/>
      <c r="Z2" s="77"/>
      <c r="AA2" s="77"/>
      <c r="AB2" s="77"/>
      <c r="AC2" s="77"/>
      <c r="AD2" s="84"/>
      <c r="AE2" s="84"/>
      <c r="AF2" s="84"/>
    </row>
    <row r="3" ht="13" customHeight="1" spans="1:32">
      <c r="A3" s="17" t="s">
        <v>381</v>
      </c>
      <c r="B3" s="13"/>
      <c r="C3" s="13" t="s">
        <v>382</v>
      </c>
      <c r="D3" s="14" t="s">
        <v>383</v>
      </c>
      <c r="E3" s="13" t="s">
        <v>384</v>
      </c>
      <c r="F3" s="18" t="s">
        <v>385</v>
      </c>
      <c r="G3" s="19">
        <v>120</v>
      </c>
      <c r="H3" s="19">
        <v>6</v>
      </c>
      <c r="I3" s="19">
        <f t="shared" ref="I3:I5" si="0">G3</f>
        <v>120</v>
      </c>
      <c r="J3" s="19">
        <v>6</v>
      </c>
      <c r="K3" s="19">
        <f>G3/H3</f>
        <v>20</v>
      </c>
      <c r="L3" s="45" t="s">
        <v>386</v>
      </c>
      <c r="M3" s="17">
        <v>0.066</v>
      </c>
      <c r="N3" s="46">
        <v>9.5</v>
      </c>
      <c r="O3" s="46">
        <f t="shared" ref="O3:O5" si="1">N3*K3</f>
        <v>190</v>
      </c>
      <c r="P3" s="17">
        <f t="shared" ref="P3:P5" si="2">M3*K3</f>
        <v>1.32</v>
      </c>
      <c r="U3" s="77">
        <f>K3</f>
        <v>20</v>
      </c>
      <c r="V3" s="77"/>
      <c r="W3" s="77"/>
      <c r="X3" s="77"/>
      <c r="Y3" s="77"/>
      <c r="Z3" s="77"/>
      <c r="AA3" s="77"/>
      <c r="AB3" s="77"/>
      <c r="AC3" s="77"/>
      <c r="AD3" s="84">
        <v>120</v>
      </c>
      <c r="AE3" s="84">
        <v>20</v>
      </c>
      <c r="AF3" s="84"/>
    </row>
    <row r="4" ht="13" customHeight="1" spans="1:32">
      <c r="A4" s="12" t="s">
        <v>387</v>
      </c>
      <c r="B4" s="13"/>
      <c r="C4" s="13"/>
      <c r="D4" s="14"/>
      <c r="E4" s="13"/>
      <c r="F4" s="20"/>
      <c r="G4" s="19"/>
      <c r="H4" s="19"/>
      <c r="I4" s="19"/>
      <c r="J4" s="19"/>
      <c r="K4" s="19"/>
      <c r="L4" s="17"/>
      <c r="M4" s="17"/>
      <c r="N4" s="46"/>
      <c r="O4" s="46"/>
      <c r="P4" s="17"/>
      <c r="U4" s="77"/>
      <c r="V4" s="77"/>
      <c r="W4" s="77"/>
      <c r="X4" s="77"/>
      <c r="Y4" s="77"/>
      <c r="Z4" s="77"/>
      <c r="AA4" s="77"/>
      <c r="AB4" s="77"/>
      <c r="AC4" s="77"/>
      <c r="AD4" s="84"/>
      <c r="AE4" s="84"/>
      <c r="AF4" s="84"/>
    </row>
    <row r="5" spans="1:32">
      <c r="A5" s="17" t="s">
        <v>388</v>
      </c>
      <c r="B5" s="13"/>
      <c r="C5" s="13" t="s">
        <v>389</v>
      </c>
      <c r="D5" s="14" t="s">
        <v>390</v>
      </c>
      <c r="E5" s="13" t="s">
        <v>391</v>
      </c>
      <c r="F5" s="21" t="s">
        <v>392</v>
      </c>
      <c r="G5" s="19">
        <v>100</v>
      </c>
      <c r="H5" s="19">
        <v>1</v>
      </c>
      <c r="I5" s="19">
        <f t="shared" si="0"/>
        <v>100</v>
      </c>
      <c r="J5" s="19">
        <v>100</v>
      </c>
      <c r="K5" s="19">
        <f>G5/H5</f>
        <v>100</v>
      </c>
      <c r="L5" s="45" t="s">
        <v>393</v>
      </c>
      <c r="M5" s="54">
        <v>0.11316</v>
      </c>
      <c r="N5" s="55">
        <v>18.5</v>
      </c>
      <c r="O5" s="56">
        <f t="shared" si="1"/>
        <v>1850</v>
      </c>
      <c r="P5" s="57">
        <f t="shared" si="2"/>
        <v>11.316</v>
      </c>
      <c r="U5" s="77"/>
      <c r="V5" s="77"/>
      <c r="W5" s="77"/>
      <c r="X5" s="77"/>
      <c r="Y5" s="77"/>
      <c r="Z5" s="77"/>
      <c r="AA5" s="77"/>
      <c r="AB5" s="77"/>
      <c r="AC5" s="77"/>
      <c r="AD5" s="84"/>
      <c r="AE5" s="84"/>
      <c r="AF5" s="84">
        <f>100*5</f>
        <v>500</v>
      </c>
    </row>
    <row r="6" spans="1:32">
      <c r="A6" s="17" t="s">
        <v>388</v>
      </c>
      <c r="B6" s="13"/>
      <c r="C6" s="13" t="s">
        <v>394</v>
      </c>
      <c r="D6" s="14"/>
      <c r="E6" s="13"/>
      <c r="F6" s="21" t="s">
        <v>395</v>
      </c>
      <c r="G6" s="19"/>
      <c r="H6" s="19">
        <v>1</v>
      </c>
      <c r="I6" s="19">
        <v>100</v>
      </c>
      <c r="J6" s="19">
        <v>100</v>
      </c>
      <c r="K6" s="19"/>
      <c r="L6" s="45" t="s">
        <v>393</v>
      </c>
      <c r="M6" s="54"/>
      <c r="N6" s="55"/>
      <c r="O6" s="56"/>
      <c r="P6" s="57"/>
      <c r="U6" s="77"/>
      <c r="V6" s="77"/>
      <c r="W6" s="77">
        <v>100</v>
      </c>
      <c r="X6" s="77"/>
      <c r="Y6" s="77"/>
      <c r="Z6" s="77"/>
      <c r="AA6" s="77"/>
      <c r="AB6" s="77"/>
      <c r="AC6" s="77"/>
      <c r="AD6" s="84"/>
      <c r="AE6" s="84"/>
      <c r="AF6" s="84"/>
    </row>
    <row r="7" spans="1:32">
      <c r="A7" s="12" t="s">
        <v>396</v>
      </c>
      <c r="B7" s="13"/>
      <c r="C7" s="13"/>
      <c r="D7" s="14"/>
      <c r="E7" s="13"/>
      <c r="F7" s="21"/>
      <c r="G7" s="19"/>
      <c r="H7" s="19"/>
      <c r="I7" s="19"/>
      <c r="J7" s="19"/>
      <c r="K7" s="19"/>
      <c r="L7" s="45"/>
      <c r="M7" s="54"/>
      <c r="N7" s="57"/>
      <c r="O7" s="56"/>
      <c r="P7" s="57"/>
      <c r="U7" s="77"/>
      <c r="V7" s="77"/>
      <c r="W7" s="77"/>
      <c r="X7" s="77"/>
      <c r="Y7" s="77"/>
      <c r="Z7" s="77"/>
      <c r="AA7" s="77"/>
      <c r="AB7" s="77"/>
      <c r="AC7" s="77"/>
      <c r="AD7" s="84"/>
      <c r="AE7" s="84"/>
      <c r="AF7" s="84"/>
    </row>
    <row r="8" ht="15" customHeight="1" spans="1:32">
      <c r="A8" s="17" t="s">
        <v>336</v>
      </c>
      <c r="B8" s="13"/>
      <c r="C8" s="13" t="s">
        <v>149</v>
      </c>
      <c r="D8" s="22" t="s">
        <v>397</v>
      </c>
      <c r="E8" s="23" t="s">
        <v>398</v>
      </c>
      <c r="F8" s="18" t="s">
        <v>177</v>
      </c>
      <c r="G8" s="24">
        <v>20</v>
      </c>
      <c r="H8" s="24">
        <v>10</v>
      </c>
      <c r="I8" s="24">
        <f t="shared" ref="I8:I13" si="3">G8</f>
        <v>20</v>
      </c>
      <c r="J8" s="24">
        <v>10</v>
      </c>
      <c r="K8" s="19">
        <f t="shared" ref="K8:K13" si="4">G8/H8</f>
        <v>2</v>
      </c>
      <c r="L8" s="17" t="s">
        <v>399</v>
      </c>
      <c r="M8" s="58">
        <v>0.239598</v>
      </c>
      <c r="N8" s="58">
        <v>2.72</v>
      </c>
      <c r="O8" s="59">
        <v>5.44</v>
      </c>
      <c r="P8" s="59">
        <v>0.479196</v>
      </c>
      <c r="Q8" s="78"/>
      <c r="U8" s="77">
        <f>K8</f>
        <v>2</v>
      </c>
      <c r="V8" s="77"/>
      <c r="W8" s="77">
        <f>G8*2</f>
        <v>40</v>
      </c>
      <c r="X8" s="77"/>
      <c r="Y8" s="77">
        <f>G8</f>
        <v>20</v>
      </c>
      <c r="Z8" s="77"/>
      <c r="AA8" s="77">
        <f>G8</f>
        <v>20</v>
      </c>
      <c r="AB8" s="77"/>
      <c r="AC8" s="77"/>
      <c r="AD8" s="84"/>
      <c r="AE8" s="84"/>
      <c r="AF8" s="84"/>
    </row>
    <row r="9" ht="15" customHeight="1" spans="1:32">
      <c r="A9" s="17" t="s">
        <v>336</v>
      </c>
      <c r="B9" s="13"/>
      <c r="C9" s="13" t="s">
        <v>149</v>
      </c>
      <c r="D9" s="22" t="s">
        <v>400</v>
      </c>
      <c r="E9" s="23" t="s">
        <v>401</v>
      </c>
      <c r="F9" s="20" t="s">
        <v>152</v>
      </c>
      <c r="G9" s="24">
        <v>12</v>
      </c>
      <c r="H9" s="24">
        <v>6</v>
      </c>
      <c r="I9" s="24">
        <f t="shared" si="3"/>
        <v>12</v>
      </c>
      <c r="J9" s="24">
        <v>6</v>
      </c>
      <c r="K9" s="19">
        <f t="shared" si="4"/>
        <v>2</v>
      </c>
      <c r="L9" s="17" t="s">
        <v>402</v>
      </c>
      <c r="M9" s="46">
        <v>0.3034</v>
      </c>
      <c r="N9" s="46">
        <v>13.67</v>
      </c>
      <c r="O9" s="59">
        <v>27.34</v>
      </c>
      <c r="P9" s="59">
        <v>0.6068</v>
      </c>
      <c r="Q9" s="78"/>
      <c r="U9" s="77">
        <f>K9</f>
        <v>2</v>
      </c>
      <c r="V9" s="77"/>
      <c r="W9" s="77">
        <f t="shared" ref="W9:W11" si="5">G9*2</f>
        <v>24</v>
      </c>
      <c r="X9" s="77"/>
      <c r="Y9" s="77">
        <f t="shared" ref="Y9:Y11" si="6">G9</f>
        <v>12</v>
      </c>
      <c r="Z9" s="77"/>
      <c r="AA9" s="77">
        <f t="shared" ref="AA9:AA11" si="7">G9</f>
        <v>12</v>
      </c>
      <c r="AB9" s="77"/>
      <c r="AC9" s="77"/>
      <c r="AD9" s="84"/>
      <c r="AE9" s="84"/>
      <c r="AF9" s="84"/>
    </row>
    <row r="10" ht="15" customHeight="1" spans="1:32">
      <c r="A10" s="17" t="s">
        <v>336</v>
      </c>
      <c r="B10" s="13"/>
      <c r="C10" s="13" t="s">
        <v>149</v>
      </c>
      <c r="D10" s="25" t="s">
        <v>403</v>
      </c>
      <c r="E10" s="14" t="s">
        <v>404</v>
      </c>
      <c r="F10" s="21" t="s">
        <v>156</v>
      </c>
      <c r="G10" s="24">
        <v>10</v>
      </c>
      <c r="H10" s="24">
        <v>10</v>
      </c>
      <c r="I10" s="24">
        <f t="shared" si="3"/>
        <v>10</v>
      </c>
      <c r="J10" s="24">
        <v>10</v>
      </c>
      <c r="K10" s="19">
        <f t="shared" si="4"/>
        <v>1</v>
      </c>
      <c r="L10" s="17" t="s">
        <v>405</v>
      </c>
      <c r="M10" s="57">
        <v>0.295776</v>
      </c>
      <c r="N10" s="57">
        <v>17.9</v>
      </c>
      <c r="O10" s="59">
        <v>17.9</v>
      </c>
      <c r="P10" s="59">
        <v>0.295776</v>
      </c>
      <c r="Q10" s="78"/>
      <c r="U10" s="77">
        <f t="shared" ref="U9:U32" si="8">K10</f>
        <v>1</v>
      </c>
      <c r="V10" s="77"/>
      <c r="W10" s="77">
        <f t="shared" si="5"/>
        <v>20</v>
      </c>
      <c r="X10" s="77"/>
      <c r="Y10" s="77">
        <f t="shared" si="6"/>
        <v>10</v>
      </c>
      <c r="Z10" s="77"/>
      <c r="AA10" s="77">
        <f t="shared" si="7"/>
        <v>10</v>
      </c>
      <c r="AB10" s="77"/>
      <c r="AC10" s="77"/>
      <c r="AD10" s="84"/>
      <c r="AE10" s="84"/>
      <c r="AF10" s="84"/>
    </row>
    <row r="11" ht="15" customHeight="1" spans="1:32">
      <c r="A11" s="17" t="s">
        <v>336</v>
      </c>
      <c r="B11" s="13"/>
      <c r="C11" s="13" t="s">
        <v>149</v>
      </c>
      <c r="D11" s="22" t="s">
        <v>406</v>
      </c>
      <c r="E11" s="23" t="s">
        <v>407</v>
      </c>
      <c r="F11" s="18" t="s">
        <v>408</v>
      </c>
      <c r="G11" s="24">
        <v>10</v>
      </c>
      <c r="H11" s="24">
        <v>10</v>
      </c>
      <c r="I11" s="24">
        <f t="shared" si="3"/>
        <v>10</v>
      </c>
      <c r="J11" s="24">
        <v>10</v>
      </c>
      <c r="K11" s="19">
        <f t="shared" si="4"/>
        <v>1</v>
      </c>
      <c r="L11" s="17" t="s">
        <v>409</v>
      </c>
      <c r="M11" s="46">
        <v>0.3045</v>
      </c>
      <c r="N11" s="46">
        <v>18.1</v>
      </c>
      <c r="O11" s="59">
        <v>18.1</v>
      </c>
      <c r="P11" s="59">
        <v>0.3045</v>
      </c>
      <c r="Q11" s="78"/>
      <c r="U11" s="77">
        <f t="shared" si="8"/>
        <v>1</v>
      </c>
      <c r="V11" s="77"/>
      <c r="W11" s="77">
        <f t="shared" si="5"/>
        <v>20</v>
      </c>
      <c r="X11" s="77"/>
      <c r="Y11" s="77">
        <f t="shared" si="6"/>
        <v>10</v>
      </c>
      <c r="Z11" s="77"/>
      <c r="AA11" s="77">
        <f t="shared" si="7"/>
        <v>10</v>
      </c>
      <c r="AB11" s="77"/>
      <c r="AC11" s="77"/>
      <c r="AD11" s="84"/>
      <c r="AE11" s="84"/>
      <c r="AF11" s="84"/>
    </row>
    <row r="12" ht="15" customHeight="1" spans="1:32">
      <c r="A12" s="17" t="s">
        <v>336</v>
      </c>
      <c r="B12" s="13"/>
      <c r="C12" s="13" t="s">
        <v>410</v>
      </c>
      <c r="D12" s="26" t="s">
        <v>411</v>
      </c>
      <c r="E12" s="13" t="s">
        <v>412</v>
      </c>
      <c r="F12" s="21" t="s">
        <v>413</v>
      </c>
      <c r="G12" s="19">
        <v>60</v>
      </c>
      <c r="H12" s="19">
        <v>60</v>
      </c>
      <c r="I12" s="24">
        <f t="shared" si="3"/>
        <v>60</v>
      </c>
      <c r="J12" s="19">
        <v>60</v>
      </c>
      <c r="K12" s="19">
        <f t="shared" si="4"/>
        <v>1</v>
      </c>
      <c r="L12" s="17" t="s">
        <v>414</v>
      </c>
      <c r="M12" s="17">
        <v>0.054</v>
      </c>
      <c r="N12" s="17">
        <v>12</v>
      </c>
      <c r="O12" s="17">
        <v>12</v>
      </c>
      <c r="P12" s="59">
        <v>0.054</v>
      </c>
      <c r="Q12" s="78"/>
      <c r="U12" s="77">
        <f t="shared" si="8"/>
        <v>1</v>
      </c>
      <c r="V12" s="77"/>
      <c r="W12" s="77">
        <f t="shared" ref="W12:W31" si="9">G12</f>
        <v>60</v>
      </c>
      <c r="X12" s="77"/>
      <c r="Y12" s="77"/>
      <c r="Z12" s="77"/>
      <c r="AA12" s="77"/>
      <c r="AB12" s="77"/>
      <c r="AC12" s="77"/>
      <c r="AD12" s="84"/>
      <c r="AE12" s="84"/>
      <c r="AF12" s="84"/>
    </row>
    <row r="13" ht="15" customHeight="1" spans="1:32">
      <c r="A13" s="17" t="s">
        <v>336</v>
      </c>
      <c r="B13" s="13"/>
      <c r="C13" s="13" t="s">
        <v>410</v>
      </c>
      <c r="D13" s="13" t="s">
        <v>415</v>
      </c>
      <c r="E13" s="13" t="s">
        <v>416</v>
      </c>
      <c r="F13" s="21" t="s">
        <v>417</v>
      </c>
      <c r="G13" s="19">
        <v>60</v>
      </c>
      <c r="H13" s="19">
        <v>60</v>
      </c>
      <c r="I13" s="24">
        <f t="shared" si="3"/>
        <v>60</v>
      </c>
      <c r="J13" s="19">
        <v>60</v>
      </c>
      <c r="K13" s="19">
        <f t="shared" si="4"/>
        <v>1</v>
      </c>
      <c r="L13" s="17" t="s">
        <v>414</v>
      </c>
      <c r="M13" s="17">
        <v>0.054</v>
      </c>
      <c r="N13" s="17">
        <v>12</v>
      </c>
      <c r="O13" s="17">
        <v>12</v>
      </c>
      <c r="P13" s="59">
        <v>0.054</v>
      </c>
      <c r="Q13" s="78"/>
      <c r="U13" s="77">
        <f t="shared" si="8"/>
        <v>1</v>
      </c>
      <c r="V13" s="77"/>
      <c r="W13" s="77">
        <f t="shared" si="9"/>
        <v>60</v>
      </c>
      <c r="X13" s="77"/>
      <c r="Y13" s="77"/>
      <c r="Z13" s="77"/>
      <c r="AA13" s="77"/>
      <c r="AB13" s="77"/>
      <c r="AC13" s="77"/>
      <c r="AD13" s="84"/>
      <c r="AE13" s="84"/>
      <c r="AF13" s="84"/>
    </row>
    <row r="14" s="1" customFormat="1" ht="15" customHeight="1" spans="1:32">
      <c r="A14" s="27" t="s">
        <v>252</v>
      </c>
      <c r="B14" s="28"/>
      <c r="C14" s="28"/>
      <c r="D14" s="29"/>
      <c r="E14" s="30"/>
      <c r="F14" s="30"/>
      <c r="G14" s="31"/>
      <c r="H14" s="31"/>
      <c r="I14" s="60"/>
      <c r="J14" s="60"/>
      <c r="K14" s="31"/>
      <c r="L14" s="61"/>
      <c r="M14" s="62"/>
      <c r="N14" s="63"/>
      <c r="O14" s="63"/>
      <c r="P14" s="63"/>
      <c r="Q14" s="79"/>
      <c r="U14" s="77"/>
      <c r="V14" s="77"/>
      <c r="W14" s="77"/>
      <c r="X14" s="77"/>
      <c r="Y14" s="77"/>
      <c r="Z14" s="83"/>
      <c r="AA14" s="83"/>
      <c r="AB14" s="83"/>
      <c r="AC14" s="83"/>
      <c r="AD14" s="84"/>
      <c r="AE14" s="84"/>
      <c r="AF14" s="84"/>
    </row>
    <row r="15" s="2" customFormat="1" ht="16" customHeight="1" spans="1:32">
      <c r="A15" s="32" t="s">
        <v>253</v>
      </c>
      <c r="B15" s="33" t="s">
        <v>254</v>
      </c>
      <c r="C15" s="28" t="s">
        <v>255</v>
      </c>
      <c r="D15" s="29" t="s">
        <v>418</v>
      </c>
      <c r="E15" s="28" t="s">
        <v>419</v>
      </c>
      <c r="F15" s="30" t="s">
        <v>258</v>
      </c>
      <c r="G15" s="31">
        <v>80</v>
      </c>
      <c r="H15" s="31">
        <v>10</v>
      </c>
      <c r="I15" s="31">
        <f t="shared" ref="I15:I23" si="10">G15</f>
        <v>80</v>
      </c>
      <c r="J15" s="31">
        <v>10</v>
      </c>
      <c r="K15" s="31">
        <f t="shared" ref="K15:K23" si="11">G15/H15</f>
        <v>8</v>
      </c>
      <c r="L15" s="32" t="s">
        <v>259</v>
      </c>
      <c r="M15" s="32">
        <v>0.06</v>
      </c>
      <c r="N15" s="58">
        <v>11.15</v>
      </c>
      <c r="O15" s="58">
        <f t="shared" ref="O15:O18" si="12">N15*K15</f>
        <v>89.2</v>
      </c>
      <c r="P15" s="58">
        <f t="shared" ref="P15:P23" si="13">M15*K15</f>
        <v>0.48</v>
      </c>
      <c r="Q15" s="80"/>
      <c r="U15" s="77">
        <f t="shared" si="8"/>
        <v>8</v>
      </c>
      <c r="V15" s="77"/>
      <c r="W15" s="77">
        <f t="shared" si="9"/>
        <v>80</v>
      </c>
      <c r="X15" s="77"/>
      <c r="Y15" s="77"/>
      <c r="Z15" s="85">
        <f>G15</f>
        <v>80</v>
      </c>
      <c r="AA15" s="85"/>
      <c r="AB15" s="85"/>
      <c r="AC15" s="85"/>
      <c r="AD15" s="84"/>
      <c r="AE15" s="84"/>
      <c r="AF15" s="84"/>
    </row>
    <row r="16" s="2" customFormat="1" ht="16" customHeight="1" spans="1:32">
      <c r="A16" s="32" t="s">
        <v>253</v>
      </c>
      <c r="B16" s="33"/>
      <c r="C16" s="28" t="s">
        <v>255</v>
      </c>
      <c r="D16" s="29" t="s">
        <v>256</v>
      </c>
      <c r="E16" s="28" t="s">
        <v>257</v>
      </c>
      <c r="F16" s="30" t="s">
        <v>258</v>
      </c>
      <c r="G16" s="31">
        <v>240</v>
      </c>
      <c r="H16" s="31">
        <v>10</v>
      </c>
      <c r="I16" s="31">
        <f t="shared" si="10"/>
        <v>240</v>
      </c>
      <c r="J16" s="31">
        <v>10</v>
      </c>
      <c r="K16" s="31">
        <f t="shared" si="11"/>
        <v>24</v>
      </c>
      <c r="L16" s="32" t="s">
        <v>259</v>
      </c>
      <c r="M16" s="32">
        <v>0.06</v>
      </c>
      <c r="N16" s="58">
        <v>11.15</v>
      </c>
      <c r="O16" s="58">
        <f t="shared" si="12"/>
        <v>267.6</v>
      </c>
      <c r="P16" s="58">
        <f t="shared" si="13"/>
        <v>1.44</v>
      </c>
      <c r="Q16" s="80"/>
      <c r="U16" s="77">
        <f t="shared" si="8"/>
        <v>24</v>
      </c>
      <c r="V16" s="77"/>
      <c r="W16" s="77">
        <f t="shared" si="9"/>
        <v>240</v>
      </c>
      <c r="X16" s="77"/>
      <c r="Y16" s="77"/>
      <c r="Z16" s="85">
        <f t="shared" ref="Z16:Z28" si="14">G16</f>
        <v>240</v>
      </c>
      <c r="AA16" s="85"/>
      <c r="AB16" s="85"/>
      <c r="AC16" s="85"/>
      <c r="AD16" s="84"/>
      <c r="AE16" s="84"/>
      <c r="AF16" s="84"/>
    </row>
    <row r="17" s="2" customFormat="1" ht="16" customHeight="1" spans="1:32">
      <c r="A17" s="32" t="s">
        <v>253</v>
      </c>
      <c r="B17" s="33"/>
      <c r="C17" s="28" t="s">
        <v>255</v>
      </c>
      <c r="D17" s="29" t="s">
        <v>420</v>
      </c>
      <c r="E17" s="28" t="s">
        <v>421</v>
      </c>
      <c r="F17" s="30" t="s">
        <v>262</v>
      </c>
      <c r="G17" s="31">
        <v>80</v>
      </c>
      <c r="H17" s="31">
        <v>8</v>
      </c>
      <c r="I17" s="31">
        <f t="shared" si="10"/>
        <v>80</v>
      </c>
      <c r="J17" s="31">
        <v>8</v>
      </c>
      <c r="K17" s="31">
        <f t="shared" si="11"/>
        <v>10</v>
      </c>
      <c r="L17" s="32" t="s">
        <v>263</v>
      </c>
      <c r="M17" s="32">
        <v>0.062</v>
      </c>
      <c r="N17" s="58">
        <v>12.73</v>
      </c>
      <c r="O17" s="58">
        <f t="shared" si="12"/>
        <v>127.3</v>
      </c>
      <c r="P17" s="58">
        <f t="shared" si="13"/>
        <v>0.62</v>
      </c>
      <c r="Q17" s="80"/>
      <c r="U17" s="77">
        <f t="shared" si="8"/>
        <v>10</v>
      </c>
      <c r="V17" s="77"/>
      <c r="W17" s="77">
        <f t="shared" si="9"/>
        <v>80</v>
      </c>
      <c r="X17" s="77"/>
      <c r="Y17" s="77"/>
      <c r="Z17" s="85">
        <f t="shared" si="14"/>
        <v>80</v>
      </c>
      <c r="AA17" s="85"/>
      <c r="AB17" s="85"/>
      <c r="AC17" s="85"/>
      <c r="AD17" s="84"/>
      <c r="AE17" s="84"/>
      <c r="AF17" s="84"/>
    </row>
    <row r="18" s="2" customFormat="1" ht="16" customHeight="1" spans="1:32">
      <c r="A18" s="32" t="s">
        <v>253</v>
      </c>
      <c r="B18" s="33"/>
      <c r="C18" s="28" t="s">
        <v>422</v>
      </c>
      <c r="D18" s="29" t="s">
        <v>423</v>
      </c>
      <c r="E18" s="28" t="s">
        <v>424</v>
      </c>
      <c r="F18" s="30" t="s">
        <v>425</v>
      </c>
      <c r="G18" s="31">
        <v>42</v>
      </c>
      <c r="H18" s="31">
        <v>14</v>
      </c>
      <c r="I18" s="31">
        <f t="shared" si="10"/>
        <v>42</v>
      </c>
      <c r="J18" s="31">
        <v>14</v>
      </c>
      <c r="K18" s="31">
        <f t="shared" si="11"/>
        <v>3</v>
      </c>
      <c r="L18" s="32" t="s">
        <v>426</v>
      </c>
      <c r="M18" s="32">
        <f>(57*30*36)/1000000</f>
        <v>0.06156</v>
      </c>
      <c r="N18" s="32">
        <v>10.97</v>
      </c>
      <c r="O18" s="32">
        <f t="shared" si="12"/>
        <v>32.91</v>
      </c>
      <c r="P18" s="58">
        <f t="shared" si="13"/>
        <v>0.18468</v>
      </c>
      <c r="U18" s="77">
        <f t="shared" si="8"/>
        <v>3</v>
      </c>
      <c r="V18" s="77"/>
      <c r="W18" s="77">
        <f t="shared" si="9"/>
        <v>42</v>
      </c>
      <c r="X18" s="77"/>
      <c r="Y18" s="77"/>
      <c r="Z18" s="85">
        <f t="shared" si="14"/>
        <v>42</v>
      </c>
      <c r="AA18" s="85"/>
      <c r="AB18" s="85"/>
      <c r="AC18" s="85"/>
      <c r="AD18" s="84"/>
      <c r="AE18" s="84"/>
      <c r="AF18" s="84"/>
    </row>
    <row r="19" s="2" customFormat="1" ht="16" customHeight="1" spans="1:32">
      <c r="A19" s="32" t="s">
        <v>253</v>
      </c>
      <c r="B19" s="33"/>
      <c r="C19" s="28" t="s">
        <v>264</v>
      </c>
      <c r="D19" s="29" t="s">
        <v>427</v>
      </c>
      <c r="E19" s="28" t="s">
        <v>428</v>
      </c>
      <c r="F19" s="30" t="s">
        <v>293</v>
      </c>
      <c r="G19" s="31">
        <v>150</v>
      </c>
      <c r="H19" s="31">
        <v>10</v>
      </c>
      <c r="I19" s="31">
        <f t="shared" si="10"/>
        <v>150</v>
      </c>
      <c r="J19" s="31">
        <v>10</v>
      </c>
      <c r="K19" s="31">
        <f t="shared" si="11"/>
        <v>15</v>
      </c>
      <c r="L19" s="32" t="s">
        <v>268</v>
      </c>
      <c r="M19" s="32">
        <v>0.062</v>
      </c>
      <c r="N19" s="32">
        <v>12</v>
      </c>
      <c r="O19" s="32">
        <v>0</v>
      </c>
      <c r="P19" s="58">
        <f t="shared" si="13"/>
        <v>0.93</v>
      </c>
      <c r="U19" s="77">
        <f t="shared" si="8"/>
        <v>15</v>
      </c>
      <c r="V19" s="77"/>
      <c r="W19" s="77">
        <f t="shared" si="9"/>
        <v>150</v>
      </c>
      <c r="X19" s="77"/>
      <c r="Y19" s="77"/>
      <c r="Z19" s="85">
        <f t="shared" si="14"/>
        <v>150</v>
      </c>
      <c r="AA19" s="85"/>
      <c r="AB19" s="85"/>
      <c r="AC19" s="85"/>
      <c r="AD19" s="84"/>
      <c r="AE19" s="84"/>
      <c r="AF19" s="84"/>
    </row>
    <row r="20" s="2" customFormat="1" ht="16" customHeight="1" spans="1:32">
      <c r="A20" s="32" t="s">
        <v>253</v>
      </c>
      <c r="B20" s="33"/>
      <c r="C20" s="28" t="s">
        <v>264</v>
      </c>
      <c r="D20" s="29" t="s">
        <v>429</v>
      </c>
      <c r="E20" s="28" t="s">
        <v>430</v>
      </c>
      <c r="F20" s="30" t="s">
        <v>296</v>
      </c>
      <c r="G20" s="31">
        <v>100</v>
      </c>
      <c r="H20" s="31">
        <v>10</v>
      </c>
      <c r="I20" s="31">
        <f t="shared" si="10"/>
        <v>100</v>
      </c>
      <c r="J20" s="31">
        <v>10</v>
      </c>
      <c r="K20" s="31">
        <f t="shared" si="11"/>
        <v>10</v>
      </c>
      <c r="L20" s="32" t="s">
        <v>426</v>
      </c>
      <c r="M20" s="32">
        <v>0.06156</v>
      </c>
      <c r="N20" s="32">
        <v>12</v>
      </c>
      <c r="O20" s="32">
        <v>0</v>
      </c>
      <c r="P20" s="58">
        <f t="shared" si="13"/>
        <v>0.6156</v>
      </c>
      <c r="U20" s="77">
        <f t="shared" si="8"/>
        <v>10</v>
      </c>
      <c r="V20" s="77"/>
      <c r="W20" s="77">
        <f t="shared" si="9"/>
        <v>100</v>
      </c>
      <c r="X20" s="77"/>
      <c r="Y20" s="77"/>
      <c r="Z20" s="85">
        <f t="shared" si="14"/>
        <v>100</v>
      </c>
      <c r="AA20" s="85"/>
      <c r="AB20" s="85"/>
      <c r="AC20" s="85"/>
      <c r="AD20" s="84"/>
      <c r="AE20" s="84"/>
      <c r="AF20" s="84"/>
    </row>
    <row r="21" s="2" customFormat="1" ht="16" customHeight="1" spans="1:32">
      <c r="A21" s="32" t="s">
        <v>253</v>
      </c>
      <c r="B21" s="33"/>
      <c r="C21" s="28" t="s">
        <v>264</v>
      </c>
      <c r="D21" s="29" t="s">
        <v>431</v>
      </c>
      <c r="E21" s="28" t="s">
        <v>432</v>
      </c>
      <c r="F21" s="30" t="s">
        <v>304</v>
      </c>
      <c r="G21" s="31">
        <v>240</v>
      </c>
      <c r="H21" s="31">
        <v>6</v>
      </c>
      <c r="I21" s="31">
        <f t="shared" si="10"/>
        <v>240</v>
      </c>
      <c r="J21" s="31">
        <v>6</v>
      </c>
      <c r="K21" s="31">
        <f t="shared" si="11"/>
        <v>40</v>
      </c>
      <c r="L21" s="32" t="s">
        <v>305</v>
      </c>
      <c r="M21" s="32">
        <v>0.066</v>
      </c>
      <c r="N21" s="32">
        <v>12</v>
      </c>
      <c r="O21" s="32">
        <v>0</v>
      </c>
      <c r="P21" s="58">
        <f t="shared" si="13"/>
        <v>2.64</v>
      </c>
      <c r="U21" s="77">
        <f t="shared" si="8"/>
        <v>40</v>
      </c>
      <c r="V21" s="77"/>
      <c r="W21" s="77">
        <f t="shared" si="9"/>
        <v>240</v>
      </c>
      <c r="X21" s="77"/>
      <c r="Y21" s="77"/>
      <c r="Z21" s="85">
        <f t="shared" si="14"/>
        <v>240</v>
      </c>
      <c r="AA21" s="85"/>
      <c r="AB21" s="85"/>
      <c r="AC21" s="85"/>
      <c r="AD21" s="84"/>
      <c r="AE21" s="84"/>
      <c r="AF21" s="84"/>
    </row>
    <row r="22" s="2" customFormat="1" ht="16" customHeight="1" spans="1:32">
      <c r="A22" s="32" t="s">
        <v>253</v>
      </c>
      <c r="B22" s="33"/>
      <c r="C22" s="28" t="s">
        <v>264</v>
      </c>
      <c r="D22" s="29" t="s">
        <v>433</v>
      </c>
      <c r="E22" s="28" t="s">
        <v>434</v>
      </c>
      <c r="F22" s="30" t="s">
        <v>308</v>
      </c>
      <c r="G22" s="31">
        <v>60</v>
      </c>
      <c r="H22" s="31">
        <v>6</v>
      </c>
      <c r="I22" s="31">
        <f t="shared" si="10"/>
        <v>60</v>
      </c>
      <c r="J22" s="31">
        <v>6</v>
      </c>
      <c r="K22" s="31">
        <f t="shared" si="11"/>
        <v>10</v>
      </c>
      <c r="L22" s="32" t="s">
        <v>268</v>
      </c>
      <c r="M22" s="32">
        <v>0.063</v>
      </c>
      <c r="N22" s="32">
        <v>12</v>
      </c>
      <c r="O22" s="32">
        <v>0</v>
      </c>
      <c r="P22" s="58">
        <f t="shared" si="13"/>
        <v>0.63</v>
      </c>
      <c r="U22" s="77">
        <f t="shared" si="8"/>
        <v>10</v>
      </c>
      <c r="V22" s="77"/>
      <c r="W22" s="77">
        <f t="shared" si="9"/>
        <v>60</v>
      </c>
      <c r="X22" s="77"/>
      <c r="Y22" s="77"/>
      <c r="Z22" s="85">
        <f t="shared" si="14"/>
        <v>60</v>
      </c>
      <c r="AA22" s="85"/>
      <c r="AB22" s="85"/>
      <c r="AC22" s="85"/>
      <c r="AD22" s="84"/>
      <c r="AE22" s="84"/>
      <c r="AF22" s="84"/>
    </row>
    <row r="23" s="2" customFormat="1" ht="16" customHeight="1" spans="1:32">
      <c r="A23" s="32" t="s">
        <v>253</v>
      </c>
      <c r="B23" s="33"/>
      <c r="C23" s="28" t="s">
        <v>264</v>
      </c>
      <c r="D23" s="29" t="s">
        <v>435</v>
      </c>
      <c r="E23" s="28" t="s">
        <v>436</v>
      </c>
      <c r="F23" s="30" t="s">
        <v>316</v>
      </c>
      <c r="G23" s="31">
        <v>60</v>
      </c>
      <c r="H23" s="31">
        <v>6</v>
      </c>
      <c r="I23" s="31">
        <f t="shared" si="10"/>
        <v>60</v>
      </c>
      <c r="J23" s="31">
        <v>6</v>
      </c>
      <c r="K23" s="31">
        <f t="shared" si="11"/>
        <v>10</v>
      </c>
      <c r="L23" s="61" t="s">
        <v>305</v>
      </c>
      <c r="M23" s="61">
        <v>0.066</v>
      </c>
      <c r="N23" s="61">
        <v>12</v>
      </c>
      <c r="O23" s="64">
        <f t="shared" ref="O23:O28" si="15">N23*K23</f>
        <v>120</v>
      </c>
      <c r="P23" s="65">
        <f t="shared" si="13"/>
        <v>0.66</v>
      </c>
      <c r="U23" s="77">
        <f t="shared" si="8"/>
        <v>10</v>
      </c>
      <c r="V23" s="77"/>
      <c r="W23" s="77">
        <f t="shared" si="9"/>
        <v>60</v>
      </c>
      <c r="X23" s="77"/>
      <c r="Y23" s="77"/>
      <c r="Z23" s="85">
        <f t="shared" si="14"/>
        <v>60</v>
      </c>
      <c r="AA23" s="85"/>
      <c r="AB23" s="85"/>
      <c r="AC23" s="85"/>
      <c r="AD23" s="84"/>
      <c r="AE23" s="84"/>
      <c r="AF23" s="84"/>
    </row>
    <row r="24" s="2" customFormat="1" ht="16" customHeight="1" spans="1:32">
      <c r="A24" s="32"/>
      <c r="B24" s="33"/>
      <c r="C24" s="34"/>
      <c r="D24" s="35"/>
      <c r="E24" s="34"/>
      <c r="F24" s="33"/>
      <c r="G24" s="36"/>
      <c r="H24" s="36"/>
      <c r="I24" s="36"/>
      <c r="J24" s="36"/>
      <c r="K24" s="36"/>
      <c r="L24" s="66"/>
      <c r="M24" s="66"/>
      <c r="N24" s="66"/>
      <c r="O24" s="66"/>
      <c r="P24" s="66"/>
      <c r="U24" s="77"/>
      <c r="V24" s="77"/>
      <c r="W24" s="77"/>
      <c r="X24" s="77"/>
      <c r="Y24" s="77"/>
      <c r="Z24" s="85">
        <f t="shared" si="14"/>
        <v>0</v>
      </c>
      <c r="AA24" s="85"/>
      <c r="AB24" s="85"/>
      <c r="AC24" s="85"/>
      <c r="AD24" s="84"/>
      <c r="AE24" s="84"/>
      <c r="AF24" s="84"/>
    </row>
    <row r="25" s="2" customFormat="1" ht="16" customHeight="1" spans="1:32">
      <c r="A25" s="27" t="s">
        <v>29</v>
      </c>
      <c r="B25" s="34"/>
      <c r="C25" s="28"/>
      <c r="D25" s="29"/>
      <c r="E25" s="28"/>
      <c r="F25" s="30"/>
      <c r="G25" s="31"/>
      <c r="H25" s="31"/>
      <c r="I25" s="31"/>
      <c r="J25" s="31"/>
      <c r="K25" s="31"/>
      <c r="L25" s="61"/>
      <c r="M25" s="61"/>
      <c r="N25" s="61"/>
      <c r="O25" s="64"/>
      <c r="P25" s="65"/>
      <c r="U25" s="77"/>
      <c r="V25" s="77"/>
      <c r="W25" s="77"/>
      <c r="X25" s="77"/>
      <c r="Y25" s="77"/>
      <c r="Z25" s="85">
        <f t="shared" si="14"/>
        <v>0</v>
      </c>
      <c r="AA25" s="85"/>
      <c r="AB25" s="85"/>
      <c r="AC25" s="85"/>
      <c r="AD25" s="84"/>
      <c r="AE25" s="84"/>
      <c r="AF25" s="84"/>
    </row>
    <row r="26" s="2" customFormat="1" ht="16" customHeight="1" spans="1:32">
      <c r="A26" s="32" t="s">
        <v>253</v>
      </c>
      <c r="B26" s="33" t="s">
        <v>437</v>
      </c>
      <c r="C26" s="28" t="s">
        <v>313</v>
      </c>
      <c r="D26" s="29" t="s">
        <v>326</v>
      </c>
      <c r="E26" s="28" t="s">
        <v>327</v>
      </c>
      <c r="F26" s="30" t="s">
        <v>293</v>
      </c>
      <c r="G26" s="31">
        <v>180</v>
      </c>
      <c r="H26" s="31">
        <v>10</v>
      </c>
      <c r="I26" s="31">
        <f t="shared" ref="I26:I28" si="16">G26</f>
        <v>180</v>
      </c>
      <c r="J26" s="31">
        <v>10</v>
      </c>
      <c r="K26" s="31">
        <f t="shared" ref="K26:K28" si="17">G26/H26</f>
        <v>18</v>
      </c>
      <c r="L26" s="61" t="s">
        <v>263</v>
      </c>
      <c r="M26" s="61">
        <v>0.062</v>
      </c>
      <c r="N26" s="61">
        <v>12</v>
      </c>
      <c r="O26" s="67">
        <f t="shared" si="15"/>
        <v>216</v>
      </c>
      <c r="P26" s="63">
        <f t="shared" ref="P26:P28" si="18">M26*K26</f>
        <v>1.116</v>
      </c>
      <c r="U26" s="77">
        <f t="shared" si="8"/>
        <v>18</v>
      </c>
      <c r="V26" s="77"/>
      <c r="W26" s="77">
        <f t="shared" si="9"/>
        <v>180</v>
      </c>
      <c r="X26" s="77"/>
      <c r="Y26" s="77"/>
      <c r="Z26" s="85">
        <f t="shared" si="14"/>
        <v>180</v>
      </c>
      <c r="AA26" s="85"/>
      <c r="AB26" s="85"/>
      <c r="AC26" s="85"/>
      <c r="AD26" s="84"/>
      <c r="AE26" s="84"/>
      <c r="AF26" s="84"/>
    </row>
    <row r="27" s="1" customFormat="1" spans="1:32">
      <c r="A27" s="32" t="s">
        <v>253</v>
      </c>
      <c r="B27" s="33"/>
      <c r="C27" s="28" t="s">
        <v>313</v>
      </c>
      <c r="D27" s="29" t="s">
        <v>331</v>
      </c>
      <c r="E27" s="28" t="s">
        <v>332</v>
      </c>
      <c r="F27" s="30" t="s">
        <v>333</v>
      </c>
      <c r="G27" s="31">
        <v>200</v>
      </c>
      <c r="H27" s="31">
        <v>10</v>
      </c>
      <c r="I27" s="31">
        <f t="shared" si="16"/>
        <v>200</v>
      </c>
      <c r="J27" s="31">
        <v>10</v>
      </c>
      <c r="K27" s="31">
        <f t="shared" si="17"/>
        <v>20</v>
      </c>
      <c r="L27" s="61" t="s">
        <v>263</v>
      </c>
      <c r="M27" s="61">
        <v>0.062</v>
      </c>
      <c r="N27" s="61">
        <v>12</v>
      </c>
      <c r="O27" s="67">
        <f t="shared" si="15"/>
        <v>240</v>
      </c>
      <c r="P27" s="63">
        <f t="shared" si="18"/>
        <v>1.24</v>
      </c>
      <c r="U27" s="77">
        <f t="shared" si="8"/>
        <v>20</v>
      </c>
      <c r="V27" s="77"/>
      <c r="W27" s="77">
        <f t="shared" si="9"/>
        <v>200</v>
      </c>
      <c r="X27" s="77"/>
      <c r="Y27" s="77"/>
      <c r="Z27" s="85">
        <f t="shared" si="14"/>
        <v>200</v>
      </c>
      <c r="AA27" s="83"/>
      <c r="AB27" s="83"/>
      <c r="AC27" s="83"/>
      <c r="AD27" s="84"/>
      <c r="AE27" s="84"/>
      <c r="AF27" s="84"/>
    </row>
    <row r="28" s="1" customFormat="1" spans="1:32">
      <c r="A28" s="32" t="s">
        <v>253</v>
      </c>
      <c r="B28" s="33"/>
      <c r="C28" s="28" t="s">
        <v>313</v>
      </c>
      <c r="D28" s="29" t="s">
        <v>328</v>
      </c>
      <c r="E28" s="28" t="s">
        <v>329</v>
      </c>
      <c r="F28" s="30" t="s">
        <v>330</v>
      </c>
      <c r="G28" s="31">
        <v>96</v>
      </c>
      <c r="H28" s="31">
        <v>6</v>
      </c>
      <c r="I28" s="31">
        <f t="shared" si="16"/>
        <v>96</v>
      </c>
      <c r="J28" s="31">
        <v>6</v>
      </c>
      <c r="K28" s="31">
        <f t="shared" si="17"/>
        <v>16</v>
      </c>
      <c r="L28" s="32" t="s">
        <v>305</v>
      </c>
      <c r="M28" s="32">
        <v>0.066</v>
      </c>
      <c r="N28" s="58">
        <v>12</v>
      </c>
      <c r="O28" s="67">
        <f t="shared" si="15"/>
        <v>192</v>
      </c>
      <c r="P28" s="63">
        <f t="shared" si="18"/>
        <v>1.056</v>
      </c>
      <c r="U28" s="77">
        <f t="shared" si="8"/>
        <v>16</v>
      </c>
      <c r="V28" s="77"/>
      <c r="W28" s="77">
        <f t="shared" si="9"/>
        <v>96</v>
      </c>
      <c r="X28" s="77"/>
      <c r="Y28" s="77"/>
      <c r="Z28" s="85">
        <f t="shared" si="14"/>
        <v>96</v>
      </c>
      <c r="AA28" s="83"/>
      <c r="AB28" s="83"/>
      <c r="AC28" s="83"/>
      <c r="AD28" s="84"/>
      <c r="AE28" s="84"/>
      <c r="AF28" s="84"/>
    </row>
    <row r="29" spans="1:32">
      <c r="A29" s="17"/>
      <c r="B29" s="33"/>
      <c r="C29" s="13"/>
      <c r="D29" s="14"/>
      <c r="E29" s="13"/>
      <c r="F29" s="21"/>
      <c r="G29" s="19"/>
      <c r="H29" s="19"/>
      <c r="I29" s="31"/>
      <c r="J29" s="19"/>
      <c r="K29" s="31"/>
      <c r="L29" s="17"/>
      <c r="M29" s="17"/>
      <c r="N29" s="46"/>
      <c r="O29" s="68"/>
      <c r="P29" s="58"/>
      <c r="U29" s="77"/>
      <c r="V29" s="77"/>
      <c r="W29" s="77"/>
      <c r="X29" s="77"/>
      <c r="Y29" s="77"/>
      <c r="Z29" s="77"/>
      <c r="AA29" s="77"/>
      <c r="AB29" s="77"/>
      <c r="AC29" s="77"/>
      <c r="AD29" s="84"/>
      <c r="AE29" s="84"/>
      <c r="AF29" s="84"/>
    </row>
    <row r="30" ht="15" customHeight="1" spans="1:32">
      <c r="A30" s="12" t="s">
        <v>179</v>
      </c>
      <c r="B30" s="13"/>
      <c r="C30" s="13"/>
      <c r="D30" s="14"/>
      <c r="E30" s="21"/>
      <c r="F30" s="21"/>
      <c r="G30" s="19"/>
      <c r="H30" s="19"/>
      <c r="I30" s="69"/>
      <c r="J30" s="69"/>
      <c r="K30" s="19"/>
      <c r="L30" s="17"/>
      <c r="M30" s="45"/>
      <c r="N30" s="46"/>
      <c r="O30" s="46"/>
      <c r="P30" s="46"/>
      <c r="Q30" s="78"/>
      <c r="U30" s="77"/>
      <c r="V30" s="77"/>
      <c r="W30" s="77"/>
      <c r="X30" s="77"/>
      <c r="Y30" s="77"/>
      <c r="Z30" s="77"/>
      <c r="AA30" s="77"/>
      <c r="AB30" s="77"/>
      <c r="AC30" s="77"/>
      <c r="AD30" s="84"/>
      <c r="AE30" s="84"/>
      <c r="AF30" s="84"/>
    </row>
    <row r="31" ht="25" customHeight="1" spans="1:32">
      <c r="A31" s="17" t="s">
        <v>215</v>
      </c>
      <c r="B31" s="13"/>
      <c r="C31" s="13" t="s">
        <v>216</v>
      </c>
      <c r="D31" s="37" t="s">
        <v>217</v>
      </c>
      <c r="E31" s="28" t="s">
        <v>218</v>
      </c>
      <c r="F31" s="38" t="s">
        <v>219</v>
      </c>
      <c r="G31" s="39">
        <v>360</v>
      </c>
      <c r="H31" s="39">
        <v>6</v>
      </c>
      <c r="I31" s="39">
        <f>G31*6</f>
        <v>2160</v>
      </c>
      <c r="J31" s="39">
        <v>36</v>
      </c>
      <c r="K31" s="19">
        <f>G31/H31</f>
        <v>60</v>
      </c>
      <c r="L31" s="17" t="s">
        <v>220</v>
      </c>
      <c r="M31" s="70">
        <f>(61.5*31.5*36)/1000000</f>
        <v>0.069741</v>
      </c>
      <c r="N31" s="71">
        <v>12.1</v>
      </c>
      <c r="O31" s="70">
        <f>N31*K31</f>
        <v>726</v>
      </c>
      <c r="P31" s="46">
        <f>M31*K31</f>
        <v>4.18446</v>
      </c>
      <c r="U31" s="77">
        <f t="shared" si="8"/>
        <v>60</v>
      </c>
      <c r="V31" s="77"/>
      <c r="W31" s="77">
        <f t="shared" si="9"/>
        <v>360</v>
      </c>
      <c r="X31" s="77"/>
      <c r="Y31" s="77"/>
      <c r="Z31" s="77"/>
      <c r="AA31" s="77"/>
      <c r="AB31" s="77"/>
      <c r="AC31" s="77"/>
      <c r="AD31" s="84"/>
      <c r="AE31" s="84"/>
      <c r="AF31" s="84"/>
    </row>
    <row r="32" spans="1:32">
      <c r="A32" s="17" t="s">
        <v>215</v>
      </c>
      <c r="B32" s="40"/>
      <c r="C32" s="13" t="s">
        <v>243</v>
      </c>
      <c r="D32" s="14" t="s">
        <v>248</v>
      </c>
      <c r="E32" s="41" t="s">
        <v>249</v>
      </c>
      <c r="F32" s="42" t="s">
        <v>250</v>
      </c>
      <c r="G32" s="19">
        <v>100</v>
      </c>
      <c r="H32" s="19">
        <v>50</v>
      </c>
      <c r="I32" s="19">
        <f>G32*2</f>
        <v>200</v>
      </c>
      <c r="J32" s="19">
        <v>100</v>
      </c>
      <c r="K32" s="19">
        <f>G32/H32</f>
        <v>2</v>
      </c>
      <c r="L32" s="44" t="s">
        <v>251</v>
      </c>
      <c r="M32" s="17">
        <f>(44*44*27)/1000000</f>
        <v>0.052272</v>
      </c>
      <c r="N32" s="46">
        <v>4.27</v>
      </c>
      <c r="O32" s="17">
        <f>N32*K32</f>
        <v>8.54</v>
      </c>
      <c r="P32" s="46">
        <f>M32*K32</f>
        <v>0.104544</v>
      </c>
      <c r="U32" s="77">
        <f t="shared" si="8"/>
        <v>2</v>
      </c>
      <c r="V32" s="77"/>
      <c r="W32" s="77"/>
      <c r="X32" s="77"/>
      <c r="Y32" s="77"/>
      <c r="Z32" s="77"/>
      <c r="AA32" s="77"/>
      <c r="AB32" s="77"/>
      <c r="AC32" s="77">
        <v>100</v>
      </c>
      <c r="AD32" s="84"/>
      <c r="AE32" s="84"/>
      <c r="AF32" s="84"/>
    </row>
    <row r="33" spans="1:32">
      <c r="A33" s="17"/>
      <c r="B33" s="13"/>
      <c r="C33" s="13"/>
      <c r="D33" s="14"/>
      <c r="E33" s="13"/>
      <c r="F33" s="21"/>
      <c r="G33" s="19"/>
      <c r="H33" s="19"/>
      <c r="I33" s="19"/>
      <c r="J33" s="19"/>
      <c r="K33" s="19"/>
      <c r="L33" s="17"/>
      <c r="M33" s="17"/>
      <c r="N33" s="46"/>
      <c r="O33" s="46"/>
      <c r="P33" s="46"/>
      <c r="U33" s="77"/>
      <c r="V33" s="77"/>
      <c r="W33" s="77"/>
      <c r="X33" s="77"/>
      <c r="Y33" s="77"/>
      <c r="Z33" s="77"/>
      <c r="AA33" s="77"/>
      <c r="AB33" s="77"/>
      <c r="AC33" s="77"/>
      <c r="AD33" s="84"/>
      <c r="AE33" s="84"/>
      <c r="AF33" s="84"/>
    </row>
    <row r="34" spans="1:32">
      <c r="A34" s="12" t="s">
        <v>438</v>
      </c>
      <c r="B34" s="40"/>
      <c r="C34" s="13"/>
      <c r="D34" s="14"/>
      <c r="E34" s="21"/>
      <c r="F34" s="21"/>
      <c r="G34" s="19"/>
      <c r="H34" s="19"/>
      <c r="I34" s="19"/>
      <c r="J34" s="19"/>
      <c r="K34" s="19"/>
      <c r="L34" s="44"/>
      <c r="M34" s="17"/>
      <c r="N34" s="46"/>
      <c r="O34" s="46"/>
      <c r="P34" s="46"/>
      <c r="Q34" s="80"/>
      <c r="U34" s="77"/>
      <c r="V34" s="77"/>
      <c r="W34" s="77"/>
      <c r="X34" s="77"/>
      <c r="Y34" s="77"/>
      <c r="Z34" s="77"/>
      <c r="AA34" s="77"/>
      <c r="AB34" s="77"/>
      <c r="AC34" s="77"/>
      <c r="AD34" s="84"/>
      <c r="AE34" s="84"/>
      <c r="AF34" s="84"/>
    </row>
    <row r="35" spans="1:32">
      <c r="A35" s="17" t="s">
        <v>439</v>
      </c>
      <c r="B35" s="13" t="s">
        <v>440</v>
      </c>
      <c r="C35" s="13" t="s">
        <v>441</v>
      </c>
      <c r="D35" s="13" t="s">
        <v>442</v>
      </c>
      <c r="E35" s="21" t="s">
        <v>443</v>
      </c>
      <c r="F35" s="21" t="s">
        <v>106</v>
      </c>
      <c r="G35" s="19">
        <v>486</v>
      </c>
      <c r="H35" s="19">
        <v>27</v>
      </c>
      <c r="I35" s="19">
        <f>G35*2</f>
        <v>972</v>
      </c>
      <c r="J35" s="19">
        <v>55</v>
      </c>
      <c r="K35" s="19">
        <f t="shared" ref="K35:K45" si="19">G35/H35</f>
        <v>18</v>
      </c>
      <c r="L35" s="17" t="s">
        <v>444</v>
      </c>
      <c r="M35" s="17">
        <v>0.036</v>
      </c>
      <c r="N35" s="46">
        <v>10.5</v>
      </c>
      <c r="O35" s="46">
        <f t="shared" ref="O35:O45" si="20">N35*K35</f>
        <v>189</v>
      </c>
      <c r="P35" s="46">
        <f t="shared" ref="P35:P45" si="21">M35*K35</f>
        <v>0.648</v>
      </c>
      <c r="U35" s="77">
        <f>K35</f>
        <v>18</v>
      </c>
      <c r="V35" s="77"/>
      <c r="W35" s="77">
        <f>G35</f>
        <v>486</v>
      </c>
      <c r="X35" s="77"/>
      <c r="Y35" s="77"/>
      <c r="Z35" s="77"/>
      <c r="AA35" s="77"/>
      <c r="AB35" s="77">
        <f>G35</f>
        <v>486</v>
      </c>
      <c r="AC35" s="77"/>
      <c r="AD35" s="84"/>
      <c r="AE35" s="84"/>
      <c r="AF35" s="84"/>
    </row>
    <row r="36" spans="1:32">
      <c r="A36" s="17" t="s">
        <v>439</v>
      </c>
      <c r="B36" s="13"/>
      <c r="C36" s="13" t="s">
        <v>445</v>
      </c>
      <c r="D36" s="13" t="s">
        <v>446</v>
      </c>
      <c r="E36" s="21" t="s">
        <v>447</v>
      </c>
      <c r="F36" s="21" t="s">
        <v>448</v>
      </c>
      <c r="G36" s="19">
        <v>100</v>
      </c>
      <c r="H36" s="19">
        <v>25</v>
      </c>
      <c r="I36" s="19">
        <f t="shared" ref="I36:I45" si="22">G36</f>
        <v>100</v>
      </c>
      <c r="J36" s="19">
        <v>25</v>
      </c>
      <c r="K36" s="19">
        <f t="shared" si="19"/>
        <v>4</v>
      </c>
      <c r="L36" s="17" t="s">
        <v>449</v>
      </c>
      <c r="M36" s="17">
        <v>0.075392</v>
      </c>
      <c r="N36" s="46">
        <v>11.8</v>
      </c>
      <c r="O36" s="46">
        <f t="shared" si="20"/>
        <v>47.2</v>
      </c>
      <c r="P36" s="46">
        <f t="shared" si="21"/>
        <v>0.301568</v>
      </c>
      <c r="U36" s="77"/>
      <c r="V36" s="77"/>
      <c r="W36" s="77"/>
      <c r="X36" s="77"/>
      <c r="Y36" s="77"/>
      <c r="Z36" s="77"/>
      <c r="AA36" s="77"/>
      <c r="AB36" s="77"/>
      <c r="AC36" s="77"/>
      <c r="AD36" s="84">
        <f t="shared" ref="AD36:AD43" si="23">G36</f>
        <v>100</v>
      </c>
      <c r="AE36" s="84">
        <f>K36</f>
        <v>4</v>
      </c>
      <c r="AF36" s="84"/>
    </row>
    <row r="37" spans="1:32">
      <c r="A37" s="17" t="s">
        <v>439</v>
      </c>
      <c r="B37" s="13"/>
      <c r="C37" s="13" t="s">
        <v>450</v>
      </c>
      <c r="D37" s="13" t="s">
        <v>451</v>
      </c>
      <c r="E37" s="21" t="s">
        <v>452</v>
      </c>
      <c r="F37" s="21" t="s">
        <v>453</v>
      </c>
      <c r="G37" s="19">
        <v>200</v>
      </c>
      <c r="H37" s="19">
        <v>20</v>
      </c>
      <c r="I37" s="19">
        <f t="shared" si="22"/>
        <v>200</v>
      </c>
      <c r="J37" s="19">
        <v>20</v>
      </c>
      <c r="K37" s="19">
        <f t="shared" si="19"/>
        <v>10</v>
      </c>
      <c r="L37" s="17" t="s">
        <v>454</v>
      </c>
      <c r="M37" s="17">
        <v>0.068816</v>
      </c>
      <c r="N37" s="46">
        <v>14.3</v>
      </c>
      <c r="O37" s="46">
        <f t="shared" si="20"/>
        <v>143</v>
      </c>
      <c r="P37" s="46">
        <f t="shared" si="21"/>
        <v>0.68816</v>
      </c>
      <c r="U37" s="77"/>
      <c r="V37" s="77"/>
      <c r="W37" s="77"/>
      <c r="X37" s="77"/>
      <c r="Y37" s="77"/>
      <c r="Z37" s="77"/>
      <c r="AA37" s="77"/>
      <c r="AB37" s="77"/>
      <c r="AC37" s="77"/>
      <c r="AD37" s="84">
        <f t="shared" si="23"/>
        <v>200</v>
      </c>
      <c r="AE37" s="84">
        <f t="shared" ref="AE37:AE43" si="24">K37</f>
        <v>10</v>
      </c>
      <c r="AF37" s="84"/>
    </row>
    <row r="38" spans="1:32">
      <c r="A38" s="17" t="s">
        <v>439</v>
      </c>
      <c r="B38" s="13"/>
      <c r="C38" s="13" t="s">
        <v>455</v>
      </c>
      <c r="D38" s="13" t="s">
        <v>456</v>
      </c>
      <c r="E38" s="21" t="s">
        <v>457</v>
      </c>
      <c r="F38" s="21" t="s">
        <v>458</v>
      </c>
      <c r="G38" s="19">
        <v>200</v>
      </c>
      <c r="H38" s="19">
        <v>10</v>
      </c>
      <c r="I38" s="19">
        <f t="shared" si="22"/>
        <v>200</v>
      </c>
      <c r="J38" s="19">
        <v>10</v>
      </c>
      <c r="K38" s="19">
        <f t="shared" si="19"/>
        <v>20</v>
      </c>
      <c r="L38" s="17" t="s">
        <v>459</v>
      </c>
      <c r="M38" s="17">
        <v>0.06534375</v>
      </c>
      <c r="N38" s="46">
        <v>13.5</v>
      </c>
      <c r="O38" s="46">
        <f t="shared" si="20"/>
        <v>270</v>
      </c>
      <c r="P38" s="46">
        <f t="shared" si="21"/>
        <v>1.306875</v>
      </c>
      <c r="U38" s="77"/>
      <c r="V38" s="77"/>
      <c r="W38" s="77"/>
      <c r="X38" s="77"/>
      <c r="Y38" s="77"/>
      <c r="Z38" s="77"/>
      <c r="AA38" s="77"/>
      <c r="AB38" s="77"/>
      <c r="AC38" s="77"/>
      <c r="AD38" s="84">
        <f t="shared" si="23"/>
        <v>200</v>
      </c>
      <c r="AE38" s="84">
        <f t="shared" si="24"/>
        <v>20</v>
      </c>
      <c r="AF38" s="84"/>
    </row>
    <row r="39" spans="1:32">
      <c r="A39" s="17" t="s">
        <v>439</v>
      </c>
      <c r="B39" s="13"/>
      <c r="C39" s="13" t="s">
        <v>460</v>
      </c>
      <c r="D39" s="13" t="s">
        <v>461</v>
      </c>
      <c r="E39" s="21" t="s">
        <v>462</v>
      </c>
      <c r="F39" s="21" t="s">
        <v>463</v>
      </c>
      <c r="G39" s="19">
        <v>200</v>
      </c>
      <c r="H39" s="19">
        <v>10</v>
      </c>
      <c r="I39" s="19">
        <f t="shared" si="22"/>
        <v>200</v>
      </c>
      <c r="J39" s="19">
        <v>10</v>
      </c>
      <c r="K39" s="19">
        <f t="shared" si="19"/>
        <v>20</v>
      </c>
      <c r="L39" s="17" t="s">
        <v>459</v>
      </c>
      <c r="M39" s="17">
        <v>0.065</v>
      </c>
      <c r="N39" s="46">
        <v>13.5</v>
      </c>
      <c r="O39" s="46">
        <f t="shared" si="20"/>
        <v>270</v>
      </c>
      <c r="P39" s="46">
        <f t="shared" si="21"/>
        <v>1.3</v>
      </c>
      <c r="U39" s="77"/>
      <c r="V39" s="77"/>
      <c r="W39" s="77"/>
      <c r="X39" s="77"/>
      <c r="Y39" s="77"/>
      <c r="Z39" s="77"/>
      <c r="AA39" s="77"/>
      <c r="AB39" s="77"/>
      <c r="AC39" s="77"/>
      <c r="AD39" s="84">
        <f t="shared" si="23"/>
        <v>200</v>
      </c>
      <c r="AE39" s="84">
        <f t="shared" si="24"/>
        <v>20</v>
      </c>
      <c r="AF39" s="84"/>
    </row>
    <row r="40" spans="1:32">
      <c r="A40" s="17" t="s">
        <v>439</v>
      </c>
      <c r="B40" s="13"/>
      <c r="C40" s="13" t="s">
        <v>464</v>
      </c>
      <c r="D40" s="13" t="s">
        <v>465</v>
      </c>
      <c r="E40" s="21" t="s">
        <v>466</v>
      </c>
      <c r="F40" s="21" t="s">
        <v>467</v>
      </c>
      <c r="G40" s="19">
        <v>100</v>
      </c>
      <c r="H40" s="19">
        <v>10</v>
      </c>
      <c r="I40" s="19">
        <f t="shared" si="22"/>
        <v>100</v>
      </c>
      <c r="J40" s="19">
        <v>10</v>
      </c>
      <c r="K40" s="19">
        <f t="shared" si="19"/>
        <v>10</v>
      </c>
      <c r="L40" s="17" t="s">
        <v>468</v>
      </c>
      <c r="M40" s="17">
        <v>0.113526</v>
      </c>
      <c r="N40" s="46">
        <v>16.6</v>
      </c>
      <c r="O40" s="46">
        <f t="shared" si="20"/>
        <v>166</v>
      </c>
      <c r="P40" s="46">
        <f t="shared" si="21"/>
        <v>1.13526</v>
      </c>
      <c r="U40" s="77"/>
      <c r="V40" s="77"/>
      <c r="W40" s="77"/>
      <c r="X40" s="77"/>
      <c r="Y40" s="77"/>
      <c r="Z40" s="77"/>
      <c r="AA40" s="77"/>
      <c r="AB40" s="77"/>
      <c r="AC40" s="77"/>
      <c r="AD40" s="84">
        <f t="shared" si="23"/>
        <v>100</v>
      </c>
      <c r="AE40" s="84">
        <f t="shared" si="24"/>
        <v>10</v>
      </c>
      <c r="AF40" s="84"/>
    </row>
    <row r="41" spans="1:32">
      <c r="A41" s="17" t="s">
        <v>439</v>
      </c>
      <c r="B41" s="13"/>
      <c r="C41" s="13" t="s">
        <v>464</v>
      </c>
      <c r="D41" s="13" t="s">
        <v>469</v>
      </c>
      <c r="E41" s="21" t="s">
        <v>470</v>
      </c>
      <c r="F41" s="21" t="s">
        <v>471</v>
      </c>
      <c r="G41" s="19">
        <v>100</v>
      </c>
      <c r="H41" s="19">
        <v>10</v>
      </c>
      <c r="I41" s="19">
        <f t="shared" si="22"/>
        <v>100</v>
      </c>
      <c r="J41" s="19">
        <v>10</v>
      </c>
      <c r="K41" s="19">
        <f t="shared" si="19"/>
        <v>10</v>
      </c>
      <c r="L41" s="17" t="s">
        <v>472</v>
      </c>
      <c r="M41" s="17">
        <v>0.095718</v>
      </c>
      <c r="N41" s="46">
        <v>14.3</v>
      </c>
      <c r="O41" s="46">
        <f t="shared" si="20"/>
        <v>143</v>
      </c>
      <c r="P41" s="46">
        <f t="shared" si="21"/>
        <v>0.95718</v>
      </c>
      <c r="U41" s="77"/>
      <c r="V41" s="77"/>
      <c r="W41" s="77"/>
      <c r="X41" s="77"/>
      <c r="Y41" s="77"/>
      <c r="Z41" s="77"/>
      <c r="AA41" s="77"/>
      <c r="AB41" s="77"/>
      <c r="AC41" s="77"/>
      <c r="AD41" s="84">
        <f t="shared" si="23"/>
        <v>100</v>
      </c>
      <c r="AE41" s="84">
        <f t="shared" si="24"/>
        <v>10</v>
      </c>
      <c r="AF41" s="84"/>
    </row>
    <row r="42" spans="1:32">
      <c r="A42" s="17" t="s">
        <v>439</v>
      </c>
      <c r="B42" s="13"/>
      <c r="C42" s="13" t="s">
        <v>464</v>
      </c>
      <c r="D42" s="13" t="s">
        <v>473</v>
      </c>
      <c r="E42" s="21" t="s">
        <v>474</v>
      </c>
      <c r="F42" s="21" t="s">
        <v>475</v>
      </c>
      <c r="G42" s="19">
        <v>100</v>
      </c>
      <c r="H42" s="19">
        <v>10</v>
      </c>
      <c r="I42" s="19">
        <f t="shared" si="22"/>
        <v>100</v>
      </c>
      <c r="J42" s="19">
        <v>10</v>
      </c>
      <c r="K42" s="19">
        <f t="shared" si="19"/>
        <v>10</v>
      </c>
      <c r="L42" s="17" t="s">
        <v>468</v>
      </c>
      <c r="M42" s="17">
        <v>0.113526</v>
      </c>
      <c r="N42" s="46">
        <v>16.6</v>
      </c>
      <c r="O42" s="46">
        <f t="shared" si="20"/>
        <v>166</v>
      </c>
      <c r="P42" s="46">
        <f t="shared" si="21"/>
        <v>1.13526</v>
      </c>
      <c r="U42" s="77"/>
      <c r="V42" s="77"/>
      <c r="W42" s="77"/>
      <c r="X42" s="77"/>
      <c r="Y42" s="77"/>
      <c r="Z42" s="77"/>
      <c r="AA42" s="77"/>
      <c r="AB42" s="77"/>
      <c r="AC42" s="77"/>
      <c r="AD42" s="84">
        <f t="shared" si="23"/>
        <v>100</v>
      </c>
      <c r="AE42" s="84">
        <f t="shared" si="24"/>
        <v>10</v>
      </c>
      <c r="AF42" s="84"/>
    </row>
    <row r="43" spans="1:32">
      <c r="A43" s="17" t="s">
        <v>439</v>
      </c>
      <c r="B43" s="13"/>
      <c r="C43" s="13" t="s">
        <v>476</v>
      </c>
      <c r="D43" s="13" t="s">
        <v>477</v>
      </c>
      <c r="E43" s="21" t="s">
        <v>478</v>
      </c>
      <c r="F43" s="21" t="s">
        <v>70</v>
      </c>
      <c r="G43" s="19">
        <v>120</v>
      </c>
      <c r="H43" s="19">
        <v>12</v>
      </c>
      <c r="I43" s="19">
        <f t="shared" si="22"/>
        <v>120</v>
      </c>
      <c r="J43" s="19">
        <v>12</v>
      </c>
      <c r="K43" s="19">
        <f t="shared" si="19"/>
        <v>10</v>
      </c>
      <c r="L43" s="17" t="s">
        <v>479</v>
      </c>
      <c r="M43" s="17">
        <v>0.15</v>
      </c>
      <c r="N43" s="46">
        <v>13</v>
      </c>
      <c r="O43" s="46">
        <f t="shared" si="20"/>
        <v>130</v>
      </c>
      <c r="P43" s="46">
        <f t="shared" si="21"/>
        <v>1.5</v>
      </c>
      <c r="U43" s="77"/>
      <c r="V43" s="77"/>
      <c r="W43" s="77"/>
      <c r="X43" s="77"/>
      <c r="Y43" s="77"/>
      <c r="Z43" s="77"/>
      <c r="AA43" s="77"/>
      <c r="AB43" s="77"/>
      <c r="AC43" s="77"/>
      <c r="AD43" s="84">
        <f t="shared" si="23"/>
        <v>120</v>
      </c>
      <c r="AE43" s="84">
        <f t="shared" si="24"/>
        <v>10</v>
      </c>
      <c r="AF43" s="84"/>
    </row>
    <row r="44" spans="1:32">
      <c r="A44" s="17" t="s">
        <v>439</v>
      </c>
      <c r="B44" s="13"/>
      <c r="C44" s="13" t="s">
        <v>480</v>
      </c>
      <c r="D44" s="13" t="s">
        <v>481</v>
      </c>
      <c r="E44" s="21" t="s">
        <v>482</v>
      </c>
      <c r="F44" s="21" t="s">
        <v>483</v>
      </c>
      <c r="G44" s="19">
        <v>124</v>
      </c>
      <c r="H44" s="19">
        <v>4</v>
      </c>
      <c r="I44" s="19">
        <f t="shared" si="22"/>
        <v>124</v>
      </c>
      <c r="J44" s="19">
        <v>4</v>
      </c>
      <c r="K44" s="19">
        <f t="shared" si="19"/>
        <v>31</v>
      </c>
      <c r="L44" s="17" t="s">
        <v>484</v>
      </c>
      <c r="M44" s="17">
        <v>0.078</v>
      </c>
      <c r="N44" s="46">
        <v>13.4</v>
      </c>
      <c r="O44" s="46">
        <f t="shared" si="20"/>
        <v>415.4</v>
      </c>
      <c r="P44" s="46">
        <f t="shared" si="21"/>
        <v>2.418</v>
      </c>
      <c r="U44" s="77">
        <f t="shared" ref="U44:U49" si="25">K44*2</f>
        <v>62</v>
      </c>
      <c r="V44" s="77"/>
      <c r="W44" s="77">
        <f>G44*2</f>
        <v>248</v>
      </c>
      <c r="X44" s="77"/>
      <c r="Y44" s="77"/>
      <c r="Z44" s="77"/>
      <c r="AA44" s="77"/>
      <c r="AB44" s="77"/>
      <c r="AC44" s="77"/>
      <c r="AD44" s="84"/>
      <c r="AE44" s="84"/>
      <c r="AF44" s="84"/>
    </row>
    <row r="45" spans="1:32">
      <c r="A45" s="17" t="s">
        <v>439</v>
      </c>
      <c r="B45" s="13"/>
      <c r="C45" s="13" t="s">
        <v>485</v>
      </c>
      <c r="D45" s="13" t="s">
        <v>486</v>
      </c>
      <c r="E45" s="21" t="s">
        <v>487</v>
      </c>
      <c r="F45" s="21" t="s">
        <v>488</v>
      </c>
      <c r="G45" s="19">
        <v>144</v>
      </c>
      <c r="H45" s="19">
        <v>24</v>
      </c>
      <c r="I45" s="19">
        <f t="shared" si="22"/>
        <v>144</v>
      </c>
      <c r="J45" s="19">
        <v>24</v>
      </c>
      <c r="K45" s="19">
        <f t="shared" si="19"/>
        <v>6</v>
      </c>
      <c r="L45" s="17" t="s">
        <v>489</v>
      </c>
      <c r="M45" s="17">
        <v>0.068</v>
      </c>
      <c r="N45" s="46">
        <v>14.9</v>
      </c>
      <c r="O45" s="46">
        <f t="shared" si="20"/>
        <v>89.4</v>
      </c>
      <c r="P45" s="46">
        <f t="shared" si="21"/>
        <v>0.408</v>
      </c>
      <c r="U45" s="77">
        <f t="shared" si="25"/>
        <v>12</v>
      </c>
      <c r="V45" s="77"/>
      <c r="W45" s="77">
        <f>G45</f>
        <v>144</v>
      </c>
      <c r="X45" s="77"/>
      <c r="Y45" s="77"/>
      <c r="Z45" s="77"/>
      <c r="AA45" s="77"/>
      <c r="AB45" s="77"/>
      <c r="AC45" s="77"/>
      <c r="AD45" s="84"/>
      <c r="AE45" s="84"/>
      <c r="AF45" s="84"/>
    </row>
    <row r="46" spans="1:32">
      <c r="A46" s="17"/>
      <c r="B46" s="40"/>
      <c r="C46" s="13"/>
      <c r="D46" s="14"/>
      <c r="E46" s="21"/>
      <c r="F46" s="21"/>
      <c r="G46" s="19"/>
      <c r="H46" s="19"/>
      <c r="I46" s="19"/>
      <c r="J46" s="19"/>
      <c r="K46" s="19"/>
      <c r="L46" s="44"/>
      <c r="M46" s="17"/>
      <c r="N46" s="46"/>
      <c r="O46" s="46"/>
      <c r="P46" s="46"/>
      <c r="Q46" s="80"/>
      <c r="U46" s="77"/>
      <c r="V46" s="77"/>
      <c r="W46" s="77"/>
      <c r="X46" s="77"/>
      <c r="Y46" s="77"/>
      <c r="Z46" s="77"/>
      <c r="AA46" s="77"/>
      <c r="AB46" s="77"/>
      <c r="AC46" s="77"/>
      <c r="AD46" s="84"/>
      <c r="AE46" s="84"/>
      <c r="AF46" s="84"/>
    </row>
    <row r="47" spans="1:32">
      <c r="A47" s="17"/>
      <c r="B47" s="40"/>
      <c r="C47" s="13"/>
      <c r="D47" s="14"/>
      <c r="E47" s="21"/>
      <c r="F47" s="21"/>
      <c r="G47" s="19"/>
      <c r="H47" s="19"/>
      <c r="I47" s="19"/>
      <c r="J47" s="19"/>
      <c r="K47" s="19"/>
      <c r="L47" s="44"/>
      <c r="M47" s="17"/>
      <c r="N47" s="46"/>
      <c r="O47" s="46"/>
      <c r="P47" s="46"/>
      <c r="Q47" s="80"/>
      <c r="U47" s="77"/>
      <c r="V47" s="77"/>
      <c r="W47" s="77"/>
      <c r="X47" s="77"/>
      <c r="Y47" s="77"/>
      <c r="Z47" s="77"/>
      <c r="AA47" s="77"/>
      <c r="AB47" s="77"/>
      <c r="AC47" s="77"/>
      <c r="AD47" s="84"/>
      <c r="AE47" s="84"/>
      <c r="AF47" s="84"/>
    </row>
    <row r="48" spans="1:32">
      <c r="A48" s="12" t="s">
        <v>490</v>
      </c>
      <c r="B48" s="13"/>
      <c r="C48" s="13"/>
      <c r="D48" s="13"/>
      <c r="E48" s="13"/>
      <c r="F48" s="21"/>
      <c r="G48" s="19"/>
      <c r="H48" s="19"/>
      <c r="I48" s="19"/>
      <c r="J48" s="19"/>
      <c r="K48" s="19"/>
      <c r="L48" s="17"/>
      <c r="M48" s="17"/>
      <c r="N48" s="17"/>
      <c r="O48" s="17"/>
      <c r="P48" s="17"/>
      <c r="U48" s="77"/>
      <c r="V48" s="77"/>
      <c r="W48" s="77"/>
      <c r="X48" s="77"/>
      <c r="Y48" s="77"/>
      <c r="Z48" s="77"/>
      <c r="AA48" s="77"/>
      <c r="AB48" s="77"/>
      <c r="AC48" s="77"/>
      <c r="AD48" s="84"/>
      <c r="AE48" s="84"/>
      <c r="AF48" s="84"/>
    </row>
    <row r="49" ht="15" customHeight="1" spans="1:32">
      <c r="A49" s="17" t="s">
        <v>28</v>
      </c>
      <c r="B49" s="13"/>
      <c r="C49" s="13" t="s">
        <v>480</v>
      </c>
      <c r="D49" s="13" t="s">
        <v>491</v>
      </c>
      <c r="E49" s="13" t="s">
        <v>492</v>
      </c>
      <c r="F49" s="21" t="s">
        <v>483</v>
      </c>
      <c r="G49" s="19">
        <v>180</v>
      </c>
      <c r="H49" s="19">
        <v>4</v>
      </c>
      <c r="I49" s="19">
        <f>G49</f>
        <v>180</v>
      </c>
      <c r="J49" s="19">
        <v>4</v>
      </c>
      <c r="K49" s="19">
        <f>G49/H49</f>
        <v>45</v>
      </c>
      <c r="L49" s="17" t="s">
        <v>493</v>
      </c>
      <c r="M49" s="17">
        <v>0.077616</v>
      </c>
      <c r="N49" s="17">
        <v>15</v>
      </c>
      <c r="O49" s="17">
        <f>N49*K49</f>
        <v>675</v>
      </c>
      <c r="P49" s="46">
        <f>M49*K49</f>
        <v>3.49272</v>
      </c>
      <c r="U49" s="77">
        <f t="shared" si="25"/>
        <v>90</v>
      </c>
      <c r="V49" s="77"/>
      <c r="W49" s="77">
        <f>G49*2</f>
        <v>360</v>
      </c>
      <c r="X49" s="77"/>
      <c r="Y49" s="77"/>
      <c r="Z49" s="77"/>
      <c r="AA49" s="77"/>
      <c r="AB49" s="77"/>
      <c r="AC49" s="77"/>
      <c r="AD49" s="84"/>
      <c r="AE49" s="84"/>
      <c r="AF49" s="84"/>
    </row>
    <row r="50" spans="1:32">
      <c r="A50" s="17"/>
      <c r="B50" s="13"/>
      <c r="C50" s="13"/>
      <c r="D50" s="13"/>
      <c r="E50" s="13"/>
      <c r="F50" s="21"/>
      <c r="G50" s="19"/>
      <c r="H50" s="19"/>
      <c r="I50" s="19"/>
      <c r="J50" s="19"/>
      <c r="K50" s="19"/>
      <c r="L50" s="17"/>
      <c r="M50" s="17"/>
      <c r="N50" s="17"/>
      <c r="O50" s="17"/>
      <c r="P50" s="17"/>
      <c r="U50" s="77"/>
      <c r="V50" s="77"/>
      <c r="W50" s="77"/>
      <c r="X50" s="77"/>
      <c r="Y50" s="77"/>
      <c r="Z50" s="77"/>
      <c r="AA50" s="77"/>
      <c r="AB50" s="77"/>
      <c r="AC50" s="77"/>
      <c r="AD50" s="84"/>
      <c r="AE50" s="84"/>
      <c r="AF50" s="84"/>
    </row>
    <row r="51" spans="1:32">
      <c r="A51" s="17"/>
      <c r="B51" s="13"/>
      <c r="C51" s="13"/>
      <c r="D51" s="14"/>
      <c r="E51" s="13"/>
      <c r="F51" s="21"/>
      <c r="G51" s="19"/>
      <c r="H51" s="19"/>
      <c r="I51" s="19"/>
      <c r="J51" s="19"/>
      <c r="K51" s="19"/>
      <c r="L51" s="17"/>
      <c r="M51" s="17"/>
      <c r="N51" s="46"/>
      <c r="O51" s="46"/>
      <c r="P51" s="46"/>
      <c r="U51" s="77"/>
      <c r="V51" s="77"/>
      <c r="W51" s="77"/>
      <c r="X51" s="77"/>
      <c r="Y51" s="77"/>
      <c r="Z51" s="77"/>
      <c r="AA51" s="77"/>
      <c r="AB51" s="77"/>
      <c r="AC51" s="77"/>
      <c r="AD51" s="84"/>
      <c r="AE51" s="84"/>
      <c r="AF51" s="84"/>
    </row>
    <row r="52" spans="1:32">
      <c r="A52" s="43" t="s">
        <v>353</v>
      </c>
      <c r="B52" s="40" t="s">
        <v>494</v>
      </c>
      <c r="C52" s="13"/>
      <c r="D52" s="14"/>
      <c r="E52" s="13"/>
      <c r="F52" s="21"/>
      <c r="G52" s="19"/>
      <c r="H52" s="19"/>
      <c r="I52" s="19"/>
      <c r="J52" s="19"/>
      <c r="K52" s="19"/>
      <c r="L52" s="17"/>
      <c r="M52" s="17"/>
      <c r="N52" s="46"/>
      <c r="O52" s="46"/>
      <c r="P52" s="46"/>
      <c r="U52" s="81"/>
      <c r="V52" s="81"/>
      <c r="W52" s="77"/>
      <c r="X52" s="77"/>
      <c r="Y52" s="77"/>
      <c r="Z52" s="77"/>
      <c r="AA52" s="77"/>
      <c r="AB52" s="77"/>
      <c r="AC52" s="77"/>
      <c r="AD52" s="84"/>
      <c r="AE52" s="84"/>
      <c r="AF52" s="84"/>
    </row>
    <row r="53" s="1" customFormat="1" spans="1:32">
      <c r="A53" s="27" t="s">
        <v>252</v>
      </c>
      <c r="B53" s="28"/>
      <c r="C53" s="28"/>
      <c r="D53" s="29"/>
      <c r="E53" s="28"/>
      <c r="F53" s="30"/>
      <c r="G53" s="31"/>
      <c r="H53" s="31"/>
      <c r="I53" s="31"/>
      <c r="J53" s="31"/>
      <c r="K53" s="31"/>
      <c r="L53" s="32"/>
      <c r="M53" s="32"/>
      <c r="N53" s="58"/>
      <c r="O53" s="58"/>
      <c r="P53" s="58"/>
      <c r="U53" s="82"/>
      <c r="V53" s="82"/>
      <c r="W53" s="77"/>
      <c r="X53" s="77"/>
      <c r="Y53" s="77"/>
      <c r="Z53" s="83"/>
      <c r="AA53" s="83"/>
      <c r="AB53" s="83"/>
      <c r="AC53" s="83"/>
      <c r="AD53" s="84"/>
      <c r="AE53" s="84"/>
      <c r="AF53" s="84"/>
    </row>
    <row r="54" s="1" customFormat="1" spans="1:32">
      <c r="A54" s="32" t="s">
        <v>253</v>
      </c>
      <c r="B54" s="30" t="s">
        <v>254</v>
      </c>
      <c r="C54" s="28" t="s">
        <v>264</v>
      </c>
      <c r="D54" s="29" t="s">
        <v>265</v>
      </c>
      <c r="E54" s="28" t="s">
        <v>266</v>
      </c>
      <c r="F54" s="30" t="s">
        <v>267</v>
      </c>
      <c r="G54" s="31">
        <v>80</v>
      </c>
      <c r="H54" s="31">
        <v>8</v>
      </c>
      <c r="I54" s="31">
        <f t="shared" ref="I54:I62" si="26">G54</f>
        <v>80</v>
      </c>
      <c r="J54" s="31">
        <v>8</v>
      </c>
      <c r="K54" s="31">
        <f>G54/H54</f>
        <v>10</v>
      </c>
      <c r="L54" s="32" t="s">
        <v>268</v>
      </c>
      <c r="M54" s="32">
        <v>0.061</v>
      </c>
      <c r="N54" s="32">
        <v>12</v>
      </c>
      <c r="O54" s="32">
        <v>240</v>
      </c>
      <c r="P54" s="58">
        <f>M54*K54</f>
        <v>0.61</v>
      </c>
      <c r="R54" s="2"/>
      <c r="U54" s="83"/>
      <c r="V54" s="83">
        <f>K54</f>
        <v>10</v>
      </c>
      <c r="W54" s="77">
        <f t="shared" ref="W54:W74" si="27">G54</f>
        <v>80</v>
      </c>
      <c r="X54" s="77"/>
      <c r="Y54" s="77"/>
      <c r="Z54" s="83">
        <f>G54</f>
        <v>80</v>
      </c>
      <c r="AA54" s="83"/>
      <c r="AB54" s="83"/>
      <c r="AC54" s="83"/>
      <c r="AD54" s="84"/>
      <c r="AE54" s="84"/>
      <c r="AF54" s="84"/>
    </row>
    <row r="55" s="1" customFormat="1" spans="1:32">
      <c r="A55" s="32" t="s">
        <v>253</v>
      </c>
      <c r="B55" s="30"/>
      <c r="C55" s="28" t="s">
        <v>264</v>
      </c>
      <c r="D55" s="29" t="s">
        <v>495</v>
      </c>
      <c r="E55" s="28" t="s">
        <v>496</v>
      </c>
      <c r="F55" s="30" t="s">
        <v>301</v>
      </c>
      <c r="G55" s="31">
        <v>96</v>
      </c>
      <c r="H55" s="31">
        <v>8</v>
      </c>
      <c r="I55" s="31">
        <f t="shared" si="26"/>
        <v>96</v>
      </c>
      <c r="J55" s="31">
        <v>8</v>
      </c>
      <c r="K55" s="31">
        <f t="shared" ref="K55:K62" si="28">G55/H55</f>
        <v>12</v>
      </c>
      <c r="L55" s="32" t="s">
        <v>268</v>
      </c>
      <c r="M55" s="32">
        <v>0.063</v>
      </c>
      <c r="N55" s="32">
        <v>12.11</v>
      </c>
      <c r="O55" s="32">
        <v>0</v>
      </c>
      <c r="P55" s="58">
        <f>M55*K55</f>
        <v>0.756</v>
      </c>
      <c r="R55" s="2"/>
      <c r="U55" s="83"/>
      <c r="V55" s="83">
        <f t="shared" ref="V55:V76" si="29">K55</f>
        <v>12</v>
      </c>
      <c r="W55" s="77">
        <f t="shared" si="27"/>
        <v>96</v>
      </c>
      <c r="X55" s="77"/>
      <c r="Y55" s="77"/>
      <c r="Z55" s="83">
        <f t="shared" ref="Z55:Z69" si="30">G55</f>
        <v>96</v>
      </c>
      <c r="AA55" s="83"/>
      <c r="AB55" s="83"/>
      <c r="AC55" s="83"/>
      <c r="AD55" s="84"/>
      <c r="AE55" s="84"/>
      <c r="AF55" s="84"/>
    </row>
    <row r="56" s="1" customFormat="1" spans="1:32">
      <c r="A56" s="32"/>
      <c r="B56" s="28"/>
      <c r="C56" s="28"/>
      <c r="D56" s="29"/>
      <c r="E56" s="28"/>
      <c r="F56" s="30"/>
      <c r="G56" s="31"/>
      <c r="H56" s="31"/>
      <c r="I56" s="31"/>
      <c r="J56" s="31"/>
      <c r="K56" s="31"/>
      <c r="L56" s="32"/>
      <c r="M56" s="32"/>
      <c r="N56" s="58"/>
      <c r="O56" s="58"/>
      <c r="P56" s="58"/>
      <c r="U56" s="83"/>
      <c r="V56" s="83"/>
      <c r="W56" s="77"/>
      <c r="X56" s="77"/>
      <c r="Y56" s="77"/>
      <c r="Z56" s="83"/>
      <c r="AA56" s="83"/>
      <c r="AB56" s="83"/>
      <c r="AC56" s="83"/>
      <c r="AD56" s="84"/>
      <c r="AE56" s="84"/>
      <c r="AF56" s="84"/>
    </row>
    <row r="57" s="1" customFormat="1" spans="1:32">
      <c r="A57" s="27" t="s">
        <v>274</v>
      </c>
      <c r="B57" s="28"/>
      <c r="C57" s="28"/>
      <c r="D57" s="29"/>
      <c r="E57" s="28"/>
      <c r="F57" s="30"/>
      <c r="G57" s="31"/>
      <c r="H57" s="31"/>
      <c r="I57" s="31"/>
      <c r="J57" s="31"/>
      <c r="K57" s="31"/>
      <c r="L57" s="32"/>
      <c r="M57" s="32"/>
      <c r="N57" s="58"/>
      <c r="O57" s="58"/>
      <c r="P57" s="58"/>
      <c r="U57" s="83"/>
      <c r="V57" s="83"/>
      <c r="W57" s="77"/>
      <c r="X57" s="77"/>
      <c r="Y57" s="77"/>
      <c r="Z57" s="83"/>
      <c r="AA57" s="83"/>
      <c r="AB57" s="83"/>
      <c r="AC57" s="83"/>
      <c r="AD57" s="84"/>
      <c r="AE57" s="84"/>
      <c r="AF57" s="84"/>
    </row>
    <row r="58" s="1" customFormat="1" spans="1:32">
      <c r="A58" s="32" t="s">
        <v>253</v>
      </c>
      <c r="B58" s="30" t="s">
        <v>275</v>
      </c>
      <c r="C58" s="28" t="s">
        <v>287</v>
      </c>
      <c r="D58" s="29" t="s">
        <v>309</v>
      </c>
      <c r="E58" s="28" t="s">
        <v>310</v>
      </c>
      <c r="F58" s="30" t="s">
        <v>311</v>
      </c>
      <c r="G58" s="31">
        <v>90</v>
      </c>
      <c r="H58" s="31">
        <v>6</v>
      </c>
      <c r="I58" s="31">
        <f t="shared" si="26"/>
        <v>90</v>
      </c>
      <c r="J58" s="31">
        <v>6</v>
      </c>
      <c r="K58" s="31">
        <f t="shared" si="28"/>
        <v>15</v>
      </c>
      <c r="L58" s="32" t="s">
        <v>305</v>
      </c>
      <c r="M58" s="32">
        <v>0.066</v>
      </c>
      <c r="N58" s="58">
        <v>13.4</v>
      </c>
      <c r="O58" s="58">
        <f t="shared" ref="O58:O62" si="31">N58*K58</f>
        <v>201</v>
      </c>
      <c r="P58" s="58">
        <f t="shared" ref="P58:P62" si="32">K58*M58</f>
        <v>0.99</v>
      </c>
      <c r="U58" s="83"/>
      <c r="V58" s="83">
        <f t="shared" si="29"/>
        <v>15</v>
      </c>
      <c r="W58" s="77">
        <f t="shared" si="27"/>
        <v>90</v>
      </c>
      <c r="X58" s="77"/>
      <c r="Y58" s="77"/>
      <c r="Z58" s="83">
        <f t="shared" si="30"/>
        <v>90</v>
      </c>
      <c r="AA58" s="83"/>
      <c r="AB58" s="83"/>
      <c r="AC58" s="83"/>
      <c r="AD58" s="84"/>
      <c r="AE58" s="84"/>
      <c r="AF58" s="84"/>
    </row>
    <row r="59" s="1" customFormat="1" spans="1:32">
      <c r="A59" s="32" t="s">
        <v>253</v>
      </c>
      <c r="B59" s="30"/>
      <c r="C59" s="28" t="s">
        <v>287</v>
      </c>
      <c r="D59" s="29" t="s">
        <v>294</v>
      </c>
      <c r="E59" s="28" t="s">
        <v>295</v>
      </c>
      <c r="F59" s="30" t="s">
        <v>296</v>
      </c>
      <c r="G59" s="31">
        <v>120</v>
      </c>
      <c r="H59" s="31">
        <v>10</v>
      </c>
      <c r="I59" s="31">
        <f t="shared" si="26"/>
        <v>120</v>
      </c>
      <c r="J59" s="31">
        <v>10</v>
      </c>
      <c r="K59" s="31">
        <f t="shared" si="28"/>
        <v>12</v>
      </c>
      <c r="L59" s="32" t="s">
        <v>263</v>
      </c>
      <c r="M59" s="32">
        <v>0.062</v>
      </c>
      <c r="N59" s="58">
        <v>13</v>
      </c>
      <c r="O59" s="58">
        <f t="shared" si="31"/>
        <v>156</v>
      </c>
      <c r="P59" s="58">
        <f t="shared" si="32"/>
        <v>0.744</v>
      </c>
      <c r="U59" s="83"/>
      <c r="V59" s="83">
        <f t="shared" si="29"/>
        <v>12</v>
      </c>
      <c r="W59" s="77">
        <f t="shared" si="27"/>
        <v>120</v>
      </c>
      <c r="X59" s="77"/>
      <c r="Y59" s="77"/>
      <c r="Z59" s="83">
        <f t="shared" si="30"/>
        <v>120</v>
      </c>
      <c r="AA59" s="83"/>
      <c r="AB59" s="83"/>
      <c r="AC59" s="83"/>
      <c r="AD59" s="84"/>
      <c r="AE59" s="84"/>
      <c r="AF59" s="84"/>
    </row>
    <row r="60" s="2" customFormat="1" ht="16" customHeight="1" spans="1:32">
      <c r="A60" s="32" t="s">
        <v>253</v>
      </c>
      <c r="B60" s="30"/>
      <c r="C60" s="28" t="s">
        <v>276</v>
      </c>
      <c r="D60" s="29" t="s">
        <v>277</v>
      </c>
      <c r="E60" s="28" t="s">
        <v>278</v>
      </c>
      <c r="F60" s="30" t="s">
        <v>258</v>
      </c>
      <c r="G60" s="31">
        <v>100</v>
      </c>
      <c r="H60" s="31">
        <v>10</v>
      </c>
      <c r="I60" s="31">
        <f t="shared" si="26"/>
        <v>100</v>
      </c>
      <c r="J60" s="31">
        <v>10</v>
      </c>
      <c r="K60" s="31">
        <f t="shared" si="28"/>
        <v>10</v>
      </c>
      <c r="L60" s="32" t="s">
        <v>279</v>
      </c>
      <c r="M60" s="32">
        <v>0.06</v>
      </c>
      <c r="N60" s="58">
        <v>11.15</v>
      </c>
      <c r="O60" s="58">
        <f t="shared" si="31"/>
        <v>111.5</v>
      </c>
      <c r="P60" s="58">
        <f t="shared" si="32"/>
        <v>0.6</v>
      </c>
      <c r="U60" s="83"/>
      <c r="V60" s="83">
        <f t="shared" si="29"/>
        <v>10</v>
      </c>
      <c r="W60" s="77">
        <f t="shared" si="27"/>
        <v>100</v>
      </c>
      <c r="X60" s="77"/>
      <c r="Y60" s="77"/>
      <c r="Z60" s="83">
        <f t="shared" si="30"/>
        <v>100</v>
      </c>
      <c r="AA60" s="85"/>
      <c r="AB60" s="85"/>
      <c r="AC60" s="85"/>
      <c r="AD60" s="84"/>
      <c r="AE60" s="84"/>
      <c r="AF60" s="84"/>
    </row>
    <row r="61" s="2" customFormat="1" ht="16" customHeight="1" spans="1:32">
      <c r="A61" s="32" t="s">
        <v>253</v>
      </c>
      <c r="B61" s="30"/>
      <c r="C61" s="28" t="s">
        <v>276</v>
      </c>
      <c r="D61" s="29" t="s">
        <v>280</v>
      </c>
      <c r="E61" s="28" t="s">
        <v>281</v>
      </c>
      <c r="F61" s="30" t="s">
        <v>262</v>
      </c>
      <c r="G61" s="31">
        <v>80</v>
      </c>
      <c r="H61" s="31">
        <v>8</v>
      </c>
      <c r="I61" s="31">
        <f t="shared" si="26"/>
        <v>80</v>
      </c>
      <c r="J61" s="31">
        <v>8</v>
      </c>
      <c r="K61" s="31">
        <f t="shared" si="28"/>
        <v>10</v>
      </c>
      <c r="L61" s="32" t="s">
        <v>279</v>
      </c>
      <c r="M61" s="32">
        <v>0.062</v>
      </c>
      <c r="N61" s="58">
        <v>12.27</v>
      </c>
      <c r="O61" s="58">
        <f t="shared" si="31"/>
        <v>122.7</v>
      </c>
      <c r="P61" s="58">
        <f t="shared" si="32"/>
        <v>0.62</v>
      </c>
      <c r="U61" s="83"/>
      <c r="V61" s="83">
        <f t="shared" si="29"/>
        <v>10</v>
      </c>
      <c r="W61" s="77">
        <f t="shared" si="27"/>
        <v>80</v>
      </c>
      <c r="X61" s="77"/>
      <c r="Y61" s="77"/>
      <c r="Z61" s="83">
        <f t="shared" si="30"/>
        <v>80</v>
      </c>
      <c r="AA61" s="85"/>
      <c r="AB61" s="85"/>
      <c r="AC61" s="85"/>
      <c r="AD61" s="84"/>
      <c r="AE61" s="84"/>
      <c r="AF61" s="84"/>
    </row>
    <row r="62" s="2" customFormat="1" ht="16" customHeight="1" spans="1:32">
      <c r="A62" s="32" t="s">
        <v>253</v>
      </c>
      <c r="B62" s="30"/>
      <c r="C62" s="28" t="s">
        <v>287</v>
      </c>
      <c r="D62" s="29" t="s">
        <v>291</v>
      </c>
      <c r="E62" s="28" t="s">
        <v>292</v>
      </c>
      <c r="F62" s="30" t="s">
        <v>293</v>
      </c>
      <c r="G62" s="31">
        <v>100</v>
      </c>
      <c r="H62" s="31">
        <v>10</v>
      </c>
      <c r="I62" s="31">
        <f t="shared" si="26"/>
        <v>100</v>
      </c>
      <c r="J62" s="31">
        <v>10</v>
      </c>
      <c r="K62" s="31">
        <f t="shared" si="28"/>
        <v>10</v>
      </c>
      <c r="L62" s="32" t="s">
        <v>263</v>
      </c>
      <c r="M62" s="32">
        <v>0.06</v>
      </c>
      <c r="N62" s="58">
        <v>12.8</v>
      </c>
      <c r="O62" s="58">
        <f t="shared" si="31"/>
        <v>128</v>
      </c>
      <c r="P62" s="58">
        <f t="shared" si="32"/>
        <v>0.6</v>
      </c>
      <c r="U62" s="83"/>
      <c r="V62" s="83">
        <f t="shared" si="29"/>
        <v>10</v>
      </c>
      <c r="W62" s="77">
        <f t="shared" si="27"/>
        <v>100</v>
      </c>
      <c r="X62" s="77"/>
      <c r="Y62" s="77"/>
      <c r="Z62" s="83">
        <f t="shared" si="30"/>
        <v>100</v>
      </c>
      <c r="AA62" s="85"/>
      <c r="AB62" s="85"/>
      <c r="AC62" s="85"/>
      <c r="AD62" s="84"/>
      <c r="AE62" s="84"/>
      <c r="AF62" s="84"/>
    </row>
    <row r="63" spans="1:32">
      <c r="A63" s="17"/>
      <c r="B63" s="17"/>
      <c r="C63" s="17"/>
      <c r="D63" s="44"/>
      <c r="E63" s="17"/>
      <c r="F63" s="45"/>
      <c r="G63" s="46"/>
      <c r="H63" s="46"/>
      <c r="I63" s="46"/>
      <c r="J63" s="46"/>
      <c r="K63" s="19"/>
      <c r="L63" s="17"/>
      <c r="M63" s="17"/>
      <c r="N63" s="46"/>
      <c r="O63" s="46"/>
      <c r="P63" s="46"/>
      <c r="U63" s="83"/>
      <c r="V63" s="83"/>
      <c r="W63" s="77"/>
      <c r="X63" s="77"/>
      <c r="Y63" s="77"/>
      <c r="Z63" s="83"/>
      <c r="AA63" s="77"/>
      <c r="AB63" s="77"/>
      <c r="AC63" s="77"/>
      <c r="AD63" s="84"/>
      <c r="AE63" s="84"/>
      <c r="AF63" s="84"/>
    </row>
    <row r="64" ht="13" customHeight="1" spans="1:32">
      <c r="A64" s="12" t="s">
        <v>29</v>
      </c>
      <c r="B64" s="13"/>
      <c r="C64" s="13"/>
      <c r="D64" s="14"/>
      <c r="E64" s="13"/>
      <c r="F64" s="21"/>
      <c r="G64" s="19"/>
      <c r="H64" s="46"/>
      <c r="I64" s="46"/>
      <c r="J64" s="46"/>
      <c r="K64" s="69"/>
      <c r="L64" s="17"/>
      <c r="M64" s="17"/>
      <c r="N64" s="46"/>
      <c r="O64" s="46"/>
      <c r="P64" s="46"/>
      <c r="U64" s="83"/>
      <c r="V64" s="83"/>
      <c r="W64" s="77"/>
      <c r="X64" s="77"/>
      <c r="Y64" s="77"/>
      <c r="Z64" s="83"/>
      <c r="AA64" s="77"/>
      <c r="AB64" s="77"/>
      <c r="AC64" s="77"/>
      <c r="AD64" s="84"/>
      <c r="AE64" s="84"/>
      <c r="AF64" s="84"/>
    </row>
    <row r="65" ht="13" customHeight="1" spans="1:32">
      <c r="A65" s="17" t="s">
        <v>253</v>
      </c>
      <c r="B65" s="86" t="s">
        <v>497</v>
      </c>
      <c r="C65" s="13" t="s">
        <v>313</v>
      </c>
      <c r="D65" s="14" t="s">
        <v>314</v>
      </c>
      <c r="E65" s="13" t="s">
        <v>315</v>
      </c>
      <c r="F65" s="21" t="s">
        <v>316</v>
      </c>
      <c r="G65" s="19">
        <v>120</v>
      </c>
      <c r="H65" s="46">
        <v>6</v>
      </c>
      <c r="I65" s="46">
        <f>G65</f>
        <v>120</v>
      </c>
      <c r="J65" s="46">
        <v>6</v>
      </c>
      <c r="K65" s="19">
        <f t="shared" ref="K65:K69" si="33">G65/H65</f>
        <v>20</v>
      </c>
      <c r="L65" s="17" t="s">
        <v>305</v>
      </c>
      <c r="M65" s="17">
        <v>0.066</v>
      </c>
      <c r="N65" s="46">
        <v>12</v>
      </c>
      <c r="O65" s="46">
        <f t="shared" ref="O65:O69" si="34">N65*K65</f>
        <v>240</v>
      </c>
      <c r="P65" s="46">
        <f t="shared" ref="P65:P69" si="35">M65*K65</f>
        <v>1.32</v>
      </c>
      <c r="U65" s="83"/>
      <c r="V65" s="83">
        <f t="shared" si="29"/>
        <v>20</v>
      </c>
      <c r="W65" s="77">
        <f t="shared" si="27"/>
        <v>120</v>
      </c>
      <c r="X65" s="77"/>
      <c r="Y65" s="77"/>
      <c r="Z65" s="83">
        <f t="shared" si="30"/>
        <v>120</v>
      </c>
      <c r="AA65" s="77"/>
      <c r="AB65" s="77"/>
      <c r="AC65" s="77"/>
      <c r="AD65" s="84"/>
      <c r="AE65" s="84"/>
      <c r="AF65" s="84"/>
    </row>
    <row r="66" ht="13" customHeight="1" spans="1:32">
      <c r="A66" s="17" t="s">
        <v>253</v>
      </c>
      <c r="B66" s="86"/>
      <c r="C66" s="13" t="s">
        <v>313</v>
      </c>
      <c r="D66" s="14" t="s">
        <v>498</v>
      </c>
      <c r="E66" s="13" t="s">
        <v>499</v>
      </c>
      <c r="F66" s="21" t="s">
        <v>500</v>
      </c>
      <c r="G66" s="19">
        <v>180</v>
      </c>
      <c r="H66" s="46">
        <v>10</v>
      </c>
      <c r="I66" s="46">
        <f t="shared" ref="I66:I69" si="36">G66</f>
        <v>180</v>
      </c>
      <c r="J66" s="46">
        <v>10</v>
      </c>
      <c r="K66" s="19">
        <f t="shared" si="33"/>
        <v>18</v>
      </c>
      <c r="L66" s="17" t="s">
        <v>263</v>
      </c>
      <c r="M66" s="17">
        <v>0.062</v>
      </c>
      <c r="N66" s="46">
        <v>12</v>
      </c>
      <c r="O66" s="46">
        <f t="shared" si="34"/>
        <v>216</v>
      </c>
      <c r="P66" s="46">
        <f t="shared" si="35"/>
        <v>1.116</v>
      </c>
      <c r="U66" s="83"/>
      <c r="V66" s="83">
        <f t="shared" si="29"/>
        <v>18</v>
      </c>
      <c r="W66" s="77">
        <f t="shared" si="27"/>
        <v>180</v>
      </c>
      <c r="X66" s="77"/>
      <c r="Y66" s="77"/>
      <c r="Z66" s="83">
        <f t="shared" si="30"/>
        <v>180</v>
      </c>
      <c r="AA66" s="77"/>
      <c r="AB66" s="77"/>
      <c r="AC66" s="77"/>
      <c r="AD66" s="84"/>
      <c r="AE66" s="84"/>
      <c r="AF66" s="84"/>
    </row>
    <row r="67" ht="13" customHeight="1" spans="1:32">
      <c r="A67" s="17" t="s">
        <v>253</v>
      </c>
      <c r="B67" s="86"/>
      <c r="C67" s="13" t="s">
        <v>313</v>
      </c>
      <c r="D67" s="14" t="s">
        <v>317</v>
      </c>
      <c r="E67" s="13" t="s">
        <v>318</v>
      </c>
      <c r="F67" s="21" t="s">
        <v>304</v>
      </c>
      <c r="G67" s="19">
        <v>240</v>
      </c>
      <c r="H67" s="46">
        <v>6</v>
      </c>
      <c r="I67" s="46">
        <f t="shared" si="36"/>
        <v>240</v>
      </c>
      <c r="J67" s="46">
        <v>6</v>
      </c>
      <c r="K67" s="19">
        <f t="shared" si="33"/>
        <v>40</v>
      </c>
      <c r="L67" s="17" t="s">
        <v>305</v>
      </c>
      <c r="M67" s="17">
        <v>0.066</v>
      </c>
      <c r="N67" s="46">
        <v>12</v>
      </c>
      <c r="O67" s="46">
        <f t="shared" si="34"/>
        <v>480</v>
      </c>
      <c r="P67" s="46">
        <f t="shared" si="35"/>
        <v>2.64</v>
      </c>
      <c r="U67" s="83"/>
      <c r="V67" s="83">
        <f t="shared" si="29"/>
        <v>40</v>
      </c>
      <c r="W67" s="77">
        <f t="shared" si="27"/>
        <v>240</v>
      </c>
      <c r="X67" s="77"/>
      <c r="Y67" s="77"/>
      <c r="Z67" s="83">
        <f t="shared" si="30"/>
        <v>240</v>
      </c>
      <c r="AA67" s="77"/>
      <c r="AB67" s="77"/>
      <c r="AC67" s="77"/>
      <c r="AD67" s="84"/>
      <c r="AE67" s="84"/>
      <c r="AF67" s="84"/>
    </row>
    <row r="68" ht="13" customHeight="1" spans="1:32">
      <c r="A68" s="17" t="s">
        <v>253</v>
      </c>
      <c r="B68" s="86"/>
      <c r="C68" s="13" t="s">
        <v>313</v>
      </c>
      <c r="D68" s="14" t="s">
        <v>324</v>
      </c>
      <c r="E68" s="37" t="s">
        <v>325</v>
      </c>
      <c r="F68" s="21" t="s">
        <v>290</v>
      </c>
      <c r="G68" s="19">
        <v>180</v>
      </c>
      <c r="H68" s="46">
        <v>10</v>
      </c>
      <c r="I68" s="46">
        <f t="shared" si="36"/>
        <v>180</v>
      </c>
      <c r="J68" s="94">
        <v>10</v>
      </c>
      <c r="K68" s="19">
        <f t="shared" si="33"/>
        <v>18</v>
      </c>
      <c r="L68" s="17" t="s">
        <v>268</v>
      </c>
      <c r="M68" s="17">
        <v>0.062</v>
      </c>
      <c r="N68" s="46">
        <v>12</v>
      </c>
      <c r="O68" s="94">
        <f t="shared" si="34"/>
        <v>216</v>
      </c>
      <c r="P68" s="46">
        <f t="shared" si="35"/>
        <v>1.116</v>
      </c>
      <c r="U68" s="83"/>
      <c r="V68" s="83">
        <f t="shared" si="29"/>
        <v>18</v>
      </c>
      <c r="W68" s="77">
        <f t="shared" si="27"/>
        <v>180</v>
      </c>
      <c r="X68" s="77"/>
      <c r="Y68" s="77"/>
      <c r="Z68" s="83">
        <f t="shared" si="30"/>
        <v>180</v>
      </c>
      <c r="AA68" s="77"/>
      <c r="AB68" s="77"/>
      <c r="AC68" s="77"/>
      <c r="AD68" s="84"/>
      <c r="AE68" s="84"/>
      <c r="AF68" s="84"/>
    </row>
    <row r="69" ht="13" customHeight="1" spans="1:32">
      <c r="A69" s="17" t="s">
        <v>253</v>
      </c>
      <c r="B69" s="86"/>
      <c r="C69" s="13" t="s">
        <v>313</v>
      </c>
      <c r="D69" s="14" t="s">
        <v>328</v>
      </c>
      <c r="E69" s="13" t="s">
        <v>329</v>
      </c>
      <c r="F69" s="21" t="s">
        <v>330</v>
      </c>
      <c r="G69" s="19">
        <v>96</v>
      </c>
      <c r="H69" s="46">
        <v>6</v>
      </c>
      <c r="I69" s="46">
        <f t="shared" si="36"/>
        <v>96</v>
      </c>
      <c r="J69" s="46">
        <v>6</v>
      </c>
      <c r="K69" s="19">
        <f t="shared" si="33"/>
        <v>16</v>
      </c>
      <c r="L69" s="17" t="s">
        <v>305</v>
      </c>
      <c r="M69" s="17">
        <v>0.066</v>
      </c>
      <c r="N69" s="46">
        <v>12</v>
      </c>
      <c r="O69" s="46">
        <f t="shared" si="34"/>
        <v>192</v>
      </c>
      <c r="P69" s="46">
        <f t="shared" si="35"/>
        <v>1.056</v>
      </c>
      <c r="U69" s="83"/>
      <c r="V69" s="83">
        <f t="shared" si="29"/>
        <v>16</v>
      </c>
      <c r="W69" s="77">
        <f t="shared" si="27"/>
        <v>96</v>
      </c>
      <c r="X69" s="77"/>
      <c r="Y69" s="77"/>
      <c r="Z69" s="83">
        <f t="shared" si="30"/>
        <v>96</v>
      </c>
      <c r="AA69" s="77"/>
      <c r="AB69" s="77"/>
      <c r="AC69" s="77"/>
      <c r="AD69" s="84"/>
      <c r="AE69" s="84"/>
      <c r="AF69" s="84"/>
    </row>
    <row r="70" spans="1:32">
      <c r="A70" s="17"/>
      <c r="B70" s="13"/>
      <c r="C70" s="13"/>
      <c r="D70" s="14"/>
      <c r="E70" s="13"/>
      <c r="F70" s="21"/>
      <c r="G70" s="19"/>
      <c r="H70" s="46"/>
      <c r="I70" s="46"/>
      <c r="J70" s="46"/>
      <c r="K70" s="19"/>
      <c r="L70" s="17"/>
      <c r="M70" s="17"/>
      <c r="N70" s="46"/>
      <c r="O70" s="46"/>
      <c r="P70" s="46"/>
      <c r="U70" s="83"/>
      <c r="V70" s="83"/>
      <c r="W70" s="77"/>
      <c r="X70" s="77"/>
      <c r="Y70" s="77"/>
      <c r="Z70" s="77"/>
      <c r="AA70" s="77"/>
      <c r="AB70" s="77"/>
      <c r="AC70" s="77"/>
      <c r="AD70" s="84"/>
      <c r="AE70" s="84"/>
      <c r="AF70" s="84"/>
    </row>
    <row r="71" ht="15" customHeight="1" spans="1:32">
      <c r="A71" s="12" t="s">
        <v>179</v>
      </c>
      <c r="B71" s="13"/>
      <c r="C71" s="13"/>
      <c r="D71" s="14"/>
      <c r="E71" s="21"/>
      <c r="F71" s="21"/>
      <c r="G71" s="19"/>
      <c r="H71" s="46"/>
      <c r="I71" s="95"/>
      <c r="J71" s="96"/>
      <c r="K71" s="19"/>
      <c r="L71" s="17"/>
      <c r="M71" s="45"/>
      <c r="N71" s="46"/>
      <c r="O71" s="46"/>
      <c r="P71" s="46"/>
      <c r="Q71" s="78"/>
      <c r="U71" s="83"/>
      <c r="V71" s="83"/>
      <c r="W71" s="77"/>
      <c r="X71" s="77"/>
      <c r="Y71" s="77"/>
      <c r="Z71" s="77"/>
      <c r="AA71" s="77"/>
      <c r="AB71" s="77"/>
      <c r="AC71" s="77"/>
      <c r="AD71" s="84"/>
      <c r="AE71" s="84"/>
      <c r="AF71" s="84"/>
    </row>
    <row r="72" ht="25" customHeight="1" spans="1:32">
      <c r="A72" s="17" t="s">
        <v>215</v>
      </c>
      <c r="B72" s="13"/>
      <c r="C72" s="13" t="s">
        <v>216</v>
      </c>
      <c r="D72" s="87" t="s">
        <v>217</v>
      </c>
      <c r="E72" s="88" t="s">
        <v>218</v>
      </c>
      <c r="F72" s="89" t="s">
        <v>219</v>
      </c>
      <c r="G72" s="90">
        <v>240</v>
      </c>
      <c r="H72" s="91">
        <v>6</v>
      </c>
      <c r="I72" s="91">
        <f>G72*6</f>
        <v>1440</v>
      </c>
      <c r="J72" s="91">
        <v>36</v>
      </c>
      <c r="K72" s="19">
        <f>G72/H72</f>
        <v>40</v>
      </c>
      <c r="L72" s="17" t="s">
        <v>220</v>
      </c>
      <c r="M72" s="70">
        <f>(61.5*31.5*36)/1000000</f>
        <v>0.069741</v>
      </c>
      <c r="N72" s="71">
        <v>12.1</v>
      </c>
      <c r="O72" s="70">
        <f>N72*K72</f>
        <v>484</v>
      </c>
      <c r="P72" s="46">
        <f>M72*K72</f>
        <v>2.78964</v>
      </c>
      <c r="U72" s="83"/>
      <c r="V72" s="83">
        <f t="shared" si="29"/>
        <v>40</v>
      </c>
      <c r="W72" s="77">
        <f t="shared" si="27"/>
        <v>240</v>
      </c>
      <c r="X72" s="77"/>
      <c r="Y72" s="77"/>
      <c r="Z72" s="77"/>
      <c r="AA72" s="77"/>
      <c r="AB72" s="77"/>
      <c r="AC72" s="77"/>
      <c r="AD72" s="84"/>
      <c r="AE72" s="84"/>
      <c r="AF72" s="84"/>
    </row>
    <row r="73" ht="15" customHeight="1" spans="1:32">
      <c r="A73" s="17" t="s">
        <v>215</v>
      </c>
      <c r="B73" s="40"/>
      <c r="C73" s="13" t="s">
        <v>501</v>
      </c>
      <c r="D73" s="14" t="s">
        <v>502</v>
      </c>
      <c r="E73" s="14" t="s">
        <v>503</v>
      </c>
      <c r="F73" s="21" t="s">
        <v>504</v>
      </c>
      <c r="G73" s="92">
        <v>120</v>
      </c>
      <c r="H73" s="93">
        <v>1</v>
      </c>
      <c r="I73" s="93">
        <f>G73*6</f>
        <v>720</v>
      </c>
      <c r="J73" s="93">
        <v>6</v>
      </c>
      <c r="K73" s="92">
        <f>G73/H73</f>
        <v>120</v>
      </c>
      <c r="L73" s="44" t="s">
        <v>505</v>
      </c>
      <c r="M73" s="17">
        <f>(42*31*16)/1000000</f>
        <v>0.020832</v>
      </c>
      <c r="N73" s="46">
        <v>3.15</v>
      </c>
      <c r="O73" s="17">
        <f>N73*K73</f>
        <v>378</v>
      </c>
      <c r="P73" s="46">
        <f>M73*K73</f>
        <v>2.49984</v>
      </c>
      <c r="U73" s="83"/>
      <c r="V73" s="83">
        <f t="shared" si="29"/>
        <v>120</v>
      </c>
      <c r="W73" s="77"/>
      <c r="X73" s="77">
        <v>120</v>
      </c>
      <c r="Y73" s="77"/>
      <c r="Z73" s="77"/>
      <c r="AA73" s="77"/>
      <c r="AB73" s="77"/>
      <c r="AC73" s="77"/>
      <c r="AD73" s="84"/>
      <c r="AE73" s="84"/>
      <c r="AF73" s="84"/>
    </row>
    <row r="74" spans="1:32">
      <c r="A74" s="17" t="s">
        <v>215</v>
      </c>
      <c r="B74" s="40"/>
      <c r="C74" s="13" t="s">
        <v>233</v>
      </c>
      <c r="D74" s="14" t="s">
        <v>234</v>
      </c>
      <c r="E74" s="13" t="s">
        <v>235</v>
      </c>
      <c r="F74" s="21" t="s">
        <v>236</v>
      </c>
      <c r="G74" s="19">
        <v>120</v>
      </c>
      <c r="H74" s="46">
        <v>6</v>
      </c>
      <c r="I74" s="46">
        <f>G74*12</f>
        <v>1440</v>
      </c>
      <c r="J74" s="46">
        <f>H74*12</f>
        <v>72</v>
      </c>
      <c r="K74" s="19">
        <f>G74/H74</f>
        <v>20</v>
      </c>
      <c r="L74" s="17" t="s">
        <v>237</v>
      </c>
      <c r="M74" s="17">
        <f>(51*33*38)/1000000</f>
        <v>0.063954</v>
      </c>
      <c r="N74" s="46">
        <v>16.8</v>
      </c>
      <c r="O74" s="46">
        <f>N74*K74</f>
        <v>336</v>
      </c>
      <c r="P74" s="46">
        <f>M74*K74</f>
        <v>1.27908</v>
      </c>
      <c r="Q74" s="80"/>
      <c r="U74" s="83"/>
      <c r="V74" s="83">
        <f t="shared" si="29"/>
        <v>20</v>
      </c>
      <c r="W74" s="77">
        <f t="shared" si="27"/>
        <v>120</v>
      </c>
      <c r="X74" s="77"/>
      <c r="Y74" s="77"/>
      <c r="Z74" s="77"/>
      <c r="AA74" s="77"/>
      <c r="AB74" s="77"/>
      <c r="AC74" s="77"/>
      <c r="AD74" s="84"/>
      <c r="AE74" s="84"/>
      <c r="AF74" s="84"/>
    </row>
    <row r="75" spans="1:32">
      <c r="A75" s="17" t="s">
        <v>215</v>
      </c>
      <c r="B75" s="40"/>
      <c r="C75" s="13" t="s">
        <v>243</v>
      </c>
      <c r="D75" s="14" t="s">
        <v>244</v>
      </c>
      <c r="E75" s="13" t="s">
        <v>245</v>
      </c>
      <c r="F75" s="21" t="s">
        <v>246</v>
      </c>
      <c r="G75" s="19">
        <v>100</v>
      </c>
      <c r="H75" s="46">
        <v>20</v>
      </c>
      <c r="I75" s="46">
        <f>G75*2</f>
        <v>200</v>
      </c>
      <c r="J75" s="46">
        <f>H75*2</f>
        <v>40</v>
      </c>
      <c r="K75" s="19">
        <f>G75/H75</f>
        <v>5</v>
      </c>
      <c r="L75" s="17" t="s">
        <v>247</v>
      </c>
      <c r="M75" s="17">
        <f>(46.5*47.5*25)/1000000</f>
        <v>0.05521875</v>
      </c>
      <c r="N75" s="46">
        <v>7.65</v>
      </c>
      <c r="O75" s="46">
        <f>N75*K75</f>
        <v>38.25</v>
      </c>
      <c r="P75" s="46">
        <f>M75*K75</f>
        <v>0.27609375</v>
      </c>
      <c r="Q75" s="80"/>
      <c r="U75" s="83"/>
      <c r="V75" s="83">
        <f t="shared" si="29"/>
        <v>5</v>
      </c>
      <c r="W75" s="77"/>
      <c r="X75" s="77"/>
      <c r="Y75" s="77"/>
      <c r="Z75" s="77"/>
      <c r="AA75" s="77"/>
      <c r="AB75" s="77"/>
      <c r="AC75" s="77">
        <v>100</v>
      </c>
      <c r="AD75" s="84"/>
      <c r="AE75" s="84"/>
      <c r="AF75" s="84"/>
    </row>
    <row r="76" spans="1:32">
      <c r="A76" s="17" t="s">
        <v>215</v>
      </c>
      <c r="B76" s="40"/>
      <c r="C76" s="13" t="s">
        <v>222</v>
      </c>
      <c r="D76" s="14" t="s">
        <v>223</v>
      </c>
      <c r="E76" s="21" t="s">
        <v>224</v>
      </c>
      <c r="F76" s="21" t="s">
        <v>225</v>
      </c>
      <c r="G76" s="19">
        <v>144</v>
      </c>
      <c r="H76" s="46">
        <v>36</v>
      </c>
      <c r="I76" s="46">
        <f>G76*2</f>
        <v>288</v>
      </c>
      <c r="J76" s="46">
        <v>72</v>
      </c>
      <c r="K76" s="19">
        <f>G76/H76</f>
        <v>4</v>
      </c>
      <c r="L76" s="44" t="s">
        <v>226</v>
      </c>
      <c r="M76" s="17">
        <f>(48*44*36)/1000000</f>
        <v>0.076032</v>
      </c>
      <c r="N76" s="46">
        <v>17</v>
      </c>
      <c r="O76" s="46">
        <f>N76*K76</f>
        <v>68</v>
      </c>
      <c r="P76" s="46">
        <f>M76*K76</f>
        <v>0.304128</v>
      </c>
      <c r="Q76" s="80"/>
      <c r="U76" s="83"/>
      <c r="V76" s="83">
        <f t="shared" si="29"/>
        <v>4</v>
      </c>
      <c r="W76" s="77"/>
      <c r="X76" s="77"/>
      <c r="Y76" s="77"/>
      <c r="Z76" s="77"/>
      <c r="AA76" s="77"/>
      <c r="AB76" s="77">
        <v>144</v>
      </c>
      <c r="AC76" s="77"/>
      <c r="AD76" s="84"/>
      <c r="AE76" s="84"/>
      <c r="AF76" s="84"/>
    </row>
    <row r="77" spans="1:32">
      <c r="A77" s="17" t="s">
        <v>215</v>
      </c>
      <c r="B77" s="40"/>
      <c r="C77" s="13" t="s">
        <v>227</v>
      </c>
      <c r="D77" s="14"/>
      <c r="E77" s="21"/>
      <c r="F77" s="21"/>
      <c r="G77" s="19"/>
      <c r="H77" s="46"/>
      <c r="I77" s="46">
        <f>G76*2</f>
        <v>288</v>
      </c>
      <c r="J77" s="46">
        <v>72</v>
      </c>
      <c r="K77" s="19"/>
      <c r="L77" s="44"/>
      <c r="M77" s="17"/>
      <c r="N77" s="46"/>
      <c r="O77" s="46"/>
      <c r="P77" s="46"/>
      <c r="Q77" s="80"/>
      <c r="U77" s="83"/>
      <c r="V77" s="83"/>
      <c r="W77" s="77"/>
      <c r="X77" s="77"/>
      <c r="Y77" s="77"/>
      <c r="Z77" s="77"/>
      <c r="AA77" s="77"/>
      <c r="AB77" s="77"/>
      <c r="AC77" s="77"/>
      <c r="AD77" s="84"/>
      <c r="AE77" s="84"/>
      <c r="AF77" s="84"/>
    </row>
    <row r="78" spans="1:32">
      <c r="A78" s="17"/>
      <c r="B78" s="13"/>
      <c r="C78" s="13"/>
      <c r="D78" s="14"/>
      <c r="E78" s="13"/>
      <c r="F78" s="21"/>
      <c r="G78" s="19"/>
      <c r="H78" s="46"/>
      <c r="I78" s="46"/>
      <c r="J78" s="46"/>
      <c r="K78" s="19"/>
      <c r="L78" s="17"/>
      <c r="M78" s="17"/>
      <c r="N78" s="46"/>
      <c r="O78" s="46"/>
      <c r="P78" s="46">
        <f>SUM(P2:P77)</f>
        <v>64.93936075</v>
      </c>
      <c r="U78" s="77"/>
      <c r="V78" s="77"/>
      <c r="W78" s="77"/>
      <c r="X78" s="77"/>
      <c r="Y78" s="77"/>
      <c r="Z78" s="77"/>
      <c r="AA78" s="77"/>
      <c r="AB78" s="77"/>
      <c r="AC78" s="77"/>
      <c r="AD78" s="84"/>
      <c r="AE78" s="84"/>
      <c r="AF78" s="84"/>
    </row>
    <row r="79" spans="21:32">
      <c r="U79" s="77">
        <f>SUM(U3:U77)</f>
        <v>456</v>
      </c>
      <c r="V79" s="77">
        <f>SUM(V54:V77)</f>
        <v>380</v>
      </c>
      <c r="W79" s="77">
        <f t="shared" ref="W79:AC79" si="37">SUM(W3:W77)</f>
        <v>5292</v>
      </c>
      <c r="X79" s="77">
        <f t="shared" si="37"/>
        <v>120</v>
      </c>
      <c r="Y79" s="77">
        <f t="shared" si="37"/>
        <v>52</v>
      </c>
      <c r="Z79" s="77">
        <f t="shared" si="37"/>
        <v>3010</v>
      </c>
      <c r="AA79" s="77">
        <f t="shared" si="37"/>
        <v>52</v>
      </c>
      <c r="AB79" s="77">
        <f t="shared" si="37"/>
        <v>630</v>
      </c>
      <c r="AC79" s="77">
        <f t="shared" si="37"/>
        <v>200</v>
      </c>
      <c r="AD79" s="84">
        <f>SUM(AD2:AD78)</f>
        <v>1240</v>
      </c>
      <c r="AE79" s="84">
        <f>SUM(AE2:AE78)</f>
        <v>114</v>
      </c>
      <c r="AF79" s="84">
        <f>SUM(AF2:AF78)</f>
        <v>500</v>
      </c>
    </row>
    <row r="80" spans="11:32">
      <c r="K80" s="97" t="s">
        <v>371</v>
      </c>
      <c r="U80" s="77">
        <f>U79*2*0.38</f>
        <v>346.56</v>
      </c>
      <c r="V80" s="77">
        <f>V79*0.38</f>
        <v>144.4</v>
      </c>
      <c r="W80" s="77">
        <f>W79*0.46</f>
        <v>2434.32</v>
      </c>
      <c r="X80" s="77">
        <f>X79*0.38</f>
        <v>45.6</v>
      </c>
      <c r="Y80" s="77">
        <f>Y79*2*0.62</f>
        <v>64.48</v>
      </c>
      <c r="Z80" s="77">
        <f>Z79*1.2</f>
        <v>3612</v>
      </c>
      <c r="AA80" s="77">
        <f>AA79*3</f>
        <v>156</v>
      </c>
      <c r="AB80" s="77">
        <f>AB79*0.9</f>
        <v>567</v>
      </c>
      <c r="AC80" s="77">
        <f>AC79*0.8</f>
        <v>160</v>
      </c>
      <c r="AD80" s="84">
        <f>AD79*0.46</f>
        <v>570.4</v>
      </c>
      <c r="AE80" s="84">
        <f>114*2*0.38</f>
        <v>86.64</v>
      </c>
      <c r="AF80" s="84">
        <f>AF79*0.38</f>
        <v>190</v>
      </c>
    </row>
    <row r="81" spans="11:32">
      <c r="K81" s="97"/>
      <c r="U81" s="98">
        <f>U80+V80+W80+X80+Y80+Z80+AA80+AB80+AC80</f>
        <v>7530.36</v>
      </c>
      <c r="V81" s="99"/>
      <c r="W81" s="99"/>
      <c r="X81" s="99"/>
      <c r="Y81" s="99"/>
      <c r="Z81" s="99"/>
      <c r="AA81" s="99"/>
      <c r="AB81" s="99"/>
      <c r="AC81" s="100"/>
      <c r="AD81" s="101"/>
      <c r="AE81" s="102">
        <f>AD80+AE80+AF80</f>
        <v>847.04</v>
      </c>
      <c r="AF81" s="103"/>
    </row>
  </sheetData>
  <mergeCells count="23">
    <mergeCell ref="U81:AC81"/>
    <mergeCell ref="B15:B23"/>
    <mergeCell ref="B26:B28"/>
    <mergeCell ref="B54:B55"/>
    <mergeCell ref="B58:B62"/>
    <mergeCell ref="B65:B69"/>
    <mergeCell ref="D76:D77"/>
    <mergeCell ref="E76:E77"/>
    <mergeCell ref="F76:F77"/>
    <mergeCell ref="G5:G6"/>
    <mergeCell ref="G76:G77"/>
    <mergeCell ref="H76:H77"/>
    <mergeCell ref="K5:K6"/>
    <mergeCell ref="K76:K77"/>
    <mergeCell ref="L76:L77"/>
    <mergeCell ref="M5:M6"/>
    <mergeCell ref="M76:M77"/>
    <mergeCell ref="N5:N6"/>
    <mergeCell ref="N76:N77"/>
    <mergeCell ref="O5:O6"/>
    <mergeCell ref="O76:O77"/>
    <mergeCell ref="P5:P6"/>
    <mergeCell ref="P76:P77"/>
  </mergeCells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6A94FDC5-43BA-4DEA-B4DF-95E93617CD6D}">
  <ds:schemaRefs/>
</ds:datastoreItem>
</file>

<file path=customXml/itemProps2.xml><?xml version="1.0" encoding="utf-8"?>
<ds:datastoreItem xmlns:ds="http://schemas.openxmlformats.org/officeDocument/2006/customXml" ds:itemID="{D518C19C-F884-4F31-9050-A485770DC9E5}">
  <ds:schemaRefs/>
</ds:datastoreItem>
</file>

<file path=customXml/itemProps3.xml><?xml version="1.0" encoding="utf-8"?>
<ds:datastoreItem xmlns:ds="http://schemas.openxmlformats.org/officeDocument/2006/customXml" ds:itemID="{8602E638-3BC7-46AB-8E78-022935F3D2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VAS GW20250507-08-09-SEKU651311</vt:lpstr>
      <vt:lpstr>VAS 6月COSU6421188390-CSNU557267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Ye</dc:creator>
  <cp:lastModifiedBy>蓓蓓</cp:lastModifiedBy>
  <dcterms:created xsi:type="dcterms:W3CDTF">2024-02-01T05:43:00Z</dcterms:created>
  <dcterms:modified xsi:type="dcterms:W3CDTF">2025-07-07T08:46:54Z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C54CBB41F8164D13BC034E357AC33E2C_13</vt:lpwstr>
  </property>
  <property fmtid="{D5CDD505-2E9C-101B-9397-08002B2CF9AE}" pid="3" name="KSOProductBuildVer">
    <vt:lpwstr>2052-12.1.0.21541</vt:lpwstr>
  </property>
  <property fmtid="{D5CDD505-2E9C-101B-9397-08002B2CF9AE}" pid="4" name="ContentTypeId">
    <vt:lpwstr>0x010100296962727B0B0949AAF00B4CD9144D65</vt:lpwstr>
  </property>
  <property fmtid="{D5CDD505-2E9C-101B-9397-08002B2CF9AE}" pid="5" name="MediaServiceImageTags">
    <vt:lpwstr/>
  </property>
</Properties>
</file>