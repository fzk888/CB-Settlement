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52" windowHeight="12375"/>
  </bookViews>
  <sheets>
    <sheet name="Invoice" sheetId="5" r:id="rId1"/>
    <sheet name="Transportation Related" sheetId="8" r:id="rId2"/>
    <sheet name="Freight Related" sheetId="9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<sst xmlns="http://schemas.openxmlformats.org/spreadsheetml/2006/main" count="118" uniqueCount="78">
  <si>
    <t>INVOICE</t>
  </si>
  <si>
    <t>CUSTOMER :</t>
  </si>
  <si>
    <t>HUPPER TEK Co.,Ltd</t>
  </si>
  <si>
    <t>Invoice No :</t>
  </si>
  <si>
    <t>YSHUPPER202502</t>
  </si>
  <si>
    <t xml:space="preserve">#206, Scientific research building, Tsinghua Hi-Tech Park, </t>
  </si>
  <si>
    <t>Date :</t>
  </si>
  <si>
    <t xml:space="preserve">North Section of Hi-tech Industrial Park, </t>
  </si>
  <si>
    <t>Terms :</t>
  </si>
  <si>
    <t>Nanshan District, Shenzhen, P.R.China</t>
  </si>
  <si>
    <t>Your Order No. :</t>
  </si>
  <si>
    <t>ATTN:</t>
  </si>
  <si>
    <t>Zoe Zhao</t>
  </si>
  <si>
    <t>EMAIL:</t>
  </si>
  <si>
    <t>zoezhao@huppertek.com</t>
  </si>
  <si>
    <t>Details of Charges</t>
  </si>
  <si>
    <t>Quantity</t>
  </si>
  <si>
    <t>Unit Rate</t>
  </si>
  <si>
    <t>Currency</t>
  </si>
  <si>
    <t>Amount</t>
  </si>
  <si>
    <t xml:space="preserve">Contairner Truck Transportation </t>
  </si>
  <si>
    <t>RMB</t>
  </si>
  <si>
    <r>
      <t>4</t>
    </r>
    <r>
      <rPr>
        <sz val="10"/>
        <rFont val="宋体"/>
        <charset val="134"/>
      </rPr>
      <t>个柜子拖车</t>
    </r>
  </si>
  <si>
    <t xml:space="preserve">Container Discharge </t>
  </si>
  <si>
    <t xml:space="preserve">Container Overtime Discharge </t>
  </si>
  <si>
    <t>Container Pre-Pick up</t>
  </si>
  <si>
    <t>Seafreight</t>
  </si>
  <si>
    <t>USD</t>
  </si>
  <si>
    <r>
      <t>3</t>
    </r>
    <r>
      <rPr>
        <sz val="10"/>
        <rFont val="宋体"/>
        <charset val="134"/>
      </rPr>
      <t>个柜子海运叶水福定的舱</t>
    </r>
  </si>
  <si>
    <t>Local Fee</t>
  </si>
  <si>
    <r>
      <rPr>
        <sz val="11"/>
        <rFont val="Times New Roman"/>
        <charset val="134"/>
      </rPr>
      <t>Customs checkpost Service</t>
    </r>
    <r>
      <rPr>
        <sz val="11"/>
        <rFont val="Yu Gothic"/>
        <charset val="128"/>
      </rPr>
      <t>卡口异常</t>
    </r>
    <r>
      <rPr>
        <sz val="11"/>
        <rFont val="Times New Roman"/>
        <charset val="134"/>
      </rPr>
      <t>处</t>
    </r>
    <r>
      <rPr>
        <sz val="11"/>
        <rFont val="Yu Gothic"/>
        <charset val="128"/>
      </rPr>
      <t>理</t>
    </r>
    <r>
      <rPr>
        <sz val="11"/>
        <rFont val="Times New Roman"/>
        <charset val="134"/>
      </rPr>
      <t>费</t>
    </r>
  </si>
  <si>
    <t xml:space="preserve">Detention </t>
  </si>
  <si>
    <t xml:space="preserve">Customs seals Transportataion </t>
  </si>
  <si>
    <t>others</t>
  </si>
  <si>
    <t>Total</t>
  </si>
  <si>
    <t>TOTAL :</t>
  </si>
  <si>
    <t>YCH FREE PORT (SHANGHAI) CO,LTD</t>
  </si>
  <si>
    <t>For Remittances:Please Remit To:</t>
  </si>
  <si>
    <t>No.377 Hui Gang Road</t>
  </si>
  <si>
    <t>中国银行上海市临港支行</t>
  </si>
  <si>
    <t xml:space="preserve">Yangshan Free Port, Shanghai </t>
  </si>
  <si>
    <t>Bank of China Shanghai Lingang SB.</t>
  </si>
  <si>
    <t>Shanghai 201308, P.R.China</t>
  </si>
  <si>
    <t>RMB    Account # : 439059231458</t>
  </si>
  <si>
    <t>Telephone : (86) 21 68281552</t>
  </si>
  <si>
    <t>USD     Account#::  440359256213</t>
  </si>
  <si>
    <t xml:space="preserve">SWIFT CODE:BKCH CNBJ 300  </t>
  </si>
  <si>
    <t>TRANSPORTATION BILLING REPORT</t>
  </si>
  <si>
    <r>
      <rPr>
        <sz val="9"/>
        <rFont val="等线"/>
        <charset val="134"/>
      </rPr>
      <t>Customer</t>
    </r>
  </si>
  <si>
    <r>
      <rPr>
        <sz val="8"/>
        <rFont val="等线"/>
        <charset val="134"/>
      </rPr>
      <t xml:space="preserve"> :</t>
    </r>
  </si>
  <si>
    <r>
      <rPr>
        <sz val="9"/>
        <rFont val="等线"/>
        <charset val="134"/>
      </rPr>
      <t>HUPPER_SH</t>
    </r>
  </si>
  <si>
    <r>
      <rPr>
        <sz val="9"/>
        <rFont val="等线"/>
        <charset val="134"/>
      </rPr>
      <t>Trans Code</t>
    </r>
  </si>
  <si>
    <r>
      <rPr>
        <sz val="9"/>
        <rFont val="等线"/>
        <charset val="134"/>
      </rPr>
      <t xml:space="preserve">Charge Grp </t>
    </r>
  </si>
  <si>
    <r>
      <rPr>
        <sz val="9"/>
        <rFont val="等线"/>
        <charset val="134"/>
      </rPr>
      <t>For Storage Dated</t>
    </r>
  </si>
  <si>
    <t>Serive code</t>
  </si>
  <si>
    <t>Service</t>
  </si>
  <si>
    <t>Unit Price</t>
  </si>
  <si>
    <t>Uom</t>
  </si>
  <si>
    <t>Qty</t>
  </si>
  <si>
    <t>Total Amount  (RMB)</t>
  </si>
  <si>
    <t>Remark</t>
  </si>
  <si>
    <t>Container Transportataion (YangShan--&gt;Yangshan)运输费</t>
  </si>
  <si>
    <t>40"</t>
  </si>
  <si>
    <t>20"</t>
  </si>
  <si>
    <r>
      <rPr>
        <sz val="9"/>
        <color rgb="FF000000"/>
        <rFont val="SansSerif"/>
        <charset val="134"/>
      </rPr>
      <t>Container Transportataion (YangShan--&gt;WGQ)</t>
    </r>
    <r>
      <rPr>
        <sz val="9"/>
        <color rgb="FF000000"/>
        <rFont val="微软雅黑"/>
        <charset val="134"/>
      </rPr>
      <t>运输费</t>
    </r>
  </si>
  <si>
    <r>
      <rPr>
        <sz val="9"/>
        <color theme="1"/>
        <rFont val="SansSerif"/>
        <charset val="134"/>
      </rPr>
      <t>Container Transportataion (YangShan--&gt;WGQ)</t>
    </r>
    <r>
      <rPr>
        <sz val="9"/>
        <color indexed="8"/>
        <rFont val="微软雅黑"/>
        <charset val="134"/>
      </rPr>
      <t>运输费</t>
    </r>
  </si>
  <si>
    <t>Container Pre-Pick up  预提箱</t>
  </si>
  <si>
    <t>Container</t>
  </si>
  <si>
    <t>Container Discharge  落箱</t>
  </si>
  <si>
    <t>Container Overtime Discharge  落箱超期费</t>
  </si>
  <si>
    <t>B/L:WY420U10219</t>
  </si>
  <si>
    <t>Detention 压车费</t>
  </si>
  <si>
    <t>Customs seals Transportataion 关封车运输</t>
  </si>
  <si>
    <t>others其他</t>
  </si>
  <si>
    <t>FREIGHT BILLING REPORT</t>
  </si>
  <si>
    <t>Total Amount  (USD)</t>
  </si>
  <si>
    <r>
      <rPr>
        <sz val="9"/>
        <color theme="1"/>
        <rFont val="SansSerif"/>
        <charset val="134"/>
      </rPr>
      <t>29768</t>
    </r>
    <r>
      <rPr>
        <sz val="9"/>
        <color indexed="8"/>
        <rFont val="微软雅黑"/>
        <charset val="134"/>
      </rPr>
      <t xml:space="preserve"> </t>
    </r>
    <r>
      <rPr>
        <sz val="9"/>
        <color rgb="FF000000"/>
        <rFont val="Calibri"/>
        <charset val="134"/>
      </rPr>
      <t>Sea Freight</t>
    </r>
  </si>
  <si>
    <t>248000851 Local Charges for import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</si>
</sst>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CNY]\ #,##0.00_);[Red]\([$CNY]\ #,##0.00\)"/>
    <numFmt numFmtId="177" formatCode="0.00_);[Red]\(0.00\)"/>
    <numFmt numFmtId="178" formatCode="_(* #,##0.00_);_(* \(#,##0.00\);_(* &quot;-&quot;??_);_(@_)"/>
  </numFmts>
  <fonts count="46">
    <font>
      <sz val="11"/>
      <color theme="1"/>
      <name val="等线"/>
      <charset val="134"/>
      <scheme val="minor"/>
    </font>
    <font>
      <b/>
      <sz val="13"/>
      <name val="等线"/>
      <charset val="134"/>
    </font>
    <font>
      <sz val="9"/>
      <color rgb="FF000000"/>
      <name val="SansSerif"/>
      <charset val="134"/>
    </font>
    <font>
      <sz val="8"/>
      <color rgb="FF000000"/>
      <name val="SansSerif"/>
      <charset val="134"/>
    </font>
    <font>
      <sz val="9"/>
      <name val="等线"/>
      <charset val="134"/>
    </font>
    <font>
      <sz val="10"/>
      <color theme="1"/>
      <name val="SansSerif"/>
      <charset val="134"/>
    </font>
    <font>
      <sz val="10"/>
      <color theme="1"/>
      <name val="等线"/>
      <charset val="134"/>
    </font>
    <font>
      <sz val="9"/>
      <color theme="1"/>
      <name val="SansSerif"/>
      <charset val="134"/>
    </font>
    <font>
      <sz val="9"/>
      <color theme="1"/>
      <name val="等线"/>
      <charset val="134"/>
    </font>
    <font>
      <sz val="9"/>
      <color theme="1"/>
      <name val="微软雅黑"/>
      <charset val="134"/>
    </font>
    <font>
      <sz val="10"/>
      <name val="Times New Roman"/>
      <charset val="134"/>
    </font>
    <font>
      <b/>
      <sz val="14"/>
      <name val="Times New Roman"/>
      <charset val="134"/>
    </font>
    <font>
      <sz val="11"/>
      <name val="Times New Roman"/>
      <charset val="134"/>
    </font>
    <font>
      <sz val="10"/>
      <name val="Arial"/>
      <charset val="134"/>
    </font>
    <font>
      <sz val="11"/>
      <color indexed="8"/>
      <name val="Times New Roman"/>
      <charset val="134"/>
    </font>
    <font>
      <sz val="12"/>
      <color indexed="8"/>
      <name val="Calibri"/>
      <charset val="134"/>
    </font>
    <font>
      <u/>
      <sz val="11"/>
      <color indexed="12"/>
      <name val="宋体"/>
      <charset val="134"/>
    </font>
    <font>
      <sz val="10"/>
      <name val="Tahoma"/>
      <charset val="134"/>
    </font>
    <font>
      <sz val="8"/>
      <color indexed="63"/>
      <name val="Tahoma"/>
      <charset val="134"/>
    </font>
    <font>
      <b/>
      <sz val="11"/>
      <name val="Times New Roman"/>
      <charset val="134"/>
    </font>
    <font>
      <sz val="9"/>
      <name val="Arial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宋体"/>
      <charset val="134"/>
    </font>
    <font>
      <sz val="11"/>
      <name val="Yu Gothic"/>
      <charset val="128"/>
    </font>
    <font>
      <sz val="9"/>
      <color indexed="8"/>
      <name val="微软雅黑"/>
      <charset val="134"/>
    </font>
    <font>
      <sz val="8"/>
      <name val="等线"/>
      <charset val="134"/>
    </font>
    <font>
      <sz val="9"/>
      <color rgb="FF000000"/>
      <name val="Calibri"/>
      <charset val="134"/>
    </font>
    <font>
      <sz val="10"/>
      <name val="宋体"/>
      <charset val="134"/>
    </font>
    <font>
      <sz val="9"/>
      <color rgb="FF00000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176" fontId="16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center"/>
    </xf>
    <xf numFmtId="0" fontId="0" fillId="2" borderId="12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3" borderId="15" applyNumberFormat="0" applyAlignment="0" applyProtection="0">
      <alignment vertical="center"/>
    </xf>
    <xf numFmtId="0" fontId="29" fillId="4" borderId="16" applyNumberFormat="0" applyAlignment="0" applyProtection="0">
      <alignment vertical="center"/>
    </xf>
    <xf numFmtId="0" fontId="30" fillId="4" borderId="15" applyNumberFormat="0" applyAlignment="0" applyProtection="0">
      <alignment vertical="center"/>
    </xf>
    <xf numFmtId="0" fontId="31" fillId="5" borderId="17" applyNumberFormat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13" fillId="0" borderId="0"/>
    <xf numFmtId="176" fontId="13" fillId="0" borderId="0"/>
    <xf numFmtId="176" fontId="39" fillId="0" borderId="0" applyFont="0" applyFill="0" applyBorder="0" applyAlignment="0" applyProtection="0"/>
  </cellStyleXfs>
  <cellXfs count="64">
    <xf numFmtId="0" fontId="0" fillId="0" borderId="0" xfId="0">
      <alignment vertical="center"/>
    </xf>
    <xf numFmtId="0" fontId="0" fillId="0" borderId="0" xfId="49">
      <alignment vertical="center"/>
    </xf>
    <xf numFmtId="0" fontId="1" fillId="0" borderId="0" xfId="49" applyFont="1" applyAlignment="1">
      <alignment horizontal="center" vertical="top" wrapText="1"/>
    </xf>
    <xf numFmtId="0" fontId="2" fillId="0" borderId="0" xfId="49" applyFont="1" applyAlignment="1">
      <alignment horizontal="left" vertical="top" wrapText="1"/>
    </xf>
    <xf numFmtId="0" fontId="2" fillId="0" borderId="0" xfId="49" applyFont="1" applyAlignment="1" applyProtection="1">
      <alignment horizontal="left" vertical="top" wrapText="1"/>
      <protection locked="0"/>
    </xf>
    <xf numFmtId="0" fontId="3" fillId="0" borderId="0" xfId="49" applyFont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4" fillId="0" borderId="0" xfId="49" applyFont="1" applyAlignment="1">
      <alignment horizontal="left" vertical="top" wrapText="1"/>
    </xf>
    <xf numFmtId="0" fontId="5" fillId="0" borderId="0" xfId="49" applyFont="1" applyAlignment="1">
      <alignment horizontal="center"/>
    </xf>
    <xf numFmtId="0" fontId="6" fillId="0" borderId="0" xfId="49" applyFont="1" applyAlignment="1">
      <alignment wrapText="1"/>
    </xf>
    <xf numFmtId="0" fontId="5" fillId="0" borderId="0" xfId="49" applyFont="1">
      <alignment vertical="center"/>
    </xf>
    <xf numFmtId="0" fontId="7" fillId="0" borderId="0" xfId="49" applyFont="1" applyAlignment="1">
      <alignment horizontal="center" vertical="center" wrapText="1"/>
    </xf>
    <xf numFmtId="0" fontId="7" fillId="0" borderId="0" xfId="49" applyFont="1" applyAlignment="1">
      <alignment horizontal="center"/>
    </xf>
    <xf numFmtId="0" fontId="7" fillId="0" borderId="0" xfId="49" applyFont="1" applyAlignment="1">
      <alignment horizontal="left"/>
    </xf>
    <xf numFmtId="0" fontId="7" fillId="0" borderId="0" xfId="49" applyFont="1">
      <alignment vertical="center"/>
    </xf>
    <xf numFmtId="0" fontId="8" fillId="0" borderId="0" xfId="49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49" applyFont="1" applyAlignment="1">
      <alignment horizontal="left"/>
    </xf>
    <xf numFmtId="0" fontId="9" fillId="0" borderId="0" xfId="49" applyFont="1" applyAlignment="1">
      <alignment horizontal="left"/>
    </xf>
    <xf numFmtId="177" fontId="0" fillId="0" borderId="0" xfId="0" applyNumberFormat="1">
      <alignment vertical="center"/>
    </xf>
    <xf numFmtId="176" fontId="10" fillId="0" borderId="0" xfId="52" applyFont="1"/>
    <xf numFmtId="177" fontId="10" fillId="0" borderId="0" xfId="52" applyNumberFormat="1" applyFont="1"/>
    <xf numFmtId="176" fontId="11" fillId="0" borderId="0" xfId="52" applyFont="1" applyAlignment="1">
      <alignment horizontal="center"/>
    </xf>
    <xf numFmtId="176" fontId="12" fillId="0" borderId="0" xfId="52" applyFont="1"/>
    <xf numFmtId="177" fontId="12" fillId="0" borderId="0" xfId="52" applyNumberFormat="1" applyFont="1"/>
    <xf numFmtId="176" fontId="13" fillId="0" borderId="0" xfId="52"/>
    <xf numFmtId="176" fontId="14" fillId="0" borderId="0" xfId="52" applyFont="1"/>
    <xf numFmtId="177" fontId="14" fillId="0" borderId="0" xfId="52" applyNumberFormat="1" applyFont="1"/>
    <xf numFmtId="176" fontId="12" fillId="0" borderId="0" xfId="52" applyFont="1" applyAlignment="1">
      <alignment horizontal="right"/>
    </xf>
    <xf numFmtId="176" fontId="15" fillId="0" borderId="0" xfId="53" applyFont="1" applyAlignment="1">
      <alignment vertical="center"/>
    </xf>
    <xf numFmtId="15" fontId="12" fillId="0" borderId="0" xfId="52" applyNumberFormat="1" applyFont="1" applyAlignment="1">
      <alignment horizontal="right"/>
    </xf>
    <xf numFmtId="176" fontId="16" fillId="0" borderId="0" xfId="6" applyAlignment="1" applyProtection="1"/>
    <xf numFmtId="176" fontId="17" fillId="0" borderId="0" xfId="53" applyFont="1"/>
    <xf numFmtId="176" fontId="18" fillId="0" borderId="0" xfId="53" applyFont="1"/>
    <xf numFmtId="176" fontId="19" fillId="0" borderId="1" xfId="52" applyFont="1" applyBorder="1" applyAlignment="1">
      <alignment horizontal="center" vertical="center"/>
    </xf>
    <xf numFmtId="176" fontId="19" fillId="0" borderId="2" xfId="52" applyFont="1" applyBorder="1" applyAlignment="1">
      <alignment horizontal="center" vertical="center"/>
    </xf>
    <xf numFmtId="176" fontId="19" fillId="0" borderId="3" xfId="52" applyFont="1" applyBorder="1" applyAlignment="1">
      <alignment horizontal="center" vertical="center"/>
    </xf>
    <xf numFmtId="177" fontId="19" fillId="0" borderId="4" xfId="52" applyNumberFormat="1" applyFont="1" applyBorder="1" applyAlignment="1">
      <alignment horizontal="center" vertical="center"/>
    </xf>
    <xf numFmtId="176" fontId="19" fillId="0" borderId="5" xfId="52" applyFont="1" applyBorder="1" applyAlignment="1">
      <alignment horizontal="center" vertical="center"/>
    </xf>
    <xf numFmtId="176" fontId="13" fillId="0" borderId="6" xfId="52" applyBorder="1"/>
    <xf numFmtId="177" fontId="12" fillId="0" borderId="7" xfId="52" applyNumberFormat="1" applyFont="1" applyBorder="1" applyAlignment="1">
      <alignment vertical="center"/>
    </xf>
    <xf numFmtId="39" fontId="12" fillId="0" borderId="7" xfId="54" applyNumberFormat="1" applyFont="1" applyBorder="1" applyAlignment="1">
      <alignment horizontal="center" vertical="center"/>
    </xf>
    <xf numFmtId="176" fontId="12" fillId="0" borderId="0" xfId="52" applyFont="1" applyAlignment="1">
      <alignment horizontal="center" vertical="center"/>
    </xf>
    <xf numFmtId="178" fontId="12" fillId="0" borderId="7" xfId="52" applyNumberFormat="1" applyFont="1" applyBorder="1" applyAlignment="1">
      <alignment vertical="center"/>
    </xf>
    <xf numFmtId="177" fontId="13" fillId="0" borderId="0" xfId="53" applyNumberFormat="1" applyFont="1"/>
    <xf numFmtId="177" fontId="12" fillId="0" borderId="6" xfId="52" applyNumberFormat="1" applyFont="1" applyBorder="1" applyAlignment="1">
      <alignment vertical="center"/>
    </xf>
    <xf numFmtId="177" fontId="13" fillId="0" borderId="0" xfId="53" applyNumberFormat="1"/>
    <xf numFmtId="176" fontId="12" fillId="0" borderId="8" xfId="52" applyFont="1" applyBorder="1" applyAlignment="1">
      <alignment vertical="center"/>
    </xf>
    <xf numFmtId="176" fontId="12" fillId="0" borderId="9" xfId="52" applyFont="1" applyBorder="1" applyAlignment="1">
      <alignment vertical="center"/>
    </xf>
    <xf numFmtId="176" fontId="12" fillId="0" borderId="10" xfId="52" applyFont="1" applyBorder="1" applyAlignment="1">
      <alignment vertical="center"/>
    </xf>
    <xf numFmtId="177" fontId="12" fillId="0" borderId="10" xfId="52" applyNumberFormat="1" applyFont="1" applyBorder="1" applyAlignment="1">
      <alignment vertical="center"/>
    </xf>
    <xf numFmtId="39" fontId="12" fillId="0" borderId="11" xfId="54" applyNumberFormat="1" applyFont="1" applyBorder="1" applyAlignment="1">
      <alignment horizontal="center" vertical="center"/>
    </xf>
    <xf numFmtId="176" fontId="12" fillId="0" borderId="9" xfId="52" applyFont="1" applyBorder="1" applyAlignment="1">
      <alignment horizontal="center" vertical="center"/>
    </xf>
    <xf numFmtId="178" fontId="12" fillId="0" borderId="11" xfId="52" applyNumberFormat="1" applyFont="1" applyBorder="1" applyAlignment="1">
      <alignment vertical="center"/>
    </xf>
    <xf numFmtId="176" fontId="12" fillId="0" borderId="0" xfId="52" applyFont="1" applyAlignment="1">
      <alignment vertical="center"/>
    </xf>
    <xf numFmtId="177" fontId="12" fillId="0" borderId="0" xfId="52" applyNumberFormat="1" applyFont="1" applyAlignment="1">
      <alignment vertical="center"/>
    </xf>
    <xf numFmtId="176" fontId="19" fillId="0" borderId="8" xfId="52" applyFont="1" applyBorder="1" applyAlignment="1">
      <alignment vertical="center"/>
    </xf>
    <xf numFmtId="176" fontId="19" fillId="0" borderId="9" xfId="52" applyFont="1" applyBorder="1" applyAlignment="1">
      <alignment horizontal="center" vertical="center"/>
    </xf>
    <xf numFmtId="178" fontId="19" fillId="0" borderId="10" xfId="52" applyNumberFormat="1" applyFont="1" applyBorder="1" applyAlignment="1">
      <alignment vertical="center"/>
    </xf>
    <xf numFmtId="176" fontId="10" fillId="0" borderId="0" xfId="52" applyFont="1" applyAlignment="1">
      <alignment vertical="center"/>
    </xf>
    <xf numFmtId="177" fontId="10" fillId="0" borderId="0" xfId="52" applyNumberFormat="1" applyFont="1" applyAlignment="1">
      <alignment vertical="center"/>
    </xf>
    <xf numFmtId="176" fontId="20" fillId="0" borderId="0" xfId="53" applyFont="1" applyAlignment="1">
      <alignment horizontal="center"/>
    </xf>
    <xf numFmtId="178" fontId="10" fillId="0" borderId="0" xfId="52" applyNumberFormat="1" applyFont="1"/>
    <xf numFmtId="176" fontId="13" fillId="0" borderId="0" xfId="53"/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  <cellStyle name="常规_Motorola Billing for YANGshan invoice02" xfId="52"/>
    <cellStyle name="常规_YCH-SH billing report of FG-SADMG 1May'11" xfId="53"/>
    <cellStyle name="千位分隔_Motorola Billing for YANGshan invoice02 2" xfId="5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zoezhao@hupperte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4"/>
  <sheetViews>
    <sheetView tabSelected="1" topLeftCell="A7" workbookViewId="0">
      <selection activeCell="I33" sqref="I33"/>
    </sheetView>
  </sheetViews>
  <sheetFormatPr defaultColWidth="9" defaultRowHeight="13.85"/>
  <cols>
    <col min="1" max="3" width="14.1061946902655" customWidth="1"/>
    <col min="4" max="4" width="9" style="19" customWidth="1"/>
    <col min="5" max="5" width="9.66371681415929" customWidth="1"/>
    <col min="6" max="6" width="11.3362831858407" customWidth="1"/>
    <col min="7" max="7" width="18.8849557522124" customWidth="1"/>
    <col min="8" max="8" width="13.1061946902655" customWidth="1"/>
    <col min="9" max="11" width="10.3362831858407" customWidth="1"/>
  </cols>
  <sheetData>
    <row r="1" spans="1:7">
      <c r="A1" s="20"/>
      <c r="B1" s="20"/>
      <c r="C1" s="20"/>
      <c r="D1" s="21"/>
      <c r="E1" s="20"/>
      <c r="F1" s="20"/>
      <c r="G1" s="20"/>
    </row>
    <row r="2" ht="17.25" spans="1:7">
      <c r="A2" s="22" t="s">
        <v>0</v>
      </c>
      <c r="B2" s="22"/>
      <c r="C2" s="22"/>
      <c r="D2" s="22"/>
      <c r="E2" s="22"/>
      <c r="F2" s="22"/>
      <c r="G2" s="22"/>
    </row>
    <row r="3" spans="1:7">
      <c r="A3" s="20"/>
      <c r="B3" s="20"/>
      <c r="C3" s="20"/>
      <c r="D3" s="21"/>
      <c r="E3" s="20"/>
      <c r="F3" s="20"/>
      <c r="G3" s="20"/>
    </row>
    <row r="4" spans="1:7">
      <c r="A4" s="20"/>
      <c r="B4" s="20"/>
      <c r="C4" s="20"/>
      <c r="D4" s="21"/>
      <c r="E4" s="20"/>
      <c r="F4" s="20"/>
      <c r="G4" s="20"/>
    </row>
    <row r="5" spans="1:7">
      <c r="A5" s="23" t="s">
        <v>1</v>
      </c>
      <c r="B5" s="23"/>
      <c r="C5" s="23"/>
      <c r="D5" s="24"/>
      <c r="E5" s="23"/>
      <c r="F5" s="23"/>
      <c r="G5" s="23"/>
    </row>
    <row r="6" spans="1:7">
      <c r="A6" s="25"/>
      <c r="B6" s="25"/>
      <c r="C6" s="25"/>
      <c r="D6" s="24"/>
      <c r="E6" s="23"/>
      <c r="F6" s="23"/>
      <c r="G6" s="23"/>
    </row>
    <row r="7" spans="1:7">
      <c r="A7" s="23" t="s">
        <v>2</v>
      </c>
      <c r="B7" s="26"/>
      <c r="C7" s="26"/>
      <c r="D7" s="27"/>
      <c r="E7" s="23"/>
      <c r="F7" s="23" t="s">
        <v>3</v>
      </c>
      <c r="G7" s="28" t="s">
        <v>4</v>
      </c>
    </row>
    <row r="8" ht="15.75" spans="1:7">
      <c r="A8" s="23" t="s">
        <v>5</v>
      </c>
      <c r="B8" s="29"/>
      <c r="C8" s="29"/>
      <c r="D8" s="27"/>
      <c r="E8" s="23"/>
      <c r="F8" s="23" t="s">
        <v>6</v>
      </c>
      <c r="G8" s="30">
        <v>45716</v>
      </c>
    </row>
    <row r="9" ht="15.75" spans="1:7">
      <c r="A9" s="23" t="s">
        <v>7</v>
      </c>
      <c r="B9" s="29"/>
      <c r="C9" s="29"/>
      <c r="D9" s="27"/>
      <c r="E9" s="23"/>
      <c r="F9" s="23" t="s">
        <v>8</v>
      </c>
      <c r="G9" s="28"/>
    </row>
    <row r="10" ht="15.75" spans="1:7">
      <c r="A10" s="23" t="s">
        <v>9</v>
      </c>
      <c r="B10" s="29"/>
      <c r="C10" s="29"/>
      <c r="D10" s="27"/>
      <c r="E10" s="23"/>
      <c r="F10" s="23" t="s">
        <v>10</v>
      </c>
      <c r="G10" s="23"/>
    </row>
    <row r="11" ht="15.75" spans="1:7">
      <c r="A11" s="29"/>
      <c r="B11" s="26"/>
      <c r="C11" s="26"/>
      <c r="D11" s="27"/>
      <c r="E11" s="23"/>
      <c r="F11" s="23"/>
      <c r="G11" s="23"/>
    </row>
    <row r="12" spans="1:7">
      <c r="A12" s="23"/>
      <c r="B12" s="23"/>
      <c r="C12" s="23"/>
      <c r="D12" s="24"/>
      <c r="E12" s="23"/>
      <c r="F12" s="23"/>
      <c r="G12" s="23"/>
    </row>
    <row r="13" ht="15.75" spans="1:7">
      <c r="A13" s="23" t="s">
        <v>11</v>
      </c>
      <c r="B13" s="29" t="s">
        <v>12</v>
      </c>
      <c r="C13" s="23"/>
      <c r="D13" s="24"/>
      <c r="E13" s="23"/>
      <c r="F13" s="23"/>
      <c r="G13" s="23"/>
    </row>
    <row r="14" spans="1:7">
      <c r="A14" s="23" t="s">
        <v>13</v>
      </c>
      <c r="B14" s="31" t="s">
        <v>14</v>
      </c>
      <c r="C14" s="32"/>
      <c r="D14" s="24"/>
      <c r="E14" s="23"/>
      <c r="F14" s="23"/>
      <c r="G14" s="23"/>
    </row>
    <row r="15" spans="1:7">
      <c r="A15" s="23"/>
      <c r="B15" s="33"/>
      <c r="C15" s="23"/>
      <c r="D15" s="24"/>
      <c r="E15" s="23"/>
      <c r="F15" s="23"/>
      <c r="G15" s="23"/>
    </row>
    <row r="16" spans="1:7">
      <c r="A16" s="23"/>
      <c r="B16" s="23"/>
      <c r="C16" s="23"/>
      <c r="D16" s="24"/>
      <c r="E16" s="23"/>
      <c r="F16" s="23"/>
      <c r="G16" s="23"/>
    </row>
    <row r="17" ht="14.6" spans="1:7">
      <c r="A17" s="20"/>
      <c r="B17" s="20"/>
      <c r="C17" s="20"/>
      <c r="D17" s="21"/>
      <c r="E17" s="20"/>
      <c r="F17" s="20"/>
      <c r="G17" s="20"/>
    </row>
    <row r="18" ht="14.6" spans="1:7">
      <c r="A18" s="34" t="s">
        <v>15</v>
      </c>
      <c r="B18" s="35"/>
      <c r="C18" s="36"/>
      <c r="D18" s="37" t="s">
        <v>16</v>
      </c>
      <c r="E18" s="35" t="s">
        <v>17</v>
      </c>
      <c r="F18" s="35" t="s">
        <v>18</v>
      </c>
      <c r="G18" s="38" t="s">
        <v>19</v>
      </c>
    </row>
    <row r="19" spans="1:9">
      <c r="A19" s="23" t="s">
        <v>20</v>
      </c>
      <c r="C19" s="39"/>
      <c r="D19" s="40">
        <v>4</v>
      </c>
      <c r="E19" s="41">
        <v>1339</v>
      </c>
      <c r="F19" s="42" t="s">
        <v>21</v>
      </c>
      <c r="G19" s="43">
        <f>D19*E19</f>
        <v>5356</v>
      </c>
      <c r="H19" s="44" t="s">
        <v>22</v>
      </c>
      <c r="I19" s="46"/>
    </row>
    <row r="20" spans="1:9">
      <c r="A20" s="23" t="s">
        <v>23</v>
      </c>
      <c r="C20" s="39"/>
      <c r="D20" s="45"/>
      <c r="E20" s="41">
        <v>340</v>
      </c>
      <c r="F20" s="42" t="s">
        <v>21</v>
      </c>
      <c r="G20" s="43">
        <f t="shared" ref="G19:G28" si="0">D20*E20</f>
        <v>0</v>
      </c>
      <c r="H20" s="46"/>
      <c r="I20" s="46"/>
    </row>
    <row r="21" spans="1:9">
      <c r="A21" s="23" t="s">
        <v>24</v>
      </c>
      <c r="C21" s="39"/>
      <c r="D21" s="45"/>
      <c r="E21" s="41">
        <v>31</v>
      </c>
      <c r="F21" s="42" t="s">
        <v>21</v>
      </c>
      <c r="G21" s="43">
        <f t="shared" si="0"/>
        <v>0</v>
      </c>
      <c r="H21" s="46"/>
      <c r="I21" s="46"/>
    </row>
    <row r="22" spans="1:9">
      <c r="A22" s="23" t="s">
        <v>25</v>
      </c>
      <c r="C22" s="39"/>
      <c r="D22" s="45"/>
      <c r="E22" s="41">
        <v>450</v>
      </c>
      <c r="F22" s="42" t="s">
        <v>21</v>
      </c>
      <c r="G22" s="43">
        <f t="shared" si="0"/>
        <v>0</v>
      </c>
      <c r="H22" s="46"/>
      <c r="I22" s="46"/>
    </row>
    <row r="23" spans="1:9">
      <c r="A23" s="23" t="s">
        <v>26</v>
      </c>
      <c r="C23" s="39"/>
      <c r="D23" s="45">
        <v>3</v>
      </c>
      <c r="E23" s="41">
        <v>1000</v>
      </c>
      <c r="F23" s="42" t="s">
        <v>27</v>
      </c>
      <c r="G23" s="43">
        <f t="shared" si="0"/>
        <v>3000</v>
      </c>
      <c r="H23" s="44" t="s">
        <v>28</v>
      </c>
      <c r="I23" s="46"/>
    </row>
    <row r="24" spans="1:9">
      <c r="A24" s="23" t="s">
        <v>29</v>
      </c>
      <c r="C24" s="39"/>
      <c r="D24" s="45">
        <v>1</v>
      </c>
      <c r="E24" s="41">
        <v>8151.84</v>
      </c>
      <c r="F24" s="42" t="s">
        <v>21</v>
      </c>
      <c r="G24" s="43">
        <f t="shared" si="0"/>
        <v>8151.84</v>
      </c>
      <c r="H24" s="46"/>
      <c r="I24" s="46"/>
    </row>
    <row r="25" ht="17.65" spans="1:9">
      <c r="A25" s="23" t="s">
        <v>30</v>
      </c>
      <c r="C25" s="39"/>
      <c r="D25" s="45"/>
      <c r="E25" s="41">
        <v>200</v>
      </c>
      <c r="F25" s="42" t="s">
        <v>21</v>
      </c>
      <c r="G25" s="43">
        <f t="shared" si="0"/>
        <v>0</v>
      </c>
      <c r="H25" s="46"/>
      <c r="I25" s="46"/>
    </row>
    <row r="26" spans="1:9">
      <c r="A26" s="18" t="s">
        <v>31</v>
      </c>
      <c r="C26" s="39"/>
      <c r="D26" s="45"/>
      <c r="E26" s="41">
        <v>1200</v>
      </c>
      <c r="F26" s="42" t="s">
        <v>21</v>
      </c>
      <c r="G26" s="43">
        <f t="shared" si="0"/>
        <v>0</v>
      </c>
      <c r="H26" s="46"/>
      <c r="I26" s="46"/>
    </row>
    <row r="27" spans="1:9">
      <c r="A27" s="13" t="s">
        <v>32</v>
      </c>
      <c r="C27" s="39"/>
      <c r="D27" s="45"/>
      <c r="E27" s="41">
        <v>920</v>
      </c>
      <c r="F27" s="42" t="s">
        <v>21</v>
      </c>
      <c r="G27" s="43">
        <f t="shared" si="0"/>
        <v>0</v>
      </c>
      <c r="H27" s="46"/>
      <c r="I27" s="46"/>
    </row>
    <row r="28" spans="1:9">
      <c r="A28" s="13" t="s">
        <v>33</v>
      </c>
      <c r="C28" s="39"/>
      <c r="D28" s="45"/>
      <c r="E28" s="41">
        <v>385</v>
      </c>
      <c r="F28" s="42" t="s">
        <v>21</v>
      </c>
      <c r="G28" s="43">
        <f t="shared" si="0"/>
        <v>0</v>
      </c>
      <c r="H28" s="46"/>
      <c r="I28" s="46"/>
    </row>
    <row r="29" spans="1:9">
      <c r="A29" s="23" t="s">
        <v>34</v>
      </c>
      <c r="C29" s="39"/>
      <c r="D29" s="45"/>
      <c r="E29" s="41"/>
      <c r="F29" s="42" t="s">
        <v>21</v>
      </c>
      <c r="G29" s="43">
        <f>SUM(G19:G22)+G24</f>
        <v>13507.84</v>
      </c>
      <c r="H29" s="46"/>
      <c r="I29" s="46"/>
    </row>
    <row r="30" ht="14.6" spans="1:9">
      <c r="A30" s="47" t="s">
        <v>34</v>
      </c>
      <c r="B30" s="48"/>
      <c r="C30" s="49"/>
      <c r="D30" s="50"/>
      <c r="E30" s="51"/>
      <c r="F30" s="52" t="s">
        <v>27</v>
      </c>
      <c r="G30" s="53">
        <f>G23</f>
        <v>3000</v>
      </c>
      <c r="H30" s="46"/>
      <c r="I30" s="46"/>
    </row>
    <row r="31" ht="14.6" spans="1:9">
      <c r="A31" s="54"/>
      <c r="B31" s="54"/>
      <c r="C31" s="54"/>
      <c r="D31" s="55"/>
      <c r="E31" s="56" t="s">
        <v>35</v>
      </c>
      <c r="F31" s="57" t="s">
        <v>21</v>
      </c>
      <c r="G31" s="58">
        <f>G29</f>
        <v>13507.84</v>
      </c>
      <c r="H31" s="46"/>
      <c r="I31" s="46"/>
    </row>
    <row r="32" ht="14.6" spans="1:10">
      <c r="A32" s="59"/>
      <c r="B32" s="59"/>
      <c r="C32" s="59"/>
      <c r="D32" s="60"/>
      <c r="E32" s="56" t="s">
        <v>35</v>
      </c>
      <c r="F32" s="57" t="s">
        <v>27</v>
      </c>
      <c r="G32" s="58">
        <f>G30</f>
        <v>3000</v>
      </c>
      <c r="H32" s="61"/>
      <c r="I32" s="46"/>
      <c r="J32" s="46"/>
    </row>
    <row r="33" spans="1:8">
      <c r="A33" s="20"/>
      <c r="B33" s="20"/>
      <c r="C33" s="20"/>
      <c r="D33" s="21"/>
      <c r="E33" s="20"/>
      <c r="F33" s="20"/>
      <c r="G33" s="62"/>
      <c r="H33" s="61"/>
    </row>
    <row r="34" spans="1:8">
      <c r="A34" s="20"/>
      <c r="B34" s="20"/>
      <c r="C34" s="20"/>
      <c r="D34" s="21"/>
      <c r="E34" s="20"/>
      <c r="F34" s="20"/>
      <c r="G34" s="62"/>
      <c r="H34" s="61"/>
    </row>
    <row r="35" spans="1:13">
      <c r="A35" s="20"/>
      <c r="B35" s="20"/>
      <c r="C35" s="20"/>
      <c r="D35" s="21"/>
      <c r="E35" s="61"/>
      <c r="F35" s="61"/>
      <c r="G35" s="61"/>
      <c r="H35" s="61"/>
      <c r="I35" s="61"/>
      <c r="J35" s="61"/>
      <c r="K35" s="61"/>
      <c r="L35" s="61"/>
      <c r="M35" s="61"/>
    </row>
    <row r="36" spans="1:8">
      <c r="A36" s="61"/>
      <c r="B36" s="20"/>
      <c r="C36" s="20"/>
      <c r="D36" s="21"/>
      <c r="E36" s="20"/>
      <c r="F36" s="20"/>
      <c r="G36" s="20"/>
      <c r="H36" s="61"/>
    </row>
    <row r="37" spans="1:8">
      <c r="A37" s="23"/>
      <c r="B37" s="23"/>
      <c r="C37" s="20"/>
      <c r="D37" s="21"/>
      <c r="F37" s="20"/>
      <c r="G37" s="20"/>
      <c r="H37" s="61"/>
    </row>
    <row r="38" spans="1:8">
      <c r="A38" s="23" t="s">
        <v>36</v>
      </c>
      <c r="B38" s="23"/>
      <c r="C38" s="23"/>
      <c r="D38" s="21"/>
      <c r="E38" s="23" t="s">
        <v>37</v>
      </c>
      <c r="F38" s="20"/>
      <c r="G38" s="20"/>
      <c r="H38" s="61"/>
    </row>
    <row r="39" spans="1:8">
      <c r="A39" s="23" t="s">
        <v>38</v>
      </c>
      <c r="B39" s="23"/>
      <c r="C39" s="23"/>
      <c r="D39" s="21"/>
      <c r="E39" s="23" t="s">
        <v>39</v>
      </c>
      <c r="F39" s="20"/>
      <c r="G39" s="20"/>
      <c r="H39" s="63"/>
    </row>
    <row r="40" spans="1:7">
      <c r="A40" s="23" t="s">
        <v>40</v>
      </c>
      <c r="B40" s="23"/>
      <c r="C40" s="23"/>
      <c r="D40" s="21"/>
      <c r="E40" s="23" t="s">
        <v>41</v>
      </c>
      <c r="F40" s="20"/>
      <c r="G40" s="20"/>
    </row>
    <row r="41" spans="1:7">
      <c r="A41" s="23" t="s">
        <v>42</v>
      </c>
      <c r="B41" s="23"/>
      <c r="C41" s="23"/>
      <c r="D41" s="21"/>
      <c r="E41" s="23" t="s">
        <v>43</v>
      </c>
      <c r="F41" s="20"/>
      <c r="G41" s="20"/>
    </row>
    <row r="42" spans="1:7">
      <c r="A42" s="23" t="s">
        <v>44</v>
      </c>
      <c r="B42" s="23"/>
      <c r="C42" s="23"/>
      <c r="D42" s="21"/>
      <c r="E42" s="23" t="s">
        <v>45</v>
      </c>
      <c r="F42" s="20"/>
      <c r="G42" s="20"/>
    </row>
    <row r="43" spans="1:7">
      <c r="A43" s="23"/>
      <c r="B43" s="23"/>
      <c r="C43" s="23"/>
      <c r="D43" s="21"/>
      <c r="E43" s="23" t="s">
        <v>46</v>
      </c>
      <c r="G43" s="20"/>
    </row>
    <row r="44" spans="5:5">
      <c r="E44" s="23"/>
    </row>
  </sheetData>
  <mergeCells count="3">
    <mergeCell ref="A2:G2"/>
    <mergeCell ref="A18:C18"/>
    <mergeCell ref="A30:C30"/>
  </mergeCells>
  <hyperlinks>
    <hyperlink ref="B14" r:id="rId1" display="zoezhao@huppertek.com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workbookViewId="0">
      <selection activeCell="D21" sqref="D21"/>
    </sheetView>
  </sheetViews>
  <sheetFormatPr defaultColWidth="9" defaultRowHeight="13.85" outlineLevelCol="7"/>
  <cols>
    <col min="1" max="1" width="9.88495575221239" style="1" customWidth="1"/>
    <col min="2" max="2" width="60.6637168141593" style="1" customWidth="1"/>
    <col min="3" max="3" width="4.7787610619469" style="1" customWidth="1"/>
    <col min="4" max="4" width="8.10619469026549" style="1" customWidth="1"/>
    <col min="5" max="5" width="7.7787610619469" style="1" customWidth="1"/>
    <col min="6" max="6" width="3.66371681415929" style="1" customWidth="1"/>
    <col min="7" max="7" width="16" style="1" customWidth="1"/>
    <col min="8" max="8" width="24.1061946902655" style="1" customWidth="1"/>
    <col min="9" max="16384" width="9" style="1"/>
  </cols>
  <sheetData>
    <row r="1" ht="16.5" customHeight="1" spans="1:8">
      <c r="A1" s="2" t="s">
        <v>47</v>
      </c>
      <c r="B1" s="2"/>
      <c r="C1" s="2"/>
      <c r="D1" s="2"/>
      <c r="E1" s="2"/>
      <c r="F1" s="2"/>
      <c r="G1" s="2"/>
      <c r="H1" s="2"/>
    </row>
    <row r="2" ht="14.25" customHeight="1" spans="1:8">
      <c r="A2" s="3" t="s">
        <v>48</v>
      </c>
      <c r="B2" s="4"/>
      <c r="C2" s="5" t="s">
        <v>49</v>
      </c>
      <c r="D2" s="3" t="s">
        <v>50</v>
      </c>
      <c r="E2" s="3"/>
      <c r="F2" s="3"/>
      <c r="G2" s="3"/>
      <c r="H2" s="3"/>
    </row>
    <row r="3" ht="14.25" customHeight="1" spans="1:8">
      <c r="A3" s="3" t="s">
        <v>51</v>
      </c>
      <c r="B3" s="4"/>
      <c r="C3" s="5" t="s">
        <v>49</v>
      </c>
      <c r="D3" s="3"/>
      <c r="E3" s="3"/>
      <c r="F3" s="3"/>
      <c r="G3" s="3"/>
      <c r="H3" s="3"/>
    </row>
    <row r="4" ht="14.25" customHeight="1" spans="1:8">
      <c r="A4" s="3" t="s">
        <v>52</v>
      </c>
      <c r="B4" s="4"/>
      <c r="C4" s="5" t="s">
        <v>49</v>
      </c>
      <c r="D4" s="3"/>
      <c r="E4" s="3"/>
      <c r="F4" s="3"/>
      <c r="G4" s="3"/>
      <c r="H4" s="3"/>
    </row>
    <row r="5" ht="14.25" customHeight="1" spans="1:8">
      <c r="A5" s="3" t="s">
        <v>53</v>
      </c>
      <c r="B5" s="4"/>
      <c r="C5" s="5" t="s">
        <v>49</v>
      </c>
      <c r="D5" s="6"/>
      <c r="E5" s="6"/>
      <c r="F5" s="6"/>
      <c r="G5" s="6"/>
      <c r="H5" s="6"/>
    </row>
    <row r="6" spans="1:8">
      <c r="A6" s="3"/>
      <c r="B6" s="4"/>
      <c r="C6" s="5"/>
      <c r="D6" s="7"/>
      <c r="E6" s="4"/>
      <c r="F6" s="4"/>
      <c r="G6" s="4"/>
      <c r="H6" s="4"/>
    </row>
    <row r="7" spans="1:8">
      <c r="A7" s="8" t="s">
        <v>54</v>
      </c>
      <c r="B7" s="9" t="s">
        <v>55</v>
      </c>
      <c r="C7" s="10"/>
      <c r="D7" s="11" t="s">
        <v>56</v>
      </c>
      <c r="E7" s="11" t="s">
        <v>57</v>
      </c>
      <c r="F7" s="11" t="s">
        <v>58</v>
      </c>
      <c r="G7" s="11" t="s">
        <v>59</v>
      </c>
      <c r="H7" s="11" t="s">
        <v>60</v>
      </c>
    </row>
    <row r="8" spans="1:8">
      <c r="A8" s="12">
        <v>1</v>
      </c>
      <c r="B8" s="13" t="s">
        <v>61</v>
      </c>
      <c r="C8" s="14"/>
      <c r="D8" s="16">
        <v>1339</v>
      </c>
      <c r="E8" s="15" t="s">
        <v>62</v>
      </c>
      <c r="F8" s="11">
        <v>4</v>
      </c>
      <c r="G8" s="11">
        <f>D8*F8</f>
        <v>5356</v>
      </c>
      <c r="H8" s="11"/>
    </row>
    <row r="9" spans="1:8">
      <c r="A9" s="12">
        <v>2</v>
      </c>
      <c r="B9" s="13" t="s">
        <v>61</v>
      </c>
      <c r="C9" s="14"/>
      <c r="D9" s="16">
        <v>1009</v>
      </c>
      <c r="E9" s="15" t="s">
        <v>63</v>
      </c>
      <c r="F9" s="11"/>
      <c r="G9" s="11">
        <f t="shared" ref="G9:G14" si="0">D9*F9</f>
        <v>0</v>
      </c>
      <c r="H9" s="11"/>
    </row>
    <row r="10" spans="1:8">
      <c r="A10" s="12">
        <v>3</v>
      </c>
      <c r="B10" s="17" t="s">
        <v>64</v>
      </c>
      <c r="C10" s="14"/>
      <c r="D10" s="16">
        <v>1545</v>
      </c>
      <c r="E10" s="15" t="s">
        <v>62</v>
      </c>
      <c r="F10" s="11"/>
      <c r="G10" s="11">
        <f t="shared" si="0"/>
        <v>0</v>
      </c>
      <c r="H10" s="11"/>
    </row>
    <row r="11" spans="1:8">
      <c r="A11" s="12">
        <v>4</v>
      </c>
      <c r="B11" s="13" t="s">
        <v>65</v>
      </c>
      <c r="C11" s="14"/>
      <c r="D11" s="16">
        <v>1339</v>
      </c>
      <c r="E11" s="15" t="s">
        <v>63</v>
      </c>
      <c r="F11" s="11"/>
      <c r="G11" s="11">
        <f t="shared" si="0"/>
        <v>0</v>
      </c>
      <c r="H11" s="11"/>
    </row>
    <row r="12" spans="1:8">
      <c r="A12" s="12">
        <v>5</v>
      </c>
      <c r="B12" s="18" t="s">
        <v>66</v>
      </c>
      <c r="C12" s="14"/>
      <c r="D12" s="16">
        <v>450</v>
      </c>
      <c r="E12" s="15" t="s">
        <v>67</v>
      </c>
      <c r="F12" s="11"/>
      <c r="G12" s="11">
        <f t="shared" si="0"/>
        <v>0</v>
      </c>
      <c r="H12" s="11"/>
    </row>
    <row r="13" spans="1:8">
      <c r="A13" s="12">
        <v>6</v>
      </c>
      <c r="B13" s="18" t="s">
        <v>68</v>
      </c>
      <c r="C13" s="14"/>
      <c r="D13" s="16">
        <v>340</v>
      </c>
      <c r="E13" s="15" t="s">
        <v>67</v>
      </c>
      <c r="F13" s="11"/>
      <c r="G13" s="11">
        <f t="shared" si="0"/>
        <v>0</v>
      </c>
      <c r="H13" s="11"/>
    </row>
    <row r="14" spans="1:8">
      <c r="A14" s="12">
        <v>7</v>
      </c>
      <c r="B14" s="18" t="s">
        <v>69</v>
      </c>
      <c r="C14" s="14"/>
      <c r="D14" s="16">
        <v>31</v>
      </c>
      <c r="E14" s="15" t="s">
        <v>62</v>
      </c>
      <c r="F14" s="11"/>
      <c r="G14" s="11">
        <f t="shared" si="0"/>
        <v>0</v>
      </c>
      <c r="H14" s="11" t="s">
        <v>70</v>
      </c>
    </row>
    <row r="15" spans="1:8">
      <c r="A15" s="12">
        <v>8</v>
      </c>
      <c r="B15" s="18" t="s">
        <v>71</v>
      </c>
      <c r="C15" s="14"/>
      <c r="D15" s="11">
        <v>1200</v>
      </c>
      <c r="E15" s="15"/>
      <c r="F15" s="11"/>
      <c r="G15" s="11"/>
      <c r="H15" s="11"/>
    </row>
    <row r="16" spans="1:8">
      <c r="A16" s="12">
        <v>9</v>
      </c>
      <c r="B16" s="13" t="s">
        <v>72</v>
      </c>
      <c r="C16" s="14"/>
      <c r="D16" s="11">
        <v>920</v>
      </c>
      <c r="E16" s="15"/>
      <c r="F16" s="11"/>
      <c r="G16" s="11"/>
      <c r="H16" s="11"/>
    </row>
    <row r="17" spans="1:8">
      <c r="A17" s="12">
        <v>10</v>
      </c>
      <c r="B17" s="13" t="s">
        <v>73</v>
      </c>
      <c r="C17" s="14"/>
      <c r="D17" s="11">
        <v>385</v>
      </c>
      <c r="E17" s="15"/>
      <c r="F17" s="11"/>
      <c r="G17" s="11"/>
      <c r="H17" s="11"/>
    </row>
    <row r="18" spans="1:8">
      <c r="A18" s="12"/>
      <c r="B18" s="13"/>
      <c r="C18" s="14"/>
      <c r="D18" s="11"/>
      <c r="E18" s="15"/>
      <c r="F18" s="11"/>
      <c r="G18" s="11"/>
      <c r="H18" s="11"/>
    </row>
  </sheetData>
  <mergeCells count="9">
    <mergeCell ref="A1:H1"/>
    <mergeCell ref="A2:B2"/>
    <mergeCell ref="D2:H2"/>
    <mergeCell ref="A3:B3"/>
    <mergeCell ref="D3:H3"/>
    <mergeCell ref="A4:B4"/>
    <mergeCell ref="D4:H4"/>
    <mergeCell ref="A5:B5"/>
    <mergeCell ref="D5:H5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workbookViewId="0">
      <selection activeCell="G31" sqref="G31"/>
    </sheetView>
  </sheetViews>
  <sheetFormatPr defaultColWidth="9" defaultRowHeight="13.85"/>
  <cols>
    <col min="1" max="1" width="9.88495575221239" style="1" customWidth="1"/>
    <col min="2" max="2" width="60.6637168141593" style="1" customWidth="1"/>
    <col min="3" max="3" width="4.7787610619469" style="1" customWidth="1"/>
    <col min="4" max="4" width="8.10619469026549" style="1" customWidth="1"/>
    <col min="5" max="5" width="7.7787610619469" style="1" customWidth="1"/>
    <col min="6" max="6" width="3.66371681415929" style="1" customWidth="1"/>
    <col min="7" max="8" width="16" style="1" customWidth="1"/>
    <col min="9" max="9" width="10.3362831858407" style="1" customWidth="1"/>
    <col min="10" max="16384" width="9" style="1"/>
  </cols>
  <sheetData>
    <row r="1" ht="16.5" customHeight="1" spans="1:9">
      <c r="A1" s="2" t="s">
        <v>74</v>
      </c>
      <c r="B1" s="2"/>
      <c r="C1" s="2"/>
      <c r="D1" s="2"/>
      <c r="E1" s="2"/>
      <c r="F1" s="2"/>
      <c r="G1" s="2"/>
      <c r="H1" s="2"/>
      <c r="I1" s="2"/>
    </row>
    <row r="2" ht="14.25" customHeight="1" spans="1:9">
      <c r="A2" s="3" t="s">
        <v>48</v>
      </c>
      <c r="B2" s="4"/>
      <c r="C2" s="5" t="s">
        <v>49</v>
      </c>
      <c r="D2" s="3" t="s">
        <v>50</v>
      </c>
      <c r="E2" s="3"/>
      <c r="F2" s="3"/>
      <c r="G2" s="3"/>
      <c r="H2" s="3"/>
      <c r="I2" s="3"/>
    </row>
    <row r="3" ht="14.25" customHeight="1" spans="1:9">
      <c r="A3" s="3" t="s">
        <v>51</v>
      </c>
      <c r="B3" s="4"/>
      <c r="C3" s="5" t="s">
        <v>49</v>
      </c>
      <c r="D3" s="3"/>
      <c r="E3" s="3"/>
      <c r="F3" s="3"/>
      <c r="G3" s="3"/>
      <c r="H3" s="3"/>
      <c r="I3" s="3"/>
    </row>
    <row r="4" ht="14.25" customHeight="1" spans="1:9">
      <c r="A4" s="3" t="s">
        <v>52</v>
      </c>
      <c r="B4" s="4"/>
      <c r="C4" s="5" t="s">
        <v>49</v>
      </c>
      <c r="D4" s="3"/>
      <c r="E4" s="3"/>
      <c r="F4" s="3"/>
      <c r="G4" s="3"/>
      <c r="H4" s="3"/>
      <c r="I4" s="3"/>
    </row>
    <row r="5" ht="14.25" customHeight="1" spans="1:9">
      <c r="A5" s="3" t="s">
        <v>53</v>
      </c>
      <c r="B5" s="4"/>
      <c r="C5" s="5" t="s">
        <v>49</v>
      </c>
      <c r="D5" s="6"/>
      <c r="E5" s="6"/>
      <c r="F5" s="6"/>
      <c r="G5" s="6"/>
      <c r="H5" s="6"/>
      <c r="I5" s="3"/>
    </row>
    <row r="6" spans="1:9">
      <c r="A6" s="3"/>
      <c r="B6" s="4"/>
      <c r="C6" s="5"/>
      <c r="D6" s="7"/>
      <c r="E6" s="4"/>
      <c r="F6" s="4"/>
      <c r="G6" s="4"/>
      <c r="H6" s="4"/>
      <c r="I6" s="4"/>
    </row>
    <row r="7" spans="1:9">
      <c r="A7" s="8" t="s">
        <v>54</v>
      </c>
      <c r="B7" s="9" t="s">
        <v>55</v>
      </c>
      <c r="C7" s="10"/>
      <c r="D7" s="11" t="s">
        <v>56</v>
      </c>
      <c r="E7" s="11" t="s">
        <v>57</v>
      </c>
      <c r="F7" s="11" t="s">
        <v>58</v>
      </c>
      <c r="G7" s="11" t="s">
        <v>59</v>
      </c>
      <c r="H7" s="11" t="s">
        <v>75</v>
      </c>
      <c r="I7" s="11" t="s">
        <v>60</v>
      </c>
    </row>
    <row r="8" spans="1:9">
      <c r="A8" s="12">
        <v>1</v>
      </c>
      <c r="B8" s="13" t="s">
        <v>76</v>
      </c>
      <c r="C8" s="14"/>
      <c r="D8" s="11">
        <v>1000</v>
      </c>
      <c r="E8" s="15" t="s">
        <v>62</v>
      </c>
      <c r="F8" s="11">
        <v>3</v>
      </c>
      <c r="G8" s="11"/>
      <c r="H8" s="11">
        <f>D8*F8</f>
        <v>3000</v>
      </c>
      <c r="I8" s="11"/>
    </row>
    <row r="9" spans="1:9">
      <c r="A9" s="12"/>
      <c r="B9" s="13" t="s">
        <v>77</v>
      </c>
      <c r="C9" s="14"/>
      <c r="D9" s="11">
        <v>8151.84</v>
      </c>
      <c r="E9" s="15" t="s">
        <v>62</v>
      </c>
      <c r="F9" s="11">
        <v>1</v>
      </c>
      <c r="G9" s="11">
        <f>D9*F9</f>
        <v>8151.84</v>
      </c>
      <c r="H9" s="11"/>
      <c r="I9" s="11"/>
    </row>
    <row r="10" spans="1:9">
      <c r="A10" s="12"/>
      <c r="B10" s="13"/>
      <c r="C10" s="14"/>
      <c r="D10" s="11"/>
      <c r="E10" s="15"/>
      <c r="F10" s="11"/>
      <c r="G10" s="11"/>
      <c r="H10" s="11"/>
      <c r="I10" s="11"/>
    </row>
    <row r="11" spans="2:2">
      <c r="B11" s="13"/>
    </row>
  </sheetData>
  <mergeCells count="9">
    <mergeCell ref="A1:I1"/>
    <mergeCell ref="A2:B2"/>
    <mergeCell ref="D2:I2"/>
    <mergeCell ref="A3:B3"/>
    <mergeCell ref="D3:I3"/>
    <mergeCell ref="A4:B4"/>
    <mergeCell ref="D4:I4"/>
    <mergeCell ref="A5:B5"/>
    <mergeCell ref="D5:H5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Invoice</vt:lpstr>
      <vt:lpstr>Transportation Related</vt:lpstr>
      <vt:lpstr>Freight Related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Nicky Cao</dc:creator>
  <cp:lastModifiedBy>蓓蓓</cp:lastModifiedBy>
  <dcterms:created xsi:type="dcterms:W3CDTF">2024-02-01T05:43:00Z</dcterms:created>
  <dcterms:modified xsi:type="dcterms:W3CDTF">2025-03-12T07:12:26Z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5C655DBA9AE74DA1AF3CEB78DB582D28_12</vt:lpwstr>
  </property>
  <property fmtid="{D5CDD505-2E9C-101B-9397-08002B2CF9AE}" pid="3" name="KSOProductBuildVer">
    <vt:lpwstr>2052-12.1.0.20305</vt:lpwstr>
  </property>
</Properties>
</file>