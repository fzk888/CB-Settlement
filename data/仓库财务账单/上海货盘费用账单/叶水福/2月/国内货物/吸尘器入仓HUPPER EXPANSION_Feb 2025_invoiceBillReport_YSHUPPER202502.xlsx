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Invoice" sheetId="5" r:id="rId1"/>
    <sheet name="InvoiceBillReport" sheetId="24" r:id="rId2"/>
    <sheet name="HandlingBillingReport" sheetId="25" r:id="rId3"/>
    <sheet name="StorageBillingRpt" sheetId="26" r:id="rId4"/>
    <sheet name="Customs Clearance With Related" sheetId="6" r:id="rId5"/>
    <sheet name="VAS" sheetId="7" r:id="rId6"/>
  </sheets>
  <definedNames>
    <definedName name="_xlnm._FilterDatabase" localSheetId="3" hidden="1">StorageBillingRpt!$A$12:$S$158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<sst xmlns="http://schemas.openxmlformats.org/spreadsheetml/2006/main" count="970" uniqueCount="212">
  <si>
    <t>INVOICE</t>
  </si>
  <si>
    <t>CUSTOMER :</t>
  </si>
  <si>
    <t>HUPPER TEK Co.,Ltd</t>
  </si>
  <si>
    <t>Invoice No :</t>
  </si>
  <si>
    <t>YSHUPPER202502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</si>
  <si>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</si>
  <si>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</si>
  <si>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</si>
  <si>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</si>
  <si>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</si>
  <si>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</si>
  <si>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</si>
  <si>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</si>
  <si>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</si>
  <si>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</si>
  <si>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</si>
  <si>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</si>
  <si>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</si>
  <si>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</si>
  <si>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</si>
  <si>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</si>
  <si>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</si>
  <si>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</si>
  <si>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</si>
  <si>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</si>
  <si>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</si>
  <si>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</si>
  <si>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</si>
  <si>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</si>
  <si>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</si>
  <si>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</si>
  <si>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</si>
  <si>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</si>
  <si>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</si>
  <si>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</si>
  <si>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</si>
  <si>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</si>
  <si>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</si>
  <si>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</si>
  <si>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</si>
  <si>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</si>
  <si>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</si>
  <si>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</si>
  <si>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</si>
  <si>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</si>
  <si>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</si>
  <si>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</si>
  <si>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</si>
  <si>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</si>
  <si>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</si>
  <si>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INVSH00698</t>
  </si>
  <si>
    <t>HUPPER_OS</t>
  </si>
  <si>
    <t>28-Feb-25</t>
  </si>
  <si>
    <t xml:space="preserve"> </t>
  </si>
  <si>
    <t>28  DAYS</t>
  </si>
  <si>
    <t>ATTN TO :</t>
  </si>
  <si>
    <t>Billing Period</t>
  </si>
  <si>
    <t>from [2025-02-01] to [2025-02-28]</t>
  </si>
  <si>
    <t>HANDLING IN - M3 [IPA]</t>
  </si>
  <si>
    <t>STORAGE - M3 [IPA]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</si>
  <si>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</si>
  <si>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</si>
  <si>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</si>
  <si>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</si>
  <si>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</si>
  <si>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</si>
  <si>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</si>
  <si>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</si>
  <si>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INVSH00698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</si>
  <si>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</si>
  <si>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</si>
  <si>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</si>
  <si>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01-02-2025 to 28-02-2025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</si>
  <si>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</si>
  <si>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</si>
  <si>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</si>
  <si>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</si>
  <si>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</si>
  <si>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</si>
  <si>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</si>
  <si>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</si>
  <si>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</si>
  <si>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</si>
  <si>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</si>
  <si>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</si>
  <si>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</si>
  <si>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</si>
  <si>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</si>
  <si>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</si>
  <si>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</si>
  <si>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</si>
  <si>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</si>
  <si>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</si>
  <si>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</si>
  <si>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HUPPERSHGRN122</t>
    </r>
  </si>
  <si>
    <r>
      <rPr>
        <sz val="9"/>
        <rFont val="等线"/>
        <charset val="0"/>
      </rPr>
      <t>UK2412022</t>
    </r>
  </si>
  <si>
    <r>
      <rPr>
        <sz val="9"/>
        <rFont val="等线"/>
        <charset val="0"/>
      </rPr>
      <t>20-02-2025</t>
    </r>
  </si>
  <si>
    <r>
      <rPr>
        <sz val="9"/>
        <rFont val="等线"/>
        <charset val="0"/>
      </rPr>
      <t>B06ZY896ZM</t>
    </r>
  </si>
  <si>
    <r>
      <rPr>
        <sz val="9"/>
        <rFont val="等线"/>
        <charset val="0"/>
      </rPr>
      <t>汽车吸尘器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</si>
  <si>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</si>
  <si>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</si>
  <si>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</si>
  <si>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</si>
  <si>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285.14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</si>
  <si>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</si>
  <si>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</si>
  <si>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</si>
  <si>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</si>
  <si>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</si>
  <si>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</si>
  <si>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</si>
  <si>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</si>
  <si>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20-02-2025 to 20-02-2025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</si>
  <si>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</si>
  <si>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</si>
  <si>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</si>
  <si>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</si>
  <si>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</si>
  <si>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</si>
  <si>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</si>
  <si>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</si>
  <si>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</si>
  <si>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</si>
  <si>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1000㎡ / 1.0 DAYS  *CNY 0.7</t>
  </si>
  <si>
    <r>
      <rPr>
        <sz val="9"/>
        <rFont val="等线"/>
        <charset val="0"/>
      </rPr>
      <t>21-02-2025 to 21-02-2025</t>
    </r>
  </si>
  <si>
    <r>
      <rPr>
        <sz val="9"/>
        <rFont val="等线"/>
        <charset val="0"/>
      </rPr>
      <t>22-02-2025 to 22-02-2025</t>
    </r>
  </si>
  <si>
    <r>
      <rPr>
        <sz val="9"/>
        <rFont val="等线"/>
        <charset val="0"/>
      </rPr>
      <t>23-02-2025 to 23-02-2025</t>
    </r>
  </si>
  <si>
    <r>
      <rPr>
        <sz val="9"/>
        <rFont val="等线"/>
        <charset val="0"/>
      </rPr>
      <t>24-02-2025 to 24-02-2025</t>
    </r>
  </si>
  <si>
    <r>
      <rPr>
        <sz val="9"/>
        <rFont val="等线"/>
        <charset val="0"/>
      </rPr>
      <t>25-02-2025 to 25-02-2025</t>
    </r>
  </si>
  <si>
    <r>
      <rPr>
        <sz val="9"/>
        <rFont val="等线"/>
        <charset val="0"/>
      </rPr>
      <t>26-02-2025 to 26-02-2025</t>
    </r>
  </si>
  <si>
    <r>
      <rPr>
        <sz val="9"/>
        <rFont val="等线"/>
        <charset val="0"/>
      </rPr>
      <t>27-02-2025 to 27-02-2025</t>
    </r>
  </si>
  <si>
    <r>
      <rPr>
        <sz val="9"/>
        <rFont val="等线"/>
        <charset val="0"/>
      </rPr>
      <t>28-02-2025 to 28-02-2025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</si>
  <si>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</si>
  <si>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</si>
  <si>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9DAYS*700</t>
  </si>
  <si>
    <t>Free storage of 1500CBMs for 2months  in 2025 （From Feb 19, 2025 to Apr 19, 2025）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</si>
  <si>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</si>
  <si>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</si>
  <si>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</si>
  <si>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t>HUPPER_SH_EXPANSION</t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</si>
  <si>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</si>
  <si>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</si>
  <si>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</si>
  <si>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</si>
  <si>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01-02-2025 to 28-02-2025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</si>
  <si>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</si>
  <si>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</si>
  <si>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</si>
  <si>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</si>
  <si>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</si>
  <si>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</si>
  <si>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</si>
  <si>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</si>
  <si>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</si>
  <si>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</si>
  <si>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</si>
  <si>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</si>
  <si>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</si>
  <si>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</si>
  <si>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</si>
  <si>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</si>
  <si>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</si>
  <si>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客户合同号</t>
  </si>
  <si>
    <t>集装箱号</t>
  </si>
  <si>
    <t>商品名称</t>
  </si>
  <si>
    <t xml:space="preserve">报关服务费用
</t>
  </si>
  <si>
    <t>提发货凭证</t>
  </si>
  <si>
    <t xml:space="preserve">联单费
</t>
  </si>
  <si>
    <t xml:space="preserve">查验服务费
</t>
  </si>
  <si>
    <t>查验费</t>
  </si>
  <si>
    <t>合计</t>
  </si>
  <si>
    <t>1</t>
  </si>
  <si>
    <t>248000851</t>
  </si>
  <si>
    <t>BHCU4989590;MRSU4044148;MRKU3910076;UETU6820098</t>
  </si>
  <si>
    <t>汽车吸尘器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</si>
  <si>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</si>
  <si>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</si>
  <si>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</si>
  <si>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</si>
  <si>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</si>
  <si>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</si>
  <si>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</si>
  <si>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</si>
  <si>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</si>
  <si>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</si>
  <si>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</si>
  <si>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</si>
  <si>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</si>
  <si>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</si>
  <si>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</si>
  <si>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</si>
  <si>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</si>
  <si>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</si>
  <si>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</si>
  <si>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</si>
  <si>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</si>
  <si>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</si>
  <si>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</si>
  <si>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</si>
  <si>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</si>
  <si>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</si>
  <si>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</si>
  <si>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</si>
  <si>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 xml:space="preserve">厨房过滤器二合一
</t>
  </si>
  <si>
    <t xml:space="preserve"> 厨房过滤器套装
</t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</si>
  <si>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</si>
  <si>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</si>
  <si>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</si>
  <si>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长枕套</t>
  </si>
  <si>
    <t>货物抽检费</t>
  </si>
  <si>
    <t>防水袋</t>
  </si>
  <si>
    <t>Total VAS Fee: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</si>
</sst>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0.00_);[Red]\(0.00\)"/>
    <numFmt numFmtId="186" formatCode="_(* #,##0.00_);_(* \(#,##0.00\);_(* &quot;-&quot;??_);_(@_)"/>
  </numFmts>
  <fonts count="65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10"/>
      <color theme="1"/>
      <name val="SansSerif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name val="等线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0"/>
      <color indexed="8"/>
      <name val="微软雅黑"/>
      <charset val="134"/>
    </font>
    <font>
      <sz val="8"/>
      <name val="等线"/>
      <charset val="134"/>
    </font>
    <font>
      <b/>
      <sz val="13"/>
      <name val="等线"/>
      <charset val="0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8"/>
      <name val="等线"/>
      <charset val="0"/>
    </font>
    <font>
      <sz val="11"/>
      <name val="Yu Gothic"/>
      <charset val="128"/>
    </font>
    <font>
      <sz val="10"/>
      <color rgb="FF000000"/>
      <name val="Arial"/>
      <charset val="134"/>
    </font>
    <font>
      <sz val="10"/>
      <color theme="1"/>
      <name val="宋体"/>
      <charset val="134"/>
    </font>
    <font>
      <sz val="9"/>
      <color indexed="8"/>
      <name val="微软雅黑"/>
      <charset val="134"/>
    </font>
    <font>
      <i/>
      <sz val="11"/>
      <name val="等线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5" borderId="27" applyNumberFormat="0" applyAlignment="0" applyProtection="0">
      <alignment vertical="center"/>
    </xf>
    <xf numFmtId="0" fontId="45" fillId="6" borderId="28" applyNumberFormat="0" applyAlignment="0" applyProtection="0">
      <alignment vertical="center"/>
    </xf>
    <xf numFmtId="0" fontId="46" fillId="6" borderId="27" applyNumberFormat="0" applyAlignment="0" applyProtection="0">
      <alignment vertical="center"/>
    </xf>
    <xf numFmtId="0" fontId="47" fillId="7" borderId="29" applyNumberFormat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176" fontId="16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28" fillId="0" borderId="0"/>
    <xf numFmtId="176" fontId="28" fillId="0" borderId="0"/>
  </cellStyleXfs>
  <cellXfs count="147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  <xf numFmtId="177" fontId="15" fillId="0" borderId="1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/>
    </xf>
    <xf numFmtId="177" fontId="15" fillId="0" borderId="3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177" fontId="11" fillId="0" borderId="2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177" fontId="16" fillId="0" borderId="3" xfId="0" applyNumberFormat="1" applyFont="1" applyFill="1" applyBorder="1" applyAlignment="1">
      <alignment horizontal="center" vertical="center"/>
    </xf>
    <xf numFmtId="177" fontId="11" fillId="0" borderId="4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 applyProtection="1">
      <alignment horizontal="center" vertical="top" wrapText="1"/>
      <protection locked="0"/>
    </xf>
    <xf numFmtId="178" fontId="18" fillId="0" borderId="0" xfId="0" applyNumberFormat="1" applyFont="1" applyFill="1" applyBorder="1" applyAlignment="1">
      <alignment horizontal="left" vertical="top" wrapText="1"/>
    </xf>
    <xf numFmtId="0" fontId="18" fillId="0" borderId="0" xfId="0" applyFont="1" applyFill="1" applyBorder="1" applyAlignment="1" applyProtection="1">
      <alignment horizontal="left" vertical="top" wrapText="1"/>
      <protection locked="0"/>
    </xf>
    <xf numFmtId="0" fontId="1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 applyProtection="1">
      <alignment horizontal="center" vertical="top" wrapText="1"/>
      <protection locked="0"/>
    </xf>
    <xf numFmtId="0" fontId="20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 applyProtection="1">
      <alignment horizontal="left" vertical="top" wrapText="1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 applyProtection="1">
      <alignment horizontal="right" wrapText="1"/>
      <protection locked="0"/>
    </xf>
    <xf numFmtId="0" fontId="20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 applyProtection="1">
      <alignment horizontal="center" vertical="top" wrapText="1"/>
      <protection locked="0"/>
    </xf>
    <xf numFmtId="179" fontId="20" fillId="0" borderId="0" xfId="0" applyNumberFormat="1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vertical="top" wrapText="1"/>
    </xf>
    <xf numFmtId="180" fontId="20" fillId="0" borderId="0" xfId="0" applyNumberFormat="1" applyFont="1" applyFill="1" applyBorder="1" applyAlignment="1">
      <alignment horizontal="right" vertical="top" wrapText="1"/>
    </xf>
    <xf numFmtId="181" fontId="20" fillId="0" borderId="0" xfId="0" applyNumberFormat="1" applyFont="1" applyFill="1" applyBorder="1" applyAlignment="1">
      <alignment horizontal="right" vertical="top" wrapText="1"/>
    </xf>
    <xf numFmtId="0" fontId="17" fillId="0" borderId="0" xfId="0" applyFont="1" applyFill="1" applyBorder="1" applyAlignment="1" applyProtection="1">
      <alignment wrapText="1"/>
      <protection locked="0"/>
    </xf>
    <xf numFmtId="180" fontId="23" fillId="0" borderId="0" xfId="0" applyNumberFormat="1" applyFont="1" applyFill="1" applyBorder="1" applyAlignment="1">
      <alignment horizontal="right" vertical="center" wrapText="1"/>
    </xf>
    <xf numFmtId="180" fontId="20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 applyProtection="1">
      <alignment horizontal="right" vertical="top" wrapText="1"/>
      <protection locked="0"/>
    </xf>
    <xf numFmtId="182" fontId="20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 applyProtection="1">
      <alignment horizontal="left" wrapText="1"/>
      <protection locked="0"/>
    </xf>
    <xf numFmtId="183" fontId="20" fillId="0" borderId="0" xfId="0" applyNumberFormat="1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right" vertical="center" wrapText="1"/>
    </xf>
    <xf numFmtId="184" fontId="24" fillId="0" borderId="0" xfId="0" applyNumberFormat="1" applyFont="1" applyFill="1" applyBorder="1" applyAlignment="1">
      <alignment horizontal="left" vertical="center" wrapText="1"/>
    </xf>
    <xf numFmtId="0" fontId="24" fillId="0" borderId="0" xfId="0" applyFont="1" applyFill="1" applyBorder="1" applyAlignment="1" applyProtection="1">
      <alignment horizontal="left" vertical="center" wrapText="1"/>
      <protection locked="0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 applyProtection="1">
      <alignment horizontal="left" wrapText="1"/>
      <protection locked="0"/>
    </xf>
    <xf numFmtId="0" fontId="20" fillId="0" borderId="0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 applyProtection="1">
      <alignment horizontal="right" vertical="center" wrapText="1"/>
      <protection locked="0"/>
    </xf>
    <xf numFmtId="179" fontId="20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justify" vertical="center" wrapText="1"/>
    </xf>
    <xf numFmtId="0" fontId="18" fillId="0" borderId="0" xfId="0" applyFont="1" applyFill="1" applyBorder="1" applyAlignment="1" applyProtection="1">
      <alignment horizontal="justify" vertical="center" wrapText="1"/>
      <protection locked="0"/>
    </xf>
    <xf numFmtId="0" fontId="18" fillId="0" borderId="0" xfId="0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Fill="1" applyBorder="1" applyAlignment="1" applyProtection="1">
      <alignment horizontal="left" vertical="center" wrapText="1"/>
      <protection locked="0"/>
    </xf>
    <xf numFmtId="180" fontId="20" fillId="0" borderId="0" xfId="0" applyNumberFormat="1" applyFont="1" applyFill="1" applyBorder="1" applyAlignment="1">
      <alignment horizontal="right" wrapText="1"/>
    </xf>
    <xf numFmtId="181" fontId="20" fillId="0" borderId="0" xfId="0" applyNumberFormat="1" applyFont="1" applyFill="1" applyBorder="1" applyAlignment="1">
      <alignment horizontal="right" wrapText="1"/>
    </xf>
    <xf numFmtId="180" fontId="20" fillId="0" borderId="5" xfId="0" applyNumberFormat="1" applyFont="1" applyFill="1" applyBorder="1" applyAlignment="1">
      <alignment horizontal="right" vertical="center" wrapText="1"/>
    </xf>
    <xf numFmtId="0" fontId="20" fillId="0" borderId="5" xfId="0" applyFont="1" applyFill="1" applyBorder="1" applyAlignment="1" applyProtection="1">
      <alignment horizontal="right" vertical="center" wrapText="1"/>
      <protection locked="0"/>
    </xf>
    <xf numFmtId="0" fontId="20" fillId="0" borderId="5" xfId="0" applyFont="1" applyFill="1" applyBorder="1" applyAlignment="1">
      <alignment horizontal="left" vertical="top" wrapText="1"/>
    </xf>
    <xf numFmtId="0" fontId="20" fillId="0" borderId="5" xfId="0" applyFont="1" applyFill="1" applyBorder="1" applyAlignment="1" applyProtection="1">
      <alignment horizontal="left" vertical="top" wrapText="1"/>
      <protection locked="0"/>
    </xf>
    <xf numFmtId="183" fontId="20" fillId="0" borderId="5" xfId="0" applyNumberFormat="1" applyFont="1" applyFill="1" applyBorder="1" applyAlignment="1">
      <alignment horizontal="right" vertical="center" wrapText="1"/>
    </xf>
    <xf numFmtId="179" fontId="18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 applyProtection="1">
      <alignment horizontal="right" vertical="top" wrapText="1"/>
      <protection locked="0"/>
    </xf>
    <xf numFmtId="0" fontId="18" fillId="0" borderId="0" xfId="0" applyFont="1" applyFill="1" applyBorder="1" applyAlignment="1">
      <alignment horizontal="right" vertical="top" wrapText="1"/>
    </xf>
    <xf numFmtId="185" fontId="0" fillId="0" borderId="0" xfId="0" applyNumberFormat="1">
      <alignment vertical="center"/>
    </xf>
    <xf numFmtId="176" fontId="25" fillId="0" borderId="0" xfId="53" applyFont="1"/>
    <xf numFmtId="185" fontId="25" fillId="0" borderId="0" xfId="53" applyNumberFormat="1" applyFont="1"/>
    <xf numFmtId="176" fontId="26" fillId="0" borderId="0" xfId="53" applyFont="1" applyAlignment="1">
      <alignment horizontal="center"/>
    </xf>
    <xf numFmtId="176" fontId="27" fillId="0" borderId="0" xfId="53" applyFont="1"/>
    <xf numFmtId="185" fontId="27" fillId="0" borderId="0" xfId="53" applyNumberFormat="1" applyFont="1"/>
    <xf numFmtId="176" fontId="28" fillId="0" borderId="0" xfId="53"/>
    <xf numFmtId="176" fontId="29" fillId="0" borderId="0" xfId="53" applyFont="1"/>
    <xf numFmtId="185" fontId="29" fillId="0" borderId="0" xfId="53" applyNumberFormat="1" applyFont="1"/>
    <xf numFmtId="176" fontId="27" fillId="0" borderId="0" xfId="53" applyFont="1" applyAlignment="1">
      <alignment horizontal="right"/>
    </xf>
    <xf numFmtId="176" fontId="30" fillId="0" borderId="0" xfId="54" applyFont="1" applyAlignment="1">
      <alignment vertical="center"/>
    </xf>
    <xf numFmtId="15" fontId="27" fillId="0" borderId="0" xfId="53" applyNumberFormat="1" applyFont="1" applyAlignment="1">
      <alignment horizontal="right"/>
    </xf>
    <xf numFmtId="176" fontId="31" fillId="0" borderId="0" xfId="6" applyAlignment="1" applyProtection="1"/>
    <xf numFmtId="176" fontId="32" fillId="0" borderId="0" xfId="54" applyFont="1"/>
    <xf numFmtId="176" fontId="33" fillId="0" borderId="0" xfId="54" applyFont="1"/>
    <xf numFmtId="176" fontId="34" fillId="0" borderId="6" xfId="53" applyFont="1" applyBorder="1" applyAlignment="1">
      <alignment horizontal="center" vertical="center"/>
    </xf>
    <xf numFmtId="176" fontId="34" fillId="0" borderId="7" xfId="53" applyFont="1" applyBorder="1" applyAlignment="1">
      <alignment horizontal="center" vertical="center"/>
    </xf>
    <xf numFmtId="176" fontId="34" fillId="0" borderId="8" xfId="53" applyFont="1" applyBorder="1" applyAlignment="1">
      <alignment horizontal="center" vertical="center"/>
    </xf>
    <xf numFmtId="185" fontId="34" fillId="0" borderId="9" xfId="53" applyNumberFormat="1" applyFont="1" applyBorder="1" applyAlignment="1">
      <alignment horizontal="center" vertical="center"/>
    </xf>
    <xf numFmtId="176" fontId="34" fillId="0" borderId="10" xfId="53" applyFont="1" applyBorder="1" applyAlignment="1">
      <alignment horizontal="center" vertical="center"/>
    </xf>
    <xf numFmtId="176" fontId="27" fillId="0" borderId="11" xfId="53" applyFont="1" applyBorder="1"/>
    <xf numFmtId="176" fontId="28" fillId="0" borderId="12" xfId="53" applyBorder="1"/>
    <xf numFmtId="176" fontId="28" fillId="0" borderId="13" xfId="53" applyBorder="1"/>
    <xf numFmtId="185" fontId="27" fillId="0" borderId="14" xfId="53" applyNumberFormat="1" applyFont="1" applyBorder="1" applyAlignment="1">
      <alignment vertical="center"/>
    </xf>
    <xf numFmtId="39" fontId="35" fillId="0" borderId="15" xfId="49" applyNumberFormat="1" applyFont="1" applyBorder="1" applyAlignment="1">
      <alignment horizontal="center" vertical="center"/>
    </xf>
    <xf numFmtId="176" fontId="35" fillId="0" borderId="12" xfId="53" applyFont="1" applyBorder="1" applyAlignment="1">
      <alignment horizontal="center" vertical="center"/>
    </xf>
    <xf numFmtId="186" fontId="35" fillId="0" borderId="16" xfId="53" applyNumberFormat="1" applyFont="1" applyBorder="1" applyAlignment="1">
      <alignment vertical="center"/>
    </xf>
    <xf numFmtId="185" fontId="28" fillId="0" borderId="0" xfId="54" applyNumberFormat="1"/>
    <xf numFmtId="176" fontId="28" fillId="0" borderId="14" xfId="53" applyBorder="1"/>
    <xf numFmtId="39" fontId="35" fillId="0" borderId="17" xfId="49" applyNumberFormat="1" applyFont="1" applyBorder="1" applyAlignment="1">
      <alignment horizontal="center" vertical="center"/>
    </xf>
    <xf numFmtId="176" fontId="35" fillId="0" borderId="0" xfId="53" applyFont="1" applyAlignment="1">
      <alignment horizontal="center" vertical="center"/>
    </xf>
    <xf numFmtId="186" fontId="35" fillId="0" borderId="18" xfId="53" applyNumberFormat="1" applyFont="1" applyBorder="1" applyAlignment="1">
      <alignment vertical="center"/>
    </xf>
    <xf numFmtId="176" fontId="27" fillId="0" borderId="0" xfId="53" applyFont="1" applyAlignment="1">
      <alignment vertical="center"/>
    </xf>
    <xf numFmtId="176" fontId="27" fillId="0" borderId="14" xfId="53" applyFont="1" applyBorder="1" applyAlignment="1">
      <alignment vertical="center"/>
    </xf>
    <xf numFmtId="39" fontId="27" fillId="0" borderId="17" xfId="49" applyNumberFormat="1" applyFont="1" applyBorder="1" applyAlignment="1">
      <alignment horizontal="center" vertical="center"/>
    </xf>
    <xf numFmtId="176" fontId="27" fillId="0" borderId="0" xfId="53" applyFont="1" applyAlignment="1">
      <alignment horizontal="center" vertical="center"/>
    </xf>
    <xf numFmtId="186" fontId="27" fillId="0" borderId="18" xfId="53" applyNumberFormat="1" applyFont="1" applyBorder="1" applyAlignment="1">
      <alignment vertical="center"/>
    </xf>
    <xf numFmtId="185" fontId="27" fillId="0" borderId="17" xfId="53" applyNumberFormat="1" applyFont="1" applyBorder="1" applyAlignment="1">
      <alignment vertical="center"/>
    </xf>
    <xf numFmtId="185" fontId="27" fillId="0" borderId="19" xfId="53" applyNumberFormat="1" applyFont="1" applyBorder="1" applyAlignment="1">
      <alignment vertical="center"/>
    </xf>
    <xf numFmtId="0" fontId="0" fillId="0" borderId="20" xfId="0" applyBorder="1">
      <alignment vertical="center"/>
    </xf>
    <xf numFmtId="176" fontId="28" fillId="0" borderId="19" xfId="53" applyBorder="1"/>
    <xf numFmtId="185" fontId="27" fillId="0" borderId="0" xfId="53" applyNumberFormat="1" applyFont="1" applyAlignment="1">
      <alignment vertical="center"/>
    </xf>
    <xf numFmtId="176" fontId="34" fillId="0" borderId="21" xfId="53" applyFont="1" applyBorder="1" applyAlignment="1">
      <alignment vertical="center"/>
    </xf>
    <xf numFmtId="176" fontId="34" fillId="0" borderId="22" xfId="53" applyFont="1" applyBorder="1" applyAlignment="1">
      <alignment horizontal="center" vertical="center"/>
    </xf>
    <xf numFmtId="186" fontId="34" fillId="0" borderId="23" xfId="53" applyNumberFormat="1" applyFont="1" applyBorder="1" applyAlignment="1">
      <alignment vertical="center"/>
    </xf>
    <xf numFmtId="186" fontId="25" fillId="0" borderId="0" xfId="53" applyNumberFormat="1" applyFont="1"/>
    <xf numFmtId="176" fontId="36" fillId="0" borderId="0" xfId="54" applyFont="1" applyAlignment="1">
      <alignment horizontal="center"/>
    </xf>
    <xf numFmtId="176" fontId="28" fillId="0" borderId="0" xfId="54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19" workbookViewId="0">
      <selection activeCell="A36" sqref="A36"/>
    </sheetView>
  </sheetViews>
  <sheetFormatPr defaultColWidth="9" defaultRowHeight="14.25"/>
  <cols>
    <col min="1" max="3" width="14.125" customWidth="1"/>
    <col min="4" max="4" width="9" style="99" customWidth="1"/>
    <col min="6" max="6" width="11.375" customWidth="1"/>
    <col min="7" max="7" width="18.875" customWidth="1"/>
    <col min="8" max="8" width="13.125" customWidth="1"/>
    <col min="9" max="11" width="10.375" customWidth="1"/>
  </cols>
  <sheetData>
    <row r="1" spans="1:7">
      <c r="A1" s="100"/>
      <c r="B1" s="100"/>
      <c r="C1" s="100"/>
      <c r="D1" s="101"/>
      <c r="E1" s="100"/>
      <c r="F1" s="100"/>
      <c r="G1" s="100"/>
    </row>
    <row r="2" ht="18.75" spans="1:7">
      <c r="A2" s="102" t="s">
        <v>0</v>
      </c>
      <c r="B2" s="102"/>
      <c r="C2" s="102"/>
      <c r="D2" s="102"/>
      <c r="E2" s="102"/>
      <c r="F2" s="102"/>
      <c r="G2" s="102"/>
    </row>
    <row r="3" spans="1:7">
      <c r="A3" s="100"/>
      <c r="B3" s="100"/>
      <c r="C3" s="100"/>
      <c r="D3" s="101"/>
      <c r="E3" s="100"/>
      <c r="F3" s="100"/>
      <c r="G3" s="100"/>
    </row>
    <row r="4" spans="1:7">
      <c r="A4" s="100"/>
      <c r="B4" s="100"/>
      <c r="C4" s="100"/>
      <c r="D4" s="101"/>
      <c r="E4" s="100"/>
      <c r="F4" s="100"/>
      <c r="G4" s="100"/>
    </row>
    <row r="5" ht="15" spans="1:7">
      <c r="A5" s="103" t="s">
        <v>1</v>
      </c>
      <c r="B5" s="103"/>
      <c r="C5" s="103"/>
      <c r="D5" s="104"/>
      <c r="E5" s="103"/>
      <c r="F5" s="103"/>
      <c r="G5" s="103"/>
    </row>
    <row r="6" ht="15" spans="1:7">
      <c r="A6" s="105"/>
      <c r="B6" s="105"/>
      <c r="C6" s="105"/>
      <c r="D6" s="104"/>
      <c r="E6" s="103"/>
      <c r="F6" s="103"/>
      <c r="G6" s="103"/>
    </row>
    <row r="7" ht="15" spans="1:7">
      <c r="A7" s="103" t="s">
        <v>2</v>
      </c>
      <c r="B7" s="106"/>
      <c r="C7" s="106"/>
      <c r="D7" s="107"/>
      <c r="E7" s="103"/>
      <c r="F7" s="103" t="s">
        <v>3</v>
      </c>
      <c r="G7" s="108" t="s">
        <v>4</v>
      </c>
    </row>
    <row r="8" ht="15.75" spans="1:7">
      <c r="A8" s="103" t="s">
        <v>5</v>
      </c>
      <c r="B8" s="109"/>
      <c r="C8" s="109"/>
      <c r="D8" s="107"/>
      <c r="E8" s="103"/>
      <c r="F8" s="103" t="s">
        <v>6</v>
      </c>
      <c r="G8" s="110">
        <v>45716</v>
      </c>
    </row>
    <row r="9" ht="15.75" spans="1:7">
      <c r="A9" s="103" t="s">
        <v>7</v>
      </c>
      <c r="B9" s="109"/>
      <c r="C9" s="109"/>
      <c r="D9" s="107"/>
      <c r="E9" s="103"/>
      <c r="F9" s="103" t="s">
        <v>8</v>
      </c>
      <c r="G9" s="108"/>
    </row>
    <row r="10" ht="15.75" spans="1:7">
      <c r="A10" s="103" t="s">
        <v>9</v>
      </c>
      <c r="B10" s="109"/>
      <c r="C10" s="109"/>
      <c r="D10" s="107"/>
      <c r="E10" s="103"/>
      <c r="F10" s="103" t="s">
        <v>10</v>
      </c>
      <c r="G10" s="103"/>
    </row>
    <row r="11" ht="15.75" spans="1:7">
      <c r="A11" s="109"/>
      <c r="B11" s="106"/>
      <c r="C11" s="106"/>
      <c r="D11" s="107"/>
      <c r="E11" s="103"/>
      <c r="F11" s="103"/>
      <c r="G11" s="103"/>
    </row>
    <row r="12" ht="15" spans="1:7">
      <c r="A12" s="103"/>
      <c r="B12" s="103"/>
      <c r="C12" s="103"/>
      <c r="D12" s="104"/>
      <c r="E12" s="103"/>
      <c r="F12" s="103"/>
      <c r="G12" s="103"/>
    </row>
    <row r="13" ht="15.75" spans="1:7">
      <c r="A13" s="103" t="s">
        <v>11</v>
      </c>
      <c r="B13" s="109" t="s">
        <v>12</v>
      </c>
      <c r="C13" s="103"/>
      <c r="D13" s="104"/>
      <c r="E13" s="103"/>
      <c r="F13" s="103"/>
      <c r="G13" s="103"/>
    </row>
    <row r="14" ht="15" spans="1:7">
      <c r="A14" s="103" t="s">
        <v>13</v>
      </c>
      <c r="B14" s="111" t="s">
        <v>14</v>
      </c>
      <c r="C14" s="112"/>
      <c r="D14" s="104"/>
      <c r="E14" s="103"/>
      <c r="F14" s="103"/>
      <c r="G14" s="103"/>
    </row>
    <row r="15" ht="15" spans="1:7">
      <c r="A15" s="103"/>
      <c r="B15" s="113"/>
      <c r="C15" s="103"/>
      <c r="D15" s="104"/>
      <c r="E15" s="103"/>
      <c r="F15" s="103"/>
      <c r="G15" s="103"/>
    </row>
    <row r="16" ht="15" spans="1:7">
      <c r="A16" s="103"/>
      <c r="B16" s="103"/>
      <c r="C16" s="103"/>
      <c r="D16" s="104"/>
      <c r="E16" s="103"/>
      <c r="F16" s="103"/>
      <c r="G16" s="103"/>
    </row>
    <row r="17" ht="15" spans="1:7">
      <c r="A17" s="100"/>
      <c r="B17" s="100"/>
      <c r="C17" s="100"/>
      <c r="D17" s="101"/>
      <c r="E17" s="100"/>
      <c r="F17" s="100"/>
      <c r="G17" s="100"/>
    </row>
    <row r="18" ht="15" spans="1:7">
      <c r="A18" s="114" t="s">
        <v>15</v>
      </c>
      <c r="B18" s="115"/>
      <c r="C18" s="116"/>
      <c r="D18" s="117" t="s">
        <v>16</v>
      </c>
      <c r="E18" s="115" t="s">
        <v>17</v>
      </c>
      <c r="F18" s="115" t="s">
        <v>18</v>
      </c>
      <c r="G18" s="118" t="s">
        <v>19</v>
      </c>
    </row>
    <row r="19" ht="15" spans="1:9">
      <c r="A19" s="119" t="s">
        <v>20</v>
      </c>
      <c r="B19" s="120"/>
      <c r="C19" s="121"/>
      <c r="D19" s="122">
        <v>285.14</v>
      </c>
      <c r="E19" s="123">
        <v>20</v>
      </c>
      <c r="F19" s="124" t="s">
        <v>21</v>
      </c>
      <c r="G19" s="125">
        <f t="shared" ref="G19:G30" si="0">D19*E19</f>
        <v>5702.8</v>
      </c>
      <c r="H19" s="126"/>
      <c r="I19" s="126"/>
    </row>
    <row r="20" ht="15" spans="1:9">
      <c r="A20" s="119" t="s">
        <v>22</v>
      </c>
      <c r="C20" s="127"/>
      <c r="D20" s="122"/>
      <c r="E20" s="128">
        <v>20</v>
      </c>
      <c r="F20" s="129" t="s">
        <v>21</v>
      </c>
      <c r="G20" s="130">
        <f t="shared" si="0"/>
        <v>0</v>
      </c>
      <c r="H20" s="126"/>
      <c r="I20" s="126"/>
    </row>
    <row r="21" ht="15" spans="1:9">
      <c r="A21" s="119" t="s">
        <v>23</v>
      </c>
      <c r="B21" s="105"/>
      <c r="C21" s="127"/>
      <c r="D21" s="122"/>
      <c r="E21" s="128">
        <v>0.7</v>
      </c>
      <c r="F21" s="129" t="s">
        <v>21</v>
      </c>
      <c r="G21" s="130">
        <f t="shared" si="0"/>
        <v>0</v>
      </c>
      <c r="H21" s="126"/>
      <c r="I21" s="126"/>
    </row>
    <row r="22" ht="15" spans="1:9">
      <c r="A22" s="119" t="s">
        <v>24</v>
      </c>
      <c r="B22" s="131"/>
      <c r="C22" s="132"/>
      <c r="D22" s="122">
        <v>1</v>
      </c>
      <c r="E22" s="133">
        <v>250</v>
      </c>
      <c r="F22" s="134" t="s">
        <v>21</v>
      </c>
      <c r="G22" s="135">
        <f t="shared" si="0"/>
        <v>250</v>
      </c>
      <c r="H22" s="126"/>
      <c r="I22" s="126"/>
    </row>
    <row r="23" ht="15" spans="1:9">
      <c r="A23" s="119" t="s">
        <v>25</v>
      </c>
      <c r="B23" s="131"/>
      <c r="C23" s="132"/>
      <c r="D23" s="122"/>
      <c r="E23" s="133">
        <v>50</v>
      </c>
      <c r="F23" s="134" t="s">
        <v>21</v>
      </c>
      <c r="G23" s="135">
        <f t="shared" si="0"/>
        <v>0</v>
      </c>
      <c r="H23" s="126"/>
      <c r="I23" s="126"/>
    </row>
    <row r="24" ht="15" spans="1:11">
      <c r="A24" s="119" t="s">
        <v>26</v>
      </c>
      <c r="B24" s="131"/>
      <c r="C24" s="132"/>
      <c r="D24" s="122"/>
      <c r="E24" s="128"/>
      <c r="F24" s="134" t="s">
        <v>21</v>
      </c>
      <c r="G24" s="135"/>
      <c r="H24" s="126"/>
      <c r="I24" s="126"/>
      <c r="K24" s="126"/>
    </row>
    <row r="25" ht="15" spans="1:9">
      <c r="A25" s="119" t="s">
        <v>27</v>
      </c>
      <c r="B25" s="131"/>
      <c r="C25" s="132"/>
      <c r="D25" s="122"/>
      <c r="E25" s="128">
        <v>200</v>
      </c>
      <c r="F25" s="134" t="s">
        <v>21</v>
      </c>
      <c r="G25" s="135">
        <f t="shared" si="0"/>
        <v>0</v>
      </c>
      <c r="H25" s="126"/>
      <c r="I25" s="126"/>
    </row>
    <row r="26" ht="15" spans="1:9">
      <c r="A26" s="119" t="s">
        <v>28</v>
      </c>
      <c r="C26" s="127"/>
      <c r="D26" s="136"/>
      <c r="E26" s="133"/>
      <c r="F26" s="134" t="s">
        <v>21</v>
      </c>
      <c r="G26" s="135"/>
      <c r="H26" s="126"/>
      <c r="I26" s="126"/>
    </row>
    <row r="27" ht="15" spans="1:9">
      <c r="A27" s="119" t="s">
        <v>29</v>
      </c>
      <c r="C27" s="127"/>
      <c r="D27" s="136"/>
      <c r="E27" s="133">
        <v>100</v>
      </c>
      <c r="F27" s="134" t="s">
        <v>21</v>
      </c>
      <c r="G27" s="135">
        <f t="shared" si="0"/>
        <v>0</v>
      </c>
      <c r="H27" s="126"/>
      <c r="I27" s="126"/>
    </row>
    <row r="28" ht="15" spans="1:9">
      <c r="A28" s="119" t="s">
        <v>30</v>
      </c>
      <c r="B28" s="131"/>
      <c r="C28" s="127"/>
      <c r="D28" s="136">
        <v>1</v>
      </c>
      <c r="E28" s="133">
        <v>50</v>
      </c>
      <c r="F28" s="134" t="s">
        <v>21</v>
      </c>
      <c r="G28" s="135">
        <f t="shared" si="0"/>
        <v>50</v>
      </c>
      <c r="H28" s="126"/>
      <c r="I28" s="126"/>
    </row>
    <row r="29" ht="15" spans="1:9">
      <c r="A29" s="119" t="s">
        <v>31</v>
      </c>
      <c r="C29" s="127"/>
      <c r="D29" s="136"/>
      <c r="E29" s="133"/>
      <c r="F29" s="134" t="s">
        <v>21</v>
      </c>
      <c r="G29" s="135"/>
      <c r="H29" s="126"/>
      <c r="I29" s="126"/>
    </row>
    <row r="30" ht="15" spans="1:9">
      <c r="A30" s="119" t="s">
        <v>32</v>
      </c>
      <c r="C30" s="127"/>
      <c r="D30" s="122">
        <v>0</v>
      </c>
      <c r="E30" s="133">
        <v>30</v>
      </c>
      <c r="F30" s="134" t="s">
        <v>21</v>
      </c>
      <c r="G30" s="135">
        <f>D30*E30</f>
        <v>0</v>
      </c>
      <c r="H30" s="126"/>
      <c r="I30" s="126"/>
    </row>
    <row r="31" ht="18.75" spans="1:9">
      <c r="A31" s="119" t="s">
        <v>33</v>
      </c>
      <c r="C31" s="127"/>
      <c r="D31" s="122"/>
      <c r="E31" s="133">
        <v>200</v>
      </c>
      <c r="F31" s="134" t="s">
        <v>21</v>
      </c>
      <c r="G31" s="135"/>
      <c r="H31" s="126"/>
      <c r="I31" s="126"/>
    </row>
    <row r="32" ht="15" spans="1:9">
      <c r="A32" s="119" t="s">
        <v>34</v>
      </c>
      <c r="C32" s="127"/>
      <c r="D32" s="122">
        <v>0</v>
      </c>
      <c r="E32" s="133">
        <v>400</v>
      </c>
      <c r="F32" s="134" t="s">
        <v>21</v>
      </c>
      <c r="G32" s="135"/>
      <c r="H32" s="126"/>
      <c r="I32" s="126"/>
    </row>
    <row r="33" ht="15" spans="1:9">
      <c r="A33" s="119" t="s">
        <v>35</v>
      </c>
      <c r="C33" s="127"/>
      <c r="D33" s="122"/>
      <c r="E33" s="133"/>
      <c r="F33" s="134"/>
      <c r="G33" s="135"/>
      <c r="H33" s="126"/>
      <c r="I33" s="126"/>
    </row>
    <row r="34" ht="15.75" spans="1:9">
      <c r="A34" s="137" t="s">
        <v>36</v>
      </c>
      <c r="B34" s="138"/>
      <c r="C34" s="139"/>
      <c r="D34" s="137"/>
      <c r="E34" s="133"/>
      <c r="F34" s="134" t="s">
        <v>21</v>
      </c>
      <c r="G34" s="135"/>
      <c r="H34" s="126"/>
      <c r="I34" s="126"/>
    </row>
    <row r="35" ht="15.75" spans="1:9">
      <c r="A35" s="131"/>
      <c r="B35" s="131"/>
      <c r="C35" s="131"/>
      <c r="D35" s="140"/>
      <c r="E35" s="141" t="s">
        <v>37</v>
      </c>
      <c r="F35" s="142" t="s">
        <v>21</v>
      </c>
      <c r="G35" s="143">
        <f>SUM(G19:G34)</f>
        <v>6002.8</v>
      </c>
      <c r="H35" s="126"/>
      <c r="I35" s="126"/>
    </row>
    <row r="36" spans="1:8">
      <c r="A36" s="100"/>
      <c r="B36" s="100"/>
      <c r="C36" s="100"/>
      <c r="D36" s="101"/>
      <c r="E36" s="100"/>
      <c r="F36" s="100"/>
      <c r="G36" s="144"/>
      <c r="H36" s="145"/>
    </row>
    <row r="37" spans="1:8">
      <c r="A37" s="100"/>
      <c r="B37" s="100"/>
      <c r="C37" s="100"/>
      <c r="D37" s="101"/>
      <c r="E37" s="100"/>
      <c r="F37" s="100"/>
      <c r="G37" s="144"/>
      <c r="H37" s="145"/>
    </row>
    <row r="38" spans="1:13">
      <c r="A38" s="100"/>
      <c r="B38" s="100"/>
      <c r="C38" s="100"/>
      <c r="D38" s="101"/>
      <c r="E38" s="145"/>
      <c r="F38" s="145"/>
      <c r="G38" s="145"/>
      <c r="H38" s="145"/>
      <c r="I38" s="145"/>
      <c r="J38" s="145"/>
      <c r="K38" s="145"/>
      <c r="L38" s="145"/>
      <c r="M38" s="145"/>
    </row>
    <row r="39" spans="1:8">
      <c r="A39" s="145"/>
      <c r="B39" s="100"/>
      <c r="C39" s="100"/>
      <c r="D39" s="101"/>
      <c r="E39" s="100"/>
      <c r="F39" s="100"/>
      <c r="G39" s="100"/>
      <c r="H39" s="145"/>
    </row>
    <row r="40" ht="15" spans="1:8">
      <c r="A40" s="103"/>
      <c r="B40" s="103"/>
      <c r="C40" s="100"/>
      <c r="D40" s="101"/>
      <c r="F40" s="100"/>
      <c r="G40" s="100"/>
      <c r="H40" s="145"/>
    </row>
    <row r="41" ht="15" spans="1:8">
      <c r="A41" s="103" t="s">
        <v>38</v>
      </c>
      <c r="B41" s="103"/>
      <c r="C41" s="103"/>
      <c r="D41" s="101"/>
      <c r="E41" s="103" t="s">
        <v>39</v>
      </c>
      <c r="F41" s="100"/>
      <c r="G41" s="100"/>
      <c r="H41" s="145"/>
    </row>
    <row r="42" ht="15" spans="1:8">
      <c r="A42" s="103" t="s">
        <v>40</v>
      </c>
      <c r="B42" s="103"/>
      <c r="C42" s="103"/>
      <c r="D42" s="101"/>
      <c r="E42" s="103" t="s">
        <v>41</v>
      </c>
      <c r="F42" s="100"/>
      <c r="G42" s="100"/>
      <c r="H42" s="146"/>
    </row>
    <row r="43" ht="15" spans="1:7">
      <c r="A43" s="103" t="s">
        <v>42</v>
      </c>
      <c r="B43" s="103"/>
      <c r="C43" s="103"/>
      <c r="D43" s="101"/>
      <c r="E43" s="103" t="s">
        <v>43</v>
      </c>
      <c r="F43" s="100"/>
      <c r="G43" s="100"/>
    </row>
    <row r="44" ht="15" spans="1:7">
      <c r="A44" s="103" t="s">
        <v>44</v>
      </c>
      <c r="B44" s="103"/>
      <c r="C44" s="103"/>
      <c r="D44" s="101"/>
      <c r="E44" s="103" t="s">
        <v>45</v>
      </c>
      <c r="F44" s="100"/>
      <c r="G44" s="100"/>
    </row>
    <row r="45" ht="15" spans="1:7">
      <c r="A45" s="103" t="s">
        <v>46</v>
      </c>
      <c r="B45" s="103"/>
      <c r="C45" s="103"/>
      <c r="D45" s="101"/>
      <c r="E45" s="103" t="s">
        <v>47</v>
      </c>
      <c r="F45" s="100"/>
      <c r="G45" s="100"/>
    </row>
    <row r="46" ht="15" spans="1:7">
      <c r="A46" s="103"/>
      <c r="B46" s="103"/>
      <c r="C46" s="103"/>
      <c r="D46" s="101"/>
      <c r="E46" s="103" t="s">
        <v>48</v>
      </c>
      <c r="G46" s="100"/>
    </row>
    <row r="47" ht="15" spans="5:5">
      <c r="E47" s="103"/>
    </row>
  </sheetData>
  <mergeCells count="2">
    <mergeCell ref="A2:G2"/>
    <mergeCell ref="A18:C18"/>
  </mergeCells>
  <hyperlinks>
    <hyperlink ref="B14" r:id="rId1" display="zoezhao@huppertek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zoomScaleSheetLayoutView="60" topLeftCell="A6" workbookViewId="0">
      <selection activeCell="A17" sqref="A17"/>
    </sheetView>
  </sheetViews>
  <sheetFormatPr defaultColWidth="9" defaultRowHeight="14.25" outlineLevelCol="5"/>
  <cols>
    <col min="1" max="1" width="20" style="41" customWidth="1"/>
    <col min="2" max="2" width="25.6666666666667" style="41" customWidth="1"/>
    <col min="3" max="3" width="10.5" style="41" customWidth="1"/>
    <col min="4" max="4" width="5.66666666666667" style="41" customWidth="1"/>
    <col min="5" max="5" width="13.3333333333333" style="41" customWidth="1"/>
    <col min="6" max="6" width="24" style="41" customWidth="1"/>
    <col min="7" max="16384" width="9" style="41"/>
  </cols>
  <sheetData>
    <row r="1" ht="16" customHeight="1" spans="1:6">
      <c r="A1" s="51" t="s">
        <v>49</v>
      </c>
      <c r="B1" s="45"/>
      <c r="C1" s="45"/>
      <c r="D1" s="45"/>
      <c r="E1" s="45"/>
      <c r="F1" s="51" t="s">
        <v>50</v>
      </c>
    </row>
    <row r="2" ht="16" customHeight="1" spans="1:6">
      <c r="A2" s="51" t="s">
        <v>51</v>
      </c>
      <c r="B2" s="45"/>
      <c r="C2" s="45"/>
      <c r="D2" s="45"/>
      <c r="E2" s="45"/>
      <c r="F2" s="51" t="s">
        <v>52</v>
      </c>
    </row>
    <row r="3" ht="15" customHeight="1" spans="1:6">
      <c r="A3" s="51" t="s">
        <v>53</v>
      </c>
      <c r="B3" s="45"/>
      <c r="C3" s="45"/>
      <c r="D3" s="45"/>
      <c r="E3" s="45"/>
      <c r="F3" s="51" t="s">
        <v>54</v>
      </c>
    </row>
    <row r="4" ht="14" customHeight="1" spans="1:6">
      <c r="A4" s="51" t="s">
        <v>49</v>
      </c>
      <c r="B4" s="45"/>
      <c r="C4" s="45"/>
      <c r="D4" s="45"/>
      <c r="E4" s="45"/>
      <c r="F4" s="51" t="s">
        <v>49</v>
      </c>
    </row>
    <row r="5" ht="14" customHeight="1" spans="1:6">
      <c r="A5" s="51" t="s">
        <v>53</v>
      </c>
      <c r="B5" s="45"/>
      <c r="C5" s="45"/>
      <c r="D5" s="45"/>
      <c r="E5" s="45"/>
      <c r="F5" s="45"/>
    </row>
    <row r="6" ht="42" customHeight="1" spans="1:6">
      <c r="A6" s="51" t="s">
        <v>49</v>
      </c>
      <c r="B6" s="45"/>
      <c r="C6" s="45"/>
      <c r="D6" s="45"/>
      <c r="E6" s="45"/>
      <c r="F6" s="45"/>
    </row>
    <row r="7" ht="20" customHeight="1" spans="1:6">
      <c r="A7" s="51" t="s">
        <v>55</v>
      </c>
      <c r="B7" s="51" t="s">
        <v>49</v>
      </c>
      <c r="C7" s="45"/>
      <c r="D7" s="45"/>
      <c r="E7" s="45"/>
      <c r="F7" s="45"/>
    </row>
    <row r="8" ht="17" customHeight="1" spans="1:6">
      <c r="A8" s="51" t="s">
        <v>49</v>
      </c>
      <c r="B8" s="45"/>
      <c r="C8" s="45"/>
      <c r="D8" s="45"/>
      <c r="E8" s="45"/>
      <c r="F8" s="45"/>
    </row>
    <row r="9" ht="18" customHeight="1" spans="1:6">
      <c r="A9" s="51" t="s">
        <v>56</v>
      </c>
      <c r="B9" s="51" t="s">
        <v>49</v>
      </c>
      <c r="C9" s="45"/>
      <c r="D9" s="45"/>
      <c r="E9" s="45"/>
      <c r="F9" s="45"/>
    </row>
    <row r="10" ht="20" customHeight="1" spans="1:6">
      <c r="A10" s="51" t="s">
        <v>57</v>
      </c>
      <c r="B10" s="45"/>
      <c r="C10" s="45"/>
      <c r="D10" s="45"/>
      <c r="E10" s="45"/>
      <c r="F10" s="45"/>
    </row>
    <row r="11" ht="30" customHeight="1" spans="1:6">
      <c r="A11" s="51" t="s">
        <v>49</v>
      </c>
      <c r="B11" s="45"/>
      <c r="C11" s="45"/>
      <c r="D11" s="45"/>
      <c r="E11" s="45"/>
      <c r="F11" s="45"/>
    </row>
    <row r="12" ht="18" customHeight="1" spans="1:6">
      <c r="A12" s="51" t="s">
        <v>58</v>
      </c>
      <c r="B12" s="45"/>
      <c r="C12" s="45"/>
      <c r="D12" s="45"/>
      <c r="E12" s="96">
        <v>5702.8</v>
      </c>
      <c r="F12" s="97"/>
    </row>
    <row r="13" ht="18" customHeight="1" spans="1:6">
      <c r="A13" s="51" t="s">
        <v>59</v>
      </c>
      <c r="B13" s="45"/>
      <c r="C13" s="45"/>
      <c r="D13" s="45"/>
      <c r="E13" s="96">
        <v>0</v>
      </c>
      <c r="F13" s="97"/>
    </row>
    <row r="14" ht="16" customHeight="1" spans="1:6">
      <c r="A14" s="98" t="s">
        <v>60</v>
      </c>
      <c r="B14" s="97"/>
      <c r="C14" s="96">
        <v>5702.8</v>
      </c>
      <c r="D14" s="97"/>
      <c r="E14" s="97"/>
      <c r="F14" s="97"/>
    </row>
    <row r="15" ht="30" customHeight="1" spans="1:6">
      <c r="A15" s="51" t="s">
        <v>49</v>
      </c>
      <c r="B15" s="45"/>
      <c r="C15" s="45"/>
      <c r="D15" s="45"/>
      <c r="E15" s="45"/>
      <c r="F15" s="45"/>
    </row>
    <row r="16" ht="18" customHeight="1" spans="1:6">
      <c r="A16" s="51" t="s">
        <v>61</v>
      </c>
      <c r="B16" s="45"/>
      <c r="C16" s="45"/>
      <c r="D16" s="51" t="s">
        <v>61</v>
      </c>
      <c r="E16" s="45"/>
      <c r="F16" s="45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0"/>
  <sheetViews>
    <sheetView zoomScaleSheetLayoutView="60" topLeftCell="A9" workbookViewId="0">
      <selection activeCell="A21" sqref="A21"/>
    </sheetView>
  </sheetViews>
  <sheetFormatPr defaultColWidth="9" defaultRowHeight="14.25"/>
  <cols>
    <col min="1" max="1" width="11.1666666666667" style="41" customWidth="1"/>
    <col min="2" max="2" width="6.66666666666667" style="41" customWidth="1"/>
    <col min="3" max="3" width="3.83333333333333" style="41" customWidth="1"/>
    <col min="4" max="4" width="1.5" style="41" customWidth="1"/>
    <col min="5" max="5" width="18.5" style="41" customWidth="1"/>
    <col min="6" max="6" width="18.1666666666667" style="41" customWidth="1"/>
    <col min="7" max="7" width="13.3333333333333" style="41" customWidth="1"/>
    <col min="8" max="8" width="18.3333333333333" style="41" customWidth="1"/>
    <col min="9" max="9" width="21.3333333333333" style="41" customWidth="1"/>
    <col min="10" max="10" width="15.1666666666667" style="41" customWidth="1"/>
    <col min="11" max="11" width="0.333333333333333" style="41" customWidth="1"/>
    <col min="12" max="12" width="2" style="41" customWidth="1"/>
    <col min="13" max="13" width="10" style="41" customWidth="1"/>
    <col min="14" max="14" width="0.5" style="41" customWidth="1"/>
    <col min="15" max="15" width="12.3333333333333" style="41" customWidth="1"/>
    <col min="16" max="16" width="11.5" style="41" customWidth="1"/>
    <col min="17" max="17" width="10.3333333333333" style="41" customWidth="1"/>
    <col min="18" max="18" width="1.83333333333333" style="41" customWidth="1"/>
    <col min="19" max="19" width="16.3333333333333" style="41" customWidth="1"/>
    <col min="20" max="16384" width="9" style="41"/>
  </cols>
  <sheetData>
    <row r="1" ht="16" customHeight="1" spans="1:19">
      <c r="A1" s="71" t="s">
        <v>62</v>
      </c>
      <c r="B1" s="72">
        <v>45719.6868750001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ht="17" customHeight="1" spans="1:19">
      <c r="A2" s="74" t="s">
        <v>63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ht="14" customHeight="1" spans="1:19">
      <c r="A3" s="76" t="s">
        <v>64</v>
      </c>
      <c r="B3" s="77"/>
      <c r="C3" s="77"/>
      <c r="D3" s="78" t="s">
        <v>65</v>
      </c>
      <c r="E3" s="76" t="s">
        <v>66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ht="14" customHeight="1" spans="1:19">
      <c r="A4" s="76" t="s">
        <v>67</v>
      </c>
      <c r="B4" s="77"/>
      <c r="C4" s="77"/>
      <c r="D4" s="78" t="s">
        <v>65</v>
      </c>
      <c r="E4" s="76" t="s">
        <v>68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ht="14" customHeight="1" spans="1:19">
      <c r="A5" s="48" t="s">
        <v>69</v>
      </c>
      <c r="B5" s="49"/>
      <c r="C5" s="49"/>
      <c r="D5" s="78" t="s">
        <v>65</v>
      </c>
      <c r="E5" s="48" t="s">
        <v>70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ht="14" customHeight="1" spans="1:19">
      <c r="A6" s="76" t="s">
        <v>71</v>
      </c>
      <c r="B6" s="77"/>
      <c r="C6" s="77"/>
      <c r="D6" s="78" t="s">
        <v>65</v>
      </c>
      <c r="E6" s="76" t="s">
        <v>72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ht="14" customHeight="1" spans="1:19">
      <c r="A7" s="76" t="s">
        <v>73</v>
      </c>
      <c r="B7" s="77"/>
      <c r="C7" s="77"/>
      <c r="D7" s="78" t="s">
        <v>65</v>
      </c>
      <c r="E7" s="76" t="s">
        <v>74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ht="14" customHeight="1" spans="1:19">
      <c r="A8" s="76" t="s">
        <v>75</v>
      </c>
      <c r="B8" s="77"/>
      <c r="C8" s="77"/>
      <c r="D8" s="78" t="s">
        <v>65</v>
      </c>
      <c r="E8" s="76" t="s">
        <v>76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</row>
    <row r="9" ht="14" customHeight="1" spans="1:19">
      <c r="A9" s="76" t="s">
        <v>77</v>
      </c>
      <c r="B9" s="77"/>
      <c r="C9" s="77"/>
      <c r="D9" s="78" t="s">
        <v>65</v>
      </c>
      <c r="E9" s="76" t="s">
        <v>78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</row>
    <row r="10" ht="14" customHeight="1" spans="1:19">
      <c r="A10" s="48" t="s">
        <v>79</v>
      </c>
      <c r="B10" s="49"/>
      <c r="C10" s="49"/>
      <c r="D10" s="78" t="s">
        <v>65</v>
      </c>
      <c r="E10" s="48" t="s">
        <v>80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7" customHeight="1" spans="1:19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20" customHeight="1" spans="1:19">
      <c r="A12" s="48" t="s">
        <v>81</v>
      </c>
      <c r="B12" s="48" t="s">
        <v>82</v>
      </c>
      <c r="C12" s="49"/>
      <c r="D12" s="78" t="s">
        <v>49</v>
      </c>
      <c r="E12" s="48" t="s">
        <v>83</v>
      </c>
      <c r="F12" s="48" t="s">
        <v>84</v>
      </c>
      <c r="G12" s="48" t="s">
        <v>85</v>
      </c>
      <c r="H12" s="48" t="s">
        <v>86</v>
      </c>
      <c r="I12" s="48" t="s">
        <v>87</v>
      </c>
      <c r="J12" s="48" t="s">
        <v>88</v>
      </c>
      <c r="K12" s="49"/>
      <c r="L12" s="49"/>
      <c r="M12" s="54" t="s">
        <v>89</v>
      </c>
      <c r="N12" s="56"/>
      <c r="O12" s="58" t="s">
        <v>90</v>
      </c>
      <c r="P12" s="58" t="s">
        <v>91</v>
      </c>
      <c r="Q12" s="58" t="s">
        <v>92</v>
      </c>
      <c r="R12" s="65"/>
      <c r="S12" s="58" t="s">
        <v>93</v>
      </c>
    </row>
    <row r="13" ht="20" customHeight="1" spans="1:19">
      <c r="A13" s="79" t="s">
        <v>94</v>
      </c>
      <c r="B13" s="79" t="s">
        <v>95</v>
      </c>
      <c r="C13" s="80"/>
      <c r="D13" s="79" t="s">
        <v>49</v>
      </c>
      <c r="E13" s="79" t="s">
        <v>96</v>
      </c>
      <c r="F13" s="79" t="s">
        <v>96</v>
      </c>
      <c r="G13" s="79" t="s">
        <v>97</v>
      </c>
      <c r="H13" s="79" t="s">
        <v>97</v>
      </c>
      <c r="I13" s="79" t="s">
        <v>98</v>
      </c>
      <c r="J13" s="79" t="s">
        <v>49</v>
      </c>
      <c r="K13" s="80"/>
      <c r="L13" s="80"/>
      <c r="M13" s="89">
        <v>34272</v>
      </c>
      <c r="N13" s="53"/>
      <c r="O13" s="90">
        <v>0.01</v>
      </c>
      <c r="P13" s="90">
        <v>249.5</v>
      </c>
      <c r="Q13" s="90">
        <v>249.5</v>
      </c>
      <c r="R13" s="53"/>
      <c r="S13" s="90">
        <v>0</v>
      </c>
    </row>
    <row r="14" ht="20" customHeight="1" spans="1:19">
      <c r="A14" s="79" t="s">
        <v>94</v>
      </c>
      <c r="B14" s="79" t="s">
        <v>95</v>
      </c>
      <c r="C14" s="80"/>
      <c r="D14" s="79" t="s">
        <v>49</v>
      </c>
      <c r="E14" s="79" t="s">
        <v>96</v>
      </c>
      <c r="F14" s="79" t="s">
        <v>96</v>
      </c>
      <c r="G14" s="79" t="s">
        <v>97</v>
      </c>
      <c r="H14" s="79" t="s">
        <v>97</v>
      </c>
      <c r="I14" s="79" t="s">
        <v>98</v>
      </c>
      <c r="J14" s="79" t="s">
        <v>49</v>
      </c>
      <c r="K14" s="80"/>
      <c r="L14" s="80"/>
      <c r="M14" s="89">
        <v>144</v>
      </c>
      <c r="N14" s="53"/>
      <c r="O14" s="90">
        <v>0.01</v>
      </c>
      <c r="P14" s="90">
        <v>1.05</v>
      </c>
      <c r="Q14" s="90">
        <v>1.05</v>
      </c>
      <c r="R14" s="53"/>
      <c r="S14" s="90">
        <v>0</v>
      </c>
    </row>
    <row r="15" ht="20" customHeight="1" spans="1:19">
      <c r="A15" s="79" t="s">
        <v>94</v>
      </c>
      <c r="B15" s="79" t="s">
        <v>95</v>
      </c>
      <c r="C15" s="80"/>
      <c r="D15" s="79" t="s">
        <v>49</v>
      </c>
      <c r="E15" s="79" t="s">
        <v>96</v>
      </c>
      <c r="F15" s="79" t="s">
        <v>96</v>
      </c>
      <c r="G15" s="79" t="s">
        <v>97</v>
      </c>
      <c r="H15" s="79" t="s">
        <v>97</v>
      </c>
      <c r="I15" s="79" t="s">
        <v>98</v>
      </c>
      <c r="J15" s="79" t="s">
        <v>49</v>
      </c>
      <c r="K15" s="80"/>
      <c r="L15" s="80"/>
      <c r="M15" s="89">
        <v>4752</v>
      </c>
      <c r="N15" s="53"/>
      <c r="O15" s="90">
        <v>0.01</v>
      </c>
      <c r="P15" s="90">
        <v>34.59</v>
      </c>
      <c r="Q15" s="90">
        <v>34.59</v>
      </c>
      <c r="R15" s="53"/>
      <c r="S15" s="90">
        <v>0</v>
      </c>
    </row>
    <row r="16" ht="20" customHeight="1" spans="1:19">
      <c r="A16" s="61"/>
      <c r="B16" s="61"/>
      <c r="C16" s="81" t="s">
        <v>99</v>
      </c>
      <c r="D16" s="82"/>
      <c r="E16" s="82"/>
      <c r="F16" s="82"/>
      <c r="G16" s="82"/>
      <c r="H16" s="82"/>
      <c r="I16" s="82"/>
      <c r="J16" s="82"/>
      <c r="K16" s="61"/>
      <c r="L16" s="81" t="s">
        <v>100</v>
      </c>
      <c r="M16" s="91">
        <v>39168</v>
      </c>
      <c r="N16" s="92"/>
      <c r="O16" s="93" t="s">
        <v>49</v>
      </c>
      <c r="P16" s="94"/>
      <c r="Q16" s="95">
        <v>285.14</v>
      </c>
      <c r="R16" s="92"/>
      <c r="S16" s="95">
        <v>0</v>
      </c>
    </row>
    <row r="17" ht="19" customHeight="1" spans="1:19">
      <c r="A17" s="76" t="s">
        <v>101</v>
      </c>
      <c r="B17" s="77"/>
      <c r="C17" s="77"/>
      <c r="D17" s="78" t="s">
        <v>102</v>
      </c>
      <c r="E17" s="76" t="s">
        <v>103</v>
      </c>
      <c r="F17" s="77"/>
      <c r="G17" s="77"/>
      <c r="H17" s="77"/>
      <c r="I17" s="77"/>
      <c r="J17" s="77"/>
      <c r="K17" s="77"/>
      <c r="L17" s="77"/>
      <c r="M17" s="77"/>
      <c r="N17" s="61"/>
      <c r="O17" s="61"/>
      <c r="P17" s="61"/>
      <c r="Q17" s="61"/>
      <c r="R17" s="61"/>
      <c r="S17" s="61"/>
    </row>
    <row r="18" ht="19" customHeight="1" spans="1:19">
      <c r="A18" s="61"/>
      <c r="B18" s="61"/>
      <c r="C18" s="61"/>
      <c r="D18" s="78" t="s">
        <v>102</v>
      </c>
      <c r="E18" s="76" t="s">
        <v>104</v>
      </c>
      <c r="F18" s="83">
        <v>5702.8</v>
      </c>
      <c r="G18" s="77"/>
      <c r="H18" s="77"/>
      <c r="I18" s="77"/>
      <c r="J18" s="77"/>
      <c r="K18" s="77"/>
      <c r="L18" s="77"/>
      <c r="M18" s="77"/>
      <c r="N18" s="61"/>
      <c r="O18" s="61"/>
      <c r="P18" s="61"/>
      <c r="Q18" s="61"/>
      <c r="R18" s="61"/>
      <c r="S18" s="61"/>
    </row>
    <row r="19" ht="26" customHeight="1" spans="1:19">
      <c r="A19" s="51" t="s">
        <v>49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61"/>
      <c r="O19" s="61"/>
      <c r="P19" s="61"/>
      <c r="Q19" s="61"/>
      <c r="R19" s="61"/>
      <c r="S19" s="61"/>
    </row>
    <row r="20" ht="25" customHeight="1" spans="1:19">
      <c r="A20" s="84" t="s">
        <v>105</v>
      </c>
      <c r="B20" s="85"/>
      <c r="C20" s="85"/>
      <c r="D20" s="78" t="s">
        <v>102</v>
      </c>
      <c r="E20" s="86" t="s">
        <v>106</v>
      </c>
      <c r="F20" s="87">
        <v>5702.8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61"/>
      <c r="S20" s="61"/>
    </row>
  </sheetData>
  <mergeCells count="4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C16:J16"/>
    <mergeCell ref="M16:N16"/>
    <mergeCell ref="O16:P16"/>
    <mergeCell ref="Q16:R16"/>
    <mergeCell ref="A17:C17"/>
    <mergeCell ref="E17:M17"/>
    <mergeCell ref="F18:M18"/>
    <mergeCell ref="A19:M19"/>
    <mergeCell ref="A20:C20"/>
    <mergeCell ref="F20:Q20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8"/>
  <sheetViews>
    <sheetView zoomScaleSheetLayoutView="60" topLeftCell="A147" workbookViewId="0">
      <selection activeCell="A157" sqref="A157"/>
    </sheetView>
  </sheetViews>
  <sheetFormatPr defaultColWidth="9" defaultRowHeight="14.25"/>
  <cols>
    <col min="1" max="1" width="11.3333333333333" style="41" customWidth="1"/>
    <col min="2" max="2" width="4.5" style="41" customWidth="1"/>
    <col min="3" max="3" width="8.83333333333333" style="41" customWidth="1"/>
    <col min="4" max="4" width="1.66666666666667" style="41" customWidth="1"/>
    <col min="5" max="6" width="11.3333333333333" style="41" customWidth="1"/>
    <col min="7" max="7" width="11.5" style="41" customWidth="1"/>
    <col min="8" max="8" width="16.6666666666667" style="41" customWidth="1"/>
    <col min="9" max="9" width="6" style="41" customWidth="1"/>
    <col min="10" max="10" width="3.66666666666667" style="41" customWidth="1"/>
    <col min="11" max="11" width="8" style="41" customWidth="1"/>
    <col min="12" max="12" width="14.0833333333333" style="41" customWidth="1"/>
    <col min="13" max="13" width="8.33333333333333" style="41" customWidth="1"/>
    <col min="14" max="14" width="9.83333333333333" style="41" customWidth="1"/>
    <col min="15" max="15" width="8.83333333333333" style="41" customWidth="1"/>
    <col min="16" max="16" width="6.33333333333333" style="41" customWidth="1"/>
    <col min="17" max="17" width="3.5" style="41" customWidth="1"/>
    <col min="18" max="18" width="6" style="41" customWidth="1"/>
    <col min="19" max="19" width="10.6666666666667" style="41" customWidth="1"/>
    <col min="20" max="16384" width="9" style="41"/>
  </cols>
  <sheetData>
    <row r="1" ht="16" customHeight="1" spans="1:19">
      <c r="A1" s="42" t="s">
        <v>107</v>
      </c>
      <c r="B1" s="43"/>
      <c r="C1" s="44">
        <v>45719.6868750001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ht="19" customHeight="1" spans="1:19">
      <c r="A2" s="46" t="s">
        <v>108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ht="14" customHeight="1" spans="1:19">
      <c r="A3" s="48" t="s">
        <v>64</v>
      </c>
      <c r="B3" s="49"/>
      <c r="C3" s="49"/>
      <c r="D3" s="50" t="s">
        <v>109</v>
      </c>
      <c r="E3" s="48" t="s">
        <v>66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ht="14" customHeight="1" spans="1:19">
      <c r="A4" s="48" t="s">
        <v>67</v>
      </c>
      <c r="B4" s="49"/>
      <c r="C4" s="49"/>
      <c r="D4" s="50" t="s">
        <v>109</v>
      </c>
      <c r="E4" s="48" t="s">
        <v>68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ht="14" customHeight="1" spans="1:19">
      <c r="A5" s="48" t="s">
        <v>79</v>
      </c>
      <c r="B5" s="49"/>
      <c r="C5" s="49"/>
      <c r="D5" s="50" t="s">
        <v>109</v>
      </c>
      <c r="E5" s="48" t="s">
        <v>80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ht="14" customHeight="1" spans="1:19">
      <c r="A6" s="48" t="s">
        <v>69</v>
      </c>
      <c r="B6" s="49"/>
      <c r="C6" s="49"/>
      <c r="D6" s="50" t="s">
        <v>109</v>
      </c>
      <c r="E6" s="48" t="s">
        <v>110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ht="14" customHeight="1" spans="1:19">
      <c r="A7" s="48" t="s">
        <v>111</v>
      </c>
      <c r="B7" s="49"/>
      <c r="C7" s="49"/>
      <c r="D7" s="50" t="s">
        <v>109</v>
      </c>
      <c r="E7" s="48" t="s">
        <v>112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ht="14" customHeight="1" spans="1:19">
      <c r="A8" s="48" t="s">
        <v>73</v>
      </c>
      <c r="B8" s="49"/>
      <c r="C8" s="49"/>
      <c r="D8" s="50" t="s">
        <v>109</v>
      </c>
      <c r="E8" s="48" t="s">
        <v>74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14" customHeight="1" spans="1:19">
      <c r="A9" s="48" t="s">
        <v>75</v>
      </c>
      <c r="B9" s="49"/>
      <c r="C9" s="49"/>
      <c r="D9" s="50" t="s">
        <v>109</v>
      </c>
      <c r="E9" s="48" t="s">
        <v>76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ht="14" customHeight="1" spans="1:19">
      <c r="A10" s="48" t="s">
        <v>77</v>
      </c>
      <c r="B10" s="49"/>
      <c r="C10" s="49"/>
      <c r="D10" s="50" t="s">
        <v>109</v>
      </c>
      <c r="E10" s="48" t="s">
        <v>78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ht="17" customHeight="1" spans="1:19">
      <c r="A11" s="51" t="s">
        <v>49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14" customHeight="1" spans="1:19">
      <c r="A12" s="48" t="s">
        <v>81</v>
      </c>
      <c r="B12" s="48" t="s">
        <v>82</v>
      </c>
      <c r="C12" s="49"/>
      <c r="D12" s="48" t="s">
        <v>49</v>
      </c>
      <c r="E12" s="48" t="s">
        <v>84</v>
      </c>
      <c r="F12" s="48" t="s">
        <v>85</v>
      </c>
      <c r="G12" s="48" t="s">
        <v>86</v>
      </c>
      <c r="H12" s="48" t="s">
        <v>87</v>
      </c>
      <c r="I12" s="48" t="s">
        <v>88</v>
      </c>
      <c r="J12" s="49"/>
      <c r="K12" s="58" t="s">
        <v>113</v>
      </c>
      <c r="L12" s="58" t="s">
        <v>114</v>
      </c>
      <c r="M12" s="58" t="s">
        <v>115</v>
      </c>
      <c r="N12" s="58" t="s">
        <v>116</v>
      </c>
      <c r="O12" s="58" t="s">
        <v>117</v>
      </c>
      <c r="P12" s="58" t="s">
        <v>90</v>
      </c>
      <c r="Q12" s="58" t="s">
        <v>91</v>
      </c>
      <c r="R12" s="65"/>
      <c r="S12" s="58" t="s">
        <v>118</v>
      </c>
    </row>
    <row r="13" ht="20" customHeight="1" spans="1:19">
      <c r="A13" s="48" t="s">
        <v>94</v>
      </c>
      <c r="B13" s="48" t="s">
        <v>95</v>
      </c>
      <c r="C13" s="49"/>
      <c r="D13" s="48" t="s">
        <v>49</v>
      </c>
      <c r="E13" s="48" t="s">
        <v>96</v>
      </c>
      <c r="F13" s="48" t="s">
        <v>49</v>
      </c>
      <c r="G13" s="48" t="s">
        <v>97</v>
      </c>
      <c r="H13" s="48" t="s">
        <v>98</v>
      </c>
      <c r="I13" s="48" t="s">
        <v>49</v>
      </c>
      <c r="J13" s="49"/>
      <c r="K13" s="59">
        <v>4752</v>
      </c>
      <c r="L13" s="59">
        <v>0</v>
      </c>
      <c r="M13" s="59">
        <v>4752</v>
      </c>
      <c r="N13" s="59">
        <v>0</v>
      </c>
      <c r="O13" s="59">
        <v>4752</v>
      </c>
      <c r="P13" s="60">
        <v>0.01</v>
      </c>
      <c r="Q13" s="66">
        <v>34.59</v>
      </c>
      <c r="R13" s="65"/>
      <c r="S13" s="66">
        <v>34.59</v>
      </c>
    </row>
    <row r="14" ht="20" customHeight="1" spans="1:19">
      <c r="A14" s="48" t="s">
        <v>94</v>
      </c>
      <c r="B14" s="48" t="s">
        <v>95</v>
      </c>
      <c r="C14" s="49"/>
      <c r="D14" s="48" t="s">
        <v>49</v>
      </c>
      <c r="E14" s="48" t="s">
        <v>96</v>
      </c>
      <c r="F14" s="48" t="s">
        <v>49</v>
      </c>
      <c r="G14" s="48" t="s">
        <v>97</v>
      </c>
      <c r="H14" s="48" t="s">
        <v>98</v>
      </c>
      <c r="I14" s="48" t="s">
        <v>49</v>
      </c>
      <c r="J14" s="49"/>
      <c r="K14" s="59">
        <v>144</v>
      </c>
      <c r="L14" s="59">
        <v>0</v>
      </c>
      <c r="M14" s="59">
        <v>144</v>
      </c>
      <c r="N14" s="59">
        <v>0</v>
      </c>
      <c r="O14" s="59">
        <v>144</v>
      </c>
      <c r="P14" s="60">
        <v>0.01</v>
      </c>
      <c r="Q14" s="66">
        <v>1.05</v>
      </c>
      <c r="R14" s="65"/>
      <c r="S14" s="66">
        <v>1.05</v>
      </c>
    </row>
    <row r="15" ht="20" customHeight="1" spans="1:19">
      <c r="A15" s="48" t="s">
        <v>94</v>
      </c>
      <c r="B15" s="48" t="s">
        <v>95</v>
      </c>
      <c r="C15" s="49"/>
      <c r="D15" s="48" t="s">
        <v>49</v>
      </c>
      <c r="E15" s="48" t="s">
        <v>96</v>
      </c>
      <c r="F15" s="48" t="s">
        <v>49</v>
      </c>
      <c r="G15" s="48" t="s">
        <v>97</v>
      </c>
      <c r="H15" s="48" t="s">
        <v>98</v>
      </c>
      <c r="I15" s="48" t="s">
        <v>49</v>
      </c>
      <c r="J15" s="49"/>
      <c r="K15" s="59">
        <v>34272</v>
      </c>
      <c r="L15" s="59">
        <v>0</v>
      </c>
      <c r="M15" s="59">
        <v>34272</v>
      </c>
      <c r="N15" s="59">
        <v>0</v>
      </c>
      <c r="O15" s="59">
        <v>34272</v>
      </c>
      <c r="P15" s="60">
        <v>0.01</v>
      </c>
      <c r="Q15" s="66">
        <v>249.5</v>
      </c>
      <c r="R15" s="65"/>
      <c r="S15" s="66">
        <v>249.5</v>
      </c>
    </row>
    <row r="16" ht="13" customHeight="1" spans="1:19">
      <c r="A16" s="52" t="s">
        <v>119</v>
      </c>
      <c r="B16" s="53"/>
      <c r="C16" s="53"/>
      <c r="D16" s="53"/>
      <c r="E16" s="53"/>
      <c r="F16" s="53"/>
      <c r="G16" s="53"/>
      <c r="H16" s="53"/>
      <c r="I16" s="53"/>
      <c r="J16" s="61"/>
      <c r="K16" s="52" t="s">
        <v>120</v>
      </c>
      <c r="L16" s="62">
        <v>0</v>
      </c>
      <c r="M16" s="63">
        <v>39168</v>
      </c>
      <c r="N16" s="63">
        <v>0</v>
      </c>
      <c r="O16" s="63">
        <v>39168</v>
      </c>
      <c r="P16" s="64" t="s">
        <v>49</v>
      </c>
      <c r="Q16" s="67"/>
      <c r="R16" s="67"/>
      <c r="S16" s="68">
        <v>285.14</v>
      </c>
    </row>
    <row r="17" ht="19" customHeight="1" spans="1:19">
      <c r="A17" s="48" t="s">
        <v>121</v>
      </c>
      <c r="B17" s="49"/>
      <c r="C17" s="49"/>
      <c r="D17" s="54" t="s">
        <v>122</v>
      </c>
      <c r="E17" s="55" t="s">
        <v>123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61"/>
      <c r="S17" s="61"/>
    </row>
    <row r="18" ht="19" customHeight="1" spans="1:19">
      <c r="A18" s="54" t="s">
        <v>122</v>
      </c>
      <c r="B18" s="56"/>
      <c r="C18" s="56"/>
      <c r="D18" s="54" t="s">
        <v>122</v>
      </c>
      <c r="E18" s="54" t="s">
        <v>104</v>
      </c>
      <c r="F18" s="57">
        <v>700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61"/>
      <c r="S18" s="61"/>
    </row>
    <row r="19" ht="12" customHeight="1" spans="1:19">
      <c r="A19" s="51" t="s">
        <v>49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61"/>
      <c r="S19" s="61"/>
    </row>
    <row r="20" ht="14" customHeight="1" spans="1:19">
      <c r="A20" s="48" t="s">
        <v>64</v>
      </c>
      <c r="B20" s="49"/>
      <c r="C20" s="49"/>
      <c r="D20" s="50" t="s">
        <v>109</v>
      </c>
      <c r="E20" s="48" t="s">
        <v>66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ht="14" customHeight="1" spans="1:19">
      <c r="A21" s="48" t="s">
        <v>67</v>
      </c>
      <c r="B21" s="49"/>
      <c r="C21" s="49"/>
      <c r="D21" s="50" t="s">
        <v>109</v>
      </c>
      <c r="E21" s="48" t="s">
        <v>68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ht="14" customHeight="1" spans="1:19">
      <c r="A22" s="48" t="s">
        <v>79</v>
      </c>
      <c r="B22" s="49"/>
      <c r="C22" s="49"/>
      <c r="D22" s="50" t="s">
        <v>109</v>
      </c>
      <c r="E22" s="48" t="s">
        <v>80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ht="14" customHeight="1" spans="1:19">
      <c r="A23" s="48" t="s">
        <v>69</v>
      </c>
      <c r="B23" s="49"/>
      <c r="C23" s="49"/>
      <c r="D23" s="50" t="s">
        <v>109</v>
      </c>
      <c r="E23" s="48" t="s">
        <v>110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4" ht="14" customHeight="1" spans="1:19">
      <c r="A24" s="48" t="s">
        <v>111</v>
      </c>
      <c r="B24" s="49"/>
      <c r="C24" s="49"/>
      <c r="D24" s="50" t="s">
        <v>109</v>
      </c>
      <c r="E24" s="48" t="s">
        <v>124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</row>
    <row r="25" ht="14" customHeight="1" spans="1:19">
      <c r="A25" s="48" t="s">
        <v>73</v>
      </c>
      <c r="B25" s="49"/>
      <c r="C25" s="49"/>
      <c r="D25" s="50" t="s">
        <v>109</v>
      </c>
      <c r="E25" s="48" t="s">
        <v>74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ht="14" customHeight="1" spans="1:19">
      <c r="A26" s="48" t="s">
        <v>75</v>
      </c>
      <c r="B26" s="49"/>
      <c r="C26" s="49"/>
      <c r="D26" s="50" t="s">
        <v>109</v>
      </c>
      <c r="E26" s="48" t="s">
        <v>76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</row>
    <row r="27" ht="14" customHeight="1" spans="1:19">
      <c r="A27" s="48" t="s">
        <v>77</v>
      </c>
      <c r="B27" s="49"/>
      <c r="C27" s="49"/>
      <c r="D27" s="50" t="s">
        <v>109</v>
      </c>
      <c r="E27" s="48" t="s">
        <v>78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ht="17" customHeight="1" spans="1:19">
      <c r="A28" s="51" t="s">
        <v>49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</row>
    <row r="29" ht="14" customHeight="1" spans="1:19">
      <c r="A29" s="48" t="s">
        <v>81</v>
      </c>
      <c r="B29" s="48" t="s">
        <v>82</v>
      </c>
      <c r="C29" s="49"/>
      <c r="D29" s="48" t="s">
        <v>49</v>
      </c>
      <c r="E29" s="48" t="s">
        <v>84</v>
      </c>
      <c r="F29" s="48" t="s">
        <v>85</v>
      </c>
      <c r="G29" s="48" t="s">
        <v>86</v>
      </c>
      <c r="H29" s="48" t="s">
        <v>87</v>
      </c>
      <c r="I29" s="48" t="s">
        <v>88</v>
      </c>
      <c r="J29" s="49"/>
      <c r="K29" s="58" t="s">
        <v>113</v>
      </c>
      <c r="L29" s="58" t="s">
        <v>114</v>
      </c>
      <c r="M29" s="58" t="s">
        <v>115</v>
      </c>
      <c r="N29" s="58" t="s">
        <v>116</v>
      </c>
      <c r="O29" s="58" t="s">
        <v>117</v>
      </c>
      <c r="P29" s="58" t="s">
        <v>90</v>
      </c>
      <c r="Q29" s="58" t="s">
        <v>91</v>
      </c>
      <c r="R29" s="65"/>
      <c r="S29" s="58" t="s">
        <v>118</v>
      </c>
    </row>
    <row r="30" ht="20" customHeight="1" spans="1:19">
      <c r="A30" s="48" t="s">
        <v>94</v>
      </c>
      <c r="B30" s="48" t="s">
        <v>95</v>
      </c>
      <c r="C30" s="49"/>
      <c r="D30" s="48" t="s">
        <v>49</v>
      </c>
      <c r="E30" s="48" t="s">
        <v>96</v>
      </c>
      <c r="F30" s="48" t="s">
        <v>49</v>
      </c>
      <c r="G30" s="48" t="s">
        <v>97</v>
      </c>
      <c r="H30" s="48" t="s">
        <v>98</v>
      </c>
      <c r="I30" s="48" t="s">
        <v>49</v>
      </c>
      <c r="J30" s="49"/>
      <c r="K30" s="59">
        <v>144</v>
      </c>
      <c r="L30" s="59">
        <v>144</v>
      </c>
      <c r="M30" s="59">
        <v>0</v>
      </c>
      <c r="N30" s="59">
        <v>0</v>
      </c>
      <c r="O30" s="59">
        <v>144</v>
      </c>
      <c r="P30" s="60">
        <v>0.01</v>
      </c>
      <c r="Q30" s="66">
        <v>1.05</v>
      </c>
      <c r="R30" s="65"/>
      <c r="S30" s="66">
        <v>1.05</v>
      </c>
    </row>
    <row r="31" ht="20" customHeight="1" spans="1:19">
      <c r="A31" s="48" t="s">
        <v>94</v>
      </c>
      <c r="B31" s="48" t="s">
        <v>95</v>
      </c>
      <c r="C31" s="49"/>
      <c r="D31" s="48" t="s">
        <v>49</v>
      </c>
      <c r="E31" s="48" t="s">
        <v>96</v>
      </c>
      <c r="F31" s="48" t="s">
        <v>49</v>
      </c>
      <c r="G31" s="48" t="s">
        <v>97</v>
      </c>
      <c r="H31" s="48" t="s">
        <v>98</v>
      </c>
      <c r="I31" s="48" t="s">
        <v>49</v>
      </c>
      <c r="J31" s="49"/>
      <c r="K31" s="59">
        <v>34272</v>
      </c>
      <c r="L31" s="59">
        <v>34272</v>
      </c>
      <c r="M31" s="59">
        <v>0</v>
      </c>
      <c r="N31" s="59">
        <v>0</v>
      </c>
      <c r="O31" s="59">
        <v>34272</v>
      </c>
      <c r="P31" s="60">
        <v>0.01</v>
      </c>
      <c r="Q31" s="66">
        <v>249.5</v>
      </c>
      <c r="R31" s="65"/>
      <c r="S31" s="66">
        <v>249.5</v>
      </c>
    </row>
    <row r="32" ht="20" customHeight="1" spans="1:19">
      <c r="A32" s="48" t="s">
        <v>94</v>
      </c>
      <c r="B32" s="48" t="s">
        <v>95</v>
      </c>
      <c r="C32" s="49"/>
      <c r="D32" s="48" t="s">
        <v>49</v>
      </c>
      <c r="E32" s="48" t="s">
        <v>96</v>
      </c>
      <c r="F32" s="48" t="s">
        <v>49</v>
      </c>
      <c r="G32" s="48" t="s">
        <v>97</v>
      </c>
      <c r="H32" s="48" t="s">
        <v>98</v>
      </c>
      <c r="I32" s="48" t="s">
        <v>49</v>
      </c>
      <c r="J32" s="49"/>
      <c r="K32" s="59">
        <v>4752</v>
      </c>
      <c r="L32" s="59">
        <v>4752</v>
      </c>
      <c r="M32" s="59">
        <v>0</v>
      </c>
      <c r="N32" s="59">
        <v>0</v>
      </c>
      <c r="O32" s="59">
        <v>4752</v>
      </c>
      <c r="P32" s="60">
        <v>0.01</v>
      </c>
      <c r="Q32" s="66">
        <v>34.59</v>
      </c>
      <c r="R32" s="65"/>
      <c r="S32" s="66">
        <v>34.59</v>
      </c>
    </row>
    <row r="33" ht="13" customHeight="1" spans="1:19">
      <c r="A33" s="52" t="s">
        <v>119</v>
      </c>
      <c r="B33" s="53"/>
      <c r="C33" s="53"/>
      <c r="D33" s="53"/>
      <c r="E33" s="53"/>
      <c r="F33" s="53"/>
      <c r="G33" s="53"/>
      <c r="H33" s="53"/>
      <c r="I33" s="53"/>
      <c r="J33" s="61"/>
      <c r="K33" s="52" t="s">
        <v>120</v>
      </c>
      <c r="L33" s="62">
        <v>39168</v>
      </c>
      <c r="M33" s="63">
        <v>0</v>
      </c>
      <c r="N33" s="63">
        <v>0</v>
      </c>
      <c r="O33" s="63">
        <v>39168</v>
      </c>
      <c r="P33" s="64" t="s">
        <v>49</v>
      </c>
      <c r="Q33" s="67"/>
      <c r="R33" s="67"/>
      <c r="S33" s="68">
        <v>285.14</v>
      </c>
    </row>
    <row r="34" ht="19" customHeight="1" spans="1:19">
      <c r="A34" s="48" t="s">
        <v>121</v>
      </c>
      <c r="B34" s="49"/>
      <c r="C34" s="49"/>
      <c r="D34" s="54" t="s">
        <v>122</v>
      </c>
      <c r="E34" s="55" t="s">
        <v>123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61"/>
      <c r="S34" s="61"/>
    </row>
    <row r="35" ht="19" customHeight="1" spans="1:19">
      <c r="A35" s="54" t="s">
        <v>122</v>
      </c>
      <c r="B35" s="56"/>
      <c r="C35" s="56"/>
      <c r="D35" s="54" t="s">
        <v>122</v>
      </c>
      <c r="E35" s="54" t="s">
        <v>104</v>
      </c>
      <c r="F35" s="57">
        <v>700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61"/>
      <c r="S35" s="61"/>
    </row>
    <row r="36" ht="12" customHeight="1" spans="1:19">
      <c r="A36" s="51" t="s">
        <v>49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61"/>
      <c r="S36" s="61"/>
    </row>
    <row r="37" ht="14" customHeight="1" spans="1:19">
      <c r="A37" s="48" t="s">
        <v>64</v>
      </c>
      <c r="B37" s="49"/>
      <c r="C37" s="49"/>
      <c r="D37" s="50" t="s">
        <v>109</v>
      </c>
      <c r="E37" s="48" t="s">
        <v>66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ht="14" customHeight="1" spans="1:19">
      <c r="A38" s="48" t="s">
        <v>67</v>
      </c>
      <c r="B38" s="49"/>
      <c r="C38" s="49"/>
      <c r="D38" s="50" t="s">
        <v>109</v>
      </c>
      <c r="E38" s="48" t="s">
        <v>68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ht="14" customHeight="1" spans="1:19">
      <c r="A39" s="48" t="s">
        <v>79</v>
      </c>
      <c r="B39" s="49"/>
      <c r="C39" s="49"/>
      <c r="D39" s="50" t="s">
        <v>109</v>
      </c>
      <c r="E39" s="48" t="s">
        <v>80</v>
      </c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ht="14" customHeight="1" spans="1:19">
      <c r="A40" s="48" t="s">
        <v>69</v>
      </c>
      <c r="B40" s="49"/>
      <c r="C40" s="49"/>
      <c r="D40" s="50" t="s">
        <v>109</v>
      </c>
      <c r="E40" s="48" t="s">
        <v>110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ht="14" customHeight="1" spans="1:19">
      <c r="A41" s="48" t="s">
        <v>111</v>
      </c>
      <c r="B41" s="49"/>
      <c r="C41" s="49"/>
      <c r="D41" s="50" t="s">
        <v>109</v>
      </c>
      <c r="E41" s="48" t="s">
        <v>125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 ht="14" customHeight="1" spans="1:19">
      <c r="A42" s="48" t="s">
        <v>73</v>
      </c>
      <c r="B42" s="49"/>
      <c r="C42" s="49"/>
      <c r="D42" s="50" t="s">
        <v>109</v>
      </c>
      <c r="E42" s="48" t="s">
        <v>74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ht="14" customHeight="1" spans="1:19">
      <c r="A43" s="48" t="s">
        <v>75</v>
      </c>
      <c r="B43" s="49"/>
      <c r="C43" s="49"/>
      <c r="D43" s="50" t="s">
        <v>109</v>
      </c>
      <c r="E43" s="48" t="s">
        <v>76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ht="14" customHeight="1" spans="1:19">
      <c r="A44" s="48" t="s">
        <v>77</v>
      </c>
      <c r="B44" s="49"/>
      <c r="C44" s="49"/>
      <c r="D44" s="50" t="s">
        <v>109</v>
      </c>
      <c r="E44" s="48" t="s">
        <v>78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 ht="17" customHeight="1" spans="1:19">
      <c r="A45" s="51" t="s">
        <v>49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ht="14" customHeight="1" spans="1:19">
      <c r="A46" s="48" t="s">
        <v>81</v>
      </c>
      <c r="B46" s="48" t="s">
        <v>82</v>
      </c>
      <c r="C46" s="49"/>
      <c r="D46" s="48" t="s">
        <v>49</v>
      </c>
      <c r="E46" s="48" t="s">
        <v>84</v>
      </c>
      <c r="F46" s="48" t="s">
        <v>85</v>
      </c>
      <c r="G46" s="48" t="s">
        <v>86</v>
      </c>
      <c r="H46" s="48" t="s">
        <v>87</v>
      </c>
      <c r="I46" s="48" t="s">
        <v>88</v>
      </c>
      <c r="J46" s="49"/>
      <c r="K46" s="58" t="s">
        <v>113</v>
      </c>
      <c r="L46" s="58" t="s">
        <v>114</v>
      </c>
      <c r="M46" s="58" t="s">
        <v>115</v>
      </c>
      <c r="N46" s="58" t="s">
        <v>116</v>
      </c>
      <c r="O46" s="58" t="s">
        <v>117</v>
      </c>
      <c r="P46" s="58" t="s">
        <v>90</v>
      </c>
      <c r="Q46" s="58" t="s">
        <v>91</v>
      </c>
      <c r="R46" s="65"/>
      <c r="S46" s="58" t="s">
        <v>118</v>
      </c>
    </row>
    <row r="47" ht="20" customHeight="1" spans="1:19">
      <c r="A47" s="48" t="s">
        <v>94</v>
      </c>
      <c r="B47" s="48" t="s">
        <v>95</v>
      </c>
      <c r="C47" s="49"/>
      <c r="D47" s="48" t="s">
        <v>49</v>
      </c>
      <c r="E47" s="48" t="s">
        <v>96</v>
      </c>
      <c r="F47" s="48" t="s">
        <v>49</v>
      </c>
      <c r="G47" s="48" t="s">
        <v>97</v>
      </c>
      <c r="H47" s="48" t="s">
        <v>98</v>
      </c>
      <c r="I47" s="48" t="s">
        <v>49</v>
      </c>
      <c r="J47" s="49"/>
      <c r="K47" s="59">
        <v>144</v>
      </c>
      <c r="L47" s="59">
        <v>144</v>
      </c>
      <c r="M47" s="59">
        <v>0</v>
      </c>
      <c r="N47" s="59">
        <v>0</v>
      </c>
      <c r="O47" s="59">
        <v>144</v>
      </c>
      <c r="P47" s="60">
        <v>0.01</v>
      </c>
      <c r="Q47" s="66">
        <v>1.05</v>
      </c>
      <c r="R47" s="65"/>
      <c r="S47" s="66">
        <v>1.05</v>
      </c>
    </row>
    <row r="48" ht="20" customHeight="1" spans="1:19">
      <c r="A48" s="48" t="s">
        <v>94</v>
      </c>
      <c r="B48" s="48" t="s">
        <v>95</v>
      </c>
      <c r="C48" s="49"/>
      <c r="D48" s="48" t="s">
        <v>49</v>
      </c>
      <c r="E48" s="48" t="s">
        <v>96</v>
      </c>
      <c r="F48" s="48" t="s">
        <v>49</v>
      </c>
      <c r="G48" s="48" t="s">
        <v>97</v>
      </c>
      <c r="H48" s="48" t="s">
        <v>98</v>
      </c>
      <c r="I48" s="48" t="s">
        <v>49</v>
      </c>
      <c r="J48" s="49"/>
      <c r="K48" s="59">
        <v>4752</v>
      </c>
      <c r="L48" s="59">
        <v>4752</v>
      </c>
      <c r="M48" s="59">
        <v>0</v>
      </c>
      <c r="N48" s="59">
        <v>0</v>
      </c>
      <c r="O48" s="59">
        <v>4752</v>
      </c>
      <c r="P48" s="60">
        <v>0.01</v>
      </c>
      <c r="Q48" s="66">
        <v>34.59</v>
      </c>
      <c r="R48" s="65"/>
      <c r="S48" s="66">
        <v>34.59</v>
      </c>
    </row>
    <row r="49" ht="20" customHeight="1" spans="1:19">
      <c r="A49" s="48" t="s">
        <v>94</v>
      </c>
      <c r="B49" s="48" t="s">
        <v>95</v>
      </c>
      <c r="C49" s="49"/>
      <c r="D49" s="48" t="s">
        <v>49</v>
      </c>
      <c r="E49" s="48" t="s">
        <v>96</v>
      </c>
      <c r="F49" s="48" t="s">
        <v>49</v>
      </c>
      <c r="G49" s="48" t="s">
        <v>97</v>
      </c>
      <c r="H49" s="48" t="s">
        <v>98</v>
      </c>
      <c r="I49" s="48" t="s">
        <v>49</v>
      </c>
      <c r="J49" s="49"/>
      <c r="K49" s="59">
        <v>34272</v>
      </c>
      <c r="L49" s="59">
        <v>34272</v>
      </c>
      <c r="M49" s="59">
        <v>0</v>
      </c>
      <c r="N49" s="59">
        <v>0</v>
      </c>
      <c r="O49" s="59">
        <v>34272</v>
      </c>
      <c r="P49" s="60">
        <v>0.01</v>
      </c>
      <c r="Q49" s="66">
        <v>249.5</v>
      </c>
      <c r="R49" s="65"/>
      <c r="S49" s="66">
        <v>249.5</v>
      </c>
    </row>
    <row r="50" ht="13" customHeight="1" spans="1:19">
      <c r="A50" s="52" t="s">
        <v>119</v>
      </c>
      <c r="B50" s="53"/>
      <c r="C50" s="53"/>
      <c r="D50" s="53"/>
      <c r="E50" s="53"/>
      <c r="F50" s="53"/>
      <c r="G50" s="53"/>
      <c r="H50" s="53"/>
      <c r="I50" s="53"/>
      <c r="J50" s="61"/>
      <c r="K50" s="52" t="s">
        <v>120</v>
      </c>
      <c r="L50" s="62">
        <v>39168</v>
      </c>
      <c r="M50" s="63">
        <v>0</v>
      </c>
      <c r="N50" s="63">
        <v>0</v>
      </c>
      <c r="O50" s="63">
        <v>39168</v>
      </c>
      <c r="P50" s="64" t="s">
        <v>49</v>
      </c>
      <c r="Q50" s="67"/>
      <c r="R50" s="67"/>
      <c r="S50" s="68">
        <v>285.14</v>
      </c>
    </row>
    <row r="51" ht="19" customHeight="1" spans="1:19">
      <c r="A51" s="48" t="s">
        <v>121</v>
      </c>
      <c r="B51" s="49"/>
      <c r="C51" s="49"/>
      <c r="D51" s="54" t="s">
        <v>122</v>
      </c>
      <c r="E51" s="55" t="s">
        <v>123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61"/>
      <c r="S51" s="61"/>
    </row>
    <row r="52" ht="19" customHeight="1" spans="1:19">
      <c r="A52" s="54" t="s">
        <v>122</v>
      </c>
      <c r="B52" s="56"/>
      <c r="C52" s="56"/>
      <c r="D52" s="54" t="s">
        <v>122</v>
      </c>
      <c r="E52" s="54" t="s">
        <v>104</v>
      </c>
      <c r="F52" s="57">
        <v>700</v>
      </c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61"/>
      <c r="S52" s="61"/>
    </row>
    <row r="53" ht="12" customHeight="1" spans="1:19">
      <c r="A53" s="51" t="s">
        <v>49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61"/>
      <c r="S53" s="61"/>
    </row>
    <row r="54" ht="14" customHeight="1" spans="1:19">
      <c r="A54" s="48" t="s">
        <v>64</v>
      </c>
      <c r="B54" s="49"/>
      <c r="C54" s="49"/>
      <c r="D54" s="50" t="s">
        <v>109</v>
      </c>
      <c r="E54" s="48" t="s">
        <v>66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 ht="14" customHeight="1" spans="1:19">
      <c r="A55" s="48" t="s">
        <v>67</v>
      </c>
      <c r="B55" s="49"/>
      <c r="C55" s="49"/>
      <c r="D55" s="50" t="s">
        <v>109</v>
      </c>
      <c r="E55" s="48" t="s">
        <v>68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 ht="14" customHeight="1" spans="1:19">
      <c r="A56" s="48" t="s">
        <v>79</v>
      </c>
      <c r="B56" s="49"/>
      <c r="C56" s="49"/>
      <c r="D56" s="50" t="s">
        <v>109</v>
      </c>
      <c r="E56" s="48" t="s">
        <v>80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 ht="14" customHeight="1" spans="1:19">
      <c r="A57" s="48" t="s">
        <v>69</v>
      </c>
      <c r="B57" s="49"/>
      <c r="C57" s="49"/>
      <c r="D57" s="50" t="s">
        <v>109</v>
      </c>
      <c r="E57" s="48" t="s">
        <v>110</v>
      </c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 ht="14" customHeight="1" spans="1:19">
      <c r="A58" s="48" t="s">
        <v>111</v>
      </c>
      <c r="B58" s="49"/>
      <c r="C58" s="49"/>
      <c r="D58" s="50" t="s">
        <v>109</v>
      </c>
      <c r="E58" s="48" t="s">
        <v>126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 ht="14" customHeight="1" spans="1:19">
      <c r="A59" s="48" t="s">
        <v>73</v>
      </c>
      <c r="B59" s="49"/>
      <c r="C59" s="49"/>
      <c r="D59" s="50" t="s">
        <v>109</v>
      </c>
      <c r="E59" s="48" t="s">
        <v>74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 ht="14" customHeight="1" spans="1:19">
      <c r="A60" s="48" t="s">
        <v>75</v>
      </c>
      <c r="B60" s="49"/>
      <c r="C60" s="49"/>
      <c r="D60" s="50" t="s">
        <v>109</v>
      </c>
      <c r="E60" s="48" t="s">
        <v>76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 ht="14" customHeight="1" spans="1:19">
      <c r="A61" s="48" t="s">
        <v>77</v>
      </c>
      <c r="B61" s="49"/>
      <c r="C61" s="49"/>
      <c r="D61" s="50" t="s">
        <v>109</v>
      </c>
      <c r="E61" s="48" t="s">
        <v>78</v>
      </c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</row>
    <row r="62" ht="17" customHeight="1" spans="1:19">
      <c r="A62" s="51" t="s">
        <v>49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</row>
    <row r="63" ht="14" customHeight="1" spans="1:19">
      <c r="A63" s="48" t="s">
        <v>81</v>
      </c>
      <c r="B63" s="48" t="s">
        <v>82</v>
      </c>
      <c r="C63" s="49"/>
      <c r="D63" s="48" t="s">
        <v>49</v>
      </c>
      <c r="E63" s="48" t="s">
        <v>84</v>
      </c>
      <c r="F63" s="48" t="s">
        <v>85</v>
      </c>
      <c r="G63" s="48" t="s">
        <v>86</v>
      </c>
      <c r="H63" s="48" t="s">
        <v>87</v>
      </c>
      <c r="I63" s="48" t="s">
        <v>88</v>
      </c>
      <c r="J63" s="49"/>
      <c r="K63" s="58" t="s">
        <v>113</v>
      </c>
      <c r="L63" s="58" t="s">
        <v>114</v>
      </c>
      <c r="M63" s="58" t="s">
        <v>115</v>
      </c>
      <c r="N63" s="58" t="s">
        <v>116</v>
      </c>
      <c r="O63" s="58" t="s">
        <v>117</v>
      </c>
      <c r="P63" s="58" t="s">
        <v>90</v>
      </c>
      <c r="Q63" s="58" t="s">
        <v>91</v>
      </c>
      <c r="R63" s="65"/>
      <c r="S63" s="58" t="s">
        <v>118</v>
      </c>
    </row>
    <row r="64" ht="20" customHeight="1" spans="1:19">
      <c r="A64" s="48" t="s">
        <v>94</v>
      </c>
      <c r="B64" s="48" t="s">
        <v>95</v>
      </c>
      <c r="C64" s="49"/>
      <c r="D64" s="48" t="s">
        <v>49</v>
      </c>
      <c r="E64" s="48" t="s">
        <v>96</v>
      </c>
      <c r="F64" s="48" t="s">
        <v>49</v>
      </c>
      <c r="G64" s="48" t="s">
        <v>97</v>
      </c>
      <c r="H64" s="48" t="s">
        <v>98</v>
      </c>
      <c r="I64" s="48" t="s">
        <v>49</v>
      </c>
      <c r="J64" s="49"/>
      <c r="K64" s="59">
        <v>34272</v>
      </c>
      <c r="L64" s="59">
        <v>34272</v>
      </c>
      <c r="M64" s="59">
        <v>0</v>
      </c>
      <c r="N64" s="59">
        <v>0</v>
      </c>
      <c r="O64" s="59">
        <v>34272</v>
      </c>
      <c r="P64" s="60">
        <v>0.01</v>
      </c>
      <c r="Q64" s="66">
        <v>249.5</v>
      </c>
      <c r="R64" s="65"/>
      <c r="S64" s="66">
        <v>249.5</v>
      </c>
    </row>
    <row r="65" ht="20" customHeight="1" spans="1:19">
      <c r="A65" s="48" t="s">
        <v>94</v>
      </c>
      <c r="B65" s="48" t="s">
        <v>95</v>
      </c>
      <c r="C65" s="49"/>
      <c r="D65" s="48" t="s">
        <v>49</v>
      </c>
      <c r="E65" s="48" t="s">
        <v>96</v>
      </c>
      <c r="F65" s="48" t="s">
        <v>49</v>
      </c>
      <c r="G65" s="48" t="s">
        <v>97</v>
      </c>
      <c r="H65" s="48" t="s">
        <v>98</v>
      </c>
      <c r="I65" s="48" t="s">
        <v>49</v>
      </c>
      <c r="J65" s="49"/>
      <c r="K65" s="59">
        <v>4752</v>
      </c>
      <c r="L65" s="59">
        <v>4752</v>
      </c>
      <c r="M65" s="59">
        <v>0</v>
      </c>
      <c r="N65" s="59">
        <v>0</v>
      </c>
      <c r="O65" s="59">
        <v>4752</v>
      </c>
      <c r="P65" s="60">
        <v>0.01</v>
      </c>
      <c r="Q65" s="66">
        <v>34.59</v>
      </c>
      <c r="R65" s="65"/>
      <c r="S65" s="66">
        <v>34.59</v>
      </c>
    </row>
    <row r="66" ht="20" customHeight="1" spans="1:19">
      <c r="A66" s="48" t="s">
        <v>94</v>
      </c>
      <c r="B66" s="48" t="s">
        <v>95</v>
      </c>
      <c r="C66" s="49"/>
      <c r="D66" s="48" t="s">
        <v>49</v>
      </c>
      <c r="E66" s="48" t="s">
        <v>96</v>
      </c>
      <c r="F66" s="48" t="s">
        <v>49</v>
      </c>
      <c r="G66" s="48" t="s">
        <v>97</v>
      </c>
      <c r="H66" s="48" t="s">
        <v>98</v>
      </c>
      <c r="I66" s="48" t="s">
        <v>49</v>
      </c>
      <c r="J66" s="49"/>
      <c r="K66" s="59">
        <v>144</v>
      </c>
      <c r="L66" s="59">
        <v>144</v>
      </c>
      <c r="M66" s="59">
        <v>0</v>
      </c>
      <c r="N66" s="59">
        <v>0</v>
      </c>
      <c r="O66" s="59">
        <v>144</v>
      </c>
      <c r="P66" s="60">
        <v>0.01</v>
      </c>
      <c r="Q66" s="66">
        <v>1.05</v>
      </c>
      <c r="R66" s="65"/>
      <c r="S66" s="66">
        <v>1.05</v>
      </c>
    </row>
    <row r="67" ht="13" customHeight="1" spans="1:19">
      <c r="A67" s="52" t="s">
        <v>119</v>
      </c>
      <c r="B67" s="53"/>
      <c r="C67" s="53"/>
      <c r="D67" s="53"/>
      <c r="E67" s="53"/>
      <c r="F67" s="53"/>
      <c r="G67" s="53"/>
      <c r="H67" s="53"/>
      <c r="I67" s="53"/>
      <c r="J67" s="61"/>
      <c r="K67" s="52" t="s">
        <v>120</v>
      </c>
      <c r="L67" s="62">
        <v>39168</v>
      </c>
      <c r="M67" s="63">
        <v>0</v>
      </c>
      <c r="N67" s="63">
        <v>0</v>
      </c>
      <c r="O67" s="63">
        <v>39168</v>
      </c>
      <c r="P67" s="64" t="s">
        <v>49</v>
      </c>
      <c r="Q67" s="67"/>
      <c r="R67" s="67"/>
      <c r="S67" s="68">
        <v>285.14</v>
      </c>
    </row>
    <row r="68" ht="19" customHeight="1" spans="1:19">
      <c r="A68" s="48" t="s">
        <v>121</v>
      </c>
      <c r="B68" s="49"/>
      <c r="C68" s="49"/>
      <c r="D68" s="54" t="s">
        <v>122</v>
      </c>
      <c r="E68" s="55" t="s">
        <v>123</v>
      </c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61"/>
      <c r="S68" s="61"/>
    </row>
    <row r="69" ht="19" customHeight="1" spans="1:19">
      <c r="A69" s="54" t="s">
        <v>122</v>
      </c>
      <c r="B69" s="56"/>
      <c r="C69" s="56"/>
      <c r="D69" s="54" t="s">
        <v>122</v>
      </c>
      <c r="E69" s="54" t="s">
        <v>104</v>
      </c>
      <c r="F69" s="57">
        <v>700</v>
      </c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61"/>
      <c r="S69" s="61"/>
    </row>
    <row r="70" ht="12" customHeight="1" spans="1:19">
      <c r="A70" s="51" t="s">
        <v>49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61"/>
      <c r="S70" s="61"/>
    </row>
    <row r="71" ht="14" customHeight="1" spans="1:19">
      <c r="A71" s="48" t="s">
        <v>64</v>
      </c>
      <c r="B71" s="49"/>
      <c r="C71" s="49"/>
      <c r="D71" s="50" t="s">
        <v>109</v>
      </c>
      <c r="E71" s="48" t="s">
        <v>66</v>
      </c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</row>
    <row r="72" ht="14" customHeight="1" spans="1:19">
      <c r="A72" s="48" t="s">
        <v>67</v>
      </c>
      <c r="B72" s="49"/>
      <c r="C72" s="49"/>
      <c r="D72" s="50" t="s">
        <v>109</v>
      </c>
      <c r="E72" s="48" t="s">
        <v>68</v>
      </c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</row>
    <row r="73" ht="14" customHeight="1" spans="1:19">
      <c r="A73" s="48" t="s">
        <v>79</v>
      </c>
      <c r="B73" s="49"/>
      <c r="C73" s="49"/>
      <c r="D73" s="50" t="s">
        <v>109</v>
      </c>
      <c r="E73" s="48" t="s">
        <v>80</v>
      </c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</row>
    <row r="74" ht="14" customHeight="1" spans="1:19">
      <c r="A74" s="48" t="s">
        <v>69</v>
      </c>
      <c r="B74" s="49"/>
      <c r="C74" s="49"/>
      <c r="D74" s="50" t="s">
        <v>109</v>
      </c>
      <c r="E74" s="48" t="s">
        <v>110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</row>
    <row r="75" ht="14" customHeight="1" spans="1:19">
      <c r="A75" s="48" t="s">
        <v>111</v>
      </c>
      <c r="B75" s="49"/>
      <c r="C75" s="49"/>
      <c r="D75" s="50" t="s">
        <v>109</v>
      </c>
      <c r="E75" s="48" t="s">
        <v>127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</row>
    <row r="76" ht="14" customHeight="1" spans="1:19">
      <c r="A76" s="48" t="s">
        <v>73</v>
      </c>
      <c r="B76" s="49"/>
      <c r="C76" s="49"/>
      <c r="D76" s="50" t="s">
        <v>109</v>
      </c>
      <c r="E76" s="48" t="s">
        <v>74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</row>
    <row r="77" ht="14" customHeight="1" spans="1:19">
      <c r="A77" s="48" t="s">
        <v>75</v>
      </c>
      <c r="B77" s="49"/>
      <c r="C77" s="49"/>
      <c r="D77" s="50" t="s">
        <v>109</v>
      </c>
      <c r="E77" s="48" t="s">
        <v>76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</row>
    <row r="78" ht="14" customHeight="1" spans="1:19">
      <c r="A78" s="48" t="s">
        <v>77</v>
      </c>
      <c r="B78" s="49"/>
      <c r="C78" s="49"/>
      <c r="D78" s="50" t="s">
        <v>109</v>
      </c>
      <c r="E78" s="48" t="s">
        <v>78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</row>
    <row r="79" ht="17" customHeight="1" spans="1:19">
      <c r="A79" s="51" t="s">
        <v>49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</row>
    <row r="80" ht="14" customHeight="1" spans="1:19">
      <c r="A80" s="48" t="s">
        <v>81</v>
      </c>
      <c r="B80" s="48" t="s">
        <v>82</v>
      </c>
      <c r="C80" s="49"/>
      <c r="D80" s="48" t="s">
        <v>49</v>
      </c>
      <c r="E80" s="48" t="s">
        <v>84</v>
      </c>
      <c r="F80" s="48" t="s">
        <v>85</v>
      </c>
      <c r="G80" s="48" t="s">
        <v>86</v>
      </c>
      <c r="H80" s="48" t="s">
        <v>87</v>
      </c>
      <c r="I80" s="48" t="s">
        <v>88</v>
      </c>
      <c r="J80" s="49"/>
      <c r="K80" s="58" t="s">
        <v>113</v>
      </c>
      <c r="L80" s="58" t="s">
        <v>114</v>
      </c>
      <c r="M80" s="58" t="s">
        <v>115</v>
      </c>
      <c r="N80" s="58" t="s">
        <v>116</v>
      </c>
      <c r="O80" s="58" t="s">
        <v>117</v>
      </c>
      <c r="P80" s="58" t="s">
        <v>90</v>
      </c>
      <c r="Q80" s="58" t="s">
        <v>91</v>
      </c>
      <c r="R80" s="65"/>
      <c r="S80" s="58" t="s">
        <v>118</v>
      </c>
    </row>
    <row r="81" ht="20" customHeight="1" spans="1:19">
      <c r="A81" s="48" t="s">
        <v>94</v>
      </c>
      <c r="B81" s="48" t="s">
        <v>95</v>
      </c>
      <c r="C81" s="49"/>
      <c r="D81" s="48" t="s">
        <v>49</v>
      </c>
      <c r="E81" s="48" t="s">
        <v>96</v>
      </c>
      <c r="F81" s="48" t="s">
        <v>49</v>
      </c>
      <c r="G81" s="48" t="s">
        <v>97</v>
      </c>
      <c r="H81" s="48" t="s">
        <v>98</v>
      </c>
      <c r="I81" s="48" t="s">
        <v>49</v>
      </c>
      <c r="J81" s="49"/>
      <c r="K81" s="59">
        <v>4752</v>
      </c>
      <c r="L81" s="59">
        <v>4752</v>
      </c>
      <c r="M81" s="59">
        <v>0</v>
      </c>
      <c r="N81" s="59">
        <v>0</v>
      </c>
      <c r="O81" s="59">
        <v>4752</v>
      </c>
      <c r="P81" s="60">
        <v>0.01</v>
      </c>
      <c r="Q81" s="66">
        <v>34.59</v>
      </c>
      <c r="R81" s="65"/>
      <c r="S81" s="66">
        <v>34.59</v>
      </c>
    </row>
    <row r="82" ht="20" customHeight="1" spans="1:19">
      <c r="A82" s="48" t="s">
        <v>94</v>
      </c>
      <c r="B82" s="48" t="s">
        <v>95</v>
      </c>
      <c r="C82" s="49"/>
      <c r="D82" s="48" t="s">
        <v>49</v>
      </c>
      <c r="E82" s="48" t="s">
        <v>96</v>
      </c>
      <c r="F82" s="48" t="s">
        <v>49</v>
      </c>
      <c r="G82" s="48" t="s">
        <v>97</v>
      </c>
      <c r="H82" s="48" t="s">
        <v>98</v>
      </c>
      <c r="I82" s="48" t="s">
        <v>49</v>
      </c>
      <c r="J82" s="49"/>
      <c r="K82" s="59">
        <v>34272</v>
      </c>
      <c r="L82" s="59">
        <v>34272</v>
      </c>
      <c r="M82" s="59">
        <v>0</v>
      </c>
      <c r="N82" s="59">
        <v>0</v>
      </c>
      <c r="O82" s="59">
        <v>34272</v>
      </c>
      <c r="P82" s="60">
        <v>0.01</v>
      </c>
      <c r="Q82" s="66">
        <v>249.5</v>
      </c>
      <c r="R82" s="65"/>
      <c r="S82" s="66">
        <v>249.5</v>
      </c>
    </row>
    <row r="83" ht="20" customHeight="1" spans="1:19">
      <c r="A83" s="48" t="s">
        <v>94</v>
      </c>
      <c r="B83" s="48" t="s">
        <v>95</v>
      </c>
      <c r="C83" s="49"/>
      <c r="D83" s="48" t="s">
        <v>49</v>
      </c>
      <c r="E83" s="48" t="s">
        <v>96</v>
      </c>
      <c r="F83" s="48" t="s">
        <v>49</v>
      </c>
      <c r="G83" s="48" t="s">
        <v>97</v>
      </c>
      <c r="H83" s="48" t="s">
        <v>98</v>
      </c>
      <c r="I83" s="48" t="s">
        <v>49</v>
      </c>
      <c r="J83" s="49"/>
      <c r="K83" s="59">
        <v>144</v>
      </c>
      <c r="L83" s="59">
        <v>144</v>
      </c>
      <c r="M83" s="59">
        <v>0</v>
      </c>
      <c r="N83" s="59">
        <v>0</v>
      </c>
      <c r="O83" s="59">
        <v>144</v>
      </c>
      <c r="P83" s="60">
        <v>0.01</v>
      </c>
      <c r="Q83" s="66">
        <v>1.05</v>
      </c>
      <c r="R83" s="65"/>
      <c r="S83" s="66">
        <v>1.05</v>
      </c>
    </row>
    <row r="84" ht="13" customHeight="1" spans="1:19">
      <c r="A84" s="52" t="s">
        <v>119</v>
      </c>
      <c r="B84" s="53"/>
      <c r="C84" s="53"/>
      <c r="D84" s="53"/>
      <c r="E84" s="53"/>
      <c r="F84" s="53"/>
      <c r="G84" s="53"/>
      <c r="H84" s="53"/>
      <c r="I84" s="53"/>
      <c r="J84" s="61"/>
      <c r="K84" s="52" t="s">
        <v>120</v>
      </c>
      <c r="L84" s="62">
        <v>39168</v>
      </c>
      <c r="M84" s="63">
        <v>0</v>
      </c>
      <c r="N84" s="63">
        <v>0</v>
      </c>
      <c r="O84" s="63">
        <v>39168</v>
      </c>
      <c r="P84" s="64" t="s">
        <v>49</v>
      </c>
      <c r="Q84" s="67"/>
      <c r="R84" s="67"/>
      <c r="S84" s="68">
        <v>285.14</v>
      </c>
    </row>
    <row r="85" ht="19" customHeight="1" spans="1:19">
      <c r="A85" s="48" t="s">
        <v>121</v>
      </c>
      <c r="B85" s="49"/>
      <c r="C85" s="49"/>
      <c r="D85" s="54" t="s">
        <v>122</v>
      </c>
      <c r="E85" s="55" t="s">
        <v>123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61"/>
      <c r="S85" s="61"/>
    </row>
    <row r="86" ht="19" customHeight="1" spans="1:19">
      <c r="A86" s="54" t="s">
        <v>122</v>
      </c>
      <c r="B86" s="56"/>
      <c r="C86" s="56"/>
      <c r="D86" s="54" t="s">
        <v>122</v>
      </c>
      <c r="E86" s="54" t="s">
        <v>104</v>
      </c>
      <c r="F86" s="57">
        <v>700</v>
      </c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61"/>
      <c r="S86" s="61"/>
    </row>
    <row r="87" ht="12" customHeight="1" spans="1:19">
      <c r="A87" s="51" t="s">
        <v>49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61"/>
      <c r="S87" s="61"/>
    </row>
    <row r="88" ht="14" customHeight="1" spans="1:19">
      <c r="A88" s="48" t="s">
        <v>64</v>
      </c>
      <c r="B88" s="49"/>
      <c r="C88" s="49"/>
      <c r="D88" s="50" t="s">
        <v>109</v>
      </c>
      <c r="E88" s="48" t="s">
        <v>66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ht="14" customHeight="1" spans="1:19">
      <c r="A89" s="48" t="s">
        <v>67</v>
      </c>
      <c r="B89" s="49"/>
      <c r="C89" s="49"/>
      <c r="D89" s="50" t="s">
        <v>109</v>
      </c>
      <c r="E89" s="48" t="s">
        <v>68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ht="14" customHeight="1" spans="1:19">
      <c r="A90" s="48" t="s">
        <v>79</v>
      </c>
      <c r="B90" s="49"/>
      <c r="C90" s="49"/>
      <c r="D90" s="50" t="s">
        <v>109</v>
      </c>
      <c r="E90" s="48" t="s">
        <v>80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ht="14" customHeight="1" spans="1:19">
      <c r="A91" s="48" t="s">
        <v>69</v>
      </c>
      <c r="B91" s="49"/>
      <c r="C91" s="49"/>
      <c r="D91" s="50" t="s">
        <v>109</v>
      </c>
      <c r="E91" s="48" t="s">
        <v>110</v>
      </c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ht="14" customHeight="1" spans="1:19">
      <c r="A92" s="48" t="s">
        <v>111</v>
      </c>
      <c r="B92" s="49"/>
      <c r="C92" s="49"/>
      <c r="D92" s="50" t="s">
        <v>109</v>
      </c>
      <c r="E92" s="48" t="s">
        <v>128</v>
      </c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ht="14" customHeight="1" spans="1:19">
      <c r="A93" s="48" t="s">
        <v>73</v>
      </c>
      <c r="B93" s="49"/>
      <c r="C93" s="49"/>
      <c r="D93" s="50" t="s">
        <v>109</v>
      </c>
      <c r="E93" s="48" t="s">
        <v>74</v>
      </c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ht="14" customHeight="1" spans="1:19">
      <c r="A94" s="48" t="s">
        <v>75</v>
      </c>
      <c r="B94" s="49"/>
      <c r="C94" s="49"/>
      <c r="D94" s="50" t="s">
        <v>109</v>
      </c>
      <c r="E94" s="48" t="s">
        <v>76</v>
      </c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ht="14" customHeight="1" spans="1:19">
      <c r="A95" s="48" t="s">
        <v>77</v>
      </c>
      <c r="B95" s="49"/>
      <c r="C95" s="49"/>
      <c r="D95" s="50" t="s">
        <v>109</v>
      </c>
      <c r="E95" s="48" t="s">
        <v>78</v>
      </c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ht="17" customHeight="1" spans="1:19">
      <c r="A96" s="51" t="s">
        <v>49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</row>
    <row r="97" ht="14" customHeight="1" spans="1:19">
      <c r="A97" s="48" t="s">
        <v>81</v>
      </c>
      <c r="B97" s="48" t="s">
        <v>82</v>
      </c>
      <c r="C97" s="49"/>
      <c r="D97" s="48" t="s">
        <v>49</v>
      </c>
      <c r="E97" s="48" t="s">
        <v>84</v>
      </c>
      <c r="F97" s="48" t="s">
        <v>85</v>
      </c>
      <c r="G97" s="48" t="s">
        <v>86</v>
      </c>
      <c r="H97" s="48" t="s">
        <v>87</v>
      </c>
      <c r="I97" s="48" t="s">
        <v>88</v>
      </c>
      <c r="J97" s="49"/>
      <c r="K97" s="58" t="s">
        <v>113</v>
      </c>
      <c r="L97" s="58" t="s">
        <v>114</v>
      </c>
      <c r="M97" s="58" t="s">
        <v>115</v>
      </c>
      <c r="N97" s="58" t="s">
        <v>116</v>
      </c>
      <c r="O97" s="58" t="s">
        <v>117</v>
      </c>
      <c r="P97" s="58" t="s">
        <v>90</v>
      </c>
      <c r="Q97" s="58" t="s">
        <v>91</v>
      </c>
      <c r="R97" s="65"/>
      <c r="S97" s="58" t="s">
        <v>118</v>
      </c>
    </row>
    <row r="98" ht="20" customHeight="1" spans="1:19">
      <c r="A98" s="48" t="s">
        <v>94</v>
      </c>
      <c r="B98" s="48" t="s">
        <v>95</v>
      </c>
      <c r="C98" s="49"/>
      <c r="D98" s="48" t="s">
        <v>49</v>
      </c>
      <c r="E98" s="48" t="s">
        <v>96</v>
      </c>
      <c r="F98" s="48" t="s">
        <v>49</v>
      </c>
      <c r="G98" s="48" t="s">
        <v>97</v>
      </c>
      <c r="H98" s="48" t="s">
        <v>98</v>
      </c>
      <c r="I98" s="48" t="s">
        <v>49</v>
      </c>
      <c r="J98" s="49"/>
      <c r="K98" s="59">
        <v>34272</v>
      </c>
      <c r="L98" s="59">
        <v>34272</v>
      </c>
      <c r="M98" s="59">
        <v>0</v>
      </c>
      <c r="N98" s="59">
        <v>0</v>
      </c>
      <c r="O98" s="59">
        <v>34272</v>
      </c>
      <c r="P98" s="60">
        <v>0.01</v>
      </c>
      <c r="Q98" s="66">
        <v>249.5</v>
      </c>
      <c r="R98" s="65"/>
      <c r="S98" s="66">
        <v>249.5</v>
      </c>
    </row>
    <row r="99" ht="20" customHeight="1" spans="1:19">
      <c r="A99" s="48" t="s">
        <v>94</v>
      </c>
      <c r="B99" s="48" t="s">
        <v>95</v>
      </c>
      <c r="C99" s="49"/>
      <c r="D99" s="48" t="s">
        <v>49</v>
      </c>
      <c r="E99" s="48" t="s">
        <v>96</v>
      </c>
      <c r="F99" s="48" t="s">
        <v>49</v>
      </c>
      <c r="G99" s="48" t="s">
        <v>97</v>
      </c>
      <c r="H99" s="48" t="s">
        <v>98</v>
      </c>
      <c r="I99" s="48" t="s">
        <v>49</v>
      </c>
      <c r="J99" s="49"/>
      <c r="K99" s="59">
        <v>144</v>
      </c>
      <c r="L99" s="59">
        <v>144</v>
      </c>
      <c r="M99" s="59">
        <v>0</v>
      </c>
      <c r="N99" s="59">
        <v>0</v>
      </c>
      <c r="O99" s="59">
        <v>144</v>
      </c>
      <c r="P99" s="60">
        <v>0.01</v>
      </c>
      <c r="Q99" s="66">
        <v>1.05</v>
      </c>
      <c r="R99" s="65"/>
      <c r="S99" s="66">
        <v>1.05</v>
      </c>
    </row>
    <row r="100" ht="20" customHeight="1" spans="1:19">
      <c r="A100" s="48" t="s">
        <v>94</v>
      </c>
      <c r="B100" s="48" t="s">
        <v>95</v>
      </c>
      <c r="C100" s="49"/>
      <c r="D100" s="48" t="s">
        <v>49</v>
      </c>
      <c r="E100" s="48" t="s">
        <v>96</v>
      </c>
      <c r="F100" s="48" t="s">
        <v>49</v>
      </c>
      <c r="G100" s="48" t="s">
        <v>97</v>
      </c>
      <c r="H100" s="48" t="s">
        <v>98</v>
      </c>
      <c r="I100" s="48" t="s">
        <v>49</v>
      </c>
      <c r="J100" s="49"/>
      <c r="K100" s="59">
        <v>4752</v>
      </c>
      <c r="L100" s="59">
        <v>4752</v>
      </c>
      <c r="M100" s="59">
        <v>0</v>
      </c>
      <c r="N100" s="59">
        <v>0</v>
      </c>
      <c r="O100" s="59">
        <v>4752</v>
      </c>
      <c r="P100" s="60">
        <v>0.01</v>
      </c>
      <c r="Q100" s="66">
        <v>34.59</v>
      </c>
      <c r="R100" s="65"/>
      <c r="S100" s="66">
        <v>34.59</v>
      </c>
    </row>
    <row r="101" ht="13" customHeight="1" spans="1:19">
      <c r="A101" s="52" t="s">
        <v>119</v>
      </c>
      <c r="B101" s="53"/>
      <c r="C101" s="53"/>
      <c r="D101" s="53"/>
      <c r="E101" s="53"/>
      <c r="F101" s="53"/>
      <c r="G101" s="53"/>
      <c r="H101" s="53"/>
      <c r="I101" s="53"/>
      <c r="J101" s="61"/>
      <c r="K101" s="52" t="s">
        <v>120</v>
      </c>
      <c r="L101" s="62">
        <v>39168</v>
      </c>
      <c r="M101" s="63">
        <v>0</v>
      </c>
      <c r="N101" s="63">
        <v>0</v>
      </c>
      <c r="O101" s="63">
        <v>39168</v>
      </c>
      <c r="P101" s="64" t="s">
        <v>49</v>
      </c>
      <c r="Q101" s="67"/>
      <c r="R101" s="67"/>
      <c r="S101" s="68">
        <v>285.14</v>
      </c>
    </row>
    <row r="102" ht="19" customHeight="1" spans="1:19">
      <c r="A102" s="48" t="s">
        <v>121</v>
      </c>
      <c r="B102" s="49"/>
      <c r="C102" s="49"/>
      <c r="D102" s="54" t="s">
        <v>122</v>
      </c>
      <c r="E102" s="55" t="s">
        <v>123</v>
      </c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61"/>
      <c r="S102" s="61"/>
    </row>
    <row r="103" ht="19" customHeight="1" spans="1:19">
      <c r="A103" s="54" t="s">
        <v>122</v>
      </c>
      <c r="B103" s="56"/>
      <c r="C103" s="56"/>
      <c r="D103" s="54" t="s">
        <v>122</v>
      </c>
      <c r="E103" s="54" t="s">
        <v>104</v>
      </c>
      <c r="F103" s="57">
        <v>700</v>
      </c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61"/>
      <c r="S103" s="61"/>
    </row>
    <row r="104" ht="12" customHeight="1" spans="1:19">
      <c r="A104" s="51" t="s">
        <v>49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61"/>
      <c r="S104" s="61"/>
    </row>
    <row r="105" ht="14" customHeight="1" spans="1:19">
      <c r="A105" s="48" t="s">
        <v>64</v>
      </c>
      <c r="B105" s="49"/>
      <c r="C105" s="49"/>
      <c r="D105" s="50" t="s">
        <v>109</v>
      </c>
      <c r="E105" s="48" t="s">
        <v>66</v>
      </c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ht="14" customHeight="1" spans="1:19">
      <c r="A106" s="48" t="s">
        <v>67</v>
      </c>
      <c r="B106" s="49"/>
      <c r="C106" s="49"/>
      <c r="D106" s="50" t="s">
        <v>109</v>
      </c>
      <c r="E106" s="48" t="s">
        <v>68</v>
      </c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ht="14" customHeight="1" spans="1:19">
      <c r="A107" s="48" t="s">
        <v>79</v>
      </c>
      <c r="B107" s="49"/>
      <c r="C107" s="49"/>
      <c r="D107" s="50" t="s">
        <v>109</v>
      </c>
      <c r="E107" s="48" t="s">
        <v>80</v>
      </c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ht="14" customHeight="1" spans="1:19">
      <c r="A108" s="48" t="s">
        <v>69</v>
      </c>
      <c r="B108" s="49"/>
      <c r="C108" s="49"/>
      <c r="D108" s="50" t="s">
        <v>109</v>
      </c>
      <c r="E108" s="48" t="s">
        <v>110</v>
      </c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ht="14" customHeight="1" spans="1:19">
      <c r="A109" s="48" t="s">
        <v>111</v>
      </c>
      <c r="B109" s="49"/>
      <c r="C109" s="49"/>
      <c r="D109" s="50" t="s">
        <v>109</v>
      </c>
      <c r="E109" s="48" t="s">
        <v>129</v>
      </c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ht="14" customHeight="1" spans="1:19">
      <c r="A110" s="48" t="s">
        <v>73</v>
      </c>
      <c r="B110" s="49"/>
      <c r="C110" s="49"/>
      <c r="D110" s="50" t="s">
        <v>109</v>
      </c>
      <c r="E110" s="48" t="s">
        <v>74</v>
      </c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ht="14" customHeight="1" spans="1:19">
      <c r="A111" s="48" t="s">
        <v>75</v>
      </c>
      <c r="B111" s="49"/>
      <c r="C111" s="49"/>
      <c r="D111" s="50" t="s">
        <v>109</v>
      </c>
      <c r="E111" s="48" t="s">
        <v>76</v>
      </c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</row>
    <row r="112" ht="14" customHeight="1" spans="1:19">
      <c r="A112" s="48" t="s">
        <v>77</v>
      </c>
      <c r="B112" s="49"/>
      <c r="C112" s="49"/>
      <c r="D112" s="50" t="s">
        <v>109</v>
      </c>
      <c r="E112" s="48" t="s">
        <v>78</v>
      </c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</row>
    <row r="113" ht="17" customHeight="1" spans="1:19">
      <c r="A113" s="51" t="s">
        <v>49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</row>
    <row r="114" ht="14" customHeight="1" spans="1:19">
      <c r="A114" s="48" t="s">
        <v>81</v>
      </c>
      <c r="B114" s="48" t="s">
        <v>82</v>
      </c>
      <c r="C114" s="49"/>
      <c r="D114" s="48" t="s">
        <v>49</v>
      </c>
      <c r="E114" s="48" t="s">
        <v>84</v>
      </c>
      <c r="F114" s="48" t="s">
        <v>85</v>
      </c>
      <c r="G114" s="48" t="s">
        <v>86</v>
      </c>
      <c r="H114" s="48" t="s">
        <v>87</v>
      </c>
      <c r="I114" s="48" t="s">
        <v>88</v>
      </c>
      <c r="J114" s="49"/>
      <c r="K114" s="58" t="s">
        <v>113</v>
      </c>
      <c r="L114" s="58" t="s">
        <v>114</v>
      </c>
      <c r="M114" s="58" t="s">
        <v>115</v>
      </c>
      <c r="N114" s="58" t="s">
        <v>116</v>
      </c>
      <c r="O114" s="58" t="s">
        <v>117</v>
      </c>
      <c r="P114" s="58" t="s">
        <v>90</v>
      </c>
      <c r="Q114" s="58" t="s">
        <v>91</v>
      </c>
      <c r="R114" s="65"/>
      <c r="S114" s="58" t="s">
        <v>118</v>
      </c>
    </row>
    <row r="115" ht="20" customHeight="1" spans="1:19">
      <c r="A115" s="48" t="s">
        <v>94</v>
      </c>
      <c r="B115" s="48" t="s">
        <v>95</v>
      </c>
      <c r="C115" s="49"/>
      <c r="D115" s="48" t="s">
        <v>49</v>
      </c>
      <c r="E115" s="48" t="s">
        <v>96</v>
      </c>
      <c r="F115" s="48" t="s">
        <v>49</v>
      </c>
      <c r="G115" s="48" t="s">
        <v>97</v>
      </c>
      <c r="H115" s="48" t="s">
        <v>98</v>
      </c>
      <c r="I115" s="48" t="s">
        <v>49</v>
      </c>
      <c r="J115" s="49"/>
      <c r="K115" s="59">
        <v>34272</v>
      </c>
      <c r="L115" s="59">
        <v>34272</v>
      </c>
      <c r="M115" s="59">
        <v>0</v>
      </c>
      <c r="N115" s="59">
        <v>0</v>
      </c>
      <c r="O115" s="59">
        <v>34272</v>
      </c>
      <c r="P115" s="60">
        <v>0.01</v>
      </c>
      <c r="Q115" s="66">
        <v>249.5</v>
      </c>
      <c r="R115" s="65"/>
      <c r="S115" s="66">
        <v>249.5</v>
      </c>
    </row>
    <row r="116" ht="20" customHeight="1" spans="1:19">
      <c r="A116" s="48" t="s">
        <v>94</v>
      </c>
      <c r="B116" s="48" t="s">
        <v>95</v>
      </c>
      <c r="C116" s="49"/>
      <c r="D116" s="48" t="s">
        <v>49</v>
      </c>
      <c r="E116" s="48" t="s">
        <v>96</v>
      </c>
      <c r="F116" s="48" t="s">
        <v>49</v>
      </c>
      <c r="G116" s="48" t="s">
        <v>97</v>
      </c>
      <c r="H116" s="48" t="s">
        <v>98</v>
      </c>
      <c r="I116" s="48" t="s">
        <v>49</v>
      </c>
      <c r="J116" s="49"/>
      <c r="K116" s="59">
        <v>144</v>
      </c>
      <c r="L116" s="59">
        <v>144</v>
      </c>
      <c r="M116" s="59">
        <v>0</v>
      </c>
      <c r="N116" s="59">
        <v>0</v>
      </c>
      <c r="O116" s="59">
        <v>144</v>
      </c>
      <c r="P116" s="60">
        <v>0.01</v>
      </c>
      <c r="Q116" s="66">
        <v>1.05</v>
      </c>
      <c r="R116" s="65"/>
      <c r="S116" s="66">
        <v>1.05</v>
      </c>
    </row>
    <row r="117" ht="20" customHeight="1" spans="1:19">
      <c r="A117" s="48" t="s">
        <v>94</v>
      </c>
      <c r="B117" s="48" t="s">
        <v>95</v>
      </c>
      <c r="C117" s="49"/>
      <c r="D117" s="48" t="s">
        <v>49</v>
      </c>
      <c r="E117" s="48" t="s">
        <v>96</v>
      </c>
      <c r="F117" s="48" t="s">
        <v>49</v>
      </c>
      <c r="G117" s="48" t="s">
        <v>97</v>
      </c>
      <c r="H117" s="48" t="s">
        <v>98</v>
      </c>
      <c r="I117" s="48" t="s">
        <v>49</v>
      </c>
      <c r="J117" s="49"/>
      <c r="K117" s="59">
        <v>4752</v>
      </c>
      <c r="L117" s="59">
        <v>4752</v>
      </c>
      <c r="M117" s="59">
        <v>0</v>
      </c>
      <c r="N117" s="59">
        <v>0</v>
      </c>
      <c r="O117" s="59">
        <v>4752</v>
      </c>
      <c r="P117" s="60">
        <v>0.01</v>
      </c>
      <c r="Q117" s="66">
        <v>34.59</v>
      </c>
      <c r="R117" s="65"/>
      <c r="S117" s="66">
        <v>34.59</v>
      </c>
    </row>
    <row r="118" ht="13" customHeight="1" spans="1:19">
      <c r="A118" s="52" t="s">
        <v>119</v>
      </c>
      <c r="B118" s="53"/>
      <c r="C118" s="53"/>
      <c r="D118" s="53"/>
      <c r="E118" s="53"/>
      <c r="F118" s="53"/>
      <c r="G118" s="53"/>
      <c r="H118" s="53"/>
      <c r="I118" s="53"/>
      <c r="J118" s="61"/>
      <c r="K118" s="52" t="s">
        <v>120</v>
      </c>
      <c r="L118" s="62">
        <v>39168</v>
      </c>
      <c r="M118" s="63">
        <v>0</v>
      </c>
      <c r="N118" s="63">
        <v>0</v>
      </c>
      <c r="O118" s="63">
        <v>39168</v>
      </c>
      <c r="P118" s="64" t="s">
        <v>49</v>
      </c>
      <c r="Q118" s="67"/>
      <c r="R118" s="67"/>
      <c r="S118" s="68">
        <v>285.14</v>
      </c>
    </row>
    <row r="119" ht="19" customHeight="1" spans="1:19">
      <c r="A119" s="48" t="s">
        <v>121</v>
      </c>
      <c r="B119" s="49"/>
      <c r="C119" s="49"/>
      <c r="D119" s="54" t="s">
        <v>122</v>
      </c>
      <c r="E119" s="55" t="s">
        <v>123</v>
      </c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61"/>
      <c r="S119" s="61"/>
    </row>
    <row r="120" ht="19" customHeight="1" spans="1:19">
      <c r="A120" s="54" t="s">
        <v>122</v>
      </c>
      <c r="B120" s="56"/>
      <c r="C120" s="56"/>
      <c r="D120" s="54" t="s">
        <v>122</v>
      </c>
      <c r="E120" s="54" t="s">
        <v>104</v>
      </c>
      <c r="F120" s="57">
        <v>700</v>
      </c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61"/>
      <c r="S120" s="61"/>
    </row>
    <row r="121" ht="12" customHeight="1" spans="1:19">
      <c r="A121" s="51" t="s">
        <v>49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61"/>
      <c r="S121" s="61"/>
    </row>
    <row r="122" ht="14" customHeight="1" spans="1:19">
      <c r="A122" s="48" t="s">
        <v>64</v>
      </c>
      <c r="B122" s="49"/>
      <c r="C122" s="49"/>
      <c r="D122" s="50" t="s">
        <v>109</v>
      </c>
      <c r="E122" s="48" t="s">
        <v>66</v>
      </c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</row>
    <row r="123" ht="14" customHeight="1" spans="1:19">
      <c r="A123" s="48" t="s">
        <v>67</v>
      </c>
      <c r="B123" s="49"/>
      <c r="C123" s="49"/>
      <c r="D123" s="50" t="s">
        <v>109</v>
      </c>
      <c r="E123" s="48" t="s">
        <v>68</v>
      </c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</row>
    <row r="124" ht="14" customHeight="1" spans="1:19">
      <c r="A124" s="48" t="s">
        <v>79</v>
      </c>
      <c r="B124" s="49"/>
      <c r="C124" s="49"/>
      <c r="D124" s="50" t="s">
        <v>109</v>
      </c>
      <c r="E124" s="48" t="s">
        <v>80</v>
      </c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</row>
    <row r="125" ht="14" customHeight="1" spans="1:19">
      <c r="A125" s="48" t="s">
        <v>69</v>
      </c>
      <c r="B125" s="49"/>
      <c r="C125" s="49"/>
      <c r="D125" s="50" t="s">
        <v>109</v>
      </c>
      <c r="E125" s="48" t="s">
        <v>110</v>
      </c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</row>
    <row r="126" ht="14" customHeight="1" spans="1:19">
      <c r="A126" s="48" t="s">
        <v>111</v>
      </c>
      <c r="B126" s="49"/>
      <c r="C126" s="49"/>
      <c r="D126" s="50" t="s">
        <v>109</v>
      </c>
      <c r="E126" s="48" t="s">
        <v>130</v>
      </c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</row>
    <row r="127" ht="14" customHeight="1" spans="1:19">
      <c r="A127" s="48" t="s">
        <v>73</v>
      </c>
      <c r="B127" s="49"/>
      <c r="C127" s="49"/>
      <c r="D127" s="50" t="s">
        <v>109</v>
      </c>
      <c r="E127" s="48" t="s">
        <v>74</v>
      </c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</row>
    <row r="128" ht="14" customHeight="1" spans="1:19">
      <c r="A128" s="48" t="s">
        <v>75</v>
      </c>
      <c r="B128" s="49"/>
      <c r="C128" s="49"/>
      <c r="D128" s="50" t="s">
        <v>109</v>
      </c>
      <c r="E128" s="48" t="s">
        <v>76</v>
      </c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ht="14" customHeight="1" spans="1:19">
      <c r="A129" s="48" t="s">
        <v>77</v>
      </c>
      <c r="B129" s="49"/>
      <c r="C129" s="49"/>
      <c r="D129" s="50" t="s">
        <v>109</v>
      </c>
      <c r="E129" s="48" t="s">
        <v>78</v>
      </c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ht="17" customHeight="1" spans="1:19">
      <c r="A130" s="51" t="s">
        <v>49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</row>
    <row r="131" ht="14" customHeight="1" spans="1:19">
      <c r="A131" s="48" t="s">
        <v>81</v>
      </c>
      <c r="B131" s="48" t="s">
        <v>82</v>
      </c>
      <c r="C131" s="49"/>
      <c r="D131" s="48" t="s">
        <v>49</v>
      </c>
      <c r="E131" s="48" t="s">
        <v>84</v>
      </c>
      <c r="F131" s="48" t="s">
        <v>85</v>
      </c>
      <c r="G131" s="48" t="s">
        <v>86</v>
      </c>
      <c r="H131" s="48" t="s">
        <v>87</v>
      </c>
      <c r="I131" s="48" t="s">
        <v>88</v>
      </c>
      <c r="J131" s="49"/>
      <c r="K131" s="58" t="s">
        <v>113</v>
      </c>
      <c r="L131" s="58" t="s">
        <v>114</v>
      </c>
      <c r="M131" s="58" t="s">
        <v>115</v>
      </c>
      <c r="N131" s="58" t="s">
        <v>116</v>
      </c>
      <c r="O131" s="58" t="s">
        <v>117</v>
      </c>
      <c r="P131" s="58" t="s">
        <v>90</v>
      </c>
      <c r="Q131" s="58" t="s">
        <v>91</v>
      </c>
      <c r="R131" s="65"/>
      <c r="S131" s="58" t="s">
        <v>118</v>
      </c>
    </row>
    <row r="132" ht="20" customHeight="1" spans="1:19">
      <c r="A132" s="48" t="s">
        <v>94</v>
      </c>
      <c r="B132" s="48" t="s">
        <v>95</v>
      </c>
      <c r="C132" s="49"/>
      <c r="D132" s="48" t="s">
        <v>49</v>
      </c>
      <c r="E132" s="48" t="s">
        <v>96</v>
      </c>
      <c r="F132" s="48" t="s">
        <v>49</v>
      </c>
      <c r="G132" s="48" t="s">
        <v>97</v>
      </c>
      <c r="H132" s="48" t="s">
        <v>98</v>
      </c>
      <c r="I132" s="48" t="s">
        <v>49</v>
      </c>
      <c r="J132" s="49"/>
      <c r="K132" s="59">
        <v>144</v>
      </c>
      <c r="L132" s="59">
        <v>144</v>
      </c>
      <c r="M132" s="59">
        <v>0</v>
      </c>
      <c r="N132" s="59">
        <v>0</v>
      </c>
      <c r="O132" s="59">
        <v>144</v>
      </c>
      <c r="P132" s="60">
        <v>0.01</v>
      </c>
      <c r="Q132" s="66">
        <v>1.05</v>
      </c>
      <c r="R132" s="65"/>
      <c r="S132" s="66">
        <v>1.05</v>
      </c>
    </row>
    <row r="133" ht="20" customHeight="1" spans="1:19">
      <c r="A133" s="48" t="s">
        <v>94</v>
      </c>
      <c r="B133" s="48" t="s">
        <v>95</v>
      </c>
      <c r="C133" s="49"/>
      <c r="D133" s="48" t="s">
        <v>49</v>
      </c>
      <c r="E133" s="48" t="s">
        <v>96</v>
      </c>
      <c r="F133" s="48" t="s">
        <v>49</v>
      </c>
      <c r="G133" s="48" t="s">
        <v>97</v>
      </c>
      <c r="H133" s="48" t="s">
        <v>98</v>
      </c>
      <c r="I133" s="48" t="s">
        <v>49</v>
      </c>
      <c r="J133" s="49"/>
      <c r="K133" s="59">
        <v>4752</v>
      </c>
      <c r="L133" s="59">
        <v>4752</v>
      </c>
      <c r="M133" s="59">
        <v>0</v>
      </c>
      <c r="N133" s="59">
        <v>0</v>
      </c>
      <c r="O133" s="59">
        <v>4752</v>
      </c>
      <c r="P133" s="60">
        <v>0.01</v>
      </c>
      <c r="Q133" s="66">
        <v>34.59</v>
      </c>
      <c r="R133" s="65"/>
      <c r="S133" s="66">
        <v>34.59</v>
      </c>
    </row>
    <row r="134" ht="20" customHeight="1" spans="1:19">
      <c r="A134" s="48" t="s">
        <v>94</v>
      </c>
      <c r="B134" s="48" t="s">
        <v>95</v>
      </c>
      <c r="C134" s="49"/>
      <c r="D134" s="48" t="s">
        <v>49</v>
      </c>
      <c r="E134" s="48" t="s">
        <v>96</v>
      </c>
      <c r="F134" s="48" t="s">
        <v>49</v>
      </c>
      <c r="G134" s="48" t="s">
        <v>97</v>
      </c>
      <c r="H134" s="48" t="s">
        <v>98</v>
      </c>
      <c r="I134" s="48" t="s">
        <v>49</v>
      </c>
      <c r="J134" s="49"/>
      <c r="K134" s="59">
        <v>34272</v>
      </c>
      <c r="L134" s="59">
        <v>34272</v>
      </c>
      <c r="M134" s="59">
        <v>0</v>
      </c>
      <c r="N134" s="59">
        <v>0</v>
      </c>
      <c r="O134" s="59">
        <v>34272</v>
      </c>
      <c r="P134" s="60">
        <v>0.01</v>
      </c>
      <c r="Q134" s="66">
        <v>249.5</v>
      </c>
      <c r="R134" s="65"/>
      <c r="S134" s="66">
        <v>249.5</v>
      </c>
    </row>
    <row r="135" ht="13" customHeight="1" spans="1:19">
      <c r="A135" s="52" t="s">
        <v>119</v>
      </c>
      <c r="B135" s="53"/>
      <c r="C135" s="53"/>
      <c r="D135" s="53"/>
      <c r="E135" s="53"/>
      <c r="F135" s="53"/>
      <c r="G135" s="53"/>
      <c r="H135" s="53"/>
      <c r="I135" s="53"/>
      <c r="J135" s="61"/>
      <c r="K135" s="52" t="s">
        <v>120</v>
      </c>
      <c r="L135" s="62">
        <v>39168</v>
      </c>
      <c r="M135" s="63">
        <v>0</v>
      </c>
      <c r="N135" s="63">
        <v>0</v>
      </c>
      <c r="O135" s="63">
        <v>39168</v>
      </c>
      <c r="P135" s="64" t="s">
        <v>49</v>
      </c>
      <c r="Q135" s="67"/>
      <c r="R135" s="67"/>
      <c r="S135" s="68">
        <v>285.14</v>
      </c>
    </row>
    <row r="136" ht="19" customHeight="1" spans="1:19">
      <c r="A136" s="48" t="s">
        <v>121</v>
      </c>
      <c r="B136" s="49"/>
      <c r="C136" s="49"/>
      <c r="D136" s="54" t="s">
        <v>122</v>
      </c>
      <c r="E136" s="55" t="s">
        <v>123</v>
      </c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61"/>
      <c r="S136" s="61"/>
    </row>
    <row r="137" ht="19" customHeight="1" spans="1:19">
      <c r="A137" s="54" t="s">
        <v>122</v>
      </c>
      <c r="B137" s="56"/>
      <c r="C137" s="56"/>
      <c r="D137" s="54" t="s">
        <v>122</v>
      </c>
      <c r="E137" s="54" t="s">
        <v>104</v>
      </c>
      <c r="F137" s="57">
        <v>700</v>
      </c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61"/>
      <c r="S137" s="61"/>
    </row>
    <row r="138" ht="12" customHeight="1" spans="1:19">
      <c r="A138" s="51" t="s">
        <v>49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61"/>
      <c r="S138" s="61"/>
    </row>
    <row r="139" ht="14" customHeight="1" spans="1:19">
      <c r="A139" s="48" t="s">
        <v>64</v>
      </c>
      <c r="B139" s="49"/>
      <c r="C139" s="49"/>
      <c r="D139" s="50" t="s">
        <v>109</v>
      </c>
      <c r="E139" s="48" t="s">
        <v>66</v>
      </c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</row>
    <row r="140" ht="14" customHeight="1" spans="1:19">
      <c r="A140" s="48" t="s">
        <v>67</v>
      </c>
      <c r="B140" s="49"/>
      <c r="C140" s="49"/>
      <c r="D140" s="50" t="s">
        <v>109</v>
      </c>
      <c r="E140" s="48" t="s">
        <v>68</v>
      </c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</row>
    <row r="141" ht="14" customHeight="1" spans="1:19">
      <c r="A141" s="48" t="s">
        <v>79</v>
      </c>
      <c r="B141" s="49"/>
      <c r="C141" s="49"/>
      <c r="D141" s="50" t="s">
        <v>109</v>
      </c>
      <c r="E141" s="48" t="s">
        <v>80</v>
      </c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</row>
    <row r="142" ht="14" customHeight="1" spans="1:19">
      <c r="A142" s="48" t="s">
        <v>69</v>
      </c>
      <c r="B142" s="49"/>
      <c r="C142" s="49"/>
      <c r="D142" s="50" t="s">
        <v>109</v>
      </c>
      <c r="E142" s="48" t="s">
        <v>110</v>
      </c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</row>
    <row r="143" ht="14" customHeight="1" spans="1:19">
      <c r="A143" s="48" t="s">
        <v>111</v>
      </c>
      <c r="B143" s="49"/>
      <c r="C143" s="49"/>
      <c r="D143" s="50" t="s">
        <v>109</v>
      </c>
      <c r="E143" s="48" t="s">
        <v>131</v>
      </c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</row>
    <row r="144" ht="14" customHeight="1" spans="1:19">
      <c r="A144" s="48" t="s">
        <v>73</v>
      </c>
      <c r="B144" s="49"/>
      <c r="C144" s="49"/>
      <c r="D144" s="50" t="s">
        <v>109</v>
      </c>
      <c r="E144" s="48" t="s">
        <v>74</v>
      </c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</row>
    <row r="145" ht="14" customHeight="1" spans="1:19">
      <c r="A145" s="48" t="s">
        <v>75</v>
      </c>
      <c r="B145" s="49"/>
      <c r="C145" s="49"/>
      <c r="D145" s="50" t="s">
        <v>109</v>
      </c>
      <c r="E145" s="48" t="s">
        <v>76</v>
      </c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</row>
    <row r="146" ht="14" customHeight="1" spans="1:19">
      <c r="A146" s="48" t="s">
        <v>77</v>
      </c>
      <c r="B146" s="49"/>
      <c r="C146" s="49"/>
      <c r="D146" s="50" t="s">
        <v>109</v>
      </c>
      <c r="E146" s="48" t="s">
        <v>78</v>
      </c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</row>
    <row r="147" ht="17" customHeight="1" spans="1:19">
      <c r="A147" s="51" t="s">
        <v>49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</row>
    <row r="148" ht="14" customHeight="1" spans="1:19">
      <c r="A148" s="48" t="s">
        <v>81</v>
      </c>
      <c r="B148" s="48" t="s">
        <v>82</v>
      </c>
      <c r="C148" s="49"/>
      <c r="D148" s="48" t="s">
        <v>49</v>
      </c>
      <c r="E148" s="48" t="s">
        <v>84</v>
      </c>
      <c r="F148" s="48" t="s">
        <v>85</v>
      </c>
      <c r="G148" s="48" t="s">
        <v>86</v>
      </c>
      <c r="H148" s="48" t="s">
        <v>87</v>
      </c>
      <c r="I148" s="48" t="s">
        <v>88</v>
      </c>
      <c r="J148" s="49"/>
      <c r="K148" s="58" t="s">
        <v>113</v>
      </c>
      <c r="L148" s="58" t="s">
        <v>114</v>
      </c>
      <c r="M148" s="58" t="s">
        <v>115</v>
      </c>
      <c r="N148" s="58" t="s">
        <v>116</v>
      </c>
      <c r="O148" s="58" t="s">
        <v>117</v>
      </c>
      <c r="P148" s="58" t="s">
        <v>90</v>
      </c>
      <c r="Q148" s="58" t="s">
        <v>91</v>
      </c>
      <c r="R148" s="65"/>
      <c r="S148" s="58" t="s">
        <v>118</v>
      </c>
    </row>
    <row r="149" ht="20" customHeight="1" spans="1:19">
      <c r="A149" s="48" t="s">
        <v>94</v>
      </c>
      <c r="B149" s="48" t="s">
        <v>95</v>
      </c>
      <c r="C149" s="49"/>
      <c r="D149" s="48" t="s">
        <v>49</v>
      </c>
      <c r="E149" s="48" t="s">
        <v>96</v>
      </c>
      <c r="F149" s="48" t="s">
        <v>49</v>
      </c>
      <c r="G149" s="48" t="s">
        <v>97</v>
      </c>
      <c r="H149" s="48" t="s">
        <v>98</v>
      </c>
      <c r="I149" s="48" t="s">
        <v>49</v>
      </c>
      <c r="J149" s="49"/>
      <c r="K149" s="59">
        <v>144</v>
      </c>
      <c r="L149" s="59">
        <v>144</v>
      </c>
      <c r="M149" s="59">
        <v>0</v>
      </c>
      <c r="N149" s="59">
        <v>0</v>
      </c>
      <c r="O149" s="59">
        <v>144</v>
      </c>
      <c r="P149" s="60">
        <v>0.01</v>
      </c>
      <c r="Q149" s="66">
        <v>1.05</v>
      </c>
      <c r="R149" s="65"/>
      <c r="S149" s="66">
        <v>1.05</v>
      </c>
    </row>
    <row r="150" ht="20" customHeight="1" spans="1:19">
      <c r="A150" s="48" t="s">
        <v>94</v>
      </c>
      <c r="B150" s="48" t="s">
        <v>95</v>
      </c>
      <c r="C150" s="49"/>
      <c r="D150" s="48" t="s">
        <v>49</v>
      </c>
      <c r="E150" s="48" t="s">
        <v>96</v>
      </c>
      <c r="F150" s="48" t="s">
        <v>49</v>
      </c>
      <c r="G150" s="48" t="s">
        <v>97</v>
      </c>
      <c r="H150" s="48" t="s">
        <v>98</v>
      </c>
      <c r="I150" s="48" t="s">
        <v>49</v>
      </c>
      <c r="J150" s="49"/>
      <c r="K150" s="59">
        <v>34272</v>
      </c>
      <c r="L150" s="59">
        <v>34272</v>
      </c>
      <c r="M150" s="59">
        <v>0</v>
      </c>
      <c r="N150" s="59">
        <v>0</v>
      </c>
      <c r="O150" s="59">
        <v>34272</v>
      </c>
      <c r="P150" s="60">
        <v>0.01</v>
      </c>
      <c r="Q150" s="66">
        <v>249.5</v>
      </c>
      <c r="R150" s="65"/>
      <c r="S150" s="66">
        <v>249.5</v>
      </c>
    </row>
    <row r="151" ht="20" customHeight="1" spans="1:19">
      <c r="A151" s="48" t="s">
        <v>94</v>
      </c>
      <c r="B151" s="48" t="s">
        <v>95</v>
      </c>
      <c r="C151" s="49"/>
      <c r="D151" s="48" t="s">
        <v>49</v>
      </c>
      <c r="E151" s="48" t="s">
        <v>96</v>
      </c>
      <c r="F151" s="48" t="s">
        <v>49</v>
      </c>
      <c r="G151" s="48" t="s">
        <v>97</v>
      </c>
      <c r="H151" s="48" t="s">
        <v>98</v>
      </c>
      <c r="I151" s="48" t="s">
        <v>49</v>
      </c>
      <c r="J151" s="49"/>
      <c r="K151" s="59">
        <v>4752</v>
      </c>
      <c r="L151" s="59">
        <v>4752</v>
      </c>
      <c r="M151" s="59">
        <v>0</v>
      </c>
      <c r="N151" s="59">
        <v>0</v>
      </c>
      <c r="O151" s="59">
        <v>4752</v>
      </c>
      <c r="P151" s="60">
        <v>0.01</v>
      </c>
      <c r="Q151" s="66">
        <v>34.59</v>
      </c>
      <c r="R151" s="65"/>
      <c r="S151" s="66">
        <v>34.59</v>
      </c>
    </row>
    <row r="152" ht="13" customHeight="1" spans="1:19">
      <c r="A152" s="52" t="s">
        <v>119</v>
      </c>
      <c r="B152" s="53"/>
      <c r="C152" s="53"/>
      <c r="D152" s="53"/>
      <c r="E152" s="53"/>
      <c r="F152" s="53"/>
      <c r="G152" s="53"/>
      <c r="H152" s="53"/>
      <c r="I152" s="53"/>
      <c r="J152" s="61"/>
      <c r="K152" s="52" t="s">
        <v>120</v>
      </c>
      <c r="L152" s="62">
        <v>39168</v>
      </c>
      <c r="M152" s="63">
        <v>0</v>
      </c>
      <c r="N152" s="63">
        <v>0</v>
      </c>
      <c r="O152" s="63">
        <v>39168</v>
      </c>
      <c r="P152" s="64" t="s">
        <v>49</v>
      </c>
      <c r="Q152" s="67"/>
      <c r="R152" s="67"/>
      <c r="S152" s="68">
        <v>285.14</v>
      </c>
    </row>
    <row r="153" ht="19" customHeight="1" spans="1:19">
      <c r="A153" s="48" t="s">
        <v>121</v>
      </c>
      <c r="B153" s="49"/>
      <c r="C153" s="49"/>
      <c r="D153" s="54" t="s">
        <v>122</v>
      </c>
      <c r="E153" s="55" t="s">
        <v>123</v>
      </c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61"/>
      <c r="S153" s="61"/>
    </row>
    <row r="154" ht="19" customHeight="1" spans="1:19">
      <c r="A154" s="54" t="s">
        <v>122</v>
      </c>
      <c r="B154" s="56"/>
      <c r="C154" s="56"/>
      <c r="D154" s="54" t="s">
        <v>122</v>
      </c>
      <c r="E154" s="54" t="s">
        <v>104</v>
      </c>
      <c r="F154" s="57">
        <v>700</v>
      </c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61"/>
      <c r="S154" s="61"/>
    </row>
    <row r="155" ht="12" customHeight="1" spans="1:19">
      <c r="A155" s="51" t="s">
        <v>49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61"/>
      <c r="S155" s="61"/>
    </row>
    <row r="156" ht="23" customHeight="1" spans="1:19">
      <c r="A156" s="48" t="s">
        <v>132</v>
      </c>
      <c r="B156" s="49"/>
      <c r="C156" s="49"/>
      <c r="D156" s="69" t="s">
        <v>133</v>
      </c>
      <c r="E156" s="54" t="s">
        <v>104</v>
      </c>
      <c r="F156" s="57">
        <v>0</v>
      </c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spans="6:19">
      <c r="F157" s="57" t="s">
        <v>134</v>
      </c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spans="6:12">
      <c r="F158" s="70" t="s">
        <v>135</v>
      </c>
      <c r="G158" s="70"/>
      <c r="H158" s="70"/>
      <c r="I158" s="70"/>
      <c r="J158" s="70"/>
      <c r="K158" s="70"/>
      <c r="L158" s="70"/>
    </row>
  </sheetData>
  <autoFilter xmlns:etc="http://www.wps.cn/officeDocument/2017/etCustomData" ref="A12:S158" etc:filterBottomFollowUsedRange="0">
    <extLst/>
  </autoFilter>
  <mergeCells count="331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F156:S156"/>
    <mergeCell ref="F157:S157"/>
    <mergeCell ref="F158:L158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1"/>
  <sheetViews>
    <sheetView topLeftCell="A10" workbookViewId="0">
      <selection activeCell="A23" sqref="A23"/>
    </sheetView>
  </sheetViews>
  <sheetFormatPr defaultColWidth="9" defaultRowHeight="14.25"/>
  <cols>
    <col min="1" max="1" width="11.875" customWidth="1"/>
    <col min="2" max="2" width="32.125" customWidth="1"/>
    <col min="3" max="3" width="12.25" customWidth="1"/>
    <col min="4" max="4" width="24.875" customWidth="1"/>
    <col min="5" max="5" width="21.5" customWidth="1"/>
    <col min="6" max="6" width="12.125" customWidth="1"/>
    <col min="7" max="7" width="16.875" customWidth="1"/>
    <col min="8" max="8" width="14.75" customWidth="1"/>
  </cols>
  <sheetData>
    <row r="1" ht="18.95" customHeight="1" spans="1:8">
      <c r="A1" s="3" t="s">
        <v>136</v>
      </c>
      <c r="B1" s="3"/>
      <c r="C1" s="3"/>
      <c r="D1" s="3"/>
      <c r="E1" s="3"/>
      <c r="F1" s="3"/>
      <c r="G1" s="3"/>
      <c r="H1" s="3"/>
    </row>
    <row r="2" ht="14.1" customHeight="1" spans="1:8">
      <c r="A2" s="5" t="s">
        <v>137</v>
      </c>
      <c r="B2" s="6"/>
      <c r="C2" s="7" t="s">
        <v>138</v>
      </c>
      <c r="D2" s="4" t="s">
        <v>139</v>
      </c>
      <c r="E2" s="5"/>
      <c r="F2" s="5"/>
      <c r="G2" s="5"/>
      <c r="H2" s="5"/>
    </row>
    <row r="3" ht="14.1" customHeight="1" spans="1:8">
      <c r="A3" s="5" t="s">
        <v>140</v>
      </c>
      <c r="B3" s="6"/>
      <c r="C3" s="7" t="s">
        <v>138</v>
      </c>
      <c r="D3" s="4" t="s">
        <v>141</v>
      </c>
      <c r="E3" s="5"/>
      <c r="F3" s="5"/>
      <c r="G3" s="5"/>
      <c r="H3" s="5"/>
    </row>
    <row r="4" ht="14.1" customHeight="1" spans="1:8">
      <c r="A4" s="5" t="s">
        <v>142</v>
      </c>
      <c r="B4" s="6"/>
      <c r="C4" s="7" t="s">
        <v>138</v>
      </c>
      <c r="D4" s="4" t="s">
        <v>141</v>
      </c>
      <c r="E4" s="5"/>
      <c r="F4" s="5"/>
      <c r="G4" s="5"/>
      <c r="H4" s="5"/>
    </row>
    <row r="5" ht="11.25" customHeight="1" spans="1:8">
      <c r="A5" s="5" t="s">
        <v>143</v>
      </c>
      <c r="B5" s="6"/>
      <c r="C5" s="7" t="s">
        <v>138</v>
      </c>
      <c r="D5" s="4" t="s">
        <v>144</v>
      </c>
      <c r="E5" s="5"/>
      <c r="F5" s="5"/>
      <c r="G5" s="5"/>
      <c r="H5" s="5"/>
    </row>
    <row r="6" ht="11.25" customHeight="1" spans="1:8">
      <c r="A6" s="5"/>
      <c r="B6" s="6"/>
      <c r="C6" s="7"/>
      <c r="D6" s="4"/>
      <c r="E6" s="6"/>
      <c r="F6" s="6"/>
      <c r="G6" s="6"/>
      <c r="H6" s="6"/>
    </row>
    <row r="7" s="1" customFormat="1" spans="1:235">
      <c r="A7" s="8" t="s">
        <v>145</v>
      </c>
      <c r="B7" s="24" t="s">
        <v>146</v>
      </c>
      <c r="C7" s="16"/>
      <c r="D7" s="12" t="s">
        <v>147</v>
      </c>
      <c r="E7" s="12" t="s">
        <v>148</v>
      </c>
      <c r="F7" s="12" t="s">
        <v>149</v>
      </c>
      <c r="G7" s="12" t="s">
        <v>150</v>
      </c>
      <c r="H7" s="12" t="s">
        <v>151</v>
      </c>
      <c r="I7" s="18"/>
      <c r="K7" s="13"/>
      <c r="L7" s="17"/>
      <c r="M7" s="18"/>
      <c r="P7" s="13"/>
      <c r="Q7" s="22"/>
      <c r="R7" s="13"/>
      <c r="S7" s="13"/>
      <c r="T7" s="17"/>
      <c r="U7" s="18"/>
      <c r="X7" s="13"/>
      <c r="Y7" s="22"/>
      <c r="Z7" s="13"/>
      <c r="AA7" s="13"/>
      <c r="AB7" s="17"/>
      <c r="AC7" s="18"/>
      <c r="AF7" s="13"/>
      <c r="AG7" s="22"/>
      <c r="AH7" s="13"/>
      <c r="AI7" s="13"/>
      <c r="AJ7" s="17"/>
      <c r="AK7" s="18"/>
      <c r="AN7" s="13"/>
      <c r="AO7" s="22"/>
      <c r="AP7" s="13"/>
      <c r="AQ7" s="13"/>
      <c r="AR7" s="17"/>
      <c r="AS7" s="18"/>
      <c r="AV7" s="13"/>
      <c r="AW7" s="22"/>
      <c r="AX7" s="13"/>
      <c r="AY7" s="13"/>
      <c r="AZ7" s="17"/>
      <c r="BA7" s="18"/>
      <c r="BD7" s="13"/>
      <c r="BE7" s="22"/>
      <c r="BF7" s="13"/>
      <c r="BG7" s="13"/>
      <c r="BH7" s="17"/>
      <c r="BI7" s="18"/>
      <c r="BL7" s="13"/>
      <c r="BM7" s="22"/>
      <c r="BN7" s="13"/>
      <c r="BO7" s="13"/>
      <c r="BP7" s="17"/>
      <c r="BQ7" s="18"/>
      <c r="BT7" s="13"/>
      <c r="BU7" s="22"/>
      <c r="BV7" s="13"/>
      <c r="BW7" s="13"/>
      <c r="BX7" s="17"/>
      <c r="BY7" s="18"/>
      <c r="CB7" s="13"/>
      <c r="CC7" s="22"/>
      <c r="CD7" s="13"/>
      <c r="CE7" s="13"/>
      <c r="CF7" s="17"/>
      <c r="CG7" s="18"/>
      <c r="CJ7" s="13"/>
      <c r="CK7" s="22"/>
      <c r="CL7" s="13"/>
      <c r="CM7" s="13"/>
      <c r="CN7" s="17"/>
      <c r="CO7" s="18"/>
      <c r="CR7" s="13"/>
      <c r="CS7" s="22"/>
      <c r="CT7" s="13"/>
      <c r="CU7" s="13"/>
      <c r="CV7" s="17"/>
      <c r="CW7" s="18"/>
      <c r="CZ7" s="13"/>
      <c r="DA7" s="22"/>
      <c r="DB7" s="13"/>
      <c r="DC7" s="13"/>
      <c r="DD7" s="17"/>
      <c r="DE7" s="18"/>
      <c r="DH7" s="13"/>
      <c r="DI7" s="22"/>
      <c r="DJ7" s="13"/>
      <c r="DK7" s="13"/>
      <c r="DL7" s="17"/>
      <c r="DM7" s="18"/>
      <c r="DP7" s="13"/>
      <c r="DQ7" s="22"/>
      <c r="DR7" s="13"/>
      <c r="DS7" s="13"/>
      <c r="DT7" s="17"/>
      <c r="DU7" s="18"/>
      <c r="DX7" s="13"/>
      <c r="DY7" s="22"/>
      <c r="DZ7" s="13"/>
      <c r="EA7" s="13"/>
      <c r="EB7" s="17"/>
      <c r="EC7" s="18"/>
      <c r="EF7" s="13"/>
      <c r="EG7" s="22"/>
      <c r="EH7" s="13"/>
      <c r="EI7" s="13"/>
      <c r="EJ7" s="17"/>
      <c r="EK7" s="18"/>
      <c r="EN7" s="13"/>
      <c r="EO7" s="22"/>
      <c r="EP7" s="13"/>
      <c r="EQ7" s="13"/>
      <c r="ER7" s="17"/>
      <c r="ES7" s="18"/>
      <c r="EV7" s="13"/>
      <c r="EW7" s="22"/>
      <c r="EX7" s="13"/>
      <c r="EY7" s="13"/>
      <c r="EZ7" s="17"/>
      <c r="FA7" s="18"/>
      <c r="FD7" s="13"/>
      <c r="FE7" s="22"/>
      <c r="FF7" s="13"/>
      <c r="FG7" s="13"/>
      <c r="FH7" s="17"/>
      <c r="FI7" s="18"/>
      <c r="FL7" s="13"/>
      <c r="FM7" s="22"/>
      <c r="FN7" s="13"/>
      <c r="FO7" s="13"/>
      <c r="FP7" s="17"/>
      <c r="FQ7" s="18"/>
      <c r="FT7" s="13"/>
      <c r="FU7" s="22"/>
      <c r="FV7" s="13"/>
      <c r="FW7" s="13"/>
      <c r="FX7" s="17"/>
      <c r="FY7" s="18"/>
      <c r="GB7" s="13"/>
      <c r="GC7" s="22"/>
      <c r="GD7" s="13"/>
      <c r="GE7" s="13"/>
      <c r="GF7" s="17"/>
      <c r="GG7" s="18"/>
      <c r="GJ7" s="13"/>
      <c r="GK7" s="22"/>
      <c r="GL7" s="13"/>
      <c r="GM7" s="13"/>
      <c r="GN7" s="17"/>
      <c r="GO7" s="18"/>
      <c r="GR7" s="13"/>
      <c r="GS7" s="22"/>
      <c r="GT7" s="13"/>
      <c r="GU7" s="13"/>
      <c r="GV7" s="17"/>
      <c r="GW7" s="18"/>
      <c r="GZ7" s="13"/>
      <c r="HA7" s="22"/>
      <c r="HB7" s="13"/>
      <c r="HC7" s="13"/>
      <c r="HD7" s="17"/>
      <c r="HE7" s="18"/>
      <c r="HH7" s="13"/>
      <c r="HI7" s="22"/>
      <c r="HJ7" s="13"/>
      <c r="HK7" s="13"/>
      <c r="HL7" s="17"/>
      <c r="HM7" s="18"/>
      <c r="HP7" s="13"/>
      <c r="HQ7" s="22"/>
      <c r="HR7" s="13"/>
      <c r="HS7" s="13"/>
      <c r="HT7" s="17"/>
      <c r="HU7" s="18"/>
      <c r="HX7" s="13"/>
      <c r="HY7" s="22"/>
      <c r="HZ7" s="13"/>
      <c r="IA7" s="13"/>
    </row>
    <row r="8" s="1" customFormat="1" ht="16.5" customHeight="1" spans="1:8">
      <c r="A8" s="25">
        <v>1</v>
      </c>
      <c r="B8" s="26" t="s">
        <v>152</v>
      </c>
      <c r="C8" s="27"/>
      <c r="D8" s="12">
        <v>250</v>
      </c>
      <c r="E8" s="28" t="s">
        <v>153</v>
      </c>
      <c r="F8" s="12">
        <v>1</v>
      </c>
      <c r="G8" s="12">
        <f>D8*F8</f>
        <v>250</v>
      </c>
      <c r="H8" s="12"/>
    </row>
    <row r="9" s="1" customFormat="1" spans="1:8">
      <c r="A9" s="25">
        <v>2</v>
      </c>
      <c r="B9" s="29" t="s">
        <v>25</v>
      </c>
      <c r="C9" s="27"/>
      <c r="D9" s="12">
        <v>50</v>
      </c>
      <c r="E9" s="28" t="s">
        <v>154</v>
      </c>
      <c r="F9" s="12"/>
      <c r="G9" s="12">
        <f t="shared" ref="G9:G10" si="0">D9*F9</f>
        <v>0</v>
      </c>
      <c r="H9" s="12"/>
    </row>
    <row r="10" s="1" customFormat="1" spans="1:8">
      <c r="A10" s="25">
        <v>3</v>
      </c>
      <c r="B10" s="26" t="s">
        <v>155</v>
      </c>
      <c r="C10" s="27"/>
      <c r="D10" s="12"/>
      <c r="E10" s="28" t="s">
        <v>153</v>
      </c>
      <c r="F10" s="12"/>
      <c r="G10" s="12">
        <f t="shared" si="0"/>
        <v>0</v>
      </c>
      <c r="H10" s="12" t="s">
        <v>156</v>
      </c>
    </row>
    <row r="11" s="1" customFormat="1" spans="1:8">
      <c r="A11" s="25">
        <v>4</v>
      </c>
      <c r="B11" s="26" t="s">
        <v>157</v>
      </c>
      <c r="C11" s="27"/>
      <c r="D11" s="12">
        <v>200</v>
      </c>
      <c r="E11" s="28" t="s">
        <v>153</v>
      </c>
      <c r="F11" s="12"/>
      <c r="G11" s="12"/>
      <c r="H11" s="12"/>
    </row>
    <row r="12" s="1" customFormat="1" spans="1:8">
      <c r="A12" s="25">
        <v>5</v>
      </c>
      <c r="B12" s="26" t="s">
        <v>158</v>
      </c>
      <c r="C12" s="27"/>
      <c r="D12" s="12"/>
      <c r="E12" s="28" t="s">
        <v>153</v>
      </c>
      <c r="F12" s="12"/>
      <c r="G12" s="12"/>
      <c r="H12" s="12" t="s">
        <v>156</v>
      </c>
    </row>
    <row r="13" s="1" customFormat="1" spans="1:8">
      <c r="A13" s="25">
        <v>6</v>
      </c>
      <c r="B13" s="26" t="s">
        <v>159</v>
      </c>
      <c r="C13" s="27"/>
      <c r="D13" s="12">
        <v>100</v>
      </c>
      <c r="E13" s="28" t="s">
        <v>153</v>
      </c>
      <c r="F13" s="12"/>
      <c r="G13" s="12"/>
      <c r="H13" s="12"/>
    </row>
    <row r="14" s="1" customFormat="1" spans="1:8">
      <c r="A14" s="25">
        <v>7</v>
      </c>
      <c r="B14" s="26" t="s">
        <v>160</v>
      </c>
      <c r="C14" s="27"/>
      <c r="D14" s="12">
        <v>50</v>
      </c>
      <c r="E14" s="28" t="s">
        <v>153</v>
      </c>
      <c r="F14" s="12">
        <v>1</v>
      </c>
      <c r="G14" s="12">
        <f>D14*F14</f>
        <v>50</v>
      </c>
      <c r="H14" s="12"/>
    </row>
    <row r="15" spans="1:8">
      <c r="A15" s="21"/>
      <c r="B15" s="21"/>
      <c r="C15" s="21"/>
      <c r="D15" s="21"/>
      <c r="E15" s="21"/>
      <c r="F15" s="21"/>
      <c r="G15" s="21"/>
      <c r="H15" s="21"/>
    </row>
    <row r="20" s="23" customFormat="1" ht="40" customHeight="1" spans="2:11">
      <c r="B20" s="30" t="s">
        <v>161</v>
      </c>
      <c r="C20" s="31" t="s">
        <v>162</v>
      </c>
      <c r="D20" s="32" t="s">
        <v>163</v>
      </c>
      <c r="E20" s="32" t="s">
        <v>164</v>
      </c>
      <c r="F20" s="33" t="s">
        <v>165</v>
      </c>
      <c r="G20" s="32" t="s">
        <v>166</v>
      </c>
      <c r="H20" s="33" t="s">
        <v>167</v>
      </c>
      <c r="I20" s="33" t="s">
        <v>168</v>
      </c>
      <c r="J20" s="30" t="s">
        <v>169</v>
      </c>
      <c r="K20" s="39" t="s">
        <v>170</v>
      </c>
    </row>
    <row r="21" s="23" customFormat="1" ht="37" customHeight="1" spans="2:11">
      <c r="B21" s="34" t="s">
        <v>171</v>
      </c>
      <c r="C21" s="35" t="s">
        <v>172</v>
      </c>
      <c r="D21" s="36" t="s">
        <v>173</v>
      </c>
      <c r="E21" s="37" t="s">
        <v>174</v>
      </c>
      <c r="F21" s="38">
        <v>250</v>
      </c>
      <c r="G21" s="37">
        <v>50</v>
      </c>
      <c r="H21" s="38" t="s">
        <v>49</v>
      </c>
      <c r="I21" s="38" t="s">
        <v>49</v>
      </c>
      <c r="J21" s="38" t="s">
        <v>49</v>
      </c>
      <c r="K21" s="40">
        <f>SUM(F21:G21)</f>
        <v>300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G21">
    <cfRule type="expression" dxfId="0" priority="1" stopIfTrue="1">
      <formula>AND(COUNTIF(#REF!,G21)&gt;1,NOT(ISBLANK(G21)))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N33"/>
  <sheetViews>
    <sheetView topLeftCell="A20" workbookViewId="0">
      <selection activeCell="A33" sqref="A33"/>
    </sheetView>
  </sheetViews>
  <sheetFormatPr defaultColWidth="9" defaultRowHeight="14.25"/>
  <cols>
    <col min="1" max="1" width="12.375" customWidth="1"/>
    <col min="2" max="2" width="57.625" customWidth="1"/>
    <col min="3" max="3" width="11" customWidth="1"/>
    <col min="4" max="4" width="6.875" customWidth="1"/>
    <col min="5" max="5" width="13.125" customWidth="1"/>
    <col min="7" max="7" width="10.625" customWidth="1"/>
    <col min="8" max="8" width="15.375" customWidth="1"/>
    <col min="9" max="9" width="10.25" customWidth="1"/>
    <col min="10" max="10" width="28" customWidth="1"/>
    <col min="12" max="12" width="10.25" style="2" customWidth="1"/>
    <col min="13" max="13" width="19.75" style="2" customWidth="1"/>
    <col min="14" max="14" width="14.25" customWidth="1"/>
  </cols>
  <sheetData>
    <row r="1" ht="18.95" customHeight="1" spans="1:13">
      <c r="A1" s="3" t="s">
        <v>175</v>
      </c>
      <c r="B1" s="3"/>
      <c r="C1" s="3"/>
      <c r="D1" s="3"/>
      <c r="E1" s="3"/>
      <c r="F1" s="3"/>
      <c r="G1" s="3"/>
      <c r="H1" s="3"/>
      <c r="I1" s="3"/>
      <c r="J1" s="3"/>
      <c r="K1" s="16"/>
      <c r="L1"/>
      <c r="M1"/>
    </row>
    <row r="2" ht="14" customHeight="1" spans="1:13">
      <c r="A2" s="4" t="s">
        <v>137</v>
      </c>
      <c r="B2" s="5"/>
      <c r="C2" s="6"/>
      <c r="D2" s="7" t="s">
        <v>138</v>
      </c>
      <c r="E2" s="4" t="s">
        <v>139</v>
      </c>
      <c r="F2" s="5"/>
      <c r="G2" s="5"/>
      <c r="H2" s="5"/>
      <c r="I2" s="5"/>
      <c r="J2" s="5"/>
      <c r="K2" s="1"/>
      <c r="L2"/>
      <c r="M2"/>
    </row>
    <row r="3" ht="15" customHeight="1" spans="1:13">
      <c r="A3" s="4" t="s">
        <v>176</v>
      </c>
      <c r="B3" s="5"/>
      <c r="C3" s="6"/>
      <c r="D3" s="7" t="s">
        <v>138</v>
      </c>
      <c r="E3" s="5"/>
      <c r="F3" s="5"/>
      <c r="G3" s="5"/>
      <c r="H3" s="5"/>
      <c r="I3" s="5"/>
      <c r="J3" s="5"/>
      <c r="K3" s="16"/>
      <c r="L3"/>
      <c r="M3"/>
    </row>
    <row r="4" ht="21.95" customHeight="1" spans="1:13">
      <c r="A4" s="4" t="s">
        <v>142</v>
      </c>
      <c r="B4" s="5"/>
      <c r="C4" s="6"/>
      <c r="D4" s="7" t="s">
        <v>138</v>
      </c>
      <c r="E4" s="4" t="s">
        <v>31</v>
      </c>
      <c r="F4" s="5"/>
      <c r="G4" s="5"/>
      <c r="H4" s="5"/>
      <c r="I4" s="5"/>
      <c r="J4" s="5"/>
      <c r="K4" s="16"/>
      <c r="L4"/>
      <c r="M4"/>
    </row>
    <row r="5" customHeight="1" spans="1:13">
      <c r="A5" s="4" t="s">
        <v>143</v>
      </c>
      <c r="B5" s="5"/>
      <c r="C5" s="6"/>
      <c r="D5" s="7" t="s">
        <v>138</v>
      </c>
      <c r="E5" s="4" t="s">
        <v>144</v>
      </c>
      <c r="F5" s="5"/>
      <c r="G5" s="5"/>
      <c r="H5" s="5"/>
      <c r="I5" s="5"/>
      <c r="J5" s="5"/>
      <c r="K5" s="1"/>
      <c r="L5"/>
      <c r="M5"/>
    </row>
    <row r="6" customHeight="1" spans="1:13">
      <c r="A6" s="5"/>
      <c r="B6" s="6"/>
      <c r="C6" s="6"/>
      <c r="D6" s="7"/>
      <c r="E6" s="4"/>
      <c r="F6" s="6"/>
      <c r="G6" s="6"/>
      <c r="H6" s="6"/>
      <c r="I6" s="6"/>
      <c r="J6" s="6"/>
      <c r="K6" s="1"/>
      <c r="L6"/>
      <c r="M6"/>
    </row>
    <row r="7" s="1" customFormat="1" ht="24.95" customHeight="1" spans="1:222">
      <c r="A7" s="8" t="s">
        <v>145</v>
      </c>
      <c r="B7" s="5" t="s">
        <v>146</v>
      </c>
      <c r="C7" s="6"/>
      <c r="D7" s="6" t="s">
        <v>147</v>
      </c>
      <c r="E7" s="7" t="s">
        <v>148</v>
      </c>
      <c r="F7" s="9" t="s">
        <v>149</v>
      </c>
      <c r="G7" s="9" t="s">
        <v>150</v>
      </c>
      <c r="H7" s="9" t="s">
        <v>177</v>
      </c>
      <c r="I7" s="9"/>
      <c r="J7" s="9"/>
      <c r="L7"/>
      <c r="M7"/>
      <c r="N7"/>
      <c r="O7" s="17"/>
      <c r="P7" s="18"/>
      <c r="S7" s="13"/>
      <c r="T7" s="22"/>
      <c r="U7" s="13"/>
      <c r="V7" s="13"/>
      <c r="W7" s="17"/>
      <c r="X7" s="18"/>
      <c r="AA7" s="13"/>
      <c r="AB7" s="22"/>
      <c r="AC7" s="13"/>
      <c r="AD7" s="13"/>
      <c r="AE7" s="17"/>
      <c r="AF7" s="18"/>
      <c r="AI7" s="13"/>
      <c r="AJ7" s="22"/>
      <c r="AK7" s="13"/>
      <c r="AL7" s="13"/>
      <c r="AM7" s="17"/>
      <c r="AN7" s="18"/>
      <c r="AQ7" s="13"/>
      <c r="AR7" s="22"/>
      <c r="AS7" s="13"/>
      <c r="AT7" s="13"/>
      <c r="AU7" s="17"/>
      <c r="AV7" s="18"/>
      <c r="AY7" s="13"/>
      <c r="AZ7" s="22"/>
      <c r="BA7" s="13"/>
      <c r="BB7" s="13"/>
      <c r="BC7" s="17"/>
      <c r="BD7" s="18"/>
      <c r="BG7" s="13"/>
      <c r="BH7" s="22"/>
      <c r="BI7" s="13"/>
      <c r="BJ7" s="13"/>
      <c r="BK7" s="17"/>
      <c r="BL7" s="18"/>
      <c r="BO7" s="13"/>
      <c r="BP7" s="22"/>
      <c r="BQ7" s="13"/>
      <c r="BR7" s="13"/>
      <c r="BS7" s="17"/>
      <c r="BT7" s="18"/>
      <c r="BW7" s="13"/>
      <c r="BX7" s="22"/>
      <c r="BY7" s="13"/>
      <c r="BZ7" s="13"/>
      <c r="CA7" s="17"/>
      <c r="CB7" s="18"/>
      <c r="CE7" s="13"/>
      <c r="CF7" s="22"/>
      <c r="CG7" s="13"/>
      <c r="CH7" s="13"/>
      <c r="CI7" s="17"/>
      <c r="CJ7" s="18"/>
      <c r="CM7" s="13"/>
      <c r="CN7" s="22"/>
      <c r="CO7" s="13"/>
      <c r="CP7" s="13"/>
      <c r="CQ7" s="17"/>
      <c r="CR7" s="18"/>
      <c r="CU7" s="13"/>
      <c r="CV7" s="22"/>
      <c r="CW7" s="13"/>
      <c r="CX7" s="13"/>
      <c r="CY7" s="17"/>
      <c r="CZ7" s="18"/>
      <c r="DC7" s="13"/>
      <c r="DD7" s="22"/>
      <c r="DE7" s="13"/>
      <c r="DF7" s="13"/>
      <c r="DG7" s="17"/>
      <c r="DH7" s="18"/>
      <c r="DK7" s="13"/>
      <c r="DL7" s="22"/>
      <c r="DM7" s="13"/>
      <c r="DN7" s="13"/>
      <c r="DO7" s="17"/>
      <c r="DP7" s="18"/>
      <c r="DS7" s="13"/>
      <c r="DT7" s="22"/>
      <c r="DU7" s="13"/>
      <c r="DV7" s="13"/>
      <c r="DW7" s="17"/>
      <c r="DX7" s="18"/>
      <c r="EA7" s="13"/>
      <c r="EB7" s="22"/>
      <c r="EC7" s="13"/>
      <c r="ED7" s="13"/>
      <c r="EE7" s="17"/>
      <c r="EF7" s="18"/>
      <c r="EI7" s="13"/>
      <c r="EJ7" s="22"/>
      <c r="EK7" s="13"/>
      <c r="EL7" s="13"/>
      <c r="EM7" s="17"/>
      <c r="EN7" s="18"/>
      <c r="EQ7" s="13"/>
      <c r="ER7" s="22"/>
      <c r="ES7" s="13"/>
      <c r="ET7" s="13"/>
      <c r="EU7" s="17"/>
      <c r="EV7" s="18"/>
      <c r="EY7" s="13"/>
      <c r="EZ7" s="22"/>
      <c r="FA7" s="13"/>
      <c r="FB7" s="13"/>
      <c r="FC7" s="17"/>
      <c r="FD7" s="18"/>
      <c r="FG7" s="13"/>
      <c r="FH7" s="22"/>
      <c r="FI7" s="13"/>
      <c r="FJ7" s="13"/>
      <c r="FK7" s="17"/>
      <c r="FL7" s="18"/>
      <c r="FO7" s="13"/>
      <c r="FP7" s="22"/>
      <c r="FQ7" s="13"/>
      <c r="FR7" s="13"/>
      <c r="FS7" s="17"/>
      <c r="FT7" s="18"/>
      <c r="FW7" s="13"/>
      <c r="FX7" s="22"/>
      <c r="FY7" s="13"/>
      <c r="FZ7" s="13"/>
      <c r="GA7" s="17"/>
      <c r="GB7" s="18"/>
      <c r="GE7" s="13"/>
      <c r="GF7" s="22"/>
      <c r="GG7" s="13"/>
      <c r="GH7" s="13"/>
      <c r="GI7" s="17"/>
      <c r="GJ7" s="18"/>
      <c r="GM7" s="13"/>
      <c r="GN7" s="22"/>
      <c r="GO7" s="13"/>
      <c r="GP7" s="13"/>
      <c r="GQ7" s="17"/>
      <c r="GR7" s="18"/>
      <c r="GU7" s="13"/>
      <c r="GV7" s="22"/>
      <c r="GW7" s="13"/>
      <c r="GX7" s="13"/>
      <c r="GY7" s="17"/>
      <c r="GZ7" s="18"/>
      <c r="HC7" s="13"/>
      <c r="HD7" s="22"/>
      <c r="HE7" s="13"/>
      <c r="HF7" s="13"/>
      <c r="HG7" s="17"/>
      <c r="HH7" s="18"/>
      <c r="HK7" s="13"/>
      <c r="HL7" s="22"/>
      <c r="HM7" s="13"/>
      <c r="HN7" s="13"/>
    </row>
    <row r="8" s="1" customFormat="1" customHeight="1" spans="1:14">
      <c r="A8" s="10">
        <v>1</v>
      </c>
      <c r="B8" s="10" t="s">
        <v>178</v>
      </c>
      <c r="C8" s="10"/>
      <c r="D8" s="10">
        <v>0.4</v>
      </c>
      <c r="E8" s="10" t="s">
        <v>179</v>
      </c>
      <c r="F8" s="10"/>
      <c r="G8" s="10">
        <f t="shared" ref="G8:G14" si="0">F8*D8</f>
        <v>0</v>
      </c>
      <c r="H8" s="10">
        <v>40</v>
      </c>
      <c r="I8" s="12"/>
      <c r="J8" s="12"/>
      <c r="K8" s="19"/>
      <c r="M8"/>
      <c r="N8"/>
    </row>
    <row r="9" s="1" customFormat="1" ht="13.5" customHeight="1" spans="1:18">
      <c r="A9" s="10">
        <v>2</v>
      </c>
      <c r="B9" s="10" t="s">
        <v>180</v>
      </c>
      <c r="C9" s="10"/>
      <c r="D9" s="10">
        <v>0.65</v>
      </c>
      <c r="E9" s="10" t="s">
        <v>179</v>
      </c>
      <c r="F9" s="10"/>
      <c r="G9" s="10">
        <f t="shared" si="0"/>
        <v>0</v>
      </c>
      <c r="H9" s="10">
        <v>65</v>
      </c>
      <c r="I9" s="12"/>
      <c r="J9" s="12"/>
      <c r="K9" s="19"/>
      <c r="L9"/>
      <c r="M9"/>
      <c r="N9"/>
      <c r="O9"/>
      <c r="P9"/>
      <c r="Q9"/>
      <c r="R9"/>
    </row>
    <row r="10" s="1" customFormat="1" customHeight="1" spans="1:18">
      <c r="A10" s="10">
        <v>3</v>
      </c>
      <c r="B10" s="10" t="s">
        <v>181</v>
      </c>
      <c r="C10" s="10"/>
      <c r="D10" s="10">
        <v>0.2</v>
      </c>
      <c r="E10" s="10" t="s">
        <v>182</v>
      </c>
      <c r="F10" s="10"/>
      <c r="G10" s="10">
        <f t="shared" si="0"/>
        <v>0</v>
      </c>
      <c r="H10" s="10">
        <v>10</v>
      </c>
      <c r="I10" s="12"/>
      <c r="J10" s="12"/>
      <c r="K10" s="19"/>
      <c r="L10"/>
      <c r="M10"/>
      <c r="N10"/>
      <c r="O10"/>
      <c r="P10"/>
      <c r="Q10"/>
      <c r="R10"/>
    </row>
    <row r="11" s="1" customFormat="1" ht="30" hidden="1" customHeight="1" spans="1:18">
      <c r="A11" s="10">
        <v>4</v>
      </c>
      <c r="B11" s="10" t="s">
        <v>183</v>
      </c>
      <c r="C11" s="10"/>
      <c r="D11" s="10">
        <v>0.85</v>
      </c>
      <c r="E11" s="10" t="s">
        <v>179</v>
      </c>
      <c r="F11" s="10"/>
      <c r="G11" s="10">
        <f t="shared" si="0"/>
        <v>0</v>
      </c>
      <c r="H11" s="10">
        <v>85</v>
      </c>
      <c r="I11" s="12"/>
      <c r="J11" s="12"/>
      <c r="L11"/>
      <c r="M11"/>
      <c r="N11"/>
      <c r="O11"/>
      <c r="P11"/>
      <c r="Q11"/>
      <c r="R11"/>
    </row>
    <row r="12" s="1" customFormat="1" ht="52.5" customHeight="1" spans="1:14">
      <c r="A12" s="10">
        <v>5</v>
      </c>
      <c r="B12" s="10" t="s">
        <v>184</v>
      </c>
      <c r="C12" s="10"/>
      <c r="D12" s="10">
        <v>1.2</v>
      </c>
      <c r="E12" s="10" t="s">
        <v>179</v>
      </c>
      <c r="F12" s="10"/>
      <c r="G12" s="10">
        <f t="shared" si="0"/>
        <v>0</v>
      </c>
      <c r="H12" s="10">
        <v>120</v>
      </c>
      <c r="I12" s="12"/>
      <c r="J12" s="12"/>
      <c r="L12"/>
      <c r="M12"/>
      <c r="N12"/>
    </row>
    <row r="13" s="1" customFormat="1" ht="13.5" customHeight="1" spans="1:14">
      <c r="A13" s="10">
        <v>6</v>
      </c>
      <c r="B13" s="10" t="s">
        <v>185</v>
      </c>
      <c r="C13" s="10"/>
      <c r="D13" s="10">
        <v>9</v>
      </c>
      <c r="E13" s="10" t="s">
        <v>186</v>
      </c>
      <c r="F13" s="10"/>
      <c r="G13" s="10">
        <f t="shared" si="0"/>
        <v>0</v>
      </c>
      <c r="H13" s="10">
        <v>9</v>
      </c>
      <c r="I13" s="12"/>
      <c r="J13" s="12"/>
      <c r="L13"/>
      <c r="M13"/>
      <c r="N13"/>
    </row>
    <row r="14" s="1" customFormat="1" ht="23.25" hidden="1" customHeight="1" spans="1:14">
      <c r="A14" s="10">
        <v>7</v>
      </c>
      <c r="B14" s="10" t="s">
        <v>187</v>
      </c>
      <c r="C14" s="10"/>
      <c r="D14" s="10">
        <v>3</v>
      </c>
      <c r="E14" s="10" t="s">
        <v>188</v>
      </c>
      <c r="F14" s="10"/>
      <c r="G14" s="10">
        <f t="shared" si="0"/>
        <v>0</v>
      </c>
      <c r="H14" s="10">
        <v>12</v>
      </c>
      <c r="I14" s="12"/>
      <c r="J14" s="12"/>
      <c r="L14"/>
      <c r="M14"/>
      <c r="N14"/>
    </row>
    <row r="15" s="1" customFormat="1" ht="21.75" hidden="1" customHeight="1" spans="1:14">
      <c r="A15" s="10">
        <v>8</v>
      </c>
      <c r="B15" s="10" t="s">
        <v>189</v>
      </c>
      <c r="C15" s="10"/>
      <c r="D15" s="10">
        <v>2</v>
      </c>
      <c r="E15" s="10" t="s">
        <v>188</v>
      </c>
      <c r="F15" s="10"/>
      <c r="G15" s="10">
        <f t="shared" ref="G15:G19" si="1">F15*D15</f>
        <v>0</v>
      </c>
      <c r="H15" s="10"/>
      <c r="I15" s="12"/>
      <c r="J15" s="12"/>
      <c r="L15"/>
      <c r="M15"/>
      <c r="N15"/>
    </row>
    <row r="16" s="1" customFormat="1" ht="21.75" hidden="1" customHeight="1" spans="1:14">
      <c r="A16" s="10">
        <v>9</v>
      </c>
      <c r="B16" s="10" t="s">
        <v>190</v>
      </c>
      <c r="C16" s="10"/>
      <c r="D16" s="10">
        <v>0.48</v>
      </c>
      <c r="E16" s="10" t="s">
        <v>179</v>
      </c>
      <c r="F16" s="10"/>
      <c r="G16" s="10">
        <f t="shared" si="1"/>
        <v>0</v>
      </c>
      <c r="H16" s="10"/>
      <c r="I16" s="12"/>
      <c r="J16" s="12"/>
      <c r="L16"/>
      <c r="M16"/>
      <c r="N16"/>
    </row>
    <row r="17" s="1" customFormat="1" ht="21.75" customHeight="1" spans="1:14">
      <c r="A17" s="10">
        <v>10</v>
      </c>
      <c r="B17" s="10" t="s">
        <v>191</v>
      </c>
      <c r="C17" s="10"/>
      <c r="D17" s="10">
        <v>0.49</v>
      </c>
      <c r="E17" s="10" t="s">
        <v>179</v>
      </c>
      <c r="F17" s="10"/>
      <c r="G17" s="10">
        <f t="shared" si="1"/>
        <v>0</v>
      </c>
      <c r="H17" s="10">
        <v>49</v>
      </c>
      <c r="I17" s="12"/>
      <c r="J17" s="12"/>
      <c r="L17"/>
      <c r="M17"/>
      <c r="N17"/>
    </row>
    <row r="18" s="1" customFormat="1" ht="21.75" customHeight="1" spans="1:14">
      <c r="A18" s="10">
        <v>11</v>
      </c>
      <c r="B18" s="10" t="s">
        <v>192</v>
      </c>
      <c r="C18" s="10"/>
      <c r="D18" s="10">
        <v>480</v>
      </c>
      <c r="E18" s="10" t="s">
        <v>193</v>
      </c>
      <c r="F18" s="10"/>
      <c r="G18" s="10">
        <f t="shared" si="1"/>
        <v>0</v>
      </c>
      <c r="H18" s="10"/>
      <c r="I18" s="12"/>
      <c r="J18" s="12"/>
      <c r="L18"/>
      <c r="M18"/>
      <c r="N18"/>
    </row>
    <row r="19" s="1" customFormat="1" ht="21.75" customHeight="1" spans="1:14">
      <c r="A19" s="10">
        <v>12</v>
      </c>
      <c r="B19" s="10" t="s">
        <v>194</v>
      </c>
      <c r="C19" s="10"/>
      <c r="D19" s="10">
        <v>40</v>
      </c>
      <c r="E19" s="10" t="s">
        <v>195</v>
      </c>
      <c r="F19" s="10"/>
      <c r="G19" s="10">
        <f t="shared" si="1"/>
        <v>0</v>
      </c>
      <c r="H19" s="10" t="s">
        <v>196</v>
      </c>
      <c r="I19" s="12"/>
      <c r="J19" s="12"/>
      <c r="L19"/>
      <c r="M19"/>
      <c r="N19"/>
    </row>
    <row r="20" s="1" customFormat="1" ht="21.75" customHeight="1" spans="1:14">
      <c r="A20" s="10">
        <v>13</v>
      </c>
      <c r="B20" s="10" t="s">
        <v>197</v>
      </c>
      <c r="C20" s="10"/>
      <c r="D20" s="10" t="s">
        <v>198</v>
      </c>
      <c r="E20" s="10"/>
      <c r="F20" s="10"/>
      <c r="G20" s="10"/>
      <c r="H20" s="10"/>
      <c r="I20" s="12"/>
      <c r="J20" s="12"/>
      <c r="L20"/>
      <c r="M20"/>
      <c r="N20"/>
    </row>
    <row r="21" s="1" customFormat="1" ht="21.75" customHeight="1" spans="1:16">
      <c r="A21" s="10">
        <v>14</v>
      </c>
      <c r="B21" s="10" t="s">
        <v>199</v>
      </c>
      <c r="C21" s="10"/>
      <c r="D21" s="10">
        <v>3</v>
      </c>
      <c r="E21" s="10" t="s">
        <v>179</v>
      </c>
      <c r="F21" s="10"/>
      <c r="G21" s="10">
        <f>D21*F21</f>
        <v>0</v>
      </c>
      <c r="H21" s="10"/>
      <c r="I21" s="12"/>
      <c r="J21" s="12"/>
      <c r="K21" s="16"/>
      <c r="L21"/>
      <c r="M21"/>
      <c r="N21"/>
      <c r="O21"/>
      <c r="P21"/>
    </row>
    <row r="22" s="1" customFormat="1" ht="21.75" customHeight="1" spans="1:16">
      <c r="A22" s="10">
        <v>15</v>
      </c>
      <c r="B22" s="10" t="s">
        <v>200</v>
      </c>
      <c r="C22" s="10"/>
      <c r="D22" s="10">
        <v>1.35</v>
      </c>
      <c r="E22" s="10" t="s">
        <v>201</v>
      </c>
      <c r="F22" s="10"/>
      <c r="G22" s="10">
        <f t="shared" ref="G22:H29" si="2">D22*F22</f>
        <v>0</v>
      </c>
      <c r="H22" s="10"/>
      <c r="I22" s="12"/>
      <c r="J22" s="12"/>
      <c r="K22" s="16"/>
      <c r="L22"/>
      <c r="M22"/>
      <c r="N22"/>
      <c r="O22"/>
      <c r="P22"/>
    </row>
    <row r="23" s="1" customFormat="1" ht="21.75" customHeight="1" spans="1:16">
      <c r="A23" s="10">
        <v>16</v>
      </c>
      <c r="B23" s="10" t="s">
        <v>202</v>
      </c>
      <c r="C23" s="10"/>
      <c r="D23" s="10">
        <v>0.9</v>
      </c>
      <c r="E23" s="10" t="s">
        <v>201</v>
      </c>
      <c r="F23" s="10"/>
      <c r="G23" s="10">
        <f t="shared" si="2"/>
        <v>0</v>
      </c>
      <c r="H23" s="10"/>
      <c r="I23" s="12"/>
      <c r="J23" s="12"/>
      <c r="L23"/>
      <c r="M23"/>
      <c r="N23"/>
      <c r="O23"/>
      <c r="P23"/>
    </row>
    <row r="24" s="1" customFormat="1" ht="21.75" customHeight="1" spans="1:16">
      <c r="A24" s="10">
        <v>17</v>
      </c>
      <c r="B24" s="10" t="s">
        <v>203</v>
      </c>
      <c r="C24" s="10"/>
      <c r="D24" s="10">
        <v>1</v>
      </c>
      <c r="E24" s="10" t="s">
        <v>201</v>
      </c>
      <c r="F24" s="10"/>
      <c r="G24" s="10">
        <f t="shared" si="2"/>
        <v>0</v>
      </c>
      <c r="H24" s="10"/>
      <c r="I24" s="12"/>
      <c r="J24" s="12"/>
      <c r="K24" s="16"/>
      <c r="L24"/>
      <c r="M24"/>
      <c r="N24"/>
      <c r="O24"/>
      <c r="P24"/>
    </row>
    <row r="25" s="1" customFormat="1" ht="15.75" customHeight="1" spans="1:16">
      <c r="A25" s="10">
        <v>18</v>
      </c>
      <c r="B25" s="10" t="s">
        <v>204</v>
      </c>
      <c r="C25" s="10"/>
      <c r="D25" s="10">
        <v>1.5</v>
      </c>
      <c r="E25" s="10" t="s">
        <v>201</v>
      </c>
      <c r="F25" s="10"/>
      <c r="G25" s="10">
        <f t="shared" si="2"/>
        <v>0</v>
      </c>
      <c r="H25" s="10"/>
      <c r="I25" s="12"/>
      <c r="J25" s="12"/>
      <c r="K25" s="16"/>
      <c r="L25"/>
      <c r="M25"/>
      <c r="N25"/>
      <c r="O25"/>
      <c r="P25"/>
    </row>
    <row r="26" s="1" customFormat="1" ht="24" customHeight="1" spans="1:16">
      <c r="A26" s="10">
        <v>19</v>
      </c>
      <c r="B26" s="10" t="s">
        <v>205</v>
      </c>
      <c r="C26" s="10"/>
      <c r="D26" s="10">
        <v>1.6</v>
      </c>
      <c r="E26" s="10" t="s">
        <v>201</v>
      </c>
      <c r="F26" s="10"/>
      <c r="G26" s="10">
        <f t="shared" si="2"/>
        <v>0</v>
      </c>
      <c r="H26" s="10"/>
      <c r="I26" s="12"/>
      <c r="J26" s="20"/>
      <c r="L26"/>
      <c r="M26"/>
      <c r="N26"/>
      <c r="O26"/>
      <c r="P26"/>
    </row>
    <row r="27" s="1" customFormat="1" spans="1:16">
      <c r="A27" s="10">
        <v>20</v>
      </c>
      <c r="B27" s="10" t="s">
        <v>206</v>
      </c>
      <c r="C27" s="10"/>
      <c r="D27" s="10">
        <v>0.9</v>
      </c>
      <c r="E27" s="10" t="s">
        <v>201</v>
      </c>
      <c r="F27" s="10"/>
      <c r="G27" s="10">
        <f t="shared" si="2"/>
        <v>0</v>
      </c>
      <c r="H27" s="10"/>
      <c r="I27" s="12"/>
      <c r="J27" s="20"/>
      <c r="L27"/>
      <c r="M27"/>
      <c r="N27"/>
      <c r="O27"/>
      <c r="P27"/>
    </row>
    <row r="28" s="1" customFormat="1" spans="1:16">
      <c r="A28" s="10">
        <v>21</v>
      </c>
      <c r="B28" s="10" t="s">
        <v>207</v>
      </c>
      <c r="C28" s="10"/>
      <c r="D28" s="10">
        <v>0.8</v>
      </c>
      <c r="E28" s="10" t="s">
        <v>201</v>
      </c>
      <c r="F28" s="10"/>
      <c r="G28" s="10">
        <f t="shared" si="2"/>
        <v>0</v>
      </c>
      <c r="H28" s="10"/>
      <c r="I28" s="12"/>
      <c r="J28" s="20"/>
      <c r="L28"/>
      <c r="M28"/>
      <c r="N28"/>
      <c r="O28"/>
      <c r="P28"/>
    </row>
    <row r="29" s="1" customFormat="1" spans="1:16">
      <c r="A29" s="10">
        <v>22</v>
      </c>
      <c r="B29" s="10" t="s">
        <v>208</v>
      </c>
      <c r="C29" s="10"/>
      <c r="D29" s="10">
        <v>1</v>
      </c>
      <c r="E29" s="10" t="s">
        <v>201</v>
      </c>
      <c r="F29" s="10"/>
      <c r="G29" s="10">
        <f t="shared" si="2"/>
        <v>0</v>
      </c>
      <c r="H29" s="10"/>
      <c r="I29" s="12"/>
      <c r="J29" s="20"/>
      <c r="L29"/>
      <c r="M29"/>
      <c r="N29"/>
      <c r="O29"/>
      <c r="P29"/>
    </row>
    <row r="30" s="1" customFormat="1" spans="1:14">
      <c r="A30" s="10">
        <v>23</v>
      </c>
      <c r="B30" s="10" t="s">
        <v>209</v>
      </c>
      <c r="C30" s="11"/>
      <c r="D30" s="10">
        <v>1</v>
      </c>
      <c r="E30"/>
      <c r="F30"/>
      <c r="G30" s="12"/>
      <c r="H30" s="13"/>
      <c r="I30" s="12"/>
      <c r="J30" s="20"/>
      <c r="L30"/>
      <c r="M30"/>
      <c r="N30"/>
    </row>
    <row r="31" s="1" customFormat="1" spans="1:14">
      <c r="A31" s="10">
        <v>24</v>
      </c>
      <c r="B31" s="10" t="s">
        <v>210</v>
      </c>
      <c r="C31" s="11"/>
      <c r="D31" s="10">
        <v>0.9</v>
      </c>
      <c r="E31" s="10" t="s">
        <v>201</v>
      </c>
      <c r="F31" s="10"/>
      <c r="G31" s="10">
        <f>D31*F31</f>
        <v>0</v>
      </c>
      <c r="H31" s="13"/>
      <c r="I31" s="12"/>
      <c r="J31" s="20"/>
      <c r="L31"/>
      <c r="M31"/>
      <c r="N31"/>
    </row>
    <row r="32" spans="2:13">
      <c r="B32" s="14" t="s">
        <v>211</v>
      </c>
      <c r="C32" s="15"/>
      <c r="D32" s="15"/>
      <c r="E32" s="15"/>
      <c r="F32" s="15"/>
      <c r="G32" s="15">
        <f>SUM(G8:G31)</f>
        <v>0</v>
      </c>
      <c r="L32"/>
      <c r="M32" s="21"/>
    </row>
    <row r="33" spans="2:13">
      <c r="B33" s="14"/>
      <c r="C33" s="15"/>
      <c r="D33" s="15"/>
      <c r="E33" s="15"/>
      <c r="F33" s="15"/>
      <c r="G33" s="15"/>
      <c r="L33"/>
      <c r="M33"/>
    </row>
  </sheetData>
  <mergeCells count="10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2263B8B3-48B3-400B-A90B-BEB04E949409}">
  <ds:schemaRefs/>
</ds:datastoreItem>
</file>

<file path=customXml/itemProps3.xml><?xml version="1.0" encoding="utf-8"?>
<ds:datastoreItem xmlns:ds="http://schemas.openxmlformats.org/officeDocument/2006/customXml" ds:itemID="{6A94FDC5-43BA-4DEA-B4DF-95E93617C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Invoice</vt:lpstr>
      <vt:lpstr>InvoiceBillReport</vt:lpstr>
      <vt:lpstr>HandlingBillingReport</vt:lpstr>
      <vt:lpstr>StorageBillingRpt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2024-02-01T05:43:00Z</dcterms:created>
  <dcterms:modified xsi:type="dcterms:W3CDTF">2025-03-03T12:33:12Z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DEB3DAD3F5CA40F983D50979987FA045_13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