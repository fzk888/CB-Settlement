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nicky.cao\Desktop\Hupper\"/>
    </mc:Choice>
  </mc:AlternateContent>
  <xr:revisionPtr revIDLastSave="0" documentId="13_ncr:1_{9F146BE8-EB66-4B0E-9369-2FE1DEB9A95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8" l="1"/>
  <c r="G10" i="8"/>
  <c r="G11" i="8"/>
  <c r="G12" i="8"/>
  <c r="G13" i="8"/>
  <c r="G14" i="8"/>
  <c r="G8" i="8"/>
  <c r="G23" i="5" l="1"/>
  <c r="G9" i="9"/>
  <c r="G29" i="5"/>
  <c r="G28" i="5"/>
  <c r="G27" i="5"/>
  <c r="G26" i="5"/>
  <c r="G25" i="5"/>
  <c r="G24" i="5"/>
  <c r="G31" i="5" s="1"/>
  <c r="G33" i="5" s="1"/>
  <c r="G22" i="5"/>
  <c r="G21" i="5"/>
  <c r="G20" i="5"/>
  <c r="G19" i="5"/>
  <c r="G30" i="5" l="1"/>
  <c r="G32" i="5" s="1"/>
</calcChain>
</file>

<file path=xl/sharedStrings.xml><?xml version="1.0" encoding="utf-8"?>
<sst xmlns="http://schemas.openxmlformats.org/spreadsheetml/2006/main" count="118" uniqueCount="77">
  <si>
    <t>INVOICE</t>
  </si>
  <si>
    <t>CUSTOMER :</t>
  </si>
  <si>
    <t>HUPPER TEK Co.,Ltd</t>
  </si>
  <si>
    <t>Invoice No :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</si>
  <si>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</si>
  <si>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</si>
  <si>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</si>
  <si>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</si>
  <si>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</si>
  <si>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</si>
  <si>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</si>
  <si>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</si>
  <si>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</si>
  <si>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</si>
  <si>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</si>
  <si>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</si>
  <si>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</si>
  <si>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</si>
  <si>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</si>
  <si>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RMB</t>
  </si>
  <si>
    <t xml:space="preserve">Contairner Truck Transportation </t>
  </si>
  <si>
    <t xml:space="preserve">Continer Pre-Pick Up </t>
  </si>
  <si>
    <t xml:space="preserve">Container Discharge </t>
  </si>
  <si>
    <t xml:space="preserve">Container Overtime Discharge </t>
  </si>
  <si>
    <t>Seafreight</t>
  </si>
  <si>
    <t>USD</t>
  </si>
  <si>
    <t>Local Fee</t>
  </si>
  <si>
    <r>
      <rPr>
        <sz val="11"/>
        <rFont val="Times New Roman"/>
        <family val="1"/>
      </rPr>
      <t>Customs checkpost Service</t>
    </r>
    <r>
      <rPr>
        <sz val="11"/>
        <rFont val="Yu Gothic"/>
        <family val="2"/>
        <charset val="128"/>
      </rPr>
      <t>卡口异常</t>
    </r>
    <r>
      <rPr>
        <sz val="11"/>
        <rFont val="Times New Roman"/>
        <family val="1"/>
      </rPr>
      <t>处</t>
    </r>
    <r>
      <rPr>
        <sz val="11"/>
        <rFont val="Yu Gothic"/>
        <family val="2"/>
        <charset val="128"/>
      </rPr>
      <t>理</t>
    </r>
    <r>
      <rPr>
        <sz val="11"/>
        <rFont val="Times New Roman"/>
        <family val="1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</si>
  <si>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</si>
  <si>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</si>
  <si>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</si>
  <si>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</si>
  <si>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</si>
  <si>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</si>
  <si>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</si>
  <si>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</si>
  <si>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</si>
  <si>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</si>
  <si>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</si>
  <si>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</si>
  <si>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</si>
  <si>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</si>
  <si>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</si>
  <si>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</si>
  <si>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r>
      <rPr>
        <sz val="9"/>
        <rFont val="等线"/>
      </rPr>
      <t>Customer</t>
    </r>
  </si>
  <si>
    <r>
      <rPr>
        <sz val="9"/>
        <rFont val="等线"/>
      </rPr>
      <t>HUPPER_SH</t>
    </r>
  </si>
  <si>
    <r>
      <rPr>
        <sz val="9"/>
        <rFont val="等线"/>
      </rPr>
      <t>Trans Code</t>
    </r>
  </si>
  <si>
    <r>
      <rPr>
        <sz val="8"/>
        <rFont val="等线"/>
      </rPr>
      <t xml:space="preserve"> :</t>
    </r>
  </si>
  <si>
    <r>
      <rPr>
        <sz val="9"/>
        <rFont val="等线"/>
      </rPr>
      <t>For Storage Dated</t>
    </r>
  </si>
  <si>
    <t>Remark</t>
  </si>
  <si>
    <r>
      <rPr>
        <sz val="9"/>
        <rFont val="等线"/>
      </rPr>
      <t xml:space="preserve">Charge Grp </t>
    </r>
  </si>
  <si>
    <t>Serive code</t>
  </si>
  <si>
    <t>Service</t>
  </si>
  <si>
    <t>Unit Price</t>
  </si>
  <si>
    <t>Uom</t>
  </si>
  <si>
    <t>Qty</t>
  </si>
  <si>
    <t>Total Amount  (RMB)</t>
  </si>
  <si>
    <t>TRANSPORTATION BILLING REPORT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</si>
  <si>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</si>
  <si>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</si>
  <si>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</si>
  <si>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family val="1"/>
      </rPr>
      <t>Container Transportataion (YangShan--&gt;WGQ)</t>
    </r>
    <r>
      <rPr>
        <sz val="9"/>
        <color rgb="FF000000"/>
        <rFont val="微软雅黑"/>
        <family val="2"/>
      </rPr>
      <t>运输费</t>
    </r>
  </si>
  <si>
    <r>
      <rPr>
        <sz val="9"/>
        <color theme="1"/>
        <rFont val="SansSerif"/>
        <family val="1"/>
      </rPr>
      <t>Container Transportataion (YangShan--&gt;WGQ)</t>
    </r>
    <r>
      <rPr>
        <sz val="9"/>
        <color indexed="8"/>
        <rFont val="微软雅黑"/>
        <family val="2"/>
      </rPr>
      <t>运输费</t>
    </r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</si>
  <si>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</si>
  <si>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</si>
  <si>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</si>
  <si>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</si>
  <si>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</si>
  <si>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</si>
  <si>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</si>
  <si>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</si>
  <si>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t>Container Pre-Pick up  预提箱</t>
    <phoneticPr fontId="27" type="noConversion"/>
  </si>
  <si>
    <t>Container Pre-Pick up</t>
    <phoneticPr fontId="27" type="noConversion"/>
  </si>
  <si>
    <r>
      <t>WY420U10219</t>
    </r>
    <r>
      <rPr>
        <sz val="9"/>
        <color indexed="8"/>
        <rFont val="微软雅黑"/>
        <family val="2"/>
      </rPr>
      <t xml:space="preserve"> </t>
    </r>
    <r>
      <rPr>
        <sz val="9"/>
        <color rgb="FF000000"/>
        <rFont val="Calibri"/>
        <family val="2"/>
      </rPr>
      <t>Sea Freight</t>
    </r>
    <phoneticPr fontId="27" type="noConversion"/>
  </si>
  <si>
    <t>WY420U10219 Local Charges</t>
    <phoneticPr fontId="27" type="noConversion"/>
  </si>
  <si>
    <t>YSHUPPER202501</t>
    <phoneticPr fontId="27" type="noConversion"/>
  </si>
  <si>
    <t>B/L:WY420U10219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</si>
</sst>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30">
    <font>
      <sz val="11"/>
      <color theme="1"/>
      <name val="等线"/>
      <charset val="134"/>
      <scheme val="minor"/>
    </font>
    <font>
      <b/>
      <sz val="13"/>
      <name val="等线"/>
    </font>
    <font>
      <sz val="9"/>
      <color rgb="FF000000"/>
      <name val="SansSerif"/>
      <family val="1"/>
    </font>
    <font>
      <sz val="8"/>
      <color rgb="FF000000"/>
      <name val="SansSerif"/>
      <family val="1"/>
    </font>
    <font>
      <sz val="9"/>
      <name val="等线"/>
    </font>
    <font>
      <sz val="10"/>
      <color theme="1"/>
      <name val="SansSerif"/>
      <family val="1"/>
    </font>
    <font>
      <sz val="10"/>
      <color theme="1"/>
      <name val="等线"/>
    </font>
    <font>
      <sz val="9"/>
      <color theme="1"/>
      <name val="SansSerif"/>
      <family val="1"/>
    </font>
    <font>
      <sz val="9"/>
      <color theme="1"/>
      <name val="等线"/>
    </font>
    <font>
      <sz val="9"/>
      <color theme="1"/>
      <name val="微软雅黑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sz val="12"/>
      <color indexed="8"/>
      <name val="Calibri"/>
      <family val="2"/>
    </font>
    <font>
      <u/>
      <sz val="11"/>
      <color indexed="12"/>
      <name val="宋体"/>
      <family val="1"/>
      <charset val="134"/>
    </font>
    <font>
      <sz val="10"/>
      <name val="Tahoma"/>
      <family val="2"/>
    </font>
    <font>
      <sz val="8"/>
      <color indexed="63"/>
      <name val="Tahoma"/>
      <family val="2"/>
    </font>
    <font>
      <b/>
      <sz val="11"/>
      <name val="Times New Roman"/>
      <family val="1"/>
    </font>
    <font>
      <sz val="9"/>
      <name val="Arial"/>
      <family val="2"/>
    </font>
    <font>
      <sz val="11"/>
      <color indexed="8"/>
      <name val="宋体"/>
      <charset val="134"/>
    </font>
    <font>
      <sz val="9"/>
      <color indexed="8"/>
      <name val="微软雅黑"/>
      <family val="2"/>
    </font>
    <font>
      <sz val="9"/>
      <color rgb="FF000000"/>
      <name val="微软雅黑"/>
      <family val="2"/>
    </font>
    <font>
      <sz val="11"/>
      <name val="Yu Gothic"/>
      <family val="2"/>
      <charset val="128"/>
    </font>
    <font>
      <sz val="8"/>
      <name val="等线"/>
    </font>
    <font>
      <sz val="11"/>
      <color theme="1"/>
      <name val="等线"/>
      <scheme val="minor"/>
    </font>
    <font>
      <sz val="9"/>
      <name val="等线"/>
      <scheme val="minor"/>
    </font>
    <font>
      <sz val="9"/>
      <color rgb="FF000000"/>
      <name val="Calibri"/>
      <family val="2"/>
    </font>
    <font>
      <sz val="9"/>
      <color theme="1"/>
      <name val="SansSerif"/>
      <family val="1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13" fillId="0" borderId="0"/>
    <xf numFmtId="176" fontId="13" fillId="0" borderId="0"/>
    <xf numFmtId="176" fontId="2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26" fillId="0" borderId="0" xfId="2">
      <alignment vertical="center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 applyProtection="1">
      <alignment horizontal="left" vertical="top" wrapText="1"/>
      <protection locked="0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top" wrapText="1"/>
    </xf>
    <xf numFmtId="0" fontId="5" fillId="0" borderId="0" xfId="2" applyFont="1" applyAlignment="1">
      <alignment horizontal="center"/>
    </xf>
    <xf numFmtId="0" fontId="6" fillId="0" borderId="0" xfId="2" applyFont="1" applyAlignment="1">
      <alignment wrapText="1"/>
    </xf>
    <xf numFmtId="0" fontId="5" fillId="0" borderId="0" xfId="2" applyFont="1">
      <alignment vertical="center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7" fillId="0" borderId="0" xfId="2" applyFo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2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" applyFont="1"/>
    <xf numFmtId="177" fontId="10" fillId="0" borderId="0" xfId="5" applyNumberFormat="1" applyFont="1"/>
    <xf numFmtId="176" fontId="12" fillId="0" borderId="0" xfId="5" applyFont="1"/>
    <xf numFmtId="177" fontId="12" fillId="0" borderId="0" xfId="5" applyNumberFormat="1" applyFont="1"/>
    <xf numFmtId="176" fontId="13" fillId="0" borderId="0" xfId="5"/>
    <xf numFmtId="176" fontId="14" fillId="0" borderId="0" xfId="5" applyFont="1"/>
    <xf numFmtId="177" fontId="14" fillId="0" borderId="0" xfId="5" applyNumberFormat="1" applyFont="1"/>
    <xf numFmtId="176" fontId="12" fillId="0" borderId="0" xfId="5" applyFont="1" applyAlignment="1">
      <alignment horizontal="right"/>
    </xf>
    <xf numFmtId="176" fontId="15" fillId="0" borderId="0" xfId="6" applyFont="1" applyAlignment="1">
      <alignment vertical="center"/>
    </xf>
    <xf numFmtId="15" fontId="12" fillId="0" borderId="0" xfId="5" applyNumberFormat="1" applyFont="1" applyAlignment="1">
      <alignment horizontal="right"/>
    </xf>
    <xf numFmtId="176" fontId="16" fillId="0" borderId="0" xfId="1" applyAlignment="1" applyProtection="1"/>
    <xf numFmtId="176" fontId="17" fillId="0" borderId="0" xfId="6" applyFont="1"/>
    <xf numFmtId="176" fontId="18" fillId="0" borderId="0" xfId="6" applyFont="1"/>
    <xf numFmtId="176" fontId="19" fillId="0" borderId="2" xfId="5" applyFont="1" applyBorder="1" applyAlignment="1">
      <alignment horizontal="center" vertical="center"/>
    </xf>
    <xf numFmtId="177" fontId="19" fillId="0" borderId="4" xfId="5" applyNumberFormat="1" applyFont="1" applyBorder="1" applyAlignment="1">
      <alignment horizontal="center" vertical="center"/>
    </xf>
    <xf numFmtId="176" fontId="19" fillId="0" borderId="5" xfId="5" applyFont="1" applyBorder="1" applyAlignment="1">
      <alignment horizontal="center" vertical="center"/>
    </xf>
    <xf numFmtId="177" fontId="13" fillId="0" borderId="0" xfId="6" applyNumberFormat="1"/>
    <xf numFmtId="176" fontId="13" fillId="0" borderId="6" xfId="5" applyBorder="1"/>
    <xf numFmtId="176" fontId="12" fillId="0" borderId="0" xfId="5" applyFont="1" applyAlignment="1">
      <alignment vertical="center"/>
    </xf>
    <xf numFmtId="177" fontId="12" fillId="0" borderId="7" xfId="5" applyNumberFormat="1" applyFont="1" applyBorder="1" applyAlignment="1">
      <alignment vertical="center"/>
    </xf>
    <xf numFmtId="39" fontId="12" fillId="0" borderId="7" xfId="7" applyNumberFormat="1" applyFont="1" applyBorder="1" applyAlignment="1">
      <alignment horizontal="center" vertical="center"/>
    </xf>
    <xf numFmtId="176" fontId="12" fillId="0" borderId="0" xfId="5" applyFont="1" applyAlignment="1">
      <alignment horizontal="center" vertical="center"/>
    </xf>
    <xf numFmtId="178" fontId="12" fillId="0" borderId="7" xfId="5" applyNumberFormat="1" applyFont="1" applyBorder="1" applyAlignment="1">
      <alignment vertical="center"/>
    </xf>
    <xf numFmtId="177" fontId="12" fillId="0" borderId="6" xfId="5" applyNumberFormat="1" applyFont="1" applyBorder="1" applyAlignment="1">
      <alignment vertical="center"/>
    </xf>
    <xf numFmtId="177" fontId="12" fillId="0" borderId="10" xfId="5" applyNumberFormat="1" applyFont="1" applyBorder="1" applyAlignment="1">
      <alignment vertical="center"/>
    </xf>
    <xf numFmtId="39" fontId="12" fillId="0" borderId="11" xfId="7" applyNumberFormat="1" applyFont="1" applyBorder="1" applyAlignment="1">
      <alignment horizontal="center" vertical="center"/>
    </xf>
    <xf numFmtId="176" fontId="12" fillId="0" borderId="9" xfId="5" applyFont="1" applyBorder="1" applyAlignment="1">
      <alignment horizontal="center" vertical="center"/>
    </xf>
    <xf numFmtId="178" fontId="12" fillId="0" borderId="11" xfId="5" applyNumberFormat="1" applyFont="1" applyBorder="1" applyAlignment="1">
      <alignment vertical="center"/>
    </xf>
    <xf numFmtId="177" fontId="12" fillId="0" borderId="0" xfId="5" applyNumberFormat="1" applyFont="1" applyAlignment="1">
      <alignment vertical="center"/>
    </xf>
    <xf numFmtId="176" fontId="19" fillId="0" borderId="8" xfId="5" applyFont="1" applyBorder="1" applyAlignment="1">
      <alignment vertical="center"/>
    </xf>
    <xf numFmtId="176" fontId="19" fillId="0" borderId="9" xfId="5" applyFont="1" applyBorder="1" applyAlignment="1">
      <alignment horizontal="center" vertical="center"/>
    </xf>
    <xf numFmtId="178" fontId="19" fillId="0" borderId="10" xfId="5" applyNumberFormat="1" applyFont="1" applyBorder="1" applyAlignment="1">
      <alignment vertical="center"/>
    </xf>
    <xf numFmtId="176" fontId="10" fillId="0" borderId="0" xfId="5" applyFont="1" applyAlignment="1">
      <alignment vertical="center"/>
    </xf>
    <xf numFmtId="177" fontId="10" fillId="0" borderId="0" xfId="5" applyNumberFormat="1" applyFont="1" applyAlignment="1">
      <alignment vertical="center"/>
    </xf>
    <xf numFmtId="176" fontId="20" fillId="0" borderId="0" xfId="6" applyFont="1" applyAlignment="1">
      <alignment horizontal="center"/>
    </xf>
    <xf numFmtId="178" fontId="10" fillId="0" borderId="0" xfId="5" applyNumberFormat="1" applyFont="1"/>
    <xf numFmtId="176" fontId="13" fillId="0" borderId="0" xfId="6"/>
    <xf numFmtId="0" fontId="29" fillId="0" borderId="0" xfId="2" applyFont="1" applyAlignment="1">
      <alignment horizontal="left"/>
    </xf>
    <xf numFmtId="176" fontId="11" fillId="0" borderId="0" xfId="5" applyFont="1" applyAlignment="1">
      <alignment horizontal="center"/>
    </xf>
    <xf numFmtId="176" fontId="19" fillId="0" borderId="1" xfId="5" applyFont="1" applyBorder="1" applyAlignment="1">
      <alignment horizontal="center" vertical="center"/>
    </xf>
    <xf numFmtId="176" fontId="19" fillId="0" borderId="2" xfId="5" applyFont="1" applyBorder="1" applyAlignment="1">
      <alignment horizontal="center" vertical="center"/>
    </xf>
    <xf numFmtId="176" fontId="19" fillId="0" borderId="3" xfId="5" applyFont="1" applyBorder="1" applyAlignment="1">
      <alignment horizontal="center" vertical="center"/>
    </xf>
    <xf numFmtId="176" fontId="12" fillId="0" borderId="8" xfId="5" applyFont="1" applyBorder="1" applyAlignment="1">
      <alignment vertical="center"/>
    </xf>
    <xf numFmtId="176" fontId="12" fillId="0" borderId="9" xfId="5" applyFont="1" applyBorder="1" applyAlignment="1">
      <alignment vertical="center"/>
    </xf>
    <xf numFmtId="176" fontId="12" fillId="0" borderId="10" xfId="5" applyFont="1" applyBorder="1" applyAlignment="1">
      <alignment vertical="center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0" xfId="2" applyFont="1" applyAlignment="1">
      <alignment horizontal="center" vertical="top" wrapText="1"/>
    </xf>
  </cellXfs>
  <cellStyles count="8">
    <cellStyle name="常规" xfId="0" builtinId="0"/>
    <cellStyle name="常规 2" xfId="2" xr:uid="{00000000-0005-0000-0000-000031000000}"/>
    <cellStyle name="常规 3" xfId="3" xr:uid="{00000000-0005-0000-0000-000032000000}"/>
    <cellStyle name="常规 4" xfId="4" xr:uid="{00000000-0005-0000-0000-000033000000}"/>
    <cellStyle name="常规_Motorola Billing for YANGshan invoice02" xfId="5" xr:uid="{00000000-0005-0000-0000-000034000000}"/>
    <cellStyle name="常规_YCH-SH billing report of FG-SADMG 1May'11" xfId="6" xr:uid="{00000000-0005-0000-0000-000035000000}"/>
    <cellStyle name="超链接" xfId="1" builtinId="8"/>
    <cellStyle name="千位分隔_Motorola Billing for YANGshan invoice02 2" xfId="7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opLeftCell="A6" workbookViewId="0">
      <selection activeCell="M12" sqref="M12"/>
    </sheetView>
  </sheetViews>
  <sheetFormatPr defaultColWidth="9" defaultRowHeight="13.8"/>
  <cols>
    <col min="1" max="3" width="14.109375" customWidth="1"/>
    <col min="4" max="4" width="9" style="17" customWidth="1"/>
    <col min="5" max="5" width="9.6640625" bestFit="1" customWidth="1"/>
    <col min="6" max="6" width="11.33203125" customWidth="1"/>
    <col min="7" max="7" width="18.88671875" customWidth="1"/>
    <col min="8" max="8" width="13.109375" customWidth="1"/>
    <col min="9" max="11" width="10.33203125" customWidth="1"/>
  </cols>
  <sheetData>
    <row r="1" spans="1:7">
      <c r="A1" s="18"/>
      <c r="B1" s="18"/>
      <c r="C1" s="18"/>
      <c r="D1" s="19"/>
      <c r="E1" s="18"/>
      <c r="F1" s="18"/>
      <c r="G1" s="18"/>
    </row>
    <row r="2" spans="1:7" ht="17.399999999999999">
      <c r="A2" s="56" t="s">
        <v>0</v>
      </c>
      <c r="B2" s="56"/>
      <c r="C2" s="56"/>
      <c r="D2" s="56"/>
      <c r="E2" s="56"/>
      <c r="F2" s="56"/>
      <c r="G2" s="56"/>
    </row>
    <row r="3" spans="1:7">
      <c r="A3" s="18"/>
      <c r="B3" s="18"/>
      <c r="C3" s="18"/>
      <c r="D3" s="19"/>
      <c r="E3" s="18"/>
      <c r="F3" s="18"/>
      <c r="G3" s="18"/>
    </row>
    <row r="4" spans="1:7">
      <c r="A4" s="18"/>
      <c r="B4" s="18"/>
      <c r="C4" s="18"/>
      <c r="D4" s="19"/>
      <c r="E4" s="18"/>
      <c r="F4" s="18"/>
      <c r="G4" s="18"/>
    </row>
    <row r="5" spans="1:7">
      <c r="A5" s="20" t="s">
        <v>1</v>
      </c>
      <c r="B5" s="20"/>
      <c r="C5" s="20"/>
      <c r="D5" s="21"/>
      <c r="E5" s="20"/>
      <c r="F5" s="20"/>
      <c r="G5" s="20"/>
    </row>
    <row r="6" spans="1:7">
      <c r="A6" s="22"/>
      <c r="B6" s="22"/>
      <c r="C6" s="22"/>
      <c r="D6" s="21"/>
      <c r="E6" s="20"/>
      <c r="F6" s="20"/>
      <c r="G6" s="20"/>
    </row>
    <row r="7" spans="1:7">
      <c r="A7" s="20" t="s">
        <v>2</v>
      </c>
      <c r="B7" s="23"/>
      <c r="C7" s="23"/>
      <c r="D7" s="24"/>
      <c r="E7" s="20"/>
      <c r="F7" s="20" t="s">
        <v>3</v>
      </c>
      <c r="G7" s="25" t="s">
        <v>75</v>
      </c>
    </row>
    <row r="8" spans="1:7" ht="15.6">
      <c r="A8" s="20" t="s">
        <v>4</v>
      </c>
      <c r="B8" s="26"/>
      <c r="C8" s="26"/>
      <c r="D8" s="24"/>
      <c r="E8" s="20"/>
      <c r="F8" s="20" t="s">
        <v>5</v>
      </c>
      <c r="G8" s="27">
        <v>45688</v>
      </c>
    </row>
    <row r="9" spans="1:7" ht="15.6">
      <c r="A9" s="20" t="s">
        <v>6</v>
      </c>
      <c r="B9" s="26"/>
      <c r="C9" s="26"/>
      <c r="D9" s="24"/>
      <c r="E9" s="20"/>
      <c r="F9" s="20" t="s">
        <v>7</v>
      </c>
      <c r="G9" s="25"/>
    </row>
    <row r="10" spans="1:7" ht="15.6">
      <c r="A10" s="20" t="s">
        <v>8</v>
      </c>
      <c r="B10" s="26"/>
      <c r="C10" s="26"/>
      <c r="D10" s="24"/>
      <c r="E10" s="20"/>
      <c r="F10" s="20" t="s">
        <v>9</v>
      </c>
      <c r="G10" s="20"/>
    </row>
    <row r="11" spans="1:7" ht="15.6">
      <c r="A11" s="26"/>
      <c r="B11" s="23"/>
      <c r="C11" s="23"/>
      <c r="D11" s="24"/>
      <c r="E11" s="20"/>
      <c r="F11" s="20"/>
      <c r="G11" s="20"/>
    </row>
    <row r="12" spans="1:7">
      <c r="A12" s="20"/>
      <c r="B12" s="20"/>
      <c r="C12" s="20"/>
      <c r="D12" s="21"/>
      <c r="E12" s="20"/>
      <c r="F12" s="20"/>
      <c r="G12" s="20"/>
    </row>
    <row r="13" spans="1:7" ht="15.6">
      <c r="A13" s="20" t="s">
        <v>10</v>
      </c>
      <c r="B13" s="26" t="s">
        <v>11</v>
      </c>
      <c r="C13" s="20"/>
      <c r="D13" s="21"/>
      <c r="E13" s="20"/>
      <c r="F13" s="20"/>
      <c r="G13" s="20"/>
    </row>
    <row r="14" spans="1:7" ht="14.4">
      <c r="A14" s="20" t="s">
        <v>12</v>
      </c>
      <c r="B14" s="28" t="s">
        <v>13</v>
      </c>
      <c r="C14" s="29"/>
      <c r="D14" s="21"/>
      <c r="E14" s="20"/>
      <c r="F14" s="20"/>
      <c r="G14" s="20"/>
    </row>
    <row r="15" spans="1:7">
      <c r="A15" s="20"/>
      <c r="B15" s="30"/>
      <c r="C15" s="20"/>
      <c r="D15" s="21"/>
      <c r="E15" s="20"/>
      <c r="F15" s="20"/>
      <c r="G15" s="20"/>
    </row>
    <row r="16" spans="1:7">
      <c r="A16" s="20"/>
      <c r="B16" s="20"/>
      <c r="C16" s="20"/>
      <c r="D16" s="21"/>
      <c r="E16" s="20"/>
      <c r="F16" s="20"/>
      <c r="G16" s="20"/>
    </row>
    <row r="17" spans="1:9">
      <c r="A17" s="18"/>
      <c r="B17" s="18"/>
      <c r="C17" s="18"/>
      <c r="D17" s="19"/>
      <c r="E17" s="18"/>
      <c r="F17" s="18"/>
      <c r="G17" s="18"/>
    </row>
    <row r="18" spans="1:9" ht="14.4" thickBot="1">
      <c r="A18" s="57" t="s">
        <v>14</v>
      </c>
      <c r="B18" s="58"/>
      <c r="C18" s="59"/>
      <c r="D18" s="32" t="s">
        <v>15</v>
      </c>
      <c r="E18" s="31" t="s">
        <v>16</v>
      </c>
      <c r="F18" s="31" t="s">
        <v>17</v>
      </c>
      <c r="G18" s="33" t="s">
        <v>18</v>
      </c>
    </row>
    <row r="19" spans="1:9">
      <c r="A19" s="20" t="s">
        <v>20</v>
      </c>
      <c r="C19" s="35"/>
      <c r="D19" s="37"/>
      <c r="E19" s="38">
        <v>1545</v>
      </c>
      <c r="F19" s="39" t="s">
        <v>19</v>
      </c>
      <c r="G19" s="40">
        <f t="shared" ref="G19:G29" si="0">D19*E19</f>
        <v>0</v>
      </c>
      <c r="H19" s="34"/>
      <c r="I19" s="34"/>
    </row>
    <row r="20" spans="1:9">
      <c r="A20" s="20" t="s">
        <v>21</v>
      </c>
      <c r="C20" s="35"/>
      <c r="D20" s="37"/>
      <c r="E20" s="38">
        <v>430</v>
      </c>
      <c r="F20" s="39" t="s">
        <v>19</v>
      </c>
      <c r="G20" s="40">
        <f t="shared" si="0"/>
        <v>0</v>
      </c>
      <c r="H20" s="34"/>
      <c r="I20" s="34"/>
    </row>
    <row r="21" spans="1:9">
      <c r="A21" s="20" t="s">
        <v>22</v>
      </c>
      <c r="C21" s="35"/>
      <c r="D21" s="41"/>
      <c r="E21" s="38">
        <v>340</v>
      </c>
      <c r="F21" s="39" t="s">
        <v>19</v>
      </c>
      <c r="G21" s="40">
        <f t="shared" si="0"/>
        <v>0</v>
      </c>
      <c r="H21" s="34"/>
      <c r="I21" s="34"/>
    </row>
    <row r="22" spans="1:9">
      <c r="A22" s="20" t="s">
        <v>23</v>
      </c>
      <c r="C22" s="35"/>
      <c r="D22" s="41">
        <v>5</v>
      </c>
      <c r="E22" s="38">
        <v>31</v>
      </c>
      <c r="F22" s="39" t="s">
        <v>19</v>
      </c>
      <c r="G22" s="40">
        <f t="shared" si="0"/>
        <v>155</v>
      </c>
      <c r="H22" s="34"/>
      <c r="I22" s="34"/>
    </row>
    <row r="23" spans="1:9">
      <c r="A23" s="20" t="s">
        <v>72</v>
      </c>
      <c r="C23" s="35"/>
      <c r="D23" s="41"/>
      <c r="E23" s="38">
        <v>450</v>
      </c>
      <c r="F23" s="39" t="s">
        <v>19</v>
      </c>
      <c r="G23" s="40">
        <f t="shared" si="0"/>
        <v>0</v>
      </c>
      <c r="H23" s="34"/>
      <c r="I23" s="34"/>
    </row>
    <row r="24" spans="1:9">
      <c r="A24" s="20" t="s">
        <v>24</v>
      </c>
      <c r="C24" s="35"/>
      <c r="D24" s="41">
        <v>1</v>
      </c>
      <c r="E24" s="38">
        <v>4085</v>
      </c>
      <c r="F24" s="39" t="s">
        <v>25</v>
      </c>
      <c r="G24" s="40">
        <f t="shared" si="0"/>
        <v>4085</v>
      </c>
      <c r="H24" s="34"/>
      <c r="I24" s="34"/>
    </row>
    <row r="25" spans="1:9">
      <c r="A25" s="20" t="s">
        <v>26</v>
      </c>
      <c r="C25" s="35"/>
      <c r="D25" s="41">
        <v>1</v>
      </c>
      <c r="E25" s="38">
        <v>3850</v>
      </c>
      <c r="F25" s="39" t="s">
        <v>19</v>
      </c>
      <c r="G25" s="40">
        <f t="shared" si="0"/>
        <v>3850</v>
      </c>
      <c r="H25" s="34"/>
      <c r="I25" s="34"/>
    </row>
    <row r="26" spans="1:9" ht="18">
      <c r="A26" s="20" t="s">
        <v>27</v>
      </c>
      <c r="C26" s="35"/>
      <c r="D26" s="41"/>
      <c r="E26" s="38">
        <v>200</v>
      </c>
      <c r="F26" s="39" t="s">
        <v>19</v>
      </c>
      <c r="G26" s="40">
        <f t="shared" si="0"/>
        <v>0</v>
      </c>
      <c r="H26" s="34"/>
      <c r="I26" s="34"/>
    </row>
    <row r="27" spans="1:9">
      <c r="A27" s="14" t="s">
        <v>28</v>
      </c>
      <c r="C27" s="35"/>
      <c r="D27" s="41"/>
      <c r="E27" s="38">
        <v>1200</v>
      </c>
      <c r="F27" s="39" t="s">
        <v>19</v>
      </c>
      <c r="G27" s="40">
        <f t="shared" si="0"/>
        <v>0</v>
      </c>
      <c r="H27" s="34"/>
      <c r="I27" s="34"/>
    </row>
    <row r="28" spans="1:9">
      <c r="A28" s="11" t="s">
        <v>29</v>
      </c>
      <c r="C28" s="35"/>
      <c r="D28" s="41"/>
      <c r="E28" s="38">
        <v>920</v>
      </c>
      <c r="F28" s="39" t="s">
        <v>19</v>
      </c>
      <c r="G28" s="40">
        <f t="shared" si="0"/>
        <v>0</v>
      </c>
      <c r="H28" s="34"/>
      <c r="I28" s="34"/>
    </row>
    <row r="29" spans="1:9">
      <c r="A29" s="11" t="s">
        <v>30</v>
      </c>
      <c r="C29" s="35"/>
      <c r="D29" s="41"/>
      <c r="E29" s="38">
        <v>385</v>
      </c>
      <c r="F29" s="39" t="s">
        <v>19</v>
      </c>
      <c r="G29" s="40">
        <f t="shared" si="0"/>
        <v>0</v>
      </c>
      <c r="H29" s="34"/>
      <c r="I29" s="34"/>
    </row>
    <row r="30" spans="1:9">
      <c r="A30" s="20" t="s">
        <v>31</v>
      </c>
      <c r="C30" s="35"/>
      <c r="D30" s="41"/>
      <c r="E30" s="38"/>
      <c r="F30" s="39" t="s">
        <v>19</v>
      </c>
      <c r="G30" s="40">
        <f>SUM(G19:G23)+G25</f>
        <v>4005</v>
      </c>
      <c r="H30" s="34"/>
      <c r="I30" s="34"/>
    </row>
    <row r="31" spans="1:9">
      <c r="A31" s="60" t="s">
        <v>31</v>
      </c>
      <c r="B31" s="61"/>
      <c r="C31" s="62"/>
      <c r="D31" s="42"/>
      <c r="E31" s="43"/>
      <c r="F31" s="44" t="s">
        <v>25</v>
      </c>
      <c r="G31" s="45">
        <f>G24</f>
        <v>4085</v>
      </c>
      <c r="H31" s="34"/>
      <c r="I31" s="34"/>
    </row>
    <row r="32" spans="1:9">
      <c r="A32" s="36"/>
      <c r="B32" s="36"/>
      <c r="C32" s="36"/>
      <c r="D32" s="46"/>
      <c r="E32" s="47" t="s">
        <v>32</v>
      </c>
      <c r="F32" s="48" t="s">
        <v>19</v>
      </c>
      <c r="G32" s="49">
        <f>G30</f>
        <v>4005</v>
      </c>
      <c r="H32" s="34"/>
      <c r="I32" s="34"/>
    </row>
    <row r="33" spans="1:13">
      <c r="A33" s="50"/>
      <c r="B33" s="50"/>
      <c r="C33" s="50"/>
      <c r="D33" s="51"/>
      <c r="E33" s="47" t="s">
        <v>32</v>
      </c>
      <c r="F33" s="48" t="s">
        <v>25</v>
      </c>
      <c r="G33" s="49">
        <f>G31</f>
        <v>4085</v>
      </c>
      <c r="H33" s="52"/>
      <c r="I33" s="34"/>
      <c r="J33" s="34"/>
    </row>
    <row r="34" spans="1:13">
      <c r="A34" s="18"/>
      <c r="B34" s="18"/>
      <c r="C34" s="18"/>
      <c r="D34" s="19"/>
      <c r="E34" s="18"/>
      <c r="F34" s="18"/>
      <c r="G34" s="53"/>
      <c r="H34" s="52"/>
    </row>
    <row r="35" spans="1:13">
      <c r="A35" s="18"/>
      <c r="B35" s="18"/>
      <c r="C35" s="18"/>
      <c r="D35" s="19"/>
      <c r="E35" s="18"/>
      <c r="F35" s="18"/>
      <c r="G35" s="53"/>
      <c r="H35" s="52"/>
    </row>
    <row r="36" spans="1:13">
      <c r="A36" s="18"/>
      <c r="B36" s="18"/>
      <c r="C36" s="18"/>
      <c r="D36" s="19"/>
      <c r="E36" s="52"/>
      <c r="F36" s="52"/>
      <c r="G36" s="52"/>
      <c r="H36" s="52"/>
      <c r="I36" s="52"/>
      <c r="J36" s="52"/>
      <c r="K36" s="52"/>
      <c r="L36" s="52"/>
      <c r="M36" s="52"/>
    </row>
    <row r="37" spans="1:13">
      <c r="A37" s="52"/>
      <c r="B37" s="18"/>
      <c r="C37" s="18"/>
      <c r="D37" s="19"/>
      <c r="E37" s="18"/>
      <c r="F37" s="18"/>
      <c r="G37" s="18"/>
      <c r="H37" s="52"/>
    </row>
    <row r="38" spans="1:13">
      <c r="A38" s="20"/>
      <c r="B38" s="20"/>
      <c r="C38" s="18"/>
      <c r="D38" s="19"/>
      <c r="F38" s="18"/>
      <c r="G38" s="18"/>
      <c r="H38" s="52"/>
    </row>
    <row r="39" spans="1:13">
      <c r="A39" s="20" t="s">
        <v>33</v>
      </c>
      <c r="B39" s="20"/>
      <c r="C39" s="20"/>
      <c r="D39" s="19"/>
      <c r="E39" s="20" t="s">
        <v>34</v>
      </c>
      <c r="F39" s="18"/>
      <c r="G39" s="18"/>
      <c r="H39" s="52"/>
    </row>
    <row r="40" spans="1:13">
      <c r="A40" s="20" t="s">
        <v>35</v>
      </c>
      <c r="B40" s="20"/>
      <c r="C40" s="20"/>
      <c r="D40" s="19"/>
      <c r="E40" s="20" t="s">
        <v>36</v>
      </c>
      <c r="F40" s="18"/>
      <c r="G40" s="18"/>
      <c r="H40" s="54"/>
    </row>
    <row r="41" spans="1:13">
      <c r="A41" s="20" t="s">
        <v>37</v>
      </c>
      <c r="B41" s="20"/>
      <c r="C41" s="20"/>
      <c r="D41" s="19"/>
      <c r="E41" s="20" t="s">
        <v>38</v>
      </c>
      <c r="F41" s="18"/>
      <c r="G41" s="18"/>
    </row>
    <row r="42" spans="1:13">
      <c r="A42" s="20" t="s">
        <v>39</v>
      </c>
      <c r="B42" s="20"/>
      <c r="C42" s="20"/>
      <c r="D42" s="19"/>
      <c r="E42" s="20" t="s">
        <v>40</v>
      </c>
      <c r="F42" s="18"/>
      <c r="G42" s="18"/>
    </row>
    <row r="43" spans="1:13">
      <c r="A43" s="20" t="s">
        <v>41</v>
      </c>
      <c r="B43" s="20"/>
      <c r="C43" s="20"/>
      <c r="D43" s="19"/>
      <c r="E43" s="20" t="s">
        <v>42</v>
      </c>
      <c r="F43" s="18"/>
      <c r="G43" s="18"/>
    </row>
    <row r="44" spans="1:13">
      <c r="A44" s="20"/>
      <c r="B44" s="20"/>
      <c r="C44" s="20"/>
      <c r="D44" s="19"/>
      <c r="E44" s="20" t="s">
        <v>43</v>
      </c>
      <c r="G44" s="18"/>
    </row>
    <row r="45" spans="1:13">
      <c r="E45" s="20"/>
    </row>
  </sheetData>
  <mergeCells count="3">
    <mergeCell ref="A2:G2"/>
    <mergeCell ref="A18:C18"/>
    <mergeCell ref="A31:C31"/>
  </mergeCells>
  <phoneticPr fontId="27" type="noConversion"/>
  <hyperlinks>
    <hyperlink ref="B1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tabSelected="1" workbookViewId="0">
      <selection activeCell="K20" sqref="K20"/>
    </sheetView>
  </sheetViews>
  <sheetFormatPr defaultColWidth="9" defaultRowHeight="13.8"/>
  <cols>
    <col min="1" max="1" width="9.88671875" style="1" customWidth="1"/>
    <col min="2" max="2" width="60.6640625" style="1" customWidth="1"/>
    <col min="3" max="3" width="4.77734375" style="1" customWidth="1"/>
    <col min="4" max="4" width="8.109375" style="1" customWidth="1"/>
    <col min="5" max="5" width="7.77734375" style="1" customWidth="1"/>
    <col min="6" max="6" width="3.6640625" style="1" customWidth="1"/>
    <col min="7" max="7" width="16" style="1" customWidth="1"/>
    <col min="8" max="8" width="24.109375" style="1" customWidth="1"/>
    <col min="9" max="16384" width="9" style="1"/>
  </cols>
  <sheetData>
    <row r="1" spans="1:8" ht="16.5" customHeight="1">
      <c r="A1" s="66" t="s">
        <v>57</v>
      </c>
      <c r="B1" s="66"/>
      <c r="C1" s="66"/>
      <c r="D1" s="66"/>
      <c r="E1" s="66"/>
      <c r="F1" s="66"/>
      <c r="G1" s="66"/>
      <c r="H1" s="66"/>
    </row>
    <row r="2" spans="1:8" ht="14.25" customHeight="1">
      <c r="A2" s="63" t="s">
        <v>44</v>
      </c>
      <c r="B2" s="64"/>
      <c r="C2" s="4" t="s">
        <v>47</v>
      </c>
      <c r="D2" s="63" t="s">
        <v>45</v>
      </c>
      <c r="E2" s="63"/>
      <c r="F2" s="63"/>
      <c r="G2" s="63"/>
      <c r="H2" s="63"/>
    </row>
    <row r="3" spans="1:8" ht="14.25" customHeight="1">
      <c r="A3" s="63" t="s">
        <v>46</v>
      </c>
      <c r="B3" s="64"/>
      <c r="C3" s="4" t="s">
        <v>47</v>
      </c>
      <c r="D3" s="63"/>
      <c r="E3" s="63"/>
      <c r="F3" s="63"/>
      <c r="G3" s="63"/>
      <c r="H3" s="63"/>
    </row>
    <row r="4" spans="1:8" ht="14.25" customHeight="1">
      <c r="A4" s="63" t="s">
        <v>50</v>
      </c>
      <c r="B4" s="64"/>
      <c r="C4" s="4" t="s">
        <v>47</v>
      </c>
      <c r="D4" s="63"/>
      <c r="E4" s="63"/>
      <c r="F4" s="63"/>
      <c r="G4" s="63"/>
      <c r="H4" s="63"/>
    </row>
    <row r="5" spans="1:8" ht="14.25" customHeight="1">
      <c r="A5" s="63" t="s">
        <v>48</v>
      </c>
      <c r="B5" s="64"/>
      <c r="C5" s="4" t="s">
        <v>47</v>
      </c>
      <c r="D5" s="65"/>
      <c r="E5" s="65"/>
      <c r="F5" s="65"/>
      <c r="G5" s="65"/>
      <c r="H5" s="65"/>
    </row>
    <row r="6" spans="1:8">
      <c r="A6" s="2"/>
      <c r="B6" s="3"/>
      <c r="C6" s="4"/>
      <c r="D6" s="5"/>
      <c r="E6" s="3"/>
      <c r="F6" s="3"/>
      <c r="G6" s="3"/>
      <c r="H6" s="3"/>
    </row>
    <row r="7" spans="1:8">
      <c r="A7" s="6" t="s">
        <v>51</v>
      </c>
      <c r="B7" s="7" t="s">
        <v>52</v>
      </c>
      <c r="C7" s="8"/>
      <c r="D7" s="9" t="s">
        <v>53</v>
      </c>
      <c r="E7" s="9" t="s">
        <v>54</v>
      </c>
      <c r="F7" s="9" t="s">
        <v>55</v>
      </c>
      <c r="G7" s="9" t="s">
        <v>56</v>
      </c>
      <c r="H7" s="9" t="s">
        <v>49</v>
      </c>
    </row>
    <row r="8" spans="1:8">
      <c r="A8" s="10">
        <v>1</v>
      </c>
      <c r="B8" s="11" t="s">
        <v>58</v>
      </c>
      <c r="C8" s="12"/>
      <c r="D8" s="15">
        <v>1339</v>
      </c>
      <c r="E8" s="13" t="s">
        <v>59</v>
      </c>
      <c r="F8" s="9"/>
      <c r="G8" s="9">
        <f>D8*F8</f>
        <v>0</v>
      </c>
      <c r="H8" s="9"/>
    </row>
    <row r="9" spans="1:8">
      <c r="A9" s="10">
        <v>2</v>
      </c>
      <c r="B9" s="11" t="s">
        <v>58</v>
      </c>
      <c r="C9" s="12"/>
      <c r="D9" s="15">
        <v>1009</v>
      </c>
      <c r="E9" s="13" t="s">
        <v>60</v>
      </c>
      <c r="F9" s="9"/>
      <c r="G9" s="9">
        <f t="shared" ref="G9:G14" si="0">D9*F9</f>
        <v>0</v>
      </c>
      <c r="H9" s="9"/>
    </row>
    <row r="10" spans="1:8">
      <c r="A10" s="10">
        <v>3</v>
      </c>
      <c r="B10" s="16" t="s">
        <v>61</v>
      </c>
      <c r="C10" s="12"/>
      <c r="D10" s="15">
        <v>1545</v>
      </c>
      <c r="E10" s="13" t="s">
        <v>59</v>
      </c>
      <c r="F10" s="9"/>
      <c r="G10" s="9">
        <f t="shared" si="0"/>
        <v>0</v>
      </c>
      <c r="H10" s="9"/>
    </row>
    <row r="11" spans="1:8">
      <c r="A11" s="10">
        <v>4</v>
      </c>
      <c r="B11" s="11" t="s">
        <v>62</v>
      </c>
      <c r="C11" s="12"/>
      <c r="D11" s="15">
        <v>1339</v>
      </c>
      <c r="E11" s="13" t="s">
        <v>60</v>
      </c>
      <c r="F11" s="9"/>
      <c r="G11" s="9">
        <f t="shared" si="0"/>
        <v>0</v>
      </c>
      <c r="H11" s="9"/>
    </row>
    <row r="12" spans="1:8">
      <c r="A12" s="10">
        <v>5</v>
      </c>
      <c r="B12" s="14" t="s">
        <v>71</v>
      </c>
      <c r="C12" s="12"/>
      <c r="D12" s="15">
        <v>450</v>
      </c>
      <c r="E12" s="13" t="s">
        <v>63</v>
      </c>
      <c r="F12" s="9"/>
      <c r="G12" s="9">
        <f t="shared" si="0"/>
        <v>0</v>
      </c>
      <c r="H12" s="9"/>
    </row>
    <row r="13" spans="1:8">
      <c r="A13" s="10">
        <v>6</v>
      </c>
      <c r="B13" s="14" t="s">
        <v>64</v>
      </c>
      <c r="C13" s="12"/>
      <c r="D13" s="15">
        <v>340</v>
      </c>
      <c r="E13" s="13" t="s">
        <v>63</v>
      </c>
      <c r="F13" s="9"/>
      <c r="G13" s="9">
        <f t="shared" si="0"/>
        <v>0</v>
      </c>
      <c r="H13" s="9"/>
    </row>
    <row r="14" spans="1:8">
      <c r="A14" s="10">
        <v>7</v>
      </c>
      <c r="B14" s="14" t="s">
        <v>65</v>
      </c>
      <c r="C14" s="12"/>
      <c r="D14" s="15">
        <v>31</v>
      </c>
      <c r="E14" s="13" t="s">
        <v>59</v>
      </c>
      <c r="F14" s="9">
        <v>5</v>
      </c>
      <c r="G14" s="9">
        <f t="shared" si="0"/>
        <v>155</v>
      </c>
      <c r="H14" s="9" t="s">
        <v>76</v>
      </c>
    </row>
    <row r="15" spans="1:8">
      <c r="A15" s="10">
        <v>8</v>
      </c>
      <c r="B15" s="14" t="s">
        <v>66</v>
      </c>
      <c r="C15" s="12"/>
      <c r="D15" s="9">
        <v>1200</v>
      </c>
      <c r="E15" s="13"/>
      <c r="F15" s="9"/>
      <c r="G15" s="9"/>
      <c r="H15" s="9"/>
    </row>
    <row r="16" spans="1:8">
      <c r="A16" s="10">
        <v>9</v>
      </c>
      <c r="B16" s="11" t="s">
        <v>67</v>
      </c>
      <c r="C16" s="12"/>
      <c r="D16" s="9">
        <v>920</v>
      </c>
      <c r="E16" s="13"/>
      <c r="F16" s="9"/>
      <c r="G16" s="9"/>
      <c r="H16" s="9"/>
    </row>
    <row r="17" spans="1:8">
      <c r="A17" s="10">
        <v>10</v>
      </c>
      <c r="B17" s="11" t="s">
        <v>68</v>
      </c>
      <c r="C17" s="12"/>
      <c r="D17" s="9">
        <v>385</v>
      </c>
      <c r="E17" s="13"/>
      <c r="F17" s="9"/>
      <c r="G17" s="9"/>
      <c r="H17" s="9"/>
    </row>
    <row r="18" spans="1:8">
      <c r="A18" s="10"/>
      <c r="B18" s="11"/>
      <c r="C18" s="12"/>
      <c r="D18" s="9"/>
      <c r="E18" s="13"/>
      <c r="F18" s="9"/>
      <c r="G18" s="9"/>
      <c r="H18" s="9"/>
    </row>
  </sheetData>
  <mergeCells count="9">
    <mergeCell ref="A4:B4"/>
    <mergeCell ref="D4:H4"/>
    <mergeCell ref="A5:B5"/>
    <mergeCell ref="D5:H5"/>
    <mergeCell ref="A1:H1"/>
    <mergeCell ref="A2:B2"/>
    <mergeCell ref="D2:H2"/>
    <mergeCell ref="A3:B3"/>
    <mergeCell ref="D3:H3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selection activeCell="B8" sqref="B8"/>
    </sheetView>
  </sheetViews>
  <sheetFormatPr defaultColWidth="9" defaultRowHeight="13.8"/>
  <cols>
    <col min="1" max="1" width="9.88671875" style="1" customWidth="1"/>
    <col min="2" max="2" width="60.6640625" style="1" customWidth="1"/>
    <col min="3" max="3" width="4.77734375" style="1" customWidth="1"/>
    <col min="4" max="4" width="8.109375" style="1" customWidth="1"/>
    <col min="5" max="5" width="7.77734375" style="1" customWidth="1"/>
    <col min="6" max="6" width="3.6640625" style="1" customWidth="1"/>
    <col min="7" max="8" width="16" style="1" customWidth="1"/>
    <col min="9" max="9" width="10.33203125" style="1" customWidth="1"/>
    <col min="10" max="16384" width="9" style="1"/>
  </cols>
  <sheetData>
    <row r="1" spans="1:9" ht="16.5" customHeight="1">
      <c r="A1" s="66" t="s">
        <v>69</v>
      </c>
      <c r="B1" s="66"/>
      <c r="C1" s="66"/>
      <c r="D1" s="66"/>
      <c r="E1" s="66"/>
      <c r="F1" s="66"/>
      <c r="G1" s="66"/>
      <c r="H1" s="66"/>
      <c r="I1" s="66"/>
    </row>
    <row r="2" spans="1:9" ht="14.25" customHeight="1">
      <c r="A2" s="63" t="s">
        <v>44</v>
      </c>
      <c r="B2" s="64"/>
      <c r="C2" s="4" t="s">
        <v>47</v>
      </c>
      <c r="D2" s="63" t="s">
        <v>45</v>
      </c>
      <c r="E2" s="63"/>
      <c r="F2" s="63"/>
      <c r="G2" s="63"/>
      <c r="H2" s="63"/>
      <c r="I2" s="63"/>
    </row>
    <row r="3" spans="1:9" ht="14.25" customHeight="1">
      <c r="A3" s="63" t="s">
        <v>46</v>
      </c>
      <c r="B3" s="64"/>
      <c r="C3" s="4" t="s">
        <v>47</v>
      </c>
      <c r="D3" s="63"/>
      <c r="E3" s="63"/>
      <c r="F3" s="63"/>
      <c r="G3" s="63"/>
      <c r="H3" s="63"/>
      <c r="I3" s="63"/>
    </row>
    <row r="4" spans="1:9" ht="14.25" customHeight="1">
      <c r="A4" s="63" t="s">
        <v>50</v>
      </c>
      <c r="B4" s="64"/>
      <c r="C4" s="4" t="s">
        <v>47</v>
      </c>
      <c r="D4" s="63"/>
      <c r="E4" s="63"/>
      <c r="F4" s="63"/>
      <c r="G4" s="63"/>
      <c r="H4" s="63"/>
      <c r="I4" s="63"/>
    </row>
    <row r="5" spans="1:9" ht="14.25" customHeight="1">
      <c r="A5" s="63" t="s">
        <v>48</v>
      </c>
      <c r="B5" s="64"/>
      <c r="C5" s="4" t="s">
        <v>47</v>
      </c>
      <c r="D5" s="65"/>
      <c r="E5" s="65"/>
      <c r="F5" s="65"/>
      <c r="G5" s="65"/>
      <c r="H5" s="65"/>
      <c r="I5" s="2"/>
    </row>
    <row r="6" spans="1:9">
      <c r="A6" s="2"/>
      <c r="B6" s="3"/>
      <c r="C6" s="4"/>
      <c r="D6" s="5"/>
      <c r="E6" s="3"/>
      <c r="F6" s="3"/>
      <c r="G6" s="3"/>
      <c r="H6" s="3"/>
      <c r="I6" s="3"/>
    </row>
    <row r="7" spans="1:9">
      <c r="A7" s="6" t="s">
        <v>51</v>
      </c>
      <c r="B7" s="7" t="s">
        <v>52</v>
      </c>
      <c r="C7" s="8"/>
      <c r="D7" s="9" t="s">
        <v>53</v>
      </c>
      <c r="E7" s="9" t="s">
        <v>54</v>
      </c>
      <c r="F7" s="9" t="s">
        <v>55</v>
      </c>
      <c r="G7" s="9" t="s">
        <v>56</v>
      </c>
      <c r="H7" s="9" t="s">
        <v>70</v>
      </c>
      <c r="I7" s="9" t="s">
        <v>49</v>
      </c>
    </row>
    <row r="8" spans="1:9">
      <c r="A8" s="10">
        <v>1</v>
      </c>
      <c r="B8" s="11" t="s">
        <v>73</v>
      </c>
      <c r="C8" s="12"/>
      <c r="D8" s="9">
        <v>3985</v>
      </c>
      <c r="E8" s="13" t="s">
        <v>59</v>
      </c>
      <c r="F8" s="9">
        <v>1</v>
      </c>
      <c r="G8" s="9"/>
      <c r="H8" s="9">
        <v>4085</v>
      </c>
      <c r="I8" s="9"/>
    </row>
    <row r="9" spans="1:9">
      <c r="A9" s="10"/>
      <c r="B9" s="11" t="s">
        <v>74</v>
      </c>
      <c r="C9" s="12"/>
      <c r="D9" s="9">
        <v>3850</v>
      </c>
      <c r="E9" s="13" t="s">
        <v>59</v>
      </c>
      <c r="F9" s="9">
        <v>1</v>
      </c>
      <c r="G9" s="9">
        <f>D9*F9</f>
        <v>3850</v>
      </c>
      <c r="H9" s="9"/>
      <c r="I9" s="9"/>
    </row>
    <row r="10" spans="1:9">
      <c r="A10" s="10"/>
      <c r="B10" s="55"/>
      <c r="C10" s="12"/>
      <c r="D10" s="9"/>
      <c r="E10" s="13"/>
      <c r="F10" s="9"/>
      <c r="G10" s="9"/>
      <c r="H10" s="9"/>
      <c r="I10" s="9"/>
    </row>
    <row r="11" spans="1:9">
      <c r="B11" s="55"/>
    </row>
  </sheetData>
  <mergeCells count="9">
    <mergeCell ref="A4:B4"/>
    <mergeCell ref="D4:I4"/>
    <mergeCell ref="A5:B5"/>
    <mergeCell ref="D5:H5"/>
    <mergeCell ref="A1:I1"/>
    <mergeCell ref="A2:B2"/>
    <mergeCell ref="D2:I2"/>
    <mergeCell ref="A3:B3"/>
    <mergeCell ref="D3:I3"/>
  </mergeCells>
  <phoneticPr fontId="2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Nicky Cao</cp:lastModifiedBy>
  <dcterms:created xsi:type="dcterms:W3CDTF">2024-02-01T05:43:00Z</dcterms:created>
  <dcterms:modified xsi:type="dcterms:W3CDTF">2025-02-05T03:33:22Z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5C655DBA9AE74DA1AF3CEB78DB582D28_12</vt:lpwstr>
  </property>
  <property fmtid="{D5CDD505-2E9C-101B-9397-08002B2CF9AE}" pid="3" name="KSOProductBuildVer">
    <vt:lpwstr>2052-12.1.0.17857</vt:lpwstr>
  </property>
</Properties>
</file>