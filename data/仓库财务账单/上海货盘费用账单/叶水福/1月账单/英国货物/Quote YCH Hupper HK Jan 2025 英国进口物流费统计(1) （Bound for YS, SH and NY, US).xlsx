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<sst xmlns="http://schemas.openxmlformats.org/spreadsheetml/2006/main" count="77" uniqueCount="59">
  <si>
    <t>单号 P/O</t>
  </si>
  <si>
    <t>货代YCH&amp;指定航线(Lianshengda)</t>
  </si>
  <si>
    <t>货柜数量 (Qty of Ctrs)</t>
  </si>
  <si>
    <t>柜号 No. Ctrs</t>
  </si>
  <si>
    <t>船公司 Liners</t>
  </si>
  <si>
    <t>提单号 H/B No.</t>
  </si>
  <si>
    <t>起运港 Port of Loadings</t>
  </si>
  <si>
    <t>卸货港 Port of Unloading</t>
  </si>
  <si>
    <t>ETD</t>
  </si>
  <si>
    <t>ETA</t>
  </si>
  <si>
    <t>LianshengdaCost费用(USD)</t>
  </si>
  <si>
    <t>Quote YCH plus Handlings(USD)</t>
  </si>
  <si>
    <t>UK2412022</t>
  </si>
  <si>
    <t>YCH on designated forwarders: Sarrlogistics LTD UK</t>
  </si>
  <si>
    <t>4*40HQ</t>
  </si>
  <si>
    <t>BHCU4989590
MRSU4044148
MRKU3910076
UETU6820098</t>
  </si>
  <si>
    <t>Maersk</t>
  </si>
  <si>
    <t>South Shields</t>
  </si>
  <si>
    <t>Shanghai</t>
  </si>
  <si>
    <t>USD 3935.6</t>
  </si>
  <si>
    <t>UK2412022-2HQ-CN</t>
  </si>
  <si>
    <t>YCH on designated forwarders: DOLPHIN LOGISTICS SUPPLY CHAIN MANAGEMENT UK
LIMITED.</t>
  </si>
  <si>
    <t>2*40HQ</t>
  </si>
  <si>
    <t>GCXU579603
GCXU579603</t>
  </si>
  <si>
    <t>USD 1550.96</t>
  </si>
  <si>
    <t>UK2412024</t>
  </si>
  <si>
    <t>YCH own forwarders</t>
  </si>
  <si>
    <t>3*40HQ</t>
  </si>
  <si>
    <t>MSKU0855450
MRSU4034540
MRKU2278859</t>
  </si>
  <si>
    <t>/</t>
  </si>
  <si>
    <t>On THi billed costs</t>
  </si>
  <si>
    <t>USD3000+RMB7500</t>
  </si>
  <si>
    <t>(Incl. local charge YS,SH)</t>
  </si>
  <si>
    <t>UK2504007-CN</t>
  </si>
  <si>
    <t>YCH on designated forwarders: Cape Cavez Logistics UK Ltd</t>
  </si>
  <si>
    <t>6*40HQ</t>
  </si>
  <si>
    <t>MRSU4120340
TIIU5282405
TRHU6929980
MRSU3990346
MRSU6482246
CAAU5395828</t>
  </si>
  <si>
    <t>GPB 4380= USD5475(预计）</t>
  </si>
  <si>
    <t>Projection</t>
  </si>
  <si>
    <t>US2501024</t>
  </si>
  <si>
    <t>1*40HQ</t>
  </si>
  <si>
    <t>HAMU2804173</t>
  </si>
  <si>
    <t>Hapag</t>
  </si>
  <si>
    <t>HLCULIV250157324</t>
  </si>
  <si>
    <t>SOUTH SHIELDS</t>
  </si>
  <si>
    <t>New York</t>
  </si>
  <si>
    <t>2025.3.1</t>
  </si>
  <si>
    <t>GBP 3335=USD4168</t>
  </si>
  <si>
    <t>Note this is bound for New York US</t>
  </si>
  <si>
    <t>UK2504007-CN B06ZY896ZM</t>
  </si>
  <si>
    <t>MRSU6774660
MRKU2843857
MSKU0505960
TCNU5197140</t>
  </si>
  <si>
    <t>USD 3812</t>
  </si>
  <si>
    <t>UK2501052-CN</t>
  </si>
  <si>
    <t>Cape Cavez Logistics UK Ltd</t>
  </si>
  <si>
    <t>还未发给我</t>
  </si>
  <si>
    <t>11/02/2025</t>
  </si>
  <si>
    <t>TBA</t>
  </si>
  <si>
    <t>Conversion GBP: USD</t>
  </si>
  <si>
    <t>Refers Current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</si>
</sst>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b/>
      <u/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5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4" applyNumberFormat="0" applyAlignment="0" applyProtection="0">
      <alignment vertical="center"/>
    </xf>
    <xf numFmtId="0" fontId="13" fillId="7" borderId="5" applyNumberFormat="0" applyAlignment="0" applyProtection="0">
      <alignment vertical="center"/>
    </xf>
    <xf numFmtId="0" fontId="14" fillId="7" borderId="4" applyNumberFormat="0" applyAlignment="0" applyProtection="0">
      <alignment vertical="center"/>
    </xf>
    <xf numFmtId="0" fontId="15" fillId="8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1" fillId="0" borderId="0" xfId="0" applyFo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 wrapText="1"/>
    </xf>
    <xf numFmtId="0" fontId="1" fillId="3" borderId="0" xfId="0" applyFont="1" applyFill="1">
      <alignment vertical="center"/>
    </xf>
    <xf numFmtId="0" fontId="2" fillId="3" borderId="0" xfId="0" applyFont="1" applyFill="1">
      <alignment vertical="center"/>
    </xf>
    <xf numFmtId="0" fontId="2" fillId="4" borderId="0" xfId="0" applyFont="1" applyFill="1">
      <alignment vertical="center"/>
    </xf>
    <xf numFmtId="22" fontId="0" fillId="0" borderId="0" xfId="0" applyNumberFormat="1">
      <alignment vertical="center"/>
    </xf>
    <xf numFmtId="4" fontId="0" fillId="3" borderId="0" xfId="0" applyNumberFormat="1" applyFill="1">
      <alignment vertical="center"/>
    </xf>
    <xf numFmtId="0" fontId="1" fillId="4" borderId="0" xfId="0" applyFont="1" applyFill="1">
      <alignment vertical="center"/>
    </xf>
    <xf numFmtId="0" fontId="0" fillId="3" borderId="0" xfId="0" applyFill="1">
      <alignment vertical="center"/>
    </xf>
    <xf numFmtId="0" fontId="1" fillId="4" borderId="0" xfId="0" applyFont="1" applyFill="1" applyAlignment="1">
      <alignment horizontal="right" vertical="center"/>
    </xf>
    <xf numFmtId="14" fontId="0" fillId="0" borderId="0" xfId="0" applyNumberFormat="1">
      <alignment vertical="center"/>
    </xf>
    <xf numFmtId="0" fontId="3" fillId="0" borderId="0" xfId="0" applyFont="1">
      <alignment vertical="center"/>
    </xf>
    <xf numFmtId="9" fontId="3" fillId="2" borderId="0" xfId="3" applyFont="1" applyFill="1">
      <alignment vertical="center"/>
    </xf>
    <xf numFmtId="0" fontId="0" fillId="2" borderId="0" xfId="0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10</xdr:col>
      <xdr:colOff>0</xdr:colOff>
      <xdr:row>11</xdr:row>
      <xdr:rowOff>0</xdr:rowOff>
    </xdr:from>
    <xdr:to>
      <xdr:col>21</xdr:col>
      <xdr:colOff>262350</xdr:colOff>
      <xdr:row>48</xdr:row>
      <xdr:rowOff>164257</xdr:rowOff>
    </xdr:to>
    <xdr:pic>
      <xdr:nvPicPr>
        <xdr:cNvPr id="2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3985240" y="4629150"/>
          <a:ext cx="9648190" cy="650748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1"/>
  <sheetViews>
    <sheetView tabSelected="1" topLeftCell="F1" workbookViewId="0">
      <selection activeCell="N7" sqref="N7"/>
    </sheetView>
  </sheetViews>
  <sheetFormatPr defaultColWidth="9" defaultRowHeight="13.5"/>
  <cols>
    <col min="1" max="1" width="26" customWidth="1"/>
    <col min="2" max="2" width="30.3628318584071" customWidth="1"/>
    <col min="4" max="6" width="23.7256637168142" customWidth="1"/>
    <col min="7" max="7" width="14.9026548672566" customWidth="1"/>
    <col min="9" max="9" width="18.2654867256637"/>
    <col min="10" max="10" width="16.1946902654867"/>
    <col min="11" max="11" width="26.5398230088496" customWidth="1"/>
    <col min="12" max="12" width="23.2654867256637" customWidth="1"/>
  </cols>
  <sheetData>
    <row r="1" spans="1:12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6" t="s">
        <v>10</v>
      </c>
      <c r="L1" s="7" t="s">
        <v>11</v>
      </c>
    </row>
    <row r="2" ht="54" spans="1:17">
      <c r="A2" t="s">
        <v>12</v>
      </c>
      <c r="B2" s="2" t="s">
        <v>13</v>
      </c>
      <c r="C2" t="s">
        <v>14</v>
      </c>
      <c r="D2" s="3" t="s">
        <v>15</v>
      </c>
      <c r="E2" s="4" t="s">
        <v>16</v>
      </c>
      <c r="F2" s="4">
        <v>248000851</v>
      </c>
      <c r="G2" t="s">
        <v>17</v>
      </c>
      <c r="H2" t="s">
        <v>18</v>
      </c>
      <c r="I2" s="8">
        <v>45656.5486111111</v>
      </c>
      <c r="J2" s="8">
        <v>45705.3756944444</v>
      </c>
      <c r="K2" s="9" t="s">
        <v>19</v>
      </c>
      <c r="L2" s="10">
        <f>3935+50</f>
        <v>3985</v>
      </c>
      <c r="Q2">
        <f>3935.6*1.5%</f>
        <v>59.034</v>
      </c>
    </row>
    <row r="3" ht="54" spans="1:17">
      <c r="A3" t="s">
        <v>20</v>
      </c>
      <c r="B3" s="3" t="s">
        <v>21</v>
      </c>
      <c r="C3" t="s">
        <v>22</v>
      </c>
      <c r="D3" s="3" t="s">
        <v>23</v>
      </c>
      <c r="E3" s="4" t="s">
        <v>16</v>
      </c>
      <c r="F3" s="4">
        <v>248148832</v>
      </c>
      <c r="G3" t="s">
        <v>17</v>
      </c>
      <c r="H3" t="s">
        <v>18</v>
      </c>
      <c r="I3" s="8">
        <v>45671.7201388889</v>
      </c>
      <c r="J3" s="8">
        <v>45725</v>
      </c>
      <c r="K3" s="11" t="s">
        <v>24</v>
      </c>
      <c r="L3" s="10">
        <f>1550+30</f>
        <v>1580</v>
      </c>
      <c r="Q3">
        <f>1550.96*1.5%</f>
        <v>23.2644</v>
      </c>
    </row>
    <row r="4" ht="40.5" spans="1:13">
      <c r="A4" t="s">
        <v>25</v>
      </c>
      <c r="B4" t="s">
        <v>26</v>
      </c>
      <c r="C4" t="s">
        <v>27</v>
      </c>
      <c r="D4" s="3" t="s">
        <v>28</v>
      </c>
      <c r="E4" s="4" t="s">
        <v>16</v>
      </c>
      <c r="F4" t="s">
        <v>29</v>
      </c>
      <c r="G4" t="s">
        <v>17</v>
      </c>
      <c r="H4" t="s">
        <v>18</v>
      </c>
      <c r="I4" s="8">
        <v>45682.9493055556</v>
      </c>
      <c r="J4" s="8">
        <v>45729.1875</v>
      </c>
      <c r="K4" s="1" t="s">
        <v>30</v>
      </c>
      <c r="L4" s="12" t="s">
        <v>31</v>
      </c>
      <c r="M4" s="2" t="s">
        <v>32</v>
      </c>
    </row>
    <row r="5" ht="81" spans="1:17">
      <c r="A5" t="s">
        <v>33</v>
      </c>
      <c r="B5" t="s">
        <v>34</v>
      </c>
      <c r="C5" t="s">
        <v>35</v>
      </c>
      <c r="D5" s="3" t="s">
        <v>36</v>
      </c>
      <c r="E5" s="4" t="s">
        <v>16</v>
      </c>
      <c r="F5" s="4">
        <v>248893029</v>
      </c>
      <c r="G5" t="s">
        <v>17</v>
      </c>
      <c r="H5" t="s">
        <v>18</v>
      </c>
      <c r="I5" s="8">
        <v>45691.1347222222</v>
      </c>
      <c r="J5" s="8">
        <v>45740</v>
      </c>
      <c r="K5" s="5" t="s">
        <v>37</v>
      </c>
      <c r="L5" s="10">
        <f>5475+75</f>
        <v>5550</v>
      </c>
      <c r="M5" s="2" t="s">
        <v>38</v>
      </c>
      <c r="Q5">
        <f>5475*1.5%</f>
        <v>82.125</v>
      </c>
    </row>
    <row r="6" spans="1:17">
      <c r="A6" t="s">
        <v>39</v>
      </c>
      <c r="B6" t="s">
        <v>34</v>
      </c>
      <c r="C6" t="s">
        <v>40</v>
      </c>
      <c r="D6" t="s">
        <v>41</v>
      </c>
      <c r="E6" t="s">
        <v>42</v>
      </c>
      <c r="F6" s="2" t="s">
        <v>43</v>
      </c>
      <c r="G6" t="s">
        <v>44</v>
      </c>
      <c r="H6" s="5" t="s">
        <v>45</v>
      </c>
      <c r="I6" s="13">
        <v>45689</v>
      </c>
      <c r="J6" t="s">
        <v>46</v>
      </c>
      <c r="K6" s="5" t="s">
        <v>47</v>
      </c>
      <c r="L6" s="10">
        <f>4168+63</f>
        <v>4231</v>
      </c>
      <c r="M6" s="2" t="s">
        <v>48</v>
      </c>
      <c r="Q6">
        <f>4168*1.5%</f>
        <v>62.52</v>
      </c>
    </row>
    <row r="7" ht="54" spans="1:17">
      <c r="A7" t="s">
        <v>49</v>
      </c>
      <c r="B7" t="s">
        <v>13</v>
      </c>
      <c r="C7" t="s">
        <v>14</v>
      </c>
      <c r="D7" s="3" t="s">
        <v>50</v>
      </c>
      <c r="E7" s="4" t="s">
        <v>16</v>
      </c>
      <c r="F7" s="4">
        <v>248794479</v>
      </c>
      <c r="G7" t="s">
        <v>17</v>
      </c>
      <c r="H7" t="s">
        <v>18</v>
      </c>
      <c r="I7" s="8">
        <v>45691.1347222222</v>
      </c>
      <c r="J7" s="8">
        <v>45740</v>
      </c>
      <c r="K7" s="9" t="s">
        <v>51</v>
      </c>
      <c r="L7" s="10">
        <f>3812+60</f>
        <v>3872</v>
      </c>
      <c r="Q7">
        <f>3812*1.5%</f>
        <v>57.18</v>
      </c>
    </row>
    <row r="8" spans="1:13">
      <c r="A8" t="s">
        <v>52</v>
      </c>
      <c r="B8" s="2" t="s">
        <v>53</v>
      </c>
      <c r="C8" t="s">
        <v>14</v>
      </c>
      <c r="D8" t="s">
        <v>54</v>
      </c>
      <c r="E8" t="s">
        <v>42</v>
      </c>
      <c r="I8" t="s">
        <v>55</v>
      </c>
      <c r="K8" s="5" t="s">
        <v>56</v>
      </c>
      <c r="L8" s="10" t="s">
        <v>56</v>
      </c>
      <c r="M8" s="2"/>
    </row>
    <row r="9" spans="10:12">
      <c r="J9" s="14"/>
      <c r="K9" s="14"/>
      <c r="L9" s="14"/>
    </row>
    <row r="10" spans="10:11">
      <c r="J10" s="14"/>
      <c r="K10" s="14"/>
    </row>
    <row r="11" spans="10:14">
      <c r="J11" s="14"/>
      <c r="K11" s="15" t="s">
        <v>57</v>
      </c>
      <c r="L11" s="16">
        <v>1.25</v>
      </c>
      <c r="N11" s="2" t="s">
        <v>58</v>
      </c>
    </row>
  </sheetData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Zoe Zhao</dc:creator>
  <cp:lastModifiedBy>蓓蓓</cp:lastModifiedBy>
  <dcterms:created xsi:type="dcterms:W3CDTF">2023-05-12T11:15:00Z</dcterms:created>
  <dcterms:modified xsi:type="dcterms:W3CDTF">2025-02-17T08:03:48Z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2052-12.1.0.19770</vt:lpwstr>
  </property>
  <property fmtid="{D5CDD505-2E9C-101B-9397-08002B2CF9AE}" pid="3" name="ICV">
    <vt:lpwstr>D5203A0BEEF04ACE921D1D095219886E_12</vt:lpwstr>
  </property>
</Properties>
</file>