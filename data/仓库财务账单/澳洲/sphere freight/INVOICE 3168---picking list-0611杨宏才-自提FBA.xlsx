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375"/>
  </bookViews>
  <sheets>
    <sheet name="Sheet1" sheetId="1" r:id="rId1"/>
  </sheets>
  <definedNames>
    <definedName name="_xlnm._FilterDatabase" localSheetId="0" hidden="1">Sheet1!$C$1:$N$5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86180</author>
  </authors>
  <commentList>
    <comment ref="I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sharedStrings.xml><?xml version="1.0" encoding="utf-8"?>
<sst xmlns="http://schemas.openxmlformats.org/spreadsheetml/2006/main" count="29" uniqueCount="29">
  <si>
    <t xml:space="preserve">  中文品名</t>
  </si>
  <si>
    <t>Product name</t>
  </si>
  <si>
    <t>SKU</t>
  </si>
  <si>
    <t>FNSKU</t>
  </si>
  <si>
    <t>Original ASIN</t>
  </si>
  <si>
    <t>Pick  Qty</t>
  </si>
  <si>
    <t>Units Per Carton</t>
  </si>
  <si>
    <t>Total Ctns</t>
  </si>
  <si>
    <t>Carton size</t>
  </si>
  <si>
    <t>Unit Ctn Vol/m³</t>
  </si>
  <si>
    <t xml:space="preserve"> Unit Ctn Gw（kg）</t>
  </si>
  <si>
    <t>Total Gw/kg</t>
  </si>
  <si>
    <t>Total Vol/m³</t>
  </si>
  <si>
    <t>FBA ID-carton number</t>
  </si>
  <si>
    <t>FBA warehouse code</t>
  </si>
  <si>
    <t>预调味铸铁双层荷兰烤箱</t>
  </si>
  <si>
    <t>Pre-Seasoned Cast Iron 2-in-1 Dutch Oven with Skillet Lid | Cast Iron Dutch Oven &amp; Frying Pan | Large 5.2L Casserole for Baking, Roasting &amp; Frying</t>
  </si>
  <si>
    <t>NLK-CSH-DblDchOvn</t>
  </si>
  <si>
    <t>B0F2SVSBLQ</t>
  </si>
  <si>
    <t>B07V32FG4Q</t>
  </si>
  <si>
    <t>34.6*29.7*31.6cm</t>
  </si>
  <si>
    <t>FBA15FWVMW0HU000001-FBA15FWVMW0HU000030
FBA15FWVMXGNU000001-FBA15FWVMXGNU000030</t>
  </si>
  <si>
    <t>预调味铸铁煎锅 12.5"</t>
  </si>
  <si>
    <t>12" Pre-Seasoned Cast Iron Skillet | Heavy-Duty Frying Pan for Cooking | Versatile Cast Iron Pan for Searing, Sautéing &amp; Baking</t>
  </si>
  <si>
    <t>NLK-CSH-Sklt-22</t>
  </si>
  <si>
    <t>B0F2SFWWDV</t>
  </si>
  <si>
    <t>B01M74A279</t>
  </si>
  <si>
    <t>44*30.2*35.1cm</t>
  </si>
  <si>
    <t xml:space="preserve"> FBA15FWVPT9JU000001-FBA15FWVPT9JU000025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</si>
</sst>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Microsoft JhengHei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0" fillId="3" borderId="0" xfId="0" applyFill="1">
      <alignment vertical="center"/>
    </xf>
    <xf numFmtId="0" fontId="0" fillId="0" borderId="0" xfId="0" applyFill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fill" vertical="center"/>
    </xf>
    <xf numFmtId="0" fontId="0" fillId="0" borderId="0" xfId="0" applyFill="1" applyAlignment="1">
      <alignment horizontal="fill" vertical="center"/>
    </xf>
    <xf numFmtId="0" fontId="2" fillId="0" borderId="0" xfId="0" applyFont="1" applyFill="1">
      <alignment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5"/>
  <sheetViews>
    <sheetView tabSelected="1" topLeftCell="C1" workbookViewId="0">
      <pane ySplit="1" topLeftCell="A2" activePane="bottomLeft" state="frozen"/>
      <selection/>
      <selection pane="bottomLeft" activeCell="N18" sqref="N18"/>
    </sheetView>
  </sheetViews>
  <sheetFormatPr defaultColWidth="9" defaultRowHeight="13.5"/>
  <cols>
    <col min="1" max="1" width="13.5486725663717" customWidth="1"/>
    <col min="2" max="2" width="15.5309734513274" customWidth="1"/>
    <col min="3" max="3" width="24.7522123893805" customWidth="1"/>
    <col min="4" max="4" width="10.3716814159292" customWidth="1"/>
    <col min="5" max="5" width="13.7522123893805" customWidth="1"/>
    <col min="6" max="6" width="9" customWidth="1"/>
    <col min="7" max="7" width="16.2477876106195" customWidth="1"/>
    <col min="8" max="8" width="11" style="2" customWidth="1"/>
    <col min="9" max="9" width="20.7522123893805" style="3" customWidth="1"/>
    <col min="10" max="10" width="17.5221238938053" customWidth="1"/>
    <col min="11" max="11" width="18.9823008849558" customWidth="1"/>
    <col min="12" max="12" width="15.0088495575221" customWidth="1"/>
    <col min="13" max="13" width="15.141592920354" customWidth="1"/>
    <col min="14" max="14" width="45.2743362831858" customWidth="1"/>
    <col min="15" max="15" width="20.1858407079646" customWidth="1"/>
  </cols>
  <sheetData>
    <row r="1" s="1" customFormat="1" ht="13.85" spans="1:15">
      <c r="A1" s="1" t="s">
        <v>0</v>
      </c>
      <c r="B1" s="1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1" t="s">
        <v>14</v>
      </c>
    </row>
    <row r="2" ht="50" customHeight="1" spans="1:18">
      <c r="A2" s="6" t="s">
        <v>15</v>
      </c>
      <c r="B2" s="7" t="s">
        <v>16</v>
      </c>
      <c r="C2" s="7" t="s">
        <v>17</v>
      </c>
      <c r="D2" s="3" t="s">
        <v>18</v>
      </c>
      <c r="E2" t="s">
        <v>19</v>
      </c>
      <c r="F2">
        <v>120</v>
      </c>
      <c r="G2">
        <v>2</v>
      </c>
      <c r="H2" s="2">
        <v>60</v>
      </c>
      <c r="I2" s="3" t="s">
        <v>20</v>
      </c>
      <c r="J2" s="3">
        <v>0.0429</v>
      </c>
      <c r="K2">
        <v>13.167</v>
      </c>
      <c r="L2">
        <f>K2*H2</f>
        <v>790.02</v>
      </c>
      <c r="M2">
        <f>J2*H2</f>
        <v>2.574</v>
      </c>
      <c r="N2" s="9" t="s">
        <v>21</v>
      </c>
      <c r="O2" s="10"/>
      <c r="P2" s="10"/>
      <c r="Q2" s="10"/>
      <c r="R2" s="10"/>
    </row>
    <row r="3" spans="1:18">
      <c r="A3" s="6" t="s">
        <v>22</v>
      </c>
      <c r="B3" s="7" t="s">
        <v>23</v>
      </c>
      <c r="C3" s="7" t="s">
        <v>24</v>
      </c>
      <c r="D3" s="3" t="s">
        <v>25</v>
      </c>
      <c r="E3" t="s">
        <v>26</v>
      </c>
      <c r="F3">
        <f>G3*H3</f>
        <v>100</v>
      </c>
      <c r="G3">
        <v>4</v>
      </c>
      <c r="H3" s="2">
        <v>25</v>
      </c>
      <c r="I3" s="3" t="s">
        <v>27</v>
      </c>
      <c r="J3">
        <v>0.0314</v>
      </c>
      <c r="K3">
        <v>14.058</v>
      </c>
      <c r="L3">
        <f>K3*H3</f>
        <v>351.45</v>
      </c>
      <c r="M3">
        <f>J3*H3</f>
        <v>0.785</v>
      </c>
      <c r="N3" s="10" t="s">
        <v>28</v>
      </c>
      <c r="O3" s="10"/>
      <c r="P3" s="10"/>
      <c r="Q3" s="10"/>
      <c r="R3" s="10"/>
    </row>
    <row r="4" spans="3:4">
      <c r="C4" s="3"/>
      <c r="D4" s="3"/>
    </row>
    <row r="5" spans="3:13">
      <c r="C5" s="3"/>
      <c r="D5" s="3"/>
      <c r="F5">
        <f>SUM(F2:F3)</f>
        <v>220</v>
      </c>
      <c r="H5" s="2">
        <f>SUM(H2:H3)</f>
        <v>85</v>
      </c>
      <c r="M5">
        <f>SUM(M2:M3)</f>
        <v>3.359</v>
      </c>
    </row>
    <row r="6" spans="3:4">
      <c r="C6" s="3"/>
      <c r="D6" s="3"/>
    </row>
    <row r="7" spans="3:3">
      <c r="C7" s="3"/>
    </row>
    <row r="8" spans="3:3">
      <c r="C8" s="3"/>
    </row>
    <row r="11" ht="16" customHeight="1"/>
    <row r="12" spans="4:4">
      <c r="D12" s="8"/>
    </row>
    <row r="13" spans="3:4">
      <c r="C13" s="3"/>
      <c r="D13" s="3"/>
    </row>
    <row r="14" spans="4:4">
      <c r="D14" s="8"/>
    </row>
    <row r="15" spans="4:4">
      <c r="D15" s="8"/>
    </row>
    <row r="16" spans="4:4">
      <c r="D16" s="8"/>
    </row>
    <row r="17" spans="4:4">
      <c r="D17" s="3"/>
    </row>
    <row r="18" spans="4:4">
      <c r="D18" s="3"/>
    </row>
    <row r="21" ht="15" customHeight="1"/>
    <row r="25" spans="3:13">
      <c r="C25" s="3"/>
      <c r="D25" s="3"/>
      <c r="E25" s="3"/>
      <c r="F25" s="3"/>
      <c r="G25" s="3"/>
      <c r="J25" s="3"/>
      <c r="K25" s="3"/>
      <c r="M25" s="3"/>
    </row>
  </sheetData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86180</dc:creator>
  <cp:lastModifiedBy>蓓蓓</cp:lastModifiedBy>
  <dcterms:created xsi:type="dcterms:W3CDTF">2024-02-27T04:05:00Z</dcterms:created>
  <dcterms:modified xsi:type="dcterms:W3CDTF">2025-06-13T10:30:26Z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B1461F9F51CE40A4B52B716745B07B32_13</vt:lpwstr>
  </property>
  <property fmtid="{D5CDD505-2E9C-101B-9397-08002B2CF9AE}" pid="3" name="KSOProductBuildVer">
    <vt:lpwstr>2052-12.1.0.21541</vt:lpwstr>
  </property>
</Properties>
</file>