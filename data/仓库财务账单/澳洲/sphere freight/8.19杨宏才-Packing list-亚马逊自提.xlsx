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Sheet1!$D$1:$P$5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<sst xmlns="http://schemas.openxmlformats.org/spreadsheetml/2006/main" count="45" uniqueCount="41">
  <si>
    <t>发货仓库</t>
  </si>
  <si>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</si>
  <si>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</si>
  <si>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</si>
  <si>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</si>
  <si>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</si>
  <si>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</si>
  <si>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</si>
  <si>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</si>
  <si>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</si>
  <si>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</si>
  <si>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</si>
  <si>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</si>
  <si>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</si>
  <si>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ID</t>
  </si>
  <si>
    <t>FBA warehouse code</t>
  </si>
  <si>
    <t>SP</t>
  </si>
  <si>
    <t>预调味铸铁双层荷兰烤箱</t>
  </si>
  <si>
    <t>Pre-Seasoned Cast Iron 2-in-1 Dutch Oven with Skillet Lid | Cast Iron Dutch Oven &amp; Frying Pan | Large 5.2L Casserole for Baking, Roasting &amp; Frying</t>
  </si>
  <si>
    <t>NLK-CSH-DblDchOvn</t>
  </si>
  <si>
    <t>B0F2SVSBLQ</t>
  </si>
  <si>
    <t>B07V32FG4Q</t>
  </si>
  <si>
    <t>34.6*29.7*31.6cm</t>
  </si>
  <si>
    <t>FBA15FZLPZ0TU000001-FBA15FZLPZ0TU000030
FBA15FZLPPDQU000010-FBA15FZLPPDQU000029</t>
  </si>
  <si>
    <t>XBW3</t>
  </si>
  <si>
    <t>预调味铸铁煎锅 12.5"</t>
  </si>
  <si>
    <t>12" Pre-Seasoned Cast Iron Skillet | Heavy-Duty Frying Pan for Cooking | Versatile Cast Iron Pan for Searing, Sautéing &amp; Baking</t>
  </si>
  <si>
    <t>NLK-CSH-Sklt-22</t>
  </si>
  <si>
    <t>B0F2SFWWDV</t>
  </si>
  <si>
    <t>B01M74A279</t>
  </si>
  <si>
    <t>44*30.2*35.1cm</t>
  </si>
  <si>
    <t>FBA15FZLQDS8U000001-FBA15FZLQDS8U000015</t>
  </si>
  <si>
    <t>帆布和木质秋千椅奶油色</t>
  </si>
  <si>
    <t>Baby Swing Chair for Indoor &amp; Outdoor Use – Cotton Canvas Hanging Seat for Toddlers, Infant Baby Toys – Portable Hanging Chair with Beech Wood Frame, Cream Color, for Ages Up to 4</t>
  </si>
  <si>
    <t>MNM-CSH-CwdSwgChr-Crm</t>
  </si>
  <si>
    <t>B0F31VXN18</t>
  </si>
  <si>
    <t>B095W2MLPF</t>
  </si>
  <si>
    <t>44.9*40.1*28.1</t>
  </si>
  <si>
    <t>FBA15FZLPPDQU000001-FBA15FZLPPDQU000009</t>
  </si>
  <si>
    <t>INVOICE: 3471</t>
  </si>
  <si>
    <t>390.00USD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</si>
</sst>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1"/>
      <name val="宋体"/>
      <charset val="134"/>
      <scheme val="minor"/>
    </font>
    <font>
      <b/>
      <sz val="12"/>
      <color rgb="FF000000"/>
      <name val="TimesNewRomanPS-BoldMT"/>
      <charset val="134"/>
    </font>
    <font>
      <b/>
      <sz val="10"/>
      <color rgb="FF000000"/>
      <name val="TimesNewRomanPS-BoldMT"/>
      <charset val="134"/>
    </font>
    <font>
      <b/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fill" vertical="center"/>
    </xf>
    <xf numFmtId="0" fontId="0" fillId="0" borderId="0" xfId="0" applyAlignment="1">
      <alignment horizontal="fill" vertical="center"/>
    </xf>
    <xf numFmtId="0" fontId="2" fillId="0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tabSelected="1" workbookViewId="0">
      <pane ySplit="1" topLeftCell="A2" activePane="bottomLeft" state="frozen"/>
      <selection/>
      <selection pane="bottomLeft" activeCell="H2" sqref="H2:H4"/>
    </sheetView>
  </sheetViews>
  <sheetFormatPr defaultColWidth="9" defaultRowHeight="13.5"/>
  <cols>
    <col min="2" max="2" width="13.55" customWidth="1"/>
    <col min="3" max="3" width="15.5333333333333" customWidth="1"/>
    <col min="4" max="4" width="24.75" customWidth="1"/>
    <col min="5" max="5" width="10.375" customWidth="1"/>
    <col min="6" max="6" width="11.25" customWidth="1"/>
    <col min="7" max="8" width="10.5" customWidth="1"/>
    <col min="9" max="9" width="16.25" customWidth="1"/>
    <col min="10" max="10" width="11" style="3" customWidth="1"/>
    <col min="11" max="11" width="20.75" style="4" hidden="1" customWidth="1"/>
    <col min="12" max="12" width="17.525" hidden="1" customWidth="1"/>
    <col min="13" max="13" width="18.9833333333333" customWidth="1"/>
    <col min="14" max="14" width="15.0083333333333" customWidth="1"/>
    <col min="15" max="15" width="15.1416666666667" customWidth="1"/>
    <col min="16" max="16" width="44.125" customWidth="1"/>
    <col min="17" max="17" width="17.75" customWidth="1"/>
  </cols>
  <sheetData>
    <row r="1" s="1" customFormat="1" ht="15" spans="1:17">
      <c r="A1" s="1" t="s">
        <v>0</v>
      </c>
      <c r="B1" s="1" t="s">
        <v>1</v>
      </c>
      <c r="C1" s="1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/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" t="s">
        <v>15</v>
      </c>
    </row>
    <row r="2" s="2" customFormat="1" ht="27" customHeight="1" spans="1:21">
      <c r="A2" s="2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>
        <f>I2*J2</f>
        <v>100</v>
      </c>
      <c r="H2">
        <f>390/$O$5*O2</f>
        <v>272.287862513426</v>
      </c>
      <c r="I2">
        <v>2</v>
      </c>
      <c r="J2" s="3">
        <v>50</v>
      </c>
      <c r="K2" s="4" t="s">
        <v>22</v>
      </c>
      <c r="L2">
        <v>0.0429</v>
      </c>
      <c r="M2">
        <v>13.167</v>
      </c>
      <c r="N2">
        <f>M2*J2</f>
        <v>658.35</v>
      </c>
      <c r="O2">
        <f>L2*J2</f>
        <v>2.145</v>
      </c>
      <c r="P2" s="10" t="s">
        <v>23</v>
      </c>
      <c r="Q2" s="14" t="s">
        <v>24</v>
      </c>
      <c r="R2"/>
      <c r="S2"/>
      <c r="T2"/>
      <c r="U2"/>
    </row>
    <row r="3" spans="1:20">
      <c r="A3" s="2" t="s">
        <v>16</v>
      </c>
      <c r="B3" s="8" t="s">
        <v>25</v>
      </c>
      <c r="C3" s="7" t="s">
        <v>26</v>
      </c>
      <c r="D3" s="7" t="s">
        <v>27</v>
      </c>
      <c r="E3" s="4" t="s">
        <v>28</v>
      </c>
      <c r="F3" t="s">
        <v>29</v>
      </c>
      <c r="G3">
        <f>I3*J3</f>
        <v>60</v>
      </c>
      <c r="H3">
        <f>390/$O$5*O3</f>
        <v>59.7890830973538</v>
      </c>
      <c r="I3">
        <v>4</v>
      </c>
      <c r="J3" s="3">
        <v>15</v>
      </c>
      <c r="K3" s="4" t="s">
        <v>30</v>
      </c>
      <c r="L3">
        <v>0.0314</v>
      </c>
      <c r="M3">
        <v>14.058</v>
      </c>
      <c r="N3">
        <f>M3*J3</f>
        <v>210.87</v>
      </c>
      <c r="O3">
        <f>L3*J3</f>
        <v>0.471</v>
      </c>
      <c r="P3" s="11" t="s">
        <v>31</v>
      </c>
      <c r="Q3" s="14" t="s">
        <v>24</v>
      </c>
      <c r="R3" s="11"/>
      <c r="S3" s="11"/>
      <c r="T3" s="11"/>
    </row>
    <row r="4" customFormat="1" spans="1:20">
      <c r="A4" s="2" t="s">
        <v>16</v>
      </c>
      <c r="B4" s="8" t="s">
        <v>32</v>
      </c>
      <c r="C4" s="7" t="s">
        <v>33</v>
      </c>
      <c r="D4" s="7" t="s">
        <v>34</v>
      </c>
      <c r="E4" s="4" t="s">
        <v>35</v>
      </c>
      <c r="F4" t="s">
        <v>36</v>
      </c>
      <c r="G4">
        <f>I4*J4</f>
        <v>54</v>
      </c>
      <c r="H4">
        <f>390/$O$5*O4</f>
        <v>57.9230543892198</v>
      </c>
      <c r="I4">
        <v>6</v>
      </c>
      <c r="J4" s="3">
        <v>9</v>
      </c>
      <c r="K4" s="4" t="s">
        <v>37</v>
      </c>
      <c r="L4">
        <v>0.0507</v>
      </c>
      <c r="M4">
        <v>11.25</v>
      </c>
      <c r="N4">
        <f>M4*J4</f>
        <v>101.25</v>
      </c>
      <c r="O4">
        <f>J4*L4</f>
        <v>0.4563</v>
      </c>
      <c r="P4" s="11" t="s">
        <v>38</v>
      </c>
      <c r="Q4" s="14" t="s">
        <v>24</v>
      </c>
      <c r="R4" s="11"/>
      <c r="S4" s="11"/>
      <c r="T4" s="11"/>
    </row>
    <row r="5" spans="1:15">
      <c r="A5" s="2"/>
      <c r="D5" s="4"/>
      <c r="E5" s="4"/>
      <c r="G5">
        <f>SUM(G2:G4)</f>
        <v>214</v>
      </c>
      <c r="H5">
        <f>390/$O$5*O5</f>
        <v>390</v>
      </c>
      <c r="J5" s="3">
        <f>SUM(J2:J4)</f>
        <v>74</v>
      </c>
      <c r="O5">
        <f>SUM(O2:O4)</f>
        <v>3.0723</v>
      </c>
    </row>
    <row r="6" spans="4:5">
      <c r="D6" s="4"/>
      <c r="E6" s="4"/>
    </row>
    <row r="7" spans="4:4">
      <c r="D7" s="4"/>
    </row>
    <row r="8" spans="4:4">
      <c r="D8" s="4"/>
    </row>
    <row r="9" ht="15.75" spans="15:15">
      <c r="O9" s="12" t="s">
        <v>39</v>
      </c>
    </row>
    <row r="11" ht="16" customHeight="1" spans="15:15">
      <c r="O11" s="13" t="s">
        <v>40</v>
      </c>
    </row>
    <row r="12" spans="5:5">
      <c r="E12" s="9"/>
    </row>
    <row r="13" spans="4:5">
      <c r="D13" s="4"/>
      <c r="E13" s="4"/>
    </row>
    <row r="14" spans="5:5">
      <c r="E14" s="9"/>
    </row>
    <row r="15" spans="5:5">
      <c r="E15" s="9"/>
    </row>
    <row r="16" spans="5:5">
      <c r="E16" s="9"/>
    </row>
    <row r="17" spans="5:5">
      <c r="E17" s="4"/>
    </row>
    <row r="18" spans="5:5">
      <c r="E18" s="4"/>
    </row>
    <row r="21" ht="15" customHeight="1"/>
    <row r="25" spans="4:15">
      <c r="D25" s="4"/>
      <c r="E25" s="4"/>
      <c r="F25" s="4"/>
      <c r="G25" s="4"/>
      <c r="H25" s="4"/>
      <c r="I25" s="4"/>
      <c r="L25" s="4"/>
      <c r="M25" s="4"/>
      <c r="O25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2025-10-17T02:49:20Z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0354AA3C46D24ACCB3D4FF867F91A55B_13</vt:lpwstr>
  </property>
  <property fmtid="{D5CDD505-2E9C-101B-9397-08002B2CF9AE}" pid="3" name="KSOProductBuildVer">
    <vt:lpwstr>2052-12.1.0.22529</vt:lpwstr>
  </property>
</Properties>
</file>