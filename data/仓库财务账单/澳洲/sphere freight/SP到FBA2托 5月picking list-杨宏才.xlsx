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Sheet1!$C$1:$O$12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J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<sst xmlns="http://schemas.openxmlformats.org/spreadsheetml/2006/main" count="82" uniqueCount="82">
  <si>
    <t xml:space="preserve">  中文品名</t>
  </si>
  <si>
    <t>Product name</t>
  </si>
  <si>
    <t>SKU</t>
  </si>
  <si>
    <t>FNSKU</t>
  </si>
  <si>
    <t>Original ASIN</t>
  </si>
  <si>
    <t>单个头程 260+100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</si>
  <si>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</si>
  <si>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</si>
  <si>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</si>
  <si>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</si>
  <si>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</si>
  <si>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</si>
  <si>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</si>
  <si>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</si>
  <si>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ID</t>
  </si>
  <si>
    <t>FBA warehouse code</t>
  </si>
  <si>
    <t>面团刮刀和糕点垫套装</t>
  </si>
  <si>
    <t>Non-Slip Silicone Pastry Mat with Measurements &amp; Stainless Steel Dough Scraper Set– Ideal for Rolling, Kneading, and Cutting Dough Kunststoff | 60x45x1,2 cm | Spülmaschinenfest &amp; Hygienisch | Ideal für Fleisch, Gemüse &amp; Obst (Schwarz)</t>
  </si>
  <si>
    <t>CCF-CSH-DghScrprPstryMt2</t>
  </si>
  <si>
    <t>B0F4DJ69R8</t>
  </si>
  <si>
    <t>B081HZBM5Z</t>
  </si>
  <si>
    <t>43.18*30.48*43.18cm</t>
  </si>
  <si>
    <t>FBA15FTD1PKXU000037</t>
  </si>
  <si>
    <t>BNE1- 42-52 EXPORT 
STREET 4178 - LYTTON,
 QUEENSLAND - Australia</t>
  </si>
  <si>
    <t>硅胶厨房用具5件套</t>
  </si>
  <si>
    <t>5-Piece Silicone Kitchen Utensil Set – Premium BPA-Free Cooking Tools &amp; Gadgets for Nonstick Cookware – Dishwasher Safe &amp; Durable</t>
  </si>
  <si>
    <t>CCF-CSH-SlUtensl5pcs</t>
  </si>
  <si>
    <t>B0F36YGQKB</t>
  </si>
  <si>
    <t>B01A7QZ9ZM</t>
  </si>
  <si>
    <t>43.18*33.02*29.464</t>
  </si>
  <si>
    <t>FBA15FTD1PKXU000040 FBA15FTD1PKXU000041</t>
  </si>
  <si>
    <t>3 层格子蛋糕架</t>
  </si>
  <si>
    <t>3-Tier White Ceramic Cake Stand – Tiered Cupcake Display Stand for Desserts, Pastries, and Treats – Elegant Serving Tray for Tea Parties and Gatherings</t>
  </si>
  <si>
    <t>N9-I4FJ-SD05</t>
  </si>
  <si>
    <t>B0F31X6XB3</t>
  </si>
  <si>
    <t>B07RVDKZC2</t>
  </si>
  <si>
    <t>55.88*33.02*30.48</t>
  </si>
  <si>
    <t>FBA15FTD1PKXU000006-FBA15FTD1PKXU000011</t>
  </si>
  <si>
    <t>优质披萨切割机摆动刀片</t>
  </si>
  <si>
    <t>Well-Made Pizza Cutter with Protective Cover/Case/Holder/Sheath. Heavy Duty Stainless Steel with Comfort Grip Handle. Dishwasher Safe.</t>
  </si>
  <si>
    <t>CCF-CSH-PrPzaCtr</t>
  </si>
  <si>
    <t>B0F2RXNFSB</t>
  </si>
  <si>
    <t>B01IP5VT2O</t>
  </si>
  <si>
    <t>38.1*35.5*22.8</t>
  </si>
  <si>
    <t>FBA15FTD1PKXU000039</t>
  </si>
  <si>
    <t>重型冰淇淋勺</t>
  </si>
  <si>
    <t>Ice Cream Scoop with Ergonomic Handle – Multi-Purpose Aluminum Icecream Scoop for Frozen Treats</t>
  </si>
  <si>
    <t>CCF-CSH-IceCrmScp</t>
  </si>
  <si>
    <t>B0F3J7WW3R</t>
  </si>
  <si>
    <t>B08R6SKCVN</t>
  </si>
  <si>
    <t>44.9*38.1*24.8</t>
  </si>
  <si>
    <t>FBA15FTD1PKXU000038</t>
  </si>
  <si>
    <t>帆布和木质秋千椅奶油色</t>
  </si>
  <si>
    <t>Baby Swing Chair for Indoor &amp; Outdoor Use – Cotton Canvas Hanging Seat for Toddlers, Infant Baby Toys – Portable Hanging Chair with Beech Wood Frame, Cream Color, for Ages Up to 4</t>
  </si>
  <si>
    <t>MNM-CSH-CwdSwgChr-Crm</t>
  </si>
  <si>
    <t>B0F31VXN18</t>
  </si>
  <si>
    <t>B095W2MLPF</t>
  </si>
  <si>
    <t>44.9*40.1*28.1</t>
  </si>
  <si>
    <t>FBA15FTD1PKXU000001-FBA15FTD1PKXU000005</t>
  </si>
  <si>
    <t>预调味铸铁双层荷兰烤箱</t>
  </si>
  <si>
    <t>Pre-Seasoned Cast Iron 2-in-1 Dutch Oven with Skillet Lid | Cast Iron Dutch Oven &amp; Frying Pan | Large 5.2L Casserole for Baking, Roasting &amp; Frying</t>
  </si>
  <si>
    <t>NLK-CSH-DblDchOvn</t>
  </si>
  <si>
    <t>B0F2SVSBLQ</t>
  </si>
  <si>
    <t>B07V32FG4Q</t>
  </si>
  <si>
    <t>34.6*29.7*31.6</t>
  </si>
  <si>
    <t>FBA15FTD1PKXU000012-FBA15FTD1PKXU000026</t>
  </si>
  <si>
    <t>预调味铸铁煎锅 12.5"</t>
  </si>
  <si>
    <t>12" Pre-Seasoned Cast Iron Skillet | Heavy-Duty Frying Pan for Cooking | Versatile Cast Iron Pan for Searing, Sautéing &amp; Baking</t>
  </si>
  <si>
    <t>NLK-CSH-Sklt-22</t>
  </si>
  <si>
    <t>B0F2SFWWDV</t>
  </si>
  <si>
    <t>B01M74A279</t>
  </si>
  <si>
    <t>44*30.2*35.1</t>
  </si>
  <si>
    <t>FBA15FTD1PKXU000027-FBA15FTD1PKXU000036</t>
  </si>
  <si>
    <t>威士忌醒酒器和 4 个塔斯曼威士忌杯</t>
  </si>
  <si>
    <t>Twist Design Whiskey Glasses Set of 2 – Clear 10oz Tumblers for Bourbon, Scotch, Liquor – Quality Barware for Enthusiasts – Versatile Wine Glass Alternative</t>
  </si>
  <si>
    <t>NLK-CSH-DcntGlsSet-Tmn</t>
  </si>
  <si>
    <t>B0F2T72JYV</t>
  </si>
  <si>
    <t>B07881WCQY</t>
  </si>
  <si>
    <t>39.6*37.3*51</t>
  </si>
  <si>
    <t>FBA15FTD1PKXU000042-FBA15FTD1PKXU000050</t>
  </si>
  <si>
    <t>领星ok</t>
  </si>
  <si>
    <t>INVOICE: 3037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</si>
</sst>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2"/>
      <color rgb="FF000000"/>
      <name val="TimesNewRomanPS-BoldMT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fill" vertical="center"/>
    </xf>
    <xf numFmtId="0" fontId="0" fillId="0" borderId="0" xfId="0" applyFill="1" applyAlignment="1">
      <alignment horizontal="fill" vertical="center"/>
    </xf>
    <xf numFmtId="0" fontId="0" fillId="0" borderId="0" xfId="0" applyFill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Fill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tabSelected="1" topLeftCell="G1" workbookViewId="0">
      <pane ySplit="1" topLeftCell="A2" activePane="bottomLeft" state="frozen"/>
      <selection/>
      <selection pane="bottomLeft" activeCell="O20" sqref="O20"/>
    </sheetView>
  </sheetViews>
  <sheetFormatPr defaultColWidth="9" defaultRowHeight="13.5"/>
  <cols>
    <col min="1" max="1" width="24.1583333333333" customWidth="1"/>
    <col min="2" max="2" width="28.275" customWidth="1"/>
    <col min="3" max="3" width="20.4583333333333" customWidth="1"/>
    <col min="4" max="4" width="10.7583333333333" customWidth="1"/>
    <col min="5" max="5" width="14.3416666666667" customWidth="1"/>
    <col min="6" max="6" width="29.875" customWidth="1"/>
    <col min="7" max="7" width="8.63333333333333" customWidth="1"/>
    <col min="8" max="8" width="17.325" customWidth="1"/>
    <col min="9" max="9" width="11" style="2" customWidth="1"/>
    <col min="10" max="10" width="19.05" style="3" customWidth="1"/>
    <col min="11" max="11" width="13.2833333333333" customWidth="1"/>
    <col min="12" max="12" width="17.325" customWidth="1"/>
    <col min="13" max="13" width="15.0083333333333" customWidth="1"/>
    <col min="14" max="14" width="15.1416666666667" customWidth="1"/>
    <col min="15" max="15" width="57.375" customWidth="1"/>
    <col min="16" max="16" width="20.1833333333333" customWidth="1"/>
  </cols>
  <sheetData>
    <row r="1" s="1" customFormat="1" ht="15" spans="1:16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" t="s">
        <v>15</v>
      </c>
    </row>
    <row r="2" ht="17" customHeight="1" spans="1:19">
      <c r="A2" s="6" t="s">
        <v>16</v>
      </c>
      <c r="B2" s="7" t="s">
        <v>17</v>
      </c>
      <c r="C2" s="7" t="s">
        <v>18</v>
      </c>
      <c r="D2" s="8" t="s">
        <v>19</v>
      </c>
      <c r="E2" t="s">
        <v>20</v>
      </c>
      <c r="F2" t="e">
        <f>260/$N$11*N2/G2</f>
        <v>#DIV/0!</v>
      </c>
      <c r="G2">
        <v>0</v>
      </c>
      <c r="H2">
        <v>36</v>
      </c>
      <c r="I2" s="2">
        <v>0</v>
      </c>
      <c r="J2" s="3" t="s">
        <v>21</v>
      </c>
      <c r="K2">
        <v>0.0568</v>
      </c>
      <c r="L2">
        <v>18.9</v>
      </c>
      <c r="M2">
        <f>L2*I2</f>
        <v>0</v>
      </c>
      <c r="N2">
        <f>K2*I2</f>
        <v>0</v>
      </c>
      <c r="O2" s="11" t="s">
        <v>22</v>
      </c>
      <c r="P2" s="8" t="s">
        <v>23</v>
      </c>
      <c r="Q2" s="11"/>
      <c r="R2" s="11"/>
      <c r="S2" s="11"/>
    </row>
    <row r="3" spans="1:19">
      <c r="A3" s="6" t="s">
        <v>24</v>
      </c>
      <c r="B3" s="7" t="s">
        <v>25</v>
      </c>
      <c r="C3" s="7" t="s">
        <v>26</v>
      </c>
      <c r="D3" s="3" t="s">
        <v>27</v>
      </c>
      <c r="E3" t="s">
        <v>28</v>
      </c>
      <c r="F3">
        <f t="shared" ref="F3:F10" si="0">260/$N$11*N3/G3</f>
        <v>0.444726810673443</v>
      </c>
      <c r="G3">
        <v>24</v>
      </c>
      <c r="H3">
        <v>12</v>
      </c>
      <c r="I3" s="2">
        <v>2</v>
      </c>
      <c r="J3" s="3" t="s">
        <v>29</v>
      </c>
      <c r="K3">
        <v>0.042</v>
      </c>
      <c r="L3">
        <v>8.415</v>
      </c>
      <c r="M3">
        <f t="shared" ref="M3:M10" si="1">L3*I3</f>
        <v>16.83</v>
      </c>
      <c r="N3">
        <f t="shared" ref="N3:N10" si="2">K3*I3</f>
        <v>0.084</v>
      </c>
      <c r="O3" s="11" t="s">
        <v>30</v>
      </c>
      <c r="P3" s="11"/>
      <c r="Q3" s="11"/>
      <c r="R3" s="11"/>
      <c r="S3" s="11"/>
    </row>
    <row r="4" spans="1:19">
      <c r="A4" s="6" t="s">
        <v>31</v>
      </c>
      <c r="B4" s="7" t="s">
        <v>32</v>
      </c>
      <c r="C4" s="7" t="s">
        <v>33</v>
      </c>
      <c r="D4" s="3" t="s">
        <v>34</v>
      </c>
      <c r="E4" t="s">
        <v>35</v>
      </c>
      <c r="F4" t="e">
        <f t="shared" si="0"/>
        <v>#DIV/0!</v>
      </c>
      <c r="G4">
        <v>0</v>
      </c>
      <c r="H4">
        <v>8</v>
      </c>
      <c r="I4" s="2">
        <v>0</v>
      </c>
      <c r="J4" s="3" t="s">
        <v>36</v>
      </c>
      <c r="K4">
        <v>0.0511</v>
      </c>
      <c r="L4">
        <v>19.95</v>
      </c>
      <c r="M4">
        <f t="shared" si="1"/>
        <v>0</v>
      </c>
      <c r="N4">
        <f t="shared" si="2"/>
        <v>0</v>
      </c>
      <c r="O4" s="11" t="s">
        <v>37</v>
      </c>
      <c r="P4" s="11"/>
      <c r="Q4" s="11"/>
      <c r="R4" s="11"/>
      <c r="S4" s="11"/>
    </row>
    <row r="5" spans="1:19">
      <c r="A5" s="6" t="s">
        <v>38</v>
      </c>
      <c r="B5" s="7" t="s">
        <v>39</v>
      </c>
      <c r="C5" s="7" t="s">
        <v>40</v>
      </c>
      <c r="D5" s="3" t="s">
        <v>41</v>
      </c>
      <c r="E5" t="s">
        <v>42</v>
      </c>
      <c r="F5">
        <f t="shared" si="0"/>
        <v>0.109416913737117</v>
      </c>
      <c r="G5">
        <v>36</v>
      </c>
      <c r="H5">
        <v>36</v>
      </c>
      <c r="I5" s="2">
        <v>1</v>
      </c>
      <c r="J5" s="3" t="s">
        <v>43</v>
      </c>
      <c r="K5">
        <v>0.031</v>
      </c>
      <c r="L5">
        <v>15.3</v>
      </c>
      <c r="M5">
        <f t="shared" si="1"/>
        <v>15.3</v>
      </c>
      <c r="N5">
        <f t="shared" si="2"/>
        <v>0.031</v>
      </c>
      <c r="O5" s="11" t="s">
        <v>44</v>
      </c>
      <c r="P5" s="11"/>
      <c r="Q5" s="11"/>
      <c r="R5" s="11"/>
      <c r="S5" s="11"/>
    </row>
    <row r="6" spans="1:19">
      <c r="A6" s="6" t="s">
        <v>45</v>
      </c>
      <c r="B6" s="7" t="s">
        <v>46</v>
      </c>
      <c r="C6" s="7" t="s">
        <v>47</v>
      </c>
      <c r="D6" s="3" t="s">
        <v>48</v>
      </c>
      <c r="E6" t="s">
        <v>49</v>
      </c>
      <c r="F6">
        <f t="shared" si="0"/>
        <v>0.112505294366794</v>
      </c>
      <c r="G6">
        <v>48</v>
      </c>
      <c r="H6">
        <v>48</v>
      </c>
      <c r="I6" s="2">
        <v>1</v>
      </c>
      <c r="J6" s="3" t="s">
        <v>50</v>
      </c>
      <c r="K6">
        <v>0.0425</v>
      </c>
      <c r="L6">
        <v>11.385</v>
      </c>
      <c r="M6">
        <f t="shared" si="1"/>
        <v>11.385</v>
      </c>
      <c r="N6">
        <f t="shared" si="2"/>
        <v>0.0425</v>
      </c>
      <c r="O6" s="11" t="s">
        <v>51</v>
      </c>
      <c r="P6" s="11"/>
      <c r="Q6" s="11"/>
      <c r="R6" s="11"/>
      <c r="S6" s="11"/>
    </row>
    <row r="7" spans="1:19">
      <c r="A7" s="6" t="s">
        <v>52</v>
      </c>
      <c r="B7" s="7" t="s">
        <v>53</v>
      </c>
      <c r="C7" s="7" t="s">
        <v>54</v>
      </c>
      <c r="D7" s="3" t="s">
        <v>55</v>
      </c>
      <c r="E7" t="s">
        <v>56</v>
      </c>
      <c r="F7">
        <f t="shared" si="0"/>
        <v>1.07369758576874</v>
      </c>
      <c r="G7">
        <v>30</v>
      </c>
      <c r="H7">
        <v>6</v>
      </c>
      <c r="I7" s="2">
        <v>5</v>
      </c>
      <c r="J7" s="3" t="s">
        <v>57</v>
      </c>
      <c r="K7">
        <v>0.0507</v>
      </c>
      <c r="L7">
        <v>11.25</v>
      </c>
      <c r="M7">
        <f t="shared" si="1"/>
        <v>56.25</v>
      </c>
      <c r="N7">
        <f t="shared" si="2"/>
        <v>0.2535</v>
      </c>
      <c r="O7" s="11" t="s">
        <v>58</v>
      </c>
      <c r="P7" s="11"/>
      <c r="Q7" s="11"/>
      <c r="R7" s="11"/>
      <c r="S7" s="11"/>
    </row>
    <row r="8" ht="15" customHeight="1" spans="1:19">
      <c r="A8" s="6" t="s">
        <v>59</v>
      </c>
      <c r="B8" s="7" t="s">
        <v>60</v>
      </c>
      <c r="C8" s="7" t="s">
        <v>61</v>
      </c>
      <c r="D8" s="3" t="s">
        <v>62</v>
      </c>
      <c r="E8" t="s">
        <v>63</v>
      </c>
      <c r="F8">
        <f t="shared" si="0"/>
        <v>2.72554002541296</v>
      </c>
      <c r="G8">
        <v>30</v>
      </c>
      <c r="H8">
        <v>2</v>
      </c>
      <c r="I8" s="2">
        <v>15</v>
      </c>
      <c r="J8" s="3" t="s">
        <v>64</v>
      </c>
      <c r="K8" s="3">
        <v>0.0429</v>
      </c>
      <c r="L8">
        <v>13.167</v>
      </c>
      <c r="M8">
        <f t="shared" si="1"/>
        <v>197.505</v>
      </c>
      <c r="N8">
        <f t="shared" si="2"/>
        <v>0.6435</v>
      </c>
      <c r="O8" s="11" t="s">
        <v>65</v>
      </c>
      <c r="P8" s="11"/>
      <c r="Q8" s="11"/>
      <c r="R8" s="11"/>
      <c r="S8" s="11"/>
    </row>
    <row r="9" spans="1:19">
      <c r="A9" s="6" t="s">
        <v>66</v>
      </c>
      <c r="B9" s="7" t="s">
        <v>67</v>
      </c>
      <c r="C9" s="7" t="s">
        <v>68</v>
      </c>
      <c r="D9" s="3" t="s">
        <v>69</v>
      </c>
      <c r="E9" t="s">
        <v>70</v>
      </c>
      <c r="F9">
        <f t="shared" si="0"/>
        <v>0.997458703939009</v>
      </c>
      <c r="G9">
        <v>40</v>
      </c>
      <c r="H9">
        <v>4</v>
      </c>
      <c r="I9" s="2">
        <v>10</v>
      </c>
      <c r="J9" s="3" t="s">
        <v>71</v>
      </c>
      <c r="K9">
        <v>0.0314</v>
      </c>
      <c r="L9">
        <v>14.058</v>
      </c>
      <c r="M9">
        <f t="shared" si="1"/>
        <v>140.58</v>
      </c>
      <c r="N9">
        <f t="shared" si="2"/>
        <v>0.314</v>
      </c>
      <c r="O9" s="11" t="s">
        <v>72</v>
      </c>
      <c r="P9" s="11"/>
      <c r="Q9" s="11"/>
      <c r="R9" s="11"/>
      <c r="S9" s="11"/>
    </row>
    <row r="10" spans="1:19">
      <c r="A10" s="6" t="s">
        <v>73</v>
      </c>
      <c r="B10" s="7" t="s">
        <v>74</v>
      </c>
      <c r="C10" s="7" t="s">
        <v>75</v>
      </c>
      <c r="D10" s="3" t="s">
        <v>76</v>
      </c>
      <c r="E10" t="s">
        <v>77</v>
      </c>
      <c r="F10">
        <f t="shared" si="0"/>
        <v>3.18932655654384</v>
      </c>
      <c r="G10">
        <v>27</v>
      </c>
      <c r="H10">
        <v>3</v>
      </c>
      <c r="I10" s="2">
        <v>9</v>
      </c>
      <c r="J10" s="3" t="s">
        <v>78</v>
      </c>
      <c r="K10">
        <v>0.0753</v>
      </c>
      <c r="L10">
        <v>14.355</v>
      </c>
      <c r="M10">
        <f t="shared" si="1"/>
        <v>129.195</v>
      </c>
      <c r="N10">
        <f t="shared" si="2"/>
        <v>0.6777</v>
      </c>
      <c r="O10" s="11" t="s">
        <v>79</v>
      </c>
      <c r="P10" s="11"/>
      <c r="Q10" s="11"/>
      <c r="R10" s="11"/>
      <c r="S10" s="11"/>
    </row>
    <row r="11" spans="3:14">
      <c r="C11" s="3"/>
      <c r="D11" s="3"/>
      <c r="G11">
        <f>SUM(G2:G10)</f>
        <v>235</v>
      </c>
      <c r="I11" s="2">
        <f>SUM(I2:I10)</f>
        <v>43</v>
      </c>
      <c r="N11">
        <f>SUM(N2:N10)</f>
        <v>2.0462</v>
      </c>
    </row>
    <row r="12" spans="3:6">
      <c r="C12" s="3"/>
      <c r="D12" s="3"/>
      <c r="F12" t="s">
        <v>80</v>
      </c>
    </row>
    <row r="13" ht="15.75" spans="3:6">
      <c r="C13" s="3"/>
      <c r="D13" s="3"/>
      <c r="F13" s="9" t="s">
        <v>81</v>
      </c>
    </row>
    <row r="14" spans="3:3">
      <c r="C14" s="3"/>
    </row>
    <row r="15" spans="3:3">
      <c r="C15" s="3"/>
    </row>
    <row r="18" ht="16" customHeight="1"/>
    <row r="19" spans="4:4">
      <c r="D19" s="10"/>
    </row>
    <row r="20" spans="3:4">
      <c r="C20" s="3"/>
      <c r="D20" s="3"/>
    </row>
    <row r="21" spans="4:4">
      <c r="D21" s="10"/>
    </row>
    <row r="22" spans="4:4">
      <c r="D22" s="10"/>
    </row>
    <row r="23" spans="4:4">
      <c r="D23" s="10"/>
    </row>
    <row r="24" spans="4:4">
      <c r="D24" s="3"/>
    </row>
    <row r="25" spans="4:4">
      <c r="D25" s="3"/>
    </row>
    <row r="28" ht="15" customHeight="1"/>
    <row r="32" spans="3:14">
      <c r="C32" s="3"/>
      <c r="D32" s="3"/>
      <c r="E32" s="3"/>
      <c r="F32" s="3"/>
      <c r="G32" s="3"/>
      <c r="H32" s="3"/>
      <c r="K32" s="3"/>
      <c r="L32" s="3"/>
      <c r="N32" s="3"/>
    </row>
  </sheetData>
  <mergeCells count="1">
    <mergeCell ref="P2:P10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2024-02-27T04:05:00Z</dcterms:created>
  <dcterms:modified xsi:type="dcterms:W3CDTF">2025-10-17T02:45:07Z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44659BFD344C4FC09ED2B9938A326008_13</vt:lpwstr>
  </property>
  <property fmtid="{D5CDD505-2E9C-101B-9397-08002B2CF9AE}" pid="3" name="KSOProductBuildVer">
    <vt:lpwstr>2052-12.1.0.22529</vt:lpwstr>
  </property>
</Properties>
</file>