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25" firstSheet="2" activeTab="2"/>
  </bookViews>
  <sheets>
    <sheet name="first load不准确" sheetId="2" state="hidden" r:id="rId1"/>
    <sheet name="托盘清单" sheetId="1" state="hidden" r:id="rId2"/>
    <sheet name="first load" sheetId="10" r:id="rId3"/>
    <sheet name="Nutrilock" sheetId="4" state="hidden" r:id="rId4"/>
    <sheet name="Thrasio" sheetId="5" state="hidden" r:id="rId5"/>
    <sheet name="Nutrilock数量" sheetId="6" r:id="rId6"/>
    <sheet name="Thrasio数量" sheetId="7" r:id="rId7"/>
    <sheet name="Nutrilock Tfr" sheetId="11" r:id="rId8"/>
    <sheet name="Thrasio Tfr" sheetId="12" r:id="rId9"/>
  </sheets>
  <externalReferences>
    <externalReference r:id="rId10"/>
  </externalReferences>
  <definedNames>
    <definedName name="_xlnm._FilterDatabase" localSheetId="0" hidden="1">'first load不准确'!$A$1:$L$13</definedName>
    <definedName name="_xlnm._FilterDatabase" localSheetId="1" hidden="1">托盘清单!$A$1:$L$58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 and 20？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16 and 20？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N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之前写的496</t>
        </r>
      </text>
    </comment>
  </commentList>
</comments>
</file>

<file path=xl/sharedStrings.xml><?xml version="1.0" encoding="utf-8"?>
<sst xmlns="http://schemas.openxmlformats.org/spreadsheetml/2006/main" count="3047" uniqueCount="442">
  <si>
    <t>Item Key</t>
  </si>
  <si>
    <t>SKU</t>
  </si>
  <si>
    <t>Description</t>
  </si>
  <si>
    <t>Expiry Date</t>
  </si>
  <si>
    <t>Batch Ref.</t>
  </si>
  <si>
    <t>Qty</t>
  </si>
  <si>
    <t>Pallet</t>
  </si>
  <si>
    <t>Location</t>
  </si>
  <si>
    <t>comment</t>
  </si>
  <si>
    <t>Pallet Total</t>
  </si>
  <si>
    <t>Units Per Carton</t>
  </si>
  <si>
    <t>Total Cartons</t>
  </si>
  <si>
    <t>B01A7QZ9ZM</t>
  </si>
  <si>
    <t>X000N8HM4L</t>
  </si>
  <si>
    <t>Silicone utensil set</t>
  </si>
  <si>
    <t>PLT286590</t>
  </si>
  <si>
    <t>H1465A</t>
  </si>
  <si>
    <t>1st load</t>
  </si>
  <si>
    <t>B075K9FPQT</t>
  </si>
  <si>
    <t>X000OXVBEH</t>
  </si>
  <si>
    <t>truck</t>
  </si>
  <si>
    <t>PLT286568</t>
  </si>
  <si>
    <t>H1471A</t>
  </si>
  <si>
    <t>B07DPF53MT</t>
  </si>
  <si>
    <t>X000TDXL0T</t>
  </si>
  <si>
    <t>Pizza steel</t>
  </si>
  <si>
    <t>PLT306402</t>
  </si>
  <si>
    <t>H1334A</t>
  </si>
  <si>
    <t>B08PVF9NWP</t>
  </si>
  <si>
    <t>X000WGHKHX</t>
  </si>
  <si>
    <t>24 cupcakes</t>
  </si>
  <si>
    <t>PLT286588</t>
  </si>
  <si>
    <t>H1342A</t>
  </si>
  <si>
    <t>B01IP5VT2O</t>
  </si>
  <si>
    <t>X000N8IVQJ</t>
  </si>
  <si>
    <t>Premium pizza cutter</t>
  </si>
  <si>
    <t>PLT306414</t>
  </si>
  <si>
    <t>H1343A</t>
  </si>
  <si>
    <t>B07FXG4JVG</t>
  </si>
  <si>
    <t>HOBART DECANTER</t>
  </si>
  <si>
    <t>PLT693476</t>
  </si>
  <si>
    <t>H1372A</t>
  </si>
  <si>
    <t>B01M74A279</t>
  </si>
  <si>
    <t>Pre-Seasoned 12 Inch (30cm) Cast Iron Skillet Fry Pan.</t>
  </si>
  <si>
    <t>28-Feb-2024</t>
  </si>
  <si>
    <t>21BP177</t>
  </si>
  <si>
    <t>PLT509018</t>
  </si>
  <si>
    <t>H1384A</t>
  </si>
  <si>
    <t>B07881WCQY</t>
  </si>
  <si>
    <t>TWIST DECANTER SET</t>
  </si>
  <si>
    <t>PLT664561</t>
  </si>
  <si>
    <t>H1274A</t>
  </si>
  <si>
    <t>B07V32FG4Q</t>
  </si>
  <si>
    <t>Dutch Oven 5.2 litre</t>
  </si>
  <si>
    <t>PLT439320</t>
  </si>
  <si>
    <t>H1381A</t>
  </si>
  <si>
    <t>B08R6SKCVN</t>
  </si>
  <si>
    <t>X000WKNCNP</t>
  </si>
  <si>
    <t>icecream scoop</t>
  </si>
  <si>
    <t>PLT286576</t>
  </si>
  <si>
    <t>H1346A</t>
  </si>
  <si>
    <t>B095W2MLPF</t>
  </si>
  <si>
    <t>Canvas Baby Swing CREAM</t>
  </si>
  <si>
    <t>PLT663931</t>
  </si>
  <si>
    <t>H1370A</t>
  </si>
  <si>
    <t>PLT508857</t>
  </si>
  <si>
    <t>H1363A</t>
  </si>
  <si>
    <t>PLT286570</t>
  </si>
  <si>
    <t>H1431A</t>
  </si>
  <si>
    <t>PLT509005</t>
  </si>
  <si>
    <t>H1468A</t>
  </si>
  <si>
    <t>PLT508962</t>
  </si>
  <si>
    <t>H1472A</t>
  </si>
  <si>
    <t>24-Feb-2024</t>
  </si>
  <si>
    <t>PLT509078</t>
  </si>
  <si>
    <t>H1479A</t>
  </si>
  <si>
    <t>29-Feb-2024</t>
  </si>
  <si>
    <t>PLT508932</t>
  </si>
  <si>
    <t>H1481A</t>
  </si>
  <si>
    <t>PLT509007</t>
  </si>
  <si>
    <t>H1483A</t>
  </si>
  <si>
    <t>PLT509008</t>
  </si>
  <si>
    <t>SH1384A</t>
  </si>
  <si>
    <t>PLT500537</t>
  </si>
  <si>
    <t>H0302F</t>
  </si>
  <si>
    <t>PLT500528</t>
  </si>
  <si>
    <t>H0304F</t>
  </si>
  <si>
    <t>PLT664573</t>
  </si>
  <si>
    <t>H0308C</t>
  </si>
  <si>
    <t>PLT509010</t>
  </si>
  <si>
    <t>H0313D</t>
  </si>
  <si>
    <t>PLT500539</t>
  </si>
  <si>
    <t>H0314E</t>
  </si>
  <si>
    <t>PLT508849</t>
  </si>
  <si>
    <t>H0320E</t>
  </si>
  <si>
    <t>PLT664533</t>
  </si>
  <si>
    <t>H0324C</t>
  </si>
  <si>
    <t>PLT509006</t>
  </si>
  <si>
    <t>H0340F</t>
  </si>
  <si>
    <t>PLT508984</t>
  </si>
  <si>
    <t>H0347D</t>
  </si>
  <si>
    <t>PLT508850</t>
  </si>
  <si>
    <t>H0349F</t>
  </si>
  <si>
    <t>PLT508860</t>
  </si>
  <si>
    <t>H0405G</t>
  </si>
  <si>
    <t>PLT508865</t>
  </si>
  <si>
    <t>H0409G</t>
  </si>
  <si>
    <t>PLT508967</t>
  </si>
  <si>
    <t>H0411G</t>
  </si>
  <si>
    <t>PLT508837</t>
  </si>
  <si>
    <t>H0417G</t>
  </si>
  <si>
    <t>PLT509048</t>
  </si>
  <si>
    <t>H0419G</t>
  </si>
  <si>
    <t>PLT077925</t>
  </si>
  <si>
    <t>H0423G</t>
  </si>
  <si>
    <t>PLT834013</t>
  </si>
  <si>
    <t>H0425G</t>
  </si>
  <si>
    <t>PLT834014</t>
  </si>
  <si>
    <t>H0427G</t>
  </si>
  <si>
    <t>PLT508864</t>
  </si>
  <si>
    <t>H0429G</t>
  </si>
  <si>
    <t>PLT509013</t>
  </si>
  <si>
    <t>H0431G</t>
  </si>
  <si>
    <t>PLT290982</t>
  </si>
  <si>
    <t>H0918A</t>
  </si>
  <si>
    <t>PLT508929</t>
  </si>
  <si>
    <t>H1264A</t>
  </si>
  <si>
    <t>PLT509073</t>
  </si>
  <si>
    <t>H1266A</t>
  </si>
  <si>
    <t>PLT509105</t>
  </si>
  <si>
    <t>H1267A</t>
  </si>
  <si>
    <t>PLT508871</t>
  </si>
  <si>
    <t>H1268A</t>
  </si>
  <si>
    <t>PLT508848</t>
  </si>
  <si>
    <t>H1276A</t>
  </si>
  <si>
    <t>PLT508920</t>
  </si>
  <si>
    <t>H1277A</t>
  </si>
  <si>
    <t>PLT508931</t>
  </si>
  <si>
    <t>H1284A</t>
  </si>
  <si>
    <t>PLT508970</t>
  </si>
  <si>
    <t>H1353A</t>
  </si>
  <si>
    <t>PLT442161</t>
  </si>
  <si>
    <t>H1355A</t>
  </si>
  <si>
    <t>PLT509011</t>
  </si>
  <si>
    <t>H1358A</t>
  </si>
  <si>
    <t>H1369A</t>
  </si>
  <si>
    <t>PLT509001</t>
  </si>
  <si>
    <t>H1371A</t>
  </si>
  <si>
    <t>PLT508969</t>
  </si>
  <si>
    <t>H1375A</t>
  </si>
  <si>
    <t>PLT508937</t>
  </si>
  <si>
    <t>H1376A</t>
  </si>
  <si>
    <t>PLT827923</t>
  </si>
  <si>
    <t>H1380A</t>
  </si>
  <si>
    <t>PLT508846</t>
  </si>
  <si>
    <t>H1383A</t>
  </si>
  <si>
    <t>ASIN</t>
  </si>
  <si>
    <t>FN SKU</t>
  </si>
  <si>
    <t>Discrp</t>
  </si>
  <si>
    <t>Item Name</t>
  </si>
  <si>
    <t>Quantity</t>
  </si>
  <si>
    <t xml:space="preserve">   per ctn</t>
  </si>
  <si>
    <t>total carton</t>
  </si>
  <si>
    <t>B07T2XNN7C</t>
  </si>
  <si>
    <t>X000RV2Y1P</t>
  </si>
  <si>
    <t>B081HZBM5Z</t>
  </si>
  <si>
    <t>X000V2PDO5</t>
  </si>
  <si>
    <t>B082M3SLJ7</t>
  </si>
  <si>
    <t>X000TEKLUB</t>
  </si>
  <si>
    <t>B07RVDKZC2</t>
  </si>
  <si>
    <t>X000U6KVA3</t>
  </si>
  <si>
    <r>
      <t>54</t>
    </r>
    <r>
      <rPr>
        <sz val="11"/>
        <color theme="1"/>
        <rFont val="宋体"/>
        <charset val="134"/>
      </rPr>
      <t>托</t>
    </r>
  </si>
  <si>
    <t>Id</t>
  </si>
  <si>
    <t>Facility</t>
  </si>
  <si>
    <t>Snap Shot Date</t>
  </si>
  <si>
    <t>Customer</t>
  </si>
  <si>
    <t>Sku</t>
  </si>
  <si>
    <t>Sku Description</t>
  </si>
  <si>
    <t>FitStatus</t>
  </si>
  <si>
    <t>Batch</t>
  </si>
  <si>
    <t>Expiry date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</si>
  <si>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</si>
  <si>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</si>
  <si>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</si>
  <si>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</si>
  <si>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</si>
  <si>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</si>
  <si>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</si>
  <si>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</si>
  <si>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Pick Pallet Bill</t>
  </si>
  <si>
    <t>Pick Flow Rack Bill</t>
  </si>
  <si>
    <t>Pick Shelf Bill</t>
  </si>
  <si>
    <t>DG Flag</t>
  </si>
  <si>
    <t>Refrigerated</t>
  </si>
  <si>
    <t>Bill Type</t>
  </si>
  <si>
    <t>WH7</t>
  </si>
  <si>
    <t>2025-01-07</t>
  </si>
  <si>
    <t>NUTRILOCK</t>
  </si>
  <si>
    <t>sale</t>
  </si>
  <si>
    <t>2024-02-28</t>
  </si>
  <si>
    <t>H0762D</t>
  </si>
  <si>
    <t>N</t>
  </si>
  <si>
    <t>Pallet Racking</t>
  </si>
  <si>
    <t>H0467G</t>
  </si>
  <si>
    <t>H0469G</t>
  </si>
  <si>
    <t>2024-02-29</t>
  </si>
  <si>
    <t>SH1284C</t>
  </si>
  <si>
    <t>2024-02-24</t>
  </si>
  <si>
    <t>H1279B</t>
  </si>
  <si>
    <t>SH984D</t>
  </si>
  <si>
    <t>H0772B</t>
  </si>
  <si>
    <t>H1281B</t>
  </si>
  <si>
    <t>K1363G</t>
  </si>
  <si>
    <t>H0879D</t>
  </si>
  <si>
    <t>H1268C</t>
  </si>
  <si>
    <t>H1282B</t>
  </si>
  <si>
    <t>H1283B</t>
  </si>
  <si>
    <t>H1360B</t>
  </si>
  <si>
    <t>H1380B</t>
  </si>
  <si>
    <t>H1583B</t>
  </si>
  <si>
    <t>R4O-22-D1</t>
  </si>
  <si>
    <t/>
  </si>
  <si>
    <t>K1333F</t>
  </si>
  <si>
    <t>K1345C</t>
  </si>
  <si>
    <t>H1376B</t>
  </si>
  <si>
    <t>H1372B</t>
  </si>
  <si>
    <t>H1583D</t>
  </si>
  <si>
    <t>H1073D</t>
  </si>
  <si>
    <t>H0769C</t>
  </si>
  <si>
    <t>H1072E</t>
  </si>
  <si>
    <t>H1378B</t>
  </si>
  <si>
    <t>H0749C</t>
  </si>
  <si>
    <t>H1075D</t>
  </si>
  <si>
    <t>SH1385B</t>
  </si>
  <si>
    <t>SH1384D</t>
  </si>
  <si>
    <t>H0465E</t>
  </si>
  <si>
    <t>H0663F</t>
  </si>
  <si>
    <t>H0771C</t>
  </si>
  <si>
    <t>H1072D</t>
  </si>
  <si>
    <t>H1079D</t>
  </si>
  <si>
    <t>H1277B</t>
  </si>
  <si>
    <t>H1382B</t>
  </si>
  <si>
    <t>K1353G</t>
  </si>
  <si>
    <t>H0463F</t>
  </si>
  <si>
    <t>H0467E</t>
  </si>
  <si>
    <t>H0702D</t>
  </si>
  <si>
    <t>H0752E</t>
  </si>
  <si>
    <t>H0757E</t>
  </si>
  <si>
    <t>H0760D</t>
  </si>
  <si>
    <t>H0767C</t>
  </si>
  <si>
    <t>H0767E</t>
  </si>
  <si>
    <t>H0770C</t>
  </si>
  <si>
    <t>H0773E</t>
  </si>
  <si>
    <t>H0775D</t>
  </si>
  <si>
    <t>H1072C</t>
  </si>
  <si>
    <t>H1076C</t>
  </si>
  <si>
    <t>H1172C</t>
  </si>
  <si>
    <t>H1284B</t>
  </si>
  <si>
    <t>H1358B</t>
  </si>
  <si>
    <t>H1370B</t>
  </si>
  <si>
    <t>H1084E</t>
  </si>
  <si>
    <t>H0480G</t>
  </si>
  <si>
    <t>H0435G</t>
  </si>
  <si>
    <t>H0453G</t>
  </si>
  <si>
    <t>H0457G</t>
  </si>
  <si>
    <t>H0459G</t>
  </si>
  <si>
    <t>H0463G</t>
  </si>
  <si>
    <t>H0477G</t>
  </si>
  <si>
    <t>H0663G</t>
  </si>
  <si>
    <t>H0675G</t>
  </si>
  <si>
    <t>H0783D</t>
  </si>
  <si>
    <t>H1168C</t>
  </si>
  <si>
    <t>H1583E</t>
  </si>
  <si>
    <t>K1345F</t>
  </si>
  <si>
    <t>K1365G</t>
  </si>
  <si>
    <t>SH1285D</t>
  </si>
  <si>
    <t>SH301C</t>
  </si>
  <si>
    <t>Applied filters:
Customer is not NULL
Facility is not 
Customer is NUTRILOCK
SnapShotDateAsText is greater than or equal to 2025-01-07 and is less than or equal to 2025-01-07</t>
  </si>
  <si>
    <t>WH2</t>
  </si>
  <si>
    <t>THRASIO</t>
  </si>
  <si>
    <t>B07QQFWF6B</t>
  </si>
  <si>
    <t>aluminium Twin Tray Set</t>
  </si>
  <si>
    <t>H1240E</t>
  </si>
  <si>
    <t>H1262D</t>
  </si>
  <si>
    <t>H1264D</t>
  </si>
  <si>
    <t>H1266C</t>
  </si>
  <si>
    <t>H1383B</t>
  </si>
  <si>
    <t>K1349D</t>
  </si>
  <si>
    <t>HOLD PALLETS</t>
  </si>
  <si>
    <t>H0449G</t>
  </si>
  <si>
    <t>H0454G</t>
  </si>
  <si>
    <t>H1384B</t>
  </si>
  <si>
    <t>H1446A</t>
  </si>
  <si>
    <t>H1447A</t>
  </si>
  <si>
    <t>H1448A</t>
  </si>
  <si>
    <t>H1465E</t>
  </si>
  <si>
    <t>H1468C</t>
  </si>
  <si>
    <t>H1469A</t>
  </si>
  <si>
    <t>H1480C</t>
  </si>
  <si>
    <t>H1484A</t>
  </si>
  <si>
    <t>H1561B</t>
  </si>
  <si>
    <t>H1561C</t>
  </si>
  <si>
    <t>H1561D</t>
  </si>
  <si>
    <t>H1563B</t>
  </si>
  <si>
    <t>H1567C</t>
  </si>
  <si>
    <t>K0211B</t>
  </si>
  <si>
    <t>K0556D</t>
  </si>
  <si>
    <t>K0748B</t>
  </si>
  <si>
    <t>K0750G</t>
  </si>
  <si>
    <t>K0754G</t>
  </si>
  <si>
    <t>K0756G</t>
  </si>
  <si>
    <t>K0758G</t>
  </si>
  <si>
    <t>K0766G</t>
  </si>
  <si>
    <t>K0969G</t>
  </si>
  <si>
    <t>K0971G</t>
  </si>
  <si>
    <t>K1670B</t>
  </si>
  <si>
    <t>SK772G</t>
  </si>
  <si>
    <t>X000N8E30H</t>
  </si>
  <si>
    <t>pizza peel</t>
  </si>
  <si>
    <t>H1258D</t>
  </si>
  <si>
    <t>H1256F</t>
  </si>
  <si>
    <t>X000N8FRST</t>
  </si>
  <si>
    <t>Alum half tray and rack</t>
  </si>
  <si>
    <t>H1250C</t>
  </si>
  <si>
    <t>X000N8FSDD</t>
  </si>
  <si>
    <t>pizza cutter</t>
  </si>
  <si>
    <t>H1376C</t>
  </si>
  <si>
    <t>X000N8FSMJ</t>
  </si>
  <si>
    <t>Toaster oven set</t>
  </si>
  <si>
    <t>H1364B</t>
  </si>
  <si>
    <t>X000N8FVHB</t>
  </si>
  <si>
    <t>aluminum Quarter pan and rack set</t>
  </si>
  <si>
    <t>H1230F</t>
  </si>
  <si>
    <t>X000N8GL4D</t>
  </si>
  <si>
    <t>Rolling pin</t>
  </si>
  <si>
    <t>H1270C</t>
  </si>
  <si>
    <t>H1360C</t>
  </si>
  <si>
    <t>X000N8GLMP</t>
  </si>
  <si>
    <t>Mezzaluna chopper+board set</t>
  </si>
  <si>
    <t>H1452B</t>
  </si>
  <si>
    <t>X000N8HHA5</t>
  </si>
  <si>
    <t>Meat tenderizer</t>
  </si>
  <si>
    <t>H1445B</t>
  </si>
  <si>
    <t>X000N8HHE1</t>
  </si>
  <si>
    <t>Plastic Cutting board</t>
  </si>
  <si>
    <t>H1375C</t>
  </si>
  <si>
    <t>H1360A</t>
  </si>
  <si>
    <t>H1278F</t>
  </si>
  <si>
    <t>H1277C</t>
  </si>
  <si>
    <t>X000N8HHHD</t>
  </si>
  <si>
    <t>single blade mez</t>
  </si>
  <si>
    <t>H1332B</t>
  </si>
  <si>
    <t>X000N8IP1P</t>
  </si>
  <si>
    <t>large twin rack</t>
  </si>
  <si>
    <t>H1229C</t>
  </si>
  <si>
    <t>H1260E</t>
  </si>
  <si>
    <t>H1282C</t>
  </si>
  <si>
    <t>H1356B</t>
  </si>
  <si>
    <t>X000NLOVEH</t>
  </si>
  <si>
    <t>Van Daemon Twist Decanter 5 Set</t>
  </si>
  <si>
    <t>H1370G</t>
  </si>
  <si>
    <t>H1372G</t>
  </si>
  <si>
    <t>X000OUBZRD</t>
  </si>
  <si>
    <t>Dough Scraper</t>
  </si>
  <si>
    <t>H1533E</t>
  </si>
  <si>
    <t>H1566F</t>
  </si>
  <si>
    <t>H1579F</t>
  </si>
  <si>
    <t>Launceston Whiskey Glass Set</t>
  </si>
  <si>
    <t>H1378G</t>
  </si>
  <si>
    <t>X000T6DFC5</t>
  </si>
  <si>
    <t>Large pizza peel</t>
  </si>
  <si>
    <t>H1234C</t>
  </si>
  <si>
    <t>H1232E</t>
  </si>
  <si>
    <t>H1234D</t>
  </si>
  <si>
    <t>H1246C</t>
  </si>
  <si>
    <t>H1256D</t>
  </si>
  <si>
    <t>H1548F</t>
  </si>
  <si>
    <t>H1570D</t>
  </si>
  <si>
    <t>cake stand</t>
  </si>
  <si>
    <t>H1354B</t>
  </si>
  <si>
    <t>H1350B</t>
  </si>
  <si>
    <t>H1350C</t>
  </si>
  <si>
    <t>H1352B</t>
  </si>
  <si>
    <t>Mat with dough scraper set</t>
  </si>
  <si>
    <t>H1441B</t>
  </si>
  <si>
    <t>X000V2QAUB</t>
  </si>
  <si>
    <t>medium rack</t>
  </si>
  <si>
    <t>H1276G</t>
  </si>
  <si>
    <t>X000VHA8BD</t>
  </si>
  <si>
    <t>SS 2 pack quarter pans</t>
  </si>
  <si>
    <t>quarantine</t>
  </si>
  <si>
    <t>H1435A</t>
  </si>
  <si>
    <t>X000VOAO0V</t>
  </si>
  <si>
    <t>Garlic press</t>
  </si>
  <si>
    <t>H1256E</t>
  </si>
  <si>
    <t>H1450B</t>
  </si>
  <si>
    <t>H1363D</t>
  </si>
  <si>
    <t>X000VOBH7Z</t>
  </si>
  <si>
    <t>Popcorn maker</t>
  </si>
  <si>
    <t>H1268E</t>
  </si>
  <si>
    <t>H1266E</t>
  </si>
  <si>
    <t>X000WA4BRL</t>
  </si>
  <si>
    <t>Pizza wheel</t>
  </si>
  <si>
    <t>H1432G</t>
  </si>
  <si>
    <t>Applied filters:
Customer is not NULL
Facility is not 
Customer is THRASIO
SnapShotDateAsText is greater than or equal to 2025-01-07 and is less than or equal to 2025-01-07</t>
  </si>
  <si>
    <t xml:space="preserve">      Qty</t>
  </si>
  <si>
    <t xml:space="preserve">           Pallet </t>
  </si>
  <si>
    <r>
      <rPr>
        <sz val="11"/>
        <color theme="1"/>
        <rFont val="Calibri"/>
        <charset val="134"/>
      </rPr>
      <t>Thrasio</t>
    </r>
    <r>
      <rPr>
        <sz val="11"/>
        <color theme="1"/>
        <rFont val="宋体"/>
        <charset val="134"/>
      </rPr>
      <t>库存</t>
    </r>
  </si>
  <si>
    <t>total</t>
  </si>
  <si>
    <t>First load已提货</t>
  </si>
  <si>
    <t>库存</t>
  </si>
  <si>
    <t>Total</t>
  </si>
  <si>
    <t>Difference
quantity差异</t>
  </si>
  <si>
    <t>B01FGTFBHG</t>
  </si>
  <si>
    <t>B01JRNNUU2</t>
  </si>
  <si>
    <t>B07GSJKTVM</t>
  </si>
  <si>
    <t>B01A7PYVS4</t>
  </si>
  <si>
    <t>B0722QMHF2</t>
  </si>
  <si>
    <t>B06WWQGWPW</t>
  </si>
  <si>
    <t>B00WS5JK10</t>
  </si>
  <si>
    <t>B07353TRJP</t>
  </si>
  <si>
    <t>B01FGT2VJW</t>
  </si>
  <si>
    <t>B01A7Q7XSI</t>
  </si>
  <si>
    <t>B07358FG4G</t>
  </si>
  <si>
    <t>B06Y5F3NGY</t>
  </si>
  <si>
    <t>B08HJQCKJB</t>
  </si>
  <si>
    <t>B075SQSHSH</t>
  </si>
  <si>
    <t>B08HJS7RR8</t>
  </si>
  <si>
    <t>B08NP6N2S4</t>
  </si>
  <si>
    <t>B07YWDJGH4</t>
  </si>
  <si>
    <t>B07Z4NF7ZZ</t>
  </si>
  <si>
    <r>
      <rPr>
        <sz val="11"/>
        <color theme="1"/>
        <rFont val="Calibri"/>
        <charset val="134"/>
      </rPr>
      <t>Nutrilock</t>
    </r>
    <r>
      <rPr>
        <sz val="11"/>
        <color theme="1"/>
        <rFont val="宋体"/>
        <charset val="134"/>
      </rPr>
      <t>库存</t>
    </r>
  </si>
  <si>
    <t>first load</t>
  </si>
  <si>
    <t>Stock</t>
  </si>
  <si>
    <t>Pallets</t>
  </si>
  <si>
    <t>Nutrilock stock week ended 15/12/24</t>
  </si>
  <si>
    <t>Thrasio stock week ended 15/12/24</t>
  </si>
  <si>
    <t>Stock shipment 1st Delivery - Nutrilock</t>
  </si>
  <si>
    <t>Stock shipment 1st Delivery - Thrasio</t>
  </si>
  <si>
    <t>Nutrilock stock week ended 12/01/25</t>
  </si>
  <si>
    <t>Thrasio stock week ended 12/01/25</t>
  </si>
  <si>
    <t>basketball bag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</si>
</sst>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7">
    <font>
      <sz val="11"/>
      <color theme="1"/>
      <name val="Calibri"/>
      <charset val="134"/>
    </font>
    <font>
      <sz val="11"/>
      <name val="Aptos Narrow"/>
      <charset val="134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0" fillId="2" borderId="0" xfId="0" applyFont="1" applyFill="1"/>
    <xf numFmtId="0" fontId="1" fillId="0" borderId="0" xfId="0" applyNumberFormat="1" applyFont="1" applyFill="1" applyAlignment="1"/>
    <xf numFmtId="0" fontId="0" fillId="0" borderId="0" xfId="0" applyFont="1"/>
    <xf numFmtId="0" fontId="0" fillId="3" borderId="0" xfId="0" applyFon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76" fontId="3" fillId="5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3" fillId="5" borderId="0" xfId="0" applyFont="1" applyFill="1" applyAlignment="1">
      <alignment vertical="center"/>
    </xf>
    <xf numFmtId="0" fontId="4" fillId="0" borderId="0" xfId="0" applyFont="1" applyAlignment="1">
      <alignment wrapText="1"/>
    </xf>
    <xf numFmtId="1" fontId="1" fillId="0" borderId="0" xfId="0" applyNumberFormat="1" applyFont="1" applyFill="1" applyAlignment="1"/>
    <xf numFmtId="0" fontId="1" fillId="0" borderId="0" xfId="0" applyFont="1" applyFill="1" applyAlignment="1">
      <alignment wrapText="1"/>
    </xf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135;&#21697;&#30456;&#20851;\&#20122;&#39532;&#36874;\SC\&#28595;&#27954;&#26085;&#26412;&#36135;&#30424;\&#28595;&#27954;&#26085;&#26412;&#36135;&#29289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总货物"/>
      <sheetName val="日本"/>
      <sheetName val="澳洲"/>
    </sheetNames>
    <sheetDataSet>
      <sheetData sheetId="0"/>
      <sheetData sheetId="1"/>
      <sheetData sheetId="2">
        <row r="2">
          <cell r="A2" t="str">
            <v>B07V32FG4Q</v>
          </cell>
          <cell r="B2" t="str">
            <v>NLK-KND-DblDchOvn</v>
          </cell>
          <cell r="C2" t="str">
            <v>Nutri-Lock</v>
          </cell>
          <cell r="D2" t="str">
            <v>Pre-Seasoned Cast Iron Double Dutch Oven</v>
          </cell>
          <cell r="E2" t="str">
            <v>预调味铸铁双层荷兰烤箱</v>
          </cell>
        </row>
        <row r="3">
          <cell r="A3" t="str">
            <v>B01M74A279</v>
          </cell>
          <cell r="B3" t="str">
            <v>NLK-KND-Sklt-12</v>
          </cell>
          <cell r="C3" t="str">
            <v>Nutri-Lock</v>
          </cell>
          <cell r="D3" t="str">
            <v>Pre-Seasoned Cast Iron Skillet 12.5"</v>
          </cell>
          <cell r="E3" t="str">
            <v>预调味铸铁煎锅 12.5"</v>
          </cell>
        </row>
        <row r="4">
          <cell r="A4" t="str">
            <v>B07DPF53MT</v>
          </cell>
          <cell r="B4" t="str">
            <v>CCF-KND-StPzaStn</v>
          </cell>
          <cell r="C4" t="str">
            <v>Checkered Chef</v>
          </cell>
          <cell r="D4" t="str">
            <v>Steel Pizza Stone for Baking</v>
          </cell>
          <cell r="E4" t="str">
            <v>烘焙用钢披萨石</v>
          </cell>
        </row>
        <row r="5">
          <cell r="A5" t="str">
            <v>B01IP5VT2O</v>
          </cell>
          <cell r="B5" t="str">
            <v>CCF-KND-PrPzaCtr</v>
          </cell>
          <cell r="C5" t="str">
            <v>Checkered Chef</v>
          </cell>
          <cell r="D5" t="str">
            <v>Premium Pizza Cutter Oscillating Blade</v>
          </cell>
          <cell r="E5" t="str">
            <v>优质披萨切割机摆动刀片</v>
          </cell>
        </row>
        <row r="6">
          <cell r="A6" t="str">
            <v>B07QQFWF6B</v>
          </cell>
          <cell r="B6" t="str">
            <v>CCF-KND-AlShtPnBkRk-HlfTwn</v>
          </cell>
          <cell r="C6" t="str">
            <v>Checkered Chef</v>
          </cell>
          <cell r="D6" t="str">
            <v>Aluminium Sheet Pan and Rack Set Half 17.95x13" Twin Pack</v>
          </cell>
          <cell r="E6" t="str">
            <v>铝板盘和架子半件 17.95x13" 双件装</v>
          </cell>
        </row>
        <row r="7">
          <cell r="A7" t="str">
            <v>B07GSJKTVM</v>
          </cell>
          <cell r="B7" t="str">
            <v>CCF-KND-PzaPel-Xl</v>
          </cell>
          <cell r="C7" t="str">
            <v>Checkered Chef</v>
          </cell>
          <cell r="D7" t="str">
            <v>Stainless Steel Pizza Peel Extra Large</v>
          </cell>
          <cell r="E7" t="str">
            <v>不锈钢披萨皮特大号</v>
          </cell>
        </row>
        <row r="8">
          <cell r="A8" t="str">
            <v>B07881WCQY</v>
          </cell>
          <cell r="B8" t="str">
            <v>NLK-KND-DcntGlsSet-Tmn</v>
          </cell>
          <cell r="C8" t="str">
            <v>Nutri-Lock</v>
          </cell>
          <cell r="D8" t="str">
            <v>Whisky Decanter and 4 Whiskey Glasses Tasman</v>
          </cell>
          <cell r="E8" t="str">
            <v>威士忌醒酒器和 4 个塔斯曼威士忌杯</v>
          </cell>
        </row>
        <row r="9">
          <cell r="A9" t="str">
            <v>B08R6SKCVN</v>
          </cell>
          <cell r="B9" t="str">
            <v>CCF-KND-IceCrmScp</v>
          </cell>
          <cell r="C9" t="str">
            <v>Checkered Chef</v>
          </cell>
          <cell r="D9" t="str">
            <v>Heavy Duty Icecream Scoop</v>
          </cell>
          <cell r="E9" t="str">
            <v>重型冰淇淋勺</v>
          </cell>
        </row>
        <row r="10">
          <cell r="A10" t="str">
            <v>B095W2MLPF</v>
          </cell>
          <cell r="B10" t="str">
            <v>MNM-TOG-CwdSwgChr-Crm</v>
          </cell>
          <cell r="C10" t="str">
            <v>Monkey &amp; Mouse</v>
          </cell>
          <cell r="D10" t="str">
            <v>Canvas and Wood Swinging Chair Cream</v>
          </cell>
          <cell r="E10" t="str">
            <v>帆布和木质秋千椅奶油色</v>
          </cell>
        </row>
        <row r="11">
          <cell r="A11" t="str">
            <v>B07RVDKZC2</v>
          </cell>
          <cell r="B11" t="str">
            <v>CCF-KND-3tCpckStnd</v>
          </cell>
          <cell r="C11" t="str">
            <v>Checkered Chef</v>
          </cell>
          <cell r="D11" t="str">
            <v>3 Tiered Checkered Cupcake Stand</v>
          </cell>
          <cell r="E11" t="str">
            <v>3 层格子蛋糕架</v>
          </cell>
        </row>
        <row r="12">
          <cell r="A12" t="str">
            <v>B081HZBM5Z</v>
          </cell>
          <cell r="B12" t="str">
            <v>CCF-KND-DghScrprPstryMt</v>
          </cell>
          <cell r="C12" t="str">
            <v>Checkered Chef</v>
          </cell>
          <cell r="D12" t="str">
            <v>Dough Scraper and Pastry Mat Set</v>
          </cell>
          <cell r="E12" t="str">
            <v>面团刮刀和糕点垫套装</v>
          </cell>
        </row>
        <row r="13">
          <cell r="A13" t="str">
            <v>B01A7Q7XSI</v>
          </cell>
          <cell r="B13" t="str">
            <v>CCF-KND-PltcCtngBrd</v>
          </cell>
          <cell r="C13" t="str">
            <v>Checkered Chef</v>
          </cell>
          <cell r="D13" t="str">
            <v>Plastic Double Sided Cutting Board 14x10"</v>
          </cell>
          <cell r="E13" t="str">
            <v>塑料双面切菜板 14x10"</v>
          </cell>
        </row>
        <row r="14">
          <cell r="A14" t="str">
            <v>B01FGT2VJW</v>
          </cell>
          <cell r="B14" t="str">
            <v>CCF-KND-MeatTndrzr</v>
          </cell>
          <cell r="C14" t="str">
            <v>Checkered Chef</v>
          </cell>
          <cell r="D14" t="str">
            <v>Meat Tenderizer</v>
          </cell>
          <cell r="E14" t="str">
            <v>嫩肉剂</v>
          </cell>
        </row>
        <row r="15">
          <cell r="A15" t="str">
            <v>B07881WCQY</v>
          </cell>
          <cell r="B15" t="str">
            <v>NLK-KND-DcntGlsSet-Tmn</v>
          </cell>
          <cell r="C15" t="str">
            <v>Nutri-Lock</v>
          </cell>
          <cell r="D15" t="str">
            <v>Whisky Decanter and 4 Whiskey Glasses Tasman</v>
          </cell>
          <cell r="E15" t="str">
            <v>威士忌醒酒器和 4 个塔斯曼威士忌杯</v>
          </cell>
        </row>
        <row r="16">
          <cell r="A16" t="str">
            <v>B00WS5JK10</v>
          </cell>
          <cell r="B16" t="str">
            <v>CCF-KND-RlngPin</v>
          </cell>
          <cell r="C16" t="str">
            <v>Checkered Chef</v>
          </cell>
          <cell r="D16" t="str">
            <v>Stainless Steel Rolling Pin for Baking</v>
          </cell>
          <cell r="E16" t="str">
            <v>烘焙用不锈钢擀面杖</v>
          </cell>
        </row>
        <row r="17">
          <cell r="A17" t="str">
            <v>B08HJQCKJB</v>
          </cell>
          <cell r="B17" t="str">
            <v>CCF-KND-GrlcPrs</v>
          </cell>
          <cell r="C17" t="str">
            <v>Checkered Chef</v>
          </cell>
          <cell r="D17" t="str">
            <v>Stainless Steel Garlic Press</v>
          </cell>
          <cell r="E17" t="str">
            <v>不锈钢压蒜器</v>
          </cell>
        </row>
        <row r="18">
          <cell r="A18" t="str">
            <v>B07FXG4JVG</v>
          </cell>
          <cell r="B18" t="str">
            <v>NLK-KND-DcntGlsSet-Hbt</v>
          </cell>
          <cell r="C18" t="str">
            <v>Nutri-Lock</v>
          </cell>
          <cell r="D18" t="str">
            <v>Whisky Decanter and 4 Whiskey Glasses Hobart</v>
          </cell>
          <cell r="E18" t="str">
            <v>霍巴特威士忌醒酒器和 4 个威士忌杯</v>
          </cell>
        </row>
        <row r="19">
          <cell r="A19" t="str">
            <v>B01FGTFBHG</v>
          </cell>
          <cell r="B19" t="str">
            <v>CCF-KND-PzaPel</v>
          </cell>
          <cell r="C19" t="str">
            <v>Checkered Chef</v>
          </cell>
          <cell r="D19" t="str">
            <v>Stainless Steel Pizza Peel</v>
          </cell>
          <cell r="E19" t="str">
            <v>不锈钢披萨皮</v>
          </cell>
        </row>
        <row r="20">
          <cell r="A20" t="str">
            <v>B075SQSHSH</v>
          </cell>
          <cell r="B20" t="str">
            <v>CCF-KND-DghScrpr</v>
          </cell>
          <cell r="C20" t="str">
            <v>Checkered Chef</v>
          </cell>
          <cell r="D20" t="str">
            <v>Dough Scraper</v>
          </cell>
          <cell r="E20" t="str">
            <v>面团刮刀</v>
          </cell>
        </row>
        <row r="21">
          <cell r="A21" t="str">
            <v>B08HJS7RR8</v>
          </cell>
          <cell r="B21" t="str">
            <v>CCF-HHB-SlcPpcrnMkr</v>
          </cell>
          <cell r="C21" t="str">
            <v>Checkered Chef</v>
          </cell>
          <cell r="D21" t="str">
            <v>Silicone Collapsible Microwave Popcorn Maker</v>
          </cell>
          <cell r="E21" t="str">
            <v>硅胶折叠微波炉爆米花机</v>
          </cell>
        </row>
        <row r="22">
          <cell r="A22" t="str">
            <v>B01JRNNUU2</v>
          </cell>
          <cell r="B22" t="str">
            <v>CCF-KND-AlShtPnRk-Hlf</v>
          </cell>
          <cell r="C22" t="e">
            <v>#N/A</v>
          </cell>
          <cell r="D22" t="str">
            <v>Aluminium Sheet Pan and Rack Set Half 17.95x13"</v>
          </cell>
          <cell r="E22" t="str">
            <v>铝板盘和架子半件 17.95x13" </v>
          </cell>
        </row>
        <row r="23">
          <cell r="A23" t="str">
            <v>B06Y5F3NGY</v>
          </cell>
          <cell r="B23" t="str">
            <v>CCF-KND-BkRkHlf-2pk</v>
          </cell>
          <cell r="C23" t="str">
            <v>Checkered Chef</v>
          </cell>
          <cell r="D23" t="str">
            <v>Stainless Steel Baking Rack 17x12" Half 2 Pack</v>
          </cell>
          <cell r="E23" t="str">
            <v>不锈钢烤架 17x12 英寸半 2 件装</v>
          </cell>
        </row>
        <row r="24">
          <cell r="A24" t="str">
            <v>B08NP6N2S4</v>
          </cell>
          <cell r="B24" t="str">
            <v>CCF-KND-PzaCtrWhl</v>
          </cell>
          <cell r="C24" t="str">
            <v>Checkered Chef</v>
          </cell>
          <cell r="D24" t="str">
            <v>Pizza Cutter Wheel</v>
          </cell>
          <cell r="E24" t="str">
            <v>披萨刀轮</v>
          </cell>
        </row>
        <row r="25">
          <cell r="A25" t="str">
            <v>B01A7PYVS4</v>
          </cell>
          <cell r="B25" t="str">
            <v>CCF-KND-PzaCtr-L14</v>
          </cell>
          <cell r="C25" t="str">
            <v>Checkered Chef</v>
          </cell>
          <cell r="D25" t="str">
            <v>Pizza Cutter Large 14" Rocker Blade</v>
          </cell>
          <cell r="E25" t="str">
            <v>大型 14 英寸摇杆披萨刀</v>
          </cell>
        </row>
        <row r="26">
          <cell r="A26" t="str">
            <v>B07T2XNN7C</v>
          </cell>
          <cell r="B26" t="str">
            <v>NLK-KND-LctnWskyGls-2pk</v>
          </cell>
          <cell r="C26" t="str">
            <v>Nutri-Lock</v>
          </cell>
          <cell r="D26" t="str">
            <v>Launceston Whiskey Glasses 2pk</v>
          </cell>
          <cell r="E26" t="str">
            <v>朗塞斯顿威士忌杯 2 件装</v>
          </cell>
        </row>
        <row r="27">
          <cell r="A27" t="str">
            <v>B01A7QZ9ZM</v>
          </cell>
          <cell r="B27" t="str">
            <v>CCF-KND-SlUtensl5pcs</v>
          </cell>
          <cell r="C27" t="str">
            <v>Checkered Chef</v>
          </cell>
          <cell r="D27" t="str">
            <v>Silicone Kitchen Utensils 5 Pieces</v>
          </cell>
          <cell r="E27" t="str">
            <v>硅胶厨房用具5件套</v>
          </cell>
        </row>
        <row r="28">
          <cell r="A28" t="str">
            <v>B075K9FPQT</v>
          </cell>
          <cell r="B28" t="str">
            <v>CCF-TOG-WdnPlySt6pcs</v>
          </cell>
          <cell r="C28" t="str">
            <v>Checkered Chef</v>
          </cell>
          <cell r="D28" t="str">
            <v>Wooden Construction Play Set 6 Pieces</v>
          </cell>
          <cell r="E28" t="str">
            <v>木制建筑玩具套装 6 件</v>
          </cell>
        </row>
        <row r="29">
          <cell r="A29" t="str">
            <v>B06WWQGWPW</v>
          </cell>
          <cell r="B29" t="str">
            <v>CCF-KND-AlShtPnRk-Qtr</v>
          </cell>
          <cell r="C29" t="str">
            <v>Checkered Chef</v>
          </cell>
          <cell r="D29" t="str">
            <v>Aluminium Sheet Pan and Rack Set Quarter 9.5x19"</v>
          </cell>
          <cell r="E29" t="str">
            <v>铝板盘和架四分之一 9.5x19"</v>
          </cell>
        </row>
        <row r="30">
          <cell r="A30" t="str">
            <v>B07Z4NF7ZZ</v>
          </cell>
          <cell r="B30" t="str">
            <v>CCF-KND-ShtPnQtr-2pk</v>
          </cell>
          <cell r="C30" t="str">
            <v>Checkered Chef</v>
          </cell>
          <cell r="D30" t="str">
            <v>Stainless Steel Sheet Pan 9.5x13" Quarter 2 Pack</v>
          </cell>
          <cell r="E30" t="str">
            <v>不锈钢平底锅 9.5x13" 四分之一 2 件装</v>
          </cell>
        </row>
        <row r="31">
          <cell r="A31" t="str">
            <v>B07YWDJGH4</v>
          </cell>
          <cell r="B31" t="str">
            <v>CCF-KND-BkRkJly-2pk</v>
          </cell>
          <cell r="C31" t="e">
            <v>#N/A</v>
          </cell>
          <cell r="D31" t="str">
            <v>Stainless Steel Baking Rack Jelly Roll 10x15" 2 pack</v>
          </cell>
          <cell r="E31" t="str">
            <v>不锈钢烘焙架果冻卷10x15 2包</v>
          </cell>
        </row>
        <row r="32">
          <cell r="A32" t="str">
            <v>B07353TRJP</v>
          </cell>
          <cell r="B32" t="str">
            <v>CCF-KND-MzlnaChprCtngBrd</v>
          </cell>
          <cell r="C32" t="str">
            <v>Checkered Chef</v>
          </cell>
          <cell r="D32" t="str">
            <v>Mezzaluna Chopper with Cutting Board</v>
          </cell>
          <cell r="E32" t="str">
            <v>带切菜板的 Mezzaluna 切碎机</v>
          </cell>
        </row>
        <row r="33">
          <cell r="A33" t="str">
            <v>B0722QMHF2</v>
          </cell>
          <cell r="B33" t="str">
            <v>CCF-KND-TstrPn5pcs</v>
          </cell>
          <cell r="C33" t="str">
            <v>Checkered Chef</v>
          </cell>
          <cell r="D33" t="str">
            <v>Toaster Oven Pans 5 Pieces</v>
          </cell>
          <cell r="E33" t="str">
            <v>烤面包机烤盘 5 件</v>
          </cell>
        </row>
        <row r="34">
          <cell r="A34" t="str">
            <v>B082M3SLJ7</v>
          </cell>
          <cell r="B34" t="str">
            <v>CCF-SPO-BsktbllBg</v>
          </cell>
          <cell r="C34" t="str">
            <v>Checkered Chef</v>
          </cell>
          <cell r="D34" t="str">
            <v>Basketball Bag Backpack</v>
          </cell>
          <cell r="E34" t="str">
            <v>篮球包背包</v>
          </cell>
        </row>
        <row r="35">
          <cell r="A35" t="str">
            <v>B07358FG4G</v>
          </cell>
          <cell r="B35" t="str">
            <v>CCF-KND-MzlnaChpr</v>
          </cell>
          <cell r="C35" t="str">
            <v>Checkered Chef</v>
          </cell>
          <cell r="D35" t="str">
            <v>Mezzaluna Chopper</v>
          </cell>
          <cell r="E35" t="str">
            <v>中层菜刀</v>
          </cell>
        </row>
        <row r="36">
          <cell r="A36" t="str">
            <v>B08PVF9NWP</v>
          </cell>
          <cell r="B36" t="str">
            <v>CCF-KND-SlcCpckMld</v>
          </cell>
          <cell r="C36" t="str">
            <v>Checkered Chef</v>
          </cell>
          <cell r="D36" t="str">
            <v>Silicone Cupcake Moulds 24 Pack</v>
          </cell>
          <cell r="E36" t="str">
            <v>硅胶纸杯蛋糕模具 24 件装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D26" sqref="D26"/>
    </sheetView>
  </sheetViews>
  <sheetFormatPr defaultColWidth="9" defaultRowHeight="15"/>
  <cols>
    <col min="1" max="2" width="13.4285714285714" customWidth="1"/>
    <col min="3" max="3" width="49.1428571428571" customWidth="1"/>
    <col min="4" max="4" width="11.7047619047619" customWidth="1"/>
    <col min="5" max="5" width="9.85714285714286" customWidth="1"/>
    <col min="6" max="6" width="6.63809523809524" style="5" customWidth="1"/>
    <col min="7" max="7" width="10" customWidth="1"/>
    <col min="8" max="8" width="8.56190476190476" customWidth="1"/>
    <col min="9" max="9" width="9.42857142857143" customWidth="1"/>
    <col min="10" max="10" width="12.8761904761905" customWidth="1"/>
    <col min="11" max="11" width="13.6190476190476" customWidth="1"/>
    <col min="12" max="12" width="11.7809523809524" customWidth="1"/>
    <col min="13" max="13" width="12.1904761904762" customWidth="1"/>
  </cols>
  <sheetData>
    <row r="1" s="21" customFormat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</row>
    <row r="2" customFormat="1" spans="1:12">
      <c r="A2" t="s">
        <v>12</v>
      </c>
      <c r="B2" t="s">
        <v>13</v>
      </c>
      <c r="C2" t="s">
        <v>14</v>
      </c>
      <c r="F2" s="16">
        <v>72</v>
      </c>
      <c r="G2" t="s">
        <v>15</v>
      </c>
      <c r="H2" t="s">
        <v>16</v>
      </c>
      <c r="I2" t="s">
        <v>17</v>
      </c>
      <c r="J2">
        <v>1</v>
      </c>
      <c r="K2">
        <v>12</v>
      </c>
      <c r="L2">
        <f>F2/K2</f>
        <v>6</v>
      </c>
    </row>
    <row r="3" customFormat="1" spans="1:12">
      <c r="A3" t="s">
        <v>18</v>
      </c>
      <c r="B3" t="s">
        <v>19</v>
      </c>
      <c r="C3" t="s">
        <v>20</v>
      </c>
      <c r="F3" s="16">
        <v>64</v>
      </c>
      <c r="G3" t="s">
        <v>21</v>
      </c>
      <c r="H3" t="s">
        <v>22</v>
      </c>
      <c r="I3" t="s">
        <v>17</v>
      </c>
      <c r="J3">
        <v>1</v>
      </c>
      <c r="K3">
        <v>8</v>
      </c>
      <c r="L3">
        <f>F3/K3</f>
        <v>8</v>
      </c>
    </row>
    <row r="4" customFormat="1" spans="1:12">
      <c r="A4" t="s">
        <v>23</v>
      </c>
      <c r="B4" t="s">
        <v>24</v>
      </c>
      <c r="C4" t="s">
        <v>25</v>
      </c>
      <c r="F4" s="16">
        <v>114</v>
      </c>
      <c r="G4" t="s">
        <v>26</v>
      </c>
      <c r="H4" t="s">
        <v>27</v>
      </c>
      <c r="I4" t="s">
        <v>17</v>
      </c>
      <c r="J4">
        <v>1</v>
      </c>
      <c r="K4">
        <v>3</v>
      </c>
      <c r="L4">
        <f>F4/K4</f>
        <v>38</v>
      </c>
    </row>
    <row r="5" customFormat="1" spans="1:12">
      <c r="A5" t="s">
        <v>28</v>
      </c>
      <c r="B5" t="s">
        <v>29</v>
      </c>
      <c r="C5" t="s">
        <v>30</v>
      </c>
      <c r="F5" s="16">
        <v>3</v>
      </c>
      <c r="G5" t="s">
        <v>31</v>
      </c>
      <c r="H5" t="s">
        <v>32</v>
      </c>
      <c r="I5" t="s">
        <v>17</v>
      </c>
      <c r="J5" s="10">
        <v>1</v>
      </c>
      <c r="K5">
        <v>30</v>
      </c>
      <c r="L5">
        <v>1</v>
      </c>
    </row>
    <row r="6" customFormat="1" spans="1:12">
      <c r="A6" t="s">
        <v>33</v>
      </c>
      <c r="B6" t="s">
        <v>34</v>
      </c>
      <c r="C6" t="s">
        <v>35</v>
      </c>
      <c r="F6" s="16">
        <v>612</v>
      </c>
      <c r="G6" t="s">
        <v>36</v>
      </c>
      <c r="H6" t="s">
        <v>37</v>
      </c>
      <c r="I6" t="s">
        <v>17</v>
      </c>
      <c r="J6">
        <v>1</v>
      </c>
      <c r="K6">
        <v>36</v>
      </c>
      <c r="L6">
        <f t="shared" ref="L6:L12" si="0">F6/K6</f>
        <v>17</v>
      </c>
    </row>
    <row r="7" customFormat="1" spans="1:12">
      <c r="A7" t="s">
        <v>38</v>
      </c>
      <c r="C7" t="s">
        <v>39</v>
      </c>
      <c r="F7" s="16">
        <v>36</v>
      </c>
      <c r="G7" t="s">
        <v>40</v>
      </c>
      <c r="H7" t="s">
        <v>41</v>
      </c>
      <c r="I7" t="s">
        <v>17</v>
      </c>
      <c r="J7">
        <v>1</v>
      </c>
      <c r="K7">
        <v>3</v>
      </c>
      <c r="L7">
        <f t="shared" si="0"/>
        <v>12</v>
      </c>
    </row>
    <row r="8" spans="1:12">
      <c r="A8" t="s">
        <v>42</v>
      </c>
      <c r="C8" t="s">
        <v>43</v>
      </c>
      <c r="D8" t="s">
        <v>44</v>
      </c>
      <c r="E8" t="s">
        <v>45</v>
      </c>
      <c r="F8" s="16">
        <v>2144</v>
      </c>
      <c r="G8" t="s">
        <v>46</v>
      </c>
      <c r="H8" t="s">
        <v>47</v>
      </c>
      <c r="I8" t="s">
        <v>17</v>
      </c>
      <c r="J8">
        <v>18</v>
      </c>
      <c r="K8">
        <v>4</v>
      </c>
      <c r="L8">
        <f t="shared" si="0"/>
        <v>536</v>
      </c>
    </row>
    <row r="9" spans="1:12">
      <c r="A9" t="s">
        <v>48</v>
      </c>
      <c r="C9" t="s">
        <v>49</v>
      </c>
      <c r="F9" s="16">
        <v>162</v>
      </c>
      <c r="G9" t="s">
        <v>50</v>
      </c>
      <c r="H9" t="s">
        <v>51</v>
      </c>
      <c r="I9" t="s">
        <v>17</v>
      </c>
      <c r="J9">
        <v>3</v>
      </c>
      <c r="K9">
        <v>3</v>
      </c>
      <c r="L9">
        <f t="shared" si="0"/>
        <v>54</v>
      </c>
    </row>
    <row r="10" spans="1:12">
      <c r="A10" t="s">
        <v>52</v>
      </c>
      <c r="C10" t="s">
        <v>53</v>
      </c>
      <c r="D10" t="s">
        <v>44</v>
      </c>
      <c r="E10" t="s">
        <v>45</v>
      </c>
      <c r="F10" s="16">
        <v>1750</v>
      </c>
      <c r="G10" t="s">
        <v>54</v>
      </c>
      <c r="H10" t="s">
        <v>55</v>
      </c>
      <c r="I10" t="s">
        <v>17</v>
      </c>
      <c r="J10">
        <v>25</v>
      </c>
      <c r="K10">
        <v>2</v>
      </c>
      <c r="L10">
        <f t="shared" si="0"/>
        <v>875</v>
      </c>
    </row>
    <row r="11" spans="1:12">
      <c r="A11" t="s">
        <v>56</v>
      </c>
      <c r="B11" t="s">
        <v>57</v>
      </c>
      <c r="C11" t="s">
        <v>58</v>
      </c>
      <c r="F11" s="16">
        <v>1584</v>
      </c>
      <c r="G11" t="s">
        <v>59</v>
      </c>
      <c r="H11" t="s">
        <v>60</v>
      </c>
      <c r="I11" t="s">
        <v>17</v>
      </c>
      <c r="J11">
        <v>2</v>
      </c>
      <c r="K11">
        <v>48</v>
      </c>
      <c r="L11">
        <f t="shared" si="0"/>
        <v>33</v>
      </c>
    </row>
    <row r="12" spans="1:12">
      <c r="A12" t="s">
        <v>61</v>
      </c>
      <c r="C12" t="s">
        <v>62</v>
      </c>
      <c r="F12" s="16">
        <v>192</v>
      </c>
      <c r="G12" t="s">
        <v>63</v>
      </c>
      <c r="H12" t="s">
        <v>64</v>
      </c>
      <c r="I12" t="s">
        <v>17</v>
      </c>
      <c r="J12">
        <v>2</v>
      </c>
      <c r="K12">
        <v>6</v>
      </c>
      <c r="L12">
        <f t="shared" si="0"/>
        <v>32</v>
      </c>
    </row>
    <row r="13" spans="6:12">
      <c r="F13" s="5">
        <f>SUM(F2:F12)</f>
        <v>6733</v>
      </c>
      <c r="J13">
        <f>SUM(J2:J12)</f>
        <v>56</v>
      </c>
      <c r="L13">
        <f>SUM(L2:L12)</f>
        <v>1612</v>
      </c>
    </row>
  </sheetData>
  <autoFilter xmlns:etc="http://www.wps.cn/officeDocument/2017/etCustomData" ref="A1:L13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workbookViewId="0">
      <pane ySplit="1" topLeftCell="A41" activePane="bottomLeft" state="frozen"/>
      <selection/>
      <selection pane="bottomLeft" activeCell="G64" sqref="G64"/>
    </sheetView>
  </sheetViews>
  <sheetFormatPr defaultColWidth="9" defaultRowHeight="15"/>
  <cols>
    <col min="1" max="2" width="13.4285714285714" customWidth="1"/>
    <col min="3" max="3" width="49.1428571428571" customWidth="1"/>
    <col min="4" max="4" width="11.7047619047619" customWidth="1"/>
    <col min="5" max="5" width="9.85714285714286" customWidth="1"/>
    <col min="6" max="6" width="6.63809523809524" style="5" customWidth="1"/>
    <col min="7" max="7" width="10" customWidth="1"/>
    <col min="8" max="8" width="8.56190476190476" customWidth="1"/>
    <col min="9" max="9" width="9.42857142857143" customWidth="1"/>
    <col min="10" max="10" width="9.76190476190476" customWidth="1"/>
    <col min="11" max="11" width="13.6190476190476" customWidth="1"/>
    <col min="12" max="12" width="11.7809523809524" customWidth="1"/>
    <col min="13" max="13" width="12.1904761904762" customWidth="1"/>
  </cols>
  <sheetData>
    <row r="1" s="21" customFormat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</row>
    <row r="2" spans="1:12">
      <c r="A2" t="s">
        <v>52</v>
      </c>
      <c r="C2" t="s">
        <v>53</v>
      </c>
      <c r="D2" t="s">
        <v>44</v>
      </c>
      <c r="E2" t="s">
        <v>45</v>
      </c>
      <c r="F2" s="16">
        <v>72</v>
      </c>
      <c r="G2" t="s">
        <v>65</v>
      </c>
      <c r="H2" t="s">
        <v>66</v>
      </c>
      <c r="I2" t="s">
        <v>17</v>
      </c>
      <c r="J2">
        <v>1</v>
      </c>
      <c r="K2">
        <v>2</v>
      </c>
      <c r="L2">
        <f>F2/K2</f>
        <v>36</v>
      </c>
    </row>
    <row r="3" spans="1:12">
      <c r="A3" s="10" t="s">
        <v>56</v>
      </c>
      <c r="B3" t="s">
        <v>57</v>
      </c>
      <c r="C3" t="s">
        <v>58</v>
      </c>
      <c r="F3" s="16">
        <v>528</v>
      </c>
      <c r="G3" t="s">
        <v>67</v>
      </c>
      <c r="H3" t="s">
        <v>68</v>
      </c>
      <c r="I3" t="s">
        <v>17</v>
      </c>
      <c r="J3">
        <v>1</v>
      </c>
      <c r="K3">
        <v>48</v>
      </c>
      <c r="L3">
        <f t="shared" ref="L3:L34" si="0">F3/K3</f>
        <v>11</v>
      </c>
    </row>
    <row r="4" spans="1:12">
      <c r="A4" t="s">
        <v>12</v>
      </c>
      <c r="B4" t="s">
        <v>13</v>
      </c>
      <c r="C4" t="s">
        <v>14</v>
      </c>
      <c r="F4" s="16">
        <v>72</v>
      </c>
      <c r="G4" t="s">
        <v>15</v>
      </c>
      <c r="H4" t="s">
        <v>16</v>
      </c>
      <c r="I4" t="s">
        <v>17</v>
      </c>
      <c r="J4">
        <v>1</v>
      </c>
      <c r="K4">
        <v>12</v>
      </c>
      <c r="L4">
        <f t="shared" si="0"/>
        <v>6</v>
      </c>
    </row>
    <row r="5" spans="1:12">
      <c r="A5" t="s">
        <v>42</v>
      </c>
      <c r="C5" t="s">
        <v>43</v>
      </c>
      <c r="D5" t="s">
        <v>44</v>
      </c>
      <c r="E5" t="s">
        <v>45</v>
      </c>
      <c r="F5" s="16">
        <v>128</v>
      </c>
      <c r="G5" t="s">
        <v>69</v>
      </c>
      <c r="H5" t="s">
        <v>70</v>
      </c>
      <c r="I5" t="s">
        <v>17</v>
      </c>
      <c r="J5">
        <v>1</v>
      </c>
      <c r="K5">
        <v>4</v>
      </c>
      <c r="L5">
        <f t="shared" si="0"/>
        <v>32</v>
      </c>
    </row>
    <row r="6" spans="1:12">
      <c r="A6" t="s">
        <v>18</v>
      </c>
      <c r="B6" t="s">
        <v>19</v>
      </c>
      <c r="C6" t="s">
        <v>20</v>
      </c>
      <c r="F6" s="16">
        <v>64</v>
      </c>
      <c r="G6" t="s">
        <v>21</v>
      </c>
      <c r="H6" t="s">
        <v>22</v>
      </c>
      <c r="I6" t="s">
        <v>17</v>
      </c>
      <c r="J6">
        <v>1</v>
      </c>
      <c r="K6">
        <v>8</v>
      </c>
      <c r="L6">
        <f t="shared" si="0"/>
        <v>8</v>
      </c>
    </row>
    <row r="7" spans="1:12">
      <c r="A7" t="s">
        <v>42</v>
      </c>
      <c r="C7" t="s">
        <v>43</v>
      </c>
      <c r="D7" t="s">
        <v>44</v>
      </c>
      <c r="E7" t="s">
        <v>45</v>
      </c>
      <c r="F7" s="16">
        <v>128</v>
      </c>
      <c r="G7" t="s">
        <v>71</v>
      </c>
      <c r="H7" t="s">
        <v>72</v>
      </c>
      <c r="I7" t="s">
        <v>17</v>
      </c>
      <c r="J7">
        <v>1</v>
      </c>
      <c r="K7">
        <v>4</v>
      </c>
      <c r="L7">
        <f t="shared" si="0"/>
        <v>32</v>
      </c>
    </row>
    <row r="8" spans="1:12">
      <c r="A8" t="s">
        <v>52</v>
      </c>
      <c r="C8" t="s">
        <v>53</v>
      </c>
      <c r="D8" t="s">
        <v>73</v>
      </c>
      <c r="E8" t="s">
        <v>45</v>
      </c>
      <c r="F8" s="16">
        <v>66</v>
      </c>
      <c r="G8" t="s">
        <v>74</v>
      </c>
      <c r="H8" t="s">
        <v>75</v>
      </c>
      <c r="I8" t="s">
        <v>17</v>
      </c>
      <c r="J8">
        <v>1</v>
      </c>
      <c r="K8">
        <v>2</v>
      </c>
      <c r="L8">
        <f t="shared" si="0"/>
        <v>33</v>
      </c>
    </row>
    <row r="9" spans="1:12">
      <c r="A9" t="s">
        <v>52</v>
      </c>
      <c r="C9" t="s">
        <v>53</v>
      </c>
      <c r="D9" t="s">
        <v>76</v>
      </c>
      <c r="E9" t="s">
        <v>45</v>
      </c>
      <c r="F9" s="16">
        <v>66</v>
      </c>
      <c r="G9" t="s">
        <v>77</v>
      </c>
      <c r="H9" t="s">
        <v>78</v>
      </c>
      <c r="I9" t="s">
        <v>17</v>
      </c>
      <c r="J9">
        <v>1</v>
      </c>
      <c r="K9">
        <v>2</v>
      </c>
      <c r="L9">
        <f t="shared" si="0"/>
        <v>33</v>
      </c>
    </row>
    <row r="10" spans="1:12">
      <c r="A10" t="s">
        <v>52</v>
      </c>
      <c r="C10" t="s">
        <v>53</v>
      </c>
      <c r="D10" t="s">
        <v>44</v>
      </c>
      <c r="E10" t="s">
        <v>45</v>
      </c>
      <c r="F10" s="16">
        <v>72</v>
      </c>
      <c r="G10" t="s">
        <v>79</v>
      </c>
      <c r="H10" t="s">
        <v>80</v>
      </c>
      <c r="I10" t="s">
        <v>17</v>
      </c>
      <c r="J10">
        <v>1</v>
      </c>
      <c r="K10">
        <v>2</v>
      </c>
      <c r="L10">
        <f t="shared" si="0"/>
        <v>36</v>
      </c>
    </row>
    <row r="11" spans="1:12">
      <c r="A11" t="s">
        <v>52</v>
      </c>
      <c r="C11" t="s">
        <v>53</v>
      </c>
      <c r="D11" t="s">
        <v>44</v>
      </c>
      <c r="E11" t="s">
        <v>45</v>
      </c>
      <c r="F11" s="16">
        <v>72</v>
      </c>
      <c r="G11" t="s">
        <v>81</v>
      </c>
      <c r="H11" t="s">
        <v>82</v>
      </c>
      <c r="I11" t="s">
        <v>17</v>
      </c>
      <c r="J11">
        <v>1</v>
      </c>
      <c r="K11">
        <v>2</v>
      </c>
      <c r="L11">
        <f t="shared" si="0"/>
        <v>36</v>
      </c>
    </row>
    <row r="12" spans="1:12">
      <c r="A12" t="s">
        <v>42</v>
      </c>
      <c r="C12" t="s">
        <v>43</v>
      </c>
      <c r="D12" t="s">
        <v>76</v>
      </c>
      <c r="E12" t="s">
        <v>45</v>
      </c>
      <c r="F12" s="16">
        <v>96</v>
      </c>
      <c r="G12" t="s">
        <v>83</v>
      </c>
      <c r="H12" t="s">
        <v>84</v>
      </c>
      <c r="I12" t="s">
        <v>17</v>
      </c>
      <c r="J12">
        <v>1</v>
      </c>
      <c r="K12">
        <v>4</v>
      </c>
      <c r="L12">
        <f t="shared" si="0"/>
        <v>24</v>
      </c>
    </row>
    <row r="13" spans="1:12">
      <c r="A13" t="s">
        <v>52</v>
      </c>
      <c r="C13" t="s">
        <v>53</v>
      </c>
      <c r="D13" t="s">
        <v>76</v>
      </c>
      <c r="E13" t="s">
        <v>45</v>
      </c>
      <c r="F13" s="16">
        <v>66</v>
      </c>
      <c r="G13" t="s">
        <v>85</v>
      </c>
      <c r="H13" t="s">
        <v>86</v>
      </c>
      <c r="I13" t="s">
        <v>17</v>
      </c>
      <c r="J13">
        <v>1</v>
      </c>
      <c r="K13">
        <v>2</v>
      </c>
      <c r="L13">
        <f t="shared" si="0"/>
        <v>33</v>
      </c>
    </row>
    <row r="14" spans="1:12">
      <c r="A14" t="s">
        <v>48</v>
      </c>
      <c r="C14" t="s">
        <v>49</v>
      </c>
      <c r="F14" s="16">
        <v>54</v>
      </c>
      <c r="G14" t="s">
        <v>87</v>
      </c>
      <c r="H14" t="s">
        <v>88</v>
      </c>
      <c r="I14" t="s">
        <v>17</v>
      </c>
      <c r="J14">
        <v>1</v>
      </c>
      <c r="K14">
        <v>3</v>
      </c>
      <c r="L14">
        <f t="shared" si="0"/>
        <v>18</v>
      </c>
    </row>
    <row r="15" spans="1:12">
      <c r="A15" t="s">
        <v>42</v>
      </c>
      <c r="C15" t="s">
        <v>43</v>
      </c>
      <c r="D15" t="s">
        <v>44</v>
      </c>
      <c r="E15" t="s">
        <v>45</v>
      </c>
      <c r="F15" s="16">
        <v>128</v>
      </c>
      <c r="G15" t="s">
        <v>89</v>
      </c>
      <c r="H15" t="s">
        <v>90</v>
      </c>
      <c r="I15" t="s">
        <v>17</v>
      </c>
      <c r="J15">
        <v>1</v>
      </c>
      <c r="K15">
        <v>4</v>
      </c>
      <c r="L15">
        <f t="shared" si="0"/>
        <v>32</v>
      </c>
    </row>
    <row r="16" spans="1:12">
      <c r="A16" t="s">
        <v>42</v>
      </c>
      <c r="C16" t="s">
        <v>43</v>
      </c>
      <c r="D16" t="s">
        <v>76</v>
      </c>
      <c r="E16" t="s">
        <v>45</v>
      </c>
      <c r="F16" s="16">
        <v>96</v>
      </c>
      <c r="G16" t="s">
        <v>91</v>
      </c>
      <c r="H16" t="s">
        <v>92</v>
      </c>
      <c r="I16" t="s">
        <v>17</v>
      </c>
      <c r="J16">
        <v>1</v>
      </c>
      <c r="K16">
        <v>4</v>
      </c>
      <c r="L16">
        <f t="shared" si="0"/>
        <v>24</v>
      </c>
    </row>
    <row r="17" spans="1:12">
      <c r="A17" t="s">
        <v>52</v>
      </c>
      <c r="C17" t="s">
        <v>53</v>
      </c>
      <c r="D17" t="s">
        <v>44</v>
      </c>
      <c r="E17" t="s">
        <v>45</v>
      </c>
      <c r="F17" s="16">
        <v>72</v>
      </c>
      <c r="G17" t="s">
        <v>93</v>
      </c>
      <c r="H17" t="s">
        <v>94</v>
      </c>
      <c r="I17" t="s">
        <v>17</v>
      </c>
      <c r="J17">
        <v>1</v>
      </c>
      <c r="K17">
        <v>2</v>
      </c>
      <c r="L17">
        <f t="shared" si="0"/>
        <v>36</v>
      </c>
    </row>
    <row r="18" spans="1:12">
      <c r="A18" t="s">
        <v>48</v>
      </c>
      <c r="C18" t="s">
        <v>49</v>
      </c>
      <c r="F18" s="16">
        <v>54</v>
      </c>
      <c r="G18" t="s">
        <v>95</v>
      </c>
      <c r="H18" t="s">
        <v>96</v>
      </c>
      <c r="I18" t="s">
        <v>17</v>
      </c>
      <c r="J18">
        <v>1</v>
      </c>
      <c r="K18">
        <v>3</v>
      </c>
      <c r="L18">
        <f t="shared" si="0"/>
        <v>18</v>
      </c>
    </row>
    <row r="19" spans="1:12">
      <c r="A19" t="s">
        <v>52</v>
      </c>
      <c r="C19" t="s">
        <v>53</v>
      </c>
      <c r="D19" t="s">
        <v>44</v>
      </c>
      <c r="E19" t="s">
        <v>45</v>
      </c>
      <c r="F19" s="16">
        <v>72</v>
      </c>
      <c r="G19" t="s">
        <v>97</v>
      </c>
      <c r="H19" t="s">
        <v>98</v>
      </c>
      <c r="I19" t="s">
        <v>17</v>
      </c>
      <c r="J19">
        <v>1</v>
      </c>
      <c r="K19">
        <v>2</v>
      </c>
      <c r="L19">
        <f t="shared" si="0"/>
        <v>36</v>
      </c>
    </row>
    <row r="20" spans="1:12">
      <c r="A20" t="s">
        <v>42</v>
      </c>
      <c r="C20" t="s">
        <v>43</v>
      </c>
      <c r="D20" t="s">
        <v>76</v>
      </c>
      <c r="E20" t="s">
        <v>45</v>
      </c>
      <c r="F20" s="16">
        <v>96</v>
      </c>
      <c r="G20" t="s">
        <v>99</v>
      </c>
      <c r="H20" t="s">
        <v>100</v>
      </c>
      <c r="I20" t="s">
        <v>17</v>
      </c>
      <c r="J20">
        <v>1</v>
      </c>
      <c r="K20">
        <v>4</v>
      </c>
      <c r="L20">
        <f t="shared" si="0"/>
        <v>24</v>
      </c>
    </row>
    <row r="21" spans="1:12">
      <c r="A21" t="s">
        <v>52</v>
      </c>
      <c r="C21" t="s">
        <v>53</v>
      </c>
      <c r="D21" t="s">
        <v>44</v>
      </c>
      <c r="E21" t="s">
        <v>45</v>
      </c>
      <c r="F21" s="16">
        <v>72</v>
      </c>
      <c r="G21" t="s">
        <v>101</v>
      </c>
      <c r="H21" t="s">
        <v>102</v>
      </c>
      <c r="I21" t="s">
        <v>17</v>
      </c>
      <c r="J21">
        <v>1</v>
      </c>
      <c r="K21">
        <v>2</v>
      </c>
      <c r="L21">
        <f t="shared" si="0"/>
        <v>36</v>
      </c>
    </row>
    <row r="22" spans="1:12">
      <c r="A22" t="s">
        <v>52</v>
      </c>
      <c r="C22" t="s">
        <v>53</v>
      </c>
      <c r="D22" t="s">
        <v>44</v>
      </c>
      <c r="E22" t="s">
        <v>45</v>
      </c>
      <c r="F22" s="16">
        <v>72</v>
      </c>
      <c r="G22" t="s">
        <v>103</v>
      </c>
      <c r="H22" t="s">
        <v>104</v>
      </c>
      <c r="I22" t="s">
        <v>17</v>
      </c>
      <c r="J22">
        <v>1</v>
      </c>
      <c r="K22">
        <v>2</v>
      </c>
      <c r="L22">
        <f t="shared" si="0"/>
        <v>36</v>
      </c>
    </row>
    <row r="23" spans="1:12">
      <c r="A23" t="s">
        <v>52</v>
      </c>
      <c r="C23" t="s">
        <v>53</v>
      </c>
      <c r="D23" t="s">
        <v>44</v>
      </c>
      <c r="E23" t="s">
        <v>45</v>
      </c>
      <c r="F23" s="16">
        <v>72</v>
      </c>
      <c r="G23" t="s">
        <v>105</v>
      </c>
      <c r="H23" t="s">
        <v>106</v>
      </c>
      <c r="I23" t="s">
        <v>17</v>
      </c>
      <c r="J23">
        <v>1</v>
      </c>
      <c r="K23">
        <v>2</v>
      </c>
      <c r="L23">
        <f t="shared" si="0"/>
        <v>36</v>
      </c>
    </row>
    <row r="24" spans="1:12">
      <c r="A24" t="s">
        <v>42</v>
      </c>
      <c r="C24" t="s">
        <v>43</v>
      </c>
      <c r="D24" t="s">
        <v>44</v>
      </c>
      <c r="E24" t="s">
        <v>45</v>
      </c>
      <c r="F24" s="16">
        <v>128</v>
      </c>
      <c r="G24" t="s">
        <v>107</v>
      </c>
      <c r="H24" t="s">
        <v>108</v>
      </c>
      <c r="I24" t="s">
        <v>17</v>
      </c>
      <c r="J24">
        <v>1</v>
      </c>
      <c r="K24">
        <v>4</v>
      </c>
      <c r="L24">
        <f t="shared" si="0"/>
        <v>32</v>
      </c>
    </row>
    <row r="25" spans="1:12">
      <c r="A25" t="s">
        <v>42</v>
      </c>
      <c r="C25" t="s">
        <v>43</v>
      </c>
      <c r="D25" t="s">
        <v>44</v>
      </c>
      <c r="E25" t="s">
        <v>45</v>
      </c>
      <c r="F25" s="16">
        <v>128</v>
      </c>
      <c r="G25" t="s">
        <v>109</v>
      </c>
      <c r="H25" t="s">
        <v>110</v>
      </c>
      <c r="I25" t="s">
        <v>17</v>
      </c>
      <c r="J25">
        <v>1</v>
      </c>
      <c r="K25">
        <v>4</v>
      </c>
      <c r="L25">
        <f t="shared" si="0"/>
        <v>32</v>
      </c>
    </row>
    <row r="26" spans="1:12">
      <c r="A26" t="s">
        <v>52</v>
      </c>
      <c r="C26" t="s">
        <v>53</v>
      </c>
      <c r="D26" t="s">
        <v>73</v>
      </c>
      <c r="E26" t="s">
        <v>45</v>
      </c>
      <c r="F26" s="16">
        <v>72</v>
      </c>
      <c r="G26" t="s">
        <v>111</v>
      </c>
      <c r="H26" t="s">
        <v>112</v>
      </c>
      <c r="I26" t="s">
        <v>17</v>
      </c>
      <c r="J26">
        <v>1</v>
      </c>
      <c r="K26">
        <v>2</v>
      </c>
      <c r="L26">
        <f t="shared" si="0"/>
        <v>36</v>
      </c>
    </row>
    <row r="27" spans="1:12">
      <c r="A27" t="s">
        <v>52</v>
      </c>
      <c r="C27" t="s">
        <v>53</v>
      </c>
      <c r="D27" t="s">
        <v>44</v>
      </c>
      <c r="E27" t="s">
        <v>45</v>
      </c>
      <c r="F27" s="16">
        <v>72</v>
      </c>
      <c r="G27" t="s">
        <v>113</v>
      </c>
      <c r="H27" t="s">
        <v>114</v>
      </c>
      <c r="I27" t="s">
        <v>17</v>
      </c>
      <c r="J27">
        <v>1</v>
      </c>
      <c r="K27">
        <v>2</v>
      </c>
      <c r="L27">
        <f t="shared" si="0"/>
        <v>36</v>
      </c>
    </row>
    <row r="28" spans="1:12">
      <c r="A28" t="s">
        <v>42</v>
      </c>
      <c r="C28" t="s">
        <v>43</v>
      </c>
      <c r="D28" t="s">
        <v>44</v>
      </c>
      <c r="E28" t="s">
        <v>45</v>
      </c>
      <c r="F28" s="16">
        <v>128</v>
      </c>
      <c r="G28" t="s">
        <v>115</v>
      </c>
      <c r="H28" t="s">
        <v>116</v>
      </c>
      <c r="I28" t="s">
        <v>17</v>
      </c>
      <c r="J28">
        <v>1</v>
      </c>
      <c r="K28">
        <v>4</v>
      </c>
      <c r="L28">
        <f t="shared" si="0"/>
        <v>32</v>
      </c>
    </row>
    <row r="29" spans="1:12">
      <c r="A29" t="s">
        <v>52</v>
      </c>
      <c r="C29" t="s">
        <v>53</v>
      </c>
      <c r="D29" t="s">
        <v>44</v>
      </c>
      <c r="E29" t="s">
        <v>45</v>
      </c>
      <c r="F29" s="16">
        <v>72</v>
      </c>
      <c r="G29" t="s">
        <v>117</v>
      </c>
      <c r="H29" t="s">
        <v>118</v>
      </c>
      <c r="I29" t="s">
        <v>17</v>
      </c>
      <c r="J29">
        <v>1</v>
      </c>
      <c r="K29">
        <v>2</v>
      </c>
      <c r="L29">
        <f t="shared" si="0"/>
        <v>36</v>
      </c>
    </row>
    <row r="30" spans="1:12">
      <c r="A30" t="s">
        <v>52</v>
      </c>
      <c r="C30" t="s">
        <v>53</v>
      </c>
      <c r="D30" t="s">
        <v>44</v>
      </c>
      <c r="E30" t="s">
        <v>45</v>
      </c>
      <c r="F30" s="16">
        <v>72</v>
      </c>
      <c r="G30" t="s">
        <v>119</v>
      </c>
      <c r="H30" t="s">
        <v>120</v>
      </c>
      <c r="I30" t="s">
        <v>17</v>
      </c>
      <c r="J30">
        <v>1</v>
      </c>
      <c r="K30">
        <v>2</v>
      </c>
      <c r="L30">
        <f t="shared" si="0"/>
        <v>36</v>
      </c>
    </row>
    <row r="31" spans="1:12">
      <c r="A31" t="s">
        <v>42</v>
      </c>
      <c r="C31" t="s">
        <v>43</v>
      </c>
      <c r="D31" t="s">
        <v>44</v>
      </c>
      <c r="E31" t="s">
        <v>45</v>
      </c>
      <c r="F31" s="16">
        <v>128</v>
      </c>
      <c r="G31" t="s">
        <v>121</v>
      </c>
      <c r="H31" t="s">
        <v>122</v>
      </c>
      <c r="I31" t="s">
        <v>17</v>
      </c>
      <c r="J31">
        <v>1</v>
      </c>
      <c r="K31">
        <v>4</v>
      </c>
      <c r="L31">
        <f t="shared" si="0"/>
        <v>32</v>
      </c>
    </row>
    <row r="32" spans="1:12">
      <c r="A32" t="s">
        <v>61</v>
      </c>
      <c r="C32" t="s">
        <v>62</v>
      </c>
      <c r="F32" s="16">
        <v>96</v>
      </c>
      <c r="G32" t="s">
        <v>123</v>
      </c>
      <c r="H32" t="s">
        <v>124</v>
      </c>
      <c r="I32" t="s">
        <v>17</v>
      </c>
      <c r="J32">
        <v>1</v>
      </c>
      <c r="K32">
        <v>6</v>
      </c>
      <c r="L32">
        <f t="shared" si="0"/>
        <v>16</v>
      </c>
    </row>
    <row r="33" spans="1:12">
      <c r="A33" t="s">
        <v>42</v>
      </c>
      <c r="C33" t="s">
        <v>43</v>
      </c>
      <c r="D33" t="s">
        <v>76</v>
      </c>
      <c r="E33" t="s">
        <v>45</v>
      </c>
      <c r="F33" s="16">
        <v>96</v>
      </c>
      <c r="G33" t="s">
        <v>125</v>
      </c>
      <c r="H33" t="s">
        <v>126</v>
      </c>
      <c r="I33" t="s">
        <v>17</v>
      </c>
      <c r="J33">
        <v>1</v>
      </c>
      <c r="K33">
        <v>4</v>
      </c>
      <c r="L33">
        <f t="shared" si="0"/>
        <v>24</v>
      </c>
    </row>
    <row r="34" spans="1:12">
      <c r="A34" t="s">
        <v>52</v>
      </c>
      <c r="C34" t="s">
        <v>53</v>
      </c>
      <c r="D34" t="s">
        <v>73</v>
      </c>
      <c r="E34" t="s">
        <v>45</v>
      </c>
      <c r="F34" s="16">
        <v>66</v>
      </c>
      <c r="G34" t="s">
        <v>127</v>
      </c>
      <c r="H34" t="s">
        <v>128</v>
      </c>
      <c r="I34" t="s">
        <v>17</v>
      </c>
      <c r="J34">
        <v>1</v>
      </c>
      <c r="K34">
        <v>2</v>
      </c>
      <c r="L34">
        <f t="shared" si="0"/>
        <v>33</v>
      </c>
    </row>
    <row r="35" spans="1:12">
      <c r="A35" t="s">
        <v>52</v>
      </c>
      <c r="C35" t="s">
        <v>53</v>
      </c>
      <c r="D35" t="s">
        <v>73</v>
      </c>
      <c r="E35" t="s">
        <v>45</v>
      </c>
      <c r="F35" s="16">
        <v>64</v>
      </c>
      <c r="G35" t="s">
        <v>129</v>
      </c>
      <c r="H35" t="s">
        <v>130</v>
      </c>
      <c r="I35" t="s">
        <v>17</v>
      </c>
      <c r="J35">
        <v>1</v>
      </c>
      <c r="K35">
        <v>2</v>
      </c>
      <c r="L35">
        <f t="shared" ref="L35:L58" si="1">F35/K35</f>
        <v>32</v>
      </c>
    </row>
    <row r="36" spans="1:12">
      <c r="A36" t="s">
        <v>52</v>
      </c>
      <c r="C36" t="s">
        <v>53</v>
      </c>
      <c r="D36" t="s">
        <v>44</v>
      </c>
      <c r="E36" t="s">
        <v>45</v>
      </c>
      <c r="F36" s="16">
        <v>72</v>
      </c>
      <c r="G36" t="s">
        <v>131</v>
      </c>
      <c r="H36" t="s">
        <v>132</v>
      </c>
      <c r="I36" t="s">
        <v>17</v>
      </c>
      <c r="J36">
        <v>1</v>
      </c>
      <c r="K36">
        <v>2</v>
      </c>
      <c r="L36">
        <f t="shared" si="1"/>
        <v>36</v>
      </c>
    </row>
    <row r="37" spans="1:12">
      <c r="A37" t="s">
        <v>48</v>
      </c>
      <c r="C37" t="s">
        <v>49</v>
      </c>
      <c r="F37" s="16">
        <v>54</v>
      </c>
      <c r="G37" t="s">
        <v>50</v>
      </c>
      <c r="H37" t="s">
        <v>51</v>
      </c>
      <c r="I37" t="s">
        <v>17</v>
      </c>
      <c r="J37">
        <v>1</v>
      </c>
      <c r="K37">
        <v>3</v>
      </c>
      <c r="L37">
        <f t="shared" si="1"/>
        <v>18</v>
      </c>
    </row>
    <row r="38" spans="1:12">
      <c r="A38" t="s">
        <v>52</v>
      </c>
      <c r="C38" t="s">
        <v>53</v>
      </c>
      <c r="D38" t="s">
        <v>44</v>
      </c>
      <c r="E38" t="s">
        <v>45</v>
      </c>
      <c r="F38" s="16">
        <v>72</v>
      </c>
      <c r="G38" t="s">
        <v>133</v>
      </c>
      <c r="H38" t="s">
        <v>134</v>
      </c>
      <c r="I38" t="s">
        <v>17</v>
      </c>
      <c r="J38">
        <v>1</v>
      </c>
      <c r="K38">
        <v>2</v>
      </c>
      <c r="L38">
        <f t="shared" si="1"/>
        <v>36</v>
      </c>
    </row>
    <row r="39" spans="1:12">
      <c r="A39" t="s">
        <v>52</v>
      </c>
      <c r="C39" t="s">
        <v>53</v>
      </c>
      <c r="D39" t="s">
        <v>76</v>
      </c>
      <c r="E39" t="s">
        <v>45</v>
      </c>
      <c r="F39" s="16">
        <v>66</v>
      </c>
      <c r="G39" t="s">
        <v>135</v>
      </c>
      <c r="H39" t="s">
        <v>136</v>
      </c>
      <c r="I39" t="s">
        <v>17</v>
      </c>
      <c r="J39">
        <v>1</v>
      </c>
      <c r="K39">
        <v>2</v>
      </c>
      <c r="L39">
        <f t="shared" si="1"/>
        <v>33</v>
      </c>
    </row>
    <row r="40" spans="1:12">
      <c r="A40" t="s">
        <v>52</v>
      </c>
      <c r="C40" t="s">
        <v>53</v>
      </c>
      <c r="D40" t="s">
        <v>76</v>
      </c>
      <c r="E40" t="s">
        <v>45</v>
      </c>
      <c r="F40" s="16">
        <v>66</v>
      </c>
      <c r="G40" t="s">
        <v>137</v>
      </c>
      <c r="H40" t="s">
        <v>138</v>
      </c>
      <c r="I40" t="s">
        <v>17</v>
      </c>
      <c r="J40">
        <v>1</v>
      </c>
      <c r="K40">
        <v>2</v>
      </c>
      <c r="L40">
        <f t="shared" si="1"/>
        <v>33</v>
      </c>
    </row>
    <row r="41" spans="1:12">
      <c r="A41" t="s">
        <v>23</v>
      </c>
      <c r="B41" t="s">
        <v>24</v>
      </c>
      <c r="C41" t="s">
        <v>25</v>
      </c>
      <c r="F41" s="16">
        <v>114</v>
      </c>
      <c r="G41" t="s">
        <v>26</v>
      </c>
      <c r="H41" t="s">
        <v>27</v>
      </c>
      <c r="I41" t="s">
        <v>17</v>
      </c>
      <c r="J41">
        <v>1</v>
      </c>
      <c r="K41">
        <v>3</v>
      </c>
      <c r="L41">
        <f t="shared" si="1"/>
        <v>38</v>
      </c>
    </row>
    <row r="42" spans="1:12">
      <c r="A42" t="s">
        <v>28</v>
      </c>
      <c r="B42" t="s">
        <v>29</v>
      </c>
      <c r="C42" t="s">
        <v>30</v>
      </c>
      <c r="F42" s="16">
        <v>3</v>
      </c>
      <c r="G42" t="s">
        <v>31</v>
      </c>
      <c r="H42" t="s">
        <v>32</v>
      </c>
      <c r="I42" t="s">
        <v>17</v>
      </c>
      <c r="J42">
        <v>1</v>
      </c>
      <c r="K42">
        <v>30</v>
      </c>
      <c r="L42">
        <v>1</v>
      </c>
    </row>
    <row r="43" spans="1:12">
      <c r="A43" t="s">
        <v>33</v>
      </c>
      <c r="B43" t="s">
        <v>34</v>
      </c>
      <c r="C43" t="s">
        <v>35</v>
      </c>
      <c r="F43" s="16">
        <v>612</v>
      </c>
      <c r="G43" t="s">
        <v>36</v>
      </c>
      <c r="H43" t="s">
        <v>37</v>
      </c>
      <c r="I43" t="s">
        <v>17</v>
      </c>
      <c r="J43">
        <v>1</v>
      </c>
      <c r="K43">
        <v>36</v>
      </c>
      <c r="L43">
        <f t="shared" si="1"/>
        <v>17</v>
      </c>
    </row>
    <row r="44" spans="1:12">
      <c r="A44" t="s">
        <v>56</v>
      </c>
      <c r="B44" t="s">
        <v>57</v>
      </c>
      <c r="C44" t="s">
        <v>58</v>
      </c>
      <c r="F44" s="16">
        <v>1056</v>
      </c>
      <c r="G44" t="s">
        <v>59</v>
      </c>
      <c r="H44" t="s">
        <v>60</v>
      </c>
      <c r="I44" t="s">
        <v>17</v>
      </c>
      <c r="J44">
        <v>1</v>
      </c>
      <c r="K44">
        <v>48</v>
      </c>
      <c r="L44">
        <f t="shared" si="1"/>
        <v>22</v>
      </c>
    </row>
    <row r="45" spans="1:12">
      <c r="A45" t="s">
        <v>52</v>
      </c>
      <c r="C45" t="s">
        <v>53</v>
      </c>
      <c r="D45" t="s">
        <v>44</v>
      </c>
      <c r="E45" t="s">
        <v>45</v>
      </c>
      <c r="F45" s="16">
        <v>72</v>
      </c>
      <c r="G45" t="s">
        <v>139</v>
      </c>
      <c r="H45" t="s">
        <v>140</v>
      </c>
      <c r="I45" t="s">
        <v>17</v>
      </c>
      <c r="J45">
        <v>1</v>
      </c>
      <c r="K45">
        <v>2</v>
      </c>
      <c r="L45">
        <f t="shared" si="1"/>
        <v>36</v>
      </c>
    </row>
    <row r="46" spans="1:12">
      <c r="A46" t="s">
        <v>52</v>
      </c>
      <c r="C46" t="s">
        <v>53</v>
      </c>
      <c r="D46" t="s">
        <v>44</v>
      </c>
      <c r="E46" t="s">
        <v>45</v>
      </c>
      <c r="F46" s="16">
        <v>72</v>
      </c>
      <c r="G46" t="s">
        <v>141</v>
      </c>
      <c r="H46" t="s">
        <v>142</v>
      </c>
      <c r="I46" t="s">
        <v>17</v>
      </c>
      <c r="J46">
        <v>1</v>
      </c>
      <c r="K46">
        <v>2</v>
      </c>
      <c r="L46">
        <f t="shared" si="1"/>
        <v>36</v>
      </c>
    </row>
    <row r="47" spans="1:12">
      <c r="A47" t="s">
        <v>42</v>
      </c>
      <c r="C47" t="s">
        <v>43</v>
      </c>
      <c r="D47" t="s">
        <v>44</v>
      </c>
      <c r="E47" t="s">
        <v>45</v>
      </c>
      <c r="F47" s="16">
        <v>128</v>
      </c>
      <c r="G47" t="s">
        <v>143</v>
      </c>
      <c r="H47" t="s">
        <v>144</v>
      </c>
      <c r="I47" t="s">
        <v>17</v>
      </c>
      <c r="J47">
        <v>1</v>
      </c>
      <c r="K47">
        <v>4</v>
      </c>
      <c r="L47">
        <f t="shared" si="1"/>
        <v>32</v>
      </c>
    </row>
    <row r="48" spans="1:12">
      <c r="A48" t="s">
        <v>52</v>
      </c>
      <c r="C48" t="s">
        <v>53</v>
      </c>
      <c r="D48" t="s">
        <v>73</v>
      </c>
      <c r="E48" t="s">
        <v>45</v>
      </c>
      <c r="F48" s="16">
        <v>66</v>
      </c>
      <c r="H48" t="s">
        <v>145</v>
      </c>
      <c r="I48" t="s">
        <v>17</v>
      </c>
      <c r="J48">
        <v>1</v>
      </c>
      <c r="K48">
        <v>2</v>
      </c>
      <c r="L48">
        <f t="shared" si="1"/>
        <v>33</v>
      </c>
    </row>
    <row r="49" spans="1:12">
      <c r="A49" t="s">
        <v>61</v>
      </c>
      <c r="C49" t="s">
        <v>62</v>
      </c>
      <c r="F49" s="16">
        <v>96</v>
      </c>
      <c r="G49" t="s">
        <v>63</v>
      </c>
      <c r="H49" t="s">
        <v>64</v>
      </c>
      <c r="I49" t="s">
        <v>17</v>
      </c>
      <c r="J49">
        <v>1</v>
      </c>
      <c r="K49">
        <v>6</v>
      </c>
      <c r="L49">
        <f t="shared" si="1"/>
        <v>16</v>
      </c>
    </row>
    <row r="50" spans="1:12">
      <c r="A50" t="s">
        <v>42</v>
      </c>
      <c r="C50" t="s">
        <v>43</v>
      </c>
      <c r="D50" t="s">
        <v>44</v>
      </c>
      <c r="E50" t="s">
        <v>45</v>
      </c>
      <c r="F50" s="16">
        <v>128</v>
      </c>
      <c r="G50" t="s">
        <v>146</v>
      </c>
      <c r="H50" t="s">
        <v>147</v>
      </c>
      <c r="I50" t="s">
        <v>17</v>
      </c>
      <c r="J50">
        <v>1</v>
      </c>
      <c r="K50">
        <v>4</v>
      </c>
      <c r="L50">
        <f t="shared" si="1"/>
        <v>32</v>
      </c>
    </row>
    <row r="51" spans="1:12">
      <c r="A51" t="s">
        <v>38</v>
      </c>
      <c r="C51" t="s">
        <v>39</v>
      </c>
      <c r="F51" s="16">
        <v>36</v>
      </c>
      <c r="G51" t="s">
        <v>40</v>
      </c>
      <c r="H51" t="s">
        <v>41</v>
      </c>
      <c r="I51" t="s">
        <v>17</v>
      </c>
      <c r="J51">
        <v>1</v>
      </c>
      <c r="K51">
        <v>3</v>
      </c>
      <c r="L51">
        <f t="shared" si="1"/>
        <v>12</v>
      </c>
    </row>
    <row r="52" spans="1:12">
      <c r="A52" t="s">
        <v>42</v>
      </c>
      <c r="C52" t="s">
        <v>43</v>
      </c>
      <c r="D52" t="s">
        <v>44</v>
      </c>
      <c r="E52" t="s">
        <v>45</v>
      </c>
      <c r="F52" s="16">
        <v>128</v>
      </c>
      <c r="G52" t="s">
        <v>148</v>
      </c>
      <c r="H52" t="s">
        <v>149</v>
      </c>
      <c r="I52" t="s">
        <v>17</v>
      </c>
      <c r="J52">
        <v>1</v>
      </c>
      <c r="K52">
        <v>4</v>
      </c>
      <c r="L52">
        <f t="shared" si="1"/>
        <v>32</v>
      </c>
    </row>
    <row r="53" spans="1:12">
      <c r="A53" t="s">
        <v>42</v>
      </c>
      <c r="C53" t="s">
        <v>43</v>
      </c>
      <c r="D53" t="s">
        <v>76</v>
      </c>
      <c r="E53" t="s">
        <v>45</v>
      </c>
      <c r="F53" s="16">
        <v>96</v>
      </c>
      <c r="G53" t="s">
        <v>150</v>
      </c>
      <c r="H53" t="s">
        <v>151</v>
      </c>
      <c r="I53" t="s">
        <v>17</v>
      </c>
      <c r="J53">
        <v>1</v>
      </c>
      <c r="K53">
        <v>4</v>
      </c>
      <c r="L53">
        <f t="shared" si="1"/>
        <v>24</v>
      </c>
    </row>
    <row r="54" spans="1:12">
      <c r="A54" t="s">
        <v>42</v>
      </c>
      <c r="C54" t="s">
        <v>43</v>
      </c>
      <c r="D54" t="s">
        <v>44</v>
      </c>
      <c r="E54" t="s">
        <v>45</v>
      </c>
      <c r="F54" s="16">
        <v>128</v>
      </c>
      <c r="G54" t="s">
        <v>152</v>
      </c>
      <c r="H54" t="s">
        <v>153</v>
      </c>
      <c r="I54" t="s">
        <v>17</v>
      </c>
      <c r="J54">
        <v>1</v>
      </c>
      <c r="K54">
        <v>4</v>
      </c>
      <c r="L54">
        <f t="shared" si="1"/>
        <v>32</v>
      </c>
    </row>
    <row r="55" spans="1:12">
      <c r="A55" t="s">
        <v>52</v>
      </c>
      <c r="C55" t="s">
        <v>53</v>
      </c>
      <c r="D55" t="s">
        <v>44</v>
      </c>
      <c r="E55" t="s">
        <v>45</v>
      </c>
      <c r="F55" s="16">
        <v>72</v>
      </c>
      <c r="G55" t="s">
        <v>54</v>
      </c>
      <c r="H55" t="s">
        <v>55</v>
      </c>
      <c r="I55" t="s">
        <v>17</v>
      </c>
      <c r="J55">
        <v>1</v>
      </c>
      <c r="K55">
        <v>2</v>
      </c>
      <c r="L55">
        <f t="shared" si="1"/>
        <v>36</v>
      </c>
    </row>
    <row r="56" spans="1:12">
      <c r="A56" t="s">
        <v>42</v>
      </c>
      <c r="C56" t="s">
        <v>43</v>
      </c>
      <c r="D56" t="s">
        <v>44</v>
      </c>
      <c r="E56" t="s">
        <v>45</v>
      </c>
      <c r="F56" s="16">
        <v>128</v>
      </c>
      <c r="G56" t="s">
        <v>154</v>
      </c>
      <c r="H56" t="s">
        <v>155</v>
      </c>
      <c r="I56" t="s">
        <v>17</v>
      </c>
      <c r="J56">
        <v>1</v>
      </c>
      <c r="K56">
        <v>4</v>
      </c>
      <c r="L56">
        <f t="shared" si="1"/>
        <v>32</v>
      </c>
    </row>
    <row r="57" spans="1:12">
      <c r="A57" t="s">
        <v>42</v>
      </c>
      <c r="C57" t="s">
        <v>43</v>
      </c>
      <c r="D57" t="s">
        <v>44</v>
      </c>
      <c r="E57" t="s">
        <v>45</v>
      </c>
      <c r="F57" s="16">
        <v>128</v>
      </c>
      <c r="G57" t="s">
        <v>46</v>
      </c>
      <c r="H57" t="s">
        <v>47</v>
      </c>
      <c r="I57" t="s">
        <v>17</v>
      </c>
      <c r="J57">
        <v>1</v>
      </c>
      <c r="K57">
        <v>4</v>
      </c>
      <c r="L57">
        <f t="shared" si="1"/>
        <v>32</v>
      </c>
    </row>
    <row r="58" spans="6:12">
      <c r="F58" s="5">
        <f>SUM(F2:F57)</f>
        <v>6733</v>
      </c>
      <c r="J58">
        <f>SUM(J2:J57)</f>
        <v>56</v>
      </c>
      <c r="L58">
        <f>SUM(L2:L57)</f>
        <v>1612</v>
      </c>
    </row>
  </sheetData>
  <autoFilter xmlns:etc="http://www.wps.cn/officeDocument/2017/etCustomData" ref="A1:L58" etc:filterBottomFollowUsedRange="0">
    <extLst/>
  </autoFilter>
  <pageMargins left="0.7" right="0.7" top="0.75" bottom="0.75" header="0.3" footer="0.3"/>
  <pageSetup paperSize="256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21" sqref="G21"/>
    </sheetView>
  </sheetViews>
  <sheetFormatPr defaultColWidth="9" defaultRowHeight="15" outlineLevelCol="6"/>
  <cols>
    <col min="1" max="1" width="16.3333333333333" customWidth="1"/>
    <col min="2" max="2" width="16.7333333333333" customWidth="1"/>
    <col min="3" max="3" width="39.6285714285714" customWidth="1"/>
    <col min="4" max="4" width="33.2571428571429" customWidth="1"/>
    <col min="6" max="6" width="13.9428571428571" customWidth="1"/>
    <col min="7" max="7" width="11.0857142857143" customWidth="1"/>
  </cols>
  <sheetData>
    <row r="1" spans="1:7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</row>
    <row r="2" spans="1:7">
      <c r="A2" t="s">
        <v>163</v>
      </c>
      <c r="B2" t="s">
        <v>164</v>
      </c>
      <c r="C2" s="8" t="str">
        <f>VLOOKUP(A2,[1]澳洲!$A$2:$D$36,4,FALSE)</f>
        <v>Launceston Whiskey Glasses 2pk</v>
      </c>
      <c r="D2" s="8" t="str">
        <f>VLOOKUP(A2,[1]澳洲!$A$2:$E$36,5,FALSE)</f>
        <v>朗塞斯顿威士忌杯 2 件装</v>
      </c>
      <c r="E2">
        <v>10</v>
      </c>
      <c r="F2">
        <v>10</v>
      </c>
      <c r="G2">
        <f t="shared" ref="G2:G15" si="0">E2/F2</f>
        <v>1</v>
      </c>
    </row>
    <row r="3" spans="1:7">
      <c r="A3" t="s">
        <v>165</v>
      </c>
      <c r="B3" t="s">
        <v>166</v>
      </c>
      <c r="C3" s="8" t="str">
        <f>VLOOKUP(A3,[1]澳洲!$A$2:$D$36,4,FALSE)</f>
        <v>Dough Scraper and Pastry Mat Set</v>
      </c>
      <c r="D3" s="8" t="str">
        <f>VLOOKUP(A3,[1]澳洲!$A$2:$E$36,5,FALSE)</f>
        <v>面团刮刀和糕点垫套装</v>
      </c>
      <c r="E3">
        <v>325</v>
      </c>
      <c r="F3">
        <v>36</v>
      </c>
      <c r="G3">
        <f t="shared" si="0"/>
        <v>9.02777777777778</v>
      </c>
    </row>
    <row r="4" spans="1:7">
      <c r="A4" t="s">
        <v>167</v>
      </c>
      <c r="B4" t="s">
        <v>168</v>
      </c>
      <c r="C4" s="8" t="str">
        <f>VLOOKUP(A4,[1]澳洲!$A$2:$D$36,4,FALSE)</f>
        <v>Basketball Bag Backpack</v>
      </c>
      <c r="D4" s="8" t="str">
        <f>VLOOKUP(A4,[1]澳洲!$A$2:$E$36,5,FALSE)</f>
        <v>篮球包背包</v>
      </c>
      <c r="E4">
        <v>2</v>
      </c>
      <c r="F4">
        <v>20</v>
      </c>
      <c r="G4">
        <f t="shared" si="0"/>
        <v>0.1</v>
      </c>
    </row>
    <row r="5" spans="1:7">
      <c r="A5" t="s">
        <v>12</v>
      </c>
      <c r="B5" t="s">
        <v>13</v>
      </c>
      <c r="C5" s="8" t="str">
        <f>VLOOKUP(A5,[1]澳洲!$A$2:$D$36,4,FALSE)</f>
        <v>Silicone Kitchen Utensils 5 Pieces</v>
      </c>
      <c r="D5" s="8" t="str">
        <f>VLOOKUP(A5,[1]澳洲!$A$2:$E$36,5,FALSE)</f>
        <v>硅胶厨房用具5件套</v>
      </c>
      <c r="E5">
        <v>72</v>
      </c>
      <c r="F5">
        <v>12</v>
      </c>
      <c r="G5">
        <f t="shared" si="0"/>
        <v>6</v>
      </c>
    </row>
    <row r="6" spans="1:7">
      <c r="A6" t="s">
        <v>23</v>
      </c>
      <c r="B6" t="s">
        <v>24</v>
      </c>
      <c r="C6" s="8" t="str">
        <f>VLOOKUP(A6,[1]澳洲!$A$2:$D$36,4,FALSE)</f>
        <v>Steel Pizza Stone for Baking</v>
      </c>
      <c r="D6" s="8" t="str">
        <f>VLOOKUP(A6,[1]澳洲!$A$2:$E$36,5,FALSE)</f>
        <v>烘焙用钢披萨石</v>
      </c>
      <c r="E6">
        <v>0</v>
      </c>
      <c r="F6">
        <v>3</v>
      </c>
      <c r="G6">
        <f t="shared" si="0"/>
        <v>0</v>
      </c>
    </row>
    <row r="7" spans="1:7">
      <c r="A7" t="s">
        <v>169</v>
      </c>
      <c r="B7" t="s">
        <v>170</v>
      </c>
      <c r="C7" s="8" t="str">
        <f>VLOOKUP(A7,[1]澳洲!$A$2:$D$36,4,FALSE)</f>
        <v>3 Tiered Checkered Cupcake Stand</v>
      </c>
      <c r="D7" s="8" t="str">
        <f>VLOOKUP(A7,[1]澳洲!$A$2:$E$36,5,FALSE)</f>
        <v>3 层格子蛋糕架</v>
      </c>
      <c r="E7">
        <v>80</v>
      </c>
      <c r="F7">
        <v>8</v>
      </c>
      <c r="G7">
        <f t="shared" si="0"/>
        <v>10</v>
      </c>
    </row>
    <row r="8" spans="1:7">
      <c r="A8" t="s">
        <v>28</v>
      </c>
      <c r="B8" t="s">
        <v>29</v>
      </c>
      <c r="C8" s="8" t="str">
        <f>VLOOKUP(A8,[1]澳洲!$A$2:$D$36,4,FALSE)</f>
        <v>Silicone Cupcake Moulds 24 Pack</v>
      </c>
      <c r="D8" s="8" t="str">
        <f>VLOOKUP(A8,[1]澳洲!$A$2:$E$36,5,FALSE)</f>
        <v>硅胶纸杯蛋糕模具 24 件装</v>
      </c>
      <c r="E8">
        <v>3</v>
      </c>
      <c r="F8">
        <v>30</v>
      </c>
      <c r="G8">
        <f t="shared" si="0"/>
        <v>0.1</v>
      </c>
    </row>
    <row r="9" spans="1:7">
      <c r="A9" t="s">
        <v>33</v>
      </c>
      <c r="B9" t="s">
        <v>34</v>
      </c>
      <c r="C9" s="8" t="str">
        <f>VLOOKUP(A9,[1]澳洲!$A$2:$D$36,4,FALSE)</f>
        <v>Premium Pizza Cutter Oscillating Blade</v>
      </c>
      <c r="D9" s="8" t="str">
        <f>VLOOKUP(A9,[1]澳洲!$A$2:$E$36,5,FALSE)</f>
        <v>优质披萨切割机摆动刀片</v>
      </c>
      <c r="E9">
        <v>612</v>
      </c>
      <c r="F9">
        <v>36</v>
      </c>
      <c r="G9">
        <f t="shared" si="0"/>
        <v>17</v>
      </c>
    </row>
    <row r="10" spans="1:7">
      <c r="A10" t="s">
        <v>56</v>
      </c>
      <c r="B10" t="s">
        <v>57</v>
      </c>
      <c r="C10" s="8" t="str">
        <f>VLOOKUP(A10,[1]澳洲!$A$2:$D$36,4,FALSE)</f>
        <v>Heavy Duty Icecream Scoop</v>
      </c>
      <c r="D10" s="8" t="str">
        <f>VLOOKUP(A10,[1]澳洲!$A$2:$E$36,5,FALSE)</f>
        <v>重型冰淇淋勺</v>
      </c>
      <c r="E10">
        <v>1056</v>
      </c>
      <c r="F10">
        <v>48</v>
      </c>
      <c r="G10">
        <f t="shared" si="0"/>
        <v>22</v>
      </c>
    </row>
    <row r="11" spans="1:7">
      <c r="A11" t="s">
        <v>61</v>
      </c>
      <c r="B11" t="s">
        <v>61</v>
      </c>
      <c r="C11" s="8" t="str">
        <f>VLOOKUP(A11,[1]澳洲!$A$2:$D$36,4,FALSE)</f>
        <v>Canvas and Wood Swinging Chair Cream</v>
      </c>
      <c r="D11" s="8" t="str">
        <f>VLOOKUP(A11,[1]澳洲!$A$2:$E$36,5,FALSE)</f>
        <v>帆布和木质秋千椅奶油色</v>
      </c>
      <c r="E11">
        <v>192</v>
      </c>
      <c r="F11">
        <v>6</v>
      </c>
      <c r="G11">
        <f t="shared" si="0"/>
        <v>32</v>
      </c>
    </row>
    <row r="12" spans="1:7">
      <c r="A12" t="s">
        <v>52</v>
      </c>
      <c r="C12" s="8" t="str">
        <f>VLOOKUP(A12,[1]澳洲!$A$2:$D$36,4,FALSE)</f>
        <v>Pre-Seasoned Cast Iron Double Dutch Oven</v>
      </c>
      <c r="D12" s="8" t="str">
        <f>VLOOKUP(A12,[1]澳洲!$A$2:$E$36,5,FALSE)</f>
        <v>预调味铸铁双层荷兰烤箱</v>
      </c>
      <c r="E12">
        <v>1612</v>
      </c>
      <c r="F12">
        <v>2</v>
      </c>
      <c r="G12">
        <f t="shared" si="0"/>
        <v>806</v>
      </c>
    </row>
    <row r="13" spans="1:7">
      <c r="A13" t="s">
        <v>42</v>
      </c>
      <c r="C13" s="8" t="str">
        <f>VLOOKUP(A13,[1]澳洲!$A$2:$D$36,4,FALSE)</f>
        <v>Pre-Seasoned Cast Iron Skillet 12.5"</v>
      </c>
      <c r="D13" s="8" t="str">
        <f>VLOOKUP(A13,[1]澳洲!$A$2:$E$36,5,FALSE)</f>
        <v>预调味铸铁煎锅 12.5"</v>
      </c>
      <c r="E13">
        <v>2272</v>
      </c>
      <c r="F13">
        <v>4</v>
      </c>
      <c r="G13">
        <f t="shared" si="0"/>
        <v>568</v>
      </c>
    </row>
    <row r="14" spans="1:7">
      <c r="A14" t="s">
        <v>38</v>
      </c>
      <c r="C14" s="8" t="str">
        <f>VLOOKUP(A14,[1]澳洲!$A$2:$D$36,4,FALSE)</f>
        <v>Whisky Decanter and 4 Whiskey Glasses Hobart</v>
      </c>
      <c r="D14" s="8" t="str">
        <f>VLOOKUP(A14,[1]澳洲!$A$2:$E$36,5,FALSE)</f>
        <v>霍巴特威士忌醒酒器和 4 个威士忌杯</v>
      </c>
      <c r="E14">
        <v>36</v>
      </c>
      <c r="F14">
        <v>3</v>
      </c>
      <c r="G14">
        <f t="shared" si="0"/>
        <v>12</v>
      </c>
    </row>
    <row r="15" spans="1:7">
      <c r="A15" t="s">
        <v>48</v>
      </c>
      <c r="C15" s="8" t="str">
        <f>VLOOKUP(A15,[1]澳洲!$A$2:$D$36,4,FALSE)</f>
        <v>Whisky Decanter and 4 Whiskey Glasses Tasman</v>
      </c>
      <c r="D15" s="8" t="str">
        <f>VLOOKUP(A15,[1]澳洲!$A$2:$E$36,5,FALSE)</f>
        <v>威士忌醒酒器和 4 个塔斯曼威士忌杯</v>
      </c>
      <c r="E15">
        <v>165</v>
      </c>
      <c r="F15">
        <v>3</v>
      </c>
      <c r="G15">
        <f t="shared" si="0"/>
        <v>55</v>
      </c>
    </row>
    <row r="16" spans="5:5">
      <c r="E16">
        <f>SUM(E2:E15)</f>
        <v>6437</v>
      </c>
    </row>
    <row r="20" spans="6:6">
      <c r="F20" s="8" t="s">
        <v>171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8"/>
  <sheetViews>
    <sheetView topLeftCell="A49" workbookViewId="0">
      <selection activeCell="F78" sqref="F78"/>
    </sheetView>
  </sheetViews>
  <sheetFormatPr defaultColWidth="9.56190476190476" defaultRowHeight="14.25"/>
  <cols>
    <col min="1" max="1" width="10.0285714285714" style="2"/>
    <col min="2" max="4" width="9.56190476190476" style="2"/>
    <col min="5" max="5" width="28.0857142857143" style="2" customWidth="1"/>
    <col min="6" max="6" width="15.8095238095238" style="2" customWidth="1"/>
    <col min="7" max="9" width="9.56190476190476" style="2"/>
    <col min="10" max="10" width="12.4761904761905" style="2" customWidth="1"/>
    <col min="11" max="14" width="9.56190476190476" style="2"/>
    <col min="15" max="15" width="20.1142857142857" style="2" customWidth="1"/>
    <col min="16" max="16" width="17.8" style="2" customWidth="1"/>
    <col min="17" max="17" width="17.5333333333333" style="2" customWidth="1"/>
    <col min="18" max="16384" width="9.56190476190476" style="2"/>
  </cols>
  <sheetData>
    <row r="1" s="2" customFormat="1" spans="1:2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5</v>
      </c>
      <c r="H1" s="1" t="s">
        <v>178</v>
      </c>
      <c r="I1" s="1" t="s">
        <v>179</v>
      </c>
      <c r="J1" s="1" t="s">
        <v>180</v>
      </c>
      <c r="K1" s="1" t="s">
        <v>7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</row>
    <row r="2" s="2" customFormat="1" spans="1:25">
      <c r="A2" s="19">
        <v>81434269</v>
      </c>
      <c r="B2" s="2" t="s">
        <v>195</v>
      </c>
      <c r="C2" s="2" t="s">
        <v>196</v>
      </c>
      <c r="D2" s="2" t="s">
        <v>197</v>
      </c>
      <c r="E2" s="2" t="s">
        <v>42</v>
      </c>
      <c r="F2" s="2" t="s">
        <v>43</v>
      </c>
      <c r="G2" s="7">
        <v>100</v>
      </c>
      <c r="H2" s="2" t="s">
        <v>198</v>
      </c>
      <c r="I2" s="2" t="s">
        <v>45</v>
      </c>
      <c r="J2" s="2" t="s">
        <v>199</v>
      </c>
      <c r="K2" s="2" t="s">
        <v>200</v>
      </c>
      <c r="L2" s="7">
        <v>310</v>
      </c>
      <c r="M2" s="7">
        <v>430</v>
      </c>
      <c r="N2" s="7">
        <v>310</v>
      </c>
      <c r="O2" s="2" t="s">
        <v>176</v>
      </c>
      <c r="P2" s="7">
        <v>1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2" t="s">
        <v>201</v>
      </c>
      <c r="X2" s="2" t="s">
        <v>201</v>
      </c>
      <c r="Y2" s="2" t="s">
        <v>202</v>
      </c>
    </row>
    <row r="3" s="2" customFormat="1" spans="1:25">
      <c r="A3" s="19">
        <v>81434267</v>
      </c>
      <c r="B3" s="2" t="s">
        <v>195</v>
      </c>
      <c r="C3" s="2" t="s">
        <v>196</v>
      </c>
      <c r="D3" s="2" t="s">
        <v>197</v>
      </c>
      <c r="E3" s="2" t="s">
        <v>42</v>
      </c>
      <c r="F3" s="2" t="s">
        <v>43</v>
      </c>
      <c r="G3" s="7">
        <v>128</v>
      </c>
      <c r="H3" s="2" t="s">
        <v>198</v>
      </c>
      <c r="I3" s="2" t="s">
        <v>45</v>
      </c>
      <c r="J3" s="2" t="s">
        <v>199</v>
      </c>
      <c r="K3" s="2" t="s">
        <v>203</v>
      </c>
      <c r="L3" s="7">
        <v>310</v>
      </c>
      <c r="M3" s="7">
        <v>430</v>
      </c>
      <c r="N3" s="7">
        <v>310</v>
      </c>
      <c r="O3" s="2" t="s">
        <v>176</v>
      </c>
      <c r="P3" s="7">
        <v>1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2" t="s">
        <v>201</v>
      </c>
      <c r="X3" s="2" t="s">
        <v>201</v>
      </c>
      <c r="Y3" s="2" t="s">
        <v>202</v>
      </c>
    </row>
    <row r="4" s="2" customFormat="1" spans="1:25">
      <c r="A4" s="19">
        <v>81434268</v>
      </c>
      <c r="B4" s="2" t="s">
        <v>195</v>
      </c>
      <c r="C4" s="2" t="s">
        <v>196</v>
      </c>
      <c r="D4" s="2" t="s">
        <v>197</v>
      </c>
      <c r="E4" s="2" t="s">
        <v>42</v>
      </c>
      <c r="F4" s="2" t="s">
        <v>43</v>
      </c>
      <c r="G4" s="7">
        <v>128</v>
      </c>
      <c r="H4" s="2" t="s">
        <v>198</v>
      </c>
      <c r="I4" s="2" t="s">
        <v>45</v>
      </c>
      <c r="J4" s="2" t="s">
        <v>199</v>
      </c>
      <c r="K4" s="2" t="s">
        <v>204</v>
      </c>
      <c r="L4" s="7">
        <v>310</v>
      </c>
      <c r="M4" s="7">
        <v>430</v>
      </c>
      <c r="N4" s="7">
        <v>310</v>
      </c>
      <c r="O4" s="2" t="s">
        <v>176</v>
      </c>
      <c r="P4" s="7">
        <v>1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2" t="s">
        <v>201</v>
      </c>
      <c r="X4" s="2" t="s">
        <v>201</v>
      </c>
      <c r="Y4" s="2" t="s">
        <v>202</v>
      </c>
    </row>
    <row r="5" s="2" customFormat="1" spans="1:25">
      <c r="A5" s="19">
        <v>81434259</v>
      </c>
      <c r="B5" s="2" t="s">
        <v>195</v>
      </c>
      <c r="C5" s="2" t="s">
        <v>196</v>
      </c>
      <c r="D5" s="2" t="s">
        <v>197</v>
      </c>
      <c r="E5" s="2" t="s">
        <v>42</v>
      </c>
      <c r="F5" s="2" t="s">
        <v>43</v>
      </c>
      <c r="G5" s="7">
        <v>128</v>
      </c>
      <c r="H5" s="2" t="s">
        <v>198</v>
      </c>
      <c r="I5" s="2" t="s">
        <v>45</v>
      </c>
      <c r="J5" s="2" t="s">
        <v>205</v>
      </c>
      <c r="K5" s="2" t="s">
        <v>206</v>
      </c>
      <c r="L5" s="7">
        <v>310</v>
      </c>
      <c r="M5" s="7">
        <v>430</v>
      </c>
      <c r="N5" s="7">
        <v>310</v>
      </c>
      <c r="O5" s="2" t="s">
        <v>176</v>
      </c>
      <c r="P5" s="7">
        <v>1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2" t="s">
        <v>201</v>
      </c>
      <c r="X5" s="2" t="s">
        <v>201</v>
      </c>
      <c r="Y5" s="2" t="s">
        <v>202</v>
      </c>
    </row>
    <row r="6" s="2" customFormat="1" spans="1:25">
      <c r="A6" s="19">
        <v>81434261</v>
      </c>
      <c r="B6" s="2" t="s">
        <v>195</v>
      </c>
      <c r="C6" s="2" t="s">
        <v>196</v>
      </c>
      <c r="D6" s="2" t="s">
        <v>197</v>
      </c>
      <c r="E6" s="2" t="s">
        <v>42</v>
      </c>
      <c r="F6" s="2" t="s">
        <v>43</v>
      </c>
      <c r="G6" s="7">
        <v>76</v>
      </c>
      <c r="H6" s="2" t="s">
        <v>198</v>
      </c>
      <c r="I6" s="2" t="s">
        <v>45</v>
      </c>
      <c r="J6" s="2" t="s">
        <v>207</v>
      </c>
      <c r="K6" s="2" t="s">
        <v>208</v>
      </c>
      <c r="L6" s="7">
        <v>310</v>
      </c>
      <c r="M6" s="7">
        <v>430</v>
      </c>
      <c r="N6" s="7">
        <v>310</v>
      </c>
      <c r="O6" s="2" t="s">
        <v>176</v>
      </c>
      <c r="P6" s="7">
        <v>1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2" t="s">
        <v>201</v>
      </c>
      <c r="X6" s="2" t="s">
        <v>201</v>
      </c>
      <c r="Y6" s="2" t="s">
        <v>202</v>
      </c>
    </row>
    <row r="7" s="2" customFormat="1" spans="1:25">
      <c r="A7" s="19">
        <v>81434260</v>
      </c>
      <c r="B7" s="2" t="s">
        <v>195</v>
      </c>
      <c r="C7" s="2" t="s">
        <v>196</v>
      </c>
      <c r="D7" s="2" t="s">
        <v>197</v>
      </c>
      <c r="E7" s="2" t="s">
        <v>42</v>
      </c>
      <c r="F7" s="2" t="s">
        <v>43</v>
      </c>
      <c r="G7" s="7">
        <v>95</v>
      </c>
      <c r="H7" s="2" t="s">
        <v>198</v>
      </c>
      <c r="I7" s="2" t="s">
        <v>45</v>
      </c>
      <c r="J7" s="2" t="s">
        <v>205</v>
      </c>
      <c r="K7" s="2" t="s">
        <v>209</v>
      </c>
      <c r="L7" s="7">
        <v>310</v>
      </c>
      <c r="M7" s="7">
        <v>430</v>
      </c>
      <c r="N7" s="7">
        <v>310</v>
      </c>
      <c r="O7" s="2" t="s">
        <v>176</v>
      </c>
      <c r="P7" s="7">
        <v>1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2" t="s">
        <v>201</v>
      </c>
      <c r="X7" s="2" t="s">
        <v>201</v>
      </c>
      <c r="Y7" s="2" t="s">
        <v>202</v>
      </c>
    </row>
    <row r="8" s="2" customFormat="1" spans="1:25">
      <c r="A8" s="19">
        <v>81434270</v>
      </c>
      <c r="B8" s="2" t="s">
        <v>195</v>
      </c>
      <c r="C8" s="2" t="s">
        <v>196</v>
      </c>
      <c r="D8" s="2" t="s">
        <v>197</v>
      </c>
      <c r="E8" s="2" t="s">
        <v>42</v>
      </c>
      <c r="F8" s="2" t="s">
        <v>43</v>
      </c>
      <c r="G8" s="7">
        <v>96</v>
      </c>
      <c r="H8" s="2" t="s">
        <v>198</v>
      </c>
      <c r="I8" s="2" t="s">
        <v>45</v>
      </c>
      <c r="J8" s="2" t="s">
        <v>207</v>
      </c>
      <c r="K8" s="2" t="s">
        <v>210</v>
      </c>
      <c r="L8" s="7">
        <v>310</v>
      </c>
      <c r="M8" s="7">
        <v>430</v>
      </c>
      <c r="N8" s="7">
        <v>310</v>
      </c>
      <c r="O8" s="2" t="s">
        <v>176</v>
      </c>
      <c r="P8" s="7">
        <v>1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2" t="s">
        <v>201</v>
      </c>
      <c r="X8" s="2" t="s">
        <v>201</v>
      </c>
      <c r="Y8" s="2" t="s">
        <v>202</v>
      </c>
    </row>
    <row r="9" s="2" customFormat="1" spans="1:25">
      <c r="A9" s="19">
        <v>81434262</v>
      </c>
      <c r="B9" s="2" t="s">
        <v>195</v>
      </c>
      <c r="C9" s="2" t="s">
        <v>196</v>
      </c>
      <c r="D9" s="2" t="s">
        <v>197</v>
      </c>
      <c r="E9" s="2" t="s">
        <v>42</v>
      </c>
      <c r="F9" s="2" t="s">
        <v>43</v>
      </c>
      <c r="G9" s="7">
        <v>96</v>
      </c>
      <c r="H9" s="2" t="s">
        <v>198</v>
      </c>
      <c r="I9" s="2" t="s">
        <v>45</v>
      </c>
      <c r="J9" s="2" t="s">
        <v>207</v>
      </c>
      <c r="K9" s="2" t="s">
        <v>211</v>
      </c>
      <c r="L9" s="7">
        <v>310</v>
      </c>
      <c r="M9" s="7">
        <v>430</v>
      </c>
      <c r="N9" s="7">
        <v>310</v>
      </c>
      <c r="O9" s="2" t="s">
        <v>176</v>
      </c>
      <c r="P9" s="7">
        <v>1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2" t="s">
        <v>201</v>
      </c>
      <c r="X9" s="2" t="s">
        <v>201</v>
      </c>
      <c r="Y9" s="2" t="s">
        <v>202</v>
      </c>
    </row>
    <row r="10" s="2" customFormat="1" spans="1:25">
      <c r="A10" s="19">
        <v>81434257</v>
      </c>
      <c r="B10" s="2" t="s">
        <v>195</v>
      </c>
      <c r="C10" s="2" t="s">
        <v>196</v>
      </c>
      <c r="D10" s="2" t="s">
        <v>197</v>
      </c>
      <c r="E10" s="2" t="s">
        <v>42</v>
      </c>
      <c r="F10" s="2" t="s">
        <v>43</v>
      </c>
      <c r="G10" s="7">
        <v>96</v>
      </c>
      <c r="H10" s="2" t="s">
        <v>198</v>
      </c>
      <c r="I10" s="2" t="s">
        <v>45</v>
      </c>
      <c r="J10" s="2" t="s">
        <v>207</v>
      </c>
      <c r="K10" s="2" t="s">
        <v>212</v>
      </c>
      <c r="L10" s="7">
        <v>310</v>
      </c>
      <c r="M10" s="7">
        <v>430</v>
      </c>
      <c r="N10" s="7">
        <v>310</v>
      </c>
      <c r="O10" s="2" t="s">
        <v>176</v>
      </c>
      <c r="P10" s="7">
        <v>1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2" t="s">
        <v>201</v>
      </c>
      <c r="X10" s="2" t="s">
        <v>201</v>
      </c>
      <c r="Y10" s="2" t="s">
        <v>202</v>
      </c>
    </row>
    <row r="11" s="2" customFormat="1" spans="1:25">
      <c r="A11" s="19">
        <v>81434271</v>
      </c>
      <c r="B11" s="2" t="s">
        <v>195</v>
      </c>
      <c r="C11" s="2" t="s">
        <v>196</v>
      </c>
      <c r="D11" s="2" t="s">
        <v>197</v>
      </c>
      <c r="E11" s="2" t="s">
        <v>42</v>
      </c>
      <c r="F11" s="2" t="s">
        <v>43</v>
      </c>
      <c r="G11" s="7">
        <v>96</v>
      </c>
      <c r="H11" s="2" t="s">
        <v>198</v>
      </c>
      <c r="I11" s="2" t="s">
        <v>45</v>
      </c>
      <c r="J11" s="2" t="s">
        <v>205</v>
      </c>
      <c r="K11" s="2" t="s">
        <v>213</v>
      </c>
      <c r="L11" s="7">
        <v>310</v>
      </c>
      <c r="M11" s="7">
        <v>430</v>
      </c>
      <c r="N11" s="7">
        <v>310</v>
      </c>
      <c r="O11" s="2" t="s">
        <v>176</v>
      </c>
      <c r="P11" s="7">
        <v>1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2" t="s">
        <v>201</v>
      </c>
      <c r="X11" s="2" t="s">
        <v>201</v>
      </c>
      <c r="Y11" s="2" t="s">
        <v>202</v>
      </c>
    </row>
    <row r="12" s="2" customFormat="1" spans="1:25">
      <c r="A12" s="19">
        <v>81434272</v>
      </c>
      <c r="B12" s="2" t="s">
        <v>195</v>
      </c>
      <c r="C12" s="2" t="s">
        <v>196</v>
      </c>
      <c r="D12" s="2" t="s">
        <v>197</v>
      </c>
      <c r="E12" s="2" t="s">
        <v>42</v>
      </c>
      <c r="F12" s="2" t="s">
        <v>43</v>
      </c>
      <c r="G12" s="7">
        <v>96</v>
      </c>
      <c r="H12" s="2" t="s">
        <v>198</v>
      </c>
      <c r="I12" s="2" t="s">
        <v>45</v>
      </c>
      <c r="J12" s="2" t="s">
        <v>205</v>
      </c>
      <c r="K12" s="2" t="s">
        <v>214</v>
      </c>
      <c r="L12" s="7">
        <v>310</v>
      </c>
      <c r="M12" s="7">
        <v>430</v>
      </c>
      <c r="N12" s="7">
        <v>310</v>
      </c>
      <c r="O12" s="2" t="s">
        <v>176</v>
      </c>
      <c r="P12" s="7">
        <v>1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2" t="s">
        <v>201</v>
      </c>
      <c r="X12" s="2" t="s">
        <v>201</v>
      </c>
      <c r="Y12" s="2" t="s">
        <v>202</v>
      </c>
    </row>
    <row r="13" s="2" customFormat="1" spans="1:25">
      <c r="A13" s="19">
        <v>81434263</v>
      </c>
      <c r="B13" s="2" t="s">
        <v>195</v>
      </c>
      <c r="C13" s="2" t="s">
        <v>196</v>
      </c>
      <c r="D13" s="2" t="s">
        <v>197</v>
      </c>
      <c r="E13" s="2" t="s">
        <v>42</v>
      </c>
      <c r="F13" s="2" t="s">
        <v>43</v>
      </c>
      <c r="G13" s="7">
        <v>96</v>
      </c>
      <c r="H13" s="2" t="s">
        <v>198</v>
      </c>
      <c r="I13" s="2" t="s">
        <v>45</v>
      </c>
      <c r="J13" s="2" t="s">
        <v>205</v>
      </c>
      <c r="K13" s="2" t="s">
        <v>215</v>
      </c>
      <c r="L13" s="7">
        <v>310</v>
      </c>
      <c r="M13" s="7">
        <v>430</v>
      </c>
      <c r="N13" s="7">
        <v>310</v>
      </c>
      <c r="O13" s="2" t="s">
        <v>176</v>
      </c>
      <c r="P13" s="7">
        <v>1</v>
      </c>
      <c r="Q13" s="7">
        <v>1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2" t="s">
        <v>201</v>
      </c>
      <c r="X13" s="2" t="s">
        <v>201</v>
      </c>
      <c r="Y13" s="2" t="s">
        <v>202</v>
      </c>
    </row>
    <row r="14" s="2" customFormat="1" spans="1:25">
      <c r="A14" s="19">
        <v>81434264</v>
      </c>
      <c r="B14" s="2" t="s">
        <v>195</v>
      </c>
      <c r="C14" s="2" t="s">
        <v>196</v>
      </c>
      <c r="D14" s="2" t="s">
        <v>197</v>
      </c>
      <c r="E14" s="2" t="s">
        <v>42</v>
      </c>
      <c r="F14" s="2" t="s">
        <v>43</v>
      </c>
      <c r="G14" s="7">
        <v>96</v>
      </c>
      <c r="H14" s="2" t="s">
        <v>198</v>
      </c>
      <c r="I14" s="2" t="s">
        <v>45</v>
      </c>
      <c r="J14" s="2" t="s">
        <v>205</v>
      </c>
      <c r="K14" s="2" t="s">
        <v>216</v>
      </c>
      <c r="L14" s="7">
        <v>310</v>
      </c>
      <c r="M14" s="7">
        <v>430</v>
      </c>
      <c r="N14" s="7">
        <v>310</v>
      </c>
      <c r="O14" s="2" t="s">
        <v>176</v>
      </c>
      <c r="P14" s="7">
        <v>1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2" t="s">
        <v>201</v>
      </c>
      <c r="X14" s="2" t="s">
        <v>201</v>
      </c>
      <c r="Y14" s="2" t="s">
        <v>202</v>
      </c>
    </row>
    <row r="15" s="2" customFormat="1" spans="1:25">
      <c r="A15" s="19">
        <v>81434265</v>
      </c>
      <c r="B15" s="2" t="s">
        <v>195</v>
      </c>
      <c r="C15" s="2" t="s">
        <v>196</v>
      </c>
      <c r="D15" s="2" t="s">
        <v>197</v>
      </c>
      <c r="E15" s="2" t="s">
        <v>42</v>
      </c>
      <c r="F15" s="2" t="s">
        <v>43</v>
      </c>
      <c r="G15" s="7">
        <v>96</v>
      </c>
      <c r="H15" s="2" t="s">
        <v>198</v>
      </c>
      <c r="I15" s="2" t="s">
        <v>45</v>
      </c>
      <c r="J15" s="2" t="s">
        <v>205</v>
      </c>
      <c r="K15" s="2" t="s">
        <v>217</v>
      </c>
      <c r="L15" s="7">
        <v>310</v>
      </c>
      <c r="M15" s="7">
        <v>430</v>
      </c>
      <c r="N15" s="7">
        <v>310</v>
      </c>
      <c r="O15" s="2" t="s">
        <v>176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2" t="s">
        <v>201</v>
      </c>
      <c r="X15" s="2" t="s">
        <v>201</v>
      </c>
      <c r="Y15" s="2" t="s">
        <v>202</v>
      </c>
    </row>
    <row r="16" s="2" customFormat="1" spans="1:25">
      <c r="A16" s="19">
        <v>81434266</v>
      </c>
      <c r="B16" s="2" t="s">
        <v>195</v>
      </c>
      <c r="C16" s="2" t="s">
        <v>196</v>
      </c>
      <c r="D16" s="2" t="s">
        <v>197</v>
      </c>
      <c r="E16" s="2" t="s">
        <v>42</v>
      </c>
      <c r="F16" s="2" t="s">
        <v>43</v>
      </c>
      <c r="G16" s="7">
        <v>96</v>
      </c>
      <c r="H16" s="2" t="s">
        <v>198</v>
      </c>
      <c r="I16" s="2" t="s">
        <v>45</v>
      </c>
      <c r="J16" s="2" t="s">
        <v>205</v>
      </c>
      <c r="K16" s="2" t="s">
        <v>218</v>
      </c>
      <c r="L16" s="7">
        <v>310</v>
      </c>
      <c r="M16" s="7">
        <v>430</v>
      </c>
      <c r="N16" s="7">
        <v>310</v>
      </c>
      <c r="O16" s="2" t="s">
        <v>176</v>
      </c>
      <c r="P16" s="7">
        <v>1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2" t="s">
        <v>201</v>
      </c>
      <c r="X16" s="2" t="s">
        <v>201</v>
      </c>
      <c r="Y16" s="2" t="s">
        <v>202</v>
      </c>
    </row>
    <row r="17" s="2" customFormat="1" spans="1:25">
      <c r="A17" s="19">
        <v>81434256</v>
      </c>
      <c r="B17" s="2" t="s">
        <v>195</v>
      </c>
      <c r="C17" s="2" t="s">
        <v>196</v>
      </c>
      <c r="D17" s="2" t="s">
        <v>197</v>
      </c>
      <c r="E17" s="2" t="s">
        <v>42</v>
      </c>
      <c r="F17" s="2" t="s">
        <v>43</v>
      </c>
      <c r="G17" s="7">
        <v>96</v>
      </c>
      <c r="H17" s="2" t="s">
        <v>198</v>
      </c>
      <c r="I17" s="2" t="s">
        <v>45</v>
      </c>
      <c r="J17" s="2" t="s">
        <v>205</v>
      </c>
      <c r="K17" s="2" t="s">
        <v>219</v>
      </c>
      <c r="L17" s="7">
        <v>310</v>
      </c>
      <c r="M17" s="7">
        <v>430</v>
      </c>
      <c r="N17" s="7">
        <v>310</v>
      </c>
      <c r="O17" s="2" t="s">
        <v>176</v>
      </c>
      <c r="P17" s="7">
        <v>1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2" t="s">
        <v>201</v>
      </c>
      <c r="X17" s="2" t="s">
        <v>201</v>
      </c>
      <c r="Y17" s="2" t="s">
        <v>202</v>
      </c>
    </row>
    <row r="18" s="2" customFormat="1" spans="1:25">
      <c r="A18" s="19">
        <v>81434258</v>
      </c>
      <c r="B18" s="2" t="s">
        <v>195</v>
      </c>
      <c r="C18" s="2" t="s">
        <v>196</v>
      </c>
      <c r="D18" s="2" t="s">
        <v>197</v>
      </c>
      <c r="E18" s="2" t="s">
        <v>42</v>
      </c>
      <c r="F18" s="2" t="s">
        <v>43</v>
      </c>
      <c r="G18" s="7">
        <v>96</v>
      </c>
      <c r="H18" s="2" t="s">
        <v>198</v>
      </c>
      <c r="I18" s="2" t="s">
        <v>45</v>
      </c>
      <c r="J18" s="2" t="s">
        <v>205</v>
      </c>
      <c r="K18" s="2" t="s">
        <v>220</v>
      </c>
      <c r="L18" s="7">
        <v>310</v>
      </c>
      <c r="M18" s="7">
        <v>430</v>
      </c>
      <c r="N18" s="7">
        <v>310</v>
      </c>
      <c r="O18" s="2" t="s">
        <v>176</v>
      </c>
      <c r="P18" s="7">
        <v>1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2" t="s">
        <v>201</v>
      </c>
      <c r="X18" s="2" t="s">
        <v>201</v>
      </c>
      <c r="Y18" s="2" t="s">
        <v>202</v>
      </c>
    </row>
    <row r="19" s="2" customFormat="1" spans="1:25">
      <c r="A19" s="19">
        <v>81434246</v>
      </c>
      <c r="B19" s="2" t="s">
        <v>195</v>
      </c>
      <c r="C19" s="2" t="s">
        <v>196</v>
      </c>
      <c r="D19" s="2" t="s">
        <v>197</v>
      </c>
      <c r="E19" s="2" t="s">
        <v>48</v>
      </c>
      <c r="F19" s="2" t="s">
        <v>49</v>
      </c>
      <c r="G19" s="7">
        <v>42</v>
      </c>
      <c r="H19" s="2" t="s">
        <v>198</v>
      </c>
      <c r="I19" s="2" t="s">
        <v>221</v>
      </c>
      <c r="J19" s="2" t="s">
        <v>221</v>
      </c>
      <c r="K19" s="2" t="s">
        <v>222</v>
      </c>
      <c r="L19" s="7">
        <v>352</v>
      </c>
      <c r="M19" s="7">
        <v>374</v>
      </c>
      <c r="N19" s="7">
        <v>352</v>
      </c>
      <c r="O19" s="2" t="s">
        <v>176</v>
      </c>
      <c r="P19" s="7">
        <v>1</v>
      </c>
      <c r="Q19" s="7">
        <v>1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2" t="s">
        <v>201</v>
      </c>
      <c r="X19" s="2" t="s">
        <v>201</v>
      </c>
      <c r="Y19" s="2" t="s">
        <v>202</v>
      </c>
    </row>
    <row r="20" s="2" customFormat="1" spans="1:25">
      <c r="A20" s="19">
        <v>81434247</v>
      </c>
      <c r="B20" s="2" t="s">
        <v>195</v>
      </c>
      <c r="C20" s="2" t="s">
        <v>196</v>
      </c>
      <c r="D20" s="2" t="s">
        <v>197</v>
      </c>
      <c r="E20" s="2" t="s">
        <v>48</v>
      </c>
      <c r="F20" s="2" t="s">
        <v>49</v>
      </c>
      <c r="G20" s="7">
        <v>54</v>
      </c>
      <c r="H20" s="2" t="s">
        <v>198</v>
      </c>
      <c r="I20" s="2" t="s">
        <v>221</v>
      </c>
      <c r="J20" s="2" t="s">
        <v>221</v>
      </c>
      <c r="K20" s="2" t="s">
        <v>223</v>
      </c>
      <c r="L20" s="7">
        <v>352</v>
      </c>
      <c r="M20" s="7">
        <v>374</v>
      </c>
      <c r="N20" s="7">
        <v>352</v>
      </c>
      <c r="O20" s="2" t="s">
        <v>176</v>
      </c>
      <c r="P20" s="7">
        <v>1</v>
      </c>
      <c r="Q20" s="7">
        <v>1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2" t="s">
        <v>201</v>
      </c>
      <c r="X20" s="2" t="s">
        <v>201</v>
      </c>
      <c r="Y20" s="2" t="s">
        <v>202</v>
      </c>
    </row>
    <row r="21" s="2" customFormat="1" spans="1:25">
      <c r="A21" s="19">
        <v>81434245</v>
      </c>
      <c r="B21" s="2" t="s">
        <v>195</v>
      </c>
      <c r="C21" s="2" t="s">
        <v>196</v>
      </c>
      <c r="D21" s="2" t="s">
        <v>197</v>
      </c>
      <c r="E21" s="2" t="s">
        <v>48</v>
      </c>
      <c r="F21" s="2" t="s">
        <v>49</v>
      </c>
      <c r="G21" s="7">
        <v>6</v>
      </c>
      <c r="H21" s="2" t="s">
        <v>198</v>
      </c>
      <c r="I21" s="2" t="s">
        <v>221</v>
      </c>
      <c r="J21" s="2" t="s">
        <v>221</v>
      </c>
      <c r="K21" s="2" t="s">
        <v>224</v>
      </c>
      <c r="L21" s="7">
        <v>352</v>
      </c>
      <c r="M21" s="7">
        <v>374</v>
      </c>
      <c r="N21" s="7">
        <v>352</v>
      </c>
      <c r="O21" s="2" t="s">
        <v>176</v>
      </c>
      <c r="P21" s="7">
        <v>1</v>
      </c>
      <c r="Q21" s="7">
        <v>1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2" t="s">
        <v>201</v>
      </c>
      <c r="X21" s="2" t="s">
        <v>201</v>
      </c>
      <c r="Y21" s="2" t="s">
        <v>202</v>
      </c>
    </row>
    <row r="22" s="2" customFormat="1" spans="1:25">
      <c r="A22" s="19">
        <v>81434249</v>
      </c>
      <c r="B22" s="2" t="s">
        <v>195</v>
      </c>
      <c r="C22" s="2" t="s">
        <v>196</v>
      </c>
      <c r="D22" s="2" t="s">
        <v>197</v>
      </c>
      <c r="E22" s="2" t="s">
        <v>38</v>
      </c>
      <c r="F22" s="2" t="s">
        <v>39</v>
      </c>
      <c r="G22" s="7">
        <v>12</v>
      </c>
      <c r="H22" s="2" t="s">
        <v>198</v>
      </c>
      <c r="I22" s="2" t="s">
        <v>221</v>
      </c>
      <c r="J22" s="2" t="s">
        <v>221</v>
      </c>
      <c r="K22" s="2" t="s">
        <v>225</v>
      </c>
      <c r="L22" s="7">
        <v>355</v>
      </c>
      <c r="M22" s="7">
        <v>375</v>
      </c>
      <c r="N22" s="7">
        <v>355</v>
      </c>
      <c r="O22" s="2" t="s">
        <v>176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2" t="s">
        <v>201</v>
      </c>
      <c r="X22" s="2" t="s">
        <v>201</v>
      </c>
      <c r="Y22" s="2" t="s">
        <v>221</v>
      </c>
    </row>
    <row r="23" s="2" customFormat="1" spans="1:25">
      <c r="A23" s="19">
        <v>81434250</v>
      </c>
      <c r="B23" s="2" t="s">
        <v>195</v>
      </c>
      <c r="C23" s="2" t="s">
        <v>196</v>
      </c>
      <c r="D23" s="2" t="s">
        <v>197</v>
      </c>
      <c r="E23" s="2" t="s">
        <v>38</v>
      </c>
      <c r="F23" s="2" t="s">
        <v>39</v>
      </c>
      <c r="G23" s="7">
        <v>18</v>
      </c>
      <c r="H23" s="2" t="s">
        <v>198</v>
      </c>
      <c r="I23" s="2" t="s">
        <v>221</v>
      </c>
      <c r="J23" s="2" t="s">
        <v>221</v>
      </c>
      <c r="K23" s="2" t="s">
        <v>225</v>
      </c>
      <c r="L23" s="7">
        <v>355</v>
      </c>
      <c r="M23" s="7">
        <v>375</v>
      </c>
      <c r="N23" s="7">
        <v>355</v>
      </c>
      <c r="O23" s="2" t="s">
        <v>176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2" t="s">
        <v>201</v>
      </c>
      <c r="X23" s="2" t="s">
        <v>201</v>
      </c>
      <c r="Y23" s="2" t="s">
        <v>221</v>
      </c>
    </row>
    <row r="24" s="2" customFormat="1" spans="1:25">
      <c r="A24" s="19">
        <v>81434252</v>
      </c>
      <c r="B24" s="2" t="s">
        <v>195</v>
      </c>
      <c r="C24" s="2" t="s">
        <v>196</v>
      </c>
      <c r="D24" s="2" t="s">
        <v>197</v>
      </c>
      <c r="E24" s="2" t="s">
        <v>38</v>
      </c>
      <c r="F24" s="2" t="s">
        <v>39</v>
      </c>
      <c r="G24" s="7">
        <v>27</v>
      </c>
      <c r="H24" s="2" t="s">
        <v>198</v>
      </c>
      <c r="I24" s="2" t="s">
        <v>221</v>
      </c>
      <c r="J24" s="2" t="s">
        <v>221</v>
      </c>
      <c r="K24" s="2" t="s">
        <v>226</v>
      </c>
      <c r="L24" s="7">
        <v>355</v>
      </c>
      <c r="M24" s="7">
        <v>375</v>
      </c>
      <c r="N24" s="7">
        <v>355</v>
      </c>
      <c r="O24" s="2" t="s">
        <v>176</v>
      </c>
      <c r="P24" s="7">
        <v>1</v>
      </c>
      <c r="Q24" s="7">
        <v>1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2" t="s">
        <v>201</v>
      </c>
      <c r="X24" s="2" t="s">
        <v>201</v>
      </c>
      <c r="Y24" s="2" t="s">
        <v>202</v>
      </c>
    </row>
    <row r="25" s="2" customFormat="1" spans="1:25">
      <c r="A25" s="19">
        <v>81434255</v>
      </c>
      <c r="B25" s="2" t="s">
        <v>195</v>
      </c>
      <c r="C25" s="2" t="s">
        <v>196</v>
      </c>
      <c r="D25" s="2" t="s">
        <v>197</v>
      </c>
      <c r="E25" s="2" t="s">
        <v>38</v>
      </c>
      <c r="F25" s="2" t="s">
        <v>39</v>
      </c>
      <c r="G25" s="7">
        <v>30</v>
      </c>
      <c r="H25" s="2" t="s">
        <v>198</v>
      </c>
      <c r="I25" s="2" t="s">
        <v>221</v>
      </c>
      <c r="J25" s="2" t="s">
        <v>221</v>
      </c>
      <c r="K25" s="2" t="s">
        <v>227</v>
      </c>
      <c r="L25" s="7">
        <v>355</v>
      </c>
      <c r="M25" s="7">
        <v>375</v>
      </c>
      <c r="N25" s="7">
        <v>355</v>
      </c>
      <c r="O25" s="2" t="s">
        <v>176</v>
      </c>
      <c r="P25" s="7">
        <v>1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2" t="s">
        <v>201</v>
      </c>
      <c r="X25" s="2" t="s">
        <v>201</v>
      </c>
      <c r="Y25" s="2" t="s">
        <v>202</v>
      </c>
    </row>
    <row r="26" s="2" customFormat="1" spans="1:25">
      <c r="A26" s="19">
        <v>81434253</v>
      </c>
      <c r="B26" s="2" t="s">
        <v>195</v>
      </c>
      <c r="C26" s="2" t="s">
        <v>196</v>
      </c>
      <c r="D26" s="2" t="s">
        <v>197</v>
      </c>
      <c r="E26" s="2" t="s">
        <v>38</v>
      </c>
      <c r="F26" s="2" t="s">
        <v>39</v>
      </c>
      <c r="G26" s="7">
        <v>54</v>
      </c>
      <c r="H26" s="2" t="s">
        <v>198</v>
      </c>
      <c r="I26" s="2" t="s">
        <v>221</v>
      </c>
      <c r="J26" s="2" t="s">
        <v>221</v>
      </c>
      <c r="K26" s="2" t="s">
        <v>228</v>
      </c>
      <c r="L26" s="7">
        <v>355</v>
      </c>
      <c r="M26" s="7">
        <v>375</v>
      </c>
      <c r="N26" s="7">
        <v>355</v>
      </c>
      <c r="O26" s="2" t="s">
        <v>176</v>
      </c>
      <c r="P26" s="7">
        <v>1</v>
      </c>
      <c r="Q26" s="7">
        <v>1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2" t="s">
        <v>201</v>
      </c>
      <c r="X26" s="2" t="s">
        <v>201</v>
      </c>
      <c r="Y26" s="2" t="s">
        <v>202</v>
      </c>
    </row>
    <row r="27" s="2" customFormat="1" spans="1:25">
      <c r="A27" s="19">
        <v>81434254</v>
      </c>
      <c r="B27" s="2" t="s">
        <v>195</v>
      </c>
      <c r="C27" s="2" t="s">
        <v>196</v>
      </c>
      <c r="D27" s="2" t="s">
        <v>197</v>
      </c>
      <c r="E27" s="2" t="s">
        <v>38</v>
      </c>
      <c r="F27" s="2" t="s">
        <v>39</v>
      </c>
      <c r="G27" s="7">
        <v>54</v>
      </c>
      <c r="H27" s="2" t="s">
        <v>198</v>
      </c>
      <c r="I27" s="2" t="s">
        <v>221</v>
      </c>
      <c r="J27" s="2" t="s">
        <v>221</v>
      </c>
      <c r="K27" s="2" t="s">
        <v>229</v>
      </c>
      <c r="L27" s="7">
        <v>355</v>
      </c>
      <c r="M27" s="7">
        <v>375</v>
      </c>
      <c r="N27" s="7">
        <v>355</v>
      </c>
      <c r="O27" s="2" t="s">
        <v>176</v>
      </c>
      <c r="P27" s="7">
        <v>1</v>
      </c>
      <c r="Q27" s="7">
        <v>1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2" t="s">
        <v>201</v>
      </c>
      <c r="X27" s="2" t="s">
        <v>201</v>
      </c>
      <c r="Y27" s="2" t="s">
        <v>202</v>
      </c>
    </row>
    <row r="28" s="2" customFormat="1" spans="1:25">
      <c r="A28" s="19">
        <v>81434248</v>
      </c>
      <c r="B28" s="2" t="s">
        <v>195</v>
      </c>
      <c r="C28" s="2" t="s">
        <v>196</v>
      </c>
      <c r="D28" s="2" t="s">
        <v>197</v>
      </c>
      <c r="E28" s="2" t="s">
        <v>38</v>
      </c>
      <c r="F28" s="2" t="s">
        <v>39</v>
      </c>
      <c r="G28" s="7">
        <v>6</v>
      </c>
      <c r="H28" s="2" t="s">
        <v>198</v>
      </c>
      <c r="I28" s="2" t="s">
        <v>221</v>
      </c>
      <c r="J28" s="2" t="s">
        <v>221</v>
      </c>
      <c r="K28" s="2" t="s">
        <v>225</v>
      </c>
      <c r="L28" s="7">
        <v>355</v>
      </c>
      <c r="M28" s="7">
        <v>375</v>
      </c>
      <c r="N28" s="7">
        <v>355</v>
      </c>
      <c r="O28" s="2" t="s">
        <v>176</v>
      </c>
      <c r="P28" s="7">
        <v>1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2" t="s">
        <v>201</v>
      </c>
      <c r="X28" s="2" t="s">
        <v>201</v>
      </c>
      <c r="Y28" s="2" t="s">
        <v>202</v>
      </c>
    </row>
    <row r="29" s="2" customFormat="1" spans="1:25">
      <c r="A29" s="19">
        <v>81434251</v>
      </c>
      <c r="B29" s="2" t="s">
        <v>195</v>
      </c>
      <c r="C29" s="2" t="s">
        <v>196</v>
      </c>
      <c r="D29" s="2" t="s">
        <v>197</v>
      </c>
      <c r="E29" s="2" t="s">
        <v>38</v>
      </c>
      <c r="F29" s="2" t="s">
        <v>39</v>
      </c>
      <c r="G29" s="7">
        <v>6</v>
      </c>
      <c r="H29" s="2" t="s">
        <v>198</v>
      </c>
      <c r="I29" s="2" t="s">
        <v>221</v>
      </c>
      <c r="J29" s="2" t="s">
        <v>221</v>
      </c>
      <c r="K29" s="2" t="s">
        <v>230</v>
      </c>
      <c r="L29" s="7">
        <v>355</v>
      </c>
      <c r="M29" s="7">
        <v>375</v>
      </c>
      <c r="N29" s="7">
        <v>355</v>
      </c>
      <c r="O29" s="2" t="s">
        <v>176</v>
      </c>
      <c r="P29" s="7">
        <v>1</v>
      </c>
      <c r="Q29" s="7">
        <v>1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2" t="s">
        <v>201</v>
      </c>
      <c r="X29" s="2" t="s">
        <v>201</v>
      </c>
      <c r="Y29" s="2" t="s">
        <v>202</v>
      </c>
    </row>
    <row r="30" s="2" customFormat="1" spans="1:25">
      <c r="A30" s="19">
        <v>81434306</v>
      </c>
      <c r="B30" s="2" t="s">
        <v>195</v>
      </c>
      <c r="C30" s="2" t="s">
        <v>196</v>
      </c>
      <c r="D30" s="2" t="s">
        <v>197</v>
      </c>
      <c r="E30" s="2" t="s">
        <v>52</v>
      </c>
      <c r="F30" s="2" t="s">
        <v>53</v>
      </c>
      <c r="G30" s="7">
        <v>32</v>
      </c>
      <c r="H30" s="2" t="s">
        <v>198</v>
      </c>
      <c r="I30" s="2" t="s">
        <v>45</v>
      </c>
      <c r="J30" s="2" t="s">
        <v>199</v>
      </c>
      <c r="K30" s="2" t="s">
        <v>231</v>
      </c>
      <c r="L30" s="7">
        <v>150</v>
      </c>
      <c r="M30" s="7">
        <v>285</v>
      </c>
      <c r="N30" s="7">
        <v>150</v>
      </c>
      <c r="O30" s="2" t="s">
        <v>176</v>
      </c>
      <c r="P30" s="7">
        <v>1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2" t="s">
        <v>201</v>
      </c>
      <c r="X30" s="2" t="s">
        <v>201</v>
      </c>
      <c r="Y30" s="2" t="s">
        <v>202</v>
      </c>
    </row>
    <row r="31" s="2" customFormat="1" spans="1:25">
      <c r="A31" s="19">
        <v>81434295</v>
      </c>
      <c r="B31" s="2" t="s">
        <v>195</v>
      </c>
      <c r="C31" s="2" t="s">
        <v>196</v>
      </c>
      <c r="D31" s="2" t="s">
        <v>197</v>
      </c>
      <c r="E31" s="2" t="s">
        <v>52</v>
      </c>
      <c r="F31" s="2" t="s">
        <v>53</v>
      </c>
      <c r="G31" s="7">
        <v>42</v>
      </c>
      <c r="H31" s="2" t="s">
        <v>198</v>
      </c>
      <c r="I31" s="2" t="s">
        <v>45</v>
      </c>
      <c r="J31" s="2" t="s">
        <v>199</v>
      </c>
      <c r="K31" s="2" t="s">
        <v>232</v>
      </c>
      <c r="L31" s="7">
        <v>150</v>
      </c>
      <c r="M31" s="7">
        <v>285</v>
      </c>
      <c r="N31" s="7">
        <v>150</v>
      </c>
      <c r="O31" s="2" t="s">
        <v>176</v>
      </c>
      <c r="P31" s="7">
        <v>1</v>
      </c>
      <c r="Q31" s="7">
        <v>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2" t="s">
        <v>201</v>
      </c>
      <c r="X31" s="2" t="s">
        <v>201</v>
      </c>
      <c r="Y31" s="2" t="s">
        <v>202</v>
      </c>
    </row>
    <row r="32" s="2" customFormat="1" spans="1:25">
      <c r="A32" s="19">
        <v>81434277</v>
      </c>
      <c r="B32" s="2" t="s">
        <v>195</v>
      </c>
      <c r="C32" s="2" t="s">
        <v>196</v>
      </c>
      <c r="D32" s="2" t="s">
        <v>197</v>
      </c>
      <c r="E32" s="2" t="s">
        <v>52</v>
      </c>
      <c r="F32" s="2" t="s">
        <v>53</v>
      </c>
      <c r="G32" s="7">
        <v>42</v>
      </c>
      <c r="H32" s="2" t="s">
        <v>198</v>
      </c>
      <c r="I32" s="2" t="s">
        <v>45</v>
      </c>
      <c r="J32" s="2" t="s">
        <v>205</v>
      </c>
      <c r="K32" s="2" t="s">
        <v>233</v>
      </c>
      <c r="L32" s="7">
        <v>150</v>
      </c>
      <c r="M32" s="7">
        <v>285</v>
      </c>
      <c r="N32" s="7">
        <v>150</v>
      </c>
      <c r="O32" s="2" t="s">
        <v>176</v>
      </c>
      <c r="P32" s="7">
        <v>1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2" t="s">
        <v>201</v>
      </c>
      <c r="X32" s="2" t="s">
        <v>201</v>
      </c>
      <c r="Y32" s="2" t="s">
        <v>202</v>
      </c>
    </row>
    <row r="33" s="2" customFormat="1" spans="1:25">
      <c r="A33" s="19">
        <v>81434276</v>
      </c>
      <c r="B33" s="2" t="s">
        <v>195</v>
      </c>
      <c r="C33" s="2" t="s">
        <v>196</v>
      </c>
      <c r="D33" s="2" t="s">
        <v>197</v>
      </c>
      <c r="E33" s="2" t="s">
        <v>52</v>
      </c>
      <c r="F33" s="2" t="s">
        <v>53</v>
      </c>
      <c r="G33" s="7">
        <v>44</v>
      </c>
      <c r="H33" s="2" t="s">
        <v>198</v>
      </c>
      <c r="I33" s="2" t="s">
        <v>45</v>
      </c>
      <c r="J33" s="2" t="s">
        <v>207</v>
      </c>
      <c r="K33" s="2" t="s">
        <v>234</v>
      </c>
      <c r="L33" s="7">
        <v>150</v>
      </c>
      <c r="M33" s="7">
        <v>285</v>
      </c>
      <c r="N33" s="7">
        <v>150</v>
      </c>
      <c r="O33" s="2" t="s">
        <v>176</v>
      </c>
      <c r="P33" s="7">
        <v>1</v>
      </c>
      <c r="Q33" s="7">
        <v>1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2" t="s">
        <v>201</v>
      </c>
      <c r="X33" s="2" t="s">
        <v>201</v>
      </c>
      <c r="Y33" s="2" t="s">
        <v>202</v>
      </c>
    </row>
    <row r="34" s="2" customFormat="1" spans="1:25">
      <c r="A34" s="19">
        <v>81434310</v>
      </c>
      <c r="B34" s="2" t="s">
        <v>195</v>
      </c>
      <c r="C34" s="2" t="s">
        <v>196</v>
      </c>
      <c r="D34" s="2" t="s">
        <v>197</v>
      </c>
      <c r="E34" s="2" t="s">
        <v>52</v>
      </c>
      <c r="F34" s="2" t="s">
        <v>53</v>
      </c>
      <c r="G34" s="7">
        <v>66</v>
      </c>
      <c r="H34" s="2" t="s">
        <v>198</v>
      </c>
      <c r="I34" s="2" t="s">
        <v>45</v>
      </c>
      <c r="J34" s="2" t="s">
        <v>207</v>
      </c>
      <c r="K34" s="2" t="s">
        <v>235</v>
      </c>
      <c r="L34" s="7">
        <v>150</v>
      </c>
      <c r="M34" s="7">
        <v>285</v>
      </c>
      <c r="N34" s="7">
        <v>150</v>
      </c>
      <c r="O34" s="2" t="s">
        <v>176</v>
      </c>
      <c r="P34" s="7">
        <v>1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2" t="s">
        <v>201</v>
      </c>
      <c r="X34" s="2" t="s">
        <v>201</v>
      </c>
      <c r="Y34" s="2" t="s">
        <v>202</v>
      </c>
    </row>
    <row r="35" s="2" customFormat="1" spans="1:25">
      <c r="A35" s="19">
        <v>81434314</v>
      </c>
      <c r="B35" s="2" t="s">
        <v>195</v>
      </c>
      <c r="C35" s="2" t="s">
        <v>196</v>
      </c>
      <c r="D35" s="2" t="s">
        <v>197</v>
      </c>
      <c r="E35" s="2" t="s">
        <v>52</v>
      </c>
      <c r="F35" s="2" t="s">
        <v>53</v>
      </c>
      <c r="G35" s="7">
        <v>66</v>
      </c>
      <c r="H35" s="2" t="s">
        <v>198</v>
      </c>
      <c r="I35" s="2" t="s">
        <v>45</v>
      </c>
      <c r="J35" s="2" t="s">
        <v>207</v>
      </c>
      <c r="K35" s="2" t="s">
        <v>236</v>
      </c>
      <c r="L35" s="7">
        <v>150</v>
      </c>
      <c r="M35" s="7">
        <v>285</v>
      </c>
      <c r="N35" s="7">
        <v>150</v>
      </c>
      <c r="O35" s="2" t="s">
        <v>176</v>
      </c>
      <c r="P35" s="7">
        <v>1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2" t="s">
        <v>201</v>
      </c>
      <c r="X35" s="2" t="s">
        <v>201</v>
      </c>
      <c r="Y35" s="2" t="s">
        <v>202</v>
      </c>
    </row>
    <row r="36" s="2" customFormat="1" spans="1:25">
      <c r="A36" s="19">
        <v>81434301</v>
      </c>
      <c r="B36" s="2" t="s">
        <v>195</v>
      </c>
      <c r="C36" s="2" t="s">
        <v>196</v>
      </c>
      <c r="D36" s="2" t="s">
        <v>197</v>
      </c>
      <c r="E36" s="2" t="s">
        <v>52</v>
      </c>
      <c r="F36" s="2" t="s">
        <v>53</v>
      </c>
      <c r="G36" s="7">
        <v>66</v>
      </c>
      <c r="H36" s="2" t="s">
        <v>198</v>
      </c>
      <c r="I36" s="2" t="s">
        <v>45</v>
      </c>
      <c r="J36" s="2" t="s">
        <v>207</v>
      </c>
      <c r="K36" s="2" t="s">
        <v>237</v>
      </c>
      <c r="L36" s="7">
        <v>150</v>
      </c>
      <c r="M36" s="7">
        <v>285</v>
      </c>
      <c r="N36" s="7">
        <v>150</v>
      </c>
      <c r="O36" s="2" t="s">
        <v>176</v>
      </c>
      <c r="P36" s="7">
        <v>1</v>
      </c>
      <c r="Q36" s="7">
        <v>1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2" t="s">
        <v>201</v>
      </c>
      <c r="X36" s="2" t="s">
        <v>201</v>
      </c>
      <c r="Y36" s="2" t="s">
        <v>202</v>
      </c>
    </row>
    <row r="37" s="2" customFormat="1" spans="1:25">
      <c r="A37" s="19">
        <v>81434294</v>
      </c>
      <c r="B37" s="2" t="s">
        <v>195</v>
      </c>
      <c r="C37" s="2" t="s">
        <v>196</v>
      </c>
      <c r="D37" s="2" t="s">
        <v>197</v>
      </c>
      <c r="E37" s="2" t="s">
        <v>52</v>
      </c>
      <c r="F37" s="2" t="s">
        <v>53</v>
      </c>
      <c r="G37" s="7">
        <v>66</v>
      </c>
      <c r="H37" s="2" t="s">
        <v>198</v>
      </c>
      <c r="I37" s="2" t="s">
        <v>45</v>
      </c>
      <c r="J37" s="2" t="s">
        <v>207</v>
      </c>
      <c r="K37" s="2" t="s">
        <v>238</v>
      </c>
      <c r="L37" s="7">
        <v>150</v>
      </c>
      <c r="M37" s="7">
        <v>285</v>
      </c>
      <c r="N37" s="7">
        <v>150</v>
      </c>
      <c r="O37" s="2" t="s">
        <v>176</v>
      </c>
      <c r="P37" s="7">
        <v>1</v>
      </c>
      <c r="Q37" s="7">
        <v>1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2" t="s">
        <v>201</v>
      </c>
      <c r="X37" s="2" t="s">
        <v>201</v>
      </c>
      <c r="Y37" s="2" t="s">
        <v>202</v>
      </c>
    </row>
    <row r="38" s="2" customFormat="1" spans="1:25">
      <c r="A38" s="19">
        <v>81434285</v>
      </c>
      <c r="B38" s="2" t="s">
        <v>195</v>
      </c>
      <c r="C38" s="2" t="s">
        <v>196</v>
      </c>
      <c r="D38" s="2" t="s">
        <v>197</v>
      </c>
      <c r="E38" s="2" t="s">
        <v>52</v>
      </c>
      <c r="F38" s="2" t="s">
        <v>53</v>
      </c>
      <c r="G38" s="7">
        <v>66</v>
      </c>
      <c r="H38" s="2" t="s">
        <v>198</v>
      </c>
      <c r="I38" s="2" t="s">
        <v>45</v>
      </c>
      <c r="J38" s="2" t="s">
        <v>207</v>
      </c>
      <c r="K38" s="2" t="s">
        <v>239</v>
      </c>
      <c r="L38" s="7">
        <v>150</v>
      </c>
      <c r="M38" s="7">
        <v>285</v>
      </c>
      <c r="N38" s="7">
        <v>150</v>
      </c>
      <c r="O38" s="2" t="s">
        <v>176</v>
      </c>
      <c r="P38" s="7">
        <v>1</v>
      </c>
      <c r="Q38" s="7">
        <v>1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2" t="s">
        <v>201</v>
      </c>
      <c r="X38" s="2" t="s">
        <v>201</v>
      </c>
      <c r="Y38" s="2" t="s">
        <v>202</v>
      </c>
    </row>
    <row r="39" s="2" customFormat="1" spans="1:25">
      <c r="A39" s="19">
        <v>81434289</v>
      </c>
      <c r="B39" s="2" t="s">
        <v>195</v>
      </c>
      <c r="C39" s="2" t="s">
        <v>196</v>
      </c>
      <c r="D39" s="2" t="s">
        <v>197</v>
      </c>
      <c r="E39" s="2" t="s">
        <v>52</v>
      </c>
      <c r="F39" s="2" t="s">
        <v>53</v>
      </c>
      <c r="G39" s="7">
        <v>66</v>
      </c>
      <c r="H39" s="2" t="s">
        <v>198</v>
      </c>
      <c r="I39" s="2" t="s">
        <v>45</v>
      </c>
      <c r="J39" s="2" t="s">
        <v>207</v>
      </c>
      <c r="K39" s="2" t="s">
        <v>240</v>
      </c>
      <c r="L39" s="7">
        <v>150</v>
      </c>
      <c r="M39" s="7">
        <v>285</v>
      </c>
      <c r="N39" s="7">
        <v>150</v>
      </c>
      <c r="O39" s="2" t="s">
        <v>176</v>
      </c>
      <c r="P39" s="7">
        <v>1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2" t="s">
        <v>201</v>
      </c>
      <c r="X39" s="2" t="s">
        <v>201</v>
      </c>
      <c r="Y39" s="2" t="s">
        <v>202</v>
      </c>
    </row>
    <row r="40" s="2" customFormat="1" spans="1:25">
      <c r="A40" s="19">
        <v>81434280</v>
      </c>
      <c r="B40" s="2" t="s">
        <v>195</v>
      </c>
      <c r="C40" s="2" t="s">
        <v>196</v>
      </c>
      <c r="D40" s="2" t="s">
        <v>197</v>
      </c>
      <c r="E40" s="2" t="s">
        <v>52</v>
      </c>
      <c r="F40" s="2" t="s">
        <v>53</v>
      </c>
      <c r="G40" s="7">
        <v>66</v>
      </c>
      <c r="H40" s="2" t="s">
        <v>198</v>
      </c>
      <c r="I40" s="2" t="s">
        <v>45</v>
      </c>
      <c r="J40" s="2" t="s">
        <v>207</v>
      </c>
      <c r="K40" s="2" t="s">
        <v>145</v>
      </c>
      <c r="L40" s="7">
        <v>150</v>
      </c>
      <c r="M40" s="7">
        <v>285</v>
      </c>
      <c r="N40" s="7">
        <v>150</v>
      </c>
      <c r="O40" s="2" t="s">
        <v>176</v>
      </c>
      <c r="P40" s="7">
        <v>1</v>
      </c>
      <c r="Q40" s="7">
        <v>1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2" t="s">
        <v>201</v>
      </c>
      <c r="X40" s="2" t="s">
        <v>201</v>
      </c>
      <c r="Y40" s="2" t="s">
        <v>202</v>
      </c>
    </row>
    <row r="41" s="2" customFormat="1" spans="1:25">
      <c r="A41" s="19">
        <v>81434282</v>
      </c>
      <c r="B41" s="2" t="s">
        <v>195</v>
      </c>
      <c r="C41" s="2" t="s">
        <v>196</v>
      </c>
      <c r="D41" s="2" t="s">
        <v>197</v>
      </c>
      <c r="E41" s="2" t="s">
        <v>52</v>
      </c>
      <c r="F41" s="2" t="s">
        <v>53</v>
      </c>
      <c r="G41" s="7">
        <v>66</v>
      </c>
      <c r="H41" s="2" t="s">
        <v>198</v>
      </c>
      <c r="I41" s="2" t="s">
        <v>45</v>
      </c>
      <c r="J41" s="2" t="s">
        <v>207</v>
      </c>
      <c r="K41" s="2" t="s">
        <v>241</v>
      </c>
      <c r="L41" s="7">
        <v>150</v>
      </c>
      <c r="M41" s="7">
        <v>285</v>
      </c>
      <c r="N41" s="7">
        <v>150</v>
      </c>
      <c r="O41" s="2" t="s">
        <v>176</v>
      </c>
      <c r="P41" s="7">
        <v>1</v>
      </c>
      <c r="Q41" s="7">
        <v>1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2" t="s">
        <v>201</v>
      </c>
      <c r="X41" s="2" t="s">
        <v>201</v>
      </c>
      <c r="Y41" s="2" t="s">
        <v>202</v>
      </c>
    </row>
    <row r="42" s="2" customFormat="1" spans="1:25">
      <c r="A42" s="19">
        <v>81434273</v>
      </c>
      <c r="B42" s="2" t="s">
        <v>195</v>
      </c>
      <c r="C42" s="2" t="s">
        <v>196</v>
      </c>
      <c r="D42" s="2" t="s">
        <v>197</v>
      </c>
      <c r="E42" s="2" t="s">
        <v>52</v>
      </c>
      <c r="F42" s="2" t="s">
        <v>53</v>
      </c>
      <c r="G42" s="7">
        <v>66</v>
      </c>
      <c r="H42" s="2" t="s">
        <v>198</v>
      </c>
      <c r="I42" s="2" t="s">
        <v>45</v>
      </c>
      <c r="J42" s="2" t="s">
        <v>207</v>
      </c>
      <c r="K42" s="2" t="s">
        <v>242</v>
      </c>
      <c r="L42" s="7">
        <v>150</v>
      </c>
      <c r="M42" s="7">
        <v>285</v>
      </c>
      <c r="N42" s="7">
        <v>150</v>
      </c>
      <c r="O42" s="2" t="s">
        <v>176</v>
      </c>
      <c r="P42" s="7">
        <v>1</v>
      </c>
      <c r="Q42" s="7">
        <v>1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2" t="s">
        <v>201</v>
      </c>
      <c r="X42" s="2" t="s">
        <v>201</v>
      </c>
      <c r="Y42" s="2" t="s">
        <v>202</v>
      </c>
    </row>
    <row r="43" s="2" customFormat="1" spans="1:25">
      <c r="A43" s="19">
        <v>81434319</v>
      </c>
      <c r="B43" s="2" t="s">
        <v>195</v>
      </c>
      <c r="C43" s="2" t="s">
        <v>196</v>
      </c>
      <c r="D43" s="2" t="s">
        <v>197</v>
      </c>
      <c r="E43" s="2" t="s">
        <v>52</v>
      </c>
      <c r="F43" s="2" t="s">
        <v>53</v>
      </c>
      <c r="G43" s="7">
        <v>66</v>
      </c>
      <c r="H43" s="2" t="s">
        <v>198</v>
      </c>
      <c r="I43" s="2" t="s">
        <v>45</v>
      </c>
      <c r="J43" s="2" t="s">
        <v>205</v>
      </c>
      <c r="K43" s="2" t="s">
        <v>243</v>
      </c>
      <c r="L43" s="7">
        <v>150</v>
      </c>
      <c r="M43" s="7">
        <v>285</v>
      </c>
      <c r="N43" s="7">
        <v>150</v>
      </c>
      <c r="O43" s="2" t="s">
        <v>176</v>
      </c>
      <c r="P43" s="7">
        <v>1</v>
      </c>
      <c r="Q43" s="7">
        <v>1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2" t="s">
        <v>201</v>
      </c>
      <c r="X43" s="2" t="s">
        <v>201</v>
      </c>
      <c r="Y43" s="2" t="s">
        <v>202</v>
      </c>
    </row>
    <row r="44" s="2" customFormat="1" spans="1:25">
      <c r="A44" s="19">
        <v>81434311</v>
      </c>
      <c r="B44" s="2" t="s">
        <v>195</v>
      </c>
      <c r="C44" s="2" t="s">
        <v>196</v>
      </c>
      <c r="D44" s="2" t="s">
        <v>197</v>
      </c>
      <c r="E44" s="2" t="s">
        <v>52</v>
      </c>
      <c r="F44" s="2" t="s">
        <v>53</v>
      </c>
      <c r="G44" s="7">
        <v>66</v>
      </c>
      <c r="H44" s="2" t="s">
        <v>198</v>
      </c>
      <c r="I44" s="2" t="s">
        <v>45</v>
      </c>
      <c r="J44" s="2" t="s">
        <v>205</v>
      </c>
      <c r="K44" s="2" t="s">
        <v>244</v>
      </c>
      <c r="L44" s="7">
        <v>150</v>
      </c>
      <c r="M44" s="7">
        <v>285</v>
      </c>
      <c r="N44" s="7">
        <v>150</v>
      </c>
      <c r="O44" s="2" t="s">
        <v>176</v>
      </c>
      <c r="P44" s="7">
        <v>1</v>
      </c>
      <c r="Q44" s="7">
        <v>1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2" t="s">
        <v>201</v>
      </c>
      <c r="X44" s="2" t="s">
        <v>201</v>
      </c>
      <c r="Y44" s="2" t="s">
        <v>202</v>
      </c>
    </row>
    <row r="45" s="2" customFormat="1" spans="1:25">
      <c r="A45" s="19">
        <v>81434305</v>
      </c>
      <c r="B45" s="2" t="s">
        <v>195</v>
      </c>
      <c r="C45" s="2" t="s">
        <v>196</v>
      </c>
      <c r="D45" s="2" t="s">
        <v>197</v>
      </c>
      <c r="E45" s="2" t="s">
        <v>52</v>
      </c>
      <c r="F45" s="2" t="s">
        <v>53</v>
      </c>
      <c r="G45" s="7">
        <v>66</v>
      </c>
      <c r="H45" s="2" t="s">
        <v>198</v>
      </c>
      <c r="I45" s="2" t="s">
        <v>45</v>
      </c>
      <c r="J45" s="2" t="s">
        <v>205</v>
      </c>
      <c r="K45" s="2" t="s">
        <v>245</v>
      </c>
      <c r="L45" s="7">
        <v>150</v>
      </c>
      <c r="M45" s="7">
        <v>285</v>
      </c>
      <c r="N45" s="7">
        <v>150</v>
      </c>
      <c r="O45" s="2" t="s">
        <v>176</v>
      </c>
      <c r="P45" s="7">
        <v>1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2" t="s">
        <v>201</v>
      </c>
      <c r="X45" s="2" t="s">
        <v>201</v>
      </c>
      <c r="Y45" s="2" t="s">
        <v>202</v>
      </c>
    </row>
    <row r="46" s="2" customFormat="1" spans="1:25">
      <c r="A46" s="19">
        <v>81434307</v>
      </c>
      <c r="B46" s="2" t="s">
        <v>195</v>
      </c>
      <c r="C46" s="2" t="s">
        <v>196</v>
      </c>
      <c r="D46" s="2" t="s">
        <v>197</v>
      </c>
      <c r="E46" s="2" t="s">
        <v>52</v>
      </c>
      <c r="F46" s="2" t="s">
        <v>53</v>
      </c>
      <c r="G46" s="7">
        <v>66</v>
      </c>
      <c r="H46" s="2" t="s">
        <v>198</v>
      </c>
      <c r="I46" s="2" t="s">
        <v>45</v>
      </c>
      <c r="J46" s="2" t="s">
        <v>205</v>
      </c>
      <c r="K46" s="2" t="s">
        <v>246</v>
      </c>
      <c r="L46" s="7">
        <v>150</v>
      </c>
      <c r="M46" s="7">
        <v>285</v>
      </c>
      <c r="N46" s="7">
        <v>150</v>
      </c>
      <c r="O46" s="2" t="s">
        <v>176</v>
      </c>
      <c r="P46" s="7">
        <v>1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2" t="s">
        <v>201</v>
      </c>
      <c r="X46" s="2" t="s">
        <v>201</v>
      </c>
      <c r="Y46" s="2" t="s">
        <v>202</v>
      </c>
    </row>
    <row r="47" s="2" customFormat="1" spans="1:25">
      <c r="A47" s="19">
        <v>81434308</v>
      </c>
      <c r="B47" s="2" t="s">
        <v>195</v>
      </c>
      <c r="C47" s="2" t="s">
        <v>196</v>
      </c>
      <c r="D47" s="2" t="s">
        <v>197</v>
      </c>
      <c r="E47" s="2" t="s">
        <v>52</v>
      </c>
      <c r="F47" s="2" t="s">
        <v>53</v>
      </c>
      <c r="G47" s="7">
        <v>66</v>
      </c>
      <c r="H47" s="2" t="s">
        <v>198</v>
      </c>
      <c r="I47" s="2" t="s">
        <v>45</v>
      </c>
      <c r="J47" s="2" t="s">
        <v>205</v>
      </c>
      <c r="K47" s="2" t="s">
        <v>247</v>
      </c>
      <c r="L47" s="7">
        <v>150</v>
      </c>
      <c r="M47" s="7">
        <v>285</v>
      </c>
      <c r="N47" s="7">
        <v>150</v>
      </c>
      <c r="O47" s="2" t="s">
        <v>176</v>
      </c>
      <c r="P47" s="7">
        <v>1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2" t="s">
        <v>201</v>
      </c>
      <c r="X47" s="2" t="s">
        <v>201</v>
      </c>
      <c r="Y47" s="2" t="s">
        <v>202</v>
      </c>
    </row>
    <row r="48" s="2" customFormat="1" spans="1:25">
      <c r="A48" s="19">
        <v>81434297</v>
      </c>
      <c r="B48" s="2" t="s">
        <v>195</v>
      </c>
      <c r="C48" s="2" t="s">
        <v>196</v>
      </c>
      <c r="D48" s="2" t="s">
        <v>197</v>
      </c>
      <c r="E48" s="2" t="s">
        <v>52</v>
      </c>
      <c r="F48" s="2" t="s">
        <v>53</v>
      </c>
      <c r="G48" s="7">
        <v>66</v>
      </c>
      <c r="H48" s="2" t="s">
        <v>198</v>
      </c>
      <c r="I48" s="2" t="s">
        <v>45</v>
      </c>
      <c r="J48" s="2" t="s">
        <v>205</v>
      </c>
      <c r="K48" s="2" t="s">
        <v>248</v>
      </c>
      <c r="L48" s="7">
        <v>150</v>
      </c>
      <c r="M48" s="7">
        <v>285</v>
      </c>
      <c r="N48" s="7">
        <v>150</v>
      </c>
      <c r="O48" s="2" t="s">
        <v>176</v>
      </c>
      <c r="P48" s="7">
        <v>1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2" t="s">
        <v>201</v>
      </c>
      <c r="X48" s="2" t="s">
        <v>201</v>
      </c>
      <c r="Y48" s="2" t="s">
        <v>202</v>
      </c>
    </row>
    <row r="49" s="2" customFormat="1" spans="1:25">
      <c r="A49" s="19">
        <v>81434298</v>
      </c>
      <c r="B49" s="2" t="s">
        <v>195</v>
      </c>
      <c r="C49" s="2" t="s">
        <v>196</v>
      </c>
      <c r="D49" s="2" t="s">
        <v>197</v>
      </c>
      <c r="E49" s="2" t="s">
        <v>52</v>
      </c>
      <c r="F49" s="2" t="s">
        <v>53</v>
      </c>
      <c r="G49" s="7">
        <v>66</v>
      </c>
      <c r="H49" s="2" t="s">
        <v>198</v>
      </c>
      <c r="I49" s="2" t="s">
        <v>45</v>
      </c>
      <c r="J49" s="2" t="s">
        <v>205</v>
      </c>
      <c r="K49" s="2" t="s">
        <v>249</v>
      </c>
      <c r="L49" s="7">
        <v>150</v>
      </c>
      <c r="M49" s="7">
        <v>285</v>
      </c>
      <c r="N49" s="7">
        <v>150</v>
      </c>
      <c r="O49" s="2" t="s">
        <v>176</v>
      </c>
      <c r="P49" s="7">
        <v>1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2" t="s">
        <v>201</v>
      </c>
      <c r="X49" s="2" t="s">
        <v>201</v>
      </c>
      <c r="Y49" s="2" t="s">
        <v>202</v>
      </c>
    </row>
    <row r="50" s="2" customFormat="1" spans="1:25">
      <c r="A50" s="19">
        <v>81434299</v>
      </c>
      <c r="B50" s="2" t="s">
        <v>195</v>
      </c>
      <c r="C50" s="2" t="s">
        <v>196</v>
      </c>
      <c r="D50" s="2" t="s">
        <v>197</v>
      </c>
      <c r="E50" s="2" t="s">
        <v>52</v>
      </c>
      <c r="F50" s="2" t="s">
        <v>53</v>
      </c>
      <c r="G50" s="7">
        <v>66</v>
      </c>
      <c r="H50" s="2" t="s">
        <v>198</v>
      </c>
      <c r="I50" s="2" t="s">
        <v>45</v>
      </c>
      <c r="J50" s="2" t="s">
        <v>205</v>
      </c>
      <c r="K50" s="2" t="s">
        <v>250</v>
      </c>
      <c r="L50" s="7">
        <v>150</v>
      </c>
      <c r="M50" s="7">
        <v>285</v>
      </c>
      <c r="N50" s="7">
        <v>150</v>
      </c>
      <c r="O50" s="2" t="s">
        <v>176</v>
      </c>
      <c r="P50" s="7">
        <v>1</v>
      </c>
      <c r="Q50" s="7">
        <v>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2" t="s">
        <v>201</v>
      </c>
      <c r="X50" s="2" t="s">
        <v>201</v>
      </c>
      <c r="Y50" s="2" t="s">
        <v>202</v>
      </c>
    </row>
    <row r="51" s="2" customFormat="1" spans="1:25">
      <c r="A51" s="19">
        <v>81434300</v>
      </c>
      <c r="B51" s="2" t="s">
        <v>195</v>
      </c>
      <c r="C51" s="2" t="s">
        <v>196</v>
      </c>
      <c r="D51" s="2" t="s">
        <v>197</v>
      </c>
      <c r="E51" s="2" t="s">
        <v>52</v>
      </c>
      <c r="F51" s="2" t="s">
        <v>53</v>
      </c>
      <c r="G51" s="7">
        <v>66</v>
      </c>
      <c r="H51" s="2" t="s">
        <v>198</v>
      </c>
      <c r="I51" s="2" t="s">
        <v>45</v>
      </c>
      <c r="J51" s="2" t="s">
        <v>205</v>
      </c>
      <c r="K51" s="2" t="s">
        <v>251</v>
      </c>
      <c r="L51" s="7">
        <v>150</v>
      </c>
      <c r="M51" s="7">
        <v>285</v>
      </c>
      <c r="N51" s="7">
        <v>150</v>
      </c>
      <c r="O51" s="2" t="s">
        <v>176</v>
      </c>
      <c r="P51" s="7">
        <v>1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2" t="s">
        <v>201</v>
      </c>
      <c r="X51" s="2" t="s">
        <v>201</v>
      </c>
      <c r="Y51" s="2" t="s">
        <v>202</v>
      </c>
    </row>
    <row r="52" s="2" customFormat="1" spans="1:25">
      <c r="A52" s="19">
        <v>81434302</v>
      </c>
      <c r="B52" s="2" t="s">
        <v>195</v>
      </c>
      <c r="C52" s="2" t="s">
        <v>196</v>
      </c>
      <c r="D52" s="2" t="s">
        <v>197</v>
      </c>
      <c r="E52" s="2" t="s">
        <v>52</v>
      </c>
      <c r="F52" s="2" t="s">
        <v>53</v>
      </c>
      <c r="G52" s="7">
        <v>66</v>
      </c>
      <c r="H52" s="2" t="s">
        <v>198</v>
      </c>
      <c r="I52" s="2" t="s">
        <v>45</v>
      </c>
      <c r="J52" s="2" t="s">
        <v>205</v>
      </c>
      <c r="K52" s="2" t="s">
        <v>252</v>
      </c>
      <c r="L52" s="7">
        <v>150</v>
      </c>
      <c r="M52" s="7">
        <v>285</v>
      </c>
      <c r="N52" s="7">
        <v>150</v>
      </c>
      <c r="O52" s="2" t="s">
        <v>176</v>
      </c>
      <c r="P52" s="7">
        <v>1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2" t="s">
        <v>201</v>
      </c>
      <c r="X52" s="2" t="s">
        <v>201</v>
      </c>
      <c r="Y52" s="2" t="s">
        <v>202</v>
      </c>
    </row>
    <row r="53" s="2" customFormat="1" spans="1:25">
      <c r="A53" s="19">
        <v>81434291</v>
      </c>
      <c r="B53" s="2" t="s">
        <v>195</v>
      </c>
      <c r="C53" s="2" t="s">
        <v>196</v>
      </c>
      <c r="D53" s="2" t="s">
        <v>197</v>
      </c>
      <c r="E53" s="2" t="s">
        <v>52</v>
      </c>
      <c r="F53" s="2" t="s">
        <v>53</v>
      </c>
      <c r="G53" s="7">
        <v>66</v>
      </c>
      <c r="H53" s="2" t="s">
        <v>198</v>
      </c>
      <c r="I53" s="2" t="s">
        <v>45</v>
      </c>
      <c r="J53" s="2" t="s">
        <v>205</v>
      </c>
      <c r="K53" s="2" t="s">
        <v>253</v>
      </c>
      <c r="L53" s="7">
        <v>150</v>
      </c>
      <c r="M53" s="7">
        <v>285</v>
      </c>
      <c r="N53" s="7">
        <v>150</v>
      </c>
      <c r="O53" s="2" t="s">
        <v>176</v>
      </c>
      <c r="P53" s="7">
        <v>1</v>
      </c>
      <c r="Q53" s="7">
        <v>1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2" t="s">
        <v>201</v>
      </c>
      <c r="X53" s="2" t="s">
        <v>201</v>
      </c>
      <c r="Y53" s="2" t="s">
        <v>202</v>
      </c>
    </row>
    <row r="54" s="2" customFormat="1" spans="1:25">
      <c r="A54" s="19">
        <v>81434293</v>
      </c>
      <c r="B54" s="2" t="s">
        <v>195</v>
      </c>
      <c r="C54" s="2" t="s">
        <v>196</v>
      </c>
      <c r="D54" s="2" t="s">
        <v>197</v>
      </c>
      <c r="E54" s="2" t="s">
        <v>52</v>
      </c>
      <c r="F54" s="2" t="s">
        <v>53</v>
      </c>
      <c r="G54" s="7">
        <v>66</v>
      </c>
      <c r="H54" s="2" t="s">
        <v>198</v>
      </c>
      <c r="I54" s="2" t="s">
        <v>45</v>
      </c>
      <c r="J54" s="2" t="s">
        <v>205</v>
      </c>
      <c r="K54" s="2" t="s">
        <v>254</v>
      </c>
      <c r="L54" s="7">
        <v>150</v>
      </c>
      <c r="M54" s="7">
        <v>285</v>
      </c>
      <c r="N54" s="7">
        <v>150</v>
      </c>
      <c r="O54" s="2" t="s">
        <v>176</v>
      </c>
      <c r="P54" s="7">
        <v>1</v>
      </c>
      <c r="Q54" s="7">
        <v>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2" t="s">
        <v>201</v>
      </c>
      <c r="X54" s="2" t="s">
        <v>201</v>
      </c>
      <c r="Y54" s="2" t="s">
        <v>202</v>
      </c>
    </row>
    <row r="55" s="2" customFormat="1" spans="1:25">
      <c r="A55" s="19">
        <v>81434296</v>
      </c>
      <c r="B55" s="2" t="s">
        <v>195</v>
      </c>
      <c r="C55" s="2" t="s">
        <v>196</v>
      </c>
      <c r="D55" s="2" t="s">
        <v>197</v>
      </c>
      <c r="E55" s="2" t="s">
        <v>52</v>
      </c>
      <c r="F55" s="2" t="s">
        <v>53</v>
      </c>
      <c r="G55" s="7">
        <v>66</v>
      </c>
      <c r="H55" s="2" t="s">
        <v>198</v>
      </c>
      <c r="I55" s="2" t="s">
        <v>45</v>
      </c>
      <c r="J55" s="2" t="s">
        <v>205</v>
      </c>
      <c r="K55" s="2" t="s">
        <v>255</v>
      </c>
      <c r="L55" s="7">
        <v>150</v>
      </c>
      <c r="M55" s="7">
        <v>285</v>
      </c>
      <c r="N55" s="7">
        <v>150</v>
      </c>
      <c r="O55" s="2" t="s">
        <v>176</v>
      </c>
      <c r="P55" s="7">
        <v>1</v>
      </c>
      <c r="Q55" s="7">
        <v>1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2" t="s">
        <v>201</v>
      </c>
      <c r="X55" s="2" t="s">
        <v>201</v>
      </c>
      <c r="Y55" s="2" t="s">
        <v>202</v>
      </c>
    </row>
    <row r="56" s="2" customFormat="1" spans="1:25">
      <c r="A56" s="19">
        <v>81434288</v>
      </c>
      <c r="B56" s="2" t="s">
        <v>195</v>
      </c>
      <c r="C56" s="2" t="s">
        <v>196</v>
      </c>
      <c r="D56" s="2" t="s">
        <v>197</v>
      </c>
      <c r="E56" s="2" t="s">
        <v>52</v>
      </c>
      <c r="F56" s="2" t="s">
        <v>53</v>
      </c>
      <c r="G56" s="7">
        <v>66</v>
      </c>
      <c r="H56" s="2" t="s">
        <v>198</v>
      </c>
      <c r="I56" s="2" t="s">
        <v>45</v>
      </c>
      <c r="J56" s="2" t="s">
        <v>205</v>
      </c>
      <c r="K56" s="2" t="s">
        <v>256</v>
      </c>
      <c r="L56" s="7">
        <v>150</v>
      </c>
      <c r="M56" s="7">
        <v>285</v>
      </c>
      <c r="N56" s="7">
        <v>150</v>
      </c>
      <c r="O56" s="2" t="s">
        <v>176</v>
      </c>
      <c r="P56" s="7">
        <v>1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2" t="s">
        <v>201</v>
      </c>
      <c r="X56" s="2" t="s">
        <v>201</v>
      </c>
      <c r="Y56" s="2" t="s">
        <v>202</v>
      </c>
    </row>
    <row r="57" s="2" customFormat="1" spans="1:25">
      <c r="A57" s="19">
        <v>81434290</v>
      </c>
      <c r="B57" s="2" t="s">
        <v>195</v>
      </c>
      <c r="C57" s="2" t="s">
        <v>196</v>
      </c>
      <c r="D57" s="2" t="s">
        <v>197</v>
      </c>
      <c r="E57" s="2" t="s">
        <v>52</v>
      </c>
      <c r="F57" s="2" t="s">
        <v>53</v>
      </c>
      <c r="G57" s="7">
        <v>66</v>
      </c>
      <c r="H57" s="2" t="s">
        <v>198</v>
      </c>
      <c r="I57" s="2" t="s">
        <v>45</v>
      </c>
      <c r="J57" s="2" t="s">
        <v>205</v>
      </c>
      <c r="K57" s="2" t="s">
        <v>257</v>
      </c>
      <c r="L57" s="7">
        <v>150</v>
      </c>
      <c r="M57" s="7">
        <v>285</v>
      </c>
      <c r="N57" s="7">
        <v>150</v>
      </c>
      <c r="O57" s="2" t="s">
        <v>176</v>
      </c>
      <c r="P57" s="7">
        <v>1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2" t="s">
        <v>201</v>
      </c>
      <c r="X57" s="2" t="s">
        <v>201</v>
      </c>
      <c r="Y57" s="2" t="s">
        <v>202</v>
      </c>
    </row>
    <row r="58" s="2" customFormat="1" spans="1:25">
      <c r="A58" s="19">
        <v>81434279</v>
      </c>
      <c r="B58" s="2" t="s">
        <v>195</v>
      </c>
      <c r="C58" s="2" t="s">
        <v>196</v>
      </c>
      <c r="D58" s="2" t="s">
        <v>197</v>
      </c>
      <c r="E58" s="2" t="s">
        <v>52</v>
      </c>
      <c r="F58" s="2" t="s">
        <v>53</v>
      </c>
      <c r="G58" s="7">
        <v>66</v>
      </c>
      <c r="H58" s="2" t="s">
        <v>198</v>
      </c>
      <c r="I58" s="2" t="s">
        <v>45</v>
      </c>
      <c r="J58" s="2" t="s">
        <v>205</v>
      </c>
      <c r="K58" s="2" t="s">
        <v>258</v>
      </c>
      <c r="L58" s="7">
        <v>150</v>
      </c>
      <c r="M58" s="7">
        <v>285</v>
      </c>
      <c r="N58" s="7">
        <v>150</v>
      </c>
      <c r="O58" s="2" t="s">
        <v>176</v>
      </c>
      <c r="P58" s="7">
        <v>1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2" t="s">
        <v>201</v>
      </c>
      <c r="X58" s="2" t="s">
        <v>201</v>
      </c>
      <c r="Y58" s="2" t="s">
        <v>202</v>
      </c>
    </row>
    <row r="59" s="2" customFormat="1" spans="1:25">
      <c r="A59" s="19">
        <v>81434281</v>
      </c>
      <c r="B59" s="2" t="s">
        <v>195</v>
      </c>
      <c r="C59" s="2" t="s">
        <v>196</v>
      </c>
      <c r="D59" s="2" t="s">
        <v>197</v>
      </c>
      <c r="E59" s="2" t="s">
        <v>52</v>
      </c>
      <c r="F59" s="2" t="s">
        <v>53</v>
      </c>
      <c r="G59" s="7">
        <v>66</v>
      </c>
      <c r="H59" s="2" t="s">
        <v>198</v>
      </c>
      <c r="I59" s="2" t="s">
        <v>45</v>
      </c>
      <c r="J59" s="2" t="s">
        <v>205</v>
      </c>
      <c r="K59" s="2" t="s">
        <v>259</v>
      </c>
      <c r="L59" s="7">
        <v>150</v>
      </c>
      <c r="M59" s="7">
        <v>285</v>
      </c>
      <c r="N59" s="7">
        <v>150</v>
      </c>
      <c r="O59" s="2" t="s">
        <v>176</v>
      </c>
      <c r="P59" s="7">
        <v>1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2" t="s">
        <v>201</v>
      </c>
      <c r="X59" s="2" t="s">
        <v>201</v>
      </c>
      <c r="Y59" s="2" t="s">
        <v>202</v>
      </c>
    </row>
    <row r="60" s="2" customFormat="1" spans="1:25">
      <c r="A60" s="19">
        <v>81434286</v>
      </c>
      <c r="B60" s="2" t="s">
        <v>195</v>
      </c>
      <c r="C60" s="2" t="s">
        <v>196</v>
      </c>
      <c r="D60" s="2" t="s">
        <v>197</v>
      </c>
      <c r="E60" s="2" t="s">
        <v>52</v>
      </c>
      <c r="F60" s="2" t="s">
        <v>53</v>
      </c>
      <c r="G60" s="7">
        <v>68</v>
      </c>
      <c r="H60" s="2" t="s">
        <v>198</v>
      </c>
      <c r="I60" s="2" t="s">
        <v>45</v>
      </c>
      <c r="J60" s="2" t="s">
        <v>199</v>
      </c>
      <c r="K60" s="2" t="s">
        <v>260</v>
      </c>
      <c r="L60" s="7">
        <v>150</v>
      </c>
      <c r="M60" s="7">
        <v>285</v>
      </c>
      <c r="N60" s="7">
        <v>150</v>
      </c>
      <c r="O60" s="2" t="s">
        <v>176</v>
      </c>
      <c r="P60" s="7">
        <v>1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2" t="s">
        <v>201</v>
      </c>
      <c r="X60" s="2" t="s">
        <v>201</v>
      </c>
      <c r="Y60" s="2" t="s">
        <v>202</v>
      </c>
    </row>
    <row r="61" s="2" customFormat="1" spans="1:25">
      <c r="A61" s="19">
        <v>81434313</v>
      </c>
      <c r="B61" s="2" t="s">
        <v>195</v>
      </c>
      <c r="C61" s="2" t="s">
        <v>196</v>
      </c>
      <c r="D61" s="2" t="s">
        <v>197</v>
      </c>
      <c r="E61" s="2" t="s">
        <v>52</v>
      </c>
      <c r="F61" s="2" t="s">
        <v>53</v>
      </c>
      <c r="G61" s="7">
        <v>72</v>
      </c>
      <c r="H61" s="2" t="s">
        <v>198</v>
      </c>
      <c r="I61" s="2" t="s">
        <v>45</v>
      </c>
      <c r="J61" s="2" t="s">
        <v>207</v>
      </c>
      <c r="K61" s="2" t="s">
        <v>261</v>
      </c>
      <c r="L61" s="7">
        <v>150</v>
      </c>
      <c r="M61" s="7">
        <v>285</v>
      </c>
      <c r="N61" s="7">
        <v>150</v>
      </c>
      <c r="O61" s="2" t="s">
        <v>176</v>
      </c>
      <c r="P61" s="7">
        <v>1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2" t="s">
        <v>201</v>
      </c>
      <c r="X61" s="2" t="s">
        <v>201</v>
      </c>
      <c r="Y61" s="2" t="s">
        <v>202</v>
      </c>
    </row>
    <row r="62" s="2" customFormat="1" spans="1:25">
      <c r="A62" s="19">
        <v>81434315</v>
      </c>
      <c r="B62" s="2" t="s">
        <v>195</v>
      </c>
      <c r="C62" s="2" t="s">
        <v>196</v>
      </c>
      <c r="D62" s="2" t="s">
        <v>197</v>
      </c>
      <c r="E62" s="2" t="s">
        <v>52</v>
      </c>
      <c r="F62" s="2" t="s">
        <v>53</v>
      </c>
      <c r="G62" s="7">
        <v>72</v>
      </c>
      <c r="H62" s="2" t="s">
        <v>198</v>
      </c>
      <c r="I62" s="2" t="s">
        <v>45</v>
      </c>
      <c r="J62" s="2" t="s">
        <v>199</v>
      </c>
      <c r="K62" s="2" t="s">
        <v>262</v>
      </c>
      <c r="L62" s="7">
        <v>150</v>
      </c>
      <c r="M62" s="7">
        <v>285</v>
      </c>
      <c r="N62" s="7">
        <v>150</v>
      </c>
      <c r="O62" s="2" t="s">
        <v>176</v>
      </c>
      <c r="P62" s="7">
        <v>1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2" t="s">
        <v>201</v>
      </c>
      <c r="X62" s="2" t="s">
        <v>201</v>
      </c>
      <c r="Y62" s="2" t="s">
        <v>202</v>
      </c>
    </row>
    <row r="63" s="2" customFormat="1" spans="1:25">
      <c r="A63" s="19">
        <v>81434316</v>
      </c>
      <c r="B63" s="2" t="s">
        <v>195</v>
      </c>
      <c r="C63" s="2" t="s">
        <v>196</v>
      </c>
      <c r="D63" s="2" t="s">
        <v>197</v>
      </c>
      <c r="E63" s="2" t="s">
        <v>52</v>
      </c>
      <c r="F63" s="2" t="s">
        <v>53</v>
      </c>
      <c r="G63" s="7">
        <v>72</v>
      </c>
      <c r="H63" s="2" t="s">
        <v>198</v>
      </c>
      <c r="I63" s="2" t="s">
        <v>45</v>
      </c>
      <c r="J63" s="2" t="s">
        <v>199</v>
      </c>
      <c r="K63" s="2" t="s">
        <v>263</v>
      </c>
      <c r="L63" s="7">
        <v>150</v>
      </c>
      <c r="M63" s="7">
        <v>285</v>
      </c>
      <c r="N63" s="7">
        <v>150</v>
      </c>
      <c r="O63" s="2" t="s">
        <v>176</v>
      </c>
      <c r="P63" s="7">
        <v>1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2" t="s">
        <v>201</v>
      </c>
      <c r="X63" s="2" t="s">
        <v>201</v>
      </c>
      <c r="Y63" s="2" t="s">
        <v>202</v>
      </c>
    </row>
    <row r="64" s="2" customFormat="1" spans="1:25">
      <c r="A64" s="19">
        <v>81434317</v>
      </c>
      <c r="B64" s="2" t="s">
        <v>195</v>
      </c>
      <c r="C64" s="2" t="s">
        <v>196</v>
      </c>
      <c r="D64" s="2" t="s">
        <v>197</v>
      </c>
      <c r="E64" s="2" t="s">
        <v>52</v>
      </c>
      <c r="F64" s="2" t="s">
        <v>53</v>
      </c>
      <c r="G64" s="7">
        <v>72</v>
      </c>
      <c r="H64" s="2" t="s">
        <v>198</v>
      </c>
      <c r="I64" s="2" t="s">
        <v>45</v>
      </c>
      <c r="J64" s="2" t="s">
        <v>199</v>
      </c>
      <c r="K64" s="2" t="s">
        <v>264</v>
      </c>
      <c r="L64" s="7">
        <v>150</v>
      </c>
      <c r="M64" s="7">
        <v>285</v>
      </c>
      <c r="N64" s="7">
        <v>150</v>
      </c>
      <c r="O64" s="2" t="s">
        <v>176</v>
      </c>
      <c r="P64" s="7">
        <v>1</v>
      </c>
      <c r="Q64" s="7">
        <v>1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2" t="s">
        <v>201</v>
      </c>
      <c r="X64" s="2" t="s">
        <v>201</v>
      </c>
      <c r="Y64" s="2" t="s">
        <v>202</v>
      </c>
    </row>
    <row r="65" s="2" customFormat="1" spans="1:25">
      <c r="A65" s="19">
        <v>81434318</v>
      </c>
      <c r="B65" s="2" t="s">
        <v>195</v>
      </c>
      <c r="C65" s="2" t="s">
        <v>196</v>
      </c>
      <c r="D65" s="2" t="s">
        <v>197</v>
      </c>
      <c r="E65" s="2" t="s">
        <v>52</v>
      </c>
      <c r="F65" s="2" t="s">
        <v>53</v>
      </c>
      <c r="G65" s="7">
        <v>72</v>
      </c>
      <c r="H65" s="2" t="s">
        <v>198</v>
      </c>
      <c r="I65" s="2" t="s">
        <v>45</v>
      </c>
      <c r="J65" s="2" t="s">
        <v>199</v>
      </c>
      <c r="K65" s="2" t="s">
        <v>265</v>
      </c>
      <c r="L65" s="7">
        <v>150</v>
      </c>
      <c r="M65" s="7">
        <v>285</v>
      </c>
      <c r="N65" s="7">
        <v>150</v>
      </c>
      <c r="O65" s="2" t="s">
        <v>176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2" t="s">
        <v>201</v>
      </c>
      <c r="X65" s="2" t="s">
        <v>201</v>
      </c>
      <c r="Y65" s="2" t="s">
        <v>202</v>
      </c>
    </row>
    <row r="66" s="2" customFormat="1" spans="1:25">
      <c r="A66" s="19">
        <v>81434309</v>
      </c>
      <c r="B66" s="2" t="s">
        <v>195</v>
      </c>
      <c r="C66" s="2" t="s">
        <v>196</v>
      </c>
      <c r="D66" s="2" t="s">
        <v>197</v>
      </c>
      <c r="E66" s="2" t="s">
        <v>52</v>
      </c>
      <c r="F66" s="2" t="s">
        <v>53</v>
      </c>
      <c r="G66" s="7">
        <v>72</v>
      </c>
      <c r="H66" s="2" t="s">
        <v>198</v>
      </c>
      <c r="I66" s="2" t="s">
        <v>45</v>
      </c>
      <c r="J66" s="2" t="s">
        <v>199</v>
      </c>
      <c r="K66" s="2" t="s">
        <v>266</v>
      </c>
      <c r="L66" s="7">
        <v>150</v>
      </c>
      <c r="M66" s="7">
        <v>285</v>
      </c>
      <c r="N66" s="7">
        <v>150</v>
      </c>
      <c r="O66" s="2" t="s">
        <v>176</v>
      </c>
      <c r="P66" s="7">
        <v>1</v>
      </c>
      <c r="Q66" s="7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2" t="s">
        <v>201</v>
      </c>
      <c r="X66" s="2" t="s">
        <v>201</v>
      </c>
      <c r="Y66" s="2" t="s">
        <v>202</v>
      </c>
    </row>
    <row r="67" s="2" customFormat="1" spans="1:25">
      <c r="A67" s="19">
        <v>81434312</v>
      </c>
      <c r="B67" s="2" t="s">
        <v>195</v>
      </c>
      <c r="C67" s="2" t="s">
        <v>196</v>
      </c>
      <c r="D67" s="2" t="s">
        <v>197</v>
      </c>
      <c r="E67" s="2" t="s">
        <v>52</v>
      </c>
      <c r="F67" s="2" t="s">
        <v>53</v>
      </c>
      <c r="G67" s="7">
        <v>72</v>
      </c>
      <c r="H67" s="2" t="s">
        <v>198</v>
      </c>
      <c r="I67" s="2" t="s">
        <v>45</v>
      </c>
      <c r="J67" s="2" t="s">
        <v>199</v>
      </c>
      <c r="K67" s="2" t="s">
        <v>267</v>
      </c>
      <c r="L67" s="7">
        <v>150</v>
      </c>
      <c r="M67" s="7">
        <v>285</v>
      </c>
      <c r="N67" s="7">
        <v>150</v>
      </c>
      <c r="O67" s="2" t="s">
        <v>176</v>
      </c>
      <c r="P67" s="7">
        <v>1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2" t="s">
        <v>201</v>
      </c>
      <c r="X67" s="2" t="s">
        <v>201</v>
      </c>
      <c r="Y67" s="2" t="s">
        <v>202</v>
      </c>
    </row>
    <row r="68" s="2" customFormat="1" spans="1:25">
      <c r="A68" s="19">
        <v>81434303</v>
      </c>
      <c r="B68" s="2" t="s">
        <v>195</v>
      </c>
      <c r="C68" s="2" t="s">
        <v>196</v>
      </c>
      <c r="D68" s="2" t="s">
        <v>197</v>
      </c>
      <c r="E68" s="2" t="s">
        <v>52</v>
      </c>
      <c r="F68" s="2" t="s">
        <v>53</v>
      </c>
      <c r="G68" s="7">
        <v>72</v>
      </c>
      <c r="H68" s="2" t="s">
        <v>198</v>
      </c>
      <c r="I68" s="2" t="s">
        <v>45</v>
      </c>
      <c r="J68" s="2" t="s">
        <v>199</v>
      </c>
      <c r="K68" s="2" t="s">
        <v>268</v>
      </c>
      <c r="L68" s="7">
        <v>150</v>
      </c>
      <c r="M68" s="7">
        <v>285</v>
      </c>
      <c r="N68" s="7">
        <v>150</v>
      </c>
      <c r="O68" s="2" t="s">
        <v>176</v>
      </c>
      <c r="P68" s="7">
        <v>1</v>
      </c>
      <c r="Q68" s="7">
        <v>1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2" t="s">
        <v>201</v>
      </c>
      <c r="X68" s="2" t="s">
        <v>201</v>
      </c>
      <c r="Y68" s="2" t="s">
        <v>202</v>
      </c>
    </row>
    <row r="69" s="2" customFormat="1" spans="1:25">
      <c r="A69" s="19">
        <v>81434304</v>
      </c>
      <c r="B69" s="2" t="s">
        <v>195</v>
      </c>
      <c r="C69" s="2" t="s">
        <v>196</v>
      </c>
      <c r="D69" s="2" t="s">
        <v>197</v>
      </c>
      <c r="E69" s="2" t="s">
        <v>52</v>
      </c>
      <c r="F69" s="2" t="s">
        <v>53</v>
      </c>
      <c r="G69" s="7">
        <v>72</v>
      </c>
      <c r="H69" s="2" t="s">
        <v>198</v>
      </c>
      <c r="I69" s="2" t="s">
        <v>45</v>
      </c>
      <c r="J69" s="2" t="s">
        <v>199</v>
      </c>
      <c r="K69" s="2" t="s">
        <v>269</v>
      </c>
      <c r="L69" s="7">
        <v>150</v>
      </c>
      <c r="M69" s="7">
        <v>285</v>
      </c>
      <c r="N69" s="7">
        <v>150</v>
      </c>
      <c r="O69" s="2" t="s">
        <v>176</v>
      </c>
      <c r="P69" s="7">
        <v>1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2" t="s">
        <v>201</v>
      </c>
      <c r="X69" s="2" t="s">
        <v>201</v>
      </c>
      <c r="Y69" s="2" t="s">
        <v>202</v>
      </c>
    </row>
    <row r="70" s="2" customFormat="1" spans="1:25">
      <c r="A70" s="19">
        <v>81434292</v>
      </c>
      <c r="B70" s="2" t="s">
        <v>195</v>
      </c>
      <c r="C70" s="2" t="s">
        <v>196</v>
      </c>
      <c r="D70" s="2" t="s">
        <v>197</v>
      </c>
      <c r="E70" s="2" t="s">
        <v>52</v>
      </c>
      <c r="F70" s="2" t="s">
        <v>53</v>
      </c>
      <c r="G70" s="7">
        <v>72</v>
      </c>
      <c r="H70" s="2" t="s">
        <v>198</v>
      </c>
      <c r="I70" s="2" t="s">
        <v>45</v>
      </c>
      <c r="J70" s="2" t="s">
        <v>199</v>
      </c>
      <c r="K70" s="2" t="s">
        <v>270</v>
      </c>
      <c r="L70" s="7">
        <v>150</v>
      </c>
      <c r="M70" s="7">
        <v>285</v>
      </c>
      <c r="N70" s="7">
        <v>150</v>
      </c>
      <c r="O70" s="2" t="s">
        <v>176</v>
      </c>
      <c r="P70" s="7">
        <v>1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2" t="s">
        <v>201</v>
      </c>
      <c r="X70" s="2" t="s">
        <v>201</v>
      </c>
      <c r="Y70" s="2" t="s">
        <v>202</v>
      </c>
    </row>
    <row r="71" s="2" customFormat="1" spans="1:25">
      <c r="A71" s="19">
        <v>81434287</v>
      </c>
      <c r="B71" s="2" t="s">
        <v>195</v>
      </c>
      <c r="C71" s="2" t="s">
        <v>196</v>
      </c>
      <c r="D71" s="2" t="s">
        <v>197</v>
      </c>
      <c r="E71" s="2" t="s">
        <v>52</v>
      </c>
      <c r="F71" s="2" t="s">
        <v>53</v>
      </c>
      <c r="G71" s="7">
        <v>72</v>
      </c>
      <c r="H71" s="2" t="s">
        <v>198</v>
      </c>
      <c r="I71" s="2" t="s">
        <v>45</v>
      </c>
      <c r="J71" s="2" t="s">
        <v>199</v>
      </c>
      <c r="K71" s="2" t="s">
        <v>271</v>
      </c>
      <c r="L71" s="7">
        <v>150</v>
      </c>
      <c r="M71" s="7">
        <v>285</v>
      </c>
      <c r="N71" s="7">
        <v>150</v>
      </c>
      <c r="O71" s="2" t="s">
        <v>176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2" t="s">
        <v>201</v>
      </c>
      <c r="X71" s="2" t="s">
        <v>201</v>
      </c>
      <c r="Y71" s="2" t="s">
        <v>202</v>
      </c>
    </row>
    <row r="72" s="2" customFormat="1" spans="1:25">
      <c r="A72" s="19">
        <v>81434283</v>
      </c>
      <c r="B72" s="2" t="s">
        <v>195</v>
      </c>
      <c r="C72" s="2" t="s">
        <v>196</v>
      </c>
      <c r="D72" s="2" t="s">
        <v>197</v>
      </c>
      <c r="E72" s="2" t="s">
        <v>52</v>
      </c>
      <c r="F72" s="2" t="s">
        <v>53</v>
      </c>
      <c r="G72" s="7">
        <v>72</v>
      </c>
      <c r="H72" s="2" t="s">
        <v>198</v>
      </c>
      <c r="I72" s="2" t="s">
        <v>45</v>
      </c>
      <c r="J72" s="2" t="s">
        <v>199</v>
      </c>
      <c r="K72" s="2" t="s">
        <v>272</v>
      </c>
      <c r="L72" s="7">
        <v>150</v>
      </c>
      <c r="M72" s="7">
        <v>285</v>
      </c>
      <c r="N72" s="7">
        <v>150</v>
      </c>
      <c r="O72" s="2" t="s">
        <v>176</v>
      </c>
      <c r="P72" s="7">
        <v>1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2" t="s">
        <v>201</v>
      </c>
      <c r="X72" s="2" t="s">
        <v>201</v>
      </c>
      <c r="Y72" s="2" t="s">
        <v>202</v>
      </c>
    </row>
    <row r="73" s="2" customFormat="1" spans="1:25">
      <c r="A73" s="19">
        <v>81434284</v>
      </c>
      <c r="B73" s="2" t="s">
        <v>195</v>
      </c>
      <c r="C73" s="2" t="s">
        <v>196</v>
      </c>
      <c r="D73" s="2" t="s">
        <v>197</v>
      </c>
      <c r="E73" s="2" t="s">
        <v>52</v>
      </c>
      <c r="F73" s="2" t="s">
        <v>53</v>
      </c>
      <c r="G73" s="7">
        <v>72</v>
      </c>
      <c r="H73" s="2" t="s">
        <v>198</v>
      </c>
      <c r="I73" s="2" t="s">
        <v>45</v>
      </c>
      <c r="J73" s="2" t="s">
        <v>199</v>
      </c>
      <c r="K73" s="2" t="s">
        <v>273</v>
      </c>
      <c r="L73" s="7">
        <v>150</v>
      </c>
      <c r="M73" s="7">
        <v>285</v>
      </c>
      <c r="N73" s="7">
        <v>150</v>
      </c>
      <c r="O73" s="2" t="s">
        <v>176</v>
      </c>
      <c r="P73" s="7">
        <v>1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2" t="s">
        <v>201</v>
      </c>
      <c r="X73" s="2" t="s">
        <v>201</v>
      </c>
      <c r="Y73" s="2" t="s">
        <v>202</v>
      </c>
    </row>
    <row r="74" s="2" customFormat="1" spans="1:25">
      <c r="A74" s="19">
        <v>81434274</v>
      </c>
      <c r="B74" s="2" t="s">
        <v>195</v>
      </c>
      <c r="C74" s="2" t="s">
        <v>196</v>
      </c>
      <c r="D74" s="2" t="s">
        <v>197</v>
      </c>
      <c r="E74" s="2" t="s">
        <v>52</v>
      </c>
      <c r="F74" s="2" t="s">
        <v>53</v>
      </c>
      <c r="G74" s="7">
        <v>72</v>
      </c>
      <c r="H74" s="2" t="s">
        <v>198</v>
      </c>
      <c r="I74" s="2" t="s">
        <v>45</v>
      </c>
      <c r="J74" s="2" t="s">
        <v>199</v>
      </c>
      <c r="K74" s="2" t="s">
        <v>274</v>
      </c>
      <c r="L74" s="7">
        <v>150</v>
      </c>
      <c r="M74" s="7">
        <v>285</v>
      </c>
      <c r="N74" s="7">
        <v>150</v>
      </c>
      <c r="O74" s="2" t="s">
        <v>176</v>
      </c>
      <c r="P74" s="7">
        <v>1</v>
      </c>
      <c r="Q74" s="7">
        <v>1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2" t="s">
        <v>201</v>
      </c>
      <c r="X74" s="2" t="s">
        <v>201</v>
      </c>
      <c r="Y74" s="2" t="s">
        <v>202</v>
      </c>
    </row>
    <row r="75" s="2" customFormat="1" spans="1:25">
      <c r="A75" s="19">
        <v>81434275</v>
      </c>
      <c r="B75" s="2" t="s">
        <v>195</v>
      </c>
      <c r="C75" s="2" t="s">
        <v>196</v>
      </c>
      <c r="D75" s="2" t="s">
        <v>197</v>
      </c>
      <c r="E75" s="2" t="s">
        <v>52</v>
      </c>
      <c r="F75" s="2" t="s">
        <v>53</v>
      </c>
      <c r="G75" s="7">
        <v>72</v>
      </c>
      <c r="H75" s="2" t="s">
        <v>198</v>
      </c>
      <c r="I75" s="2" t="s">
        <v>45</v>
      </c>
      <c r="J75" s="2" t="s">
        <v>199</v>
      </c>
      <c r="K75" s="2" t="s">
        <v>275</v>
      </c>
      <c r="L75" s="7">
        <v>150</v>
      </c>
      <c r="M75" s="7">
        <v>285</v>
      </c>
      <c r="N75" s="7">
        <v>150</v>
      </c>
      <c r="O75" s="2" t="s">
        <v>176</v>
      </c>
      <c r="P75" s="7">
        <v>1</v>
      </c>
      <c r="Q75" s="7">
        <v>1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2" t="s">
        <v>201</v>
      </c>
      <c r="X75" s="2" t="s">
        <v>201</v>
      </c>
      <c r="Y75" s="2" t="s">
        <v>202</v>
      </c>
    </row>
    <row r="76" s="2" customFormat="1" spans="1:25">
      <c r="A76" s="19">
        <v>81434278</v>
      </c>
      <c r="B76" s="2" t="s">
        <v>195</v>
      </c>
      <c r="C76" s="2" t="s">
        <v>196</v>
      </c>
      <c r="D76" s="2" t="s">
        <v>197</v>
      </c>
      <c r="E76" s="2" t="s">
        <v>52</v>
      </c>
      <c r="F76" s="2" t="s">
        <v>53</v>
      </c>
      <c r="G76" s="7">
        <v>72</v>
      </c>
      <c r="H76" s="2" t="s">
        <v>198</v>
      </c>
      <c r="I76" s="2" t="s">
        <v>45</v>
      </c>
      <c r="J76" s="2" t="s">
        <v>199</v>
      </c>
      <c r="K76" s="2" t="s">
        <v>276</v>
      </c>
      <c r="L76" s="7">
        <v>150</v>
      </c>
      <c r="M76" s="7">
        <v>285</v>
      </c>
      <c r="N76" s="7">
        <v>150</v>
      </c>
      <c r="O76" s="2" t="s">
        <v>176</v>
      </c>
      <c r="P76" s="7">
        <v>1</v>
      </c>
      <c r="Q76" s="7">
        <v>1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2" t="s">
        <v>201</v>
      </c>
      <c r="X76" s="2" t="s">
        <v>201</v>
      </c>
      <c r="Y76" s="2" t="s">
        <v>202</v>
      </c>
    </row>
    <row r="77" s="2" customFormat="1" spans="7:7">
      <c r="G77" s="2">
        <f>SUM(G2:G76)</f>
        <v>5116</v>
      </c>
    </row>
    <row r="78" s="2" customFormat="1" ht="327.75" spans="1:1">
      <c r="A78" s="20" t="s">
        <v>277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4"/>
  <sheetViews>
    <sheetView zoomScale="85" zoomScaleNormal="85" topLeftCell="A50" workbookViewId="0">
      <selection activeCell="L90" sqref="L90"/>
    </sheetView>
  </sheetViews>
  <sheetFormatPr defaultColWidth="9.56190476190476" defaultRowHeight="14.25"/>
  <cols>
    <col min="1" max="3" width="9.56190476190476" style="2"/>
    <col min="4" max="4" width="11.0285714285714" style="2" customWidth="1"/>
    <col min="5" max="5" width="26.0285714285714" style="2" customWidth="1"/>
    <col min="6" max="6" width="17.4571428571429" style="2" customWidth="1"/>
    <col min="7" max="15" width="9.56190476190476" style="2"/>
    <col min="16" max="16" width="16.1333333333333" style="2" customWidth="1"/>
    <col min="17" max="16384" width="9.56190476190476" style="2"/>
  </cols>
  <sheetData>
    <row r="1" s="2" customFormat="1" spans="1:2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5</v>
      </c>
      <c r="H1" s="1" t="s">
        <v>178</v>
      </c>
      <c r="I1" s="1" t="s">
        <v>179</v>
      </c>
      <c r="J1" s="1" t="s">
        <v>180</v>
      </c>
      <c r="K1" s="1" t="s">
        <v>7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</row>
    <row r="2" s="2" customFormat="1" spans="1:25">
      <c r="A2" s="19">
        <v>81463855</v>
      </c>
      <c r="B2" s="2" t="s">
        <v>278</v>
      </c>
      <c r="C2" s="2" t="s">
        <v>196</v>
      </c>
      <c r="D2" s="2" t="s">
        <v>279</v>
      </c>
      <c r="E2" s="2" t="s">
        <v>280</v>
      </c>
      <c r="F2" s="2" t="s">
        <v>281</v>
      </c>
      <c r="G2" s="7">
        <v>144</v>
      </c>
      <c r="H2" s="2" t="s">
        <v>198</v>
      </c>
      <c r="I2" s="2" t="s">
        <v>221</v>
      </c>
      <c r="J2" s="2" t="s">
        <v>221</v>
      </c>
      <c r="K2" s="2" t="s">
        <v>282</v>
      </c>
      <c r="L2" s="7">
        <v>345</v>
      </c>
      <c r="M2" s="7">
        <v>465</v>
      </c>
      <c r="N2" s="7">
        <v>345</v>
      </c>
      <c r="O2" s="2" t="s">
        <v>176</v>
      </c>
      <c r="P2" s="7">
        <v>1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2" t="s">
        <v>201</v>
      </c>
      <c r="X2" s="2" t="s">
        <v>201</v>
      </c>
      <c r="Y2" s="2" t="s">
        <v>202</v>
      </c>
    </row>
    <row r="3" s="2" customFormat="1" spans="1:25">
      <c r="A3" s="19">
        <v>81463856</v>
      </c>
      <c r="B3" s="2" t="s">
        <v>278</v>
      </c>
      <c r="C3" s="2" t="s">
        <v>196</v>
      </c>
      <c r="D3" s="2" t="s">
        <v>279</v>
      </c>
      <c r="E3" s="2" t="s">
        <v>280</v>
      </c>
      <c r="F3" s="2" t="s">
        <v>281</v>
      </c>
      <c r="G3" s="7">
        <v>144</v>
      </c>
      <c r="H3" s="2" t="s">
        <v>198</v>
      </c>
      <c r="I3" s="2" t="s">
        <v>221</v>
      </c>
      <c r="J3" s="2" t="s">
        <v>221</v>
      </c>
      <c r="K3" s="2" t="s">
        <v>283</v>
      </c>
      <c r="L3" s="7">
        <v>345</v>
      </c>
      <c r="M3" s="7">
        <v>465</v>
      </c>
      <c r="N3" s="7">
        <v>345</v>
      </c>
      <c r="O3" s="2" t="s">
        <v>176</v>
      </c>
      <c r="P3" s="7">
        <v>1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2" t="s">
        <v>201</v>
      </c>
      <c r="X3" s="2" t="s">
        <v>201</v>
      </c>
      <c r="Y3" s="2" t="s">
        <v>202</v>
      </c>
    </row>
    <row r="4" s="2" customFormat="1" spans="1:25">
      <c r="A4" s="19">
        <v>81463857</v>
      </c>
      <c r="B4" s="2" t="s">
        <v>278</v>
      </c>
      <c r="C4" s="2" t="s">
        <v>196</v>
      </c>
      <c r="D4" s="2" t="s">
        <v>279</v>
      </c>
      <c r="E4" s="2" t="s">
        <v>280</v>
      </c>
      <c r="F4" s="2" t="s">
        <v>281</v>
      </c>
      <c r="G4" s="7">
        <v>144</v>
      </c>
      <c r="H4" s="2" t="s">
        <v>198</v>
      </c>
      <c r="I4" s="2" t="s">
        <v>221</v>
      </c>
      <c r="J4" s="2" t="s">
        <v>221</v>
      </c>
      <c r="K4" s="2" t="s">
        <v>284</v>
      </c>
      <c r="L4" s="7">
        <v>345</v>
      </c>
      <c r="M4" s="7">
        <v>465</v>
      </c>
      <c r="N4" s="7">
        <v>345</v>
      </c>
      <c r="O4" s="2" t="s">
        <v>176</v>
      </c>
      <c r="P4" s="7">
        <v>1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2" t="s">
        <v>201</v>
      </c>
      <c r="X4" s="2" t="s">
        <v>201</v>
      </c>
      <c r="Y4" s="2" t="s">
        <v>202</v>
      </c>
    </row>
    <row r="5" s="2" customFormat="1" spans="1:25">
      <c r="A5" s="19">
        <v>81463854</v>
      </c>
      <c r="B5" s="2" t="s">
        <v>278</v>
      </c>
      <c r="C5" s="2" t="s">
        <v>196</v>
      </c>
      <c r="D5" s="2" t="s">
        <v>279</v>
      </c>
      <c r="E5" s="2" t="s">
        <v>280</v>
      </c>
      <c r="F5" s="2" t="s">
        <v>281</v>
      </c>
      <c r="G5" s="7">
        <v>6</v>
      </c>
      <c r="H5" s="2" t="s">
        <v>198</v>
      </c>
      <c r="I5" s="2" t="s">
        <v>221</v>
      </c>
      <c r="J5" s="2" t="s">
        <v>221</v>
      </c>
      <c r="K5" s="2" t="s">
        <v>285</v>
      </c>
      <c r="L5" s="7">
        <v>345</v>
      </c>
      <c r="M5" s="7">
        <v>465</v>
      </c>
      <c r="N5" s="7">
        <v>345</v>
      </c>
      <c r="O5" s="2" t="s">
        <v>176</v>
      </c>
      <c r="P5" s="7">
        <v>1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2" t="s">
        <v>201</v>
      </c>
      <c r="X5" s="2" t="s">
        <v>201</v>
      </c>
      <c r="Y5" s="2" t="s">
        <v>202</v>
      </c>
    </row>
    <row r="6" s="2" customFormat="1" spans="1:25">
      <c r="A6" s="19">
        <v>81463898</v>
      </c>
      <c r="B6" s="2" t="s">
        <v>278</v>
      </c>
      <c r="C6" s="2" t="s">
        <v>196</v>
      </c>
      <c r="D6" s="2" t="s">
        <v>279</v>
      </c>
      <c r="E6" s="2" t="s">
        <v>61</v>
      </c>
      <c r="F6" s="2" t="s">
        <v>62</v>
      </c>
      <c r="G6" s="7">
        <v>18</v>
      </c>
      <c r="H6" s="2" t="s">
        <v>198</v>
      </c>
      <c r="I6" s="2" t="s">
        <v>221</v>
      </c>
      <c r="J6" s="2" t="s">
        <v>221</v>
      </c>
      <c r="K6" s="2" t="s">
        <v>286</v>
      </c>
      <c r="L6" s="7">
        <v>405</v>
      </c>
      <c r="M6" s="7">
        <v>455</v>
      </c>
      <c r="N6" s="7">
        <v>405</v>
      </c>
      <c r="O6" s="2" t="s">
        <v>176</v>
      </c>
      <c r="P6" s="7">
        <v>1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2" t="s">
        <v>201</v>
      </c>
      <c r="X6" s="2" t="s">
        <v>201</v>
      </c>
      <c r="Y6" s="2" t="s">
        <v>202</v>
      </c>
    </row>
    <row r="7" s="2" customFormat="1" spans="1:25">
      <c r="A7" s="19">
        <v>81463899</v>
      </c>
      <c r="B7" s="2" t="s">
        <v>278</v>
      </c>
      <c r="C7" s="2" t="s">
        <v>196</v>
      </c>
      <c r="D7" s="2" t="s">
        <v>279</v>
      </c>
      <c r="E7" s="2" t="s">
        <v>61</v>
      </c>
      <c r="F7" s="2" t="s">
        <v>62</v>
      </c>
      <c r="G7" s="7">
        <v>96</v>
      </c>
      <c r="H7" s="2" t="s">
        <v>198</v>
      </c>
      <c r="I7" s="2" t="s">
        <v>221</v>
      </c>
      <c r="J7" s="2" t="s">
        <v>221</v>
      </c>
      <c r="K7" s="2" t="s">
        <v>287</v>
      </c>
      <c r="L7" s="7">
        <v>405</v>
      </c>
      <c r="M7" s="7">
        <v>455</v>
      </c>
      <c r="N7" s="7">
        <v>405</v>
      </c>
      <c r="O7" s="2" t="s">
        <v>176</v>
      </c>
      <c r="P7" s="7">
        <v>1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2" t="s">
        <v>201</v>
      </c>
      <c r="X7" s="2" t="s">
        <v>201</v>
      </c>
      <c r="Y7" s="2" t="s">
        <v>202</v>
      </c>
    </row>
    <row r="8" s="2" customFormat="1" spans="1:25">
      <c r="A8" s="19">
        <v>81463927</v>
      </c>
      <c r="B8" s="2" t="s">
        <v>278</v>
      </c>
      <c r="C8" s="2" t="s">
        <v>196</v>
      </c>
      <c r="D8" s="2" t="s">
        <v>279</v>
      </c>
      <c r="E8" s="2" t="s">
        <v>288</v>
      </c>
      <c r="F8" s="2" t="s">
        <v>288</v>
      </c>
      <c r="G8" s="7">
        <v>1</v>
      </c>
      <c r="H8" s="2" t="s">
        <v>198</v>
      </c>
      <c r="I8" s="2" t="s">
        <v>221</v>
      </c>
      <c r="J8" s="2" t="s">
        <v>221</v>
      </c>
      <c r="K8" s="2" t="s">
        <v>289</v>
      </c>
      <c r="L8" s="7">
        <v>10</v>
      </c>
      <c r="M8" s="7">
        <v>10</v>
      </c>
      <c r="N8" s="7">
        <v>10</v>
      </c>
      <c r="O8" s="2" t="s">
        <v>176</v>
      </c>
      <c r="P8" s="7">
        <v>1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2" t="s">
        <v>201</v>
      </c>
      <c r="X8" s="2" t="s">
        <v>201</v>
      </c>
      <c r="Y8" s="2" t="s">
        <v>202</v>
      </c>
    </row>
    <row r="9" s="2" customFormat="1" spans="1:25">
      <c r="A9" s="19">
        <v>81463928</v>
      </c>
      <c r="B9" s="2" t="s">
        <v>278</v>
      </c>
      <c r="C9" s="2" t="s">
        <v>196</v>
      </c>
      <c r="D9" s="2" t="s">
        <v>279</v>
      </c>
      <c r="E9" s="2" t="s">
        <v>288</v>
      </c>
      <c r="F9" s="2" t="s">
        <v>288</v>
      </c>
      <c r="G9" s="7">
        <v>1</v>
      </c>
      <c r="H9" s="2" t="s">
        <v>198</v>
      </c>
      <c r="I9" s="2" t="s">
        <v>221</v>
      </c>
      <c r="J9" s="2" t="s">
        <v>221</v>
      </c>
      <c r="K9" s="2" t="s">
        <v>290</v>
      </c>
      <c r="L9" s="7">
        <v>10</v>
      </c>
      <c r="M9" s="7">
        <v>10</v>
      </c>
      <c r="N9" s="7">
        <v>10</v>
      </c>
      <c r="O9" s="2" t="s">
        <v>176</v>
      </c>
      <c r="P9" s="7">
        <v>1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2" t="s">
        <v>201</v>
      </c>
      <c r="X9" s="2" t="s">
        <v>201</v>
      </c>
      <c r="Y9" s="2" t="s">
        <v>202</v>
      </c>
    </row>
    <row r="10" s="2" customFormat="1" spans="1:25">
      <c r="A10" s="19">
        <v>81463929</v>
      </c>
      <c r="B10" s="2" t="s">
        <v>278</v>
      </c>
      <c r="C10" s="2" t="s">
        <v>196</v>
      </c>
      <c r="D10" s="2" t="s">
        <v>279</v>
      </c>
      <c r="E10" s="2" t="s">
        <v>288</v>
      </c>
      <c r="F10" s="2" t="s">
        <v>288</v>
      </c>
      <c r="G10" s="7">
        <v>1</v>
      </c>
      <c r="H10" s="2" t="s">
        <v>198</v>
      </c>
      <c r="I10" s="2" t="s">
        <v>221</v>
      </c>
      <c r="J10" s="2" t="s">
        <v>221</v>
      </c>
      <c r="K10" s="2" t="s">
        <v>291</v>
      </c>
      <c r="L10" s="7">
        <v>10</v>
      </c>
      <c r="M10" s="7">
        <v>10</v>
      </c>
      <c r="N10" s="7">
        <v>10</v>
      </c>
      <c r="O10" s="2" t="s">
        <v>176</v>
      </c>
      <c r="P10" s="7">
        <v>1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2" t="s">
        <v>201</v>
      </c>
      <c r="X10" s="2" t="s">
        <v>201</v>
      </c>
      <c r="Y10" s="2" t="s">
        <v>202</v>
      </c>
    </row>
    <row r="11" s="2" customFormat="1" spans="1:25">
      <c r="A11" s="19">
        <v>81463930</v>
      </c>
      <c r="B11" s="2" t="s">
        <v>278</v>
      </c>
      <c r="C11" s="2" t="s">
        <v>196</v>
      </c>
      <c r="D11" s="2" t="s">
        <v>279</v>
      </c>
      <c r="E11" s="2" t="s">
        <v>288</v>
      </c>
      <c r="F11" s="2" t="s">
        <v>288</v>
      </c>
      <c r="G11" s="7">
        <v>1</v>
      </c>
      <c r="H11" s="2" t="s">
        <v>198</v>
      </c>
      <c r="I11" s="2" t="s">
        <v>221</v>
      </c>
      <c r="J11" s="2" t="s">
        <v>221</v>
      </c>
      <c r="K11" s="2" t="s">
        <v>292</v>
      </c>
      <c r="L11" s="7">
        <v>10</v>
      </c>
      <c r="M11" s="7">
        <v>10</v>
      </c>
      <c r="N11" s="7">
        <v>10</v>
      </c>
      <c r="O11" s="2" t="s">
        <v>176</v>
      </c>
      <c r="P11" s="7">
        <v>1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2" t="s">
        <v>201</v>
      </c>
      <c r="X11" s="2" t="s">
        <v>201</v>
      </c>
      <c r="Y11" s="2" t="s">
        <v>202</v>
      </c>
    </row>
    <row r="12" s="2" customFormat="1" spans="1:25">
      <c r="A12" s="19">
        <v>81463921</v>
      </c>
      <c r="B12" s="2" t="s">
        <v>278</v>
      </c>
      <c r="C12" s="2" t="s">
        <v>196</v>
      </c>
      <c r="D12" s="2" t="s">
        <v>279</v>
      </c>
      <c r="E12" s="2" t="s">
        <v>288</v>
      </c>
      <c r="F12" s="2" t="s">
        <v>288</v>
      </c>
      <c r="G12" s="7">
        <v>1</v>
      </c>
      <c r="H12" s="2" t="s">
        <v>198</v>
      </c>
      <c r="I12" s="2" t="s">
        <v>221</v>
      </c>
      <c r="J12" s="2" t="s">
        <v>221</v>
      </c>
      <c r="K12" s="2" t="s">
        <v>293</v>
      </c>
      <c r="L12" s="7">
        <v>10</v>
      </c>
      <c r="M12" s="7">
        <v>10</v>
      </c>
      <c r="N12" s="7">
        <v>10</v>
      </c>
      <c r="O12" s="2" t="s">
        <v>176</v>
      </c>
      <c r="P12" s="7">
        <v>1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2" t="s">
        <v>201</v>
      </c>
      <c r="X12" s="2" t="s">
        <v>201</v>
      </c>
      <c r="Y12" s="2" t="s">
        <v>202</v>
      </c>
    </row>
    <row r="13" s="2" customFormat="1" spans="1:25">
      <c r="A13" s="19">
        <v>81463922</v>
      </c>
      <c r="B13" s="2" t="s">
        <v>278</v>
      </c>
      <c r="C13" s="2" t="s">
        <v>196</v>
      </c>
      <c r="D13" s="2" t="s">
        <v>279</v>
      </c>
      <c r="E13" s="2" t="s">
        <v>288</v>
      </c>
      <c r="F13" s="2" t="s">
        <v>288</v>
      </c>
      <c r="G13" s="7">
        <v>1</v>
      </c>
      <c r="H13" s="2" t="s">
        <v>198</v>
      </c>
      <c r="I13" s="2" t="s">
        <v>221</v>
      </c>
      <c r="J13" s="2" t="s">
        <v>221</v>
      </c>
      <c r="K13" s="2" t="s">
        <v>294</v>
      </c>
      <c r="L13" s="7">
        <v>10</v>
      </c>
      <c r="M13" s="7">
        <v>10</v>
      </c>
      <c r="N13" s="7">
        <v>10</v>
      </c>
      <c r="O13" s="2" t="s">
        <v>176</v>
      </c>
      <c r="P13" s="7">
        <v>1</v>
      </c>
      <c r="Q13" s="7">
        <v>1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2" t="s">
        <v>201</v>
      </c>
      <c r="X13" s="2" t="s">
        <v>201</v>
      </c>
      <c r="Y13" s="2" t="s">
        <v>202</v>
      </c>
    </row>
    <row r="14" s="2" customFormat="1" spans="1:25">
      <c r="A14" s="19">
        <v>81463923</v>
      </c>
      <c r="B14" s="2" t="s">
        <v>278</v>
      </c>
      <c r="C14" s="2" t="s">
        <v>196</v>
      </c>
      <c r="D14" s="2" t="s">
        <v>279</v>
      </c>
      <c r="E14" s="2" t="s">
        <v>288</v>
      </c>
      <c r="F14" s="2" t="s">
        <v>288</v>
      </c>
      <c r="G14" s="7">
        <v>1</v>
      </c>
      <c r="H14" s="2" t="s">
        <v>198</v>
      </c>
      <c r="I14" s="2" t="s">
        <v>221</v>
      </c>
      <c r="J14" s="2" t="s">
        <v>221</v>
      </c>
      <c r="K14" s="2" t="s">
        <v>295</v>
      </c>
      <c r="L14" s="7">
        <v>10</v>
      </c>
      <c r="M14" s="7">
        <v>10</v>
      </c>
      <c r="N14" s="7">
        <v>10</v>
      </c>
      <c r="O14" s="2" t="s">
        <v>176</v>
      </c>
      <c r="P14" s="7">
        <v>1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2" t="s">
        <v>201</v>
      </c>
      <c r="X14" s="2" t="s">
        <v>201</v>
      </c>
      <c r="Y14" s="2" t="s">
        <v>202</v>
      </c>
    </row>
    <row r="15" s="2" customFormat="1" spans="1:25">
      <c r="A15" s="19">
        <v>81463924</v>
      </c>
      <c r="B15" s="2" t="s">
        <v>278</v>
      </c>
      <c r="C15" s="2" t="s">
        <v>196</v>
      </c>
      <c r="D15" s="2" t="s">
        <v>279</v>
      </c>
      <c r="E15" s="2" t="s">
        <v>288</v>
      </c>
      <c r="F15" s="2" t="s">
        <v>288</v>
      </c>
      <c r="G15" s="7">
        <v>1</v>
      </c>
      <c r="H15" s="2" t="s">
        <v>198</v>
      </c>
      <c r="I15" s="2" t="s">
        <v>221</v>
      </c>
      <c r="J15" s="2" t="s">
        <v>221</v>
      </c>
      <c r="K15" s="2" t="s">
        <v>296</v>
      </c>
      <c r="L15" s="7">
        <v>10</v>
      </c>
      <c r="M15" s="7">
        <v>10</v>
      </c>
      <c r="N15" s="7">
        <v>10</v>
      </c>
      <c r="O15" s="2" t="s">
        <v>176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2" t="s">
        <v>201</v>
      </c>
      <c r="X15" s="2" t="s">
        <v>201</v>
      </c>
      <c r="Y15" s="2" t="s">
        <v>202</v>
      </c>
    </row>
    <row r="16" s="2" customFormat="1" spans="1:25">
      <c r="A16" s="19">
        <v>81463925</v>
      </c>
      <c r="B16" s="2" t="s">
        <v>278</v>
      </c>
      <c r="C16" s="2" t="s">
        <v>196</v>
      </c>
      <c r="D16" s="2" t="s">
        <v>279</v>
      </c>
      <c r="E16" s="2" t="s">
        <v>288</v>
      </c>
      <c r="F16" s="2" t="s">
        <v>288</v>
      </c>
      <c r="G16" s="7">
        <v>1</v>
      </c>
      <c r="H16" s="2" t="s">
        <v>198</v>
      </c>
      <c r="I16" s="2" t="s">
        <v>221</v>
      </c>
      <c r="J16" s="2" t="s">
        <v>221</v>
      </c>
      <c r="K16" s="2" t="s">
        <v>297</v>
      </c>
      <c r="L16" s="7">
        <v>10</v>
      </c>
      <c r="M16" s="7">
        <v>10</v>
      </c>
      <c r="N16" s="7">
        <v>10</v>
      </c>
      <c r="O16" s="2" t="s">
        <v>176</v>
      </c>
      <c r="P16" s="7">
        <v>1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2" t="s">
        <v>201</v>
      </c>
      <c r="X16" s="2" t="s">
        <v>201</v>
      </c>
      <c r="Y16" s="2" t="s">
        <v>202</v>
      </c>
    </row>
    <row r="17" s="2" customFormat="1" spans="1:25">
      <c r="A17" s="19">
        <v>81463926</v>
      </c>
      <c r="B17" s="2" t="s">
        <v>278</v>
      </c>
      <c r="C17" s="2" t="s">
        <v>196</v>
      </c>
      <c r="D17" s="2" t="s">
        <v>279</v>
      </c>
      <c r="E17" s="2" t="s">
        <v>288</v>
      </c>
      <c r="F17" s="2" t="s">
        <v>288</v>
      </c>
      <c r="G17" s="7">
        <v>1</v>
      </c>
      <c r="H17" s="2" t="s">
        <v>198</v>
      </c>
      <c r="I17" s="2" t="s">
        <v>221</v>
      </c>
      <c r="J17" s="2" t="s">
        <v>221</v>
      </c>
      <c r="K17" s="2" t="s">
        <v>298</v>
      </c>
      <c r="L17" s="7">
        <v>10</v>
      </c>
      <c r="M17" s="7">
        <v>10</v>
      </c>
      <c r="N17" s="7">
        <v>10</v>
      </c>
      <c r="O17" s="2" t="s">
        <v>176</v>
      </c>
      <c r="P17" s="7">
        <v>1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2" t="s">
        <v>201</v>
      </c>
      <c r="X17" s="2" t="s">
        <v>201</v>
      </c>
      <c r="Y17" s="2" t="s">
        <v>202</v>
      </c>
    </row>
    <row r="18" s="2" customFormat="1" spans="1:25">
      <c r="A18" s="19">
        <v>81463915</v>
      </c>
      <c r="B18" s="2" t="s">
        <v>278</v>
      </c>
      <c r="C18" s="2" t="s">
        <v>196</v>
      </c>
      <c r="D18" s="2" t="s">
        <v>279</v>
      </c>
      <c r="E18" s="2" t="s">
        <v>288</v>
      </c>
      <c r="F18" s="2" t="s">
        <v>288</v>
      </c>
      <c r="G18" s="7">
        <v>1</v>
      </c>
      <c r="H18" s="2" t="s">
        <v>198</v>
      </c>
      <c r="I18" s="2" t="s">
        <v>221</v>
      </c>
      <c r="J18" s="2" t="s">
        <v>221</v>
      </c>
      <c r="K18" s="2" t="s">
        <v>299</v>
      </c>
      <c r="L18" s="7">
        <v>10</v>
      </c>
      <c r="M18" s="7">
        <v>10</v>
      </c>
      <c r="N18" s="7">
        <v>10</v>
      </c>
      <c r="O18" s="2" t="s">
        <v>176</v>
      </c>
      <c r="P18" s="7">
        <v>1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2" t="s">
        <v>201</v>
      </c>
      <c r="X18" s="2" t="s">
        <v>201</v>
      </c>
      <c r="Y18" s="2" t="s">
        <v>202</v>
      </c>
    </row>
    <row r="19" s="2" customFormat="1" spans="1:25">
      <c r="A19" s="19">
        <v>81463916</v>
      </c>
      <c r="B19" s="2" t="s">
        <v>278</v>
      </c>
      <c r="C19" s="2" t="s">
        <v>196</v>
      </c>
      <c r="D19" s="2" t="s">
        <v>279</v>
      </c>
      <c r="E19" s="2" t="s">
        <v>288</v>
      </c>
      <c r="F19" s="2" t="s">
        <v>288</v>
      </c>
      <c r="G19" s="7">
        <v>1</v>
      </c>
      <c r="H19" s="2" t="s">
        <v>198</v>
      </c>
      <c r="I19" s="2" t="s">
        <v>221</v>
      </c>
      <c r="J19" s="2" t="s">
        <v>221</v>
      </c>
      <c r="K19" s="2" t="s">
        <v>300</v>
      </c>
      <c r="L19" s="7">
        <v>10</v>
      </c>
      <c r="M19" s="7">
        <v>10</v>
      </c>
      <c r="N19" s="7">
        <v>10</v>
      </c>
      <c r="O19" s="2" t="s">
        <v>176</v>
      </c>
      <c r="P19" s="7">
        <v>1</v>
      </c>
      <c r="Q19" s="7">
        <v>1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2" t="s">
        <v>201</v>
      </c>
      <c r="X19" s="2" t="s">
        <v>201</v>
      </c>
      <c r="Y19" s="2" t="s">
        <v>202</v>
      </c>
    </row>
    <row r="20" s="2" customFormat="1" spans="1:25">
      <c r="A20" s="19">
        <v>81463917</v>
      </c>
      <c r="B20" s="2" t="s">
        <v>278</v>
      </c>
      <c r="C20" s="2" t="s">
        <v>196</v>
      </c>
      <c r="D20" s="2" t="s">
        <v>279</v>
      </c>
      <c r="E20" s="2" t="s">
        <v>288</v>
      </c>
      <c r="F20" s="2" t="s">
        <v>288</v>
      </c>
      <c r="G20" s="7">
        <v>1</v>
      </c>
      <c r="H20" s="2" t="s">
        <v>198</v>
      </c>
      <c r="I20" s="2" t="s">
        <v>221</v>
      </c>
      <c r="J20" s="2" t="s">
        <v>221</v>
      </c>
      <c r="K20" s="2" t="s">
        <v>301</v>
      </c>
      <c r="L20" s="7">
        <v>10</v>
      </c>
      <c r="M20" s="7">
        <v>10</v>
      </c>
      <c r="N20" s="7">
        <v>10</v>
      </c>
      <c r="O20" s="2" t="s">
        <v>176</v>
      </c>
      <c r="P20" s="7">
        <v>1</v>
      </c>
      <c r="Q20" s="7">
        <v>1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2" t="s">
        <v>201</v>
      </c>
      <c r="X20" s="2" t="s">
        <v>201</v>
      </c>
      <c r="Y20" s="2" t="s">
        <v>202</v>
      </c>
    </row>
    <row r="21" s="2" customFormat="1" spans="1:25">
      <c r="A21" s="19">
        <v>81463918</v>
      </c>
      <c r="B21" s="2" t="s">
        <v>278</v>
      </c>
      <c r="C21" s="2" t="s">
        <v>196</v>
      </c>
      <c r="D21" s="2" t="s">
        <v>279</v>
      </c>
      <c r="E21" s="2" t="s">
        <v>288</v>
      </c>
      <c r="F21" s="2" t="s">
        <v>288</v>
      </c>
      <c r="G21" s="7">
        <v>1</v>
      </c>
      <c r="H21" s="2" t="s">
        <v>198</v>
      </c>
      <c r="I21" s="2" t="s">
        <v>221</v>
      </c>
      <c r="J21" s="2" t="s">
        <v>221</v>
      </c>
      <c r="K21" s="2" t="s">
        <v>302</v>
      </c>
      <c r="L21" s="7">
        <v>10</v>
      </c>
      <c r="M21" s="7">
        <v>10</v>
      </c>
      <c r="N21" s="7">
        <v>10</v>
      </c>
      <c r="O21" s="2" t="s">
        <v>176</v>
      </c>
      <c r="P21" s="7">
        <v>1</v>
      </c>
      <c r="Q21" s="7">
        <v>1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2" t="s">
        <v>201</v>
      </c>
      <c r="X21" s="2" t="s">
        <v>201</v>
      </c>
      <c r="Y21" s="2" t="s">
        <v>202</v>
      </c>
    </row>
    <row r="22" s="2" customFormat="1" spans="1:25">
      <c r="A22" s="19">
        <v>81463919</v>
      </c>
      <c r="B22" s="2" t="s">
        <v>278</v>
      </c>
      <c r="C22" s="2" t="s">
        <v>196</v>
      </c>
      <c r="D22" s="2" t="s">
        <v>279</v>
      </c>
      <c r="E22" s="2" t="s">
        <v>288</v>
      </c>
      <c r="F22" s="2" t="s">
        <v>288</v>
      </c>
      <c r="G22" s="7">
        <v>1</v>
      </c>
      <c r="H22" s="2" t="s">
        <v>198</v>
      </c>
      <c r="I22" s="2" t="s">
        <v>221</v>
      </c>
      <c r="J22" s="2" t="s">
        <v>221</v>
      </c>
      <c r="K22" s="2" t="s">
        <v>303</v>
      </c>
      <c r="L22" s="7">
        <v>10</v>
      </c>
      <c r="M22" s="7">
        <v>10</v>
      </c>
      <c r="N22" s="7">
        <v>10</v>
      </c>
      <c r="O22" s="2" t="s">
        <v>176</v>
      </c>
      <c r="P22" s="7">
        <v>1</v>
      </c>
      <c r="Q22" s="7">
        <v>1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2" t="s">
        <v>201</v>
      </c>
      <c r="X22" s="2" t="s">
        <v>201</v>
      </c>
      <c r="Y22" s="2" t="s">
        <v>202</v>
      </c>
    </row>
    <row r="23" s="2" customFormat="1" spans="1:25">
      <c r="A23" s="19">
        <v>81463920</v>
      </c>
      <c r="B23" s="2" t="s">
        <v>278</v>
      </c>
      <c r="C23" s="2" t="s">
        <v>196</v>
      </c>
      <c r="D23" s="2" t="s">
        <v>279</v>
      </c>
      <c r="E23" s="2" t="s">
        <v>288</v>
      </c>
      <c r="F23" s="2" t="s">
        <v>288</v>
      </c>
      <c r="G23" s="7">
        <v>1</v>
      </c>
      <c r="H23" s="2" t="s">
        <v>198</v>
      </c>
      <c r="I23" s="2" t="s">
        <v>221</v>
      </c>
      <c r="J23" s="2" t="s">
        <v>221</v>
      </c>
      <c r="K23" s="2" t="s">
        <v>304</v>
      </c>
      <c r="L23" s="7">
        <v>10</v>
      </c>
      <c r="M23" s="7">
        <v>10</v>
      </c>
      <c r="N23" s="7">
        <v>10</v>
      </c>
      <c r="O23" s="2" t="s">
        <v>176</v>
      </c>
      <c r="P23" s="7">
        <v>1</v>
      </c>
      <c r="Q23" s="7">
        <v>1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2" t="s">
        <v>201</v>
      </c>
      <c r="X23" s="2" t="s">
        <v>201</v>
      </c>
      <c r="Y23" s="2" t="s">
        <v>202</v>
      </c>
    </row>
    <row r="24" s="2" customFormat="1" spans="1:25">
      <c r="A24" s="19">
        <v>81463909</v>
      </c>
      <c r="B24" s="2" t="s">
        <v>278</v>
      </c>
      <c r="C24" s="2" t="s">
        <v>196</v>
      </c>
      <c r="D24" s="2" t="s">
        <v>279</v>
      </c>
      <c r="E24" s="2" t="s">
        <v>288</v>
      </c>
      <c r="F24" s="2" t="s">
        <v>288</v>
      </c>
      <c r="G24" s="7">
        <v>1</v>
      </c>
      <c r="H24" s="2" t="s">
        <v>198</v>
      </c>
      <c r="I24" s="2" t="s">
        <v>221</v>
      </c>
      <c r="J24" s="2" t="s">
        <v>221</v>
      </c>
      <c r="K24" s="2" t="s">
        <v>305</v>
      </c>
      <c r="L24" s="7">
        <v>10</v>
      </c>
      <c r="M24" s="7">
        <v>10</v>
      </c>
      <c r="N24" s="7">
        <v>10</v>
      </c>
      <c r="O24" s="2" t="s">
        <v>176</v>
      </c>
      <c r="P24" s="7">
        <v>1</v>
      </c>
      <c r="Q24" s="7">
        <v>1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2" t="s">
        <v>201</v>
      </c>
      <c r="X24" s="2" t="s">
        <v>201</v>
      </c>
      <c r="Y24" s="2" t="s">
        <v>202</v>
      </c>
    </row>
    <row r="25" s="2" customFormat="1" spans="1:25">
      <c r="A25" s="19">
        <v>81463910</v>
      </c>
      <c r="B25" s="2" t="s">
        <v>278</v>
      </c>
      <c r="C25" s="2" t="s">
        <v>196</v>
      </c>
      <c r="D25" s="2" t="s">
        <v>279</v>
      </c>
      <c r="E25" s="2" t="s">
        <v>288</v>
      </c>
      <c r="F25" s="2" t="s">
        <v>288</v>
      </c>
      <c r="G25" s="7">
        <v>1</v>
      </c>
      <c r="H25" s="2" t="s">
        <v>198</v>
      </c>
      <c r="I25" s="2" t="s">
        <v>221</v>
      </c>
      <c r="J25" s="2" t="s">
        <v>221</v>
      </c>
      <c r="K25" s="2" t="s">
        <v>306</v>
      </c>
      <c r="L25" s="7">
        <v>10</v>
      </c>
      <c r="M25" s="7">
        <v>10</v>
      </c>
      <c r="N25" s="7">
        <v>10</v>
      </c>
      <c r="O25" s="2" t="s">
        <v>176</v>
      </c>
      <c r="P25" s="7">
        <v>1</v>
      </c>
      <c r="Q25" s="7">
        <v>1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2" t="s">
        <v>201</v>
      </c>
      <c r="X25" s="2" t="s">
        <v>201</v>
      </c>
      <c r="Y25" s="2" t="s">
        <v>202</v>
      </c>
    </row>
    <row r="26" s="2" customFormat="1" spans="1:25">
      <c r="A26" s="19">
        <v>81463911</v>
      </c>
      <c r="B26" s="2" t="s">
        <v>278</v>
      </c>
      <c r="C26" s="2" t="s">
        <v>196</v>
      </c>
      <c r="D26" s="2" t="s">
        <v>279</v>
      </c>
      <c r="E26" s="2" t="s">
        <v>288</v>
      </c>
      <c r="F26" s="2" t="s">
        <v>288</v>
      </c>
      <c r="G26" s="7">
        <v>1</v>
      </c>
      <c r="H26" s="2" t="s">
        <v>198</v>
      </c>
      <c r="I26" s="2" t="s">
        <v>221</v>
      </c>
      <c r="J26" s="2" t="s">
        <v>221</v>
      </c>
      <c r="K26" s="2" t="s">
        <v>307</v>
      </c>
      <c r="L26" s="7">
        <v>10</v>
      </c>
      <c r="M26" s="7">
        <v>10</v>
      </c>
      <c r="N26" s="7">
        <v>10</v>
      </c>
      <c r="O26" s="2" t="s">
        <v>176</v>
      </c>
      <c r="P26" s="7">
        <v>1</v>
      </c>
      <c r="Q26" s="7">
        <v>1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2" t="s">
        <v>201</v>
      </c>
      <c r="X26" s="2" t="s">
        <v>201</v>
      </c>
      <c r="Y26" s="2" t="s">
        <v>202</v>
      </c>
    </row>
    <row r="27" s="2" customFormat="1" spans="1:25">
      <c r="A27" s="19">
        <v>81463912</v>
      </c>
      <c r="B27" s="2" t="s">
        <v>278</v>
      </c>
      <c r="C27" s="2" t="s">
        <v>196</v>
      </c>
      <c r="D27" s="2" t="s">
        <v>279</v>
      </c>
      <c r="E27" s="2" t="s">
        <v>288</v>
      </c>
      <c r="F27" s="2" t="s">
        <v>288</v>
      </c>
      <c r="G27" s="7">
        <v>1</v>
      </c>
      <c r="H27" s="2" t="s">
        <v>198</v>
      </c>
      <c r="I27" s="2" t="s">
        <v>221</v>
      </c>
      <c r="J27" s="2" t="s">
        <v>221</v>
      </c>
      <c r="K27" s="2" t="s">
        <v>308</v>
      </c>
      <c r="L27" s="7">
        <v>10</v>
      </c>
      <c r="M27" s="7">
        <v>10</v>
      </c>
      <c r="N27" s="7">
        <v>10</v>
      </c>
      <c r="O27" s="2" t="s">
        <v>176</v>
      </c>
      <c r="P27" s="7">
        <v>1</v>
      </c>
      <c r="Q27" s="7">
        <v>1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2" t="s">
        <v>201</v>
      </c>
      <c r="X27" s="2" t="s">
        <v>201</v>
      </c>
      <c r="Y27" s="2" t="s">
        <v>202</v>
      </c>
    </row>
    <row r="28" s="2" customFormat="1" spans="1:25">
      <c r="A28" s="19">
        <v>81463913</v>
      </c>
      <c r="B28" s="2" t="s">
        <v>278</v>
      </c>
      <c r="C28" s="2" t="s">
        <v>196</v>
      </c>
      <c r="D28" s="2" t="s">
        <v>279</v>
      </c>
      <c r="E28" s="2" t="s">
        <v>288</v>
      </c>
      <c r="F28" s="2" t="s">
        <v>288</v>
      </c>
      <c r="G28" s="7">
        <v>1</v>
      </c>
      <c r="H28" s="2" t="s">
        <v>198</v>
      </c>
      <c r="I28" s="2" t="s">
        <v>221</v>
      </c>
      <c r="J28" s="2" t="s">
        <v>221</v>
      </c>
      <c r="K28" s="2" t="s">
        <v>309</v>
      </c>
      <c r="L28" s="7">
        <v>10</v>
      </c>
      <c r="M28" s="7">
        <v>10</v>
      </c>
      <c r="N28" s="7">
        <v>10</v>
      </c>
      <c r="O28" s="2" t="s">
        <v>176</v>
      </c>
      <c r="P28" s="7">
        <v>1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2" t="s">
        <v>201</v>
      </c>
      <c r="X28" s="2" t="s">
        <v>201</v>
      </c>
      <c r="Y28" s="2" t="s">
        <v>202</v>
      </c>
    </row>
    <row r="29" s="2" customFormat="1" spans="1:25">
      <c r="A29" s="19">
        <v>81463914</v>
      </c>
      <c r="B29" s="2" t="s">
        <v>278</v>
      </c>
      <c r="C29" s="2" t="s">
        <v>196</v>
      </c>
      <c r="D29" s="2" t="s">
        <v>279</v>
      </c>
      <c r="E29" s="2" t="s">
        <v>288</v>
      </c>
      <c r="F29" s="2" t="s">
        <v>288</v>
      </c>
      <c r="G29" s="7">
        <v>1</v>
      </c>
      <c r="H29" s="2" t="s">
        <v>198</v>
      </c>
      <c r="I29" s="2" t="s">
        <v>221</v>
      </c>
      <c r="J29" s="2" t="s">
        <v>221</v>
      </c>
      <c r="K29" s="2" t="s">
        <v>310</v>
      </c>
      <c r="L29" s="7">
        <v>10</v>
      </c>
      <c r="M29" s="7">
        <v>10</v>
      </c>
      <c r="N29" s="7">
        <v>10</v>
      </c>
      <c r="O29" s="2" t="s">
        <v>176</v>
      </c>
      <c r="P29" s="7">
        <v>1</v>
      </c>
      <c r="Q29" s="7">
        <v>1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2" t="s">
        <v>201</v>
      </c>
      <c r="X29" s="2" t="s">
        <v>201</v>
      </c>
      <c r="Y29" s="2" t="s">
        <v>202</v>
      </c>
    </row>
    <row r="30" s="2" customFormat="1" spans="1:25">
      <c r="A30" s="19">
        <v>81463903</v>
      </c>
      <c r="B30" s="2" t="s">
        <v>278</v>
      </c>
      <c r="C30" s="2" t="s">
        <v>196</v>
      </c>
      <c r="D30" s="2" t="s">
        <v>279</v>
      </c>
      <c r="E30" s="2" t="s">
        <v>288</v>
      </c>
      <c r="F30" s="2" t="s">
        <v>288</v>
      </c>
      <c r="G30" s="7">
        <v>1</v>
      </c>
      <c r="H30" s="2" t="s">
        <v>198</v>
      </c>
      <c r="I30" s="2" t="s">
        <v>221</v>
      </c>
      <c r="J30" s="2" t="s">
        <v>221</v>
      </c>
      <c r="K30" s="2" t="s">
        <v>311</v>
      </c>
      <c r="L30" s="7">
        <v>10</v>
      </c>
      <c r="M30" s="7">
        <v>10</v>
      </c>
      <c r="N30" s="7">
        <v>10</v>
      </c>
      <c r="O30" s="2" t="s">
        <v>176</v>
      </c>
      <c r="P30" s="7">
        <v>1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2" t="s">
        <v>201</v>
      </c>
      <c r="X30" s="2" t="s">
        <v>201</v>
      </c>
      <c r="Y30" s="2" t="s">
        <v>202</v>
      </c>
    </row>
    <row r="31" s="2" customFormat="1" spans="1:25">
      <c r="A31" s="19">
        <v>81463904</v>
      </c>
      <c r="B31" s="2" t="s">
        <v>278</v>
      </c>
      <c r="C31" s="2" t="s">
        <v>196</v>
      </c>
      <c r="D31" s="2" t="s">
        <v>279</v>
      </c>
      <c r="E31" s="2" t="s">
        <v>288</v>
      </c>
      <c r="F31" s="2" t="s">
        <v>288</v>
      </c>
      <c r="G31" s="7">
        <v>1</v>
      </c>
      <c r="H31" s="2" t="s">
        <v>198</v>
      </c>
      <c r="I31" s="2" t="s">
        <v>221</v>
      </c>
      <c r="J31" s="2" t="s">
        <v>221</v>
      </c>
      <c r="K31" s="2" t="s">
        <v>312</v>
      </c>
      <c r="L31" s="7">
        <v>10</v>
      </c>
      <c r="M31" s="7">
        <v>10</v>
      </c>
      <c r="N31" s="7">
        <v>10</v>
      </c>
      <c r="O31" s="2" t="s">
        <v>176</v>
      </c>
      <c r="P31" s="7">
        <v>1</v>
      </c>
      <c r="Q31" s="7">
        <v>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2" t="s">
        <v>201</v>
      </c>
      <c r="X31" s="2" t="s">
        <v>201</v>
      </c>
      <c r="Y31" s="2" t="s">
        <v>202</v>
      </c>
    </row>
    <row r="32" s="2" customFormat="1" spans="1:25">
      <c r="A32" s="19">
        <v>81463905</v>
      </c>
      <c r="B32" s="2" t="s">
        <v>278</v>
      </c>
      <c r="C32" s="2" t="s">
        <v>196</v>
      </c>
      <c r="D32" s="2" t="s">
        <v>279</v>
      </c>
      <c r="E32" s="2" t="s">
        <v>288</v>
      </c>
      <c r="F32" s="2" t="s">
        <v>288</v>
      </c>
      <c r="G32" s="7">
        <v>1</v>
      </c>
      <c r="H32" s="2" t="s">
        <v>198</v>
      </c>
      <c r="I32" s="2" t="s">
        <v>221</v>
      </c>
      <c r="J32" s="2" t="s">
        <v>221</v>
      </c>
      <c r="K32" s="2" t="s">
        <v>313</v>
      </c>
      <c r="L32" s="7">
        <v>10</v>
      </c>
      <c r="M32" s="7">
        <v>10</v>
      </c>
      <c r="N32" s="7">
        <v>10</v>
      </c>
      <c r="O32" s="2" t="s">
        <v>176</v>
      </c>
      <c r="P32" s="7">
        <v>1</v>
      </c>
      <c r="Q32" s="7">
        <v>1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2" t="s">
        <v>201</v>
      </c>
      <c r="X32" s="2" t="s">
        <v>201</v>
      </c>
      <c r="Y32" s="2" t="s">
        <v>202</v>
      </c>
    </row>
    <row r="33" s="2" customFormat="1" spans="1:25">
      <c r="A33" s="19">
        <v>81463906</v>
      </c>
      <c r="B33" s="2" t="s">
        <v>278</v>
      </c>
      <c r="C33" s="2" t="s">
        <v>196</v>
      </c>
      <c r="D33" s="2" t="s">
        <v>279</v>
      </c>
      <c r="E33" s="2" t="s">
        <v>288</v>
      </c>
      <c r="F33" s="2" t="s">
        <v>288</v>
      </c>
      <c r="G33" s="7">
        <v>1</v>
      </c>
      <c r="H33" s="2" t="s">
        <v>198</v>
      </c>
      <c r="I33" s="2" t="s">
        <v>221</v>
      </c>
      <c r="J33" s="2" t="s">
        <v>221</v>
      </c>
      <c r="K33" s="2" t="s">
        <v>314</v>
      </c>
      <c r="L33" s="7">
        <v>10</v>
      </c>
      <c r="M33" s="7">
        <v>10</v>
      </c>
      <c r="N33" s="7">
        <v>10</v>
      </c>
      <c r="O33" s="2" t="s">
        <v>176</v>
      </c>
      <c r="P33" s="7">
        <v>1</v>
      </c>
      <c r="Q33" s="7">
        <v>1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2" t="s">
        <v>201</v>
      </c>
      <c r="X33" s="2" t="s">
        <v>201</v>
      </c>
      <c r="Y33" s="2" t="s">
        <v>202</v>
      </c>
    </row>
    <row r="34" s="2" customFormat="1" spans="1:25">
      <c r="A34" s="19">
        <v>81463907</v>
      </c>
      <c r="B34" s="2" t="s">
        <v>278</v>
      </c>
      <c r="C34" s="2" t="s">
        <v>196</v>
      </c>
      <c r="D34" s="2" t="s">
        <v>279</v>
      </c>
      <c r="E34" s="2" t="s">
        <v>288</v>
      </c>
      <c r="F34" s="2" t="s">
        <v>288</v>
      </c>
      <c r="G34" s="7">
        <v>1</v>
      </c>
      <c r="H34" s="2" t="s">
        <v>198</v>
      </c>
      <c r="I34" s="2" t="s">
        <v>221</v>
      </c>
      <c r="J34" s="2" t="s">
        <v>221</v>
      </c>
      <c r="K34" s="2" t="s">
        <v>315</v>
      </c>
      <c r="L34" s="7">
        <v>10</v>
      </c>
      <c r="M34" s="7">
        <v>10</v>
      </c>
      <c r="N34" s="7">
        <v>10</v>
      </c>
      <c r="O34" s="2" t="s">
        <v>176</v>
      </c>
      <c r="P34" s="7">
        <v>1</v>
      </c>
      <c r="Q34" s="7">
        <v>1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2" t="s">
        <v>201</v>
      </c>
      <c r="X34" s="2" t="s">
        <v>201</v>
      </c>
      <c r="Y34" s="2" t="s">
        <v>202</v>
      </c>
    </row>
    <row r="35" s="2" customFormat="1" spans="1:25">
      <c r="A35" s="19">
        <v>81463908</v>
      </c>
      <c r="B35" s="2" t="s">
        <v>278</v>
      </c>
      <c r="C35" s="2" t="s">
        <v>196</v>
      </c>
      <c r="D35" s="2" t="s">
        <v>279</v>
      </c>
      <c r="E35" s="2" t="s">
        <v>288</v>
      </c>
      <c r="F35" s="2" t="s">
        <v>288</v>
      </c>
      <c r="G35" s="7">
        <v>1</v>
      </c>
      <c r="H35" s="2" t="s">
        <v>198</v>
      </c>
      <c r="I35" s="2" t="s">
        <v>221</v>
      </c>
      <c r="J35" s="2" t="s">
        <v>221</v>
      </c>
      <c r="K35" s="2" t="s">
        <v>316</v>
      </c>
      <c r="L35" s="7">
        <v>10</v>
      </c>
      <c r="M35" s="7">
        <v>10</v>
      </c>
      <c r="N35" s="7">
        <v>10</v>
      </c>
      <c r="O35" s="2" t="s">
        <v>176</v>
      </c>
      <c r="P35" s="7">
        <v>1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2" t="s">
        <v>201</v>
      </c>
      <c r="X35" s="2" t="s">
        <v>201</v>
      </c>
      <c r="Y35" s="2" t="s">
        <v>202</v>
      </c>
    </row>
    <row r="36" s="2" customFormat="1" spans="1:25">
      <c r="A36" s="19">
        <v>81463851</v>
      </c>
      <c r="B36" s="2" t="s">
        <v>278</v>
      </c>
      <c r="C36" s="2" t="s">
        <v>196</v>
      </c>
      <c r="D36" s="2" t="s">
        <v>279</v>
      </c>
      <c r="E36" s="2" t="s">
        <v>317</v>
      </c>
      <c r="F36" s="2" t="s">
        <v>318</v>
      </c>
      <c r="G36" s="7">
        <v>228</v>
      </c>
      <c r="H36" s="2" t="s">
        <v>198</v>
      </c>
      <c r="I36" s="2" t="s">
        <v>221</v>
      </c>
      <c r="J36" s="2" t="s">
        <v>221</v>
      </c>
      <c r="K36" s="2" t="s">
        <v>319</v>
      </c>
      <c r="L36" s="7">
        <v>120</v>
      </c>
      <c r="M36" s="7">
        <v>210</v>
      </c>
      <c r="N36" s="7">
        <v>120</v>
      </c>
      <c r="O36" s="2" t="s">
        <v>176</v>
      </c>
      <c r="P36" s="7">
        <v>1</v>
      </c>
      <c r="Q36" s="7">
        <v>1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2" t="s">
        <v>201</v>
      </c>
      <c r="X36" s="2" t="s">
        <v>201</v>
      </c>
      <c r="Y36" s="2" t="s">
        <v>202</v>
      </c>
    </row>
    <row r="37" s="2" customFormat="1" spans="1:25">
      <c r="A37" s="19">
        <v>81463850</v>
      </c>
      <c r="B37" s="2" t="s">
        <v>278</v>
      </c>
      <c r="C37" s="2" t="s">
        <v>196</v>
      </c>
      <c r="D37" s="2" t="s">
        <v>279</v>
      </c>
      <c r="E37" s="2" t="s">
        <v>317</v>
      </c>
      <c r="F37" s="2" t="s">
        <v>318</v>
      </c>
      <c r="G37" s="7">
        <v>240</v>
      </c>
      <c r="H37" s="2" t="s">
        <v>198</v>
      </c>
      <c r="I37" s="2" t="s">
        <v>221</v>
      </c>
      <c r="J37" s="2" t="s">
        <v>221</v>
      </c>
      <c r="K37" s="2" t="s">
        <v>320</v>
      </c>
      <c r="L37" s="7">
        <v>120</v>
      </c>
      <c r="M37" s="7">
        <v>210</v>
      </c>
      <c r="N37" s="7">
        <v>120</v>
      </c>
      <c r="O37" s="2" t="s">
        <v>176</v>
      </c>
      <c r="P37" s="7">
        <v>1</v>
      </c>
      <c r="Q37" s="7">
        <v>1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2" t="s">
        <v>201</v>
      </c>
      <c r="X37" s="2" t="s">
        <v>201</v>
      </c>
      <c r="Y37" s="2" t="s">
        <v>202</v>
      </c>
    </row>
    <row r="38" s="2" customFormat="1" spans="1:25">
      <c r="A38" s="19">
        <v>81463858</v>
      </c>
      <c r="B38" s="2" t="s">
        <v>278</v>
      </c>
      <c r="C38" s="2" t="s">
        <v>196</v>
      </c>
      <c r="D38" s="2" t="s">
        <v>279</v>
      </c>
      <c r="E38" s="2" t="s">
        <v>321</v>
      </c>
      <c r="F38" s="2" t="s">
        <v>322</v>
      </c>
      <c r="G38" s="7">
        <v>216</v>
      </c>
      <c r="H38" s="2" t="s">
        <v>198</v>
      </c>
      <c r="I38" s="2" t="s">
        <v>221</v>
      </c>
      <c r="J38" s="2" t="s">
        <v>221</v>
      </c>
      <c r="K38" s="2" t="s">
        <v>323</v>
      </c>
      <c r="L38" s="7">
        <v>385</v>
      </c>
      <c r="M38" s="7">
        <v>465</v>
      </c>
      <c r="N38" s="7">
        <v>385</v>
      </c>
      <c r="O38" s="2" t="s">
        <v>176</v>
      </c>
      <c r="P38" s="7">
        <v>1</v>
      </c>
      <c r="Q38" s="7">
        <v>1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2" t="s">
        <v>201</v>
      </c>
      <c r="X38" s="2" t="s">
        <v>201</v>
      </c>
      <c r="Y38" s="2" t="s">
        <v>202</v>
      </c>
    </row>
    <row r="39" s="2" customFormat="1" spans="1:25">
      <c r="A39" s="19">
        <v>81463852</v>
      </c>
      <c r="B39" s="2" t="s">
        <v>278</v>
      </c>
      <c r="C39" s="2" t="s">
        <v>196</v>
      </c>
      <c r="D39" s="2" t="s">
        <v>279</v>
      </c>
      <c r="E39" s="2" t="s">
        <v>324</v>
      </c>
      <c r="F39" s="2" t="s">
        <v>325</v>
      </c>
      <c r="G39" s="7">
        <v>252</v>
      </c>
      <c r="H39" s="2" t="s">
        <v>198</v>
      </c>
      <c r="I39" s="2" t="s">
        <v>221</v>
      </c>
      <c r="J39" s="2" t="s">
        <v>221</v>
      </c>
      <c r="K39" s="2" t="s">
        <v>326</v>
      </c>
      <c r="L39" s="7">
        <v>250</v>
      </c>
      <c r="M39" s="7">
        <v>250</v>
      </c>
      <c r="N39" s="7">
        <v>250</v>
      </c>
      <c r="O39" s="2" t="s">
        <v>176</v>
      </c>
      <c r="P39" s="7">
        <v>1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2" t="s">
        <v>201</v>
      </c>
      <c r="X39" s="2" t="s">
        <v>201</v>
      </c>
      <c r="Y39" s="2" t="s">
        <v>202</v>
      </c>
    </row>
    <row r="40" s="2" customFormat="1" spans="1:25">
      <c r="A40" s="19">
        <v>81463859</v>
      </c>
      <c r="B40" s="2" t="s">
        <v>278</v>
      </c>
      <c r="C40" s="2" t="s">
        <v>196</v>
      </c>
      <c r="D40" s="2" t="s">
        <v>279</v>
      </c>
      <c r="E40" s="2" t="s">
        <v>327</v>
      </c>
      <c r="F40" s="2" t="s">
        <v>328</v>
      </c>
      <c r="G40" s="7">
        <v>24</v>
      </c>
      <c r="H40" s="2" t="s">
        <v>198</v>
      </c>
      <c r="I40" s="2" t="s">
        <v>221</v>
      </c>
      <c r="J40" s="2" t="s">
        <v>221</v>
      </c>
      <c r="K40" s="2" t="s">
        <v>329</v>
      </c>
      <c r="L40" s="7">
        <v>120</v>
      </c>
      <c r="M40" s="7">
        <v>150</v>
      </c>
      <c r="N40" s="7">
        <v>120</v>
      </c>
      <c r="O40" s="2" t="s">
        <v>176</v>
      </c>
      <c r="P40" s="7">
        <v>1</v>
      </c>
      <c r="Q40" s="7">
        <v>1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2" t="s">
        <v>201</v>
      </c>
      <c r="X40" s="2" t="s">
        <v>201</v>
      </c>
      <c r="Y40" s="2" t="s">
        <v>202</v>
      </c>
    </row>
    <row r="41" s="2" customFormat="1" spans="1:25">
      <c r="A41" s="19">
        <v>81463860</v>
      </c>
      <c r="B41" s="2" t="s">
        <v>278</v>
      </c>
      <c r="C41" s="2" t="s">
        <v>196</v>
      </c>
      <c r="D41" s="2" t="s">
        <v>279</v>
      </c>
      <c r="E41" s="2" t="s">
        <v>330</v>
      </c>
      <c r="F41" s="2" t="s">
        <v>331</v>
      </c>
      <c r="G41" s="7">
        <v>72</v>
      </c>
      <c r="H41" s="2" t="s">
        <v>198</v>
      </c>
      <c r="I41" s="2" t="s">
        <v>221</v>
      </c>
      <c r="J41" s="2" t="s">
        <v>221</v>
      </c>
      <c r="K41" s="2" t="s">
        <v>332</v>
      </c>
      <c r="L41" s="7">
        <v>355</v>
      </c>
      <c r="M41" s="7">
        <v>650</v>
      </c>
      <c r="N41" s="7">
        <v>355</v>
      </c>
      <c r="O41" s="2" t="s">
        <v>176</v>
      </c>
      <c r="P41" s="7">
        <v>1</v>
      </c>
      <c r="Q41" s="7">
        <v>1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2" t="s">
        <v>201</v>
      </c>
      <c r="X41" s="2" t="s">
        <v>201</v>
      </c>
      <c r="Y41" s="2" t="s">
        <v>202</v>
      </c>
    </row>
    <row r="42" s="2" customFormat="1" spans="1:25">
      <c r="A42" s="19">
        <v>81463861</v>
      </c>
      <c r="B42" s="2" t="s">
        <v>278</v>
      </c>
      <c r="C42" s="2" t="s">
        <v>196</v>
      </c>
      <c r="D42" s="2" t="s">
        <v>279</v>
      </c>
      <c r="E42" s="2" t="s">
        <v>333</v>
      </c>
      <c r="F42" s="2" t="s">
        <v>334</v>
      </c>
      <c r="G42" s="7">
        <v>1024</v>
      </c>
      <c r="H42" s="2" t="s">
        <v>198</v>
      </c>
      <c r="I42" s="2" t="s">
        <v>221</v>
      </c>
      <c r="J42" s="2" t="s">
        <v>221</v>
      </c>
      <c r="K42" s="2" t="s">
        <v>335</v>
      </c>
      <c r="L42" s="7">
        <v>370</v>
      </c>
      <c r="M42" s="7">
        <v>410</v>
      </c>
      <c r="N42" s="7">
        <v>370</v>
      </c>
      <c r="O42" s="2" t="s">
        <v>176</v>
      </c>
      <c r="P42" s="7">
        <v>1</v>
      </c>
      <c r="Q42" s="7">
        <v>1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2" t="s">
        <v>201</v>
      </c>
      <c r="X42" s="2" t="s">
        <v>201</v>
      </c>
      <c r="Y42" s="2" t="s">
        <v>202</v>
      </c>
    </row>
    <row r="43" s="2" customFormat="1" spans="1:25">
      <c r="A43" s="19">
        <v>81463862</v>
      </c>
      <c r="B43" s="2" t="s">
        <v>278</v>
      </c>
      <c r="C43" s="2" t="s">
        <v>196</v>
      </c>
      <c r="D43" s="2" t="s">
        <v>279</v>
      </c>
      <c r="E43" s="2" t="s">
        <v>333</v>
      </c>
      <c r="F43" s="2" t="s">
        <v>334</v>
      </c>
      <c r="G43" s="7">
        <v>339</v>
      </c>
      <c r="H43" s="2" t="s">
        <v>198</v>
      </c>
      <c r="I43" s="2" t="s">
        <v>221</v>
      </c>
      <c r="J43" s="2" t="s">
        <v>221</v>
      </c>
      <c r="K43" s="2" t="s">
        <v>336</v>
      </c>
      <c r="L43" s="7">
        <v>370</v>
      </c>
      <c r="M43" s="7">
        <v>410</v>
      </c>
      <c r="N43" s="7">
        <v>370</v>
      </c>
      <c r="O43" s="2" t="s">
        <v>176</v>
      </c>
      <c r="P43" s="7">
        <v>1</v>
      </c>
      <c r="Q43" s="7">
        <v>1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2" t="s">
        <v>201</v>
      </c>
      <c r="X43" s="2" t="s">
        <v>201</v>
      </c>
      <c r="Y43" s="2" t="s">
        <v>202</v>
      </c>
    </row>
    <row r="44" s="2" customFormat="1" spans="1:25">
      <c r="A44" s="19">
        <v>81463853</v>
      </c>
      <c r="B44" s="2" t="s">
        <v>278</v>
      </c>
      <c r="C44" s="2" t="s">
        <v>196</v>
      </c>
      <c r="D44" s="2" t="s">
        <v>279</v>
      </c>
      <c r="E44" s="2" t="s">
        <v>337</v>
      </c>
      <c r="F44" s="2" t="s">
        <v>338</v>
      </c>
      <c r="G44" s="7">
        <v>24</v>
      </c>
      <c r="H44" s="2" t="s">
        <v>198</v>
      </c>
      <c r="I44" s="2" t="s">
        <v>221</v>
      </c>
      <c r="J44" s="2" t="s">
        <v>221</v>
      </c>
      <c r="K44" s="2" t="s">
        <v>339</v>
      </c>
      <c r="L44" s="7">
        <v>150</v>
      </c>
      <c r="M44" s="7">
        <v>250</v>
      </c>
      <c r="N44" s="7">
        <v>150</v>
      </c>
      <c r="O44" s="2" t="s">
        <v>176</v>
      </c>
      <c r="P44" s="7">
        <v>1</v>
      </c>
      <c r="Q44" s="7">
        <v>1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2" t="s">
        <v>201</v>
      </c>
      <c r="X44" s="2" t="s">
        <v>201</v>
      </c>
      <c r="Y44" s="2" t="s">
        <v>202</v>
      </c>
    </row>
    <row r="45" s="2" customFormat="1" spans="1:25">
      <c r="A45" s="19">
        <v>81463889</v>
      </c>
      <c r="B45" s="2" t="s">
        <v>278</v>
      </c>
      <c r="C45" s="2" t="s">
        <v>196</v>
      </c>
      <c r="D45" s="2" t="s">
        <v>279</v>
      </c>
      <c r="E45" s="2" t="s">
        <v>340</v>
      </c>
      <c r="F45" s="2" t="s">
        <v>341</v>
      </c>
      <c r="G45" s="7">
        <v>768</v>
      </c>
      <c r="H45" s="2" t="s">
        <v>198</v>
      </c>
      <c r="I45" s="2" t="s">
        <v>221</v>
      </c>
      <c r="J45" s="2" t="s">
        <v>221</v>
      </c>
      <c r="K45" s="2" t="s">
        <v>342</v>
      </c>
      <c r="L45" s="7">
        <v>435</v>
      </c>
      <c r="M45" s="7">
        <v>450</v>
      </c>
      <c r="N45" s="7">
        <v>435</v>
      </c>
      <c r="O45" s="2" t="s">
        <v>176</v>
      </c>
      <c r="P45" s="7">
        <v>1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2" t="s">
        <v>201</v>
      </c>
      <c r="X45" s="2" t="s">
        <v>201</v>
      </c>
      <c r="Y45" s="2" t="s">
        <v>202</v>
      </c>
    </row>
    <row r="46" s="2" customFormat="1" spans="1:25">
      <c r="A46" s="19">
        <v>81463890</v>
      </c>
      <c r="B46" s="2" t="s">
        <v>278</v>
      </c>
      <c r="C46" s="2" t="s">
        <v>196</v>
      </c>
      <c r="D46" s="2" t="s">
        <v>279</v>
      </c>
      <c r="E46" s="2" t="s">
        <v>343</v>
      </c>
      <c r="F46" s="2" t="s">
        <v>344</v>
      </c>
      <c r="G46" s="7">
        <v>104</v>
      </c>
      <c r="H46" s="2" t="s">
        <v>198</v>
      </c>
      <c r="I46" s="2" t="s">
        <v>221</v>
      </c>
      <c r="J46" s="2" t="s">
        <v>221</v>
      </c>
      <c r="K46" s="2" t="s">
        <v>345</v>
      </c>
      <c r="L46" s="7">
        <v>265</v>
      </c>
      <c r="M46" s="7">
        <v>370</v>
      </c>
      <c r="N46" s="7">
        <v>265</v>
      </c>
      <c r="O46" s="2" t="s">
        <v>176</v>
      </c>
      <c r="P46" s="7">
        <v>1</v>
      </c>
      <c r="Q46" s="7">
        <v>1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2" t="s">
        <v>201</v>
      </c>
      <c r="X46" s="2" t="s">
        <v>201</v>
      </c>
      <c r="Y46" s="2" t="s">
        <v>202</v>
      </c>
    </row>
    <row r="47" s="2" customFormat="1" spans="1:25">
      <c r="A47" s="19">
        <v>81463893</v>
      </c>
      <c r="B47" s="2" t="s">
        <v>278</v>
      </c>
      <c r="C47" s="2" t="s">
        <v>196</v>
      </c>
      <c r="D47" s="2" t="s">
        <v>279</v>
      </c>
      <c r="E47" s="2" t="s">
        <v>343</v>
      </c>
      <c r="F47" s="2" t="s">
        <v>344</v>
      </c>
      <c r="G47" s="7">
        <v>152</v>
      </c>
      <c r="H47" s="2" t="s">
        <v>198</v>
      </c>
      <c r="I47" s="2" t="s">
        <v>221</v>
      </c>
      <c r="J47" s="2" t="s">
        <v>221</v>
      </c>
      <c r="K47" s="2" t="s">
        <v>346</v>
      </c>
      <c r="L47" s="7">
        <v>265</v>
      </c>
      <c r="M47" s="7">
        <v>370</v>
      </c>
      <c r="N47" s="7">
        <v>265</v>
      </c>
      <c r="O47" s="2" t="s">
        <v>176</v>
      </c>
      <c r="P47" s="7">
        <v>1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2" t="s">
        <v>201</v>
      </c>
      <c r="X47" s="2" t="s">
        <v>201</v>
      </c>
      <c r="Y47" s="2" t="s">
        <v>202</v>
      </c>
    </row>
    <row r="48" s="2" customFormat="1" spans="1:25">
      <c r="A48" s="19">
        <v>81463892</v>
      </c>
      <c r="B48" s="2" t="s">
        <v>278</v>
      </c>
      <c r="C48" s="2" t="s">
        <v>196</v>
      </c>
      <c r="D48" s="2" t="s">
        <v>279</v>
      </c>
      <c r="E48" s="2" t="s">
        <v>343</v>
      </c>
      <c r="F48" s="2" t="s">
        <v>344</v>
      </c>
      <c r="G48" s="7">
        <v>304</v>
      </c>
      <c r="H48" s="2" t="s">
        <v>198</v>
      </c>
      <c r="I48" s="2" t="s">
        <v>221</v>
      </c>
      <c r="J48" s="2" t="s">
        <v>221</v>
      </c>
      <c r="K48" s="2" t="s">
        <v>347</v>
      </c>
      <c r="L48" s="7">
        <v>265</v>
      </c>
      <c r="M48" s="7">
        <v>370</v>
      </c>
      <c r="N48" s="7">
        <v>265</v>
      </c>
      <c r="O48" s="2" t="s">
        <v>176</v>
      </c>
      <c r="P48" s="7">
        <v>1</v>
      </c>
      <c r="Q48" s="7">
        <v>1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2" t="s">
        <v>201</v>
      </c>
      <c r="X48" s="2" t="s">
        <v>201</v>
      </c>
      <c r="Y48" s="2" t="s">
        <v>202</v>
      </c>
    </row>
    <row r="49" s="2" customFormat="1" spans="1:25">
      <c r="A49" s="19">
        <v>81463891</v>
      </c>
      <c r="B49" s="2" t="s">
        <v>278</v>
      </c>
      <c r="C49" s="2" t="s">
        <v>196</v>
      </c>
      <c r="D49" s="2" t="s">
        <v>279</v>
      </c>
      <c r="E49" s="2" t="s">
        <v>343</v>
      </c>
      <c r="F49" s="2" t="s">
        <v>344</v>
      </c>
      <c r="G49" s="7">
        <v>704</v>
      </c>
      <c r="H49" s="2" t="s">
        <v>198</v>
      </c>
      <c r="I49" s="2" t="s">
        <v>221</v>
      </c>
      <c r="J49" s="2" t="s">
        <v>221</v>
      </c>
      <c r="K49" s="2" t="s">
        <v>348</v>
      </c>
      <c r="L49" s="7">
        <v>265</v>
      </c>
      <c r="M49" s="7">
        <v>370</v>
      </c>
      <c r="N49" s="7">
        <v>265</v>
      </c>
      <c r="O49" s="2" t="s">
        <v>176</v>
      </c>
      <c r="P49" s="7">
        <v>1</v>
      </c>
      <c r="Q49" s="7">
        <v>1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2" t="s">
        <v>201</v>
      </c>
      <c r="X49" s="2" t="s">
        <v>201</v>
      </c>
      <c r="Y49" s="2" t="s">
        <v>202</v>
      </c>
    </row>
    <row r="50" s="2" customFormat="1" spans="1:25">
      <c r="A50" s="19">
        <v>81463863</v>
      </c>
      <c r="B50" s="2" t="s">
        <v>278</v>
      </c>
      <c r="C50" s="2" t="s">
        <v>196</v>
      </c>
      <c r="D50" s="2" t="s">
        <v>279</v>
      </c>
      <c r="E50" s="2" t="s">
        <v>349</v>
      </c>
      <c r="F50" s="2" t="s">
        <v>350</v>
      </c>
      <c r="G50" s="7">
        <v>7</v>
      </c>
      <c r="H50" s="2" t="s">
        <v>198</v>
      </c>
      <c r="I50" s="2" t="s">
        <v>221</v>
      </c>
      <c r="J50" s="2" t="s">
        <v>221</v>
      </c>
      <c r="K50" s="2" t="s">
        <v>351</v>
      </c>
      <c r="L50" s="7">
        <v>173</v>
      </c>
      <c r="M50" s="7">
        <v>180</v>
      </c>
      <c r="N50" s="7">
        <v>173</v>
      </c>
      <c r="O50" s="2" t="s">
        <v>176</v>
      </c>
      <c r="P50" s="7">
        <v>1</v>
      </c>
      <c r="Q50" s="7">
        <v>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2" t="s">
        <v>201</v>
      </c>
      <c r="X50" s="2" t="s">
        <v>201</v>
      </c>
      <c r="Y50" s="2" t="s">
        <v>202</v>
      </c>
    </row>
    <row r="51" s="2" customFormat="1" spans="1:25">
      <c r="A51" s="19">
        <v>81463864</v>
      </c>
      <c r="B51" s="2" t="s">
        <v>278</v>
      </c>
      <c r="C51" s="2" t="s">
        <v>196</v>
      </c>
      <c r="D51" s="2" t="s">
        <v>279</v>
      </c>
      <c r="E51" s="2" t="s">
        <v>352</v>
      </c>
      <c r="F51" s="2" t="s">
        <v>353</v>
      </c>
      <c r="G51" s="7">
        <v>144</v>
      </c>
      <c r="H51" s="2" t="s">
        <v>198</v>
      </c>
      <c r="I51" s="2" t="s">
        <v>221</v>
      </c>
      <c r="J51" s="2" t="s">
        <v>221</v>
      </c>
      <c r="K51" s="2" t="s">
        <v>354</v>
      </c>
      <c r="L51" s="7">
        <v>345</v>
      </c>
      <c r="M51" s="7">
        <v>450</v>
      </c>
      <c r="N51" s="7">
        <v>345</v>
      </c>
      <c r="O51" s="2" t="s">
        <v>176</v>
      </c>
      <c r="P51" s="7">
        <v>1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2" t="s">
        <v>201</v>
      </c>
      <c r="X51" s="2" t="s">
        <v>201</v>
      </c>
      <c r="Y51" s="2" t="s">
        <v>202</v>
      </c>
    </row>
    <row r="52" s="2" customFormat="1" spans="1:25">
      <c r="A52" s="19">
        <v>81463865</v>
      </c>
      <c r="B52" s="2" t="s">
        <v>278</v>
      </c>
      <c r="C52" s="2" t="s">
        <v>196</v>
      </c>
      <c r="D52" s="2" t="s">
        <v>279</v>
      </c>
      <c r="E52" s="2" t="s">
        <v>352</v>
      </c>
      <c r="F52" s="2" t="s">
        <v>353</v>
      </c>
      <c r="G52" s="7">
        <v>18</v>
      </c>
      <c r="H52" s="2" t="s">
        <v>198</v>
      </c>
      <c r="I52" s="2" t="s">
        <v>221</v>
      </c>
      <c r="J52" s="2" t="s">
        <v>221</v>
      </c>
      <c r="K52" s="2" t="s">
        <v>355</v>
      </c>
      <c r="L52" s="7">
        <v>345</v>
      </c>
      <c r="M52" s="7">
        <v>450</v>
      </c>
      <c r="N52" s="7">
        <v>345</v>
      </c>
      <c r="O52" s="2" t="s">
        <v>176</v>
      </c>
      <c r="P52" s="7">
        <v>1</v>
      </c>
      <c r="Q52" s="7">
        <v>1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2" t="s">
        <v>201</v>
      </c>
      <c r="X52" s="2" t="s">
        <v>201</v>
      </c>
      <c r="Y52" s="2" t="s">
        <v>202</v>
      </c>
    </row>
    <row r="53" s="2" customFormat="1" spans="1:25">
      <c r="A53" s="19">
        <v>81463866</v>
      </c>
      <c r="B53" s="2" t="s">
        <v>278</v>
      </c>
      <c r="C53" s="2" t="s">
        <v>196</v>
      </c>
      <c r="D53" s="2" t="s">
        <v>279</v>
      </c>
      <c r="E53" s="2" t="s">
        <v>34</v>
      </c>
      <c r="F53" s="2" t="s">
        <v>35</v>
      </c>
      <c r="G53" s="7">
        <v>1008</v>
      </c>
      <c r="H53" s="2" t="s">
        <v>198</v>
      </c>
      <c r="I53" s="2" t="s">
        <v>221</v>
      </c>
      <c r="J53" s="2" t="s">
        <v>221</v>
      </c>
      <c r="K53" s="2" t="s">
        <v>356</v>
      </c>
      <c r="L53" s="7">
        <v>350</v>
      </c>
      <c r="M53" s="7">
        <v>385</v>
      </c>
      <c r="N53" s="7">
        <v>350</v>
      </c>
      <c r="O53" s="2" t="s">
        <v>176</v>
      </c>
      <c r="P53" s="7">
        <v>1</v>
      </c>
      <c r="Q53" s="7">
        <v>1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2" t="s">
        <v>201</v>
      </c>
      <c r="X53" s="2" t="s">
        <v>201</v>
      </c>
      <c r="Y53" s="2" t="s">
        <v>202</v>
      </c>
    </row>
    <row r="54" s="2" customFormat="1" spans="1:25">
      <c r="A54" s="19">
        <v>81463867</v>
      </c>
      <c r="B54" s="2" t="s">
        <v>278</v>
      </c>
      <c r="C54" s="2" t="s">
        <v>196</v>
      </c>
      <c r="D54" s="2" t="s">
        <v>279</v>
      </c>
      <c r="E54" s="2" t="s">
        <v>34</v>
      </c>
      <c r="F54" s="2" t="s">
        <v>35</v>
      </c>
      <c r="G54" s="7">
        <v>1440</v>
      </c>
      <c r="H54" s="2" t="s">
        <v>198</v>
      </c>
      <c r="I54" s="2" t="s">
        <v>221</v>
      </c>
      <c r="J54" s="2" t="s">
        <v>221</v>
      </c>
      <c r="K54" s="2" t="s">
        <v>357</v>
      </c>
      <c r="L54" s="7">
        <v>350</v>
      </c>
      <c r="M54" s="7">
        <v>385</v>
      </c>
      <c r="N54" s="7">
        <v>350</v>
      </c>
      <c r="O54" s="2" t="s">
        <v>176</v>
      </c>
      <c r="P54" s="7">
        <v>1</v>
      </c>
      <c r="Q54" s="7">
        <v>1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2" t="s">
        <v>201</v>
      </c>
      <c r="X54" s="2" t="s">
        <v>201</v>
      </c>
      <c r="Y54" s="2" t="s">
        <v>202</v>
      </c>
    </row>
    <row r="55" s="2" customFormat="1" spans="1:25">
      <c r="A55" s="19">
        <v>81463901</v>
      </c>
      <c r="B55" s="2" t="s">
        <v>278</v>
      </c>
      <c r="C55" s="2" t="s">
        <v>196</v>
      </c>
      <c r="D55" s="2" t="s">
        <v>279</v>
      </c>
      <c r="E55" s="2" t="s">
        <v>358</v>
      </c>
      <c r="F55" s="2" t="s">
        <v>359</v>
      </c>
      <c r="G55" s="7">
        <v>72</v>
      </c>
      <c r="H55" s="2" t="s">
        <v>198</v>
      </c>
      <c r="I55" s="2" t="s">
        <v>221</v>
      </c>
      <c r="J55" s="2" t="s">
        <v>221</v>
      </c>
      <c r="K55" s="2" t="s">
        <v>360</v>
      </c>
      <c r="L55" s="7">
        <v>350</v>
      </c>
      <c r="M55" s="7">
        <v>380</v>
      </c>
      <c r="N55" s="7">
        <v>350</v>
      </c>
      <c r="O55" s="2" t="s">
        <v>176</v>
      </c>
      <c r="P55" s="7">
        <v>1</v>
      </c>
      <c r="Q55" s="7">
        <v>1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2" t="s">
        <v>201</v>
      </c>
      <c r="X55" s="2" t="s">
        <v>201</v>
      </c>
      <c r="Y55" s="2" t="s">
        <v>202</v>
      </c>
    </row>
    <row r="56" s="2" customFormat="1" spans="1:25">
      <c r="A56" s="19">
        <v>81463902</v>
      </c>
      <c r="B56" s="2" t="s">
        <v>278</v>
      </c>
      <c r="C56" s="2" t="s">
        <v>196</v>
      </c>
      <c r="D56" s="2" t="s">
        <v>279</v>
      </c>
      <c r="E56" s="2" t="s">
        <v>358</v>
      </c>
      <c r="F56" s="2" t="s">
        <v>359</v>
      </c>
      <c r="G56" s="7">
        <v>72</v>
      </c>
      <c r="H56" s="2" t="s">
        <v>198</v>
      </c>
      <c r="I56" s="2" t="s">
        <v>221</v>
      </c>
      <c r="J56" s="2" t="s">
        <v>221</v>
      </c>
      <c r="K56" s="2" t="s">
        <v>361</v>
      </c>
      <c r="L56" s="7">
        <v>350</v>
      </c>
      <c r="M56" s="7">
        <v>380</v>
      </c>
      <c r="N56" s="7">
        <v>350</v>
      </c>
      <c r="O56" s="2" t="s">
        <v>176</v>
      </c>
      <c r="P56" s="7">
        <v>1</v>
      </c>
      <c r="Q56" s="7">
        <v>1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2" t="s">
        <v>201</v>
      </c>
      <c r="X56" s="2" t="s">
        <v>201</v>
      </c>
      <c r="Y56" s="2" t="s">
        <v>202</v>
      </c>
    </row>
    <row r="57" s="2" customFormat="1" spans="1:25">
      <c r="A57" s="19">
        <v>81463868</v>
      </c>
      <c r="B57" s="2" t="s">
        <v>278</v>
      </c>
      <c r="C57" s="2" t="s">
        <v>196</v>
      </c>
      <c r="D57" s="2" t="s">
        <v>279</v>
      </c>
      <c r="E57" s="2" t="s">
        <v>362</v>
      </c>
      <c r="F57" s="2" t="s">
        <v>363</v>
      </c>
      <c r="G57" s="7">
        <v>192</v>
      </c>
      <c r="H57" s="2" t="s">
        <v>198</v>
      </c>
      <c r="I57" s="2" t="s">
        <v>221</v>
      </c>
      <c r="J57" s="2" t="s">
        <v>221</v>
      </c>
      <c r="K57" s="2" t="s">
        <v>364</v>
      </c>
      <c r="L57" s="7">
        <v>380</v>
      </c>
      <c r="M57" s="7">
        <v>395</v>
      </c>
      <c r="N57" s="7">
        <v>380</v>
      </c>
      <c r="O57" s="2" t="s">
        <v>176</v>
      </c>
      <c r="P57" s="7">
        <v>1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2" t="s">
        <v>201</v>
      </c>
      <c r="X57" s="2" t="s">
        <v>201</v>
      </c>
      <c r="Y57" s="2" t="s">
        <v>202</v>
      </c>
    </row>
    <row r="58" s="2" customFormat="1" spans="1:25">
      <c r="A58" s="19">
        <v>81463869</v>
      </c>
      <c r="B58" s="2" t="s">
        <v>278</v>
      </c>
      <c r="C58" s="2" t="s">
        <v>196</v>
      </c>
      <c r="D58" s="2" t="s">
        <v>279</v>
      </c>
      <c r="E58" s="2" t="s">
        <v>362</v>
      </c>
      <c r="F58" s="2" t="s">
        <v>363</v>
      </c>
      <c r="G58" s="7">
        <v>672</v>
      </c>
      <c r="H58" s="2" t="s">
        <v>198</v>
      </c>
      <c r="I58" s="2" t="s">
        <v>221</v>
      </c>
      <c r="J58" s="2" t="s">
        <v>221</v>
      </c>
      <c r="K58" s="2" t="s">
        <v>365</v>
      </c>
      <c r="L58" s="7">
        <v>380</v>
      </c>
      <c r="M58" s="7">
        <v>395</v>
      </c>
      <c r="N58" s="7">
        <v>380</v>
      </c>
      <c r="O58" s="2" t="s">
        <v>176</v>
      </c>
      <c r="P58" s="7">
        <v>1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2" t="s">
        <v>201</v>
      </c>
      <c r="X58" s="2" t="s">
        <v>201</v>
      </c>
      <c r="Y58" s="2" t="s">
        <v>202</v>
      </c>
    </row>
    <row r="59" s="2" customFormat="1" spans="1:25">
      <c r="A59" s="19">
        <v>81463870</v>
      </c>
      <c r="B59" s="2" t="s">
        <v>278</v>
      </c>
      <c r="C59" s="2" t="s">
        <v>196</v>
      </c>
      <c r="D59" s="2" t="s">
        <v>279</v>
      </c>
      <c r="E59" s="2" t="s">
        <v>362</v>
      </c>
      <c r="F59" s="2" t="s">
        <v>363</v>
      </c>
      <c r="G59" s="7">
        <v>768</v>
      </c>
      <c r="H59" s="2" t="s">
        <v>198</v>
      </c>
      <c r="I59" s="2" t="s">
        <v>221</v>
      </c>
      <c r="J59" s="2" t="s">
        <v>221</v>
      </c>
      <c r="K59" s="2" t="s">
        <v>366</v>
      </c>
      <c r="L59" s="7">
        <v>380</v>
      </c>
      <c r="M59" s="7">
        <v>395</v>
      </c>
      <c r="N59" s="7">
        <v>380</v>
      </c>
      <c r="O59" s="2" t="s">
        <v>176</v>
      </c>
      <c r="P59" s="7">
        <v>1</v>
      </c>
      <c r="Q59" s="7">
        <v>1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2" t="s">
        <v>201</v>
      </c>
      <c r="X59" s="2" t="s">
        <v>201</v>
      </c>
      <c r="Y59" s="2" t="s">
        <v>202</v>
      </c>
    </row>
    <row r="60" s="2" customFormat="1" spans="1:25">
      <c r="A60" s="19">
        <v>81463871</v>
      </c>
      <c r="B60" s="2" t="s">
        <v>278</v>
      </c>
      <c r="C60" s="2" t="s">
        <v>196</v>
      </c>
      <c r="D60" s="2" t="s">
        <v>279</v>
      </c>
      <c r="E60" s="2" t="s">
        <v>19</v>
      </c>
      <c r="F60" s="2" t="s">
        <v>20</v>
      </c>
      <c r="G60" s="7">
        <v>64</v>
      </c>
      <c r="H60" s="2" t="s">
        <v>198</v>
      </c>
      <c r="I60" s="2" t="s">
        <v>221</v>
      </c>
      <c r="J60" s="2" t="s">
        <v>221</v>
      </c>
      <c r="K60" s="2" t="s">
        <v>22</v>
      </c>
      <c r="L60" s="7">
        <v>360</v>
      </c>
      <c r="M60" s="7">
        <v>450</v>
      </c>
      <c r="N60" s="7">
        <v>360</v>
      </c>
      <c r="O60" s="2" t="s">
        <v>176</v>
      </c>
      <c r="P60" s="7">
        <v>1</v>
      </c>
      <c r="Q60" s="7">
        <v>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2" t="s">
        <v>201</v>
      </c>
      <c r="X60" s="2" t="s">
        <v>201</v>
      </c>
      <c r="Y60" s="2" t="s">
        <v>202</v>
      </c>
    </row>
    <row r="61" s="2" customFormat="1" spans="1:25">
      <c r="A61" s="19">
        <v>81463900</v>
      </c>
      <c r="B61" s="2" t="s">
        <v>278</v>
      </c>
      <c r="C61" s="2" t="s">
        <v>196</v>
      </c>
      <c r="D61" s="2" t="s">
        <v>279</v>
      </c>
      <c r="E61" s="2" t="s">
        <v>164</v>
      </c>
      <c r="F61" s="2" t="s">
        <v>367</v>
      </c>
      <c r="G61" s="7">
        <v>130</v>
      </c>
      <c r="H61" s="2" t="s">
        <v>198</v>
      </c>
      <c r="I61" s="2" t="s">
        <v>221</v>
      </c>
      <c r="J61" s="2" t="s">
        <v>221</v>
      </c>
      <c r="K61" s="2" t="s">
        <v>368</v>
      </c>
      <c r="L61" s="7">
        <v>140</v>
      </c>
      <c r="M61" s="7">
        <v>255</v>
      </c>
      <c r="N61" s="7">
        <v>140</v>
      </c>
      <c r="O61" s="2" t="s">
        <v>176</v>
      </c>
      <c r="P61" s="7">
        <v>1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2" t="s">
        <v>201</v>
      </c>
      <c r="X61" s="2" t="s">
        <v>201</v>
      </c>
      <c r="Y61" s="2" t="s">
        <v>202</v>
      </c>
    </row>
    <row r="62" s="2" customFormat="1" spans="1:25">
      <c r="A62" s="19">
        <v>81463872</v>
      </c>
      <c r="B62" s="2" t="s">
        <v>278</v>
      </c>
      <c r="C62" s="2" t="s">
        <v>196</v>
      </c>
      <c r="D62" s="2" t="s">
        <v>279</v>
      </c>
      <c r="E62" s="2" t="s">
        <v>369</v>
      </c>
      <c r="F62" s="2" t="s">
        <v>370</v>
      </c>
      <c r="G62" s="7">
        <v>180</v>
      </c>
      <c r="H62" s="2" t="s">
        <v>198</v>
      </c>
      <c r="I62" s="2" t="s">
        <v>221</v>
      </c>
      <c r="J62" s="2" t="s">
        <v>221</v>
      </c>
      <c r="K62" s="2" t="s">
        <v>371</v>
      </c>
      <c r="L62" s="7">
        <v>350</v>
      </c>
      <c r="M62" s="7">
        <v>470</v>
      </c>
      <c r="N62" s="7">
        <v>350</v>
      </c>
      <c r="O62" s="2" t="s">
        <v>176</v>
      </c>
      <c r="P62" s="7">
        <v>1</v>
      </c>
      <c r="Q62" s="7">
        <v>1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2" t="s">
        <v>201</v>
      </c>
      <c r="X62" s="2" t="s">
        <v>201</v>
      </c>
      <c r="Y62" s="2" t="s">
        <v>202</v>
      </c>
    </row>
    <row r="63" s="2" customFormat="1" spans="1:25">
      <c r="A63" s="19">
        <v>81463874</v>
      </c>
      <c r="B63" s="2" t="s">
        <v>278</v>
      </c>
      <c r="C63" s="2" t="s">
        <v>196</v>
      </c>
      <c r="D63" s="2" t="s">
        <v>279</v>
      </c>
      <c r="E63" s="2" t="s">
        <v>369</v>
      </c>
      <c r="F63" s="2" t="s">
        <v>370</v>
      </c>
      <c r="G63" s="7">
        <v>210</v>
      </c>
      <c r="H63" s="2" t="s">
        <v>198</v>
      </c>
      <c r="I63" s="2" t="s">
        <v>221</v>
      </c>
      <c r="J63" s="2" t="s">
        <v>221</v>
      </c>
      <c r="K63" s="2" t="s">
        <v>372</v>
      </c>
      <c r="L63" s="7">
        <v>350</v>
      </c>
      <c r="M63" s="7">
        <v>470</v>
      </c>
      <c r="N63" s="7">
        <v>350</v>
      </c>
      <c r="O63" s="2" t="s">
        <v>176</v>
      </c>
      <c r="P63" s="7">
        <v>1</v>
      </c>
      <c r="Q63" s="7">
        <v>1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2" t="s">
        <v>201</v>
      </c>
      <c r="X63" s="2" t="s">
        <v>201</v>
      </c>
      <c r="Y63" s="2" t="s">
        <v>202</v>
      </c>
    </row>
    <row r="64" s="2" customFormat="1" spans="1:25">
      <c r="A64" s="19">
        <v>81463873</v>
      </c>
      <c r="B64" s="2" t="s">
        <v>278</v>
      </c>
      <c r="C64" s="2" t="s">
        <v>196</v>
      </c>
      <c r="D64" s="2" t="s">
        <v>279</v>
      </c>
      <c r="E64" s="2" t="s">
        <v>369</v>
      </c>
      <c r="F64" s="2" t="s">
        <v>370</v>
      </c>
      <c r="G64" s="7">
        <v>210</v>
      </c>
      <c r="H64" s="2" t="s">
        <v>198</v>
      </c>
      <c r="I64" s="2" t="s">
        <v>221</v>
      </c>
      <c r="J64" s="2" t="s">
        <v>221</v>
      </c>
      <c r="K64" s="2" t="s">
        <v>373</v>
      </c>
      <c r="L64" s="7">
        <v>350</v>
      </c>
      <c r="M64" s="7">
        <v>470</v>
      </c>
      <c r="N64" s="7">
        <v>350</v>
      </c>
      <c r="O64" s="2" t="s">
        <v>176</v>
      </c>
      <c r="P64" s="7">
        <v>1</v>
      </c>
      <c r="Q64" s="7">
        <v>1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2" t="s">
        <v>201</v>
      </c>
      <c r="X64" s="2" t="s">
        <v>201</v>
      </c>
      <c r="Y64" s="2" t="s">
        <v>202</v>
      </c>
    </row>
    <row r="65" s="2" customFormat="1" spans="1:25">
      <c r="A65" s="19">
        <v>81463894</v>
      </c>
      <c r="B65" s="2" t="s">
        <v>278</v>
      </c>
      <c r="C65" s="2" t="s">
        <v>196</v>
      </c>
      <c r="D65" s="2" t="s">
        <v>279</v>
      </c>
      <c r="E65" s="2" t="s">
        <v>24</v>
      </c>
      <c r="F65" s="2" t="s">
        <v>25</v>
      </c>
      <c r="G65" s="7">
        <v>126</v>
      </c>
      <c r="H65" s="2" t="s">
        <v>198</v>
      </c>
      <c r="I65" s="2" t="s">
        <v>221</v>
      </c>
      <c r="J65" s="2" t="s">
        <v>221</v>
      </c>
      <c r="K65" s="2" t="s">
        <v>374</v>
      </c>
      <c r="L65" s="7">
        <v>255</v>
      </c>
      <c r="M65" s="7">
        <v>390</v>
      </c>
      <c r="N65" s="7">
        <v>255</v>
      </c>
      <c r="O65" s="2" t="s">
        <v>176</v>
      </c>
      <c r="P65" s="7">
        <v>1</v>
      </c>
      <c r="Q65" s="7">
        <v>1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2" t="s">
        <v>201</v>
      </c>
      <c r="X65" s="2" t="s">
        <v>201</v>
      </c>
      <c r="Y65" s="2" t="s">
        <v>202</v>
      </c>
    </row>
    <row r="66" s="2" customFormat="1" spans="1:25">
      <c r="A66" s="19">
        <v>81463895</v>
      </c>
      <c r="B66" s="2" t="s">
        <v>278</v>
      </c>
      <c r="C66" s="2" t="s">
        <v>196</v>
      </c>
      <c r="D66" s="2" t="s">
        <v>279</v>
      </c>
      <c r="E66" s="2" t="s">
        <v>24</v>
      </c>
      <c r="F66" s="2" t="s">
        <v>25</v>
      </c>
      <c r="G66" s="7">
        <v>180</v>
      </c>
      <c r="H66" s="2" t="s">
        <v>198</v>
      </c>
      <c r="I66" s="2" t="s">
        <v>221</v>
      </c>
      <c r="J66" s="2" t="s">
        <v>221</v>
      </c>
      <c r="K66" s="2" t="s">
        <v>375</v>
      </c>
      <c r="L66" s="7">
        <v>255</v>
      </c>
      <c r="M66" s="7">
        <v>390</v>
      </c>
      <c r="N66" s="7">
        <v>255</v>
      </c>
      <c r="O66" s="2" t="s">
        <v>176</v>
      </c>
      <c r="P66" s="7">
        <v>1</v>
      </c>
      <c r="Q66" s="7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2" t="s">
        <v>201</v>
      </c>
      <c r="X66" s="2" t="s">
        <v>201</v>
      </c>
      <c r="Y66" s="2" t="s">
        <v>202</v>
      </c>
    </row>
    <row r="67" s="2" customFormat="1" spans="1:25">
      <c r="A67" s="19">
        <v>81463896</v>
      </c>
      <c r="B67" s="2" t="s">
        <v>278</v>
      </c>
      <c r="C67" s="2" t="s">
        <v>196</v>
      </c>
      <c r="D67" s="2" t="s">
        <v>279</v>
      </c>
      <c r="E67" s="2" t="s">
        <v>24</v>
      </c>
      <c r="F67" s="2" t="s">
        <v>25</v>
      </c>
      <c r="G67" s="7">
        <v>6</v>
      </c>
      <c r="H67" s="2" t="s">
        <v>198</v>
      </c>
      <c r="I67" s="2" t="s">
        <v>221</v>
      </c>
      <c r="J67" s="2" t="s">
        <v>221</v>
      </c>
      <c r="K67" s="2" t="s">
        <v>376</v>
      </c>
      <c r="L67" s="7">
        <v>255</v>
      </c>
      <c r="M67" s="7">
        <v>390</v>
      </c>
      <c r="N67" s="7">
        <v>255</v>
      </c>
      <c r="O67" s="2" t="s">
        <v>176</v>
      </c>
      <c r="P67" s="7">
        <v>1</v>
      </c>
      <c r="Q67" s="7">
        <v>1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2" t="s">
        <v>201</v>
      </c>
      <c r="X67" s="2" t="s">
        <v>201</v>
      </c>
      <c r="Y67" s="2" t="s">
        <v>202</v>
      </c>
    </row>
    <row r="68" s="2" customFormat="1" spans="1:25">
      <c r="A68" s="19">
        <v>81463897</v>
      </c>
      <c r="B68" s="2" t="s">
        <v>278</v>
      </c>
      <c r="C68" s="2" t="s">
        <v>196</v>
      </c>
      <c r="D68" s="2" t="s">
        <v>279</v>
      </c>
      <c r="E68" s="2" t="s">
        <v>24</v>
      </c>
      <c r="F68" s="2" t="s">
        <v>25</v>
      </c>
      <c r="G68" s="7">
        <v>72</v>
      </c>
      <c r="H68" s="2" t="s">
        <v>198</v>
      </c>
      <c r="I68" s="2" t="s">
        <v>221</v>
      </c>
      <c r="J68" s="2" t="s">
        <v>221</v>
      </c>
      <c r="K68" s="2" t="s">
        <v>377</v>
      </c>
      <c r="L68" s="7">
        <v>255</v>
      </c>
      <c r="M68" s="7">
        <v>390</v>
      </c>
      <c r="N68" s="7">
        <v>255</v>
      </c>
      <c r="O68" s="2" t="s">
        <v>176</v>
      </c>
      <c r="P68" s="7">
        <v>1</v>
      </c>
      <c r="Q68" s="7">
        <v>1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2" t="s">
        <v>201</v>
      </c>
      <c r="X68" s="2" t="s">
        <v>201</v>
      </c>
      <c r="Y68" s="2" t="s">
        <v>202</v>
      </c>
    </row>
    <row r="69" s="2" customFormat="1" spans="1:25">
      <c r="A69" s="19">
        <v>81463878</v>
      </c>
      <c r="B69" s="2" t="s">
        <v>278</v>
      </c>
      <c r="C69" s="2" t="s">
        <v>196</v>
      </c>
      <c r="D69" s="2" t="s">
        <v>279</v>
      </c>
      <c r="E69" s="2" t="s">
        <v>170</v>
      </c>
      <c r="F69" s="2" t="s">
        <v>378</v>
      </c>
      <c r="G69" s="7">
        <v>104</v>
      </c>
      <c r="H69" s="2" t="s">
        <v>198</v>
      </c>
      <c r="I69" s="2" t="s">
        <v>221</v>
      </c>
      <c r="J69" s="2" t="s">
        <v>221</v>
      </c>
      <c r="K69" s="2" t="s">
        <v>379</v>
      </c>
      <c r="L69" s="7">
        <v>310</v>
      </c>
      <c r="M69" s="7">
        <v>600</v>
      </c>
      <c r="N69" s="7">
        <v>310</v>
      </c>
      <c r="O69" s="2" t="s">
        <v>176</v>
      </c>
      <c r="P69" s="7">
        <v>1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2" t="s">
        <v>201</v>
      </c>
      <c r="X69" s="2" t="s">
        <v>201</v>
      </c>
      <c r="Y69" s="2" t="s">
        <v>202</v>
      </c>
    </row>
    <row r="70" s="2" customFormat="1" spans="1:25">
      <c r="A70" s="19">
        <v>81463875</v>
      </c>
      <c r="B70" s="2" t="s">
        <v>278</v>
      </c>
      <c r="C70" s="2" t="s">
        <v>196</v>
      </c>
      <c r="D70" s="2" t="s">
        <v>279</v>
      </c>
      <c r="E70" s="2" t="s">
        <v>170</v>
      </c>
      <c r="F70" s="2" t="s">
        <v>378</v>
      </c>
      <c r="G70" s="7">
        <v>192</v>
      </c>
      <c r="H70" s="2" t="s">
        <v>198</v>
      </c>
      <c r="I70" s="2" t="s">
        <v>221</v>
      </c>
      <c r="J70" s="2" t="s">
        <v>221</v>
      </c>
      <c r="K70" s="2" t="s">
        <v>380</v>
      </c>
      <c r="L70" s="7">
        <v>310</v>
      </c>
      <c r="M70" s="7">
        <v>600</v>
      </c>
      <c r="N70" s="7">
        <v>310</v>
      </c>
      <c r="O70" s="2" t="s">
        <v>176</v>
      </c>
      <c r="P70" s="7">
        <v>1</v>
      </c>
      <c r="Q70" s="7">
        <v>1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2" t="s">
        <v>201</v>
      </c>
      <c r="X70" s="2" t="s">
        <v>201</v>
      </c>
      <c r="Y70" s="2" t="s">
        <v>202</v>
      </c>
    </row>
    <row r="71" s="2" customFormat="1" spans="1:25">
      <c r="A71" s="19">
        <v>81463876</v>
      </c>
      <c r="B71" s="2" t="s">
        <v>278</v>
      </c>
      <c r="C71" s="2" t="s">
        <v>196</v>
      </c>
      <c r="D71" s="2" t="s">
        <v>279</v>
      </c>
      <c r="E71" s="2" t="s">
        <v>170</v>
      </c>
      <c r="F71" s="2" t="s">
        <v>378</v>
      </c>
      <c r="G71" s="7">
        <v>192</v>
      </c>
      <c r="H71" s="2" t="s">
        <v>198</v>
      </c>
      <c r="I71" s="2" t="s">
        <v>221</v>
      </c>
      <c r="J71" s="2" t="s">
        <v>221</v>
      </c>
      <c r="K71" s="2" t="s">
        <v>381</v>
      </c>
      <c r="L71" s="7">
        <v>310</v>
      </c>
      <c r="M71" s="7">
        <v>600</v>
      </c>
      <c r="N71" s="7">
        <v>310</v>
      </c>
      <c r="O71" s="2" t="s">
        <v>176</v>
      </c>
      <c r="P71" s="7">
        <v>1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2" t="s">
        <v>201</v>
      </c>
      <c r="X71" s="2" t="s">
        <v>201</v>
      </c>
      <c r="Y71" s="2" t="s">
        <v>202</v>
      </c>
    </row>
    <row r="72" s="2" customFormat="1" spans="1:25">
      <c r="A72" s="19">
        <v>81463877</v>
      </c>
      <c r="B72" s="2" t="s">
        <v>278</v>
      </c>
      <c r="C72" s="2" t="s">
        <v>196</v>
      </c>
      <c r="D72" s="2" t="s">
        <v>279</v>
      </c>
      <c r="E72" s="2" t="s">
        <v>170</v>
      </c>
      <c r="F72" s="2" t="s">
        <v>378</v>
      </c>
      <c r="G72" s="7">
        <v>192</v>
      </c>
      <c r="H72" s="2" t="s">
        <v>198</v>
      </c>
      <c r="I72" s="2" t="s">
        <v>221</v>
      </c>
      <c r="J72" s="2" t="s">
        <v>221</v>
      </c>
      <c r="K72" s="2" t="s">
        <v>382</v>
      </c>
      <c r="L72" s="7">
        <v>310</v>
      </c>
      <c r="M72" s="7">
        <v>600</v>
      </c>
      <c r="N72" s="7">
        <v>310</v>
      </c>
      <c r="O72" s="2" t="s">
        <v>176</v>
      </c>
      <c r="P72" s="7">
        <v>1</v>
      </c>
      <c r="Q72" s="7">
        <v>1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2" t="s">
        <v>201</v>
      </c>
      <c r="X72" s="2" t="s">
        <v>201</v>
      </c>
      <c r="Y72" s="2" t="s">
        <v>202</v>
      </c>
    </row>
    <row r="73" s="2" customFormat="1" spans="1:25">
      <c r="A73" s="19">
        <v>81463879</v>
      </c>
      <c r="B73" s="2" t="s">
        <v>278</v>
      </c>
      <c r="C73" s="2" t="s">
        <v>196</v>
      </c>
      <c r="D73" s="2" t="s">
        <v>279</v>
      </c>
      <c r="E73" s="2" t="s">
        <v>166</v>
      </c>
      <c r="F73" s="2" t="s">
        <v>383</v>
      </c>
      <c r="G73" s="7">
        <v>432</v>
      </c>
      <c r="H73" s="2" t="s">
        <v>198</v>
      </c>
      <c r="I73" s="2" t="s">
        <v>221</v>
      </c>
      <c r="J73" s="2" t="s">
        <v>221</v>
      </c>
      <c r="K73" s="2" t="s">
        <v>384</v>
      </c>
      <c r="L73" s="7">
        <v>430</v>
      </c>
      <c r="M73" s="7">
        <v>435</v>
      </c>
      <c r="N73" s="7">
        <v>430</v>
      </c>
      <c r="O73" s="2" t="s">
        <v>176</v>
      </c>
      <c r="P73" s="7">
        <v>1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2" t="s">
        <v>201</v>
      </c>
      <c r="X73" s="2" t="s">
        <v>201</v>
      </c>
      <c r="Y73" s="2" t="s">
        <v>202</v>
      </c>
    </row>
    <row r="74" s="2" customFormat="1" spans="1:25">
      <c r="A74" s="19">
        <v>81463880</v>
      </c>
      <c r="B74" s="2" t="s">
        <v>278</v>
      </c>
      <c r="C74" s="2" t="s">
        <v>196</v>
      </c>
      <c r="D74" s="2" t="s">
        <v>279</v>
      </c>
      <c r="E74" s="2" t="s">
        <v>385</v>
      </c>
      <c r="F74" s="2" t="s">
        <v>386</v>
      </c>
      <c r="G74" s="7">
        <v>24</v>
      </c>
      <c r="H74" s="2" t="s">
        <v>198</v>
      </c>
      <c r="I74" s="2" t="s">
        <v>221</v>
      </c>
      <c r="J74" s="2" t="s">
        <v>221</v>
      </c>
      <c r="K74" s="2" t="s">
        <v>387</v>
      </c>
      <c r="L74" s="7">
        <v>400</v>
      </c>
      <c r="M74" s="7">
        <v>405</v>
      </c>
      <c r="N74" s="7">
        <v>400</v>
      </c>
      <c r="O74" s="2" t="s">
        <v>176</v>
      </c>
      <c r="P74" s="7">
        <v>1</v>
      </c>
      <c r="Q74" s="7">
        <v>1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2" t="s">
        <v>201</v>
      </c>
      <c r="X74" s="2" t="s">
        <v>201</v>
      </c>
      <c r="Y74" s="2" t="s">
        <v>202</v>
      </c>
    </row>
    <row r="75" s="2" customFormat="1" spans="1:25">
      <c r="A75" s="19">
        <v>81463881</v>
      </c>
      <c r="B75" s="2" t="s">
        <v>278</v>
      </c>
      <c r="C75" s="2" t="s">
        <v>196</v>
      </c>
      <c r="D75" s="2" t="s">
        <v>279</v>
      </c>
      <c r="E75" s="2" t="s">
        <v>388</v>
      </c>
      <c r="F75" s="2" t="s">
        <v>389</v>
      </c>
      <c r="G75" s="7">
        <v>12</v>
      </c>
      <c r="H75" s="2" t="s">
        <v>390</v>
      </c>
      <c r="I75" s="2" t="s">
        <v>221</v>
      </c>
      <c r="J75" s="2" t="s">
        <v>221</v>
      </c>
      <c r="K75" s="2" t="s">
        <v>391</v>
      </c>
      <c r="L75" s="7">
        <v>260</v>
      </c>
      <c r="M75" s="7">
        <v>355</v>
      </c>
      <c r="N75" s="7">
        <v>260</v>
      </c>
      <c r="O75" s="2" t="s">
        <v>176</v>
      </c>
      <c r="P75" s="7">
        <v>1</v>
      </c>
      <c r="Q75" s="7">
        <v>1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2" t="s">
        <v>201</v>
      </c>
      <c r="X75" s="2" t="s">
        <v>201</v>
      </c>
      <c r="Y75" s="2" t="s">
        <v>202</v>
      </c>
    </row>
    <row r="76" s="2" customFormat="1" spans="1:25">
      <c r="A76" s="19">
        <v>81463884</v>
      </c>
      <c r="B76" s="2" t="s">
        <v>278</v>
      </c>
      <c r="C76" s="2" t="s">
        <v>196</v>
      </c>
      <c r="D76" s="2" t="s">
        <v>279</v>
      </c>
      <c r="E76" s="2" t="s">
        <v>392</v>
      </c>
      <c r="F76" s="2" t="s">
        <v>393</v>
      </c>
      <c r="G76" s="7">
        <v>1020</v>
      </c>
      <c r="H76" s="2" t="s">
        <v>198</v>
      </c>
      <c r="I76" s="2" t="s">
        <v>221</v>
      </c>
      <c r="J76" s="2" t="s">
        <v>221</v>
      </c>
      <c r="K76" s="2" t="s">
        <v>394</v>
      </c>
      <c r="L76" s="7">
        <v>300</v>
      </c>
      <c r="M76" s="7">
        <v>355</v>
      </c>
      <c r="N76" s="7">
        <v>300</v>
      </c>
      <c r="O76" s="2" t="s">
        <v>176</v>
      </c>
      <c r="P76" s="7">
        <v>1</v>
      </c>
      <c r="Q76" s="7">
        <v>1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2" t="s">
        <v>201</v>
      </c>
      <c r="X76" s="2" t="s">
        <v>201</v>
      </c>
      <c r="Y76" s="2" t="s">
        <v>202</v>
      </c>
    </row>
    <row r="77" s="2" customFormat="1" spans="1:25">
      <c r="A77" s="19">
        <v>81463883</v>
      </c>
      <c r="B77" s="2" t="s">
        <v>278</v>
      </c>
      <c r="C77" s="2" t="s">
        <v>196</v>
      </c>
      <c r="D77" s="2" t="s">
        <v>279</v>
      </c>
      <c r="E77" s="2" t="s">
        <v>392</v>
      </c>
      <c r="F77" s="2" t="s">
        <v>393</v>
      </c>
      <c r="G77" s="7">
        <v>120</v>
      </c>
      <c r="H77" s="2" t="s">
        <v>198</v>
      </c>
      <c r="I77" s="2" t="s">
        <v>221</v>
      </c>
      <c r="J77" s="2" t="s">
        <v>221</v>
      </c>
      <c r="K77" s="2" t="s">
        <v>395</v>
      </c>
      <c r="L77" s="7">
        <v>300</v>
      </c>
      <c r="M77" s="7">
        <v>355</v>
      </c>
      <c r="N77" s="7">
        <v>300</v>
      </c>
      <c r="O77" s="2" t="s">
        <v>176</v>
      </c>
      <c r="P77" s="7">
        <v>1</v>
      </c>
      <c r="Q77" s="7">
        <v>1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2" t="s">
        <v>201</v>
      </c>
      <c r="X77" s="2" t="s">
        <v>201</v>
      </c>
      <c r="Y77" s="2" t="s">
        <v>202</v>
      </c>
    </row>
    <row r="78" s="2" customFormat="1" spans="1:25">
      <c r="A78" s="19">
        <v>81463882</v>
      </c>
      <c r="B78" s="2" t="s">
        <v>278</v>
      </c>
      <c r="C78" s="2" t="s">
        <v>196</v>
      </c>
      <c r="D78" s="2" t="s">
        <v>279</v>
      </c>
      <c r="E78" s="2" t="s">
        <v>392</v>
      </c>
      <c r="F78" s="2" t="s">
        <v>393</v>
      </c>
      <c r="G78" s="7">
        <v>180</v>
      </c>
      <c r="H78" s="2" t="s">
        <v>198</v>
      </c>
      <c r="I78" s="2" t="s">
        <v>221</v>
      </c>
      <c r="J78" s="2" t="s">
        <v>221</v>
      </c>
      <c r="K78" s="2" t="s">
        <v>396</v>
      </c>
      <c r="L78" s="7">
        <v>300</v>
      </c>
      <c r="M78" s="7">
        <v>355</v>
      </c>
      <c r="N78" s="7">
        <v>300</v>
      </c>
      <c r="O78" s="2" t="s">
        <v>176</v>
      </c>
      <c r="P78" s="7">
        <v>1</v>
      </c>
      <c r="Q78" s="7">
        <v>1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2" t="s">
        <v>201</v>
      </c>
      <c r="X78" s="2" t="s">
        <v>201</v>
      </c>
      <c r="Y78" s="2" t="s">
        <v>202</v>
      </c>
    </row>
    <row r="79" s="2" customFormat="1" spans="1:25">
      <c r="A79" s="19">
        <v>81463885</v>
      </c>
      <c r="B79" s="2" t="s">
        <v>278</v>
      </c>
      <c r="C79" s="2" t="s">
        <v>196</v>
      </c>
      <c r="D79" s="2" t="s">
        <v>279</v>
      </c>
      <c r="E79" s="2" t="s">
        <v>397</v>
      </c>
      <c r="F79" s="2" t="s">
        <v>398</v>
      </c>
      <c r="G79" s="7">
        <v>432</v>
      </c>
      <c r="H79" s="2" t="s">
        <v>198</v>
      </c>
      <c r="I79" s="2" t="s">
        <v>221</v>
      </c>
      <c r="J79" s="2" t="s">
        <v>221</v>
      </c>
      <c r="K79" s="2" t="s">
        <v>399</v>
      </c>
      <c r="L79" s="7">
        <v>420</v>
      </c>
      <c r="M79" s="7">
        <v>630</v>
      </c>
      <c r="N79" s="7">
        <v>420</v>
      </c>
      <c r="O79" s="2" t="s">
        <v>176</v>
      </c>
      <c r="P79" s="7">
        <v>1</v>
      </c>
      <c r="Q79" s="7">
        <v>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2" t="s">
        <v>201</v>
      </c>
      <c r="X79" s="2" t="s">
        <v>201</v>
      </c>
      <c r="Y79" s="2" t="s">
        <v>202</v>
      </c>
    </row>
    <row r="80" s="2" customFormat="1" spans="1:25">
      <c r="A80" s="19">
        <v>81463886</v>
      </c>
      <c r="B80" s="2" t="s">
        <v>278</v>
      </c>
      <c r="C80" s="2" t="s">
        <v>196</v>
      </c>
      <c r="D80" s="2" t="s">
        <v>279</v>
      </c>
      <c r="E80" s="2" t="s">
        <v>397</v>
      </c>
      <c r="F80" s="2" t="s">
        <v>398</v>
      </c>
      <c r="G80" s="7">
        <v>81</v>
      </c>
      <c r="H80" s="2" t="s">
        <v>198</v>
      </c>
      <c r="I80" s="2" t="s">
        <v>221</v>
      </c>
      <c r="J80" s="2" t="s">
        <v>221</v>
      </c>
      <c r="K80" s="2" t="s">
        <v>400</v>
      </c>
      <c r="L80" s="7">
        <v>420</v>
      </c>
      <c r="M80" s="7">
        <v>630</v>
      </c>
      <c r="N80" s="7">
        <v>420</v>
      </c>
      <c r="O80" s="2" t="s">
        <v>176</v>
      </c>
      <c r="P80" s="7">
        <v>1</v>
      </c>
      <c r="Q80" s="7">
        <v>1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2" t="s">
        <v>201</v>
      </c>
      <c r="X80" s="2" t="s">
        <v>201</v>
      </c>
      <c r="Y80" s="2" t="s">
        <v>202</v>
      </c>
    </row>
    <row r="81" s="2" customFormat="1" spans="1:25">
      <c r="A81" s="19">
        <v>81463887</v>
      </c>
      <c r="B81" s="2" t="s">
        <v>278</v>
      </c>
      <c r="C81" s="2" t="s">
        <v>196</v>
      </c>
      <c r="D81" s="2" t="s">
        <v>279</v>
      </c>
      <c r="E81" s="2" t="s">
        <v>401</v>
      </c>
      <c r="F81" s="2" t="s">
        <v>402</v>
      </c>
      <c r="G81" s="7">
        <v>432</v>
      </c>
      <c r="H81" s="2" t="s">
        <v>198</v>
      </c>
      <c r="I81" s="2" t="s">
        <v>221</v>
      </c>
      <c r="J81" s="2" t="s">
        <v>221</v>
      </c>
      <c r="K81" s="2" t="s">
        <v>403</v>
      </c>
      <c r="L81" s="7">
        <v>365</v>
      </c>
      <c r="M81" s="7">
        <v>485</v>
      </c>
      <c r="N81" s="7">
        <v>365</v>
      </c>
      <c r="O81" s="2" t="s">
        <v>176</v>
      </c>
      <c r="P81" s="7">
        <v>1</v>
      </c>
      <c r="Q81" s="7">
        <v>1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2" t="s">
        <v>201</v>
      </c>
      <c r="X81" s="2" t="s">
        <v>201</v>
      </c>
      <c r="Y81" s="2" t="s">
        <v>202</v>
      </c>
    </row>
    <row r="82" s="2" customFormat="1" spans="1:25">
      <c r="A82" s="19">
        <v>81463888</v>
      </c>
      <c r="B82" s="2" t="s">
        <v>278</v>
      </c>
      <c r="C82" s="2" t="s">
        <v>196</v>
      </c>
      <c r="D82" s="2" t="s">
        <v>279</v>
      </c>
      <c r="E82" s="2" t="s">
        <v>57</v>
      </c>
      <c r="F82" s="2" t="s">
        <v>58</v>
      </c>
      <c r="G82" s="7">
        <v>528</v>
      </c>
      <c r="H82" s="2" t="s">
        <v>198</v>
      </c>
      <c r="I82" s="2" t="s">
        <v>221</v>
      </c>
      <c r="J82" s="2" t="s">
        <v>221</v>
      </c>
      <c r="K82" s="2" t="s">
        <v>68</v>
      </c>
      <c r="L82" s="7">
        <v>430</v>
      </c>
      <c r="M82" s="7">
        <v>430</v>
      </c>
      <c r="N82" s="7">
        <v>430</v>
      </c>
      <c r="O82" s="2" t="s">
        <v>176</v>
      </c>
      <c r="P82" s="7">
        <v>1</v>
      </c>
      <c r="Q82" s="7">
        <v>1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2" t="s">
        <v>201</v>
      </c>
      <c r="X82" s="2" t="s">
        <v>201</v>
      </c>
      <c r="Y82" s="2" t="s">
        <v>202</v>
      </c>
    </row>
    <row r="83" s="2" customFormat="1" spans="7:7">
      <c r="G83" s="2">
        <f>SUM(G2:G82)</f>
        <v>14543</v>
      </c>
    </row>
    <row r="84" s="2" customFormat="1" spans="1:1">
      <c r="A84" s="2" t="s">
        <v>404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opLeftCell="A52" workbookViewId="0">
      <selection activeCell="B85" sqref="B85"/>
    </sheetView>
  </sheetViews>
  <sheetFormatPr defaultColWidth="9.02857142857143" defaultRowHeight="15" outlineLevelCol="7"/>
  <cols>
    <col min="1" max="1" width="28.3428571428571" style="2" customWidth="1"/>
    <col min="2" max="2" width="9.56190476190476" style="2"/>
    <col min="3" max="3" width="17.8" style="2" customWidth="1"/>
    <col min="6" max="6" width="15.7428571428571" customWidth="1"/>
    <col min="8" max="8" width="15.4095238095238" customWidth="1"/>
  </cols>
  <sheetData>
    <row r="1" spans="1:3">
      <c r="A1" s="1" t="s">
        <v>176</v>
      </c>
      <c r="B1" s="1" t="s">
        <v>5</v>
      </c>
      <c r="C1" s="1" t="s">
        <v>185</v>
      </c>
    </row>
    <row r="2" spans="1:8">
      <c r="A2" s="2" t="s">
        <v>42</v>
      </c>
      <c r="B2" s="7">
        <v>100</v>
      </c>
      <c r="C2" s="7">
        <v>1</v>
      </c>
      <c r="G2" t="s">
        <v>405</v>
      </c>
      <c r="H2" t="s">
        <v>406</v>
      </c>
    </row>
    <row r="3" spans="1:8">
      <c r="A3" s="2" t="s">
        <v>42</v>
      </c>
      <c r="B3" s="7">
        <v>128</v>
      </c>
      <c r="C3" s="7">
        <v>1</v>
      </c>
      <c r="F3" t="s">
        <v>42</v>
      </c>
      <c r="G3">
        <v>1711</v>
      </c>
      <c r="H3">
        <v>17</v>
      </c>
    </row>
    <row r="4" spans="1:8">
      <c r="A4" s="2" t="s">
        <v>42</v>
      </c>
      <c r="B4" s="7">
        <v>128</v>
      </c>
      <c r="C4" s="7">
        <v>1</v>
      </c>
      <c r="F4" t="s">
        <v>48</v>
      </c>
      <c r="G4">
        <v>102</v>
      </c>
      <c r="H4">
        <v>3</v>
      </c>
    </row>
    <row r="5" spans="1:8">
      <c r="A5" s="2" t="s">
        <v>42</v>
      </c>
      <c r="B5" s="7">
        <v>128</v>
      </c>
      <c r="C5" s="7">
        <v>1</v>
      </c>
      <c r="F5" t="s">
        <v>38</v>
      </c>
      <c r="G5">
        <v>207</v>
      </c>
      <c r="H5">
        <v>6</v>
      </c>
    </row>
    <row r="6" spans="1:8">
      <c r="A6" s="2" t="s">
        <v>42</v>
      </c>
      <c r="B6" s="7">
        <v>76</v>
      </c>
      <c r="C6" s="7">
        <v>1</v>
      </c>
      <c r="F6" t="s">
        <v>52</v>
      </c>
      <c r="G6">
        <v>3096</v>
      </c>
      <c r="H6">
        <v>47</v>
      </c>
    </row>
    <row r="7" spans="1:8">
      <c r="A7" s="2" t="s">
        <v>42</v>
      </c>
      <c r="B7" s="7">
        <v>95</v>
      </c>
      <c r="C7" s="7">
        <v>1</v>
      </c>
      <c r="G7">
        <f>SUM(G3:G6)</f>
        <v>5116</v>
      </c>
      <c r="H7">
        <f>SUM(H3:H6)</f>
        <v>73</v>
      </c>
    </row>
    <row r="8" spans="1:3">
      <c r="A8" s="2" t="s">
        <v>42</v>
      </c>
      <c r="B8" s="7">
        <v>96</v>
      </c>
      <c r="C8" s="7">
        <v>1</v>
      </c>
    </row>
    <row r="9" spans="1:3">
      <c r="A9" s="2" t="s">
        <v>42</v>
      </c>
      <c r="B9" s="7">
        <v>96</v>
      </c>
      <c r="C9" s="7">
        <v>1</v>
      </c>
    </row>
    <row r="10" spans="1:3">
      <c r="A10" s="2" t="s">
        <v>42</v>
      </c>
      <c r="B10" s="7">
        <v>96</v>
      </c>
      <c r="C10" s="7">
        <v>1</v>
      </c>
    </row>
    <row r="11" spans="1:3">
      <c r="A11" s="2" t="s">
        <v>42</v>
      </c>
      <c r="B11" s="7">
        <v>96</v>
      </c>
      <c r="C11" s="7">
        <v>1</v>
      </c>
    </row>
    <row r="12" spans="1:3">
      <c r="A12" s="2" t="s">
        <v>42</v>
      </c>
      <c r="B12" s="7">
        <v>96</v>
      </c>
      <c r="C12" s="7">
        <v>1</v>
      </c>
    </row>
    <row r="13" spans="1:3">
      <c r="A13" s="2" t="s">
        <v>42</v>
      </c>
      <c r="B13" s="7">
        <v>96</v>
      </c>
      <c r="C13" s="7">
        <v>1</v>
      </c>
    </row>
    <row r="14" spans="1:3">
      <c r="A14" s="2" t="s">
        <v>42</v>
      </c>
      <c r="B14" s="7">
        <v>96</v>
      </c>
      <c r="C14" s="7">
        <v>1</v>
      </c>
    </row>
    <row r="15" spans="1:3">
      <c r="A15" s="2" t="s">
        <v>42</v>
      </c>
      <c r="B15" s="7">
        <v>96</v>
      </c>
      <c r="C15" s="7">
        <v>1</v>
      </c>
    </row>
    <row r="16" spans="1:3">
      <c r="A16" s="2" t="s">
        <v>42</v>
      </c>
      <c r="B16" s="7">
        <v>96</v>
      </c>
      <c r="C16" s="7">
        <v>1</v>
      </c>
    </row>
    <row r="17" spans="1:3">
      <c r="A17" s="2" t="s">
        <v>42</v>
      </c>
      <c r="B17" s="7">
        <v>96</v>
      </c>
      <c r="C17" s="7">
        <v>1</v>
      </c>
    </row>
    <row r="18" spans="1:3">
      <c r="A18" s="2" t="s">
        <v>42</v>
      </c>
      <c r="B18" s="7">
        <v>96</v>
      </c>
      <c r="C18" s="7">
        <v>1</v>
      </c>
    </row>
    <row r="19" spans="1:3">
      <c r="A19" s="2" t="s">
        <v>48</v>
      </c>
      <c r="B19" s="7">
        <v>42</v>
      </c>
      <c r="C19" s="7">
        <v>1</v>
      </c>
    </row>
    <row r="20" spans="1:3">
      <c r="A20" s="2" t="s">
        <v>48</v>
      </c>
      <c r="B20" s="7">
        <v>54</v>
      </c>
      <c r="C20" s="7">
        <v>1</v>
      </c>
    </row>
    <row r="21" spans="1:3">
      <c r="A21" s="2" t="s">
        <v>48</v>
      </c>
      <c r="B21" s="7">
        <v>6</v>
      </c>
      <c r="C21" s="7">
        <v>1</v>
      </c>
    </row>
    <row r="22" spans="1:3">
      <c r="A22" s="2" t="s">
        <v>38</v>
      </c>
      <c r="B22" s="7">
        <v>12</v>
      </c>
      <c r="C22" s="7">
        <v>0</v>
      </c>
    </row>
    <row r="23" spans="1:3">
      <c r="A23" s="2" t="s">
        <v>38</v>
      </c>
      <c r="B23" s="7">
        <v>18</v>
      </c>
      <c r="C23" s="7">
        <v>0</v>
      </c>
    </row>
    <row r="24" spans="1:3">
      <c r="A24" s="2" t="s">
        <v>38</v>
      </c>
      <c r="B24" s="7">
        <v>27</v>
      </c>
      <c r="C24" s="7">
        <v>1</v>
      </c>
    </row>
    <row r="25" spans="1:3">
      <c r="A25" s="2" t="s">
        <v>38</v>
      </c>
      <c r="B25" s="7">
        <v>30</v>
      </c>
      <c r="C25" s="7">
        <v>1</v>
      </c>
    </row>
    <row r="26" spans="1:3">
      <c r="A26" s="2" t="s">
        <v>38</v>
      </c>
      <c r="B26" s="7">
        <v>54</v>
      </c>
      <c r="C26" s="7">
        <v>1</v>
      </c>
    </row>
    <row r="27" spans="1:3">
      <c r="A27" s="2" t="s">
        <v>38</v>
      </c>
      <c r="B27" s="7">
        <v>54</v>
      </c>
      <c r="C27" s="7">
        <v>1</v>
      </c>
    </row>
    <row r="28" spans="1:3">
      <c r="A28" s="2" t="s">
        <v>38</v>
      </c>
      <c r="B28" s="7">
        <v>6</v>
      </c>
      <c r="C28" s="7">
        <v>1</v>
      </c>
    </row>
    <row r="29" spans="1:3">
      <c r="A29" s="2" t="s">
        <v>38</v>
      </c>
      <c r="B29" s="7">
        <v>6</v>
      </c>
      <c r="C29" s="7">
        <v>1</v>
      </c>
    </row>
    <row r="30" spans="1:3">
      <c r="A30" s="2" t="s">
        <v>52</v>
      </c>
      <c r="B30" s="7">
        <v>32</v>
      </c>
      <c r="C30" s="7">
        <v>1</v>
      </c>
    </row>
    <row r="31" spans="1:3">
      <c r="A31" s="2" t="s">
        <v>52</v>
      </c>
      <c r="B31" s="7">
        <v>42</v>
      </c>
      <c r="C31" s="7">
        <v>1</v>
      </c>
    </row>
    <row r="32" spans="1:3">
      <c r="A32" s="2" t="s">
        <v>52</v>
      </c>
      <c r="B32" s="7">
        <v>42</v>
      </c>
      <c r="C32" s="7">
        <v>1</v>
      </c>
    </row>
    <row r="33" spans="1:3">
      <c r="A33" s="2" t="s">
        <v>52</v>
      </c>
      <c r="B33" s="7">
        <v>44</v>
      </c>
      <c r="C33" s="7">
        <v>1</v>
      </c>
    </row>
    <row r="34" spans="1:3">
      <c r="A34" s="2" t="s">
        <v>52</v>
      </c>
      <c r="B34" s="7">
        <v>66</v>
      </c>
      <c r="C34" s="7">
        <v>1</v>
      </c>
    </row>
    <row r="35" spans="1:3">
      <c r="A35" s="2" t="s">
        <v>52</v>
      </c>
      <c r="B35" s="7">
        <v>66</v>
      </c>
      <c r="C35" s="7">
        <v>1</v>
      </c>
    </row>
    <row r="36" spans="1:3">
      <c r="A36" s="2" t="s">
        <v>52</v>
      </c>
      <c r="B36" s="7">
        <v>66</v>
      </c>
      <c r="C36" s="7">
        <v>1</v>
      </c>
    </row>
    <row r="37" spans="1:3">
      <c r="A37" s="2" t="s">
        <v>52</v>
      </c>
      <c r="B37" s="7">
        <v>66</v>
      </c>
      <c r="C37" s="7">
        <v>1</v>
      </c>
    </row>
    <row r="38" spans="1:3">
      <c r="A38" s="2" t="s">
        <v>52</v>
      </c>
      <c r="B38" s="7">
        <v>66</v>
      </c>
      <c r="C38" s="7">
        <v>1</v>
      </c>
    </row>
    <row r="39" spans="1:3">
      <c r="A39" s="2" t="s">
        <v>52</v>
      </c>
      <c r="B39" s="7">
        <v>66</v>
      </c>
      <c r="C39" s="7">
        <v>1</v>
      </c>
    </row>
    <row r="40" spans="1:3">
      <c r="A40" s="2" t="s">
        <v>52</v>
      </c>
      <c r="B40" s="7">
        <v>66</v>
      </c>
      <c r="C40" s="7">
        <v>1</v>
      </c>
    </row>
    <row r="41" spans="1:3">
      <c r="A41" s="2" t="s">
        <v>52</v>
      </c>
      <c r="B41" s="7">
        <v>66</v>
      </c>
      <c r="C41" s="7">
        <v>1</v>
      </c>
    </row>
    <row r="42" spans="1:3">
      <c r="A42" s="2" t="s">
        <v>52</v>
      </c>
      <c r="B42" s="7">
        <v>66</v>
      </c>
      <c r="C42" s="7">
        <v>1</v>
      </c>
    </row>
    <row r="43" spans="1:3">
      <c r="A43" s="2" t="s">
        <v>52</v>
      </c>
      <c r="B43" s="7">
        <v>66</v>
      </c>
      <c r="C43" s="7">
        <v>1</v>
      </c>
    </row>
    <row r="44" spans="1:3">
      <c r="A44" s="2" t="s">
        <v>52</v>
      </c>
      <c r="B44" s="7">
        <v>66</v>
      </c>
      <c r="C44" s="7">
        <v>1</v>
      </c>
    </row>
    <row r="45" spans="1:3">
      <c r="A45" s="2" t="s">
        <v>52</v>
      </c>
      <c r="B45" s="7">
        <v>66</v>
      </c>
      <c r="C45" s="7">
        <v>1</v>
      </c>
    </row>
    <row r="46" spans="1:3">
      <c r="A46" s="2" t="s">
        <v>52</v>
      </c>
      <c r="B46" s="7">
        <v>66</v>
      </c>
      <c r="C46" s="7">
        <v>1</v>
      </c>
    </row>
    <row r="47" spans="1:3">
      <c r="A47" s="2" t="s">
        <v>52</v>
      </c>
      <c r="B47" s="7">
        <v>66</v>
      </c>
      <c r="C47" s="7">
        <v>1</v>
      </c>
    </row>
    <row r="48" spans="1:3">
      <c r="A48" s="2" t="s">
        <v>52</v>
      </c>
      <c r="B48" s="7">
        <v>66</v>
      </c>
      <c r="C48" s="7">
        <v>1</v>
      </c>
    </row>
    <row r="49" spans="1:3">
      <c r="A49" s="2" t="s">
        <v>52</v>
      </c>
      <c r="B49" s="7">
        <v>66</v>
      </c>
      <c r="C49" s="7">
        <v>1</v>
      </c>
    </row>
    <row r="50" spans="1:3">
      <c r="A50" s="2" t="s">
        <v>52</v>
      </c>
      <c r="B50" s="7">
        <v>66</v>
      </c>
      <c r="C50" s="7">
        <v>1</v>
      </c>
    </row>
    <row r="51" spans="1:3">
      <c r="A51" s="2" t="s">
        <v>52</v>
      </c>
      <c r="B51" s="7">
        <v>66</v>
      </c>
      <c r="C51" s="7">
        <v>1</v>
      </c>
    </row>
    <row r="52" spans="1:3">
      <c r="A52" s="2" t="s">
        <v>52</v>
      </c>
      <c r="B52" s="7">
        <v>66</v>
      </c>
      <c r="C52" s="7">
        <v>1</v>
      </c>
    </row>
    <row r="53" spans="1:3">
      <c r="A53" s="2" t="s">
        <v>52</v>
      </c>
      <c r="B53" s="7">
        <v>66</v>
      </c>
      <c r="C53" s="7">
        <v>1</v>
      </c>
    </row>
    <row r="54" spans="1:3">
      <c r="A54" s="2" t="s">
        <v>52</v>
      </c>
      <c r="B54" s="7">
        <v>66</v>
      </c>
      <c r="C54" s="7">
        <v>1</v>
      </c>
    </row>
    <row r="55" spans="1:3">
      <c r="A55" s="2" t="s">
        <v>52</v>
      </c>
      <c r="B55" s="7">
        <v>66</v>
      </c>
      <c r="C55" s="7">
        <v>1</v>
      </c>
    </row>
    <row r="56" spans="1:3">
      <c r="A56" s="2" t="s">
        <v>52</v>
      </c>
      <c r="B56" s="7">
        <v>66</v>
      </c>
      <c r="C56" s="7">
        <v>1</v>
      </c>
    </row>
    <row r="57" spans="1:3">
      <c r="A57" s="2" t="s">
        <v>52</v>
      </c>
      <c r="B57" s="7">
        <v>66</v>
      </c>
      <c r="C57" s="7">
        <v>1</v>
      </c>
    </row>
    <row r="58" spans="1:3">
      <c r="A58" s="2" t="s">
        <v>52</v>
      </c>
      <c r="B58" s="7">
        <v>66</v>
      </c>
      <c r="C58" s="7">
        <v>1</v>
      </c>
    </row>
    <row r="59" spans="1:3">
      <c r="A59" s="2" t="s">
        <v>52</v>
      </c>
      <c r="B59" s="7">
        <v>66</v>
      </c>
      <c r="C59" s="7">
        <v>1</v>
      </c>
    </row>
    <row r="60" spans="1:3">
      <c r="A60" s="2" t="s">
        <v>52</v>
      </c>
      <c r="B60" s="7">
        <v>68</v>
      </c>
      <c r="C60" s="7">
        <v>1</v>
      </c>
    </row>
    <row r="61" spans="1:3">
      <c r="A61" s="2" t="s">
        <v>52</v>
      </c>
      <c r="B61" s="7">
        <v>72</v>
      </c>
      <c r="C61" s="7">
        <v>1</v>
      </c>
    </row>
    <row r="62" spans="1:3">
      <c r="A62" s="2" t="s">
        <v>52</v>
      </c>
      <c r="B62" s="7">
        <v>72</v>
      </c>
      <c r="C62" s="7">
        <v>1</v>
      </c>
    </row>
    <row r="63" spans="1:3">
      <c r="A63" s="2" t="s">
        <v>52</v>
      </c>
      <c r="B63" s="7">
        <v>72</v>
      </c>
      <c r="C63" s="7">
        <v>1</v>
      </c>
    </row>
    <row r="64" spans="1:3">
      <c r="A64" s="2" t="s">
        <v>52</v>
      </c>
      <c r="B64" s="7">
        <v>72</v>
      </c>
      <c r="C64" s="7">
        <v>1</v>
      </c>
    </row>
    <row r="65" spans="1:3">
      <c r="A65" s="2" t="s">
        <v>52</v>
      </c>
      <c r="B65" s="7">
        <v>72</v>
      </c>
      <c r="C65" s="7">
        <v>1</v>
      </c>
    </row>
    <row r="66" spans="1:3">
      <c r="A66" s="2" t="s">
        <v>52</v>
      </c>
      <c r="B66" s="7">
        <v>72</v>
      </c>
      <c r="C66" s="7">
        <v>1</v>
      </c>
    </row>
    <row r="67" spans="1:3">
      <c r="A67" s="2" t="s">
        <v>52</v>
      </c>
      <c r="B67" s="7">
        <v>72</v>
      </c>
      <c r="C67" s="7">
        <v>1</v>
      </c>
    </row>
    <row r="68" spans="1:3">
      <c r="A68" s="2" t="s">
        <v>52</v>
      </c>
      <c r="B68" s="7">
        <v>72</v>
      </c>
      <c r="C68" s="7">
        <v>1</v>
      </c>
    </row>
    <row r="69" spans="1:3">
      <c r="A69" s="2" t="s">
        <v>52</v>
      </c>
      <c r="B69" s="7">
        <v>72</v>
      </c>
      <c r="C69" s="7">
        <v>1</v>
      </c>
    </row>
    <row r="70" spans="1:3">
      <c r="A70" s="2" t="s">
        <v>52</v>
      </c>
      <c r="B70" s="7">
        <v>72</v>
      </c>
      <c r="C70" s="7">
        <v>1</v>
      </c>
    </row>
    <row r="71" spans="1:3">
      <c r="A71" s="2" t="s">
        <v>52</v>
      </c>
      <c r="B71" s="7">
        <v>72</v>
      </c>
      <c r="C71" s="7">
        <v>1</v>
      </c>
    </row>
    <row r="72" spans="1:3">
      <c r="A72" s="2" t="s">
        <v>52</v>
      </c>
      <c r="B72" s="7">
        <v>72</v>
      </c>
      <c r="C72" s="7">
        <v>1</v>
      </c>
    </row>
    <row r="73" spans="1:3">
      <c r="A73" s="2" t="s">
        <v>52</v>
      </c>
      <c r="B73" s="7">
        <v>72</v>
      </c>
      <c r="C73" s="7">
        <v>1</v>
      </c>
    </row>
    <row r="74" spans="1:3">
      <c r="A74" s="2" t="s">
        <v>52</v>
      </c>
      <c r="B74" s="7">
        <v>72</v>
      </c>
      <c r="C74" s="7">
        <v>1</v>
      </c>
    </row>
    <row r="75" spans="1:3">
      <c r="A75" s="2" t="s">
        <v>52</v>
      </c>
      <c r="B75" s="7">
        <v>72</v>
      </c>
      <c r="C75" s="7">
        <v>1</v>
      </c>
    </row>
    <row r="76" spans="1:3">
      <c r="A76" s="2" t="s">
        <v>52</v>
      </c>
      <c r="B76" s="7">
        <v>72</v>
      </c>
      <c r="C76" s="7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4"/>
  <sheetViews>
    <sheetView workbookViewId="0">
      <pane ySplit="1" topLeftCell="A17" activePane="bottomLeft" state="frozen"/>
      <selection/>
      <selection pane="bottomLeft" activeCell="H1" sqref="H$1:H$1048576"/>
    </sheetView>
  </sheetViews>
  <sheetFormatPr defaultColWidth="9.02857142857143" defaultRowHeight="15"/>
  <cols>
    <col min="1" max="1" width="26.0285714285714" style="2" customWidth="1"/>
    <col min="2" max="2" width="9.56190476190476" style="2"/>
    <col min="3" max="3" width="18.9809523809524" style="2" customWidth="1"/>
    <col min="5" max="5" width="38.7714285714286" customWidth="1"/>
    <col min="6" max="6" width="15.4761904761905" customWidth="1"/>
    <col min="7" max="7" width="10.6952380952381" customWidth="1"/>
    <col min="10" max="10" width="20.847619047619" customWidth="1"/>
    <col min="13" max="13" width="13.9142857142857" style="3" customWidth="1"/>
    <col min="14" max="14" width="8.72380952380952" style="4"/>
    <col min="15" max="15" width="16.2761904761905" style="5" customWidth="1"/>
    <col min="17" max="17" width="12.4190476190476" customWidth="1"/>
    <col min="18" max="18" width="13.0761904761905" customWidth="1"/>
  </cols>
  <sheetData>
    <row r="1" ht="42" customHeight="1" spans="1:18">
      <c r="A1" s="1" t="s">
        <v>176</v>
      </c>
      <c r="B1" s="1" t="s">
        <v>5</v>
      </c>
      <c r="C1" s="1" t="s">
        <v>185</v>
      </c>
      <c r="E1" s="6" t="s">
        <v>407</v>
      </c>
      <c r="J1" s="12" t="s">
        <v>408</v>
      </c>
      <c r="M1" s="3" t="s">
        <v>156</v>
      </c>
      <c r="N1" s="13" t="s">
        <v>160</v>
      </c>
      <c r="O1" s="12" t="s">
        <v>409</v>
      </c>
      <c r="P1" s="12" t="s">
        <v>410</v>
      </c>
      <c r="Q1" t="s">
        <v>411</v>
      </c>
      <c r="R1" s="18" t="s">
        <v>412</v>
      </c>
    </row>
    <row r="2" spans="1:18">
      <c r="A2" s="2" t="s">
        <v>280</v>
      </c>
      <c r="B2" s="7">
        <v>144</v>
      </c>
      <c r="C2" s="7">
        <v>1</v>
      </c>
      <c r="F2" t="s">
        <v>156</v>
      </c>
      <c r="G2" t="s">
        <v>5</v>
      </c>
      <c r="H2" t="s">
        <v>185</v>
      </c>
      <c r="M2" s="3" t="s">
        <v>52</v>
      </c>
      <c r="N2" s="13">
        <v>4852</v>
      </c>
      <c r="O2" s="5">
        <v>1612</v>
      </c>
      <c r="P2">
        <v>3096</v>
      </c>
      <c r="Q2">
        <f>O2+P2</f>
        <v>4708</v>
      </c>
      <c r="R2">
        <f t="shared" ref="R2:R35" si="0">Q2-N2</f>
        <v>-144</v>
      </c>
    </row>
    <row r="3" spans="1:18">
      <c r="A3" s="2" t="s">
        <v>280</v>
      </c>
      <c r="B3" s="7">
        <v>144</v>
      </c>
      <c r="C3" s="7">
        <v>1</v>
      </c>
      <c r="E3" t="s">
        <v>280</v>
      </c>
      <c r="F3" t="s">
        <v>280</v>
      </c>
      <c r="G3">
        <v>438</v>
      </c>
      <c r="H3">
        <v>4</v>
      </c>
      <c r="J3">
        <f>G3</f>
        <v>438</v>
      </c>
      <c r="M3" s="3" t="s">
        <v>42</v>
      </c>
      <c r="N3" s="13">
        <v>3983</v>
      </c>
      <c r="O3" s="5">
        <v>2272</v>
      </c>
      <c r="P3">
        <v>1711</v>
      </c>
      <c r="Q3">
        <f>O3+P3</f>
        <v>3983</v>
      </c>
      <c r="R3">
        <f t="shared" si="0"/>
        <v>0</v>
      </c>
    </row>
    <row r="4" spans="1:18">
      <c r="A4" s="2" t="s">
        <v>280</v>
      </c>
      <c r="B4" s="7">
        <v>144</v>
      </c>
      <c r="C4" s="7">
        <v>1</v>
      </c>
      <c r="E4" t="s">
        <v>61</v>
      </c>
      <c r="F4" t="s">
        <v>61</v>
      </c>
      <c r="G4">
        <v>114</v>
      </c>
      <c r="H4">
        <v>2</v>
      </c>
      <c r="J4">
        <f t="shared" ref="J3:J31" si="1">G4</f>
        <v>114</v>
      </c>
      <c r="M4" s="3" t="s">
        <v>23</v>
      </c>
      <c r="N4" s="13">
        <v>1362</v>
      </c>
      <c r="O4" s="5">
        <v>0</v>
      </c>
      <c r="P4">
        <f>384+978</f>
        <v>1362</v>
      </c>
      <c r="Q4">
        <f>O4+P4</f>
        <v>1362</v>
      </c>
      <c r="R4">
        <f t="shared" si="0"/>
        <v>0</v>
      </c>
    </row>
    <row r="5" spans="1:18">
      <c r="A5" s="2" t="s">
        <v>280</v>
      </c>
      <c r="B5" s="7">
        <v>6</v>
      </c>
      <c r="C5" s="7">
        <v>1</v>
      </c>
      <c r="E5" t="s">
        <v>288</v>
      </c>
      <c r="F5" t="s">
        <v>288</v>
      </c>
      <c r="G5">
        <v>28</v>
      </c>
      <c r="H5">
        <v>28</v>
      </c>
      <c r="J5">
        <f t="shared" si="1"/>
        <v>28</v>
      </c>
      <c r="M5" s="3" t="s">
        <v>33</v>
      </c>
      <c r="N5" s="13">
        <v>3060</v>
      </c>
      <c r="O5" s="5">
        <v>612</v>
      </c>
      <c r="P5">
        <v>2448</v>
      </c>
      <c r="Q5" s="5">
        <f t="shared" ref="Q2:Q35" si="2">O5+P5</f>
        <v>3060</v>
      </c>
      <c r="R5">
        <f t="shared" si="0"/>
        <v>0</v>
      </c>
    </row>
    <row r="6" spans="1:18">
      <c r="A6" s="2" t="s">
        <v>61</v>
      </c>
      <c r="B6" s="7">
        <v>18</v>
      </c>
      <c r="C6" s="7">
        <v>1</v>
      </c>
      <c r="E6" t="s">
        <v>317</v>
      </c>
      <c r="F6" s="8" t="s">
        <v>413</v>
      </c>
      <c r="G6">
        <v>468</v>
      </c>
      <c r="H6">
        <v>2</v>
      </c>
      <c r="J6">
        <f t="shared" si="1"/>
        <v>468</v>
      </c>
      <c r="M6" s="3" t="s">
        <v>280</v>
      </c>
      <c r="N6" s="13">
        <v>438</v>
      </c>
      <c r="P6">
        <v>438</v>
      </c>
      <c r="Q6">
        <f t="shared" si="2"/>
        <v>438</v>
      </c>
      <c r="R6">
        <f t="shared" si="0"/>
        <v>0</v>
      </c>
    </row>
    <row r="7" spans="1:18">
      <c r="A7" s="2" t="s">
        <v>61</v>
      </c>
      <c r="B7" s="7">
        <v>96</v>
      </c>
      <c r="C7" s="7">
        <v>1</v>
      </c>
      <c r="E7" t="s">
        <v>321</v>
      </c>
      <c r="F7" s="8" t="s">
        <v>414</v>
      </c>
      <c r="G7">
        <v>216</v>
      </c>
      <c r="H7">
        <v>1</v>
      </c>
      <c r="J7">
        <f t="shared" si="1"/>
        <v>216</v>
      </c>
      <c r="M7" s="3" t="s">
        <v>415</v>
      </c>
      <c r="N7" s="13">
        <v>600</v>
      </c>
      <c r="P7">
        <v>600</v>
      </c>
      <c r="Q7">
        <f t="shared" si="2"/>
        <v>600</v>
      </c>
      <c r="R7">
        <f t="shared" si="0"/>
        <v>0</v>
      </c>
    </row>
    <row r="8" spans="1:18">
      <c r="A8" s="2" t="s">
        <v>288</v>
      </c>
      <c r="B8" s="7">
        <v>1</v>
      </c>
      <c r="C8" s="7">
        <v>1</v>
      </c>
      <c r="E8" t="s">
        <v>324</v>
      </c>
      <c r="F8" s="8" t="s">
        <v>416</v>
      </c>
      <c r="G8">
        <v>252</v>
      </c>
      <c r="H8">
        <v>1</v>
      </c>
      <c r="J8">
        <f t="shared" si="1"/>
        <v>252</v>
      </c>
      <c r="M8" s="14" t="s">
        <v>48</v>
      </c>
      <c r="N8" s="13">
        <v>411</v>
      </c>
      <c r="O8" s="5">
        <v>165</v>
      </c>
      <c r="P8">
        <v>246</v>
      </c>
      <c r="Q8">
        <f t="shared" si="2"/>
        <v>411</v>
      </c>
      <c r="R8">
        <f t="shared" si="0"/>
        <v>0</v>
      </c>
    </row>
    <row r="9" spans="1:18">
      <c r="A9" s="2" t="s">
        <v>288</v>
      </c>
      <c r="B9" s="7">
        <v>1</v>
      </c>
      <c r="C9" s="7">
        <v>1</v>
      </c>
      <c r="E9" t="s">
        <v>327</v>
      </c>
      <c r="F9" s="8" t="s">
        <v>417</v>
      </c>
      <c r="G9">
        <v>24</v>
      </c>
      <c r="H9">
        <v>1</v>
      </c>
      <c r="J9">
        <f t="shared" si="1"/>
        <v>24</v>
      </c>
      <c r="M9" s="3" t="s">
        <v>56</v>
      </c>
      <c r="N9" s="13">
        <v>1584</v>
      </c>
      <c r="O9" s="5">
        <v>1056</v>
      </c>
      <c r="P9">
        <v>528</v>
      </c>
      <c r="Q9">
        <f t="shared" si="2"/>
        <v>1584</v>
      </c>
      <c r="R9">
        <f t="shared" si="0"/>
        <v>0</v>
      </c>
    </row>
    <row r="10" spans="1:18">
      <c r="A10" s="2" t="s">
        <v>288</v>
      </c>
      <c r="B10" s="7">
        <v>1</v>
      </c>
      <c r="C10" s="7">
        <v>1</v>
      </c>
      <c r="E10" t="s">
        <v>330</v>
      </c>
      <c r="F10" s="8" t="s">
        <v>418</v>
      </c>
      <c r="G10">
        <v>72</v>
      </c>
      <c r="H10">
        <v>1</v>
      </c>
      <c r="J10">
        <f t="shared" si="1"/>
        <v>72</v>
      </c>
      <c r="M10" s="3" t="s">
        <v>61</v>
      </c>
      <c r="N10" s="13">
        <v>306</v>
      </c>
      <c r="O10" s="5">
        <v>192</v>
      </c>
      <c r="P10">
        <v>114</v>
      </c>
      <c r="Q10">
        <f t="shared" si="2"/>
        <v>306</v>
      </c>
      <c r="R10">
        <f t="shared" si="0"/>
        <v>0</v>
      </c>
    </row>
    <row r="11" spans="1:18">
      <c r="A11" s="2" t="s">
        <v>288</v>
      </c>
      <c r="B11" s="7">
        <v>1</v>
      </c>
      <c r="C11" s="7">
        <v>1</v>
      </c>
      <c r="E11" t="s">
        <v>333</v>
      </c>
      <c r="F11" s="8" t="s">
        <v>419</v>
      </c>
      <c r="G11">
        <v>1363</v>
      </c>
      <c r="H11">
        <v>2</v>
      </c>
      <c r="J11">
        <f t="shared" si="1"/>
        <v>1363</v>
      </c>
      <c r="M11" s="3" t="s">
        <v>169</v>
      </c>
      <c r="N11" s="13">
        <v>760</v>
      </c>
      <c r="O11" s="5">
        <v>80</v>
      </c>
      <c r="P11">
        <v>680</v>
      </c>
      <c r="Q11">
        <f t="shared" si="2"/>
        <v>760</v>
      </c>
      <c r="R11">
        <f t="shared" si="0"/>
        <v>0</v>
      </c>
    </row>
    <row r="12" spans="1:18">
      <c r="A12" s="2" t="s">
        <v>288</v>
      </c>
      <c r="B12" s="7">
        <v>1</v>
      </c>
      <c r="C12" s="7">
        <v>1</v>
      </c>
      <c r="E12" t="s">
        <v>337</v>
      </c>
      <c r="F12" s="8" t="s">
        <v>420</v>
      </c>
      <c r="G12">
        <v>24</v>
      </c>
      <c r="H12">
        <v>1</v>
      </c>
      <c r="J12">
        <f t="shared" si="1"/>
        <v>24</v>
      </c>
      <c r="M12" s="3" t="s">
        <v>165</v>
      </c>
      <c r="N12" s="13">
        <v>757</v>
      </c>
      <c r="O12" s="5">
        <v>325</v>
      </c>
      <c r="P12">
        <v>432</v>
      </c>
      <c r="Q12">
        <f t="shared" si="2"/>
        <v>757</v>
      </c>
      <c r="R12">
        <f t="shared" si="0"/>
        <v>0</v>
      </c>
    </row>
    <row r="13" spans="1:18">
      <c r="A13" s="2" t="s">
        <v>288</v>
      </c>
      <c r="B13" s="7">
        <v>1</v>
      </c>
      <c r="C13" s="7">
        <v>1</v>
      </c>
      <c r="E13" t="s">
        <v>340</v>
      </c>
      <c r="F13" s="8" t="s">
        <v>421</v>
      </c>
      <c r="G13">
        <v>768</v>
      </c>
      <c r="H13">
        <v>1</v>
      </c>
      <c r="J13">
        <f t="shared" si="1"/>
        <v>768</v>
      </c>
      <c r="M13" s="3" t="s">
        <v>422</v>
      </c>
      <c r="N13" s="13">
        <v>1264</v>
      </c>
      <c r="P13">
        <v>1264</v>
      </c>
      <c r="Q13">
        <f t="shared" si="2"/>
        <v>1264</v>
      </c>
      <c r="R13">
        <f t="shared" si="0"/>
        <v>0</v>
      </c>
    </row>
    <row r="14" spans="1:18">
      <c r="A14" s="2" t="s">
        <v>288</v>
      </c>
      <c r="B14" s="7">
        <v>1</v>
      </c>
      <c r="C14" s="7">
        <v>1</v>
      </c>
      <c r="E14" t="s">
        <v>343</v>
      </c>
      <c r="F14" s="8" t="s">
        <v>422</v>
      </c>
      <c r="G14">
        <v>1264</v>
      </c>
      <c r="H14">
        <v>4</v>
      </c>
      <c r="J14">
        <f t="shared" si="1"/>
        <v>1264</v>
      </c>
      <c r="M14" s="3" t="s">
        <v>421</v>
      </c>
      <c r="N14" s="13">
        <v>768</v>
      </c>
      <c r="P14">
        <v>768</v>
      </c>
      <c r="Q14">
        <f t="shared" si="2"/>
        <v>768</v>
      </c>
      <c r="R14">
        <f t="shared" si="0"/>
        <v>0</v>
      </c>
    </row>
    <row r="15" spans="1:18">
      <c r="A15" s="2" t="s">
        <v>288</v>
      </c>
      <c r="B15" s="7">
        <v>1</v>
      </c>
      <c r="C15" s="7">
        <v>1</v>
      </c>
      <c r="E15" t="s">
        <v>349</v>
      </c>
      <c r="F15" s="8" t="s">
        <v>423</v>
      </c>
      <c r="G15">
        <v>7</v>
      </c>
      <c r="H15">
        <v>1</v>
      </c>
      <c r="J15">
        <f t="shared" si="1"/>
        <v>7</v>
      </c>
      <c r="M15" s="3" t="s">
        <v>419</v>
      </c>
      <c r="N15" s="13">
        <v>1363</v>
      </c>
      <c r="P15">
        <v>1363</v>
      </c>
      <c r="Q15">
        <f t="shared" si="2"/>
        <v>1363</v>
      </c>
      <c r="R15">
        <f t="shared" si="0"/>
        <v>0</v>
      </c>
    </row>
    <row r="16" spans="1:18">
      <c r="A16" s="2" t="s">
        <v>288</v>
      </c>
      <c r="B16" s="7">
        <v>1</v>
      </c>
      <c r="C16" s="7">
        <v>1</v>
      </c>
      <c r="E16" t="s">
        <v>352</v>
      </c>
      <c r="F16" s="8" t="s">
        <v>424</v>
      </c>
      <c r="G16">
        <v>162</v>
      </c>
      <c r="H16">
        <v>2</v>
      </c>
      <c r="J16">
        <f t="shared" si="1"/>
        <v>162</v>
      </c>
      <c r="M16" s="3" t="s">
        <v>425</v>
      </c>
      <c r="N16" s="13">
        <v>1320</v>
      </c>
      <c r="P16">
        <v>1320</v>
      </c>
      <c r="Q16">
        <f t="shared" si="2"/>
        <v>1320</v>
      </c>
      <c r="R16">
        <f t="shared" si="0"/>
        <v>0</v>
      </c>
    </row>
    <row r="17" spans="1:18">
      <c r="A17" s="2" t="s">
        <v>288</v>
      </c>
      <c r="B17" s="7">
        <v>1</v>
      </c>
      <c r="C17" s="7">
        <v>1</v>
      </c>
      <c r="E17" t="s">
        <v>34</v>
      </c>
      <c r="F17" s="8" t="s">
        <v>33</v>
      </c>
      <c r="G17">
        <v>2448</v>
      </c>
      <c r="H17">
        <v>2</v>
      </c>
      <c r="J17">
        <f t="shared" si="1"/>
        <v>2448</v>
      </c>
      <c r="M17" s="3" t="s">
        <v>38</v>
      </c>
      <c r="N17" s="13">
        <v>243</v>
      </c>
      <c r="O17" s="5">
        <v>36</v>
      </c>
      <c r="P17">
        <v>207</v>
      </c>
      <c r="Q17">
        <f t="shared" si="2"/>
        <v>243</v>
      </c>
      <c r="R17">
        <f t="shared" si="0"/>
        <v>0</v>
      </c>
    </row>
    <row r="18" spans="1:18">
      <c r="A18" s="2" t="s">
        <v>288</v>
      </c>
      <c r="B18" s="7">
        <v>1</v>
      </c>
      <c r="C18" s="7">
        <v>1</v>
      </c>
      <c r="E18" t="s">
        <v>358</v>
      </c>
      <c r="F18" s="9" t="s">
        <v>48</v>
      </c>
      <c r="G18">
        <v>144</v>
      </c>
      <c r="H18">
        <v>5</v>
      </c>
      <c r="I18">
        <v>102</v>
      </c>
      <c r="J18">
        <f>G18+I18</f>
        <v>246</v>
      </c>
      <c r="M18" s="3" t="s">
        <v>413</v>
      </c>
      <c r="N18" s="13">
        <v>468</v>
      </c>
      <c r="P18">
        <v>468</v>
      </c>
      <c r="Q18">
        <f t="shared" si="2"/>
        <v>468</v>
      </c>
      <c r="R18">
        <f t="shared" si="0"/>
        <v>0</v>
      </c>
    </row>
    <row r="19" spans="1:18">
      <c r="A19" s="2" t="s">
        <v>288</v>
      </c>
      <c r="B19" s="7">
        <v>1</v>
      </c>
      <c r="C19" s="7">
        <v>1</v>
      </c>
      <c r="E19" t="s">
        <v>362</v>
      </c>
      <c r="F19" s="8" t="s">
        <v>426</v>
      </c>
      <c r="G19">
        <v>1632</v>
      </c>
      <c r="H19">
        <v>3</v>
      </c>
      <c r="J19">
        <f t="shared" si="1"/>
        <v>1632</v>
      </c>
      <c r="M19" s="3" t="s">
        <v>426</v>
      </c>
      <c r="N19" s="13">
        <v>1632</v>
      </c>
      <c r="P19">
        <v>1632</v>
      </c>
      <c r="Q19">
        <f t="shared" si="2"/>
        <v>1632</v>
      </c>
      <c r="R19">
        <f t="shared" si="0"/>
        <v>0</v>
      </c>
    </row>
    <row r="20" spans="1:18">
      <c r="A20" s="2" t="s">
        <v>288</v>
      </c>
      <c r="B20" s="7">
        <v>1</v>
      </c>
      <c r="C20" s="7">
        <v>1</v>
      </c>
      <c r="E20" t="s">
        <v>19</v>
      </c>
      <c r="F20" s="8" t="s">
        <v>18</v>
      </c>
      <c r="G20">
        <v>64</v>
      </c>
      <c r="H20">
        <v>1</v>
      </c>
      <c r="J20">
        <f t="shared" si="1"/>
        <v>64</v>
      </c>
      <c r="M20" s="3" t="s">
        <v>427</v>
      </c>
      <c r="N20" s="13">
        <v>513</v>
      </c>
      <c r="P20">
        <v>513</v>
      </c>
      <c r="Q20">
        <f t="shared" si="2"/>
        <v>513</v>
      </c>
      <c r="R20">
        <f t="shared" si="0"/>
        <v>0</v>
      </c>
    </row>
    <row r="21" spans="1:18">
      <c r="A21" s="2" t="s">
        <v>288</v>
      </c>
      <c r="B21" s="7">
        <v>1</v>
      </c>
      <c r="C21" s="7">
        <v>1</v>
      </c>
      <c r="E21" t="s">
        <v>164</v>
      </c>
      <c r="F21" s="8" t="s">
        <v>163</v>
      </c>
      <c r="G21">
        <v>130</v>
      </c>
      <c r="H21">
        <v>1</v>
      </c>
      <c r="J21">
        <f t="shared" si="1"/>
        <v>130</v>
      </c>
      <c r="M21" s="3" t="s">
        <v>414</v>
      </c>
      <c r="N21" s="13">
        <v>216</v>
      </c>
      <c r="P21">
        <v>216</v>
      </c>
      <c r="Q21">
        <f t="shared" si="2"/>
        <v>216</v>
      </c>
      <c r="R21">
        <f t="shared" si="0"/>
        <v>0</v>
      </c>
    </row>
    <row r="22" spans="1:18">
      <c r="A22" s="2" t="s">
        <v>288</v>
      </c>
      <c r="B22" s="7">
        <v>1</v>
      </c>
      <c r="C22" s="7">
        <v>1</v>
      </c>
      <c r="E22" t="s">
        <v>369</v>
      </c>
      <c r="F22" s="8" t="s">
        <v>415</v>
      </c>
      <c r="G22">
        <v>600</v>
      </c>
      <c r="H22">
        <v>3</v>
      </c>
      <c r="J22">
        <f t="shared" si="1"/>
        <v>600</v>
      </c>
      <c r="M22" s="3" t="s">
        <v>424</v>
      </c>
      <c r="N22" s="13">
        <v>162</v>
      </c>
      <c r="P22">
        <v>162</v>
      </c>
      <c r="Q22">
        <f t="shared" si="2"/>
        <v>162</v>
      </c>
      <c r="R22">
        <f t="shared" si="0"/>
        <v>0</v>
      </c>
    </row>
    <row r="23" spans="1:18">
      <c r="A23" s="2" t="s">
        <v>288</v>
      </c>
      <c r="B23" s="7">
        <v>1</v>
      </c>
      <c r="C23" s="7">
        <v>1</v>
      </c>
      <c r="E23" t="s">
        <v>24</v>
      </c>
      <c r="F23" s="8" t="s">
        <v>23</v>
      </c>
      <c r="G23">
        <f>384+978</f>
        <v>1362</v>
      </c>
      <c r="H23">
        <v>4</v>
      </c>
      <c r="J23">
        <f t="shared" si="1"/>
        <v>1362</v>
      </c>
      <c r="M23" s="3" t="s">
        <v>428</v>
      </c>
      <c r="N23" s="13">
        <v>432</v>
      </c>
      <c r="P23">
        <v>432</v>
      </c>
      <c r="Q23">
        <f t="shared" si="2"/>
        <v>432</v>
      </c>
      <c r="R23">
        <f t="shared" si="0"/>
        <v>0</v>
      </c>
    </row>
    <row r="24" spans="1:18">
      <c r="A24" s="2" t="s">
        <v>288</v>
      </c>
      <c r="B24" s="7">
        <v>1</v>
      </c>
      <c r="C24" s="7">
        <v>1</v>
      </c>
      <c r="E24" t="s">
        <v>170</v>
      </c>
      <c r="F24" s="8" t="s">
        <v>169</v>
      </c>
      <c r="G24">
        <v>680</v>
      </c>
      <c r="H24">
        <v>4</v>
      </c>
      <c r="J24">
        <f t="shared" si="1"/>
        <v>680</v>
      </c>
      <c r="M24" s="3" t="s">
        <v>416</v>
      </c>
      <c r="N24" s="13">
        <v>252</v>
      </c>
      <c r="P24">
        <v>252</v>
      </c>
      <c r="Q24">
        <f t="shared" si="2"/>
        <v>252</v>
      </c>
      <c r="R24">
        <f t="shared" si="0"/>
        <v>0</v>
      </c>
    </row>
    <row r="25" spans="1:18">
      <c r="A25" s="2" t="s">
        <v>288</v>
      </c>
      <c r="B25" s="7">
        <v>1</v>
      </c>
      <c r="C25" s="7">
        <v>1</v>
      </c>
      <c r="E25" t="s">
        <v>166</v>
      </c>
      <c r="F25" s="8" t="s">
        <v>165</v>
      </c>
      <c r="G25">
        <v>432</v>
      </c>
      <c r="H25">
        <v>1</v>
      </c>
      <c r="J25">
        <f t="shared" si="1"/>
        <v>432</v>
      </c>
      <c r="M25" s="3" t="s">
        <v>163</v>
      </c>
      <c r="N25" s="13">
        <v>140</v>
      </c>
      <c r="O25" s="5">
        <v>10</v>
      </c>
      <c r="P25">
        <v>130</v>
      </c>
      <c r="Q25">
        <f t="shared" si="2"/>
        <v>140</v>
      </c>
      <c r="R25">
        <f t="shared" si="0"/>
        <v>0</v>
      </c>
    </row>
    <row r="26" spans="1:18">
      <c r="A26" s="2" t="s">
        <v>288</v>
      </c>
      <c r="B26" s="7">
        <v>1</v>
      </c>
      <c r="C26" s="7">
        <v>1</v>
      </c>
      <c r="E26" t="s">
        <v>385</v>
      </c>
      <c r="F26" s="8" t="s">
        <v>429</v>
      </c>
      <c r="G26">
        <v>24</v>
      </c>
      <c r="H26">
        <v>1</v>
      </c>
      <c r="J26">
        <f t="shared" si="1"/>
        <v>24</v>
      </c>
      <c r="M26" s="3" t="s">
        <v>12</v>
      </c>
      <c r="N26" s="13">
        <v>72</v>
      </c>
      <c r="O26" s="5">
        <v>72</v>
      </c>
      <c r="P26">
        <v>0</v>
      </c>
      <c r="Q26">
        <f t="shared" si="2"/>
        <v>72</v>
      </c>
      <c r="R26">
        <f t="shared" si="0"/>
        <v>0</v>
      </c>
    </row>
    <row r="27" spans="1:18">
      <c r="A27" s="2" t="s">
        <v>288</v>
      </c>
      <c r="B27" s="7">
        <v>1</v>
      </c>
      <c r="C27" s="7">
        <v>1</v>
      </c>
      <c r="E27" t="s">
        <v>388</v>
      </c>
      <c r="F27" s="8" t="s">
        <v>430</v>
      </c>
      <c r="G27">
        <v>12</v>
      </c>
      <c r="H27">
        <v>1</v>
      </c>
      <c r="J27">
        <f t="shared" si="1"/>
        <v>12</v>
      </c>
      <c r="M27" s="15" t="s">
        <v>18</v>
      </c>
      <c r="N27" s="13">
        <v>64</v>
      </c>
      <c r="O27" s="16"/>
      <c r="P27">
        <v>64</v>
      </c>
      <c r="Q27">
        <f t="shared" si="2"/>
        <v>64</v>
      </c>
      <c r="R27">
        <f t="shared" si="0"/>
        <v>0</v>
      </c>
    </row>
    <row r="28" spans="1:18">
      <c r="A28" s="2" t="s">
        <v>288</v>
      </c>
      <c r="B28" s="7">
        <v>1</v>
      </c>
      <c r="C28" s="7">
        <v>1</v>
      </c>
      <c r="E28" t="s">
        <v>392</v>
      </c>
      <c r="F28" s="8" t="s">
        <v>425</v>
      </c>
      <c r="G28">
        <v>1320</v>
      </c>
      <c r="H28">
        <v>3</v>
      </c>
      <c r="J28">
        <f t="shared" si="1"/>
        <v>1320</v>
      </c>
      <c r="M28" s="3" t="s">
        <v>418</v>
      </c>
      <c r="N28" s="13">
        <v>72</v>
      </c>
      <c r="P28">
        <v>72</v>
      </c>
      <c r="Q28" s="5">
        <f t="shared" si="2"/>
        <v>72</v>
      </c>
      <c r="R28">
        <f t="shared" si="0"/>
        <v>0</v>
      </c>
    </row>
    <row r="29" spans="1:18">
      <c r="A29" s="2" t="s">
        <v>288</v>
      </c>
      <c r="B29" s="7">
        <v>1</v>
      </c>
      <c r="C29" s="7">
        <v>1</v>
      </c>
      <c r="E29" t="s">
        <v>397</v>
      </c>
      <c r="F29" s="8" t="s">
        <v>427</v>
      </c>
      <c r="G29">
        <v>513</v>
      </c>
      <c r="H29">
        <v>2</v>
      </c>
      <c r="J29">
        <f t="shared" si="1"/>
        <v>513</v>
      </c>
      <c r="M29" s="3" t="s">
        <v>430</v>
      </c>
      <c r="N29" s="13">
        <v>12</v>
      </c>
      <c r="O29"/>
      <c r="P29">
        <v>12</v>
      </c>
      <c r="Q29">
        <f t="shared" si="2"/>
        <v>12</v>
      </c>
      <c r="R29">
        <f t="shared" si="0"/>
        <v>0</v>
      </c>
    </row>
    <row r="30" spans="1:18">
      <c r="A30" s="2" t="s">
        <v>288</v>
      </c>
      <c r="B30" s="7">
        <v>1</v>
      </c>
      <c r="C30" s="7">
        <v>1</v>
      </c>
      <c r="E30" t="s">
        <v>401</v>
      </c>
      <c r="F30" s="8" t="s">
        <v>428</v>
      </c>
      <c r="G30">
        <v>432</v>
      </c>
      <c r="H30">
        <v>1</v>
      </c>
      <c r="J30">
        <f t="shared" si="1"/>
        <v>432</v>
      </c>
      <c r="M30" s="3" t="s">
        <v>429</v>
      </c>
      <c r="N30" s="13">
        <v>24</v>
      </c>
      <c r="O30"/>
      <c r="P30">
        <v>24</v>
      </c>
      <c r="Q30">
        <f t="shared" si="2"/>
        <v>24</v>
      </c>
      <c r="R30">
        <f t="shared" si="0"/>
        <v>0</v>
      </c>
    </row>
    <row r="31" spans="1:18">
      <c r="A31" s="2" t="s">
        <v>288</v>
      </c>
      <c r="B31" s="7">
        <v>1</v>
      </c>
      <c r="C31" s="7">
        <v>1</v>
      </c>
      <c r="E31" t="s">
        <v>57</v>
      </c>
      <c r="F31" s="8" t="s">
        <v>56</v>
      </c>
      <c r="G31">
        <v>528</v>
      </c>
      <c r="H31">
        <v>1</v>
      </c>
      <c r="J31">
        <f t="shared" si="1"/>
        <v>528</v>
      </c>
      <c r="M31" s="3" t="s">
        <v>420</v>
      </c>
      <c r="N31" s="13">
        <v>24</v>
      </c>
      <c r="O31"/>
      <c r="P31">
        <v>24</v>
      </c>
      <c r="Q31">
        <f t="shared" si="2"/>
        <v>24</v>
      </c>
      <c r="R31">
        <f t="shared" si="0"/>
        <v>0</v>
      </c>
    </row>
    <row r="32" spans="1:18">
      <c r="A32" s="2" t="s">
        <v>288</v>
      </c>
      <c r="B32" s="7">
        <v>1</v>
      </c>
      <c r="C32" s="7">
        <v>1</v>
      </c>
      <c r="G32">
        <f>SUM(G3:G31)</f>
        <v>15521</v>
      </c>
      <c r="M32" s="3" t="s">
        <v>417</v>
      </c>
      <c r="N32" s="13">
        <v>24</v>
      </c>
      <c r="O32"/>
      <c r="P32">
        <v>24</v>
      </c>
      <c r="Q32">
        <f t="shared" si="2"/>
        <v>24</v>
      </c>
      <c r="R32">
        <f t="shared" si="0"/>
        <v>0</v>
      </c>
    </row>
    <row r="33" spans="1:18">
      <c r="A33" s="2" t="s">
        <v>288</v>
      </c>
      <c r="B33" s="7">
        <v>1</v>
      </c>
      <c r="C33" s="7">
        <v>1</v>
      </c>
      <c r="E33" s="6" t="s">
        <v>431</v>
      </c>
      <c r="M33" s="3" t="s">
        <v>167</v>
      </c>
      <c r="N33" s="13">
        <v>2</v>
      </c>
      <c r="O33">
        <v>2</v>
      </c>
      <c r="P33">
        <v>0</v>
      </c>
      <c r="Q33">
        <f t="shared" si="2"/>
        <v>2</v>
      </c>
      <c r="R33">
        <f t="shared" si="0"/>
        <v>0</v>
      </c>
    </row>
    <row r="34" spans="1:18">
      <c r="A34" s="2" t="s">
        <v>288</v>
      </c>
      <c r="B34" s="7">
        <v>1</v>
      </c>
      <c r="C34" s="7">
        <v>1</v>
      </c>
      <c r="E34" t="s">
        <v>42</v>
      </c>
      <c r="F34" t="s">
        <v>42</v>
      </c>
      <c r="G34">
        <v>1711</v>
      </c>
      <c r="H34">
        <v>17</v>
      </c>
      <c r="J34">
        <v>1711</v>
      </c>
      <c r="M34" s="3" t="s">
        <v>423</v>
      </c>
      <c r="N34" s="13">
        <v>7</v>
      </c>
      <c r="O34"/>
      <c r="P34">
        <v>7</v>
      </c>
      <c r="Q34">
        <f t="shared" si="2"/>
        <v>7</v>
      </c>
      <c r="R34">
        <f t="shared" si="0"/>
        <v>0</v>
      </c>
    </row>
    <row r="35" spans="1:18">
      <c r="A35" s="2" t="s">
        <v>288</v>
      </c>
      <c r="B35" s="7">
        <v>1</v>
      </c>
      <c r="C35" s="7">
        <v>1</v>
      </c>
      <c r="E35" s="10" t="s">
        <v>48</v>
      </c>
      <c r="F35" s="10" t="s">
        <v>48</v>
      </c>
      <c r="G35">
        <v>0</v>
      </c>
      <c r="H35">
        <v>0</v>
      </c>
      <c r="J35">
        <v>0</v>
      </c>
      <c r="M35" s="3" t="s">
        <v>28</v>
      </c>
      <c r="N35" s="13">
        <v>3</v>
      </c>
      <c r="O35" s="5">
        <v>3</v>
      </c>
      <c r="P35">
        <v>0</v>
      </c>
      <c r="Q35" s="5">
        <f t="shared" si="2"/>
        <v>3</v>
      </c>
      <c r="R35">
        <f t="shared" si="0"/>
        <v>0</v>
      </c>
    </row>
    <row r="36" spans="1:18">
      <c r="A36" s="2" t="s">
        <v>317</v>
      </c>
      <c r="B36" s="7">
        <v>228</v>
      </c>
      <c r="C36" s="7">
        <v>1</v>
      </c>
      <c r="E36" t="s">
        <v>38</v>
      </c>
      <c r="F36" t="s">
        <v>38</v>
      </c>
      <c r="G36">
        <v>207</v>
      </c>
      <c r="H36">
        <v>6</v>
      </c>
      <c r="J36">
        <v>207</v>
      </c>
      <c r="N36" s="17">
        <f t="shared" ref="N36:R36" si="3">SUM(N2:N35)</f>
        <v>27190</v>
      </c>
      <c r="O36" s="5">
        <f t="shared" si="3"/>
        <v>6437</v>
      </c>
      <c r="P36">
        <f t="shared" si="3"/>
        <v>20609</v>
      </c>
      <c r="Q36" s="5">
        <f t="shared" si="3"/>
        <v>27046</v>
      </c>
      <c r="R36" s="5">
        <f t="shared" si="3"/>
        <v>-144</v>
      </c>
    </row>
    <row r="37" spans="1:16">
      <c r="A37" s="2" t="s">
        <v>317</v>
      </c>
      <c r="B37" s="7">
        <v>240</v>
      </c>
      <c r="C37" s="7">
        <v>1</v>
      </c>
      <c r="E37" t="s">
        <v>52</v>
      </c>
      <c r="F37" t="s">
        <v>52</v>
      </c>
      <c r="G37">
        <v>3096</v>
      </c>
      <c r="H37">
        <v>47</v>
      </c>
      <c r="J37">
        <v>3096</v>
      </c>
      <c r="M37" s="5" t="s">
        <v>288</v>
      </c>
      <c r="N37" s="5"/>
      <c r="P37">
        <v>28</v>
      </c>
    </row>
    <row r="38" spans="1:3">
      <c r="A38" s="2" t="s">
        <v>321</v>
      </c>
      <c r="B38" s="7">
        <v>216</v>
      </c>
      <c r="C38" s="7">
        <v>1</v>
      </c>
    </row>
    <row r="39" spans="1:3">
      <c r="A39" s="2" t="s">
        <v>324</v>
      </c>
      <c r="B39" s="7">
        <v>252</v>
      </c>
      <c r="C39" s="7">
        <v>1</v>
      </c>
    </row>
    <row r="40" spans="1:3">
      <c r="A40" s="2" t="s">
        <v>327</v>
      </c>
      <c r="B40" s="7">
        <v>24</v>
      </c>
      <c r="C40" s="7">
        <v>1</v>
      </c>
    </row>
    <row r="41" spans="1:5">
      <c r="A41" s="2" t="s">
        <v>330</v>
      </c>
      <c r="B41" s="7">
        <v>72</v>
      </c>
      <c r="C41" s="7">
        <v>1</v>
      </c>
      <c r="E41" s="10" t="s">
        <v>432</v>
      </c>
    </row>
    <row r="42" spans="1:10">
      <c r="A42" s="2" t="s">
        <v>333</v>
      </c>
      <c r="B42" s="7">
        <v>1024</v>
      </c>
      <c r="C42" s="7">
        <v>1</v>
      </c>
      <c r="F42" t="s">
        <v>163</v>
      </c>
      <c r="G42" s="11">
        <v>10</v>
      </c>
      <c r="J42">
        <v>10</v>
      </c>
    </row>
    <row r="43" spans="1:10">
      <c r="A43" s="2" t="s">
        <v>333</v>
      </c>
      <c r="B43" s="7">
        <v>339</v>
      </c>
      <c r="C43" s="7">
        <v>1</v>
      </c>
      <c r="F43" t="s">
        <v>165</v>
      </c>
      <c r="G43">
        <v>325</v>
      </c>
      <c r="J43">
        <v>325</v>
      </c>
    </row>
    <row r="44" spans="1:10">
      <c r="A44" s="2" t="s">
        <v>337</v>
      </c>
      <c r="B44" s="7">
        <v>24</v>
      </c>
      <c r="C44" s="7">
        <v>1</v>
      </c>
      <c r="F44" t="s">
        <v>167</v>
      </c>
      <c r="G44">
        <v>2</v>
      </c>
      <c r="J44">
        <v>2</v>
      </c>
    </row>
    <row r="45" spans="1:10">
      <c r="A45" s="2" t="s">
        <v>340</v>
      </c>
      <c r="B45" s="7">
        <v>768</v>
      </c>
      <c r="C45" s="7">
        <v>1</v>
      </c>
      <c r="F45" t="s">
        <v>12</v>
      </c>
      <c r="G45">
        <v>72</v>
      </c>
      <c r="J45">
        <v>72</v>
      </c>
    </row>
    <row r="46" spans="1:10">
      <c r="A46" s="2" t="s">
        <v>343</v>
      </c>
      <c r="B46" s="7">
        <v>104</v>
      </c>
      <c r="C46" s="7">
        <v>1</v>
      </c>
      <c r="F46" t="s">
        <v>23</v>
      </c>
      <c r="G46">
        <v>0</v>
      </c>
      <c r="J46">
        <v>0</v>
      </c>
    </row>
    <row r="47" spans="1:10">
      <c r="A47" s="2" t="s">
        <v>343</v>
      </c>
      <c r="B47" s="7">
        <v>152</v>
      </c>
      <c r="C47" s="7">
        <v>1</v>
      </c>
      <c r="F47" t="s">
        <v>169</v>
      </c>
      <c r="G47">
        <v>80</v>
      </c>
      <c r="J47">
        <v>80</v>
      </c>
    </row>
    <row r="48" spans="1:10">
      <c r="A48" s="2" t="s">
        <v>343</v>
      </c>
      <c r="B48" s="7">
        <v>304</v>
      </c>
      <c r="C48" s="7">
        <v>1</v>
      </c>
      <c r="F48" t="s">
        <v>28</v>
      </c>
      <c r="G48">
        <v>3</v>
      </c>
      <c r="J48">
        <v>3</v>
      </c>
    </row>
    <row r="49" spans="1:10">
      <c r="A49" s="2" t="s">
        <v>343</v>
      </c>
      <c r="B49" s="7">
        <v>704</v>
      </c>
      <c r="C49" s="7">
        <v>1</v>
      </c>
      <c r="F49" t="s">
        <v>33</v>
      </c>
      <c r="G49">
        <v>612</v>
      </c>
      <c r="J49">
        <v>612</v>
      </c>
    </row>
    <row r="50" spans="1:10">
      <c r="A50" s="2" t="s">
        <v>349</v>
      </c>
      <c r="B50" s="7">
        <v>7</v>
      </c>
      <c r="C50" s="7">
        <v>1</v>
      </c>
      <c r="F50" t="s">
        <v>56</v>
      </c>
      <c r="G50">
        <v>1056</v>
      </c>
      <c r="J50">
        <v>1056</v>
      </c>
    </row>
    <row r="51" spans="1:10">
      <c r="A51" s="2" t="s">
        <v>352</v>
      </c>
      <c r="B51" s="7">
        <v>144</v>
      </c>
      <c r="C51" s="7">
        <v>1</v>
      </c>
      <c r="F51" t="s">
        <v>61</v>
      </c>
      <c r="G51">
        <v>192</v>
      </c>
      <c r="J51">
        <v>192</v>
      </c>
    </row>
    <row r="52" spans="1:10">
      <c r="A52" s="2" t="s">
        <v>352</v>
      </c>
      <c r="B52" s="7">
        <v>18</v>
      </c>
      <c r="C52" s="7">
        <v>1</v>
      </c>
      <c r="F52" t="s">
        <v>52</v>
      </c>
      <c r="G52">
        <v>1612</v>
      </c>
      <c r="J52">
        <v>1612</v>
      </c>
    </row>
    <row r="53" spans="1:10">
      <c r="A53" s="2" t="s">
        <v>34</v>
      </c>
      <c r="B53" s="7">
        <v>1008</v>
      </c>
      <c r="C53" s="7">
        <v>1</v>
      </c>
      <c r="F53" t="s">
        <v>42</v>
      </c>
      <c r="G53">
        <v>2272</v>
      </c>
      <c r="J53">
        <v>2272</v>
      </c>
    </row>
    <row r="54" spans="1:10">
      <c r="A54" s="2" t="s">
        <v>34</v>
      </c>
      <c r="B54" s="7">
        <v>1440</v>
      </c>
      <c r="C54" s="7">
        <v>1</v>
      </c>
      <c r="F54" t="s">
        <v>38</v>
      </c>
      <c r="G54">
        <v>36</v>
      </c>
      <c r="J54">
        <v>36</v>
      </c>
    </row>
    <row r="55" spans="1:10">
      <c r="A55" s="2" t="s">
        <v>358</v>
      </c>
      <c r="B55" s="7">
        <v>72</v>
      </c>
      <c r="C55" s="7">
        <v>1</v>
      </c>
      <c r="F55" t="s">
        <v>48</v>
      </c>
      <c r="G55">
        <v>165</v>
      </c>
      <c r="J55">
        <v>165</v>
      </c>
    </row>
    <row r="56" spans="1:10">
      <c r="A56" s="2" t="s">
        <v>358</v>
      </c>
      <c r="B56" s="7">
        <v>72</v>
      </c>
      <c r="C56" s="7">
        <v>1</v>
      </c>
      <c r="J56">
        <f>SUM(J3:J55)</f>
        <v>27074</v>
      </c>
    </row>
    <row r="57" spans="1:3">
      <c r="A57" s="2" t="s">
        <v>362</v>
      </c>
      <c r="B57" s="7">
        <v>192</v>
      </c>
      <c r="C57" s="7">
        <v>1</v>
      </c>
    </row>
    <row r="58" spans="1:3">
      <c r="A58" s="2" t="s">
        <v>362</v>
      </c>
      <c r="B58" s="7">
        <v>672</v>
      </c>
      <c r="C58" s="7">
        <v>1</v>
      </c>
    </row>
    <row r="59" spans="1:3">
      <c r="A59" s="2" t="s">
        <v>362</v>
      </c>
      <c r="B59" s="7">
        <v>768</v>
      </c>
      <c r="C59" s="7">
        <v>1</v>
      </c>
    </row>
    <row r="60" spans="1:3">
      <c r="A60" s="2" t="s">
        <v>19</v>
      </c>
      <c r="B60" s="7">
        <v>64</v>
      </c>
      <c r="C60" s="7">
        <v>1</v>
      </c>
    </row>
    <row r="61" spans="1:7">
      <c r="A61" s="2" t="s">
        <v>164</v>
      </c>
      <c r="B61" s="7">
        <v>130</v>
      </c>
      <c r="C61" s="7">
        <v>1</v>
      </c>
      <c r="E61" s="2"/>
      <c r="F61" s="2" t="s">
        <v>433</v>
      </c>
      <c r="G61" s="2" t="s">
        <v>434</v>
      </c>
    </row>
    <row r="62" spans="1:7">
      <c r="A62" s="2" t="s">
        <v>369</v>
      </c>
      <c r="B62" s="7">
        <v>180</v>
      </c>
      <c r="C62" s="7">
        <v>1</v>
      </c>
      <c r="E62" s="2" t="s">
        <v>435</v>
      </c>
      <c r="F62" s="2">
        <v>9198</v>
      </c>
      <c r="G62" s="2">
        <v>121</v>
      </c>
    </row>
    <row r="63" spans="1:7">
      <c r="A63" s="2" t="s">
        <v>369</v>
      </c>
      <c r="B63" s="7">
        <v>210</v>
      </c>
      <c r="C63" s="7">
        <v>1</v>
      </c>
      <c r="E63" s="2" t="s">
        <v>436</v>
      </c>
      <c r="F63" s="2">
        <v>17876</v>
      </c>
      <c r="G63" s="2">
        <v>98</v>
      </c>
    </row>
    <row r="64" spans="1:7">
      <c r="A64" s="2" t="s">
        <v>369</v>
      </c>
      <c r="B64" s="7">
        <v>210</v>
      </c>
      <c r="C64" s="7">
        <v>1</v>
      </c>
      <c r="E64" s="2"/>
      <c r="F64" s="2"/>
      <c r="G64" s="2"/>
    </row>
    <row r="65" spans="1:7">
      <c r="A65" s="2" t="s">
        <v>24</v>
      </c>
      <c r="B65" s="7">
        <v>126</v>
      </c>
      <c r="C65" s="7">
        <v>1</v>
      </c>
      <c r="E65" s="2" t="s">
        <v>437</v>
      </c>
      <c r="F65" s="2">
        <v>-4082</v>
      </c>
      <c r="G65" s="2">
        <v>-47</v>
      </c>
    </row>
    <row r="66" spans="1:7">
      <c r="A66" s="2" t="s">
        <v>24</v>
      </c>
      <c r="B66" s="7">
        <v>180</v>
      </c>
      <c r="C66" s="7">
        <v>1</v>
      </c>
      <c r="E66" s="2" t="s">
        <v>438</v>
      </c>
      <c r="F66" s="2">
        <v>-3333</v>
      </c>
      <c r="G66" s="2">
        <v>-18</v>
      </c>
    </row>
    <row r="67" spans="1:7">
      <c r="A67" s="2" t="s">
        <v>24</v>
      </c>
      <c r="B67" s="7">
        <v>6</v>
      </c>
      <c r="C67" s="7">
        <v>1</v>
      </c>
      <c r="E67" s="2"/>
      <c r="F67" s="2"/>
      <c r="G67" s="2"/>
    </row>
    <row r="68" spans="1:7">
      <c r="A68" s="2" t="s">
        <v>24</v>
      </c>
      <c r="B68" s="7">
        <v>72</v>
      </c>
      <c r="C68" s="7">
        <v>1</v>
      </c>
      <c r="E68" s="2" t="s">
        <v>439</v>
      </c>
      <c r="F68" s="2">
        <v>5116</v>
      </c>
      <c r="G68" s="2">
        <v>73</v>
      </c>
    </row>
    <row r="69" spans="1:7">
      <c r="A69" s="2" t="s">
        <v>170</v>
      </c>
      <c r="B69" s="7">
        <v>104</v>
      </c>
      <c r="C69" s="7">
        <v>1</v>
      </c>
      <c r="E69" s="2" t="s">
        <v>440</v>
      </c>
      <c r="F69" s="2">
        <f>14543+978</f>
        <v>15521</v>
      </c>
      <c r="G69" s="2">
        <v>81</v>
      </c>
    </row>
    <row r="70" spans="1:3">
      <c r="A70" s="2" t="s">
        <v>170</v>
      </c>
      <c r="B70" s="7">
        <v>192</v>
      </c>
      <c r="C70" s="7">
        <v>1</v>
      </c>
    </row>
    <row r="71" spans="1:3">
      <c r="A71" s="2" t="s">
        <v>170</v>
      </c>
      <c r="B71" s="7">
        <v>192</v>
      </c>
      <c r="C71" s="7">
        <v>1</v>
      </c>
    </row>
    <row r="72" spans="1:5">
      <c r="A72" s="2" t="s">
        <v>170</v>
      </c>
      <c r="B72" s="7">
        <v>192</v>
      </c>
      <c r="C72" s="7">
        <v>1</v>
      </c>
      <c r="E72" s="5"/>
    </row>
    <row r="73" spans="1:7">
      <c r="A73" s="2" t="s">
        <v>166</v>
      </c>
      <c r="B73" s="7">
        <v>432</v>
      </c>
      <c r="C73" s="7">
        <v>1</v>
      </c>
      <c r="E73" s="5"/>
      <c r="F73" s="5"/>
      <c r="G73" s="5"/>
    </row>
    <row r="74" spans="1:10">
      <c r="A74" s="2" t="s">
        <v>385</v>
      </c>
      <c r="B74" s="7">
        <v>24</v>
      </c>
      <c r="C74" s="7">
        <v>1</v>
      </c>
      <c r="G74" s="5"/>
      <c r="I74" s="5"/>
      <c r="J74" s="5"/>
    </row>
    <row r="75" spans="1:10">
      <c r="A75" s="2" t="s">
        <v>388</v>
      </c>
      <c r="B75" s="7">
        <v>12</v>
      </c>
      <c r="C75" s="7">
        <v>1</v>
      </c>
      <c r="G75" s="5"/>
      <c r="I75" s="5"/>
      <c r="J75" s="5"/>
    </row>
    <row r="76" spans="1:10">
      <c r="A76" s="2" t="s">
        <v>392</v>
      </c>
      <c r="B76" s="7">
        <v>1020</v>
      </c>
      <c r="C76" s="7">
        <v>1</v>
      </c>
      <c r="G76" s="5"/>
      <c r="I76" s="5"/>
      <c r="J76" s="5"/>
    </row>
    <row r="77" spans="1:10">
      <c r="A77" s="2" t="s">
        <v>392</v>
      </c>
      <c r="B77" s="7">
        <v>120</v>
      </c>
      <c r="C77" s="7">
        <v>1</v>
      </c>
      <c r="G77" s="5"/>
      <c r="H77" s="5"/>
      <c r="I77" s="5"/>
      <c r="J77" s="5"/>
    </row>
    <row r="78" spans="1:10">
      <c r="A78" s="2" t="s">
        <v>392</v>
      </c>
      <c r="B78" s="7">
        <v>180</v>
      </c>
      <c r="C78" s="7">
        <v>1</v>
      </c>
      <c r="G78" s="5"/>
      <c r="I78" s="5"/>
      <c r="J78" s="5"/>
    </row>
    <row r="79" spans="1:10">
      <c r="A79" s="2" t="s">
        <v>397</v>
      </c>
      <c r="B79" s="7">
        <v>432</v>
      </c>
      <c r="C79" s="7">
        <v>1</v>
      </c>
      <c r="G79" s="5"/>
      <c r="I79" s="5"/>
      <c r="J79" s="5"/>
    </row>
    <row r="80" spans="1:10">
      <c r="A80" s="2" t="s">
        <v>397</v>
      </c>
      <c r="B80" s="7">
        <v>81</v>
      </c>
      <c r="C80" s="7">
        <v>1</v>
      </c>
      <c r="G80" s="5"/>
      <c r="I80" s="5"/>
      <c r="J80" s="5"/>
    </row>
    <row r="81" spans="1:10">
      <c r="A81" s="2" t="s">
        <v>401</v>
      </c>
      <c r="B81" s="7">
        <v>432</v>
      </c>
      <c r="C81" s="7">
        <v>1</v>
      </c>
      <c r="G81" s="5"/>
      <c r="I81" s="5"/>
      <c r="J81" s="5"/>
    </row>
    <row r="82" spans="1:10">
      <c r="A82" s="2" t="s">
        <v>57</v>
      </c>
      <c r="B82" s="7">
        <v>528</v>
      </c>
      <c r="C82" s="7">
        <v>1</v>
      </c>
      <c r="G82" s="5"/>
      <c r="I82" s="5"/>
      <c r="J82" s="5"/>
    </row>
    <row r="83" spans="2:10">
      <c r="B83" s="2">
        <f>SUM(B2:B82)</f>
        <v>14543</v>
      </c>
      <c r="C83" s="2">
        <f>SUM(C2:C82)</f>
        <v>81</v>
      </c>
      <c r="G83" s="5"/>
      <c r="I83" s="5"/>
      <c r="J83" s="5"/>
    </row>
    <row r="84" spans="7:10">
      <c r="G84" s="5"/>
      <c r="I84" s="5"/>
      <c r="J84" s="5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opLeftCell="A34" workbookViewId="0">
      <selection activeCell="L21" sqref="L21"/>
    </sheetView>
  </sheetViews>
  <sheetFormatPr defaultColWidth="9.02857142857143" defaultRowHeight="15"/>
  <cols>
    <col min="1" max="1" width="22.3142857142857" style="2" customWidth="1"/>
    <col min="2" max="2" width="13.4761904761905" style="2" customWidth="1"/>
    <col min="3" max="3" width="9.56190476190476" style="2"/>
  </cols>
  <sheetData>
    <row r="1" spans="1:3">
      <c r="A1" s="1" t="s">
        <v>0</v>
      </c>
      <c r="B1" s="1" t="s">
        <v>159</v>
      </c>
      <c r="C1" s="1" t="s">
        <v>160</v>
      </c>
    </row>
    <row r="2" spans="1:3">
      <c r="A2" s="2" t="s">
        <v>52</v>
      </c>
      <c r="B2" s="2" t="s">
        <v>53</v>
      </c>
      <c r="C2" s="2">
        <v>-72</v>
      </c>
    </row>
    <row r="3" spans="1:3">
      <c r="A3" s="2" t="s">
        <v>52</v>
      </c>
      <c r="B3" s="2" t="s">
        <v>53</v>
      </c>
      <c r="C3" s="2">
        <v>-72</v>
      </c>
    </row>
    <row r="4" spans="1:3">
      <c r="A4" s="2" t="s">
        <v>52</v>
      </c>
      <c r="B4" s="2" t="s">
        <v>53</v>
      </c>
      <c r="C4" s="2">
        <v>-72</v>
      </c>
    </row>
    <row r="5" spans="1:3">
      <c r="A5" s="2" t="s">
        <v>42</v>
      </c>
      <c r="B5" s="2" t="s">
        <v>43</v>
      </c>
      <c r="C5" s="2">
        <v>-128</v>
      </c>
    </row>
    <row r="6" spans="1:3">
      <c r="A6" s="2" t="s">
        <v>42</v>
      </c>
      <c r="B6" s="2" t="s">
        <v>43</v>
      </c>
      <c r="C6" s="2">
        <v>-128</v>
      </c>
    </row>
    <row r="7" spans="1:3">
      <c r="A7" s="2" t="s">
        <v>52</v>
      </c>
      <c r="B7" s="2" t="s">
        <v>53</v>
      </c>
      <c r="C7" s="2">
        <v>-66</v>
      </c>
    </row>
    <row r="8" spans="1:12">
      <c r="A8" s="2" t="s">
        <v>52</v>
      </c>
      <c r="B8" s="2" t="s">
        <v>53</v>
      </c>
      <c r="C8" s="2">
        <v>-66</v>
      </c>
      <c r="K8" t="s">
        <v>159</v>
      </c>
      <c r="L8" t="s">
        <v>160</v>
      </c>
    </row>
    <row r="9" spans="1:12">
      <c r="A9" s="2" t="s">
        <v>52</v>
      </c>
      <c r="B9" s="2" t="s">
        <v>53</v>
      </c>
      <c r="C9" s="2">
        <v>-72</v>
      </c>
      <c r="J9" t="s">
        <v>52</v>
      </c>
      <c r="L9">
        <v>-1612</v>
      </c>
    </row>
    <row r="10" spans="1:12">
      <c r="A10" s="2" t="s">
        <v>42</v>
      </c>
      <c r="B10" s="2" t="s">
        <v>43</v>
      </c>
      <c r="C10" s="2">
        <v>-128</v>
      </c>
      <c r="J10" t="s">
        <v>42</v>
      </c>
      <c r="L10">
        <v>-2272</v>
      </c>
    </row>
    <row r="11" spans="1:12">
      <c r="A11" s="2" t="s">
        <v>52</v>
      </c>
      <c r="B11" s="2" t="s">
        <v>53</v>
      </c>
      <c r="C11" s="2">
        <v>-72</v>
      </c>
      <c r="J11" t="s">
        <v>38</v>
      </c>
      <c r="L11">
        <v>-36</v>
      </c>
    </row>
    <row r="12" spans="1:12">
      <c r="A12" s="2" t="s">
        <v>52</v>
      </c>
      <c r="B12" s="2" t="s">
        <v>53</v>
      </c>
      <c r="C12" s="2">
        <v>-72</v>
      </c>
      <c r="J12" t="s">
        <v>48</v>
      </c>
      <c r="L12">
        <v>-162</v>
      </c>
    </row>
    <row r="13" spans="1:3">
      <c r="A13" s="2" t="s">
        <v>52</v>
      </c>
      <c r="B13" s="2" t="s">
        <v>53</v>
      </c>
      <c r="C13" s="2">
        <v>-72</v>
      </c>
    </row>
    <row r="14" spans="1:3">
      <c r="A14" s="2" t="s">
        <v>42</v>
      </c>
      <c r="B14" s="2" t="s">
        <v>43</v>
      </c>
      <c r="C14" s="2">
        <v>-128</v>
      </c>
    </row>
    <row r="15" spans="1:3">
      <c r="A15" s="2" t="s">
        <v>42</v>
      </c>
      <c r="B15" s="2" t="s">
        <v>43</v>
      </c>
      <c r="C15" s="2">
        <v>-128</v>
      </c>
    </row>
    <row r="16" spans="1:3">
      <c r="A16" s="2" t="s">
        <v>42</v>
      </c>
      <c r="B16" s="2" t="s">
        <v>43</v>
      </c>
      <c r="C16" s="2">
        <v>-128</v>
      </c>
    </row>
    <row r="17" spans="1:3">
      <c r="A17" s="2" t="s">
        <v>52</v>
      </c>
      <c r="B17" s="2" t="s">
        <v>53</v>
      </c>
      <c r="C17" s="2">
        <v>-72</v>
      </c>
    </row>
    <row r="18" spans="1:3">
      <c r="A18" s="2" t="s">
        <v>42</v>
      </c>
      <c r="B18" s="2" t="s">
        <v>43</v>
      </c>
      <c r="C18" s="2">
        <v>-128</v>
      </c>
    </row>
    <row r="19" spans="1:3">
      <c r="A19" s="2" t="s">
        <v>38</v>
      </c>
      <c r="B19" s="2" t="s">
        <v>39</v>
      </c>
      <c r="C19" s="2">
        <v>-36</v>
      </c>
    </row>
    <row r="20" spans="1:3">
      <c r="A20" s="2" t="s">
        <v>52</v>
      </c>
      <c r="B20" s="2" t="s">
        <v>53</v>
      </c>
      <c r="C20" s="2">
        <v>-72</v>
      </c>
    </row>
    <row r="21" spans="1:3">
      <c r="A21" s="2" t="s">
        <v>42</v>
      </c>
      <c r="B21" s="2" t="s">
        <v>43</v>
      </c>
      <c r="C21" s="2">
        <v>-128</v>
      </c>
    </row>
    <row r="22" spans="1:3">
      <c r="A22" s="2" t="s">
        <v>42</v>
      </c>
      <c r="B22" s="2" t="s">
        <v>43</v>
      </c>
      <c r="C22" s="2">
        <v>-128</v>
      </c>
    </row>
    <row r="23" spans="1:3">
      <c r="A23" s="2" t="s">
        <v>42</v>
      </c>
      <c r="B23" s="2" t="s">
        <v>43</v>
      </c>
      <c r="C23" s="2">
        <v>-96</v>
      </c>
    </row>
    <row r="24" spans="1:3">
      <c r="A24" s="2" t="s">
        <v>52</v>
      </c>
      <c r="B24" s="2" t="s">
        <v>53</v>
      </c>
      <c r="C24" s="2">
        <v>-72</v>
      </c>
    </row>
    <row r="25" spans="1:3">
      <c r="A25" s="2" t="s">
        <v>52</v>
      </c>
      <c r="B25" s="2" t="s">
        <v>53</v>
      </c>
      <c r="C25" s="2">
        <v>72</v>
      </c>
    </row>
    <row r="26" spans="1:3">
      <c r="A26" s="2" t="s">
        <v>52</v>
      </c>
      <c r="B26" s="2" t="s">
        <v>53</v>
      </c>
      <c r="C26" s="2">
        <v>-72</v>
      </c>
    </row>
    <row r="27" spans="1:3">
      <c r="A27" s="2" t="s">
        <v>42</v>
      </c>
      <c r="B27" s="2" t="s">
        <v>43</v>
      </c>
      <c r="C27" s="2">
        <v>-128</v>
      </c>
    </row>
    <row r="28" spans="1:3">
      <c r="A28" s="2" t="s">
        <v>42</v>
      </c>
      <c r="B28" s="2" t="s">
        <v>43</v>
      </c>
      <c r="C28" s="2">
        <v>-128</v>
      </c>
    </row>
    <row r="29" spans="1:3">
      <c r="A29" s="2" t="s">
        <v>52</v>
      </c>
      <c r="B29" s="2" t="s">
        <v>53</v>
      </c>
      <c r="C29" s="2">
        <v>-72</v>
      </c>
    </row>
    <row r="30" spans="1:3">
      <c r="A30" s="2" t="s">
        <v>52</v>
      </c>
      <c r="B30" s="2" t="s">
        <v>53</v>
      </c>
      <c r="C30" s="2">
        <v>-72</v>
      </c>
    </row>
    <row r="31" spans="1:3">
      <c r="A31" s="2" t="s">
        <v>42</v>
      </c>
      <c r="B31" s="2" t="s">
        <v>43</v>
      </c>
      <c r="C31" s="2">
        <v>-96</v>
      </c>
    </row>
    <row r="32" spans="1:3">
      <c r="A32" s="2" t="s">
        <v>42</v>
      </c>
      <c r="B32" s="2" t="s">
        <v>43</v>
      </c>
      <c r="C32" s="2">
        <v>-128</v>
      </c>
    </row>
    <row r="33" spans="1:3">
      <c r="A33" s="2" t="s">
        <v>52</v>
      </c>
      <c r="B33" s="2" t="s">
        <v>53</v>
      </c>
      <c r="C33" s="2">
        <v>-72</v>
      </c>
    </row>
    <row r="34" spans="1:3">
      <c r="A34" s="2" t="s">
        <v>48</v>
      </c>
      <c r="B34" s="2" t="s">
        <v>49</v>
      </c>
      <c r="C34" s="2">
        <v>-54</v>
      </c>
    </row>
    <row r="35" spans="1:3">
      <c r="A35" s="2" t="s">
        <v>52</v>
      </c>
      <c r="B35" s="2" t="s">
        <v>53</v>
      </c>
      <c r="C35" s="2">
        <v>-72</v>
      </c>
    </row>
    <row r="36" spans="1:3">
      <c r="A36" s="2" t="s">
        <v>42</v>
      </c>
      <c r="B36" s="2" t="s">
        <v>43</v>
      </c>
      <c r="C36" s="2">
        <v>-128</v>
      </c>
    </row>
    <row r="37" spans="1:3">
      <c r="A37" s="2" t="s">
        <v>42</v>
      </c>
      <c r="B37" s="2" t="s">
        <v>43</v>
      </c>
      <c r="C37" s="2">
        <v>-96</v>
      </c>
    </row>
    <row r="38" spans="1:3">
      <c r="A38" s="2" t="s">
        <v>42</v>
      </c>
      <c r="B38" s="2" t="s">
        <v>43</v>
      </c>
      <c r="C38" s="2">
        <v>-96</v>
      </c>
    </row>
    <row r="39" spans="1:3">
      <c r="A39" s="2" t="s">
        <v>42</v>
      </c>
      <c r="B39" s="2" t="s">
        <v>43</v>
      </c>
      <c r="C39" s="2">
        <v>-128</v>
      </c>
    </row>
    <row r="40" spans="1:3">
      <c r="A40" s="2" t="s">
        <v>52</v>
      </c>
      <c r="B40" s="2" t="s">
        <v>53</v>
      </c>
      <c r="C40" s="2">
        <v>-66</v>
      </c>
    </row>
    <row r="41" spans="1:3">
      <c r="A41" s="2" t="s">
        <v>52</v>
      </c>
      <c r="B41" s="2" t="s">
        <v>53</v>
      </c>
      <c r="C41" s="2">
        <v>-64</v>
      </c>
    </row>
    <row r="42" spans="1:3">
      <c r="A42" s="2" t="s">
        <v>48</v>
      </c>
      <c r="B42" s="2" t="s">
        <v>49</v>
      </c>
      <c r="C42" s="2">
        <v>-54</v>
      </c>
    </row>
    <row r="43" spans="1:3">
      <c r="A43" s="2" t="s">
        <v>52</v>
      </c>
      <c r="B43" s="2" t="s">
        <v>53</v>
      </c>
      <c r="C43" s="2">
        <v>-72</v>
      </c>
    </row>
    <row r="44" spans="1:3">
      <c r="A44" s="2" t="s">
        <v>48</v>
      </c>
      <c r="B44" s="2" t="s">
        <v>49</v>
      </c>
      <c r="C44" s="2">
        <v>-54</v>
      </c>
    </row>
    <row r="45" spans="1:3">
      <c r="A45" s="2" t="s">
        <v>52</v>
      </c>
      <c r="B45" s="2" t="s">
        <v>53</v>
      </c>
      <c r="C45" s="2">
        <v>-66</v>
      </c>
    </row>
    <row r="46" spans="1:3">
      <c r="A46" s="2" t="s">
        <v>52</v>
      </c>
      <c r="B46" s="2" t="s">
        <v>53</v>
      </c>
      <c r="C46" s="2">
        <v>-72</v>
      </c>
    </row>
    <row r="47" spans="1:3">
      <c r="A47" s="2" t="s">
        <v>42</v>
      </c>
      <c r="B47" s="2" t="s">
        <v>43</v>
      </c>
      <c r="C47" s="2">
        <v>-96</v>
      </c>
    </row>
    <row r="48" spans="1:3">
      <c r="A48" s="2" t="s">
        <v>52</v>
      </c>
      <c r="B48" s="2" t="s">
        <v>53</v>
      </c>
      <c r="C48" s="2">
        <v>-66</v>
      </c>
    </row>
    <row r="49" spans="1:3">
      <c r="A49" s="2" t="s">
        <v>52</v>
      </c>
      <c r="B49" s="2" t="s">
        <v>53</v>
      </c>
      <c r="C49" s="2">
        <v>-66</v>
      </c>
    </row>
    <row r="50" spans="3:3">
      <c r="C50" s="2">
        <f>SUM(C2:C49)</f>
        <v>-4082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F26" sqref="F26"/>
    </sheetView>
  </sheetViews>
  <sheetFormatPr defaultColWidth="9.02857142857143" defaultRowHeight="15"/>
  <cols>
    <col min="1" max="1" width="24.0380952380952" customWidth="1"/>
    <col min="2" max="2" width="17" customWidth="1"/>
    <col min="3" max="3" width="32.3904761904762" customWidth="1"/>
    <col min="4" max="4" width="20.5809523809524" customWidth="1"/>
    <col min="6" max="6" width="15.4095238095238" customWidth="1"/>
    <col min="7" max="7" width="13.4761904761905" customWidth="1"/>
  </cols>
  <sheetData>
    <row r="1" spans="1:4">
      <c r="A1" t="s">
        <v>156</v>
      </c>
      <c r="B1" s="1" t="s">
        <v>0</v>
      </c>
      <c r="C1" s="1" t="s">
        <v>159</v>
      </c>
      <c r="D1" s="1" t="s">
        <v>160</v>
      </c>
    </row>
    <row r="2" spans="2:9">
      <c r="B2" s="2" t="s">
        <v>358</v>
      </c>
      <c r="C2" s="2" t="s">
        <v>359</v>
      </c>
      <c r="D2" s="2">
        <v>-3</v>
      </c>
      <c r="F2" t="s">
        <v>156</v>
      </c>
      <c r="H2" t="s">
        <v>159</v>
      </c>
      <c r="I2" t="s">
        <v>160</v>
      </c>
    </row>
    <row r="3" spans="2:9">
      <c r="B3" s="2" t="s">
        <v>164</v>
      </c>
      <c r="C3" s="2" t="s">
        <v>367</v>
      </c>
      <c r="D3" s="2">
        <v>-10</v>
      </c>
      <c r="F3" t="s">
        <v>48</v>
      </c>
      <c r="G3" t="s">
        <v>358</v>
      </c>
      <c r="I3">
        <v>-3</v>
      </c>
    </row>
    <row r="4" spans="2:9">
      <c r="B4" s="2" t="s">
        <v>166</v>
      </c>
      <c r="C4" s="2" t="s">
        <v>383</v>
      </c>
      <c r="D4" s="2">
        <v>-325</v>
      </c>
      <c r="F4" t="s">
        <v>163</v>
      </c>
      <c r="G4" t="s">
        <v>164</v>
      </c>
      <c r="I4">
        <v>-10</v>
      </c>
    </row>
    <row r="5" spans="2:9">
      <c r="B5" s="2" t="s">
        <v>168</v>
      </c>
      <c r="C5" s="2" t="s">
        <v>441</v>
      </c>
      <c r="D5" s="2">
        <v>-2</v>
      </c>
      <c r="F5" t="s">
        <v>165</v>
      </c>
      <c r="G5" t="s">
        <v>166</v>
      </c>
      <c r="I5">
        <v>-325</v>
      </c>
    </row>
    <row r="6" spans="2:9">
      <c r="B6" s="2" t="s">
        <v>13</v>
      </c>
      <c r="C6" s="2" t="s">
        <v>14</v>
      </c>
      <c r="D6" s="2">
        <v>-72</v>
      </c>
      <c r="F6" t="s">
        <v>167</v>
      </c>
      <c r="G6" t="s">
        <v>168</v>
      </c>
      <c r="I6">
        <v>-2</v>
      </c>
    </row>
    <row r="7" spans="2:9">
      <c r="B7" s="2" t="s">
        <v>24</v>
      </c>
      <c r="C7" s="2" t="s">
        <v>25</v>
      </c>
      <c r="D7" s="2">
        <v>-144</v>
      </c>
      <c r="F7" t="s">
        <v>12</v>
      </c>
      <c r="G7" t="s">
        <v>13</v>
      </c>
      <c r="I7">
        <v>-72</v>
      </c>
    </row>
    <row r="8" spans="2:9">
      <c r="B8" s="2" t="s">
        <v>24</v>
      </c>
      <c r="C8" s="2" t="s">
        <v>25</v>
      </c>
      <c r="D8" s="2">
        <v>-144</v>
      </c>
      <c r="F8" t="s">
        <v>23</v>
      </c>
      <c r="G8" t="s">
        <v>24</v>
      </c>
      <c r="I8">
        <v>-978</v>
      </c>
    </row>
    <row r="9" spans="2:9">
      <c r="B9" s="2" t="s">
        <v>24</v>
      </c>
      <c r="C9" s="2" t="s">
        <v>25</v>
      </c>
      <c r="D9" s="2">
        <v>-114</v>
      </c>
      <c r="F9" t="s">
        <v>169</v>
      </c>
      <c r="G9" t="s">
        <v>170</v>
      </c>
      <c r="I9">
        <v>-80</v>
      </c>
    </row>
    <row r="10" spans="2:9">
      <c r="B10" s="2" t="s">
        <v>24</v>
      </c>
      <c r="C10" s="2" t="s">
        <v>25</v>
      </c>
      <c r="D10" s="2">
        <v>-144</v>
      </c>
      <c r="F10" t="s">
        <v>28</v>
      </c>
      <c r="G10" t="s">
        <v>29</v>
      </c>
      <c r="I10">
        <v>-3</v>
      </c>
    </row>
    <row r="11" spans="2:9">
      <c r="B11" s="2" t="s">
        <v>24</v>
      </c>
      <c r="C11" s="2" t="s">
        <v>25</v>
      </c>
      <c r="D11" s="2">
        <v>-144</v>
      </c>
      <c r="F11" t="s">
        <v>33</v>
      </c>
      <c r="G11" t="s">
        <v>34</v>
      </c>
      <c r="I11">
        <v>-612</v>
      </c>
    </row>
    <row r="12" spans="2:9">
      <c r="B12" s="2" t="s">
        <v>24</v>
      </c>
      <c r="C12" s="2" t="s">
        <v>25</v>
      </c>
      <c r="D12" s="2">
        <v>-144</v>
      </c>
      <c r="F12" t="s">
        <v>56</v>
      </c>
      <c r="G12" t="s">
        <v>57</v>
      </c>
      <c r="I12">
        <v>-1056</v>
      </c>
    </row>
    <row r="13" spans="2:9">
      <c r="B13" s="2" t="s">
        <v>24</v>
      </c>
      <c r="C13" s="2" t="s">
        <v>25</v>
      </c>
      <c r="D13" s="2">
        <v>-144</v>
      </c>
      <c r="F13" t="s">
        <v>61</v>
      </c>
      <c r="G13" t="s">
        <v>61</v>
      </c>
      <c r="I13">
        <v>-192</v>
      </c>
    </row>
    <row r="14" spans="2:4">
      <c r="B14" s="2" t="s">
        <v>170</v>
      </c>
      <c r="C14" s="2" t="s">
        <v>378</v>
      </c>
      <c r="D14" s="2">
        <v>-80</v>
      </c>
    </row>
    <row r="15" spans="2:4">
      <c r="B15" s="2" t="s">
        <v>29</v>
      </c>
      <c r="C15" s="2" t="s">
        <v>30</v>
      </c>
      <c r="D15" s="2">
        <v>-3</v>
      </c>
    </row>
    <row r="16" spans="2:4">
      <c r="B16" s="2" t="s">
        <v>34</v>
      </c>
      <c r="C16" s="2" t="s">
        <v>35</v>
      </c>
      <c r="D16" s="2">
        <v>-612</v>
      </c>
    </row>
    <row r="17" spans="2:4">
      <c r="B17" s="2" t="s">
        <v>57</v>
      </c>
      <c r="C17" s="2" t="s">
        <v>58</v>
      </c>
      <c r="D17" s="2">
        <v>-1056</v>
      </c>
    </row>
    <row r="18" spans="2:4">
      <c r="B18" s="2" t="s">
        <v>61</v>
      </c>
      <c r="C18" s="2" t="s">
        <v>62</v>
      </c>
      <c r="D18" s="2">
        <v>-96</v>
      </c>
    </row>
    <row r="19" spans="2:4">
      <c r="B19" s="2" t="s">
        <v>61</v>
      </c>
      <c r="C19" s="2" t="s">
        <v>62</v>
      </c>
      <c r="D19" s="2">
        <v>-96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first load不准确</vt:lpstr>
      <vt:lpstr>托盘清单</vt:lpstr>
      <vt:lpstr>first load</vt:lpstr>
      <vt:lpstr>Nutrilock</vt:lpstr>
      <vt:lpstr>Thrasio</vt:lpstr>
      <vt:lpstr>Nutrilock数量</vt:lpstr>
      <vt:lpstr>Thrasio数量</vt:lpstr>
      <vt:lpstr>Nutrilock Tfr</vt:lpstr>
      <vt:lpstr>Thrasio Tfr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Efstathiou</dc:creator>
  <cp:lastModifiedBy>蓓蓓</cp:lastModifiedBy>
  <dcterms:created xsi:type="dcterms:W3CDTF">2024-12-23T22:30:00Z</dcterms:created>
  <dcterms:modified xsi:type="dcterms:W3CDTF">2025-04-17T10:16:35Z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4CD1E50FB2F74E488E869870BA8AD8F9_13</vt:lpwstr>
  </property>
  <property fmtid="{D5CDD505-2E9C-101B-9397-08002B2CF9AE}" pid="3" name="KSOProductBuildVer">
    <vt:lpwstr>2052-12.1.0.20784</vt:lpwstr>
  </property>
</Properties>
</file>