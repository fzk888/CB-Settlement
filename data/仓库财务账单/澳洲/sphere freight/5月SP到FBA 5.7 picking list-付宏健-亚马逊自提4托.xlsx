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definedNames>
    <definedName name="_xlnm._FilterDatabase" localSheetId="0" hidden="1">Sheet1!$C$1:$O$10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J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<sst xmlns="http://schemas.openxmlformats.org/spreadsheetml/2006/main" count="75" uniqueCount="67">
  <si>
    <t xml:space="preserve">  中文品名</t>
  </si>
  <si>
    <t>Product name</t>
  </si>
  <si>
    <t>SKU</t>
  </si>
  <si>
    <t>FNSKU</t>
  </si>
  <si>
    <t>Original ASIN</t>
  </si>
  <si>
    <t>单个头程 775</t>
  </si>
  <si>
    <t>Pick  Qty</t>
  </si>
  <si>
    <t>Units Per Carton</t>
  </si>
  <si>
    <t>Total Ctns</t>
  </si>
  <si>
    <t>Carton size</t>
  </si>
  <si>
    <t>Unit Ctn Vol/m³</t>
  </si>
  <si>
    <t xml:space="preserve"> Unit Ctn Gw（kg）</t>
  </si>
  <si>
    <t>Total Gw/kg</t>
  </si>
  <si>
    <t>Total Vol/m³</t>
  </si>
  <si>
    <t>FBA warehouse code</t>
  </si>
  <si>
    <t>箱唛上的SKU</t>
  </si>
  <si>
    <t>FBA ID</t>
  </si>
  <si>
    <t>硅胶厨房用具5件套</t>
  </si>
  <si>
    <t xml:space="preserve">Silicone kitchenware 5-piece set
</t>
  </si>
  <si>
    <t>KND-SlUtensl-5pcs</t>
  </si>
  <si>
    <t>X001999ZNT</t>
  </si>
  <si>
    <t>B01A7QZ9ZM</t>
  </si>
  <si>
    <t>17x13x11.6 inch</t>
  </si>
  <si>
    <t>优质披萨切割机摆动刀片</t>
  </si>
  <si>
    <t xml:space="preserve">High quality pizza cutting machine swing blade
</t>
  </si>
  <si>
    <t>KND-PzaCutter14in</t>
  </si>
  <si>
    <t>X00191S58N</t>
  </si>
  <si>
    <t>B01IP5VT2O</t>
  </si>
  <si>
    <t>15x14x9</t>
  </si>
  <si>
    <t>重型冰淇淋勺</t>
  </si>
  <si>
    <t>Heavy duty ice cream scoop</t>
  </si>
  <si>
    <t xml:space="preserve">KND-IceCrmScp1
</t>
  </si>
  <si>
    <t>X001924JCX</t>
  </si>
  <si>
    <t>B08R6SKCVN</t>
  </si>
  <si>
    <t>17.71x14.96x9.84</t>
  </si>
  <si>
    <t>帆布和木质秋千椅奶油色</t>
  </si>
  <si>
    <t>Canvas and wooden swing chairs in cream color</t>
  </si>
  <si>
    <t xml:space="preserve">TOY-Swing-Cream
</t>
  </si>
  <si>
    <t>X00192A2DX</t>
  </si>
  <si>
    <t>B095W2MLPF</t>
  </si>
  <si>
    <t>17.745x15.8x11.115</t>
  </si>
  <si>
    <t>预调味铸铁双层荷兰烤箱</t>
  </si>
  <si>
    <t>Pre seasoned cast iron double-layer Dutch oven</t>
  </si>
  <si>
    <t xml:space="preserve">LML-DutchOven5L
</t>
  </si>
  <si>
    <t>X0019167E7</t>
  </si>
  <si>
    <t>B07V32FG4Q</t>
  </si>
  <si>
    <t>13.65x12.48x11.7</t>
  </si>
  <si>
    <t>预调味铸铁煎锅 12.5"</t>
  </si>
  <si>
    <t>Pre seasoned cast iron frying pan 12.5"</t>
  </si>
  <si>
    <t xml:space="preserve">KND-Skillet-12in
</t>
  </si>
  <si>
    <t>X00191G611</t>
  </si>
  <si>
    <t>B01M74A279</t>
  </si>
  <si>
    <t>17.35x13.84x11.9</t>
  </si>
  <si>
    <t>威士忌醒酒器和 4 个塔斯曼威士忌杯</t>
  </si>
  <si>
    <t>Whiskey awakener and 4 Tasman whiskey glasses</t>
  </si>
  <si>
    <t xml:space="preserve">KDN-DcntGlsSet-A
</t>
  </si>
  <si>
    <t>X001920UI5</t>
  </si>
  <si>
    <t>B07881WCQY</t>
  </si>
  <si>
    <t>20.163x15.64x14.74</t>
  </si>
  <si>
    <t>霍巴特威士忌醒酒器和 4 个威士忌杯</t>
  </si>
  <si>
    <t>Hobart Whiskey Hanger and 4 Whiskey Cups</t>
  </si>
  <si>
    <t>KND-DcntGlsSet-B</t>
  </si>
  <si>
    <t>X001922WGX</t>
  </si>
  <si>
    <t>B07FXG4JVG</t>
  </si>
  <si>
    <t>20x15.6x14.7</t>
  </si>
  <si>
    <t>领星ok</t>
  </si>
  <si>
    <t>INVOICE: 2936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</si>
</sst>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31">
    <font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b/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sz val="10"/>
      <name val="微软雅黑"/>
      <charset val="134"/>
    </font>
    <font>
      <sz val="10.5"/>
      <name val="Arial"/>
      <charset val="134"/>
    </font>
    <font>
      <sz val="10"/>
      <color theme="1"/>
      <name val="微软雅黑"/>
      <charset val="134"/>
    </font>
    <font>
      <b/>
      <sz val="12"/>
      <color rgb="FF000000"/>
      <name val="TimesNewRomanPS-BoldMT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30"/>
  <sheetViews>
    <sheetView tabSelected="1" workbookViewId="0">
      <selection activeCell="F19" sqref="F19"/>
    </sheetView>
  </sheetViews>
  <sheetFormatPr defaultColWidth="9" defaultRowHeight="13.5"/>
  <cols>
    <col min="1" max="1" width="30.0833333333333" style="3" customWidth="1"/>
    <col min="2" max="2" width="45" style="3" customWidth="1"/>
    <col min="3" max="3" width="20.25" style="3" customWidth="1"/>
    <col min="4" max="4" width="15.0083333333333" style="4" customWidth="1"/>
    <col min="5" max="6" width="15.275" style="3" customWidth="1"/>
    <col min="7" max="7" width="9.75833333333333" style="3" customWidth="1"/>
    <col min="8" max="8" width="12.0916666666667" style="3" customWidth="1"/>
    <col min="9" max="9" width="10.7583333333333" style="5" customWidth="1"/>
    <col min="10" max="10" width="21.3833333333333" style="6" customWidth="1"/>
    <col min="11" max="11" width="11.8166666666667" style="3" customWidth="1"/>
    <col min="12" max="12" width="12.55" style="3" customWidth="1"/>
    <col min="13" max="13" width="11.6333333333333" style="3" customWidth="1"/>
    <col min="14" max="14" width="13.6333333333333" style="3" customWidth="1"/>
    <col min="15" max="15" width="20.1833333333333" style="3" customWidth="1"/>
    <col min="16" max="16" width="20.8166666666667" style="3" customWidth="1"/>
    <col min="17" max="17" width="31.55" style="3" customWidth="1"/>
    <col min="18" max="16384" width="9" style="3"/>
  </cols>
  <sheetData>
    <row r="1" s="1" customFormat="1" ht="28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="2" customFormat="1" ht="27" customHeight="1" spans="1:16">
      <c r="A2" s="8" t="s">
        <v>17</v>
      </c>
      <c r="B2" s="8" t="s">
        <v>18</v>
      </c>
      <c r="C2" s="9" t="s">
        <v>19</v>
      </c>
      <c r="D2" s="10" t="s">
        <v>20</v>
      </c>
      <c r="E2" s="11" t="s">
        <v>21</v>
      </c>
      <c r="F2" s="11">
        <f>775/$N$10*N2/G2</f>
        <v>0.580228607644462</v>
      </c>
      <c r="G2" s="8">
        <v>48</v>
      </c>
      <c r="H2" s="8">
        <v>12</v>
      </c>
      <c r="I2" s="18">
        <v>4</v>
      </c>
      <c r="J2" s="8" t="s">
        <v>22</v>
      </c>
      <c r="K2" s="8">
        <v>0.0410176</v>
      </c>
      <c r="L2" s="19">
        <f>18.74*0.453</f>
        <v>8.48922</v>
      </c>
      <c r="M2" s="20">
        <f t="shared" ref="M2:M10" si="0">I2*L2</f>
        <v>33.95688</v>
      </c>
      <c r="N2" s="21">
        <f t="shared" ref="N2:N10" si="1">K2*I2</f>
        <v>0.1640704</v>
      </c>
      <c r="O2" s="22"/>
      <c r="P2" s="9" t="s">
        <v>19</v>
      </c>
    </row>
    <row r="3" s="2" customFormat="1" ht="24" customHeight="1" spans="1:16">
      <c r="A3" s="8" t="s">
        <v>23</v>
      </c>
      <c r="B3" s="8" t="s">
        <v>24</v>
      </c>
      <c r="C3" s="9" t="s">
        <v>25</v>
      </c>
      <c r="D3" s="10" t="s">
        <v>26</v>
      </c>
      <c r="E3" s="11" t="s">
        <v>27</v>
      </c>
      <c r="F3" s="11">
        <f t="shared" ref="F3:F9" si="2">775/$N$10*N3/G3</f>
        <v>0.14259011656109</v>
      </c>
      <c r="G3" s="8">
        <v>72</v>
      </c>
      <c r="H3" s="8">
        <v>36</v>
      </c>
      <c r="I3" s="18">
        <v>2</v>
      </c>
      <c r="J3" s="8" t="s">
        <v>28</v>
      </c>
      <c r="K3" s="8">
        <v>0.03024</v>
      </c>
      <c r="L3" s="19">
        <f>34*0.453</f>
        <v>15.402</v>
      </c>
      <c r="M3" s="20">
        <f t="shared" si="0"/>
        <v>30.804</v>
      </c>
      <c r="N3" s="21">
        <f t="shared" si="1"/>
        <v>0.06048</v>
      </c>
      <c r="O3" s="22"/>
      <c r="P3" s="9" t="s">
        <v>25</v>
      </c>
    </row>
    <row r="4" s="2" customFormat="1" ht="28" customHeight="1" spans="1:16">
      <c r="A4" s="8" t="s">
        <v>29</v>
      </c>
      <c r="B4" s="8" t="s">
        <v>30</v>
      </c>
      <c r="C4" s="9" t="s">
        <v>31</v>
      </c>
      <c r="D4" s="10" t="s">
        <v>32</v>
      </c>
      <c r="E4" s="11" t="s">
        <v>33</v>
      </c>
      <c r="F4" s="11">
        <f t="shared" si="2"/>
        <v>0.147514304634396</v>
      </c>
      <c r="G4" s="8">
        <v>48</v>
      </c>
      <c r="H4" s="8">
        <v>48</v>
      </c>
      <c r="I4" s="18">
        <v>1</v>
      </c>
      <c r="J4" s="23" t="s">
        <v>34</v>
      </c>
      <c r="K4" s="8">
        <v>0.041712405504</v>
      </c>
      <c r="L4" s="19">
        <f>25.35*0.453</f>
        <v>11.48355</v>
      </c>
      <c r="M4" s="20">
        <f t="shared" si="0"/>
        <v>11.48355</v>
      </c>
      <c r="N4" s="21">
        <f t="shared" si="1"/>
        <v>0.041712405504</v>
      </c>
      <c r="O4" s="22"/>
      <c r="P4" s="9" t="s">
        <v>31</v>
      </c>
    </row>
    <row r="5" s="2" customFormat="1" ht="21" customHeight="1" spans="1:16">
      <c r="A5" s="8" t="s">
        <v>35</v>
      </c>
      <c r="B5" s="8" t="s">
        <v>36</v>
      </c>
      <c r="C5" s="9" t="s">
        <v>37</v>
      </c>
      <c r="D5" s="10" t="s">
        <v>38</v>
      </c>
      <c r="E5" s="11" t="s">
        <v>39</v>
      </c>
      <c r="F5" s="11">
        <f t="shared" si="2"/>
        <v>1.4096251239593</v>
      </c>
      <c r="G5" s="8">
        <v>54</v>
      </c>
      <c r="H5" s="8">
        <v>6</v>
      </c>
      <c r="I5" s="18">
        <v>9</v>
      </c>
      <c r="J5" s="23" t="s">
        <v>40</v>
      </c>
      <c r="K5" s="8">
        <v>0.04982470592</v>
      </c>
      <c r="L5" s="19">
        <f>25*0.453</f>
        <v>11.325</v>
      </c>
      <c r="M5" s="20">
        <f t="shared" si="0"/>
        <v>101.925</v>
      </c>
      <c r="N5" s="21">
        <f t="shared" si="1"/>
        <v>0.44842235328</v>
      </c>
      <c r="O5" s="22"/>
      <c r="P5" s="9" t="s">
        <v>37</v>
      </c>
    </row>
    <row r="6" s="2" customFormat="1" ht="21" customHeight="1" spans="1:16">
      <c r="A6" s="8" t="s">
        <v>41</v>
      </c>
      <c r="B6" s="8" t="s">
        <v>42</v>
      </c>
      <c r="C6" s="9" t="s">
        <v>43</v>
      </c>
      <c r="D6" s="10" t="s">
        <v>44</v>
      </c>
      <c r="E6" s="11" t="s">
        <v>45</v>
      </c>
      <c r="F6" s="11">
        <f t="shared" si="2"/>
        <v>2.70665699977194</v>
      </c>
      <c r="G6" s="8">
        <v>50</v>
      </c>
      <c r="H6" s="8">
        <v>2</v>
      </c>
      <c r="I6" s="18">
        <v>25</v>
      </c>
      <c r="J6" s="23" t="s">
        <v>46</v>
      </c>
      <c r="K6" s="8">
        <v>0.0318898944</v>
      </c>
      <c r="L6" s="8"/>
      <c r="M6" s="20">
        <f t="shared" si="0"/>
        <v>0</v>
      </c>
      <c r="N6" s="21">
        <f t="shared" si="1"/>
        <v>0.79724736</v>
      </c>
      <c r="O6" s="22"/>
      <c r="P6" s="9" t="s">
        <v>43</v>
      </c>
    </row>
    <row r="7" s="2" customFormat="1" ht="21" customHeight="1" spans="1:16">
      <c r="A7" s="8" t="s">
        <v>47</v>
      </c>
      <c r="B7" s="8" t="s">
        <v>48</v>
      </c>
      <c r="C7" s="9" t="s">
        <v>49</v>
      </c>
      <c r="D7" s="10" t="s">
        <v>50</v>
      </c>
      <c r="E7" s="11" t="s">
        <v>51</v>
      </c>
      <c r="F7" s="11">
        <f t="shared" si="2"/>
        <v>1.94022751844987</v>
      </c>
      <c r="G7" s="8">
        <v>60</v>
      </c>
      <c r="H7" s="8">
        <v>4</v>
      </c>
      <c r="I7" s="18">
        <v>15</v>
      </c>
      <c r="J7" s="8" t="s">
        <v>52</v>
      </c>
      <c r="K7" s="8">
        <v>0.0457196096</v>
      </c>
      <c r="L7" s="19">
        <f>31.24*0.453</f>
        <v>14.15172</v>
      </c>
      <c r="M7" s="20">
        <f t="shared" si="0"/>
        <v>212.2758</v>
      </c>
      <c r="N7" s="21">
        <f t="shared" si="1"/>
        <v>0.685794144</v>
      </c>
      <c r="O7" s="22"/>
      <c r="P7" s="9" t="s">
        <v>49</v>
      </c>
    </row>
    <row r="8" s="2" customFormat="1" ht="21" customHeight="1" spans="1:16">
      <c r="A8" s="8" t="s">
        <v>53</v>
      </c>
      <c r="B8" s="8" t="s">
        <v>54</v>
      </c>
      <c r="C8" s="9" t="s">
        <v>55</v>
      </c>
      <c r="D8" s="10" t="s">
        <v>56</v>
      </c>
      <c r="E8" s="11" t="s">
        <v>57</v>
      </c>
      <c r="F8" s="11">
        <f t="shared" si="2"/>
        <v>4.20759205059172</v>
      </c>
      <c r="G8" s="8">
        <v>60</v>
      </c>
      <c r="H8" s="8">
        <v>3</v>
      </c>
      <c r="I8" s="18">
        <v>20</v>
      </c>
      <c r="J8" s="23" t="s">
        <v>58</v>
      </c>
      <c r="K8" s="8">
        <v>0.074360918016</v>
      </c>
      <c r="L8" s="19">
        <f>31.9*0.453</f>
        <v>14.4507</v>
      </c>
      <c r="M8" s="20">
        <f t="shared" si="0"/>
        <v>289.014</v>
      </c>
      <c r="N8" s="21">
        <f t="shared" si="1"/>
        <v>1.48721836032</v>
      </c>
      <c r="O8" s="22"/>
      <c r="P8" s="9" t="s">
        <v>55</v>
      </c>
    </row>
    <row r="9" s="2" customFormat="1" ht="21" customHeight="1" spans="1:16">
      <c r="A9" s="12" t="s">
        <v>59</v>
      </c>
      <c r="B9" s="12" t="s">
        <v>60</v>
      </c>
      <c r="C9" s="13" t="s">
        <v>61</v>
      </c>
      <c r="D9" s="10" t="s">
        <v>62</v>
      </c>
      <c r="E9" s="14" t="s">
        <v>63</v>
      </c>
      <c r="F9" s="11">
        <f t="shared" si="2"/>
        <v>4.15222419425895</v>
      </c>
      <c r="G9" s="12">
        <v>36</v>
      </c>
      <c r="H9" s="12">
        <v>3</v>
      </c>
      <c r="I9" s="18">
        <v>12</v>
      </c>
      <c r="J9" s="8" t="s">
        <v>64</v>
      </c>
      <c r="K9" s="8">
        <v>0.0733824</v>
      </c>
      <c r="L9" s="19">
        <f>33.5*0.453</f>
        <v>15.1755</v>
      </c>
      <c r="M9" s="20">
        <f t="shared" si="0"/>
        <v>182.106</v>
      </c>
      <c r="N9" s="21">
        <f t="shared" si="1"/>
        <v>0.8805888</v>
      </c>
      <c r="O9" s="22"/>
      <c r="P9" s="13" t="s">
        <v>61</v>
      </c>
    </row>
    <row r="10" ht="14.25" spans="3:14">
      <c r="C10" s="6"/>
      <c r="D10" s="15"/>
      <c r="G10" s="3">
        <f>SUM(G2:G9)</f>
        <v>428</v>
      </c>
      <c r="I10" s="5">
        <f>SUM(I2:I9)</f>
        <v>88</v>
      </c>
      <c r="K10" s="24"/>
      <c r="L10" s="25"/>
      <c r="M10" s="25"/>
      <c r="N10" s="24">
        <f>SUM(N2:N9)</f>
        <v>4.565533823104</v>
      </c>
    </row>
    <row r="11" spans="3:6">
      <c r="C11" s="6"/>
      <c r="D11" s="15"/>
      <c r="F11" s="3" t="s">
        <v>65</v>
      </c>
    </row>
    <row r="12" spans="3:3">
      <c r="C12" s="6"/>
    </row>
    <row r="13" ht="15.75" spans="3:6">
      <c r="C13" s="6"/>
      <c r="F13" s="16" t="s">
        <v>66</v>
      </c>
    </row>
    <row r="16" ht="16" customHeight="1"/>
    <row r="17" spans="4:4">
      <c r="D17" s="17"/>
    </row>
    <row r="18" spans="3:4">
      <c r="C18" s="6"/>
      <c r="D18" s="15"/>
    </row>
    <row r="19" spans="4:4">
      <c r="D19" s="17"/>
    </row>
    <row r="20" spans="4:4">
      <c r="D20" s="17"/>
    </row>
    <row r="21" spans="4:4">
      <c r="D21" s="17"/>
    </row>
    <row r="22" spans="4:4">
      <c r="D22" s="15"/>
    </row>
    <row r="23" spans="4:4">
      <c r="D23" s="15"/>
    </row>
    <row r="26" ht="15" customHeight="1"/>
    <row r="30" spans="3:14">
      <c r="C30" s="6"/>
      <c r="D30" s="15"/>
      <c r="E30" s="6"/>
      <c r="F30" s="6"/>
      <c r="G30" s="6"/>
      <c r="H30" s="6"/>
      <c r="K30" s="6"/>
      <c r="L30" s="6"/>
      <c r="N30" s="6"/>
    </row>
  </sheetData>
  <mergeCells count="1">
    <mergeCell ref="O2:O9"/>
  </mergeCells>
  <conditionalFormatting sqref="A2">
    <cfRule type="duplicateValues" dxfId="0" priority="7"/>
  </conditionalFormatting>
  <conditionalFormatting sqref="B2">
    <cfRule type="duplicateValues" dxfId="0" priority="15"/>
  </conditionalFormatting>
  <conditionalFormatting sqref="A3">
    <cfRule type="duplicateValues" dxfId="0" priority="6"/>
  </conditionalFormatting>
  <conditionalFormatting sqref="B3">
    <cfRule type="duplicateValues" dxfId="0" priority="14"/>
  </conditionalFormatting>
  <conditionalFormatting sqref="A4">
    <cfRule type="duplicateValues" dxfId="0" priority="5"/>
  </conditionalFormatting>
  <conditionalFormatting sqref="B4">
    <cfRule type="duplicateValues" dxfId="0" priority="13"/>
  </conditionalFormatting>
  <conditionalFormatting sqref="A5">
    <cfRule type="duplicateValues" dxfId="0" priority="4"/>
  </conditionalFormatting>
  <conditionalFormatting sqref="B5">
    <cfRule type="duplicateValues" dxfId="0" priority="12"/>
  </conditionalFormatting>
  <conditionalFormatting sqref="A6">
    <cfRule type="duplicateValues" dxfId="0" priority="3"/>
  </conditionalFormatting>
  <conditionalFormatting sqref="B6">
    <cfRule type="duplicateValues" dxfId="0" priority="11"/>
  </conditionalFormatting>
  <conditionalFormatting sqref="A7">
    <cfRule type="duplicateValues" dxfId="0" priority="2"/>
  </conditionalFormatting>
  <conditionalFormatting sqref="B7">
    <cfRule type="duplicateValues" dxfId="0" priority="10"/>
  </conditionalFormatting>
  <conditionalFormatting sqref="A8">
    <cfRule type="duplicateValues" dxfId="0" priority="1"/>
  </conditionalFormatting>
  <conditionalFormatting sqref="B8">
    <cfRule type="duplicateValues" dxfId="0" priority="9"/>
  </conditionalFormatting>
  <conditionalFormatting sqref="A9">
    <cfRule type="duplicateValues" dxfId="0" priority="8"/>
  </conditionalFormatting>
  <conditionalFormatting sqref="B9">
    <cfRule type="duplicateValues" dxfId="0" priority="16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86180</dc:creator>
  <cp:lastModifiedBy>蓓蓓</cp:lastModifiedBy>
  <dcterms:created xsi:type="dcterms:W3CDTF">2024-02-27T04:05:00Z</dcterms:created>
  <dcterms:modified xsi:type="dcterms:W3CDTF">2025-10-17T02:58:40Z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37E4B8E692F14AAA86A922704B05D905_13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