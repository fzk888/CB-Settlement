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<sst xmlns="http://schemas.openxmlformats.org/spreadsheetml/2006/main" count="139" uniqueCount="107">
  <si>
    <t>1 Unloading Service/卸货费  ( Currency：USD )</t>
  </si>
  <si>
    <t>ITEM 项目</t>
  </si>
  <si>
    <t>Size 尺寸</t>
  </si>
  <si>
    <t>Pallet 托盘</t>
  </si>
  <si>
    <t>Pallet off load(托盘卸货)/Per pallet (每个托盘)</t>
  </si>
  <si>
    <t>2 Inbound Fee/入库费  ( Currency：USD )</t>
  </si>
  <si>
    <t>Pallet Inbound (托盘入库)/Per pallet(每个托盘)</t>
  </si>
  <si>
    <t>Carton Inbound (箱入库)/Per carton(每个箱)</t>
  </si>
  <si>
    <t>Pices Inbound(散货入库)/Per pcs(每个散货)</t>
  </si>
  <si>
    <t>Return product(退货入库)/Per pcs(每个散货)</t>
  </si>
  <si>
    <t>3.Fulfilment Fee /出库操作费库操作费 按pcs/ctn出库B2C ( Currency：USD)</t>
  </si>
  <si>
    <t>ITEM</t>
  </si>
  <si>
    <t>Weight Band (KG) 重量范围（KG)</t>
  </si>
  <si>
    <t xml:space="preserve"> Base Rate per Pcs 单价/PCS</t>
  </si>
  <si>
    <t>Additional Pcs SKU/PCS</t>
  </si>
  <si>
    <t>Remarks 备注</t>
  </si>
  <si>
    <t>0.01~3.00</t>
  </si>
  <si>
    <t xml:space="preserve">This is for items with shipping package and ready to ship.For items without shipping package, packing cost in Materials session  should be charged. </t>
  </si>
  <si>
    <t>3 -10</t>
  </si>
  <si>
    <t>10-20</t>
  </si>
  <si>
    <t>20-30</t>
  </si>
  <si>
    <t>1.Fulfilment Fee /订单处理费包括订单拣选，包装，打印shipping label、交接等/OB  
Order Handling Fee includes order pick, last mile labeling, handover to carriers, etc</t>
  </si>
  <si>
    <t>4. Storage Fee/存储费 (Pallet/PCS/DAY)</t>
  </si>
  <si>
    <t>Storage Fee/存储费</t>
  </si>
  <si>
    <t>Per pallet/Day 每个托盘/天</t>
  </si>
  <si>
    <t>5. VAS/增值服务 ( Currency：USD )</t>
  </si>
  <si>
    <t>Service 服务</t>
  </si>
  <si>
    <t>Description 描述</t>
  </si>
  <si>
    <t>Price 价格</t>
  </si>
  <si>
    <t>Unit</t>
  </si>
  <si>
    <t>Labeling 贴标</t>
  </si>
  <si>
    <t>*Including changing, tearing etc.
*包含撕标，贴标</t>
  </si>
  <si>
    <t>unit</t>
  </si>
  <si>
    <t>Photo-taking 拍照</t>
  </si>
  <si>
    <t>*Including opening box and photo-taking. 3 photos for each merchandise.
*包含开箱，拍照，包含正，反 ，侧面三张照片</t>
  </si>
  <si>
    <t>PCS</t>
  </si>
  <si>
    <t>Inspection 开箱检验</t>
  </si>
  <si>
    <t>*Including opening box and inspection.
*包含开箱，根据客户要求检查</t>
  </si>
  <si>
    <t>BOX</t>
  </si>
  <si>
    <t>Inventory counting 盘点</t>
  </si>
  <si>
    <t>*Applied upon customer request. 
*根据客户要求盘点</t>
  </si>
  <si>
    <t>/hour/labor</t>
  </si>
  <si>
    <t>Palletizing 打托</t>
  </si>
  <si>
    <t xml:space="preserve">*It will be charged when pallet delivery is required. Pallet not included.
*包含打托盘的服务含缠绕膜；不含托盘耗材价格。
</t>
  </si>
  <si>
    <t>6. Material</t>
  </si>
  <si>
    <t>Carton #1</t>
  </si>
  <si>
    <r>
      <rPr>
        <sz val="10"/>
        <color theme="1"/>
        <rFont val="Calibri"/>
        <charset val="134"/>
      </rPr>
      <t>Carton Size</t>
    </r>
    <r>
      <rPr>
        <sz val="10"/>
        <color theme="1"/>
        <rFont val="宋体"/>
        <charset val="134"/>
      </rPr>
      <t>：160*160*220 mm</t>
    </r>
  </si>
  <si>
    <t>material price</t>
  </si>
  <si>
    <t>Carton #2</t>
  </si>
  <si>
    <r>
      <rPr>
        <sz val="10"/>
        <color theme="1"/>
        <rFont val="Calibri"/>
        <charset val="134"/>
      </rPr>
      <t>Carton Size</t>
    </r>
    <r>
      <rPr>
        <sz val="10"/>
        <color theme="1"/>
        <rFont val="宋体"/>
        <charset val="134"/>
      </rPr>
      <t>：300*160*220 mm</t>
    </r>
  </si>
  <si>
    <t>Carton #3</t>
  </si>
  <si>
    <r>
      <rPr>
        <sz val="10"/>
        <color theme="1"/>
        <rFont val="Calibri"/>
        <charset val="134"/>
      </rPr>
      <t>Carton Size</t>
    </r>
    <r>
      <rPr>
        <sz val="10"/>
        <color theme="1"/>
        <rFont val="宋体"/>
        <charset val="134"/>
      </rPr>
      <t>：460*160*220 mm</t>
    </r>
  </si>
  <si>
    <t>Carton #4</t>
  </si>
  <si>
    <r>
      <rPr>
        <sz val="10"/>
        <color theme="1"/>
        <rFont val="Calibri"/>
        <charset val="134"/>
      </rPr>
      <t>Carton Size</t>
    </r>
    <r>
      <rPr>
        <sz val="10"/>
        <color theme="1"/>
        <rFont val="宋体"/>
        <charset val="134"/>
      </rPr>
      <t>：300*300*220 mm</t>
    </r>
  </si>
  <si>
    <t xml:space="preserve">Wooded Pallet </t>
  </si>
  <si>
    <t>Pallet</t>
  </si>
  <si>
    <t xml:space="preserve">Plastic Pallet </t>
  </si>
  <si>
    <t>All Price exl GST</t>
  </si>
  <si>
    <t>7.Sample rate calculation</t>
  </si>
  <si>
    <t>Charge</t>
  </si>
  <si>
    <t>Total</t>
  </si>
  <si>
    <t>example 1</t>
  </si>
  <si>
    <t>Pcs inbound</t>
  </si>
  <si>
    <t>20 pcs 10ku</t>
  </si>
  <si>
    <t>example 2</t>
  </si>
  <si>
    <t>Carton inbound</t>
  </si>
  <si>
    <t>20 carton 2 sku</t>
  </si>
  <si>
    <t>example 3</t>
  </si>
  <si>
    <t>Pallet inbound</t>
  </si>
  <si>
    <t>2 pallet 1 sku</t>
  </si>
  <si>
    <t>Pallet off load</t>
  </si>
  <si>
    <t>example 4</t>
  </si>
  <si>
    <t>mix inbound
pcs &amp; carton</t>
  </si>
  <si>
    <t>5 carton+10 pcs  1ku</t>
  </si>
  <si>
    <t>Example 5</t>
  </si>
  <si>
    <t>mix inbound
pallet &amp; carton</t>
  </si>
  <si>
    <t>2 Pallet + 10 carton</t>
  </si>
  <si>
    <t>Example 6</t>
  </si>
  <si>
    <r>
      <rPr>
        <sz val="11"/>
        <color theme="1"/>
        <rFont val="等线"/>
        <charset val="134"/>
        <scheme val="minor"/>
      </rPr>
      <t xml:space="preserve">B2C </t>
    </r>
    <r>
      <rPr>
        <sz val="11"/>
        <color rgb="FFFF0000"/>
        <rFont val="等线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 xml:space="preserve"> pcs
</t>
    </r>
    <r>
      <rPr>
        <sz val="11"/>
        <color rgb="FFFF0000"/>
        <rFont val="等线"/>
        <charset val="134"/>
        <scheme val="minor"/>
      </rPr>
      <t>1kg</t>
    </r>
    <r>
      <rPr>
        <sz val="11"/>
        <color theme="1"/>
        <rFont val="等线"/>
        <charset val="134"/>
        <scheme val="minor"/>
      </rPr>
      <t xml:space="preserve"> each </t>
    </r>
  </si>
  <si>
    <t>furfillment fee</t>
  </si>
  <si>
    <t>additional pcs</t>
  </si>
  <si>
    <t>Material</t>
  </si>
  <si>
    <t>carton fee</t>
  </si>
  <si>
    <t>Example 7</t>
  </si>
  <si>
    <r>
      <rPr>
        <sz val="11"/>
        <color theme="1"/>
        <rFont val="等线"/>
        <charset val="134"/>
        <scheme val="minor"/>
      </rPr>
      <t>B2B</t>
    </r>
    <r>
      <rPr>
        <sz val="11"/>
        <color rgb="FFFF0000"/>
        <rFont val="等线"/>
        <charset val="134"/>
        <scheme val="minor"/>
      </rPr>
      <t xml:space="preserve"> 5</t>
    </r>
    <r>
      <rPr>
        <sz val="11"/>
        <color theme="1"/>
        <rFont val="等线"/>
        <charset val="134"/>
        <scheme val="minor"/>
      </rPr>
      <t xml:space="preserve"> carton</t>
    </r>
  </si>
  <si>
    <r>
      <rPr>
        <sz val="11"/>
        <color rgb="FFFF0000"/>
        <rFont val="等线"/>
        <charset val="134"/>
        <scheme val="minor"/>
      </rPr>
      <t>2kg</t>
    </r>
    <r>
      <rPr>
        <sz val="11"/>
        <color theme="1"/>
        <rFont val="等线"/>
        <charset val="134"/>
        <scheme val="minor"/>
      </rPr>
      <t>/Carton</t>
    </r>
  </si>
  <si>
    <t>Example 8</t>
  </si>
  <si>
    <r>
      <rPr>
        <sz val="11"/>
        <color theme="1"/>
        <rFont val="等线"/>
        <charset val="134"/>
        <scheme val="minor"/>
      </rPr>
      <t xml:space="preserve">B2C </t>
    </r>
    <r>
      <rPr>
        <sz val="11"/>
        <color rgb="FFFF0000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 xml:space="preserve"> pcs</t>
    </r>
  </si>
  <si>
    <r>
      <rPr>
        <sz val="11"/>
        <color rgb="FFFF0000"/>
        <rFont val="等线"/>
        <charset val="134"/>
        <scheme val="minor"/>
      </rPr>
      <t>4</t>
    </r>
    <r>
      <rPr>
        <sz val="11"/>
        <color theme="1"/>
        <rFont val="等线"/>
        <charset val="134"/>
        <scheme val="minor"/>
      </rPr>
      <t>kg/pcs</t>
    </r>
  </si>
  <si>
    <t>Example 9</t>
  </si>
  <si>
    <t>B2B 5 pallet</t>
  </si>
  <si>
    <t>Pallet wraping</t>
  </si>
  <si>
    <t>use original pallet</t>
  </si>
  <si>
    <t>Pallet loading</t>
  </si>
  <si>
    <t>Example 10</t>
  </si>
  <si>
    <t>B2B 2 pallet</t>
  </si>
  <si>
    <t>100 carton 7kg/carton</t>
  </si>
  <si>
    <t>wrapping</t>
  </si>
  <si>
    <t>change pallet</t>
  </si>
  <si>
    <t>pallet fee</t>
  </si>
  <si>
    <t>Example 11</t>
  </si>
  <si>
    <t>Return products</t>
  </si>
  <si>
    <t>inbound</t>
  </si>
  <si>
    <t>Example 12</t>
  </si>
  <si>
    <t>FBA label for 100 units</t>
  </si>
  <si>
    <t>Label fee</t>
  </si>
  <si>
    <t>3.Fulfilment Fee /出库操作费库操作费 按pcs出库B2C ( Currency：)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</si>
</sst>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409]#,##0.00;[$$-409]#,##0.00"/>
    <numFmt numFmtId="177" formatCode="_-[$$-C09]* #,##0.00_-;\-[$$-C09]* #,##0.00_-;_-[$$-C09]* &quot;-&quot;??_-;_-@_-"/>
  </numFmts>
  <fonts count="31">
    <font>
      <sz val="11"/>
      <color theme="1"/>
      <name val="等线"/>
      <charset val="134"/>
      <scheme val="minor"/>
    </font>
    <font>
      <b/>
      <sz val="10"/>
      <color theme="0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1"/>
      <name val="等线"/>
      <charset val="134"/>
      <scheme val="minor"/>
    </font>
    <font>
      <sz val="10"/>
      <color theme="1"/>
      <name val="Calibri"/>
      <charset val="134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sz val="10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1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5" applyNumberFormat="0" applyAlignment="0" applyProtection="0">
      <alignment vertical="center"/>
    </xf>
    <xf numFmtId="0" fontId="19" fillId="7" borderId="16" applyNumberFormat="0" applyAlignment="0" applyProtection="0">
      <alignment vertical="center"/>
    </xf>
    <xf numFmtId="0" fontId="20" fillId="7" borderId="15" applyNumberFormat="0" applyAlignment="0" applyProtection="0">
      <alignment vertical="center"/>
    </xf>
    <xf numFmtId="0" fontId="21" fillId="8" borderId="17" applyNumberFormat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176" fontId="29" fillId="0" borderId="0">
      <alignment vertical="center"/>
    </xf>
    <xf numFmtId="176" fontId="29" fillId="0" borderId="0">
      <alignment vertical="center"/>
    </xf>
    <xf numFmtId="176" fontId="0" fillId="0" borderId="0">
      <alignment vertical="center"/>
    </xf>
  </cellStyleXfs>
  <cellXfs count="76">
    <xf numFmtId="0" fontId="0" fillId="0" borderId="0" xfId="0"/>
    <xf numFmtId="176" fontId="1" fillId="2" borderId="1" xfId="50" applyFont="1" applyFill="1" applyBorder="1" applyAlignment="1">
      <alignment horizontal="left" vertical="center"/>
    </xf>
    <xf numFmtId="176" fontId="1" fillId="2" borderId="2" xfId="50" applyFont="1" applyFill="1" applyBorder="1" applyAlignment="1">
      <alignment horizontal="left" vertical="center"/>
    </xf>
    <xf numFmtId="176" fontId="1" fillId="2" borderId="3" xfId="50" applyFont="1" applyFill="1" applyBorder="1" applyAlignment="1">
      <alignment horizontal="left" vertical="center"/>
    </xf>
    <xf numFmtId="176" fontId="2" fillId="3" borderId="4" xfId="51" applyFont="1" applyFill="1" applyBorder="1">
      <alignment vertical="center"/>
    </xf>
    <xf numFmtId="176" fontId="3" fillId="3" borderId="3" xfId="50" applyFont="1" applyFill="1" applyBorder="1" applyAlignment="1">
      <alignment horizontal="center" vertical="center" wrapText="1"/>
    </xf>
    <xf numFmtId="176" fontId="2" fillId="3" borderId="5" xfId="50" applyFont="1" applyFill="1" applyBorder="1" applyAlignment="1">
      <alignment horizontal="center" vertical="center" wrapText="1"/>
    </xf>
    <xf numFmtId="176" fontId="3" fillId="3" borderId="1" xfId="49" applyFont="1" applyFill="1" applyBorder="1" applyAlignment="1">
      <alignment horizontal="center" vertical="center" wrapText="1"/>
    </xf>
    <xf numFmtId="176" fontId="3" fillId="3" borderId="3" xfId="49" applyFont="1" applyFill="1" applyBorder="1" applyAlignment="1">
      <alignment horizontal="center" vertical="center" wrapText="1"/>
    </xf>
    <xf numFmtId="49" fontId="2" fillId="3" borderId="4" xfId="50" applyNumberFormat="1" applyFont="1" applyFill="1" applyBorder="1" applyAlignment="1">
      <alignment horizontal="center" vertical="center" wrapText="1"/>
    </xf>
    <xf numFmtId="2" fontId="4" fillId="4" borderId="4" xfId="51" applyNumberFormat="1" applyFont="1" applyFill="1" applyBorder="1" applyAlignment="1">
      <alignment horizontal="center" vertical="center"/>
    </xf>
    <xf numFmtId="176" fontId="0" fillId="3" borderId="4" xfId="50" applyFont="1" applyFill="1" applyBorder="1" applyAlignment="1">
      <alignment horizontal="center" vertical="center" wrapText="1"/>
    </xf>
    <xf numFmtId="176" fontId="2" fillId="3" borderId="4" xfId="50" applyFont="1" applyFill="1" applyBorder="1" applyAlignment="1">
      <alignment horizontal="center" vertical="center" wrapText="1"/>
    </xf>
    <xf numFmtId="176" fontId="0" fillId="3" borderId="1" xfId="50" applyFont="1" applyFill="1" applyBorder="1" applyAlignment="1">
      <alignment horizontal="center" vertical="center" wrapText="1"/>
    </xf>
    <xf numFmtId="176" fontId="0" fillId="3" borderId="3" xfId="50" applyFont="1" applyFill="1" applyBorder="1" applyAlignment="1">
      <alignment horizontal="center" vertical="center" wrapText="1"/>
    </xf>
    <xf numFmtId="49" fontId="2" fillId="3" borderId="6" xfId="50" applyNumberFormat="1" applyFont="1" applyFill="1" applyBorder="1" applyAlignment="1">
      <alignment horizontal="center" vertical="center" wrapText="1"/>
    </xf>
    <xf numFmtId="2" fontId="4" fillId="4" borderId="6" xfId="51" applyNumberFormat="1" applyFont="1" applyFill="1" applyBorder="1" applyAlignment="1">
      <alignment horizontal="center" vertical="center"/>
    </xf>
    <xf numFmtId="176" fontId="1" fillId="2" borderId="4" xfId="50" applyFont="1" applyFill="1" applyBorder="1">
      <alignment vertical="center"/>
    </xf>
    <xf numFmtId="176" fontId="5" fillId="4" borderId="4" xfId="51" applyFont="1" applyFill="1" applyBorder="1" applyAlignment="1">
      <alignment horizontal="center" vertical="center" wrapText="1"/>
    </xf>
    <xf numFmtId="0" fontId="0" fillId="0" borderId="4" xfId="0" applyBorder="1"/>
    <xf numFmtId="177" fontId="0" fillId="0" borderId="4" xfId="0" applyNumberFormat="1" applyBorder="1" applyAlignment="1">
      <alignment horizontal="center"/>
    </xf>
    <xf numFmtId="0" fontId="0" fillId="2" borderId="4" xfId="0" applyFill="1" applyBorder="1"/>
    <xf numFmtId="177" fontId="6" fillId="0" borderId="4" xfId="0" applyNumberFormat="1" applyFont="1" applyBorder="1" applyAlignment="1">
      <alignment horizontal="center"/>
    </xf>
    <xf numFmtId="177" fontId="6" fillId="0" borderId="4" xfId="0" applyNumberFormat="1" applyFont="1" applyBorder="1"/>
    <xf numFmtId="0" fontId="0" fillId="0" borderId="7" xfId="0" applyBorder="1"/>
    <xf numFmtId="0" fontId="0" fillId="0" borderId="7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76" fontId="2" fillId="3" borderId="4" xfId="51" applyFont="1" applyFill="1" applyBorder="1" applyAlignment="1">
      <alignment horizontal="left" vertical="center" wrapText="1"/>
    </xf>
    <xf numFmtId="176" fontId="2" fillId="3" borderId="4" xfId="51" applyFont="1" applyFill="1" applyBorder="1" applyAlignment="1">
      <alignment horizontal="left" vertical="center"/>
    </xf>
    <xf numFmtId="176" fontId="1" fillId="2" borderId="5" xfId="50" applyFont="1" applyFill="1" applyBorder="1">
      <alignment vertical="center"/>
    </xf>
    <xf numFmtId="176" fontId="2" fillId="3" borderId="4" xfId="51" applyFont="1" applyFill="1" applyBorder="1" applyAlignment="1">
      <alignment horizontal="center" vertical="center" wrapText="1"/>
    </xf>
    <xf numFmtId="176" fontId="2" fillId="3" borderId="1" xfId="50" applyFont="1" applyFill="1" applyBorder="1" applyAlignment="1">
      <alignment horizontal="center" vertical="center"/>
    </xf>
    <xf numFmtId="176" fontId="2" fillId="3" borderId="2" xfId="50" applyFont="1" applyFill="1" applyBorder="1" applyAlignment="1">
      <alignment horizontal="center" vertical="center"/>
    </xf>
    <xf numFmtId="176" fontId="2" fillId="3" borderId="3" xfId="50" applyFont="1" applyFill="1" applyBorder="1" applyAlignment="1">
      <alignment horizontal="center" vertical="center"/>
    </xf>
    <xf numFmtId="2" fontId="4" fillId="4" borderId="1" xfId="51" applyNumberFormat="1" applyFont="1" applyFill="1" applyBorder="1" applyAlignment="1">
      <alignment horizontal="center" vertical="center"/>
    </xf>
    <xf numFmtId="2" fontId="4" fillId="4" borderId="2" xfId="51" applyNumberFormat="1" applyFont="1" applyFill="1" applyBorder="1" applyAlignment="1">
      <alignment horizontal="center" vertical="center"/>
    </xf>
    <xf numFmtId="2" fontId="4" fillId="4" borderId="3" xfId="51" applyNumberFormat="1" applyFont="1" applyFill="1" applyBorder="1" applyAlignment="1">
      <alignment horizontal="center" vertical="center"/>
    </xf>
    <xf numFmtId="176" fontId="1" fillId="2" borderId="7" xfId="50" applyFont="1" applyFill="1" applyBorder="1">
      <alignment vertical="center"/>
    </xf>
    <xf numFmtId="176" fontId="1" fillId="2" borderId="7" xfId="50" applyFont="1" applyFill="1" applyBorder="1" applyAlignment="1">
      <alignment horizontal="center" vertical="center"/>
    </xf>
    <xf numFmtId="176" fontId="1" fillId="2" borderId="9" xfId="50" applyFont="1" applyFill="1" applyBorder="1">
      <alignment vertical="center"/>
    </xf>
    <xf numFmtId="176" fontId="3" fillId="2" borderId="10" xfId="50" applyFont="1" applyFill="1" applyBorder="1">
      <alignment vertical="center"/>
    </xf>
    <xf numFmtId="176" fontId="5" fillId="3" borderId="4" xfId="50" applyFont="1" applyFill="1" applyBorder="1" applyAlignment="1">
      <alignment horizontal="center" vertical="center"/>
    </xf>
    <xf numFmtId="176" fontId="2" fillId="3" borderId="4" xfId="49" applyFont="1" applyFill="1" applyBorder="1" applyAlignment="1">
      <alignment horizontal="left" vertical="center" wrapText="1"/>
    </xf>
    <xf numFmtId="176" fontId="2" fillId="3" borderId="4" xfId="49" applyFont="1" applyFill="1" applyBorder="1" applyAlignment="1">
      <alignment horizontal="left" vertical="center"/>
    </xf>
    <xf numFmtId="176" fontId="2" fillId="3" borderId="4" xfId="51" applyFont="1" applyFill="1" applyBorder="1" applyAlignment="1">
      <alignment horizontal="center" vertical="center"/>
    </xf>
    <xf numFmtId="2" fontId="2" fillId="3" borderId="4" xfId="51" applyNumberFormat="1" applyFont="1" applyFill="1" applyBorder="1" applyAlignment="1">
      <alignment horizontal="center" vertical="center"/>
    </xf>
    <xf numFmtId="176" fontId="2" fillId="3" borderId="1" xfId="49" applyFont="1" applyFill="1" applyBorder="1" applyAlignment="1">
      <alignment horizontal="left" vertical="center" wrapText="1"/>
    </xf>
    <xf numFmtId="176" fontId="2" fillId="3" borderId="3" xfId="49" applyFont="1" applyFill="1" applyBorder="1" applyAlignment="1">
      <alignment horizontal="left" vertical="center"/>
    </xf>
    <xf numFmtId="2" fontId="2" fillId="0" borderId="4" xfId="51" applyNumberFormat="1" applyFont="1" applyBorder="1" applyAlignment="1">
      <alignment horizontal="center" vertical="center"/>
    </xf>
    <xf numFmtId="0" fontId="7" fillId="3" borderId="4" xfId="50" applyNumberFormat="1" applyFont="1" applyFill="1" applyBorder="1" applyAlignment="1">
      <alignment horizontal="center" vertical="center"/>
    </xf>
    <xf numFmtId="176" fontId="7" fillId="3" borderId="4" xfId="50" applyFont="1" applyFill="1" applyBorder="1" applyAlignment="1">
      <alignment horizontal="center" vertical="center"/>
    </xf>
    <xf numFmtId="176" fontId="7" fillId="3" borderId="4" xfId="50" applyFont="1" applyFill="1" applyBorder="1" applyAlignment="1">
      <alignment horizontal="left" vertical="center"/>
    </xf>
    <xf numFmtId="176" fontId="7" fillId="3" borderId="6" xfId="50" applyFont="1" applyFill="1" applyBorder="1" applyAlignment="1">
      <alignment horizontal="center" vertical="center"/>
    </xf>
    <xf numFmtId="176" fontId="7" fillId="0" borderId="4" xfId="50" applyFont="1" applyBorder="1" applyAlignment="1">
      <alignment horizontal="center" vertical="center"/>
    </xf>
    <xf numFmtId="49" fontId="7" fillId="3" borderId="4" xfId="5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77" fontId="0" fillId="0" borderId="4" xfId="0" applyNumberFormat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77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177" fontId="0" fillId="0" borderId="4" xfId="0" applyNumberFormat="1" applyBorder="1"/>
    <xf numFmtId="0" fontId="0" fillId="0" borderId="11" xfId="0" applyBorder="1" applyAlignment="1">
      <alignment horizontal="center"/>
    </xf>
    <xf numFmtId="176" fontId="0" fillId="0" borderId="4" xfId="0" applyNumberFormat="1" applyBorder="1" applyAlignment="1">
      <alignment vertical="center"/>
    </xf>
    <xf numFmtId="176" fontId="0" fillId="0" borderId="4" xfId="0" applyNumberFormat="1" applyBorder="1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8 2 2" xfId="49"/>
    <cellStyle name="Normal 18 3" xfId="50"/>
    <cellStyle name="常规 3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7"/>
  <sheetViews>
    <sheetView tabSelected="1" zoomScale="80" zoomScaleNormal="80" topLeftCell="A13" workbookViewId="0">
      <selection activeCell="G43" sqref="G43:G67"/>
    </sheetView>
  </sheetViews>
  <sheetFormatPr defaultColWidth="9" defaultRowHeight="14.25" outlineLevelCol="6"/>
  <cols>
    <col min="1" max="1" width="47.5666666666667" customWidth="1"/>
    <col min="2" max="2" width="25.2833333333333" customWidth="1"/>
    <col min="3" max="3" width="31.2833333333333" customWidth="1"/>
    <col min="4" max="4" width="17.5666666666667" customWidth="1"/>
    <col min="5" max="5" width="11.7083333333333" customWidth="1"/>
    <col min="6" max="6" width="54.5666666666667" customWidth="1"/>
    <col min="7" max="7" width="10.1416666666667" customWidth="1"/>
  </cols>
  <sheetData>
    <row r="1" ht="16.5" spans="1:6">
      <c r="A1" s="17" t="s">
        <v>0</v>
      </c>
      <c r="B1" s="17"/>
      <c r="C1" s="17"/>
      <c r="D1" s="17"/>
      <c r="E1" s="17"/>
      <c r="F1" s="17"/>
    </row>
    <row r="2" ht="16.5" spans="1:6">
      <c r="A2" s="18" t="s">
        <v>1</v>
      </c>
      <c r="B2" s="18" t="s">
        <v>2</v>
      </c>
      <c r="C2" s="18" t="s">
        <v>3</v>
      </c>
      <c r="D2" s="19"/>
      <c r="E2" s="19"/>
      <c r="F2" s="19"/>
    </row>
    <row r="3" spans="1:6">
      <c r="A3" s="19" t="s">
        <v>4</v>
      </c>
      <c r="B3" s="19"/>
      <c r="C3" s="20">
        <v>10</v>
      </c>
      <c r="D3" s="19"/>
      <c r="E3" s="19"/>
      <c r="F3" s="19"/>
    </row>
    <row r="6" ht="16.5" spans="1:6">
      <c r="A6" s="17" t="s">
        <v>5</v>
      </c>
      <c r="B6" s="21"/>
      <c r="C6" s="21"/>
      <c r="D6" s="21"/>
      <c r="E6" s="21"/>
      <c r="F6" s="21"/>
    </row>
    <row r="7" spans="1:6">
      <c r="A7" s="19" t="s">
        <v>6</v>
      </c>
      <c r="B7" s="19"/>
      <c r="D7" s="22">
        <v>15</v>
      </c>
      <c r="E7" s="19"/>
      <c r="F7" s="19"/>
    </row>
    <row r="8" spans="1:6">
      <c r="A8" s="19" t="s">
        <v>7</v>
      </c>
      <c r="B8" s="19"/>
      <c r="C8" s="19"/>
      <c r="D8" s="23">
        <v>2.5</v>
      </c>
      <c r="E8" s="19"/>
      <c r="F8" s="19"/>
    </row>
    <row r="9" spans="1:6">
      <c r="A9" s="19" t="s">
        <v>8</v>
      </c>
      <c r="B9" s="19"/>
      <c r="C9" s="19"/>
      <c r="D9" s="23">
        <v>1.5</v>
      </c>
      <c r="E9" s="19"/>
      <c r="F9" s="19"/>
    </row>
    <row r="10" spans="1:6">
      <c r="A10" s="24" t="s">
        <v>9</v>
      </c>
      <c r="B10" s="19"/>
      <c r="C10" s="19"/>
      <c r="D10" s="23">
        <v>1.5</v>
      </c>
      <c r="E10" s="19"/>
      <c r="F10" s="19"/>
    </row>
    <row r="11" spans="1:6">
      <c r="A11" s="25"/>
      <c r="B11" s="26"/>
      <c r="C11" s="26"/>
      <c r="D11" s="26"/>
      <c r="E11" s="26"/>
      <c r="F11" s="26"/>
    </row>
    <row r="12" spans="1:6">
      <c r="A12" s="27"/>
      <c r="B12" s="27"/>
      <c r="C12" s="27"/>
      <c r="D12" s="27"/>
      <c r="E12" s="27"/>
      <c r="F12" s="27"/>
    </row>
    <row r="13" ht="16.5" spans="1:6">
      <c r="A13" s="1" t="s">
        <v>10</v>
      </c>
      <c r="B13" s="2"/>
      <c r="C13" s="2"/>
      <c r="D13" s="2"/>
      <c r="E13" s="2"/>
      <c r="F13" s="3"/>
    </row>
    <row r="14" ht="33" spans="1:6">
      <c r="A14" s="4" t="s">
        <v>11</v>
      </c>
      <c r="B14" s="5" t="s">
        <v>12</v>
      </c>
      <c r="C14" s="6" t="s">
        <v>13</v>
      </c>
      <c r="D14" s="6" t="s">
        <v>14</v>
      </c>
      <c r="E14" s="7" t="s">
        <v>15</v>
      </c>
      <c r="F14" s="8"/>
    </row>
    <row r="15" ht="69.95" customHeight="1" spans="1:6">
      <c r="A15" s="9">
        <v>1</v>
      </c>
      <c r="B15" s="9" t="s">
        <v>16</v>
      </c>
      <c r="C15" s="10">
        <v>1.5</v>
      </c>
      <c r="D15" s="10">
        <v>1.5</v>
      </c>
      <c r="E15" s="11" t="s">
        <v>17</v>
      </c>
      <c r="F15" s="12"/>
    </row>
    <row r="16" ht="39.75" customHeight="1" spans="1:6">
      <c r="A16" s="9"/>
      <c r="B16" s="9" t="s">
        <v>18</v>
      </c>
      <c r="C16" s="10">
        <v>2</v>
      </c>
      <c r="D16" s="10">
        <v>2</v>
      </c>
      <c r="E16" s="13"/>
      <c r="F16" s="14"/>
    </row>
    <row r="17" ht="47.25" customHeight="1" spans="1:6">
      <c r="A17" s="9"/>
      <c r="B17" s="9" t="s">
        <v>19</v>
      </c>
      <c r="C17" s="10">
        <v>5</v>
      </c>
      <c r="D17" s="10">
        <v>5</v>
      </c>
      <c r="E17" s="13"/>
      <c r="F17" s="14"/>
    </row>
    <row r="18" ht="47.25" customHeight="1" spans="1:6">
      <c r="A18" s="9"/>
      <c r="B18" s="9" t="s">
        <v>20</v>
      </c>
      <c r="C18" s="10">
        <v>7</v>
      </c>
      <c r="D18" s="10">
        <v>10</v>
      </c>
      <c r="E18" s="13"/>
      <c r="F18" s="14"/>
    </row>
    <row r="19" ht="60" customHeight="1" spans="1:6">
      <c r="A19" s="28" t="s">
        <v>21</v>
      </c>
      <c r="B19" s="29"/>
      <c r="C19" s="29"/>
      <c r="D19" s="29"/>
      <c r="E19" s="29"/>
      <c r="F19" s="29"/>
    </row>
    <row r="21" ht="16.5" spans="1:6">
      <c r="A21" s="30" t="s">
        <v>22</v>
      </c>
      <c r="B21" s="30"/>
      <c r="C21" s="30"/>
      <c r="D21" s="30"/>
      <c r="E21" s="30"/>
      <c r="F21" s="30"/>
    </row>
    <row r="22" ht="16.5" spans="1:6">
      <c r="A22" s="31" t="s">
        <v>23</v>
      </c>
      <c r="B22" s="32" t="s">
        <v>24</v>
      </c>
      <c r="C22" s="33"/>
      <c r="D22" s="33"/>
      <c r="E22" s="33"/>
      <c r="F22" s="34"/>
    </row>
    <row r="23" ht="16.5" spans="1:6">
      <c r="A23" s="31"/>
      <c r="B23" s="35">
        <v>5</v>
      </c>
      <c r="C23" s="36"/>
      <c r="D23" s="36"/>
      <c r="E23" s="36"/>
      <c r="F23" s="37"/>
    </row>
    <row r="25" ht="16.5" spans="1:6">
      <c r="A25" s="30" t="s">
        <v>25</v>
      </c>
      <c r="B25" s="38"/>
      <c r="C25" s="39"/>
      <c r="D25" s="39"/>
      <c r="E25" s="40"/>
      <c r="F25" s="41"/>
    </row>
    <row r="26" ht="16.5" spans="1:6">
      <c r="A26" s="42" t="s">
        <v>1</v>
      </c>
      <c r="B26" s="42" t="s">
        <v>26</v>
      </c>
      <c r="C26" s="42" t="s">
        <v>27</v>
      </c>
      <c r="D26" s="42"/>
      <c r="E26" s="42" t="s">
        <v>28</v>
      </c>
      <c r="F26" s="42" t="s">
        <v>29</v>
      </c>
    </row>
    <row r="27" ht="16.5" spans="1:6">
      <c r="A27" s="9">
        <v>1</v>
      </c>
      <c r="B27" s="12" t="s">
        <v>30</v>
      </c>
      <c r="C27" s="43" t="s">
        <v>31</v>
      </c>
      <c r="D27" s="44"/>
      <c r="E27" s="10">
        <v>1.2</v>
      </c>
      <c r="F27" s="45" t="s">
        <v>32</v>
      </c>
    </row>
    <row r="28" ht="16.5" spans="1:6">
      <c r="A28" s="9">
        <v>2</v>
      </c>
      <c r="B28" s="12" t="s">
        <v>33</v>
      </c>
      <c r="C28" s="43" t="s">
        <v>34</v>
      </c>
      <c r="D28" s="44"/>
      <c r="E28" s="46">
        <v>3.5</v>
      </c>
      <c r="F28" s="45" t="s">
        <v>35</v>
      </c>
    </row>
    <row r="29" ht="16.5" spans="1:6">
      <c r="A29" s="9">
        <v>3</v>
      </c>
      <c r="B29" s="12" t="s">
        <v>36</v>
      </c>
      <c r="C29" s="47" t="s">
        <v>37</v>
      </c>
      <c r="D29" s="48"/>
      <c r="E29" s="46">
        <v>6.5</v>
      </c>
      <c r="F29" s="45" t="s">
        <v>38</v>
      </c>
    </row>
    <row r="30" ht="16.5" spans="1:6">
      <c r="A30" s="9">
        <v>4</v>
      </c>
      <c r="B30" s="12" t="s">
        <v>39</v>
      </c>
      <c r="C30" s="47" t="s">
        <v>40</v>
      </c>
      <c r="D30" s="48"/>
      <c r="E30" s="49">
        <v>80</v>
      </c>
      <c r="F30" s="45" t="s">
        <v>41</v>
      </c>
    </row>
    <row r="31" ht="74.45" customHeight="1" spans="1:6">
      <c r="A31" s="9">
        <v>5</v>
      </c>
      <c r="B31" s="12" t="s">
        <v>42</v>
      </c>
      <c r="C31" s="47" t="s">
        <v>43</v>
      </c>
      <c r="D31" s="48"/>
      <c r="E31" s="46">
        <v>15</v>
      </c>
      <c r="F31" s="45" t="s">
        <v>32</v>
      </c>
    </row>
    <row r="32" ht="16.5" spans="1:6">
      <c r="A32" s="30" t="s">
        <v>44</v>
      </c>
      <c r="B32" s="30"/>
      <c r="C32" s="30"/>
      <c r="D32" s="30"/>
      <c r="E32" s="30"/>
      <c r="F32" s="30"/>
    </row>
    <row r="33" spans="1:7">
      <c r="A33" s="50">
        <v>8</v>
      </c>
      <c r="B33" s="51" t="s">
        <v>45</v>
      </c>
      <c r="C33" s="52" t="s">
        <v>46</v>
      </c>
      <c r="D33" s="51">
        <v>0.6</v>
      </c>
      <c r="E33" s="51" t="s">
        <v>29</v>
      </c>
      <c r="F33" s="19" t="s">
        <v>47</v>
      </c>
      <c r="G33" s="53"/>
    </row>
    <row r="34" spans="1:6">
      <c r="A34" s="50">
        <v>9</v>
      </c>
      <c r="B34" s="51" t="s">
        <v>48</v>
      </c>
      <c r="C34" s="52" t="s">
        <v>49</v>
      </c>
      <c r="D34" s="51">
        <v>0.65</v>
      </c>
      <c r="E34" s="51" t="s">
        <v>29</v>
      </c>
      <c r="F34" s="19" t="s">
        <v>47</v>
      </c>
    </row>
    <row r="35" spans="1:6">
      <c r="A35" s="50">
        <v>10</v>
      </c>
      <c r="B35" s="51" t="s">
        <v>50</v>
      </c>
      <c r="C35" s="52" t="s">
        <v>51</v>
      </c>
      <c r="D35" s="51">
        <v>0.75</v>
      </c>
      <c r="E35" s="51" t="s">
        <v>29</v>
      </c>
      <c r="F35" s="19" t="s">
        <v>47</v>
      </c>
    </row>
    <row r="36" spans="1:6">
      <c r="A36" s="50">
        <v>11</v>
      </c>
      <c r="B36" s="51" t="s">
        <v>52</v>
      </c>
      <c r="C36" s="52" t="s">
        <v>53</v>
      </c>
      <c r="D36" s="51">
        <v>1</v>
      </c>
      <c r="E36" s="51" t="s">
        <v>29</v>
      </c>
      <c r="F36" s="19" t="s">
        <v>47</v>
      </c>
    </row>
    <row r="37" spans="1:6">
      <c r="A37" s="50">
        <v>12</v>
      </c>
      <c r="B37" s="51" t="s">
        <v>54</v>
      </c>
      <c r="C37" s="52"/>
      <c r="D37" s="54">
        <v>15</v>
      </c>
      <c r="E37" s="51" t="s">
        <v>55</v>
      </c>
      <c r="F37" s="19"/>
    </row>
    <row r="38" spans="1:6">
      <c r="A38" s="55">
        <v>13</v>
      </c>
      <c r="B38" s="51" t="s">
        <v>56</v>
      </c>
      <c r="C38" s="52"/>
      <c r="D38" s="54">
        <v>15</v>
      </c>
      <c r="E38" s="51" t="s">
        <v>55</v>
      </c>
      <c r="F38" s="19"/>
    </row>
    <row r="39" spans="1:6">
      <c r="A39" s="56" t="s">
        <v>57</v>
      </c>
      <c r="B39" s="56"/>
      <c r="C39" s="56"/>
      <c r="D39" s="56"/>
      <c r="E39" s="56"/>
      <c r="F39" s="56"/>
    </row>
    <row r="40" spans="1:6">
      <c r="A40" s="57"/>
      <c r="B40" s="57"/>
      <c r="C40" s="57"/>
      <c r="D40" s="57"/>
      <c r="E40" s="57"/>
      <c r="F40" s="57"/>
    </row>
    <row r="41" ht="16.5" spans="1:7">
      <c r="A41" s="30" t="s">
        <v>58</v>
      </c>
      <c r="B41" s="30"/>
      <c r="C41" s="30"/>
      <c r="D41" s="30"/>
      <c r="E41" s="30"/>
      <c r="F41" s="30"/>
      <c r="G41" s="30"/>
    </row>
    <row r="42" ht="16.5" spans="1:7">
      <c r="A42" s="58"/>
      <c r="B42" s="42" t="s">
        <v>26</v>
      </c>
      <c r="C42" s="42" t="s">
        <v>27</v>
      </c>
      <c r="D42" s="42" t="s">
        <v>29</v>
      </c>
      <c r="E42" s="42" t="s">
        <v>28</v>
      </c>
      <c r="F42" s="42" t="s">
        <v>59</v>
      </c>
      <c r="G42" s="42" t="s">
        <v>60</v>
      </c>
    </row>
    <row r="43" spans="1:7">
      <c r="A43" s="59" t="s">
        <v>61</v>
      </c>
      <c r="B43" s="58" t="s">
        <v>62</v>
      </c>
      <c r="C43" s="60" t="s">
        <v>63</v>
      </c>
      <c r="D43" s="58">
        <v>100</v>
      </c>
      <c r="E43" s="20">
        <v>2</v>
      </c>
      <c r="F43" s="51">
        <f>D43*E43</f>
        <v>200</v>
      </c>
      <c r="G43" s="61">
        <f>F43</f>
        <v>200</v>
      </c>
    </row>
    <row r="44" spans="1:7">
      <c r="A44" s="59" t="s">
        <v>64</v>
      </c>
      <c r="B44" s="58" t="s">
        <v>65</v>
      </c>
      <c r="C44" s="60" t="s">
        <v>66</v>
      </c>
      <c r="D44" s="58">
        <v>20</v>
      </c>
      <c r="E44" s="20">
        <v>2</v>
      </c>
      <c r="F44" s="51">
        <f>D44*E44</f>
        <v>40</v>
      </c>
      <c r="G44" s="61">
        <f>F44</f>
        <v>40</v>
      </c>
    </row>
    <row r="45" spans="1:7">
      <c r="A45" s="62" t="s">
        <v>67</v>
      </c>
      <c r="B45" s="58" t="s">
        <v>68</v>
      </c>
      <c r="C45" s="63" t="s">
        <v>69</v>
      </c>
      <c r="D45" s="58">
        <v>2</v>
      </c>
      <c r="E45" s="20">
        <v>5</v>
      </c>
      <c r="F45" s="51">
        <f>D45*E45</f>
        <v>10</v>
      </c>
      <c r="G45" s="64">
        <f>F45+F46</f>
        <v>20</v>
      </c>
    </row>
    <row r="46" spans="1:7">
      <c r="A46" s="65"/>
      <c r="B46" s="58" t="s">
        <v>70</v>
      </c>
      <c r="C46" s="66"/>
      <c r="D46" s="58">
        <v>2</v>
      </c>
      <c r="E46" s="20">
        <v>5</v>
      </c>
      <c r="F46" s="51">
        <f>D46*E46</f>
        <v>10</v>
      </c>
      <c r="G46" s="65"/>
    </row>
    <row r="47" spans="1:7">
      <c r="A47" s="59" t="s">
        <v>71</v>
      </c>
      <c r="B47" s="67" t="s">
        <v>72</v>
      </c>
      <c r="C47" s="60" t="s">
        <v>73</v>
      </c>
      <c r="D47" s="59">
        <v>5</v>
      </c>
      <c r="E47" s="68">
        <v>1.5</v>
      </c>
      <c r="F47" s="51">
        <f t="shared" ref="F47:F65" si="0">D47*E47</f>
        <v>7.5</v>
      </c>
      <c r="G47" s="64">
        <f>F47+F48</f>
        <v>15.5</v>
      </c>
    </row>
    <row r="48" spans="1:7">
      <c r="A48" s="59"/>
      <c r="B48" s="67"/>
      <c r="C48" s="60"/>
      <c r="D48" s="59">
        <v>10</v>
      </c>
      <c r="E48" s="68">
        <v>0.8</v>
      </c>
      <c r="F48" s="51">
        <f t="shared" si="0"/>
        <v>8</v>
      </c>
      <c r="G48" s="65"/>
    </row>
    <row r="49" spans="1:7">
      <c r="A49" s="59" t="s">
        <v>74</v>
      </c>
      <c r="B49" s="69" t="s">
        <v>75</v>
      </c>
      <c r="C49" s="60" t="s">
        <v>76</v>
      </c>
      <c r="D49" s="58">
        <v>2</v>
      </c>
      <c r="E49" s="20">
        <v>5</v>
      </c>
      <c r="F49" s="51">
        <f t="shared" si="0"/>
        <v>10</v>
      </c>
      <c r="G49" s="64">
        <f>F49+F50+F51</f>
        <v>35</v>
      </c>
    </row>
    <row r="50" spans="1:7">
      <c r="A50" s="59"/>
      <c r="B50" s="69"/>
      <c r="C50" s="60"/>
      <c r="D50" s="58">
        <v>2</v>
      </c>
      <c r="E50" s="20">
        <v>5</v>
      </c>
      <c r="F50" s="51">
        <f t="shared" si="0"/>
        <v>10</v>
      </c>
      <c r="G50" s="70"/>
    </row>
    <row r="51" spans="1:7">
      <c r="A51" s="59"/>
      <c r="B51" s="69"/>
      <c r="C51" s="60"/>
      <c r="D51" s="58">
        <v>10</v>
      </c>
      <c r="E51" s="20">
        <v>1.5</v>
      </c>
      <c r="F51" s="51">
        <f t="shared" si="0"/>
        <v>15</v>
      </c>
      <c r="G51" s="65"/>
    </row>
    <row r="52" spans="1:7">
      <c r="A52" s="59" t="s">
        <v>77</v>
      </c>
      <c r="B52" s="71" t="s">
        <v>78</v>
      </c>
      <c r="C52" s="59" t="s">
        <v>79</v>
      </c>
      <c r="D52" s="58">
        <v>1</v>
      </c>
      <c r="E52" s="72">
        <v>1.5</v>
      </c>
      <c r="F52" s="51">
        <f t="shared" si="0"/>
        <v>1.5</v>
      </c>
      <c r="G52" s="64">
        <f>F52+F53+F54</f>
        <v>3</v>
      </c>
    </row>
    <row r="53" spans="1:7">
      <c r="A53" s="59"/>
      <c r="B53" s="73"/>
      <c r="C53" s="59" t="s">
        <v>80</v>
      </c>
      <c r="D53" s="58">
        <v>2</v>
      </c>
      <c r="E53" s="72">
        <v>0.5</v>
      </c>
      <c r="F53" s="51">
        <f t="shared" si="0"/>
        <v>1</v>
      </c>
      <c r="G53" s="70"/>
    </row>
    <row r="54" spans="1:7">
      <c r="A54" s="59"/>
      <c r="B54" s="58" t="s">
        <v>81</v>
      </c>
      <c r="C54" s="59" t="s">
        <v>82</v>
      </c>
      <c r="D54" s="58">
        <v>1</v>
      </c>
      <c r="E54" s="72">
        <v>0.5</v>
      </c>
      <c r="F54" s="51">
        <f t="shared" si="0"/>
        <v>0.5</v>
      </c>
      <c r="G54" s="65"/>
    </row>
    <row r="55" spans="1:7">
      <c r="A55" s="59" t="s">
        <v>83</v>
      </c>
      <c r="B55" s="58" t="s">
        <v>84</v>
      </c>
      <c r="C55" s="59" t="s">
        <v>79</v>
      </c>
      <c r="D55" s="58">
        <v>1</v>
      </c>
      <c r="E55" s="72">
        <v>1.5</v>
      </c>
      <c r="F55" s="51">
        <f t="shared" si="0"/>
        <v>1.5</v>
      </c>
      <c r="G55" s="64">
        <f>F55+F56</f>
        <v>3.5</v>
      </c>
    </row>
    <row r="56" spans="1:7">
      <c r="A56" s="59"/>
      <c r="B56" s="58" t="s">
        <v>85</v>
      </c>
      <c r="C56" s="59" t="s">
        <v>80</v>
      </c>
      <c r="D56" s="58">
        <v>4</v>
      </c>
      <c r="E56" s="72">
        <v>0.5</v>
      </c>
      <c r="F56" s="51">
        <f t="shared" si="0"/>
        <v>2</v>
      </c>
      <c r="G56" s="65"/>
    </row>
    <row r="57" spans="1:7">
      <c r="A57" s="62" t="s">
        <v>86</v>
      </c>
      <c r="B57" s="58" t="s">
        <v>87</v>
      </c>
      <c r="C57" s="59" t="s">
        <v>79</v>
      </c>
      <c r="D57" s="58">
        <v>1</v>
      </c>
      <c r="E57" s="72">
        <v>2</v>
      </c>
      <c r="F57" s="51">
        <f t="shared" ref="F57:F59" si="1">D57*E57</f>
        <v>2</v>
      </c>
      <c r="G57" s="64">
        <f>F57+F58+F59</f>
        <v>3.5</v>
      </c>
    </row>
    <row r="58" spans="1:7">
      <c r="A58" s="70"/>
      <c r="B58" s="58" t="s">
        <v>88</v>
      </c>
      <c r="C58" s="59" t="s">
        <v>80</v>
      </c>
      <c r="D58" s="58">
        <v>1</v>
      </c>
      <c r="E58" s="72">
        <v>1</v>
      </c>
      <c r="F58" s="51">
        <f t="shared" si="1"/>
        <v>1</v>
      </c>
      <c r="G58" s="70"/>
    </row>
    <row r="59" spans="1:7">
      <c r="A59" s="65"/>
      <c r="B59" s="58" t="s">
        <v>81</v>
      </c>
      <c r="C59" s="59" t="s">
        <v>82</v>
      </c>
      <c r="D59" s="58">
        <v>1</v>
      </c>
      <c r="E59" s="72">
        <v>0.5</v>
      </c>
      <c r="F59" s="51">
        <f t="shared" si="1"/>
        <v>0.5</v>
      </c>
      <c r="G59" s="65"/>
    </row>
    <row r="60" spans="1:7">
      <c r="A60" s="62" t="s">
        <v>89</v>
      </c>
      <c r="B60" s="58" t="s">
        <v>90</v>
      </c>
      <c r="C60" s="59" t="s">
        <v>91</v>
      </c>
      <c r="D60" s="58">
        <v>5</v>
      </c>
      <c r="E60" s="72">
        <v>10</v>
      </c>
      <c r="F60" s="51">
        <f t="shared" si="0"/>
        <v>50</v>
      </c>
      <c r="G60" s="64">
        <f>F60+F61</f>
        <v>100</v>
      </c>
    </row>
    <row r="61" spans="1:7">
      <c r="A61" s="65"/>
      <c r="B61" s="58" t="s">
        <v>92</v>
      </c>
      <c r="C61" s="59" t="s">
        <v>93</v>
      </c>
      <c r="D61" s="58">
        <v>5</v>
      </c>
      <c r="E61" s="72">
        <v>10</v>
      </c>
      <c r="F61" s="51">
        <f t="shared" si="0"/>
        <v>50</v>
      </c>
      <c r="G61" s="65"/>
    </row>
    <row r="62" spans="1:7">
      <c r="A62" s="59" t="s">
        <v>94</v>
      </c>
      <c r="B62" s="58" t="s">
        <v>95</v>
      </c>
      <c r="C62" s="59" t="s">
        <v>79</v>
      </c>
      <c r="D62" s="58">
        <v>1</v>
      </c>
      <c r="E62" s="72">
        <v>3</v>
      </c>
      <c r="F62" s="51">
        <f t="shared" si="0"/>
        <v>3</v>
      </c>
      <c r="G62" s="64">
        <f>F62+F63+F64+F65</f>
        <v>211.8</v>
      </c>
    </row>
    <row r="63" spans="1:7">
      <c r="A63" s="59"/>
      <c r="B63" s="19"/>
      <c r="C63" s="59" t="s">
        <v>80</v>
      </c>
      <c r="D63" s="58">
        <v>99</v>
      </c>
      <c r="E63" s="72">
        <v>1.2</v>
      </c>
      <c r="F63" s="51">
        <f t="shared" si="0"/>
        <v>118.8</v>
      </c>
      <c r="G63" s="70"/>
    </row>
    <row r="64" spans="1:7">
      <c r="A64" s="59"/>
      <c r="B64" s="58" t="s">
        <v>96</v>
      </c>
      <c r="C64" s="59" t="s">
        <v>97</v>
      </c>
      <c r="D64" s="58">
        <v>2</v>
      </c>
      <c r="E64" s="72">
        <v>15</v>
      </c>
      <c r="F64" s="51">
        <f t="shared" si="0"/>
        <v>30</v>
      </c>
      <c r="G64" s="70"/>
    </row>
    <row r="65" spans="1:7">
      <c r="A65" s="59"/>
      <c r="B65" s="58" t="s">
        <v>98</v>
      </c>
      <c r="C65" s="59" t="s">
        <v>99</v>
      </c>
      <c r="D65" s="58">
        <v>2</v>
      </c>
      <c r="E65" s="72">
        <v>30</v>
      </c>
      <c r="F65" s="51">
        <f t="shared" si="0"/>
        <v>60</v>
      </c>
      <c r="G65" s="65"/>
    </row>
    <row r="66" spans="1:7">
      <c r="A66" s="59" t="s">
        <v>100</v>
      </c>
      <c r="B66" s="58" t="s">
        <v>101</v>
      </c>
      <c r="C66" s="59" t="s">
        <v>102</v>
      </c>
      <c r="D66" s="58">
        <v>1</v>
      </c>
      <c r="E66" s="20">
        <v>2.5</v>
      </c>
      <c r="F66" s="51">
        <f t="shared" ref="F66:F67" si="2">D66*E66</f>
        <v>2.5</v>
      </c>
      <c r="G66" s="74">
        <f>F66</f>
        <v>2.5</v>
      </c>
    </row>
    <row r="67" spans="1:7">
      <c r="A67" s="59" t="s">
        <v>103</v>
      </c>
      <c r="B67" s="58" t="s">
        <v>104</v>
      </c>
      <c r="C67" s="59" t="s">
        <v>105</v>
      </c>
      <c r="D67" s="58">
        <v>100</v>
      </c>
      <c r="E67" s="20">
        <v>1.5</v>
      </c>
      <c r="F67" s="51">
        <f t="shared" si="2"/>
        <v>150</v>
      </c>
      <c r="G67" s="75">
        <f>F67</f>
        <v>150</v>
      </c>
    </row>
  </sheetData>
  <mergeCells count="40">
    <mergeCell ref="A13:F13"/>
    <mergeCell ref="E14:F14"/>
    <mergeCell ref="E15:F15"/>
    <mergeCell ref="E16:F16"/>
    <mergeCell ref="E17:F17"/>
    <mergeCell ref="E18:F18"/>
    <mergeCell ref="A19:F19"/>
    <mergeCell ref="B22:F22"/>
    <mergeCell ref="B23:F23"/>
    <mergeCell ref="C26:D26"/>
    <mergeCell ref="C27:D27"/>
    <mergeCell ref="C28:D28"/>
    <mergeCell ref="C29:D29"/>
    <mergeCell ref="C30:D30"/>
    <mergeCell ref="C31:D31"/>
    <mergeCell ref="A39:F39"/>
    <mergeCell ref="A22:A23"/>
    <mergeCell ref="A45:A46"/>
    <mergeCell ref="A47:A48"/>
    <mergeCell ref="A49:A51"/>
    <mergeCell ref="A52:A54"/>
    <mergeCell ref="A55:A56"/>
    <mergeCell ref="A57:A59"/>
    <mergeCell ref="A60:A61"/>
    <mergeCell ref="A62:A65"/>
    <mergeCell ref="B47:B48"/>
    <mergeCell ref="B49:B51"/>
    <mergeCell ref="B52:B53"/>
    <mergeCell ref="C45:C46"/>
    <mergeCell ref="C47:C48"/>
    <mergeCell ref="C49:C51"/>
    <mergeCell ref="G45:G46"/>
    <mergeCell ref="G47:G48"/>
    <mergeCell ref="G49:G51"/>
    <mergeCell ref="G52:G54"/>
    <mergeCell ref="G55:G56"/>
    <mergeCell ref="G57:G59"/>
    <mergeCell ref="G60:G61"/>
    <mergeCell ref="G62:G65"/>
    <mergeCell ref="A11:F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opLeftCell="A7" workbookViewId="0">
      <selection activeCell="A6" sqref="A6"/>
    </sheetView>
  </sheetViews>
  <sheetFormatPr defaultColWidth="9" defaultRowHeight="14.25" outlineLevelRow="5" outlineLevelCol="5"/>
  <cols>
    <col min="2" max="2" width="20.2833333333333" customWidth="1"/>
    <col min="3" max="3" width="16.1416666666667" customWidth="1"/>
    <col min="4" max="4" width="15.5666666666667" customWidth="1"/>
  </cols>
  <sheetData>
    <row r="1" ht="16.5" spans="1:6">
      <c r="A1" s="1" t="s">
        <v>106</v>
      </c>
      <c r="B1" s="2"/>
      <c r="C1" s="2"/>
      <c r="D1" s="2"/>
      <c r="E1" s="2"/>
      <c r="F1" s="3"/>
    </row>
    <row r="2" ht="50.45" customHeight="1" spans="1:6">
      <c r="A2" s="4" t="s">
        <v>11</v>
      </c>
      <c r="B2" s="5" t="s">
        <v>12</v>
      </c>
      <c r="C2" s="6" t="s">
        <v>13</v>
      </c>
      <c r="D2" s="6" t="s">
        <v>14</v>
      </c>
      <c r="E2" s="7" t="s">
        <v>15</v>
      </c>
      <c r="F2" s="8"/>
    </row>
    <row r="3" ht="16.5" spans="1:6">
      <c r="A3" s="9">
        <v>1</v>
      </c>
      <c r="B3" s="9" t="s">
        <v>16</v>
      </c>
      <c r="C3" s="10">
        <v>1</v>
      </c>
      <c r="D3" s="10">
        <v>0.5</v>
      </c>
      <c r="E3" s="11" t="s">
        <v>17</v>
      </c>
      <c r="F3" s="12"/>
    </row>
    <row r="4" ht="16.5" spans="1:6">
      <c r="A4" s="9"/>
      <c r="B4" s="9" t="s">
        <v>18</v>
      </c>
      <c r="C4" s="10">
        <v>2</v>
      </c>
      <c r="D4" s="10">
        <v>1</v>
      </c>
      <c r="E4" s="13"/>
      <c r="F4" s="14"/>
    </row>
    <row r="5" ht="16.5" spans="1:6">
      <c r="A5" s="9"/>
      <c r="B5" s="9" t="s">
        <v>19</v>
      </c>
      <c r="C5" s="10">
        <v>5</v>
      </c>
      <c r="D5" s="10">
        <v>5</v>
      </c>
      <c r="E5" s="13"/>
      <c r="F5" s="14"/>
    </row>
    <row r="6" ht="16.5" spans="2:3">
      <c r="B6" s="15" t="s">
        <v>20</v>
      </c>
      <c r="C6" s="16">
        <v>10</v>
      </c>
    </row>
  </sheetData>
  <mergeCells count="5">
    <mergeCell ref="A1:F1"/>
    <mergeCell ref="E2:F2"/>
    <mergeCell ref="E3:F3"/>
    <mergeCell ref="E4:F4"/>
    <mergeCell ref="E5:F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Jianfei Huang</dc:creator>
  <cp:lastModifiedBy>蓓蓓</cp:lastModifiedBy>
  <dcterms:created xsi:type="dcterms:W3CDTF">2015-06-05T18:17:00Z</dcterms:created>
  <dcterms:modified xsi:type="dcterms:W3CDTF">2025-04-17T10:16:24Z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B3FCE4DC95DF4652BDDAA605D9059B8E_13</vt:lpwstr>
  </property>
  <property fmtid="{D5CDD505-2E9C-101B-9397-08002B2CF9AE}" pid="3" name="KSOProductBuildVer">
    <vt:lpwstr>2052-12.1.0.20784</vt:lpwstr>
  </property>
</Properties>
</file>