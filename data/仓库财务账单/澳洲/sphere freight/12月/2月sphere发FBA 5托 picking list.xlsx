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1" sheetId="1" r:id="rId1"/>
  </sheets>
  <definedNames>
    <definedName name="_xlnm._FilterDatabase" localSheetId="0" hidden="1">Sheet1!$C$1:$O$11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86180</author>
  </authors>
  <commentList>
    <comment ref="J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  <comment ref="J2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
</t>
        </r>
      </text>
    </comment>
  </commentList>
</comments>
</file>

<file path=xl/sharedStrings.xml><?xml version="1.0" encoding="utf-8"?>
<sst xmlns="http://schemas.openxmlformats.org/spreadsheetml/2006/main" count="93" uniqueCount="93">
  <si>
    <t xml:space="preserve">  中文品名</t>
  </si>
  <si>
    <t>Product name</t>
  </si>
  <si>
    <t>SKU</t>
  </si>
  <si>
    <t>FNSKU</t>
  </si>
  <si>
    <t>Original ASIN</t>
  </si>
  <si>
    <t>单个头程 796.95</t>
  </si>
  <si>
    <t>Pick  Qty</t>
  </si>
  <si>
    <t>Units Per Carton</t>
  </si>
  <si>
    <t>Total Ctns</t>
  </si>
  <si>
    <t>Carton size</t>
  </si>
  <si>
    <t>Unit Ctn Vol/m³</t>
  </si>
  <si>
    <t xml:space="preserve"> Unit Ctn Gw（kg）</t>
  </si>
  <si>
    <t>Total Gw/kg</t>
  </si>
  <si>
    <t>Total Vol/m³</t>
  </si>
  <si>
    <t>FBA warehouse code</t>
  </si>
  <si>
    <t>箱唛上的SKU</t>
  </si>
  <si>
    <t>FBA ID</t>
  </si>
  <si>
    <t>硅胶厨房用具5件套</t>
  </si>
  <si>
    <t>Silicone Kitchen Utensils 5 Pieces</t>
  </si>
  <si>
    <t>CCF-KND-SlUtensl5pcs</t>
  </si>
  <si>
    <t>X001999ZNT</t>
  </si>
  <si>
    <t>B01A7QZ9ZM</t>
  </si>
  <si>
    <t>17x13x11.6 inch</t>
  </si>
  <si>
    <t>BWU2 - 13 Emporium Avenue 2178 - Kemps Creek, NSW - Australia</t>
  </si>
  <si>
    <t>KND-SlUtensl-5pcs</t>
  </si>
  <si>
    <t>FBA15FP44K4GU000066,FBA15FP44K4GU000067,FBA15FP44K4GU000068,FBA15FP44K4GU000069</t>
  </si>
  <si>
    <t>烘焙用钢披萨石</t>
  </si>
  <si>
    <t>Steel Pizza Stone for Baking</t>
  </si>
  <si>
    <t>CCF-KND-StPzaStn</t>
  </si>
  <si>
    <t>X00191JG77</t>
  </si>
  <si>
    <t>B07DPF53MT</t>
  </si>
  <si>
    <t>15.21x14.04x2.145 inch</t>
  </si>
  <si>
    <t>KND-PzaStn38 x 34</t>
  </si>
  <si>
    <t>FBA15FP44K4GU000036,FBA15FP44K4GU000037,FBA15FP44K4GU000038,FBA15FP44K4GU000039,FBA15FP44K4GU000040,FBA15FP44K4GU000041,FBA15FP44K4GU000042,FBA15FP44K4GU000043,FBA15FP44K4GU000044,FBA15FP44K4GU000045,FBA15FP44K4GU000046,FBA15FP44K4GU000047,FBA15FP44K4GU000048,FBA15FP44K4GU000049,FBA15FP44K4GU000050</t>
  </si>
  <si>
    <t>优质披萨切割机摆动刀片</t>
  </si>
  <si>
    <t>Premium Pizza Cutter Oscillating Blade</t>
  </si>
  <si>
    <t>CCF-KND-PrPzaCtr</t>
  </si>
  <si>
    <t>X00191S58N</t>
  </si>
  <si>
    <t>B01IP5VT2O</t>
  </si>
  <si>
    <t>15x14x9 inch</t>
  </si>
  <si>
    <t>KND-PzaCutter14in</t>
  </si>
  <si>
    <t>FBA15FP44K4GU000034,FBA15FP44K4GU000035</t>
  </si>
  <si>
    <t>霍巴特威士忌醒酒器和 4 个威士忌杯</t>
  </si>
  <si>
    <t>Whisky Decanter and 4 Whiskey Glasses Hobart</t>
  </si>
  <si>
    <t>NLK-KND-DcntGlsSet-Hbt</t>
  </si>
  <si>
    <t>X001922WGX</t>
  </si>
  <si>
    <t>B07FXG4JVG</t>
  </si>
  <si>
    <t>20x15.6x14.7</t>
  </si>
  <si>
    <t>KND-DcntGlsSet-B</t>
  </si>
  <si>
    <t>FBA15FP44K4GU000021,FBA15FP44K4GU000022,FBA15FP44K4GU000023,FBA15FP44K4GU000024,FBA15FP44K4GU000025,FBA15FP44K4GU000026,FBA15FP44K4GU000027,FBA15FP44K4GU000028,FBA15FP44K4GU000029,FBA15FP44K4GU000030,FBA15FP44K4GU000031,FBA15FP44K4GU000032</t>
  </si>
  <si>
    <t>预调味铸铁煎锅 12.5"</t>
  </si>
  <si>
    <t>Pre-Seasoned Cast Iron Skillet 12.5"</t>
  </si>
  <si>
    <t>NLK-KND-Sklt-12</t>
  </si>
  <si>
    <t>X00191G611</t>
  </si>
  <si>
    <t>B01M74A279</t>
  </si>
  <si>
    <t>17.35x13.84x11.9</t>
  </si>
  <si>
    <t>KND-Skillet-12in</t>
  </si>
  <si>
    <t>FBA15FP44K4GU000051,FBA15FP44K4GU000052,FBA15FP44K4GU000053,FBA15FP44K4GU000054,FBA15FP44K4GU000055,FBA15FP44K4GU000056,FBA15FP44K4GU000057,FBA15FP44K4GU000058,FBA15FP44K4GU000059,FBA15FP44K4GU000060,FBA15FP44K4GU000061,FBA15FP44K4GU000062,FBA15FP44K4GU000063,FBA15FP44K4GU000064,FBA15FP44K4GU000065</t>
  </si>
  <si>
    <t>威士忌醒酒器和 4 个塔斯曼威士忌杯</t>
  </si>
  <si>
    <t>Whisky Decanter and 4 Whiskey Glasses Tasman</t>
  </si>
  <si>
    <t>NLK-KND-DcntGlsSet-Tmn</t>
  </si>
  <si>
    <t>X001920UI5</t>
  </si>
  <si>
    <t>B07881WCQY</t>
  </si>
  <si>
    <t>20.163x15.64x14.74</t>
  </si>
  <si>
    <t>KDN-DcntGlsSet-A</t>
  </si>
  <si>
    <t>FBA15FP44K4GU000001,FBA15FP44K4GU000002,FBA15FP44K4GU000003,FBA15FP44K4GU000004,FBA15FP44K4GU000005,FBA15FP44K4GU000006,FBA15FP44K4GU000007,FBA15FP44K4GU000008,FBA15FP44K4GU000009,FBA15FP44K4GU000010,FBA15FP44K4GU000011,FBA15FP44K4GU000012,FBA15FP44K4GU000013,FBA15FP44K4GU000014,FBA15FP44K4GU000015,FBA15FP44K4GU000016,FBA15FP44K4GU000017,FBA15FP44K4GU000018,FBA15FP44K4GU000019,FBA15FP44K4GU000020</t>
  </si>
  <si>
    <t>预调味铸铁双层荷兰烤箱</t>
  </si>
  <si>
    <t>Pre-Seasoned Cast Iron Double Dutch Oven</t>
  </si>
  <si>
    <t>NLK-KND-DblDchOvn</t>
  </si>
  <si>
    <t>X0019167E7</t>
  </si>
  <si>
    <t>B07V32FG4Q</t>
  </si>
  <si>
    <t>13.65x12.48x11.7</t>
  </si>
  <si>
    <t>LML-DutchOven5L</t>
  </si>
  <si>
    <t>FBA15FP44K4GU000070,FBA15FP44K4GU000071,FBA15FP44K4GU000072,FBA15FP44K4GU000073,FBA15FP44K4GU000074,FBA15FP44K4GU000075,FBA15FP44K4GU000076,FBA15FP44K4GU000077,FBA15FP44K4GU000078,FBA15FP44K4GU000079,FBA15FP44K4GU000080,FBA15FP44K4GU000081,FBA15FP44K4GU000082,FBA15FP44K4GU000083,FBA15FP44K4GU000084,FBA15FP44K4GU000085,FBA15FP44K4GU000086,FBA15FP44K4GU000087,FBA15FP44K4GU000088,FBA15FP44K4GU000089,FBA15FP44K4GU000090,FBA15FP44K4GU000091,FBA15FP44K4GU000092,FBA15FP44K4GU000093,FBA15FP44K4GU000094</t>
  </si>
  <si>
    <t>重型冰淇淋勺</t>
  </si>
  <si>
    <t>Heavy Duty Icecream Scoop</t>
  </si>
  <si>
    <t>CCF-KND-IceCrmScp</t>
  </si>
  <si>
    <t>X001924JCX</t>
  </si>
  <si>
    <t>B08R6SKCVN</t>
  </si>
  <si>
    <t>17.71x14.96x9.84</t>
  </si>
  <si>
    <t>KND-IceCrmScp1</t>
  </si>
  <si>
    <t>FBA15FP44K4GU000033</t>
  </si>
  <si>
    <t>帆布和木质秋千椅奶油色</t>
  </si>
  <si>
    <t>Canvas and Wood Swinging Chair Cream</t>
  </si>
  <si>
    <t>MNM-TOG-CwdSwgChr-Crm</t>
  </si>
  <si>
    <t>X00192A2DX</t>
  </si>
  <si>
    <t>B095W2MLPF</t>
  </si>
  <si>
    <t>17.745x15.8x11.115</t>
  </si>
  <si>
    <t>TOY-Swing-Cream</t>
  </si>
  <si>
    <t>FBA15FP44K4GU000095,FBA15FP44K4GU000096,FBA15FP44K4GU000097,FBA15FP44K4GU000098,FBA15FP44K4GU000099,FBA15FP44K4GU000100,FBA15FP44K4GU000101,FBA15FP44K4GU000102,FBA15FP44K4GU000103</t>
  </si>
  <si>
    <t>领星 ok</t>
  </si>
  <si>
    <t>INVOICE: 2759</t>
  </si>
  <si>
    <t>5托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</si>
</sst>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</numFmts>
  <fonts count="28">
    <font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sz val="11"/>
      <color theme="1"/>
      <name val="等线"/>
      <charset val="134"/>
    </font>
    <font>
      <b/>
      <sz val="11"/>
      <color theme="1"/>
      <name val="宋体"/>
      <charset val="134"/>
      <scheme val="minor"/>
    </font>
    <font>
      <sz val="11"/>
      <name val="等线"/>
      <charset val="134"/>
    </font>
    <font>
      <b/>
      <sz val="12"/>
      <color rgb="FF000000"/>
      <name val="TimesNewRomanPS-BoldMT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>
      <alignment vertical="center"/>
    </xf>
    <xf numFmtId="0" fontId="0" fillId="0" borderId="0" xfId="0" applyAlignment="1">
      <alignment vertical="center"/>
    </xf>
    <xf numFmtId="0" fontId="3" fillId="0" borderId="0" xfId="0" applyFont="1">
      <alignment vertical="center"/>
    </xf>
    <xf numFmtId="0" fontId="0" fillId="3" borderId="0" xfId="0" applyFill="1">
      <alignment vertical="center"/>
    </xf>
    <xf numFmtId="0" fontId="0" fillId="0" borderId="0" xfId="0" applyFill="1">
      <alignment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Fill="1">
      <alignment vertical="center"/>
    </xf>
    <xf numFmtId="0" fontId="1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1" fillId="0" borderId="0" xfId="0" applyFont="1">
      <alignment vertical="center"/>
    </xf>
    <xf numFmtId="0" fontId="3" fillId="0" borderId="0" xfId="0" applyFont="1" applyFill="1">
      <alignment vertical="center"/>
    </xf>
    <xf numFmtId="0" fontId="5" fillId="0" borderId="0" xfId="0" applyFont="1">
      <alignment vertical="center"/>
    </xf>
    <xf numFmtId="0" fontId="6" fillId="0" borderId="0" xfId="0" applyFont="1" applyFill="1">
      <alignment vertical="center"/>
    </xf>
    <xf numFmtId="0" fontId="2" fillId="3" borderId="0" xfId="0" applyFont="1" applyFill="1">
      <alignment vertical="center"/>
    </xf>
    <xf numFmtId="176" fontId="2" fillId="0" borderId="0" xfId="0" applyNumberFormat="1" applyFont="1" applyFill="1">
      <alignment vertical="center"/>
    </xf>
    <xf numFmtId="177" fontId="2" fillId="0" borderId="0" xfId="0" applyNumberFormat="1" applyFont="1" applyFill="1">
      <alignment vertical="center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31"/>
  <sheetViews>
    <sheetView tabSelected="1" workbookViewId="0">
      <selection activeCell="A8" sqref="$A8:$XFD8"/>
    </sheetView>
  </sheetViews>
  <sheetFormatPr defaultColWidth="9" defaultRowHeight="13.5"/>
  <cols>
    <col min="1" max="1" width="22.55" customWidth="1"/>
    <col min="2" max="2" width="28" style="3" customWidth="1"/>
    <col min="3" max="3" width="24.3666666666667" customWidth="1"/>
    <col min="4" max="4" width="15.0083333333333" style="4" customWidth="1"/>
    <col min="5" max="6" width="15.275" customWidth="1"/>
    <col min="7" max="7" width="12.1833333333333" customWidth="1"/>
    <col min="8" max="8" width="12.0916666666667" customWidth="1"/>
    <col min="9" max="9" width="12.45" style="5" customWidth="1"/>
    <col min="10" max="10" width="23.45" style="6" customWidth="1"/>
    <col min="11" max="11" width="11.8166666666667" customWidth="1"/>
    <col min="12" max="12" width="12.55" customWidth="1"/>
    <col min="13" max="13" width="11.6333333333333" customWidth="1"/>
    <col min="14" max="14" width="13.6333333333333" customWidth="1"/>
    <col min="15" max="15" width="20.1833333333333" customWidth="1"/>
    <col min="16" max="16" width="20.8166666666667" customWidth="1"/>
    <col min="17" max="17" width="31.55" customWidth="1"/>
  </cols>
  <sheetData>
    <row r="1" s="1" customFormat="1" ht="28" customHeight="1" spans="1:17">
      <c r="A1" s="1" t="s">
        <v>0</v>
      </c>
      <c r="B1" s="1" t="s">
        <v>1</v>
      </c>
      <c r="C1" s="7" t="s">
        <v>2</v>
      </c>
      <c r="D1" s="8" t="s">
        <v>3</v>
      </c>
      <c r="E1" s="8" t="s">
        <v>4</v>
      </c>
      <c r="F1" s="9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1" t="s">
        <v>14</v>
      </c>
      <c r="P1" s="1" t="s">
        <v>15</v>
      </c>
      <c r="Q1" s="1" t="s">
        <v>16</v>
      </c>
    </row>
    <row r="2" s="2" customFormat="1" ht="22" customHeight="1" spans="1:17">
      <c r="A2" s="10" t="s">
        <v>17</v>
      </c>
      <c r="B2" s="10" t="s">
        <v>18</v>
      </c>
      <c r="C2" s="11" t="s">
        <v>19</v>
      </c>
      <c r="D2" s="12" t="s">
        <v>20</v>
      </c>
      <c r="E2" s="11" t="s">
        <v>21</v>
      </c>
      <c r="F2" s="11">
        <f>796.95/$N$11*N2/G2</f>
        <v>0.582591904667774</v>
      </c>
      <c r="G2" s="11">
        <f>H2*I2</f>
        <v>48</v>
      </c>
      <c r="H2" s="11">
        <v>12</v>
      </c>
      <c r="I2" s="18">
        <v>4</v>
      </c>
      <c r="J2" s="11" t="s">
        <v>22</v>
      </c>
      <c r="K2" s="19">
        <f>17*13*11.6*0.000016</f>
        <v>0.0410176</v>
      </c>
      <c r="L2" s="20">
        <f>18.74*0.453</f>
        <v>8.48922</v>
      </c>
      <c r="M2" s="20">
        <f t="shared" ref="M2:M10" si="0">I2*L2</f>
        <v>33.95688</v>
      </c>
      <c r="N2" s="19">
        <f t="shared" ref="N2:N10" si="1">K2*I2</f>
        <v>0.1640704</v>
      </c>
      <c r="O2" s="21" t="s">
        <v>23</v>
      </c>
      <c r="P2" s="2" t="s">
        <v>24</v>
      </c>
      <c r="Q2" s="2" t="s">
        <v>25</v>
      </c>
    </row>
    <row r="3" s="2" customFormat="1" ht="21" customHeight="1" spans="1:17">
      <c r="A3" s="2" t="s">
        <v>26</v>
      </c>
      <c r="B3" s="10" t="s">
        <v>27</v>
      </c>
      <c r="C3" s="11" t="s">
        <v>28</v>
      </c>
      <c r="D3" s="12" t="s">
        <v>29</v>
      </c>
      <c r="E3" s="11" t="s">
        <v>30</v>
      </c>
      <c r="F3" s="11">
        <f t="shared" ref="F3:F10" si="2">796.95/$N$11*N3/G3</f>
        <v>6.24581406713022</v>
      </c>
      <c r="G3" s="2">
        <v>3</v>
      </c>
      <c r="H3" s="2">
        <v>3</v>
      </c>
      <c r="I3" s="18">
        <v>15</v>
      </c>
      <c r="J3" s="11" t="s">
        <v>31</v>
      </c>
      <c r="K3" s="19">
        <f>15.21*14.04*2.145*0.000016</f>
        <v>0.007328981088</v>
      </c>
      <c r="L3" s="20">
        <f>41.8*0.453</f>
        <v>18.9354</v>
      </c>
      <c r="M3" s="20">
        <f t="shared" si="0"/>
        <v>284.031</v>
      </c>
      <c r="N3" s="19">
        <f t="shared" si="1"/>
        <v>0.10993471632</v>
      </c>
      <c r="O3" s="21"/>
      <c r="P3" s="2" t="s">
        <v>32</v>
      </c>
      <c r="Q3" s="2" t="s">
        <v>33</v>
      </c>
    </row>
    <row r="4" s="2" customFormat="1" ht="21" customHeight="1" spans="1:17">
      <c r="A4" s="13" t="s">
        <v>34</v>
      </c>
      <c r="B4" s="10" t="s">
        <v>35</v>
      </c>
      <c r="C4" s="2" t="s">
        <v>36</v>
      </c>
      <c r="D4" s="12" t="s">
        <v>37</v>
      </c>
      <c r="E4" s="11" t="s">
        <v>38</v>
      </c>
      <c r="F4" s="11">
        <f t="shared" si="2"/>
        <v>0.143170892471796</v>
      </c>
      <c r="G4" s="11">
        <f t="shared" ref="G3:G10" si="3">H4*I4</f>
        <v>72</v>
      </c>
      <c r="H4" s="2">
        <v>36</v>
      </c>
      <c r="I4" s="18">
        <v>2</v>
      </c>
      <c r="J4" s="11" t="s">
        <v>39</v>
      </c>
      <c r="K4" s="19">
        <f>15*14*9*0.000016</f>
        <v>0.03024</v>
      </c>
      <c r="L4" s="20">
        <f>34*0.453</f>
        <v>15.402</v>
      </c>
      <c r="M4" s="20">
        <f t="shared" si="0"/>
        <v>30.804</v>
      </c>
      <c r="N4" s="19">
        <f t="shared" si="1"/>
        <v>0.06048</v>
      </c>
      <c r="O4" s="21"/>
      <c r="P4" s="2" t="s">
        <v>40</v>
      </c>
      <c r="Q4" s="2" t="s">
        <v>41</v>
      </c>
    </row>
    <row r="5" s="2" customFormat="1" ht="21" customHeight="1" spans="1:17">
      <c r="A5" s="13" t="s">
        <v>42</v>
      </c>
      <c r="B5" s="10" t="s">
        <v>43</v>
      </c>
      <c r="C5" s="2" t="s">
        <v>44</v>
      </c>
      <c r="D5" s="12" t="s">
        <v>45</v>
      </c>
      <c r="E5" s="11" t="s">
        <v>46</v>
      </c>
      <c r="F5" s="11">
        <f t="shared" si="2"/>
        <v>4.16913638877871</v>
      </c>
      <c r="G5" s="11">
        <f t="shared" si="3"/>
        <v>36</v>
      </c>
      <c r="H5" s="2">
        <v>3</v>
      </c>
      <c r="I5" s="18">
        <v>12</v>
      </c>
      <c r="J5" s="11" t="s">
        <v>47</v>
      </c>
      <c r="K5" s="19">
        <f>20*15.6*14.7*0.000016</f>
        <v>0.0733824</v>
      </c>
      <c r="L5" s="20">
        <f>33.5*0.453</f>
        <v>15.1755</v>
      </c>
      <c r="M5" s="20">
        <f t="shared" si="0"/>
        <v>182.106</v>
      </c>
      <c r="N5" s="19">
        <f t="shared" si="1"/>
        <v>0.8805888</v>
      </c>
      <c r="O5" s="21"/>
      <c r="P5" s="2" t="s">
        <v>48</v>
      </c>
      <c r="Q5" s="2" t="s">
        <v>49</v>
      </c>
    </row>
    <row r="6" s="2" customFormat="1" ht="21" customHeight="1" spans="1:17">
      <c r="A6" s="13" t="s">
        <v>50</v>
      </c>
      <c r="B6" s="2" t="s">
        <v>51</v>
      </c>
      <c r="C6" s="11" t="s">
        <v>52</v>
      </c>
      <c r="D6" s="12" t="s">
        <v>53</v>
      </c>
      <c r="E6" s="11" t="s">
        <v>54</v>
      </c>
      <c r="F6" s="11">
        <f t="shared" si="2"/>
        <v>1.9481301517542</v>
      </c>
      <c r="G6" s="11">
        <f t="shared" si="3"/>
        <v>60</v>
      </c>
      <c r="H6" s="2">
        <v>4</v>
      </c>
      <c r="I6" s="18">
        <v>15</v>
      </c>
      <c r="J6" s="11" t="s">
        <v>55</v>
      </c>
      <c r="K6" s="19">
        <f>17.35*13.84*11.9*0.000016</f>
        <v>0.0457196096</v>
      </c>
      <c r="L6" s="20">
        <f>31.24*0.453</f>
        <v>14.15172</v>
      </c>
      <c r="M6" s="20">
        <f t="shared" si="0"/>
        <v>212.2758</v>
      </c>
      <c r="N6" s="19">
        <f t="shared" si="1"/>
        <v>0.685794144</v>
      </c>
      <c r="O6" s="21"/>
      <c r="P6" s="2" t="s">
        <v>56</v>
      </c>
      <c r="Q6" s="2" t="s">
        <v>57</v>
      </c>
    </row>
    <row r="7" s="2" customFormat="1" ht="21" customHeight="1" spans="1:17">
      <c r="A7" s="13" t="s">
        <v>58</v>
      </c>
      <c r="B7" s="2" t="s">
        <v>59</v>
      </c>
      <c r="C7" s="11" t="s">
        <v>60</v>
      </c>
      <c r="D7" s="12" t="s">
        <v>61</v>
      </c>
      <c r="E7" s="11" t="s">
        <v>62</v>
      </c>
      <c r="F7" s="11">
        <f t="shared" si="2"/>
        <v>4.22472976086222</v>
      </c>
      <c r="G7" s="11">
        <f t="shared" si="3"/>
        <v>60</v>
      </c>
      <c r="H7" s="2">
        <v>3</v>
      </c>
      <c r="I7" s="18">
        <v>20</v>
      </c>
      <c r="J7" s="11" t="s">
        <v>63</v>
      </c>
      <c r="K7" s="19">
        <f>20.16*15.64*14.74*0.000016</f>
        <v>0.074360918016</v>
      </c>
      <c r="L7" s="20">
        <f>31.9*0.453</f>
        <v>14.4507</v>
      </c>
      <c r="M7" s="20">
        <f t="shared" si="0"/>
        <v>289.014</v>
      </c>
      <c r="N7" s="19">
        <f t="shared" si="1"/>
        <v>1.48721836032</v>
      </c>
      <c r="O7" s="21"/>
      <c r="P7" s="2" t="s">
        <v>64</v>
      </c>
      <c r="Q7" s="2" t="s">
        <v>65</v>
      </c>
    </row>
    <row r="8" s="2" customFormat="1" ht="21" customHeight="1" spans="1:17">
      <c r="A8" s="13" t="s">
        <v>66</v>
      </c>
      <c r="B8" s="2" t="s">
        <v>67</v>
      </c>
      <c r="C8" s="2" t="s">
        <v>68</v>
      </c>
      <c r="D8" s="12" t="s">
        <v>69</v>
      </c>
      <c r="E8" s="11" t="s">
        <v>70</v>
      </c>
      <c r="F8" s="11">
        <f t="shared" si="2"/>
        <v>2.71768133457104</v>
      </c>
      <c r="G8" s="11">
        <f t="shared" si="3"/>
        <v>50</v>
      </c>
      <c r="H8" s="2">
        <v>2</v>
      </c>
      <c r="I8" s="18">
        <v>25</v>
      </c>
      <c r="J8" s="11" t="s">
        <v>71</v>
      </c>
      <c r="K8" s="19">
        <f>13.65*12.48*11.7*0.000016</f>
        <v>0.0318898944</v>
      </c>
      <c r="L8" s="20"/>
      <c r="M8" s="20">
        <f t="shared" si="0"/>
        <v>0</v>
      </c>
      <c r="N8" s="19">
        <f t="shared" si="1"/>
        <v>0.79724736</v>
      </c>
      <c r="O8" s="21"/>
      <c r="P8" s="2" t="s">
        <v>72</v>
      </c>
      <c r="Q8" s="2" t="s">
        <v>73</v>
      </c>
    </row>
    <row r="9" s="2" customFormat="1" ht="21" customHeight="1" spans="1:17">
      <c r="A9" s="13" t="s">
        <v>74</v>
      </c>
      <c r="B9" s="10" t="s">
        <v>75</v>
      </c>
      <c r="C9" s="11" t="s">
        <v>76</v>
      </c>
      <c r="D9" s="12" t="s">
        <v>77</v>
      </c>
      <c r="E9" s="11" t="s">
        <v>78</v>
      </c>
      <c r="F9" s="11">
        <f t="shared" si="2"/>
        <v>0.148115136982965</v>
      </c>
      <c r="G9" s="11">
        <f t="shared" si="3"/>
        <v>48</v>
      </c>
      <c r="H9" s="2">
        <v>48</v>
      </c>
      <c r="I9" s="18">
        <v>1</v>
      </c>
      <c r="J9" s="11" t="s">
        <v>79</v>
      </c>
      <c r="K9" s="19">
        <f>17.71*14.96*9.84*0.000016</f>
        <v>0.041712405504</v>
      </c>
      <c r="L9" s="20">
        <f>25.35*0.453</f>
        <v>11.48355</v>
      </c>
      <c r="M9" s="20">
        <f t="shared" si="0"/>
        <v>11.48355</v>
      </c>
      <c r="N9" s="19">
        <f t="shared" si="1"/>
        <v>0.041712405504</v>
      </c>
      <c r="O9" s="21"/>
      <c r="P9" s="2" t="s">
        <v>80</v>
      </c>
      <c r="Q9" s="2" t="s">
        <v>81</v>
      </c>
    </row>
    <row r="10" s="2" customFormat="1" ht="21" customHeight="1" spans="1:17">
      <c r="A10" s="2" t="s">
        <v>82</v>
      </c>
      <c r="B10" s="10" t="s">
        <v>83</v>
      </c>
      <c r="C10" s="11" t="s">
        <v>84</v>
      </c>
      <c r="D10" s="14" t="s">
        <v>85</v>
      </c>
      <c r="E10" s="11" t="s">
        <v>86</v>
      </c>
      <c r="F10" s="11">
        <f t="shared" si="2"/>
        <v>1.4164026677747</v>
      </c>
      <c r="G10" s="11">
        <f t="shared" si="3"/>
        <v>54</v>
      </c>
      <c r="H10" s="2">
        <v>6</v>
      </c>
      <c r="I10" s="18">
        <v>9</v>
      </c>
      <c r="J10" s="11" t="s">
        <v>87</v>
      </c>
      <c r="K10" s="19">
        <f>17.745*15.8*11.115*0.000016</f>
        <v>0.04986117864</v>
      </c>
      <c r="L10" s="20">
        <f>25*0.453</f>
        <v>11.325</v>
      </c>
      <c r="M10" s="20">
        <f t="shared" si="0"/>
        <v>101.925</v>
      </c>
      <c r="N10" s="19">
        <f t="shared" si="1"/>
        <v>0.44875060776</v>
      </c>
      <c r="O10" s="21"/>
      <c r="P10" s="2" t="s">
        <v>88</v>
      </c>
      <c r="Q10" s="2" t="s">
        <v>89</v>
      </c>
    </row>
    <row r="11" ht="14.25" spans="3:14">
      <c r="C11" s="6"/>
      <c r="D11" s="15"/>
      <c r="F11" t="s">
        <v>90</v>
      </c>
      <c r="G11">
        <f>SUM(G2:G10)</f>
        <v>431</v>
      </c>
      <c r="I11" s="5">
        <f>SUM(I2:I10)</f>
        <v>103</v>
      </c>
      <c r="K11" s="19"/>
      <c r="L11" s="20"/>
      <c r="M11" s="20"/>
      <c r="N11" s="19">
        <f>SUM(N2:N10)</f>
        <v>4.675796793904</v>
      </c>
    </row>
    <row r="12" ht="15.75" spans="3:14">
      <c r="C12" s="6"/>
      <c r="D12" s="15"/>
      <c r="F12" s="16" t="s">
        <v>91</v>
      </c>
      <c r="N12" t="s">
        <v>92</v>
      </c>
    </row>
    <row r="13" spans="3:3">
      <c r="C13" s="6"/>
    </row>
    <row r="14" spans="3:3">
      <c r="C14" s="6"/>
    </row>
    <row r="17" ht="16" customHeight="1"/>
    <row r="18" spans="4:4">
      <c r="D18" s="17"/>
    </row>
    <row r="19" spans="3:4">
      <c r="C19" s="6"/>
      <c r="D19" s="15"/>
    </row>
    <row r="20" spans="4:4">
      <c r="D20" s="17"/>
    </row>
    <row r="21" spans="4:4">
      <c r="D21" s="17"/>
    </row>
    <row r="22" spans="4:4">
      <c r="D22" s="17"/>
    </row>
    <row r="23" spans="4:4">
      <c r="D23" s="15"/>
    </row>
    <row r="24" spans="4:4">
      <c r="D24" s="15"/>
    </row>
    <row r="27" ht="15" customHeight="1"/>
    <row r="31" spans="3:14">
      <c r="C31" s="6"/>
      <c r="D31" s="15"/>
      <c r="E31" s="6"/>
      <c r="F31" s="6"/>
      <c r="G31" s="6"/>
      <c r="H31" s="6"/>
      <c r="K31" s="6"/>
      <c r="L31" s="6"/>
      <c r="N31" s="6"/>
    </row>
  </sheetData>
  <mergeCells count="1">
    <mergeCell ref="O2:O10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86180</dc:creator>
  <cp:lastModifiedBy>蓓蓓</cp:lastModifiedBy>
  <dcterms:created xsi:type="dcterms:W3CDTF">2024-02-27T04:05:00Z</dcterms:created>
  <dcterms:modified xsi:type="dcterms:W3CDTF">2025-08-07T03:37:15Z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A01F316BE23B4C8081D65C5BEAA7D872_13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true</vt:bool>
  </property>
</Properties>
</file>