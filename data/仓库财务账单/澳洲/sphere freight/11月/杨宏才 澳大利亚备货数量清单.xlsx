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Sheet1!$C$1:$O$6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I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<sst xmlns="http://schemas.openxmlformats.org/spreadsheetml/2006/main" count="36" uniqueCount="34">
  <si>
    <t xml:space="preserve">  中文品名</t>
  </si>
  <si>
    <t>Product name</t>
  </si>
  <si>
    <t>SKU</t>
  </si>
  <si>
    <t>FNSKU</t>
  </si>
  <si>
    <t>Original ASIN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</si>
  <si>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</si>
  <si>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</si>
  <si>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</si>
  <si>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</si>
  <si>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</si>
  <si>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</si>
  <si>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</si>
  <si>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</si>
  <si>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ID</t>
  </si>
  <si>
    <t>FBA warehouse code</t>
  </si>
  <si>
    <t xml:space="preserve"> FBA15G2QS73T</t>
  </si>
  <si>
    <t>预调味铸铁双层荷兰烤箱</t>
  </si>
  <si>
    <t>Pre-Seasoned Cast Iron 2-in-1 Dutch Oven with Skillet Lid | Cast Iron Dutch Oven &amp; Frying Pan | Large 5.2L Casserole for Baking, Roasting &amp; Frying</t>
  </si>
  <si>
    <t>NLK-CSH-DblDchOvn</t>
  </si>
  <si>
    <t>B0F2SVSBLQ</t>
  </si>
  <si>
    <t>B07V32FG4Q</t>
  </si>
  <si>
    <t>34.6*29.7*31.6cm</t>
  </si>
  <si>
    <r>
      <t xml:space="preserve">
</t>
    </r>
    <r>
      <rPr>
        <sz val="11"/>
        <color rgb="FF92D050"/>
        <rFont val="宋体"/>
        <charset val="134"/>
        <scheme val="minor"/>
      </rPr>
      <t xml:space="preserve"> </t>
    </r>
    <r>
      <rPr>
        <sz val="11"/>
        <color rgb="FF00B050"/>
        <rFont val="宋体"/>
        <charset val="134"/>
        <scheme val="minor"/>
      </rPr>
      <t>FBA15G2R25XF</t>
    </r>
  </si>
  <si>
    <t>XBW3</t>
  </si>
  <si>
    <t>预调味铸铁煎锅 12.5"</t>
  </si>
  <si>
    <t>12" Pre-Seasoned Cast Iron Skillet | Heavy-Duty Frying Pan for Cooking | Versatile Cast Iron Pan for Searing, Sautéing &amp; Baking</t>
  </si>
  <si>
    <t>NLK-CSH-Sklt-22</t>
  </si>
  <si>
    <t>B0F2SFWWDV</t>
  </si>
  <si>
    <t>B01M74A279</t>
  </si>
  <si>
    <t>44*30.2*35.1cm</t>
  </si>
  <si>
    <t>领星ok</t>
  </si>
  <si>
    <t>invoice 3754</t>
  </si>
  <si>
    <t>669美金</t>
  </si>
  <si>
    <t>自提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</si>
</sst>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0.5"/>
      <color theme="1"/>
      <name val="Arial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2D050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fill"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fill" vertical="center"/>
    </xf>
    <xf numFmtId="0" fontId="0" fillId="0" borderId="0" xfId="0" applyFill="1" applyAlignment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1847850</xdr:colOff>
      <xdr:row>10</xdr:row>
      <xdr:rowOff>38100</xdr:rowOff>
    </xdr:from>
    <xdr:to>
      <xdr:col>19</xdr:col>
      <xdr:colOff>281305</xdr:colOff>
      <xdr:row>15</xdr:row>
      <xdr:rowOff>44450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96345" y="3219450"/>
          <a:ext cx="5591175" cy="895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tabSelected="1" topLeftCell="B1" workbookViewId="0">
      <pane ySplit="1" topLeftCell="A2" activePane="bottomLeft" state="frozen"/>
      <selection/>
      <selection pane="bottomLeft" activeCell="Q8" sqref="Q8"/>
    </sheetView>
  </sheetViews>
  <sheetFormatPr defaultColWidth="9" defaultRowHeight="13.5"/>
  <cols>
    <col min="1" max="1" width="21.75" customWidth="1"/>
    <col min="2" max="2" width="15.5333333333333" customWidth="1"/>
    <col min="3" max="3" width="24.75" customWidth="1"/>
    <col min="4" max="4" width="10.375" customWidth="1"/>
    <col min="5" max="5" width="13.75" customWidth="1"/>
    <col min="6" max="6" width="9" customWidth="1"/>
    <col min="7" max="7" width="16.25" hidden="1" customWidth="1"/>
    <col min="8" max="8" width="11" style="3" hidden="1" customWidth="1"/>
    <col min="9" max="9" width="20.75" style="4" hidden="1" customWidth="1"/>
    <col min="10" max="10" width="17.525" hidden="1" customWidth="1"/>
    <col min="11" max="11" width="18.9833333333333" hidden="1" customWidth="1"/>
    <col min="12" max="12" width="15.0083333333333" hidden="1" customWidth="1"/>
    <col min="13" max="13" width="15.0083333333333" customWidth="1"/>
    <col min="14" max="14" width="15.1416666666667" customWidth="1"/>
    <col min="15" max="15" width="43.125" customWidth="1"/>
    <col min="16" max="16" width="20.1833333333333" customWidth="1"/>
    <col min="17" max="17" width="12.625" customWidth="1"/>
  </cols>
  <sheetData>
    <row r="1" s="1" customFormat="1" ht="15" spans="1:20">
      <c r="A1" s="1" t="s">
        <v>0</v>
      </c>
      <c r="B1" s="1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/>
      <c r="N1" s="6" t="s">
        <v>12</v>
      </c>
      <c r="O1" s="6" t="s">
        <v>13</v>
      </c>
      <c r="P1" s="1" t="s">
        <v>14</v>
      </c>
    </row>
    <row r="2" s="1" customFormat="1" ht="15" spans="1:20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>
        <v>1.172</v>
      </c>
      <c r="O2" s="6" t="s">
        <v>15</v>
      </c>
      <c r="Q2" s="1">
        <f>669/$N$6*N2</f>
        <v>282.7508113956</v>
      </c>
    </row>
    <row r="3" s="2" customFormat="1" ht="69" customHeight="1" spans="1:20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>
        <f>G3*H3</f>
        <v>100</v>
      </c>
      <c r="G3">
        <v>2</v>
      </c>
      <c r="H3" s="3">
        <v>50</v>
      </c>
      <c r="I3" s="4" t="s">
        <v>21</v>
      </c>
      <c r="J3">
        <v>0.0429</v>
      </c>
      <c r="K3">
        <v>13.167</v>
      </c>
      <c r="L3">
        <f>K3*H3</f>
        <v>658.35</v>
      </c>
      <c r="M3"/>
      <c r="N3">
        <v>1.287</v>
      </c>
      <c r="O3" s="8" t="s">
        <v>22</v>
      </c>
      <c r="P3" s="9" t="s">
        <v>23</v>
      </c>
      <c r="Q3" s="1">
        <f>669/$N$6*N3</f>
        <v>310.495131626397</v>
      </c>
      <c r="R3"/>
      <c r="S3"/>
      <c r="T3"/>
    </row>
    <row r="4" customFormat="1" ht="39" customHeight="1" spans="1:20">
      <c r="A4" s="10" t="s">
        <v>24</v>
      </c>
      <c r="B4" s="7" t="s">
        <v>25</v>
      </c>
      <c r="C4" s="7" t="s">
        <v>26</v>
      </c>
      <c r="D4" s="4" t="s">
        <v>27</v>
      </c>
      <c r="E4" t="s">
        <v>28</v>
      </c>
      <c r="F4">
        <f>G4*H4</f>
        <v>40</v>
      </c>
      <c r="G4">
        <v>4</v>
      </c>
      <c r="H4" s="3">
        <v>10</v>
      </c>
      <c r="I4" s="4" t="s">
        <v>29</v>
      </c>
      <c r="J4">
        <v>0.0314</v>
      </c>
      <c r="K4">
        <v>14.058</v>
      </c>
      <c r="L4">
        <f>K4*H4</f>
        <v>140.58</v>
      </c>
      <c r="N4">
        <f>J4*H4</f>
        <v>0.314</v>
      </c>
      <c r="O4" s="11" t="s">
        <v>15</v>
      </c>
      <c r="P4" s="9" t="s">
        <v>23</v>
      </c>
      <c r="Q4" s="1">
        <f>669/$N$6*N4</f>
        <v>75.7540569780022</v>
      </c>
      <c r="R4" s="11"/>
      <c r="S4" s="11"/>
    </row>
    <row r="5" customFormat="1" ht="45" customHeight="1" spans="1:20">
      <c r="A5" s="10"/>
      <c r="B5" s="7"/>
      <c r="C5" s="7"/>
      <c r="D5" s="4"/>
      <c r="E5"/>
      <c r="F5"/>
      <c r="G5"/>
      <c r="H5" s="3"/>
      <c r="I5" s="4"/>
      <c r="J5"/>
      <c r="K5"/>
      <c r="L5"/>
      <c r="O5" s="11"/>
      <c r="P5" s="9"/>
      <c r="Q5" s="11" t="s">
        <v>30</v>
      </c>
      <c r="R5" s="11"/>
      <c r="S5" s="11"/>
    </row>
    <row r="6" spans="1:20">
      <c r="C6" s="4"/>
      <c r="D6" s="4"/>
      <c r="F6">
        <f>SUM(F3:F5)</f>
        <v>140</v>
      </c>
      <c r="H6" s="3">
        <f>SUM(H3:H5)</f>
        <v>60</v>
      </c>
      <c r="N6">
        <f>SUM(N2:N5)</f>
        <v>2.773</v>
      </c>
    </row>
    <row r="7" spans="1:20">
      <c r="C7" s="4"/>
      <c r="D7" s="4"/>
    </row>
    <row r="8" spans="1:20">
      <c r="C8" s="4"/>
    </row>
    <row r="9" spans="1:20">
      <c r="C9" s="4"/>
      <c r="N9" t="s">
        <v>31</v>
      </c>
      <c r="O9" t="s">
        <v>32</v>
      </c>
    </row>
    <row r="12" ht="16" customHeight="1" spans="1:20">
      <c r="N12" t="s">
        <v>33</v>
      </c>
    </row>
    <row r="13" spans="1:20">
      <c r="D13" s="12"/>
    </row>
    <row r="14" spans="1:20">
      <c r="C14" s="4"/>
      <c r="D14" s="4"/>
    </row>
    <row r="15" spans="1:20">
      <c r="D15" s="12"/>
    </row>
    <row r="16" spans="1:20">
      <c r="D16" s="12"/>
    </row>
    <row r="17" spans="3:14">
      <c r="D17" s="12"/>
    </row>
    <row r="18" spans="3:14">
      <c r="D18" s="4"/>
    </row>
    <row r="19" spans="3:14">
      <c r="D19" s="4"/>
    </row>
    <row r="22" ht="15" customHeight="1"/>
    <row r="26" spans="3:14">
      <c r="C26" s="4"/>
      <c r="D26" s="4"/>
      <c r="E26" s="4"/>
      <c r="F26" s="4"/>
      <c r="G26" s="4"/>
      <c r="J26" s="4"/>
      <c r="K26" s="4"/>
      <c r="N26" s="4"/>
    </row>
  </sheetData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2025-12-09T07:03:50Z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C9909CA718E54BC296FE70FB73044943_13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