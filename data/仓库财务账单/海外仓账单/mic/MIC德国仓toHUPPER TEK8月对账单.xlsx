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823" activeTab="3"/>
  </bookViews>
  <sheets>
    <sheet name="对账单-汇总页" sheetId="15" r:id="rId1"/>
    <sheet name="1.1 正向-入库" sheetId="7" r:id="rId2"/>
    <sheet name="1.2-1正向-2C-GEL" sheetId="2" r:id="rId3"/>
    <sheet name="2.1 正向-普货&amp;大件-仓储费(8月）" sheetId="10" r:id="rId4"/>
    <sheet name="物品明细" sheetId="12" r:id="rId5"/>
  </sheets>
  <externalReferences>
    <externalReference r:id="rId6"/>
    <externalReference r:id="rId7"/>
  </externalReferences>
  <definedNames>
    <definedName name="_xlnm._FilterDatabase" localSheetId="1" hidden="1">'1.1 正向-入库'!$A$3:$AD$7</definedName>
    <definedName name="_xlnm._FilterDatabase" localSheetId="2" hidden="1">'1.2-1正向-2C-GEL'!$A$4:$BW$4</definedName>
    <definedName name="_xlnm._FilterDatabase" localSheetId="3" hidden="1">'2.1 正向-普货&amp;大件-仓储费(8月）'!$A$5:$AQ$129</definedName>
    <definedName name="_xlnm._FilterDatabase" localSheetId="4" hidden="1">物品明细!$A$1:$K$5</definedName>
    <definedName name="_Key2" hidden="1">[1]Zones!#REF!</definedName>
    <definedName name="_dpx2">'[2]DHL City to Zone OB Vol'!$AF$7:$AO$45</definedName>
    <definedName name="_Order1" hidden="1">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anllen.wang</author>
    <author>a2015</author>
  </authors>
  <commentList>
    <comment ref="AP3" authorId="0">
      <text>
        <r>
          <rPr>
            <b/>
            <sz val="10"/>
            <rFont val="宋体"/>
            <charset val="134"/>
          </rPr>
          <t>箱标/托标、运单标等
包含运单、LOGO标、超重&amp;易碎标等，若需要把原来标签去除再贴新的标签，需单独报价</t>
        </r>
      </text>
    </comment>
    <comment ref="BP4" authorId="1">
      <text>
        <r>
          <rPr>
            <b/>
            <sz val="12"/>
            <rFont val="宋体"/>
            <charset val="134"/>
          </rPr>
          <t xml:space="preserve">
含GEL大城市附加费偏远岛屿附加费,超大件附加费</t>
        </r>
        <r>
          <rPr>
            <sz val="9"/>
            <rFont val="宋体"/>
            <charset val="134"/>
          </rPr>
          <t xml:space="preserve">
</t>
        </r>
        <r>
          <rPr>
            <b/>
            <sz val="14"/>
            <rFont val="宋体"/>
            <charset val="134"/>
          </rPr>
          <t>境外私人地址附加</t>
        </r>
        <r>
          <rPr>
            <sz val="9"/>
            <rFont val="宋体"/>
            <charset val="134"/>
          </rPr>
          <t xml:space="preserve">
    </t>
        </r>
      </text>
    </comment>
  </commentList>
</comments>
</file>

<file path=xl/comments2.xml><?xml version="1.0" encoding="utf-8"?>
<comments xmlns="http://schemas.openxmlformats.org/spreadsheetml/2006/main">
  <authors>
    <author>a2015</author>
  </authors>
  <commentList>
    <comment ref="F3" authorId="0">
      <text>
        <r>
          <rPr>
            <sz val="9"/>
            <rFont val="宋体"/>
            <charset val="134"/>
          </rPr>
          <t>MIC入库任务号</t>
        </r>
      </text>
    </comment>
    <comment ref="G3" authorId="0">
      <text>
        <r>
          <rPr>
            <sz val="9"/>
            <rFont val="宋体"/>
            <charset val="134"/>
          </rPr>
          <t>客户批次号</t>
        </r>
      </text>
    </comment>
    <comment ref="L3" authorId="0">
      <text>
        <r>
          <rPr>
            <sz val="9"/>
            <rFont val="宋体"/>
            <charset val="134"/>
          </rPr>
          <t>标准件，小件，中大件，大件，超规件</t>
        </r>
      </text>
    </comment>
    <comment ref="AE3" authorId="0">
      <text>
        <r>
          <rPr>
            <sz val="9"/>
            <rFont val="宋体"/>
            <charset val="134"/>
          </rPr>
          <t>上一天库存</t>
        </r>
      </text>
    </comment>
    <comment ref="AK3" authorId="0">
      <text>
        <r>
          <rPr>
            <sz val="9"/>
            <rFont val="宋体"/>
            <charset val="134"/>
          </rPr>
          <t>根据计费规则/最低计费单位来核算</t>
        </r>
      </text>
    </comment>
    <comment ref="L4" authorId="0">
      <text>
        <r>
          <rPr>
            <sz val="9"/>
            <rFont val="宋体"/>
            <charset val="134"/>
          </rPr>
          <t>标准件，小件，中大件，大件，超规件</t>
        </r>
      </text>
    </comment>
    <comment ref="AC4" authorId="0">
      <text>
        <r>
          <rPr>
            <sz val="9"/>
            <rFont val="宋体"/>
            <charset val="134"/>
          </rPr>
          <t>上一天库存</t>
        </r>
      </text>
    </comment>
    <comment ref="F5" authorId="0">
      <text>
        <r>
          <rPr>
            <sz val="9"/>
            <rFont val="宋体"/>
            <charset val="134"/>
          </rPr>
          <t>MIC入库任务号</t>
        </r>
      </text>
    </comment>
    <comment ref="G5" authorId="0">
      <text>
        <r>
          <rPr>
            <sz val="9"/>
            <rFont val="宋体"/>
            <charset val="134"/>
          </rPr>
          <t>客户批次号</t>
        </r>
      </text>
    </comment>
    <comment ref="L5" authorId="0">
      <text>
        <r>
          <rPr>
            <sz val="9"/>
            <rFont val="宋体"/>
            <charset val="134"/>
          </rPr>
          <t>标准件，小件，中大件，大件，超规件</t>
        </r>
      </text>
    </comment>
  </commentList>
</comments>
</file>

<file path=xl/comments3.xml><?xml version="1.0" encoding="utf-8"?>
<comments xmlns="http://schemas.openxmlformats.org/spreadsheetml/2006/main">
  <authors>
    <author>anllen.wang</author>
  </authors>
  <commentList>
    <comment ref="I1" authorId="0">
      <text>
        <r>
          <rPr>
            <sz val="9"/>
            <rFont val="宋体"/>
            <charset val="134"/>
          </rPr>
          <t>公式
=E1&amp;"x"&amp;F1&amp;"x"&amp;G1</t>
        </r>
      </text>
    </comment>
  </commentList>
</comments>
</file>

<file path=xl/sharedStrings.xml><?xml version="1.0" encoding="utf-8"?>
<sst xmlns="http://schemas.openxmlformats.org/spreadsheetml/2006/main" count="739" uniqueCount="245">
  <si>
    <r>
      <rPr>
        <b/>
        <sz val="18"/>
        <rFont val="Arial"/>
        <charset val="134"/>
      </rPr>
      <t xml:space="preserve">  </t>
    </r>
    <r>
      <rPr>
        <b/>
        <sz val="18"/>
        <rFont val="宋体"/>
        <charset val="134"/>
      </rPr>
      <t>应收账款对账单</t>
    </r>
  </si>
  <si>
    <t>客户：深圳市哈贝尔智能科技有限公司</t>
  </si>
  <si>
    <t>联系人：</t>
  </si>
  <si>
    <t>账单期间：2025.08.01~2025.09.08</t>
  </si>
  <si>
    <t>业务场景</t>
  </si>
  <si>
    <t>费用项</t>
  </si>
  <si>
    <t>库内基础费用
A</t>
  </si>
  <si>
    <t>运输基础费用
B</t>
  </si>
  <si>
    <t>附加费
C</t>
  </si>
  <si>
    <t>账单金额合计
A+B+C</t>
  </si>
  <si>
    <t>已收金额</t>
  </si>
  <si>
    <t>应收余额（EUR）</t>
  </si>
  <si>
    <t xml:space="preserve"> 备注</t>
  </si>
  <si>
    <t>1. 正向</t>
  </si>
  <si>
    <t>1.1 入库</t>
  </si>
  <si>
    <t>8月移仓入库费用</t>
  </si>
  <si>
    <t>1.2 -1  2C订单-GEL</t>
  </si>
  <si>
    <t>2.仓储</t>
  </si>
  <si>
    <t>2.1 仓储费(8月）</t>
  </si>
  <si>
    <t>3. 其他</t>
  </si>
  <si>
    <t>合计</t>
  </si>
  <si>
    <t>应收余额负数代表有余额</t>
  </si>
  <si>
    <t>感谢贵司选择我司的服务，烦请贵司仔细核对，如有问题请及时与我司业务员联系，核对无误请在右侧签章回传并及时安排付款，付款账号如下：</t>
  </si>
  <si>
    <t>客户盖章</t>
  </si>
  <si>
    <t>开户名：  MIC Logistik GmbH</t>
  </si>
  <si>
    <t>开户公司地址：Künkelstraße 43A, 41063 Mönchengladbach,Germany</t>
  </si>
  <si>
    <t>银行名称：  Volksbank Krefeld eG</t>
  </si>
  <si>
    <t>银行地址：Tönisberger Str. 37-39, 47839 Krefeld,Germany</t>
  </si>
  <si>
    <t>账号： DE96 3206 0362 4019 1180 08</t>
  </si>
  <si>
    <t>BIC: GENODED1HTK</t>
  </si>
  <si>
    <r>
      <rPr>
        <b/>
        <sz val="16"/>
        <color rgb="FF000000"/>
        <rFont val="Arial"/>
        <charset val="134"/>
      </rPr>
      <t>MIC</t>
    </r>
    <r>
      <rPr>
        <b/>
        <sz val="16"/>
        <color rgb="FF000000"/>
        <rFont val="Microsoft YaHei"/>
        <charset val="134"/>
      </rPr>
      <t>德国海外仓到货</t>
    </r>
    <r>
      <rPr>
        <b/>
        <sz val="16"/>
        <color rgb="FF000000"/>
        <rFont val="Arial"/>
        <charset val="134"/>
      </rPr>
      <t>&amp;</t>
    </r>
    <r>
      <rPr>
        <b/>
        <sz val="16"/>
        <color rgb="FF000000"/>
        <rFont val="Microsoft YaHei"/>
        <charset val="134"/>
      </rPr>
      <t>收货</t>
    </r>
    <r>
      <rPr>
        <b/>
        <sz val="16"/>
        <color rgb="FF000000"/>
        <rFont val="Arial"/>
        <charset val="134"/>
      </rPr>
      <t>&amp;</t>
    </r>
    <r>
      <rPr>
        <b/>
        <sz val="16"/>
        <color rgb="FF000000"/>
        <rFont val="Microsoft YaHei"/>
        <charset val="134"/>
      </rPr>
      <t>入库明细表</t>
    </r>
  </si>
  <si>
    <r>
      <rPr>
        <b/>
        <sz val="10"/>
        <color rgb="FF000000"/>
        <rFont val="Microsoft YaHei"/>
        <charset val="134"/>
      </rPr>
      <t>退货信息</t>
    </r>
  </si>
  <si>
    <r>
      <rPr>
        <b/>
        <sz val="11"/>
        <color theme="0"/>
        <rFont val="Microsoft YaHei"/>
        <charset val="134"/>
      </rPr>
      <t>卸货</t>
    </r>
    <r>
      <rPr>
        <b/>
        <sz val="11"/>
        <color theme="0"/>
        <rFont val="Arial"/>
        <charset val="134"/>
      </rPr>
      <t>&amp;</t>
    </r>
    <r>
      <rPr>
        <b/>
        <sz val="11"/>
        <color theme="0"/>
        <rFont val="SimSun"/>
        <charset val="134"/>
      </rPr>
      <t>收货费</t>
    </r>
  </si>
  <si>
    <r>
      <rPr>
        <b/>
        <sz val="11"/>
        <color theme="0"/>
        <rFont val="Microsoft YaHei"/>
        <charset val="134"/>
      </rPr>
      <t>合计</t>
    </r>
  </si>
  <si>
    <t>任务号</t>
  </si>
  <si>
    <t>入库月份</t>
  </si>
  <si>
    <t>Carrier</t>
  </si>
  <si>
    <t>收货日期</t>
  </si>
  <si>
    <t>入库状态</t>
  </si>
  <si>
    <t>客户</t>
  </si>
  <si>
    <t>批次号</t>
  </si>
  <si>
    <t>批次号行数</t>
  </si>
  <si>
    <t>批次数</t>
  </si>
  <si>
    <t>类型</t>
  </si>
  <si>
    <t>物品SKU</t>
  </si>
  <si>
    <t>物品描述</t>
  </si>
  <si>
    <t>物品
总数</t>
  </si>
  <si>
    <t>货位</t>
  </si>
  <si>
    <t>箱数</t>
  </si>
  <si>
    <t>托盘数</t>
  </si>
  <si>
    <t>Remark</t>
  </si>
  <si>
    <t>运输费</t>
  </si>
  <si>
    <t>单价</t>
  </si>
  <si>
    <t>金额</t>
  </si>
  <si>
    <t>MI202508130012</t>
  </si>
  <si>
    <r>
      <rPr>
        <sz val="10"/>
        <color theme="1"/>
        <rFont val="Arial"/>
        <charset val="134"/>
      </rPr>
      <t>8</t>
    </r>
    <r>
      <rPr>
        <sz val="10"/>
        <color theme="1"/>
        <rFont val="宋体"/>
        <charset val="134"/>
      </rPr>
      <t>月</t>
    </r>
  </si>
  <si>
    <t>Truck</t>
  </si>
  <si>
    <t>Inbound Completed</t>
  </si>
  <si>
    <t>YCD-EX:HUPPER TEK</t>
  </si>
  <si>
    <t>DE2508031-G7-MIC</t>
  </si>
  <si>
    <t>大件</t>
  </si>
  <si>
    <t>B07BK8W5MF</t>
  </si>
  <si>
    <t>M » N2 - 1</t>
  </si>
  <si>
    <t>B076THQBHX</t>
  </si>
  <si>
    <t>B07Q3SQT6C</t>
  </si>
  <si>
    <t>B077RVYZRF</t>
  </si>
  <si>
    <t>MIC德国海外仓一件代发明细表</t>
  </si>
  <si>
    <t>尾程运输费</t>
  </si>
  <si>
    <t>费用合计</t>
  </si>
  <si>
    <t>出库指令</t>
  </si>
  <si>
    <r>
      <rPr>
        <b/>
        <sz val="11"/>
        <rFont val="Microsoft YaHei"/>
        <charset val="134"/>
      </rPr>
      <t>物品</t>
    </r>
    <r>
      <rPr>
        <b/>
        <sz val="11"/>
        <rFont val="Arial"/>
        <charset val="134"/>
      </rPr>
      <t>-</t>
    </r>
    <r>
      <rPr>
        <b/>
        <sz val="11"/>
        <rFont val="Microsoft YaHei"/>
        <charset val="134"/>
      </rPr>
      <t>拣料及最小包装</t>
    </r>
  </si>
  <si>
    <t>订单管理费</t>
  </si>
  <si>
    <r>
      <rPr>
        <b/>
        <sz val="11"/>
        <color theme="0"/>
        <rFont val="Microsoft YaHei"/>
        <charset val="134"/>
      </rPr>
      <t>拣货</t>
    </r>
    <r>
      <rPr>
        <b/>
        <sz val="11"/>
        <color theme="0"/>
        <rFont val="Arial"/>
        <charset val="134"/>
      </rPr>
      <t>&amp;</t>
    </r>
    <r>
      <rPr>
        <b/>
        <sz val="11"/>
        <color theme="0"/>
        <rFont val="Microsoft YaHei"/>
        <charset val="134"/>
      </rPr>
      <t>包装费</t>
    </r>
  </si>
  <si>
    <t>拣货续件费</t>
  </si>
  <si>
    <t>贴标费</t>
  </si>
  <si>
    <r>
      <rPr>
        <b/>
        <sz val="11"/>
        <color theme="0"/>
        <rFont val="Microsoft YaHei"/>
        <charset val="134"/>
      </rPr>
      <t>包材费</t>
    </r>
    <r>
      <rPr>
        <b/>
        <sz val="11"/>
        <color theme="0"/>
        <rFont val="Arial"/>
        <charset val="134"/>
      </rPr>
      <t>-</t>
    </r>
    <r>
      <rPr>
        <b/>
        <sz val="11"/>
        <color theme="0"/>
        <rFont val="Microsoft YaHei"/>
        <charset val="134"/>
      </rPr>
      <t>包裹</t>
    </r>
  </si>
  <si>
    <t>装车费</t>
  </si>
  <si>
    <t>基础费</t>
  </si>
  <si>
    <r>
      <rPr>
        <b/>
        <sz val="11"/>
        <color rgb="FFFFFFFF"/>
        <rFont val="Microsoft YaHei"/>
        <charset val="134"/>
      </rPr>
      <t>续重费（超</t>
    </r>
    <r>
      <rPr>
        <b/>
        <sz val="11"/>
        <color rgb="FFFFFFFF"/>
        <rFont val="Arial"/>
        <charset val="134"/>
      </rPr>
      <t>300</t>
    </r>
    <r>
      <rPr>
        <b/>
        <sz val="11"/>
        <color rgb="FFFFFFFF"/>
        <rFont val="Microsoft YaHei"/>
        <charset val="134"/>
      </rPr>
      <t>公斤）</t>
    </r>
  </si>
  <si>
    <t>附加费</t>
  </si>
  <si>
    <r>
      <rPr>
        <b/>
        <sz val="11"/>
        <color theme="0"/>
        <rFont val="Arial"/>
        <charset val="134"/>
      </rPr>
      <t>3</t>
    </r>
    <r>
      <rPr>
        <b/>
        <sz val="11"/>
        <color theme="0"/>
        <rFont val="Microsoft YaHei"/>
        <charset val="134"/>
      </rPr>
      <t>件包裹以上运输续件费</t>
    </r>
  </si>
  <si>
    <t>Order No.</t>
  </si>
  <si>
    <r>
      <rPr>
        <b/>
        <sz val="11"/>
        <color theme="0"/>
        <rFont val="Microsoft YaHei"/>
        <charset val="134"/>
      </rPr>
      <t>订单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行数</t>
    </r>
  </si>
  <si>
    <t>订单数</t>
  </si>
  <si>
    <t>对账</t>
  </si>
  <si>
    <t>Warehouse</t>
  </si>
  <si>
    <t>月份</t>
  </si>
  <si>
    <t>Order Created At</t>
  </si>
  <si>
    <t>Shipped At</t>
  </si>
  <si>
    <t>Status</t>
  </si>
  <si>
    <t>Customer</t>
  </si>
  <si>
    <t>Original Reference</t>
  </si>
  <si>
    <t>Business Type</t>
  </si>
  <si>
    <t>Channel</t>
  </si>
  <si>
    <t>Creator</t>
  </si>
  <si>
    <t>运单数</t>
  </si>
  <si>
    <t>Priority</t>
  </si>
  <si>
    <t>weight</t>
  </si>
  <si>
    <t>Carrier
Return</t>
  </si>
  <si>
    <t>Shipments No1</t>
  </si>
  <si>
    <t>Shipments No2</t>
  </si>
  <si>
    <t>Retour No</t>
  </si>
  <si>
    <t>Postal Code</t>
  </si>
  <si>
    <t>城市</t>
  </si>
  <si>
    <t>Country</t>
  </si>
  <si>
    <t>Item ID</t>
  </si>
  <si>
    <r>
      <rPr>
        <b/>
        <sz val="11"/>
        <color theme="0"/>
        <rFont val="Microsoft YaHei"/>
        <charset val="134"/>
      </rPr>
      <t>物品尺寸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长宽高</t>
    </r>
    <r>
      <rPr>
        <b/>
        <sz val="11"/>
        <color theme="0"/>
        <rFont val="Arial"/>
        <charset val="134"/>
      </rPr>
      <t>cm</t>
    </r>
  </si>
  <si>
    <r>
      <rPr>
        <b/>
        <sz val="11"/>
        <color theme="0"/>
        <rFont val="Microsoft YaHei"/>
        <charset val="134"/>
      </rPr>
      <t>单个物品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重量</t>
    </r>
    <r>
      <rPr>
        <b/>
        <sz val="11"/>
        <color theme="0"/>
        <rFont val="Arial"/>
        <charset val="134"/>
      </rPr>
      <t>kg</t>
    </r>
  </si>
  <si>
    <t>Item Batch</t>
  </si>
  <si>
    <t>Item Qty</t>
  </si>
  <si>
    <r>
      <rPr>
        <b/>
        <sz val="11"/>
        <color theme="0"/>
        <rFont val="Microsoft YaHei"/>
        <charset val="134"/>
      </rPr>
      <t>订单重量</t>
    </r>
    <r>
      <rPr>
        <b/>
        <sz val="11"/>
        <color theme="0"/>
        <rFont val="Arial"/>
        <charset val="134"/>
      </rPr>
      <t xml:space="preserve">
kg</t>
    </r>
  </si>
  <si>
    <r>
      <rPr>
        <b/>
        <sz val="11"/>
        <color theme="0"/>
        <rFont val="Microsoft YaHei"/>
        <charset val="134"/>
      </rPr>
      <t>数量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票</t>
    </r>
  </si>
  <si>
    <r>
      <rPr>
        <b/>
        <sz val="11"/>
        <color theme="0"/>
        <rFont val="Microsoft YaHei"/>
        <charset val="134"/>
      </rPr>
      <t>单价</t>
    </r>
    <r>
      <rPr>
        <b/>
        <sz val="11"/>
        <color theme="0"/>
        <rFont val="Arial"/>
        <charset val="134"/>
      </rPr>
      <t xml:space="preserve">
Euro</t>
    </r>
  </si>
  <si>
    <r>
      <rPr>
        <b/>
        <sz val="11"/>
        <color theme="0"/>
        <rFont val="Microsoft YaHei"/>
        <charset val="134"/>
      </rPr>
      <t>金额</t>
    </r>
    <r>
      <rPr>
        <b/>
        <sz val="11"/>
        <color theme="0"/>
        <rFont val="Arial"/>
        <charset val="134"/>
      </rPr>
      <t xml:space="preserve">
Euro</t>
    </r>
  </si>
  <si>
    <r>
      <rPr>
        <b/>
        <sz val="11"/>
        <color theme="0"/>
        <rFont val="Microsoft YaHei"/>
        <charset val="134"/>
      </rPr>
      <t>数量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套</t>
    </r>
  </si>
  <si>
    <r>
      <rPr>
        <b/>
        <sz val="11"/>
        <color theme="0"/>
        <rFont val="Microsoft YaHei"/>
        <charset val="134"/>
      </rPr>
      <t>数量</t>
    </r>
    <r>
      <rPr>
        <b/>
        <sz val="11"/>
        <color theme="0"/>
        <rFont val="Arial"/>
        <charset val="134"/>
      </rPr>
      <t xml:space="preserve">
pcs</t>
    </r>
  </si>
  <si>
    <t>标签/张</t>
  </si>
  <si>
    <r>
      <rPr>
        <b/>
        <sz val="11"/>
        <color theme="0"/>
        <rFont val="Microsoft YaHei"/>
        <charset val="134"/>
      </rPr>
      <t>数量</t>
    </r>
    <r>
      <rPr>
        <b/>
        <sz val="11"/>
        <color theme="0"/>
        <rFont val="Arial"/>
        <charset val="134"/>
      </rPr>
      <t xml:space="preserve">
/</t>
    </r>
    <r>
      <rPr>
        <b/>
        <sz val="11"/>
        <color theme="0"/>
        <rFont val="宋体"/>
        <charset val="134"/>
      </rPr>
      <t>托</t>
    </r>
  </si>
  <si>
    <t>库内小计</t>
  </si>
  <si>
    <r>
      <rPr>
        <b/>
        <sz val="11"/>
        <color theme="0"/>
        <rFont val="Microsoft YaHei"/>
        <charset val="134"/>
      </rPr>
      <t>实际重</t>
    </r>
    <r>
      <rPr>
        <b/>
        <sz val="11"/>
        <color theme="0"/>
        <rFont val="Arial"/>
        <charset val="134"/>
      </rPr>
      <t>kg</t>
    </r>
  </si>
  <si>
    <r>
      <rPr>
        <b/>
        <sz val="11"/>
        <color theme="0"/>
        <rFont val="Microsoft YaHei"/>
        <charset val="134"/>
      </rPr>
      <t>体积重</t>
    </r>
    <r>
      <rPr>
        <b/>
        <sz val="11"/>
        <color theme="0"/>
        <rFont val="Arial"/>
        <charset val="134"/>
      </rPr>
      <t>KG</t>
    </r>
  </si>
  <si>
    <r>
      <rPr>
        <b/>
        <sz val="11"/>
        <color theme="0"/>
        <rFont val="Microsoft YaHei"/>
        <charset val="134"/>
      </rPr>
      <t>计费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重量</t>
    </r>
    <r>
      <rPr>
        <b/>
        <sz val="11"/>
        <color theme="0"/>
        <rFont val="Arial"/>
        <charset val="134"/>
      </rPr>
      <t xml:space="preserve">
kg</t>
    </r>
  </si>
  <si>
    <t>邮编所属区域</t>
  </si>
  <si>
    <t>国家</t>
  </si>
  <si>
    <r>
      <rPr>
        <b/>
        <sz val="11"/>
        <color rgb="FFFFFFFF"/>
        <rFont val="Microsoft YaHei"/>
        <charset val="134"/>
      </rPr>
      <t>单价</t>
    </r>
    <r>
      <rPr>
        <b/>
        <sz val="11"/>
        <color rgb="FFFFFFFF"/>
        <rFont val="Arial"/>
        <charset val="134"/>
      </rPr>
      <t xml:space="preserve">
Euro</t>
    </r>
  </si>
  <si>
    <r>
      <rPr>
        <b/>
        <sz val="11"/>
        <color rgb="FFFFFFFF"/>
        <rFont val="Microsoft YaHei"/>
        <charset val="134"/>
      </rPr>
      <t>金额</t>
    </r>
    <r>
      <rPr>
        <b/>
        <sz val="11"/>
        <color rgb="FFFFFFFF"/>
        <rFont val="Arial"/>
        <charset val="134"/>
      </rPr>
      <t xml:space="preserve">
Euro</t>
    </r>
  </si>
  <si>
    <r>
      <rPr>
        <b/>
        <sz val="11"/>
        <color theme="0"/>
        <rFont val="Microsoft YaHei"/>
        <charset val="134"/>
      </rPr>
      <t>运输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订单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管理</t>
    </r>
    <r>
      <rPr>
        <b/>
        <sz val="11"/>
        <color theme="0"/>
        <rFont val="Arial"/>
        <charset val="134"/>
      </rPr>
      <t xml:space="preserve">
*</t>
    </r>
  </si>
  <si>
    <r>
      <rPr>
        <b/>
        <sz val="11"/>
        <color theme="0"/>
        <rFont val="Microsoft YaHei"/>
        <charset val="134"/>
      </rPr>
      <t>燃油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附加费</t>
    </r>
    <r>
      <rPr>
        <b/>
        <sz val="11"/>
        <color theme="0"/>
        <rFont val="Arial"/>
        <charset val="134"/>
      </rPr>
      <t xml:space="preserve">
*</t>
    </r>
  </si>
  <si>
    <r>
      <rPr>
        <b/>
        <sz val="11"/>
        <color theme="0"/>
        <rFont val="Microsoft YaHei"/>
        <charset val="134"/>
      </rPr>
      <t>过路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过桥</t>
    </r>
    <r>
      <rPr>
        <b/>
        <sz val="11"/>
        <color theme="0"/>
        <rFont val="Arial"/>
        <charset val="134"/>
      </rPr>
      <t xml:space="preserve">
*</t>
    </r>
  </si>
  <si>
    <r>
      <rPr>
        <b/>
        <sz val="11"/>
        <color theme="0"/>
        <rFont val="Microsoft YaHei"/>
        <charset val="134"/>
      </rPr>
      <t>运输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保险</t>
    </r>
  </si>
  <si>
    <r>
      <rPr>
        <b/>
        <sz val="11"/>
        <color theme="0"/>
        <rFont val="Microsoft YaHei"/>
        <charset val="134"/>
      </rPr>
      <t>预约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通知</t>
    </r>
    <r>
      <rPr>
        <b/>
        <sz val="11"/>
        <color theme="0"/>
        <rFont val="Arial"/>
        <charset val="134"/>
      </rPr>
      <t xml:space="preserve">
*</t>
    </r>
  </si>
  <si>
    <t>其它</t>
  </si>
  <si>
    <t>附加费小计</t>
  </si>
  <si>
    <r>
      <rPr>
        <b/>
        <sz val="11"/>
        <color theme="0"/>
        <rFont val="Microsoft YaHei"/>
        <charset val="134"/>
      </rPr>
      <t>包裹数</t>
    </r>
    <r>
      <rPr>
        <b/>
        <sz val="11"/>
        <color theme="0"/>
        <rFont val="Arial"/>
        <charset val="134"/>
      </rPr>
      <t xml:space="preserve">
</t>
    </r>
    <r>
      <rPr>
        <b/>
        <sz val="11"/>
        <color theme="0"/>
        <rFont val="Microsoft YaHei"/>
        <charset val="134"/>
      </rPr>
      <t>个</t>
    </r>
  </si>
  <si>
    <r>
      <rPr>
        <b/>
        <sz val="10"/>
        <color theme="1"/>
        <rFont val="等线"/>
        <charset val="134"/>
      </rPr>
      <t>计费时间</t>
    </r>
    <r>
      <rPr>
        <b/>
        <sz val="10"/>
        <color theme="1"/>
        <rFont val="Arial"/>
        <charset val="134"/>
      </rPr>
      <t>IStorage Charge Date</t>
    </r>
  </si>
  <si>
    <r>
      <rPr>
        <b/>
        <sz val="10"/>
        <color theme="1"/>
        <rFont val="等线"/>
        <charset val="134"/>
      </rPr>
      <t>入仓信息</t>
    </r>
    <r>
      <rPr>
        <b/>
        <sz val="10"/>
        <color theme="1"/>
        <rFont val="Arial"/>
        <charset val="134"/>
      </rPr>
      <t>Inbound Information</t>
    </r>
  </si>
  <si>
    <r>
      <rPr>
        <b/>
        <sz val="10"/>
        <color theme="1"/>
        <rFont val="等线"/>
        <charset val="134"/>
      </rPr>
      <t>商品信息</t>
    </r>
    <r>
      <rPr>
        <b/>
        <sz val="10"/>
        <color theme="1"/>
        <rFont val="Arial"/>
        <charset val="134"/>
      </rPr>
      <t>Product Information</t>
    </r>
  </si>
  <si>
    <t>装箱信息</t>
  </si>
  <si>
    <t>打托信息</t>
  </si>
  <si>
    <t>原始入仓数量</t>
  </si>
  <si>
    <t>进销存信息</t>
  </si>
  <si>
    <r>
      <rPr>
        <b/>
        <sz val="10"/>
        <color theme="1"/>
        <rFont val="等线"/>
        <charset val="134"/>
      </rPr>
      <t>仓储费计费信息</t>
    </r>
    <r>
      <rPr>
        <b/>
        <sz val="10"/>
        <color theme="1"/>
        <rFont val="Arial"/>
        <charset val="134"/>
      </rPr>
      <t>/Storage Charge Infromation</t>
    </r>
  </si>
  <si>
    <t>备注</t>
  </si>
  <si>
    <t>日期</t>
  </si>
  <si>
    <t>仓库名称</t>
  </si>
  <si>
    <t>仓库编码</t>
  </si>
  <si>
    <t>客户代码</t>
  </si>
  <si>
    <t>入库任务号</t>
  </si>
  <si>
    <t>原始参考号</t>
  </si>
  <si>
    <t>入库上架时间</t>
  </si>
  <si>
    <t>编码</t>
  </si>
  <si>
    <t>条码</t>
  </si>
  <si>
    <t>商品名称</t>
  </si>
  <si>
    <t>件型</t>
  </si>
  <si>
    <t>长</t>
  </si>
  <si>
    <t>宽</t>
  </si>
  <si>
    <t>高</t>
  </si>
  <si>
    <r>
      <rPr>
        <b/>
        <sz val="10"/>
        <color theme="1"/>
        <rFont val="SimSun"/>
        <charset val="134"/>
      </rPr>
      <t>单品体积</t>
    </r>
    <r>
      <rPr>
        <b/>
        <sz val="10"/>
        <color rgb="FF0000FF"/>
        <rFont val="Arial"/>
        <charset val="134"/>
      </rPr>
      <t>A</t>
    </r>
  </si>
  <si>
    <t>装箱数</t>
  </si>
  <si>
    <t>单箱体积B</t>
  </si>
  <si>
    <t>打托数</t>
  </si>
  <si>
    <t>单托体积C</t>
  </si>
  <si>
    <t>托数</t>
  </si>
  <si>
    <t>总数</t>
  </si>
  <si>
    <t>期初库存数</t>
  </si>
  <si>
    <t>入库数</t>
  </si>
  <si>
    <t>出库数</t>
  </si>
  <si>
    <t>期末库存数</t>
  </si>
  <si>
    <t>计费单元</t>
  </si>
  <si>
    <t>库存体积E</t>
  </si>
  <si>
    <t>实际计费体积F</t>
  </si>
  <si>
    <t>库龄</t>
  </si>
  <si>
    <t>库龄段</t>
  </si>
  <si>
    <t>计费单价</t>
  </si>
  <si>
    <t>币种</t>
  </si>
  <si>
    <t>仓储费</t>
  </si>
  <si>
    <t>/</t>
  </si>
  <si>
    <t>cm</t>
  </si>
  <si>
    <t>CBM/m³</t>
  </si>
  <si>
    <t>pcs</t>
  </si>
  <si>
    <t>pcs/box</t>
  </si>
  <si>
    <r>
      <rPr>
        <b/>
        <sz val="10"/>
        <color theme="1"/>
        <rFont val="等线"/>
        <charset val="134"/>
      </rPr>
      <t>托</t>
    </r>
    <r>
      <rPr>
        <b/>
        <sz val="10"/>
        <color theme="1"/>
        <rFont val="Arial"/>
        <charset val="134"/>
      </rPr>
      <t>/Pallet</t>
    </r>
  </si>
  <si>
    <r>
      <rPr>
        <b/>
        <sz val="10"/>
        <color theme="1"/>
        <rFont val="SimSun"/>
        <charset val="134"/>
      </rPr>
      <t>箱</t>
    </r>
    <r>
      <rPr>
        <b/>
        <sz val="10"/>
        <color theme="1"/>
        <rFont val="Arial"/>
        <charset val="134"/>
      </rPr>
      <t>/Box</t>
    </r>
  </si>
  <si>
    <r>
      <rPr>
        <b/>
        <sz val="10"/>
        <color theme="1"/>
        <rFont val="等线"/>
        <charset val="134"/>
      </rPr>
      <t>件</t>
    </r>
    <r>
      <rPr>
        <b/>
        <sz val="10"/>
        <color theme="1"/>
        <rFont val="Arial"/>
        <charset val="134"/>
      </rPr>
      <t>/pcs</t>
    </r>
  </si>
  <si>
    <t>pcs/box/pallet</t>
  </si>
  <si>
    <r>
      <rPr>
        <b/>
        <sz val="10"/>
        <color theme="1"/>
        <rFont val="等线"/>
        <charset val="134"/>
      </rPr>
      <t>天</t>
    </r>
    <r>
      <rPr>
        <b/>
        <sz val="10"/>
        <color theme="1"/>
        <rFont val="Arial"/>
        <charset val="134"/>
      </rPr>
      <t>/day</t>
    </r>
  </si>
  <si>
    <t>Euro</t>
  </si>
  <si>
    <t>Month</t>
  </si>
  <si>
    <t>Date</t>
  </si>
  <si>
    <t>Warehouse Name</t>
  </si>
  <si>
    <t>Warehouse Code</t>
  </si>
  <si>
    <t>Client Code</t>
  </si>
  <si>
    <t>Task No.</t>
  </si>
  <si>
    <t>Original Ref.  No.</t>
  </si>
  <si>
    <t>Inbound Time</t>
  </si>
  <si>
    <t xml:space="preserve">SKU </t>
  </si>
  <si>
    <t>Barcode</t>
  </si>
  <si>
    <t>Product Name</t>
  </si>
  <si>
    <t>Product Type</t>
  </si>
  <si>
    <t>Lenth</t>
  </si>
  <si>
    <t>Width</t>
  </si>
  <si>
    <t>Height</t>
  </si>
  <si>
    <t>Product
Volume-A</t>
  </si>
  <si>
    <t>Qty per Box</t>
  </si>
  <si>
    <t>Box
Volume-B</t>
  </si>
  <si>
    <t>Qty per Pallet</t>
  </si>
  <si>
    <t>Pallet
Volume-B</t>
  </si>
  <si>
    <t>Qty of Pallet</t>
  </si>
  <si>
    <t>Qty of Carton</t>
  </si>
  <si>
    <t>Total Qty.</t>
  </si>
  <si>
    <t>Batch No.</t>
  </si>
  <si>
    <t>Beginning Inv</t>
  </si>
  <si>
    <t>Inbound</t>
  </si>
  <si>
    <t>Outbound</t>
  </si>
  <si>
    <t>Ending Inv.</t>
  </si>
  <si>
    <t>Charge Unit</t>
  </si>
  <si>
    <t>INV Volume-E</t>
  </si>
  <si>
    <t>Charge Volume-F</t>
  </si>
  <si>
    <t>Storage
Age</t>
  </si>
  <si>
    <t>Storage 
Age Range</t>
  </si>
  <si>
    <t>Charge Price</t>
  </si>
  <si>
    <t>Curreny</t>
  </si>
  <si>
    <t>Storage Amount</t>
  </si>
  <si>
    <t>Rermar</t>
  </si>
  <si>
    <r>
      <rPr>
        <sz val="11"/>
        <color theme="1"/>
        <rFont val="Arial"/>
        <charset val="134"/>
      </rPr>
      <t>MIC</t>
    </r>
    <r>
      <rPr>
        <sz val="11"/>
        <color theme="1"/>
        <rFont val="SimSun"/>
        <charset val="134"/>
      </rPr>
      <t>德国仓</t>
    </r>
  </si>
  <si>
    <t>Name</t>
  </si>
  <si>
    <t>Weight</t>
  </si>
  <si>
    <t>Length</t>
  </si>
  <si>
    <t>HS Code</t>
  </si>
  <si>
    <r>
      <rPr>
        <b/>
        <sz val="14"/>
        <color theme="1"/>
        <rFont val="宋体"/>
        <charset val="134"/>
      </rPr>
      <t>规格</t>
    </r>
  </si>
  <si>
    <r>
      <rPr>
        <b/>
        <sz val="14"/>
        <color theme="1"/>
        <rFont val="宋体"/>
        <charset val="134"/>
      </rPr>
      <t>体积</t>
    </r>
  </si>
  <si>
    <r>
      <rPr>
        <b/>
        <sz val="14"/>
        <color theme="1"/>
        <rFont val="宋体"/>
        <charset val="134"/>
      </rPr>
      <t>原始名称</t>
    </r>
  </si>
  <si>
    <r>
      <rPr>
        <sz val="10"/>
        <color theme="1"/>
        <rFont val="宋体"/>
        <charset val="134"/>
      </rPr>
      <t>金属储物柜</t>
    </r>
    <r>
      <rPr>
        <sz val="10"/>
        <color theme="1"/>
        <rFont val="Arial"/>
        <charset val="134"/>
      </rPr>
      <t>71</t>
    </r>
    <r>
      <rPr>
        <sz val="10"/>
        <color theme="1"/>
        <rFont val="宋体"/>
        <charset val="134"/>
      </rPr>
      <t>英寸灰色</t>
    </r>
  </si>
  <si>
    <t>7434503987965</t>
  </si>
  <si>
    <t>Metal Storage Cabinet 71 inches Gray</t>
  </si>
  <si>
    <t>12个/托</t>
  </si>
  <si>
    <r>
      <rPr>
        <sz val="10"/>
        <color theme="1"/>
        <rFont val="宋体"/>
        <charset val="134"/>
      </rPr>
      <t>金属储物柜</t>
    </r>
    <r>
      <rPr>
        <sz val="10"/>
        <color theme="1"/>
        <rFont val="Arial"/>
        <charset val="134"/>
      </rPr>
      <t>71</t>
    </r>
    <r>
      <rPr>
        <sz val="10"/>
        <color theme="1"/>
        <rFont val="宋体"/>
        <charset val="134"/>
      </rPr>
      <t>英寸银色</t>
    </r>
  </si>
  <si>
    <t>7434503791791</t>
  </si>
  <si>
    <t>Metal Storage Cabinet 71 inches Silver</t>
  </si>
  <si>
    <t>德国联邦快递金属储物柜</t>
  </si>
  <si>
    <t>7434503188171</t>
  </si>
  <si>
    <t>DE - Fedmax Metal Storage Cabinet</t>
  </si>
  <si>
    <r>
      <rPr>
        <sz val="10"/>
        <color theme="1"/>
        <rFont val="宋体"/>
        <charset val="134"/>
      </rPr>
      <t>金属储物柜</t>
    </r>
    <r>
      <rPr>
        <sz val="10"/>
        <color theme="1"/>
        <rFont val="Arial"/>
        <charset val="134"/>
      </rPr>
      <t>71</t>
    </r>
    <r>
      <rPr>
        <sz val="10"/>
        <color theme="1"/>
        <rFont val="宋体"/>
        <charset val="134"/>
      </rPr>
      <t>英寸高</t>
    </r>
  </si>
  <si>
    <t>600413399021</t>
  </si>
  <si>
    <t>Metal Storage Cabinet 71" Tall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</si>
</sst>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m&quot;月&quot;d&quot;日&quot;;@"/>
    <numFmt numFmtId="178" formatCode="dd/mm/yyyy;@"/>
    <numFmt numFmtId="179" formatCode="0.0"/>
    <numFmt numFmtId="180" formatCode="0.00_ "/>
    <numFmt numFmtId="181" formatCode="[$-409]yyyy/mm/dd;@"/>
    <numFmt numFmtId="182" formatCode="0_);\(0\)"/>
    <numFmt numFmtId="183" formatCode="0_ "/>
    <numFmt numFmtId="184" formatCode="0.00_ ;\-0.00\ "/>
    <numFmt numFmtId="185" formatCode="0.00_);[Red]\(0.00\)"/>
  </numFmts>
  <fonts count="70">
    <font>
      <sz val="12"/>
      <color theme="1"/>
      <name val="宋体"/>
      <charset val="134"/>
      <scheme val="minor"/>
    </font>
    <font>
      <b/>
      <sz val="14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b/>
      <sz val="10"/>
      <color theme="1"/>
      <name val="Arial"/>
      <charset val="134"/>
    </font>
    <font>
      <b/>
      <sz val="10"/>
      <color theme="1"/>
      <name val="等线"/>
      <charset val="134"/>
    </font>
    <font>
      <b/>
      <sz val="10"/>
      <color theme="1"/>
      <name val="SimSun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  <scheme val="minor"/>
    </font>
    <font>
      <sz val="11"/>
      <color rgb="FF606266"/>
      <name val="宋体"/>
      <charset val="134"/>
    </font>
    <font>
      <sz val="11"/>
      <color rgb="FF000000"/>
      <name val="Arial"/>
      <charset val="134"/>
    </font>
    <font>
      <sz val="11"/>
      <color theme="1"/>
      <name val="宋体"/>
      <charset val="134"/>
    </font>
    <font>
      <b/>
      <sz val="11"/>
      <color rgb="FF0000FF"/>
      <name val="Arial"/>
      <charset val="134"/>
    </font>
    <font>
      <b/>
      <sz val="10"/>
      <color theme="0"/>
      <name val="等线"/>
      <charset val="134"/>
    </font>
    <font>
      <b/>
      <sz val="10"/>
      <color theme="0"/>
      <name val="Arial"/>
      <charset val="134"/>
    </font>
    <font>
      <sz val="11"/>
      <color theme="1"/>
      <name val="Microsoft YaHei"/>
      <charset val="134"/>
    </font>
    <font>
      <b/>
      <sz val="11"/>
      <color theme="1"/>
      <name val="Microsoft YaHei"/>
      <charset val="134"/>
    </font>
    <font>
      <b/>
      <sz val="16"/>
      <color rgb="FF000000"/>
      <name val="Microsoft YaHei"/>
      <charset val="134"/>
    </font>
    <font>
      <b/>
      <sz val="11"/>
      <color rgb="FF000000"/>
      <name val="Arial"/>
      <charset val="134"/>
    </font>
    <font>
      <b/>
      <sz val="11"/>
      <name val="Microsoft YaHei"/>
      <charset val="134"/>
    </font>
    <font>
      <b/>
      <sz val="11"/>
      <name val="Arial"/>
      <charset val="134"/>
    </font>
    <font>
      <b/>
      <sz val="11"/>
      <color theme="0"/>
      <name val="Arial"/>
      <charset val="134"/>
    </font>
    <font>
      <b/>
      <sz val="11"/>
      <color theme="0"/>
      <name val="Microsoft YaHei"/>
      <charset val="134"/>
    </font>
    <font>
      <b/>
      <sz val="10"/>
      <color rgb="FF0000FF"/>
      <name val="Microsoft YaHei"/>
      <charset val="134"/>
    </font>
    <font>
      <b/>
      <sz val="11"/>
      <color rgb="FFFFFFFF"/>
      <name val="Microsoft YaHei"/>
      <charset val="134"/>
    </font>
    <font>
      <b/>
      <sz val="11"/>
      <color rgb="FFFFFFFF"/>
      <name val="Arial"/>
      <charset val="134"/>
    </font>
    <font>
      <b/>
      <sz val="16"/>
      <color rgb="FF000000"/>
      <name val="Arial"/>
      <charset val="134"/>
    </font>
    <font>
      <b/>
      <sz val="10"/>
      <color rgb="FF000000"/>
      <name val="Arial"/>
      <charset val="134"/>
    </font>
    <font>
      <b/>
      <sz val="10"/>
      <color rgb="FFFFFFFF"/>
      <name val="Microsoft YaHei"/>
      <charset val="134"/>
    </font>
    <font>
      <b/>
      <sz val="18"/>
      <name val="Arial"/>
      <charset val="134"/>
    </font>
    <font>
      <sz val="11"/>
      <name val="微软雅黑 Light"/>
      <charset val="134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sz val="11"/>
      <name val="Arial"/>
      <charset val="134"/>
    </font>
    <font>
      <sz val="8"/>
      <name val="SimSun"/>
      <charset val="134"/>
    </font>
    <font>
      <sz val="8"/>
      <name val="Arial"/>
      <charset val="134"/>
    </font>
    <font>
      <b/>
      <sz val="12"/>
      <color theme="1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theme="10"/>
      <name val="宋体"/>
      <charset val="134"/>
    </font>
    <font>
      <b/>
      <sz val="10"/>
      <color rgb="FF000000"/>
      <name val="Microsoft YaHei"/>
      <charset val="134"/>
    </font>
    <font>
      <b/>
      <sz val="18"/>
      <name val="宋体"/>
      <charset val="134"/>
    </font>
    <font>
      <b/>
      <sz val="10"/>
      <color rgb="FF0000FF"/>
      <name val="Arial"/>
      <charset val="134"/>
    </font>
    <font>
      <b/>
      <sz val="14"/>
      <color theme="1"/>
      <name val="宋体"/>
      <charset val="134"/>
    </font>
    <font>
      <b/>
      <sz val="11"/>
      <color theme="0"/>
      <name val="宋体"/>
      <charset val="134"/>
    </font>
    <font>
      <sz val="11"/>
      <color theme="1"/>
      <name val="SimSun"/>
      <charset val="134"/>
    </font>
    <font>
      <b/>
      <sz val="11"/>
      <color theme="0"/>
      <name val="SimSun"/>
      <charset val="134"/>
    </font>
    <font>
      <b/>
      <sz val="14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9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21" borderId="16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6" fillId="0" borderId="18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48" fillId="23" borderId="20" applyNumberFormat="0" applyAlignment="0" applyProtection="0">
      <alignment vertical="center"/>
    </xf>
    <xf numFmtId="0" fontId="49" fillId="23" borderId="19" applyNumberFormat="0" applyAlignment="0" applyProtection="0">
      <alignment vertical="center"/>
    </xf>
    <xf numFmtId="0" fontId="50" fillId="15" borderId="21" applyNumberFormat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7" fillId="44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7" fillId="0" borderId="0"/>
    <xf numFmtId="0" fontId="58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8" fillId="0" borderId="0"/>
  </cellStyleXfs>
  <cellXfs count="220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4" fillId="0" borderId="0" xfId="0" applyFont="1" applyFill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177" fontId="7" fillId="2" borderId="1" xfId="0" applyNumberFormat="1" applyFont="1" applyFill="1" applyBorder="1" applyAlignment="1">
      <alignment horizontal="center" vertical="center"/>
    </xf>
    <xf numFmtId="0" fontId="8" fillId="0" borderId="0" xfId="0" applyFont="1" applyFill="1" applyAlignment="1"/>
    <xf numFmtId="177" fontId="8" fillId="0" borderId="0" xfId="0" applyNumberFormat="1" applyFont="1" applyFill="1" applyAlignment="1"/>
    <xf numFmtId="177" fontId="7" fillId="3" borderId="1" xfId="0" applyNumberFormat="1" applyFont="1" applyFill="1" applyBorder="1" applyAlignment="1">
      <alignment horizontal="center" vertical="center"/>
    </xf>
    <xf numFmtId="58" fontId="7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178" fontId="6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178" fontId="4" fillId="4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179" fontId="10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left"/>
    </xf>
    <xf numFmtId="0" fontId="6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Alignment="1"/>
    <xf numFmtId="0" fontId="7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80" fontId="7" fillId="0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80" fontId="12" fillId="11" borderId="0" xfId="0" applyNumberFormat="1" applyFont="1" applyFill="1" applyAlignment="1">
      <alignment horizontal="center" vertical="center"/>
    </xf>
    <xf numFmtId="0" fontId="13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176" fontId="7" fillId="13" borderId="1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center" vertical="center"/>
    </xf>
    <xf numFmtId="181" fontId="15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 wrapText="1"/>
    </xf>
    <xf numFmtId="182" fontId="15" fillId="0" borderId="0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/>
    </xf>
    <xf numFmtId="180" fontId="15" fillId="0" borderId="0" xfId="0" applyNumberFormat="1" applyFont="1" applyFill="1" applyBorder="1" applyAlignment="1">
      <alignment horizontal="center" vertical="center"/>
    </xf>
    <xf numFmtId="183" fontId="15" fillId="0" borderId="0" xfId="0" applyNumberFormat="1" applyFont="1" applyFill="1" applyBorder="1" applyAlignment="1">
      <alignment horizontal="center" vertical="center"/>
    </xf>
    <xf numFmtId="182" fontId="15" fillId="0" borderId="0" xfId="0" applyNumberFormat="1" applyFont="1" applyFill="1" applyBorder="1" applyAlignment="1">
      <alignment horizontal="center" vertical="center"/>
    </xf>
    <xf numFmtId="184" fontId="15" fillId="0" borderId="0" xfId="0" applyNumberFormat="1" applyFont="1" applyFill="1" applyBorder="1" applyAlignment="1">
      <alignment horizontal="center" vertical="center"/>
    </xf>
    <xf numFmtId="185" fontId="15" fillId="0" borderId="0" xfId="0" applyNumberFormat="1" applyFont="1" applyFill="1" applyBorder="1" applyAlignment="1">
      <alignment horizontal="center" vertical="center"/>
    </xf>
    <xf numFmtId="180" fontId="15" fillId="14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center" vertical="center"/>
    </xf>
    <xf numFmtId="181" fontId="17" fillId="0" borderId="0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181" fontId="18" fillId="0" borderId="1" xfId="0" applyNumberFormat="1" applyFont="1" applyFill="1" applyBorder="1" applyAlignment="1">
      <alignment horizontal="center" vertical="center"/>
    </xf>
    <xf numFmtId="0" fontId="19" fillId="15" borderId="1" xfId="0" applyNumberFormat="1" applyFont="1" applyFill="1" applyBorder="1" applyAlignment="1">
      <alignment horizontal="left" vertical="center"/>
    </xf>
    <xf numFmtId="0" fontId="20" fillId="15" borderId="1" xfId="0" applyNumberFormat="1" applyFont="1" applyFill="1" applyBorder="1" applyAlignment="1">
      <alignment horizontal="center" vertical="center"/>
    </xf>
    <xf numFmtId="181" fontId="20" fillId="15" borderId="1" xfId="0" applyNumberFormat="1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1" fillId="16" borderId="1" xfId="0" applyFont="1" applyFill="1" applyBorder="1" applyAlignment="1">
      <alignment horizontal="center" vertical="center" wrapText="1"/>
    </xf>
    <xf numFmtId="0" fontId="22" fillId="16" borderId="1" xfId="0" applyFont="1" applyFill="1" applyBorder="1" applyAlignment="1">
      <alignment horizontal="center" vertical="center" wrapText="1"/>
    </xf>
    <xf numFmtId="181" fontId="21" fillId="16" borderId="1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left" vertical="center" wrapText="1"/>
    </xf>
    <xf numFmtId="182" fontId="17" fillId="0" borderId="0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left" vertical="center" wrapText="1"/>
    </xf>
    <xf numFmtId="182" fontId="18" fillId="0" borderId="1" xfId="0" applyNumberFormat="1" applyFont="1" applyFill="1" applyBorder="1" applyAlignment="1">
      <alignment horizontal="center" vertical="center" wrapText="1"/>
    </xf>
    <xf numFmtId="0" fontId="20" fillId="15" borderId="1" xfId="0" applyNumberFormat="1" applyFont="1" applyFill="1" applyBorder="1" applyAlignment="1">
      <alignment horizontal="left" vertical="center"/>
    </xf>
    <xf numFmtId="182" fontId="20" fillId="15" borderId="1" xfId="0" applyNumberFormat="1" applyFont="1" applyFill="1" applyBorder="1" applyAlignment="1">
      <alignment horizontal="center" vertical="center"/>
    </xf>
    <xf numFmtId="182" fontId="21" fillId="16" borderId="1" xfId="0" applyNumberFormat="1" applyFont="1" applyFill="1" applyBorder="1" applyAlignment="1">
      <alignment horizontal="center" vertical="center" wrapText="1"/>
    </xf>
    <xf numFmtId="0" fontId="19" fillId="15" borderId="1" xfId="0" applyNumberFormat="1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 wrapText="1"/>
    </xf>
    <xf numFmtId="184" fontId="23" fillId="0" borderId="0" xfId="0" applyNumberFormat="1" applyFont="1" applyFill="1" applyBorder="1" applyAlignment="1">
      <alignment horizontal="center" vertical="center"/>
    </xf>
    <xf numFmtId="184" fontId="23" fillId="17" borderId="0" xfId="0" applyNumberFormat="1" applyFont="1" applyFill="1" applyBorder="1" applyAlignment="1">
      <alignment horizontal="center" vertical="center"/>
    </xf>
    <xf numFmtId="180" fontId="23" fillId="17" borderId="0" xfId="0" applyNumberFormat="1" applyFont="1" applyFill="1" applyBorder="1" applyAlignment="1">
      <alignment horizontal="center" vertical="center"/>
    </xf>
    <xf numFmtId="183" fontId="23" fillId="17" borderId="0" xfId="0" applyNumberFormat="1" applyFont="1" applyFill="1" applyBorder="1" applyAlignment="1">
      <alignment horizontal="center" vertical="center"/>
    </xf>
    <xf numFmtId="184" fontId="21" fillId="0" borderId="2" xfId="0" applyNumberFormat="1" applyFont="1" applyFill="1" applyBorder="1" applyAlignment="1">
      <alignment horizontal="center" vertical="center"/>
    </xf>
    <xf numFmtId="184" fontId="21" fillId="0" borderId="3" xfId="0" applyNumberFormat="1" applyFont="1" applyFill="1" applyBorder="1" applyAlignment="1">
      <alignment horizontal="center" vertical="center"/>
    </xf>
    <xf numFmtId="184" fontId="21" fillId="2" borderId="3" xfId="0" applyNumberFormat="1" applyFont="1" applyFill="1" applyBorder="1" applyAlignment="1">
      <alignment horizontal="center" vertical="center"/>
    </xf>
    <xf numFmtId="183" fontId="22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" vertical="center"/>
    </xf>
    <xf numFmtId="180" fontId="21" fillId="16" borderId="1" xfId="0" applyNumberFormat="1" applyFont="1" applyFill="1" applyBorder="1" applyAlignment="1">
      <alignment horizontal="center" vertical="center"/>
    </xf>
    <xf numFmtId="180" fontId="21" fillId="17" borderId="1" xfId="0" applyNumberFormat="1" applyFont="1" applyFill="1" applyBorder="1" applyAlignment="1">
      <alignment horizontal="center" vertical="center"/>
    </xf>
    <xf numFmtId="183" fontId="22" fillId="16" borderId="1" xfId="0" applyNumberFormat="1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horizontal="center" vertical="center"/>
    </xf>
    <xf numFmtId="184" fontId="22" fillId="16" borderId="1" xfId="0" applyNumberFormat="1" applyFont="1" applyFill="1" applyBorder="1" applyAlignment="1">
      <alignment horizontal="center" vertical="center" wrapText="1"/>
    </xf>
    <xf numFmtId="180" fontId="22" fillId="16" borderId="1" xfId="0" applyNumberFormat="1" applyFont="1" applyFill="1" applyBorder="1" applyAlignment="1">
      <alignment horizontal="center" vertical="center" wrapText="1"/>
    </xf>
    <xf numFmtId="180" fontId="22" fillId="2" borderId="1" xfId="0" applyNumberFormat="1" applyFont="1" applyFill="1" applyBorder="1" applyAlignment="1">
      <alignment horizontal="center" vertical="center" wrapText="1"/>
    </xf>
    <xf numFmtId="183" fontId="22" fillId="16" borderId="1" xfId="0" applyNumberFormat="1" applyFont="1" applyFill="1" applyBorder="1" applyAlignment="1">
      <alignment horizontal="center" vertical="center" wrapText="1"/>
    </xf>
    <xf numFmtId="0" fontId="21" fillId="17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184" fontId="22" fillId="2" borderId="1" xfId="0" applyNumberFormat="1" applyFont="1" applyFill="1" applyBorder="1" applyAlignment="1">
      <alignment horizontal="center" vertical="center" wrapText="1"/>
    </xf>
    <xf numFmtId="182" fontId="23" fillId="17" borderId="0" xfId="0" applyNumberFormat="1" applyFont="1" applyFill="1" applyBorder="1" applyAlignment="1">
      <alignment horizontal="center" vertical="center"/>
    </xf>
    <xf numFmtId="184" fontId="21" fillId="2" borderId="4" xfId="0" applyNumberFormat="1" applyFont="1" applyFill="1" applyBorder="1" applyAlignment="1">
      <alignment horizontal="center" vertical="center"/>
    </xf>
    <xf numFmtId="184" fontId="22" fillId="10" borderId="1" xfId="0" applyNumberFormat="1" applyFont="1" applyFill="1" applyBorder="1" applyAlignment="1">
      <alignment horizontal="center" vertical="center"/>
    </xf>
    <xf numFmtId="184" fontId="21" fillId="10" borderId="1" xfId="0" applyNumberFormat="1" applyFont="1" applyFill="1" applyBorder="1" applyAlignment="1">
      <alignment horizontal="center" vertical="center"/>
    </xf>
    <xf numFmtId="182" fontId="21" fillId="10" borderId="1" xfId="0" applyNumberFormat="1" applyFont="1" applyFill="1" applyBorder="1" applyAlignment="1">
      <alignment horizontal="center" vertical="center"/>
    </xf>
    <xf numFmtId="184" fontId="22" fillId="16" borderId="1" xfId="0" applyNumberFormat="1" applyFont="1" applyFill="1" applyBorder="1" applyAlignment="1">
      <alignment horizontal="center" vertical="center"/>
    </xf>
    <xf numFmtId="182" fontId="21" fillId="16" borderId="1" xfId="0" applyNumberFormat="1" applyFont="1" applyFill="1" applyBorder="1" applyAlignment="1">
      <alignment horizontal="center" vertical="center"/>
    </xf>
    <xf numFmtId="184" fontId="22" fillId="14" borderId="1" xfId="0" applyNumberFormat="1" applyFont="1" applyFill="1" applyBorder="1" applyAlignment="1">
      <alignment horizontal="center" vertical="center" wrapText="1"/>
    </xf>
    <xf numFmtId="182" fontId="22" fillId="16" borderId="1" xfId="0" applyNumberFormat="1" applyFont="1" applyFill="1" applyBorder="1" applyAlignment="1">
      <alignment horizontal="center" vertical="center" wrapText="1"/>
    </xf>
    <xf numFmtId="185" fontId="21" fillId="10" borderId="1" xfId="0" applyNumberFormat="1" applyFont="1" applyFill="1" applyBorder="1" applyAlignment="1">
      <alignment horizontal="center" vertical="center"/>
    </xf>
    <xf numFmtId="184" fontId="21" fillId="16" borderId="1" xfId="0" applyNumberFormat="1" applyFont="1" applyFill="1" applyBorder="1" applyAlignment="1">
      <alignment horizontal="center" vertical="center"/>
    </xf>
    <xf numFmtId="0" fontId="24" fillId="18" borderId="1" xfId="0" applyFont="1" applyFill="1" applyBorder="1" applyAlignment="1">
      <alignment horizontal="center" vertical="center"/>
    </xf>
    <xf numFmtId="185" fontId="25" fillId="18" borderId="1" xfId="0" applyNumberFormat="1" applyFont="1" applyFill="1" applyBorder="1" applyAlignment="1">
      <alignment horizontal="center" vertical="center"/>
    </xf>
    <xf numFmtId="184" fontId="24" fillId="18" borderId="1" xfId="0" applyNumberFormat="1" applyFont="1" applyFill="1" applyBorder="1" applyAlignment="1">
      <alignment horizontal="center" vertical="center" wrapText="1"/>
    </xf>
    <xf numFmtId="185" fontId="24" fillId="19" borderId="1" xfId="0" applyNumberFormat="1" applyFont="1" applyFill="1" applyBorder="1" applyAlignment="1">
      <alignment horizontal="center" vertical="center" wrapText="1"/>
    </xf>
    <xf numFmtId="180" fontId="23" fillId="14" borderId="0" xfId="0" applyNumberFormat="1" applyFont="1" applyFill="1" applyBorder="1" applyAlignment="1">
      <alignment horizontal="center" vertical="center"/>
    </xf>
    <xf numFmtId="180" fontId="21" fillId="14" borderId="1" xfId="0" applyNumberFormat="1" applyFont="1" applyFill="1" applyBorder="1" applyAlignment="1">
      <alignment horizontal="center" vertical="center"/>
    </xf>
    <xf numFmtId="180" fontId="22" fillId="14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184" fontId="21" fillId="16" borderId="1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14" borderId="0" xfId="0" applyFill="1">
      <alignment vertical="center"/>
    </xf>
    <xf numFmtId="183" fontId="0" fillId="0" borderId="0" xfId="0" applyNumberFormat="1">
      <alignment vertical="center"/>
    </xf>
    <xf numFmtId="0" fontId="7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183" fontId="7" fillId="0" borderId="0" xfId="0" applyNumberFormat="1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27" fillId="15" borderId="5" xfId="0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0" fontId="28" fillId="18" borderId="1" xfId="0" applyNumberFormat="1" applyFont="1" applyFill="1" applyBorder="1" applyAlignment="1">
      <alignment horizontal="center" vertical="center" wrapText="1"/>
    </xf>
    <xf numFmtId="0" fontId="28" fillId="2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183" fontId="26" fillId="0" borderId="0" xfId="0" applyNumberFormat="1" applyFont="1" applyFill="1" applyBorder="1" applyAlignment="1">
      <alignment horizontal="center" vertical="center"/>
    </xf>
    <xf numFmtId="183" fontId="27" fillId="15" borderId="6" xfId="0" applyNumberFormat="1" applyFont="1" applyFill="1" applyBorder="1" applyAlignment="1">
      <alignment horizontal="center" vertical="center"/>
    </xf>
    <xf numFmtId="183" fontId="28" fillId="18" borderId="1" xfId="0" applyNumberFormat="1" applyFont="1" applyFill="1" applyBorder="1" applyAlignment="1">
      <alignment horizontal="center" vertical="center" wrapText="1"/>
    </xf>
    <xf numFmtId="183" fontId="28" fillId="5" borderId="1" xfId="0" applyNumberFormat="1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 wrapText="1"/>
    </xf>
    <xf numFmtId="2" fontId="12" fillId="17" borderId="0" xfId="0" applyNumberFormat="1" applyFont="1" applyFill="1" applyAlignment="1">
      <alignment horizontal="center" vertical="center"/>
    </xf>
    <xf numFmtId="0" fontId="27" fillId="15" borderId="6" xfId="0" applyFont="1" applyFill="1" applyBorder="1" applyAlignment="1">
      <alignment horizontal="center" vertical="center" wrapText="1"/>
    </xf>
    <xf numFmtId="0" fontId="28" fillId="0" borderId="1" xfId="0" applyNumberFormat="1" applyFont="1" applyFill="1" applyBorder="1" applyAlignment="1">
      <alignment horizontal="center" vertical="center" wrapText="1"/>
    </xf>
    <xf numFmtId="0" fontId="22" fillId="16" borderId="2" xfId="0" applyFont="1" applyFill="1" applyBorder="1" applyAlignment="1">
      <alignment horizontal="center" vertical="center"/>
    </xf>
    <xf numFmtId="0" fontId="21" fillId="16" borderId="3" xfId="0" applyFont="1" applyFill="1" applyBorder="1" applyAlignment="1">
      <alignment horizontal="center" vertical="center"/>
    </xf>
    <xf numFmtId="0" fontId="21" fillId="16" borderId="4" xfId="0" applyFont="1" applyFill="1" applyBorder="1" applyAlignment="1">
      <alignment horizontal="center" vertical="center"/>
    </xf>
    <xf numFmtId="0" fontId="28" fillId="16" borderId="1" xfId="0" applyNumberFormat="1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/>
    </xf>
    <xf numFmtId="180" fontId="2" fillId="13" borderId="1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29" fillId="20" borderId="2" xfId="0" applyNumberFormat="1" applyFont="1" applyFill="1" applyBorder="1" applyAlignment="1">
      <alignment horizontal="center" vertical="center"/>
    </xf>
    <xf numFmtId="49" fontId="29" fillId="20" borderId="3" xfId="0" applyNumberFormat="1" applyFont="1" applyFill="1" applyBorder="1" applyAlignment="1">
      <alignment horizontal="center" vertical="center"/>
    </xf>
    <xf numFmtId="49" fontId="30" fillId="3" borderId="5" xfId="0" applyNumberFormat="1" applyFont="1" applyFill="1" applyBorder="1" applyAlignment="1">
      <alignment vertical="center"/>
    </xf>
    <xf numFmtId="49" fontId="30" fillId="3" borderId="6" xfId="0" applyNumberFormat="1" applyFont="1" applyFill="1" applyBorder="1" applyAlignment="1">
      <alignment vertical="center"/>
    </xf>
    <xf numFmtId="49" fontId="30" fillId="3" borderId="10" xfId="0" applyNumberFormat="1" applyFont="1" applyFill="1" applyBorder="1" applyAlignment="1">
      <alignment vertical="center"/>
    </xf>
    <xf numFmtId="49" fontId="30" fillId="3" borderId="0" xfId="0" applyNumberFormat="1" applyFont="1" applyFill="1" applyAlignment="1">
      <alignment vertical="center"/>
    </xf>
    <xf numFmtId="49" fontId="30" fillId="3" borderId="11" xfId="0" applyNumberFormat="1" applyFont="1" applyFill="1" applyBorder="1" applyAlignment="1">
      <alignment vertical="center"/>
    </xf>
    <xf numFmtId="49" fontId="30" fillId="3" borderId="12" xfId="0" applyNumberFormat="1" applyFont="1" applyFill="1" applyBorder="1" applyAlignment="1">
      <alignment vertical="center"/>
    </xf>
    <xf numFmtId="49" fontId="30" fillId="3" borderId="1" xfId="0" applyNumberFormat="1" applyFont="1" applyFill="1" applyBorder="1" applyAlignment="1">
      <alignment horizontal="center" vertical="center"/>
    </xf>
    <xf numFmtId="49" fontId="30" fillId="3" borderId="1" xfId="0" applyNumberFormat="1" applyFont="1" applyFill="1" applyBorder="1" applyAlignment="1">
      <alignment horizontal="center" vertical="center" wrapText="1"/>
    </xf>
    <xf numFmtId="49" fontId="30" fillId="3" borderId="2" xfId="0" applyNumberFormat="1" applyFont="1" applyFill="1" applyBorder="1" applyAlignment="1">
      <alignment vertical="center"/>
    </xf>
    <xf numFmtId="183" fontId="30" fillId="3" borderId="7" xfId="0" applyNumberFormat="1" applyFont="1" applyFill="1" applyBorder="1" applyAlignment="1">
      <alignment horizontal="center" vertical="center"/>
    </xf>
    <xf numFmtId="180" fontId="30" fillId="3" borderId="1" xfId="0" applyNumberFormat="1" applyFont="1" applyFill="1" applyBorder="1" applyAlignment="1">
      <alignment horizontal="center" vertical="center"/>
    </xf>
    <xf numFmtId="185" fontId="30" fillId="3" borderId="1" xfId="0" applyNumberFormat="1" applyFont="1" applyFill="1" applyBorder="1" applyAlignment="1">
      <alignment horizontal="center" vertical="center"/>
    </xf>
    <xf numFmtId="185" fontId="30" fillId="3" borderId="13" xfId="0" applyNumberFormat="1" applyFont="1" applyFill="1" applyBorder="1" applyAlignment="1">
      <alignment horizontal="center" vertical="center"/>
    </xf>
    <xf numFmtId="183" fontId="30" fillId="3" borderId="9" xfId="0" applyNumberFormat="1" applyFont="1" applyFill="1" applyBorder="1" applyAlignment="1">
      <alignment horizontal="center" vertical="center"/>
    </xf>
    <xf numFmtId="49" fontId="31" fillId="3" borderId="1" xfId="0" applyNumberFormat="1" applyFont="1" applyFill="1" applyBorder="1" applyAlignment="1">
      <alignment horizontal="center" vertical="center"/>
    </xf>
    <xf numFmtId="49" fontId="30" fillId="3" borderId="13" xfId="0" applyNumberFormat="1" applyFont="1" applyFill="1" applyBorder="1" applyAlignment="1">
      <alignment horizontal="center" vertical="center"/>
    </xf>
    <xf numFmtId="183" fontId="30" fillId="3" borderId="1" xfId="0" applyNumberFormat="1" applyFont="1" applyFill="1" applyBorder="1" applyAlignment="1">
      <alignment horizontal="center" vertical="center"/>
    </xf>
    <xf numFmtId="49" fontId="31" fillId="3" borderId="1" xfId="0" applyNumberFormat="1" applyFont="1" applyFill="1" applyBorder="1" applyAlignment="1">
      <alignment horizontal="right" vertical="center"/>
    </xf>
    <xf numFmtId="49" fontId="31" fillId="3" borderId="13" xfId="0" applyNumberFormat="1" applyFont="1" applyFill="1" applyBorder="1" applyAlignment="1">
      <alignment horizontal="center" vertical="center"/>
    </xf>
    <xf numFmtId="185" fontId="31" fillId="3" borderId="13" xfId="0" applyNumberFormat="1" applyFont="1" applyFill="1" applyBorder="1" applyAlignment="1">
      <alignment horizontal="right" vertical="center"/>
    </xf>
    <xf numFmtId="49" fontId="32" fillId="3" borderId="1" xfId="0" applyNumberFormat="1" applyFont="1" applyFill="1" applyBorder="1" applyAlignment="1">
      <alignment horizontal="center" vertical="center"/>
    </xf>
    <xf numFmtId="49" fontId="31" fillId="3" borderId="13" xfId="0" applyNumberFormat="1" applyFont="1" applyFill="1" applyBorder="1" applyAlignment="1">
      <alignment horizontal="left" vertical="center"/>
    </xf>
    <xf numFmtId="49" fontId="33" fillId="3" borderId="1" xfId="1" applyNumberFormat="1" applyFont="1" applyFill="1" applyBorder="1" applyAlignment="1">
      <alignment horizontal="right" vertical="center"/>
    </xf>
    <xf numFmtId="49" fontId="33" fillId="3" borderId="13" xfId="1" applyNumberFormat="1" applyFont="1" applyFill="1" applyBorder="1" applyAlignment="1">
      <alignment horizontal="right" vertical="center"/>
    </xf>
    <xf numFmtId="49" fontId="34" fillId="3" borderId="11" xfId="0" applyNumberFormat="1" applyFont="1" applyFill="1" applyBorder="1" applyAlignment="1">
      <alignment horizontal="left" vertical="center" wrapText="1"/>
    </xf>
    <xf numFmtId="49" fontId="35" fillId="3" borderId="12" xfId="0" applyNumberFormat="1" applyFont="1" applyFill="1" applyBorder="1" applyAlignment="1">
      <alignment horizontal="left" vertical="center" wrapText="1"/>
    </xf>
    <xf numFmtId="49" fontId="8" fillId="3" borderId="6" xfId="0" applyNumberFormat="1" applyFont="1" applyFill="1" applyBorder="1" applyAlignment="1">
      <alignment horizontal="center" vertical="center"/>
    </xf>
    <xf numFmtId="49" fontId="36" fillId="0" borderId="2" xfId="0" applyNumberFormat="1" applyFont="1" applyFill="1" applyBorder="1" applyAlignment="1">
      <alignment horizontal="left" vertical="center"/>
    </xf>
    <xf numFmtId="49" fontId="36" fillId="0" borderId="3" xfId="0" applyNumberFormat="1" applyFont="1" applyFill="1" applyBorder="1" applyAlignment="1">
      <alignment horizontal="left" vertical="center"/>
    </xf>
    <xf numFmtId="49" fontId="0" fillId="3" borderId="0" xfId="0" applyNumberFormat="1" applyFont="1" applyFill="1" applyAlignment="1">
      <alignment horizontal="center" vertical="center"/>
    </xf>
    <xf numFmtId="49" fontId="36" fillId="0" borderId="2" xfId="0" applyNumberFormat="1" applyFont="1" applyFill="1" applyBorder="1" applyAlignment="1">
      <alignment horizontal="center" vertical="center"/>
    </xf>
    <xf numFmtId="49" fontId="36" fillId="0" borderId="3" xfId="0" applyNumberFormat="1" applyFont="1" applyFill="1" applyBorder="1" applyAlignment="1">
      <alignment horizontal="center" vertical="center"/>
    </xf>
    <xf numFmtId="49" fontId="37" fillId="0" borderId="11" xfId="0" applyNumberFormat="1" applyFont="1" applyFill="1" applyBorder="1" applyAlignment="1">
      <alignment horizontal="left" vertical="center" wrapText="1"/>
    </xf>
    <xf numFmtId="49" fontId="37" fillId="0" borderId="12" xfId="0" applyNumberFormat="1" applyFont="1" applyFill="1" applyBorder="1" applyAlignment="1">
      <alignment horizontal="left" vertical="center" wrapText="1"/>
    </xf>
    <xf numFmtId="49" fontId="29" fillId="20" borderId="4" xfId="0" applyNumberFormat="1" applyFont="1" applyFill="1" applyBorder="1" applyAlignment="1">
      <alignment horizontal="center" vertical="center"/>
    </xf>
    <xf numFmtId="49" fontId="30" fillId="3" borderId="13" xfId="0" applyNumberFormat="1" applyFont="1" applyFill="1" applyBorder="1" applyAlignment="1">
      <alignment vertical="center"/>
    </xf>
    <xf numFmtId="49" fontId="30" fillId="3" borderId="14" xfId="0" applyNumberFormat="1" applyFont="1" applyFill="1" applyBorder="1" applyAlignment="1">
      <alignment vertical="center"/>
    </xf>
    <xf numFmtId="49" fontId="30" fillId="3" borderId="15" xfId="0" applyNumberFormat="1" applyFont="1" applyFill="1" applyBorder="1" applyAlignment="1">
      <alignment vertical="center"/>
    </xf>
    <xf numFmtId="0" fontId="30" fillId="3" borderId="1" xfId="0" applyNumberFormat="1" applyFont="1" applyFill="1" applyBorder="1" applyAlignment="1">
      <alignment horizontal="center" vertical="center"/>
    </xf>
    <xf numFmtId="49" fontId="33" fillId="3" borderId="13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8" fillId="0" borderId="0" xfId="0" applyFont="1" applyAlignment="1">
      <alignment horizontal="justify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3" xfId="49"/>
    <cellStyle name="常规 3" xfId="50"/>
    <cellStyle name="常规 8" xfId="51"/>
    <cellStyle name="超链接 2" xfId="52"/>
    <cellStyle name="常规 3 2" xfId="53"/>
    <cellStyle name="常规 2" xfId="54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FF"/>
      <color rgb="00000000"/>
      <color rgb="00FFFF00"/>
      <color rgb="00ED7D3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uying\Desktop\\\shadc\Operation\Working_files\Mrg\UAE%20TR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uying\Desktop\\Users\anker\Downloads\shadc\Operation\DOCUME~1\User\LOCALS~1\Temp\China%20City%20Pair%20Mix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"/>
      <sheetName val="Competitors"/>
      <sheetName val="New card vs old"/>
      <sheetName val="Contract Rates"/>
      <sheetName val="Contract Rates Schedule"/>
      <sheetName val="Discount Policy"/>
      <sheetName val="DOMES"/>
      <sheetName val="Print Dox"/>
      <sheetName val="Print WPX"/>
      <sheetName val="Zone &amp; Transit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9"/>
      <sheetName val="Module10"/>
      <sheetName val="Module11"/>
      <sheetName val="Module12"/>
      <sheetName val="Module13"/>
      <sheetName val="Module14"/>
      <sheetName val="Module15"/>
      <sheetName val="Module16"/>
      <sheetName val="Module17"/>
      <sheetName val="Module18"/>
      <sheetName val="Module19"/>
      <sheetName val="Module20"/>
      <sheetName val="Module21"/>
      <sheetName val="Module22"/>
      <sheetName val="DHL City to Zone OB V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ection 1 Output"/>
      <sheetName val="DATA FOR PRICING"/>
      <sheetName val="Paired vol Y1 2003"/>
      <sheetName val="Paired vol Y2 2004"/>
      <sheetName val="Section 2 Input"/>
      <sheetName val="DHL Addressable City OB Vol"/>
      <sheetName val="Zone to Zone Allocation"/>
      <sheetName val="City GDP CAGR"/>
      <sheetName val="City Income Base Level "/>
      <sheetName val="Section 3 Analysis"/>
      <sheetName val="City to Zone Allocation"/>
      <sheetName val="DHL City to Zone OB Vol"/>
      <sheetName val="City Income Level Proj 2003"/>
      <sheetName val="City Income Level Proj 2004"/>
      <sheetName val="City Income Level Proj 2005"/>
      <sheetName val="City Income Level Proj 2006"/>
      <sheetName val="Section 4 Check Sheet"/>
      <sheetName val="DHL Actual City Rev"/>
      <sheetName val="DHL Actual City OB Vol"/>
      <sheetName val="DHL Actual RP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D30" sqref="D30"/>
    </sheetView>
  </sheetViews>
  <sheetFormatPr defaultColWidth="9.14166666666667" defaultRowHeight="14.25"/>
  <cols>
    <col min="1" max="1" width="13.925" style="175" customWidth="1"/>
    <col min="2" max="2" width="21.5416666666667" style="175" customWidth="1"/>
    <col min="3" max="3" width="13.9916666666667" style="175" customWidth="1"/>
    <col min="4" max="4" width="14.8583333333333" style="175" customWidth="1"/>
    <col min="5" max="5" width="12.4416666666667" style="175" customWidth="1"/>
    <col min="6" max="6" width="13.6916666666667" style="175" customWidth="1"/>
    <col min="7" max="7" width="15.325" style="175" customWidth="1"/>
    <col min="8" max="8" width="15.6666666666667" style="175" customWidth="1"/>
    <col min="9" max="9" width="18.15" style="175" customWidth="1"/>
  </cols>
  <sheetData>
    <row r="1" ht="23.25" spans="1:9">
      <c r="A1" s="176" t="s">
        <v>0</v>
      </c>
      <c r="B1" s="177"/>
      <c r="C1" s="177"/>
      <c r="D1" s="177"/>
      <c r="E1" s="177"/>
      <c r="F1" s="177"/>
      <c r="G1" s="177"/>
      <c r="H1" s="177"/>
      <c r="I1" s="212"/>
    </row>
    <row r="2" ht="16.5" spans="1:9">
      <c r="A2" s="178" t="s">
        <v>1</v>
      </c>
      <c r="B2" s="179"/>
      <c r="C2" s="179"/>
      <c r="D2" s="179"/>
      <c r="E2" s="179"/>
      <c r="F2" s="179"/>
      <c r="G2" s="179"/>
      <c r="H2" s="179"/>
      <c r="I2" s="213"/>
    </row>
    <row r="3" ht="16.5" spans="1:9">
      <c r="A3" s="180" t="s">
        <v>2</v>
      </c>
      <c r="B3" s="181"/>
      <c r="C3" s="181"/>
      <c r="D3" s="181"/>
      <c r="E3" s="181"/>
      <c r="F3" s="181"/>
      <c r="G3" s="181"/>
      <c r="H3" s="181"/>
      <c r="I3" s="214"/>
    </row>
    <row r="4" ht="16.5" spans="1:9">
      <c r="A4" s="182" t="s">
        <v>3</v>
      </c>
      <c r="B4" s="183"/>
      <c r="C4" s="183"/>
      <c r="D4" s="183"/>
      <c r="E4" s="183"/>
      <c r="F4" s="183"/>
      <c r="G4" s="183"/>
      <c r="H4" s="183"/>
      <c r="I4" s="215"/>
    </row>
    <row r="5" ht="33" spans="1:9">
      <c r="A5" s="184" t="s">
        <v>4</v>
      </c>
      <c r="B5" s="184" t="s">
        <v>5</v>
      </c>
      <c r="C5" s="185" t="s">
        <v>6</v>
      </c>
      <c r="D5" s="185" t="s">
        <v>7</v>
      </c>
      <c r="E5" s="185" t="s">
        <v>8</v>
      </c>
      <c r="F5" s="185" t="s">
        <v>9</v>
      </c>
      <c r="G5" s="184" t="s">
        <v>10</v>
      </c>
      <c r="H5" s="186" t="s">
        <v>11</v>
      </c>
      <c r="I5" s="184" t="s">
        <v>12</v>
      </c>
    </row>
    <row r="6" ht="16.5" spans="1:9">
      <c r="A6" s="187" t="s">
        <v>13</v>
      </c>
      <c r="B6" s="188" t="s">
        <v>14</v>
      </c>
      <c r="C6" s="189">
        <f>'1.1 正向-入库'!V1</f>
        <v>882</v>
      </c>
      <c r="D6" s="190">
        <v>750</v>
      </c>
      <c r="E6" s="189"/>
      <c r="F6" s="190">
        <f>C6+D6+E6</f>
        <v>1632</v>
      </c>
      <c r="G6" s="189"/>
      <c r="H6" s="189">
        <f>F6-G6</f>
        <v>1632</v>
      </c>
      <c r="I6" s="185" t="s">
        <v>15</v>
      </c>
    </row>
    <row r="7" ht="16.5" spans="1:9">
      <c r="A7" s="191"/>
      <c r="B7" s="188" t="s">
        <v>16</v>
      </c>
      <c r="C7" s="189">
        <v>0</v>
      </c>
      <c r="D7" s="190">
        <v>0</v>
      </c>
      <c r="E7" s="189">
        <v>0</v>
      </c>
      <c r="F7" s="190">
        <f t="shared" ref="F7:F14" si="0">C7+D7+E7</f>
        <v>0</v>
      </c>
      <c r="G7" s="189"/>
      <c r="H7" s="189">
        <f t="shared" ref="H7:H14" si="1">F7-G7</f>
        <v>0</v>
      </c>
      <c r="I7" s="193"/>
    </row>
    <row r="8" ht="16.5" spans="1:9">
      <c r="A8" s="187" t="s">
        <v>17</v>
      </c>
      <c r="B8" s="188" t="s">
        <v>18</v>
      </c>
      <c r="C8" s="189">
        <f>'2.1 正向-普货&amp;大件-仓储费(8月）'!AP1</f>
        <v>0</v>
      </c>
      <c r="D8" s="190"/>
      <c r="E8" s="189"/>
      <c r="F8" s="190">
        <f t="shared" si="0"/>
        <v>0</v>
      </c>
      <c r="G8" s="189"/>
      <c r="H8" s="189">
        <f t="shared" si="1"/>
        <v>0</v>
      </c>
      <c r="I8" s="216"/>
    </row>
    <row r="9" ht="16.5" spans="1:9">
      <c r="A9" s="191"/>
      <c r="B9" s="188"/>
      <c r="C9" s="189"/>
      <c r="D9" s="190"/>
      <c r="E9" s="189"/>
      <c r="F9" s="190">
        <f t="shared" si="0"/>
        <v>0</v>
      </c>
      <c r="G9" s="189"/>
      <c r="H9" s="189">
        <f t="shared" si="1"/>
        <v>0</v>
      </c>
      <c r="I9" s="216"/>
    </row>
    <row r="10" ht="16.5" spans="1:9">
      <c r="A10" s="192" t="s">
        <v>19</v>
      </c>
      <c r="B10" s="193"/>
      <c r="C10" s="190"/>
      <c r="D10" s="190"/>
      <c r="E10" s="189"/>
      <c r="F10" s="190">
        <f t="shared" si="0"/>
        <v>0</v>
      </c>
      <c r="G10" s="189"/>
      <c r="H10" s="189">
        <f t="shared" si="1"/>
        <v>0</v>
      </c>
      <c r="I10" s="193"/>
    </row>
    <row r="11" ht="16.5" spans="1:9">
      <c r="A11" s="194"/>
      <c r="B11" s="184"/>
      <c r="C11" s="190"/>
      <c r="D11" s="190"/>
      <c r="E11" s="189"/>
      <c r="F11" s="190"/>
      <c r="G11" s="189"/>
      <c r="H11" s="189"/>
      <c r="I11" s="193"/>
    </row>
    <row r="12" ht="16.5" spans="1:9">
      <c r="A12" s="194"/>
      <c r="B12" s="193"/>
      <c r="C12" s="190"/>
      <c r="D12" s="190"/>
      <c r="E12" s="189"/>
      <c r="F12" s="190"/>
      <c r="G12" s="189"/>
      <c r="H12" s="189"/>
      <c r="I12" s="193"/>
    </row>
    <row r="13" ht="16.5" spans="1:9">
      <c r="A13" s="194"/>
      <c r="B13" s="184"/>
      <c r="C13" s="190"/>
      <c r="D13" s="190"/>
      <c r="E13" s="189"/>
      <c r="F13" s="190"/>
      <c r="G13" s="189"/>
      <c r="H13" s="189"/>
      <c r="I13" s="193"/>
    </row>
    <row r="14" ht="16.5" spans="1:9">
      <c r="A14" s="194"/>
      <c r="B14" s="184"/>
      <c r="C14" s="189"/>
      <c r="D14" s="189"/>
      <c r="E14" s="189"/>
      <c r="F14" s="190"/>
      <c r="G14" s="189"/>
      <c r="H14" s="189"/>
      <c r="I14" s="193"/>
    </row>
    <row r="15" ht="16.5" spans="1:9">
      <c r="A15" s="195"/>
      <c r="B15" s="196" t="s">
        <v>20</v>
      </c>
      <c r="C15" s="197">
        <f t="shared" ref="C15:H15" si="2">SUM(C6:C13)</f>
        <v>882</v>
      </c>
      <c r="D15" s="197">
        <f t="shared" si="2"/>
        <v>750</v>
      </c>
      <c r="E15" s="197">
        <f t="shared" si="2"/>
        <v>0</v>
      </c>
      <c r="F15" s="197">
        <f t="shared" si="2"/>
        <v>1632</v>
      </c>
      <c r="G15" s="197">
        <f t="shared" si="2"/>
        <v>0</v>
      </c>
      <c r="H15" s="197">
        <f t="shared" si="2"/>
        <v>1632</v>
      </c>
      <c r="I15" s="193"/>
    </row>
    <row r="16" spans="1:9">
      <c r="A16" s="198" t="s">
        <v>21</v>
      </c>
      <c r="B16" s="198"/>
      <c r="C16" s="198"/>
      <c r="D16" s="198"/>
      <c r="E16" s="199"/>
      <c r="F16" s="200"/>
      <c r="G16" s="201"/>
      <c r="H16" s="201"/>
      <c r="I16" s="217"/>
    </row>
    <row r="17" s="174" customFormat="1" ht="54" customHeight="1" spans="1:9">
      <c r="A17" s="202" t="s">
        <v>22</v>
      </c>
      <c r="B17" s="203"/>
      <c r="C17" s="203"/>
      <c r="D17" s="203"/>
      <c r="E17" s="204" t="s">
        <v>23</v>
      </c>
      <c r="F17" s="204"/>
      <c r="G17" s="204"/>
      <c r="H17" s="204"/>
      <c r="I17" s="204"/>
    </row>
    <row r="18" spans="1:10">
      <c r="A18" s="205" t="s">
        <v>24</v>
      </c>
      <c r="B18" s="206"/>
      <c r="C18" s="206"/>
      <c r="D18" s="206"/>
      <c r="E18" s="207"/>
      <c r="F18" s="207"/>
      <c r="G18" s="207"/>
      <c r="H18" s="207"/>
      <c r="I18" s="207"/>
      <c r="J18" s="218"/>
    </row>
    <row r="19" spans="1:10">
      <c r="A19" s="208" t="s">
        <v>25</v>
      </c>
      <c r="B19" s="209"/>
      <c r="C19" s="209"/>
      <c r="D19" s="209"/>
      <c r="E19" s="207"/>
      <c r="F19" s="207"/>
      <c r="G19" s="207"/>
      <c r="H19" s="207"/>
      <c r="I19" s="207"/>
      <c r="J19" s="218"/>
    </row>
    <row r="20" spans="1:10">
      <c r="A20" s="205" t="s">
        <v>26</v>
      </c>
      <c r="B20" s="206"/>
      <c r="C20" s="206"/>
      <c r="D20" s="206"/>
      <c r="E20" s="207"/>
      <c r="F20" s="207"/>
      <c r="G20" s="207"/>
      <c r="H20" s="207"/>
      <c r="I20" s="207"/>
      <c r="J20" s="218"/>
    </row>
    <row r="21" spans="1:10">
      <c r="A21" s="210" t="s">
        <v>27</v>
      </c>
      <c r="B21" s="211"/>
      <c r="C21" s="211"/>
      <c r="D21" s="211"/>
      <c r="E21" s="207"/>
      <c r="F21" s="207"/>
      <c r="G21" s="207"/>
      <c r="H21" s="207"/>
      <c r="I21" s="207"/>
      <c r="J21" s="218"/>
    </row>
    <row r="22" spans="1:10">
      <c r="A22" s="205" t="s">
        <v>28</v>
      </c>
      <c r="B22" s="206"/>
      <c r="C22" s="206"/>
      <c r="D22" s="206"/>
      <c r="E22" s="207"/>
      <c r="F22" s="207"/>
      <c r="G22" s="207"/>
      <c r="H22" s="207"/>
      <c r="I22" s="207"/>
      <c r="J22" s="218"/>
    </row>
    <row r="23" ht="15" spans="1:10">
      <c r="A23" s="205" t="s">
        <v>29</v>
      </c>
      <c r="B23" s="206"/>
      <c r="C23" s="206"/>
      <c r="D23" s="206"/>
      <c r="E23" s="207"/>
      <c r="F23" s="207"/>
      <c r="G23" s="207"/>
      <c r="H23" s="207"/>
      <c r="I23" s="207"/>
      <c r="J23" s="219"/>
    </row>
  </sheetData>
  <mergeCells count="12">
    <mergeCell ref="A1:I1"/>
    <mergeCell ref="A16:D16"/>
    <mergeCell ref="A17:D17"/>
    <mergeCell ref="A18:D18"/>
    <mergeCell ref="A19:D19"/>
    <mergeCell ref="A20:D20"/>
    <mergeCell ref="A21:D21"/>
    <mergeCell ref="A22:D22"/>
    <mergeCell ref="A23:D23"/>
    <mergeCell ref="A6:A7"/>
    <mergeCell ref="A8:A9"/>
    <mergeCell ref="E17:I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9"/>
  <sheetViews>
    <sheetView topLeftCell="G1" workbookViewId="0">
      <selection activeCell="R4" sqref="R4:R7"/>
    </sheetView>
  </sheetViews>
  <sheetFormatPr defaultColWidth="8.35833333333333" defaultRowHeight="14.25"/>
  <cols>
    <col min="1" max="1" width="16.6916666666667" style="146" customWidth="1"/>
    <col min="2" max="3" width="7.45" style="146" customWidth="1"/>
    <col min="4" max="4" width="13.5" style="146" customWidth="1"/>
    <col min="5" max="5" width="18.6333333333333" style="146" customWidth="1" outlineLevel="1"/>
    <col min="6" max="6" width="8.25" style="146" customWidth="1" outlineLevel="1"/>
    <col min="7" max="7" width="15.5083333333333" style="146" customWidth="1"/>
    <col min="8" max="8" width="7.075" style="146" customWidth="1" outlineLevel="1"/>
    <col min="9" max="9" width="6" style="146" customWidth="1" outlineLevel="1"/>
    <col min="10" max="10" width="5.69166666666667" style="146" customWidth="1" outlineLevel="1"/>
    <col min="11" max="11" width="19.3166666666667" style="146" customWidth="1"/>
    <col min="12" max="12" width="21.1333333333333" style="146" customWidth="1"/>
    <col min="13" max="13" width="10.1333333333333" style="146" customWidth="1"/>
    <col min="14" max="14" width="11.4416666666667" style="146" customWidth="1" outlineLevel="1"/>
    <col min="15" max="15" width="5.34166666666667" style="147" customWidth="1"/>
    <col min="16" max="16" width="6.8" style="147" customWidth="1"/>
    <col min="17" max="17" width="7.95" style="146" customWidth="1"/>
    <col min="18" max="18" width="11.2583333333333" style="146" customWidth="1"/>
    <col min="19" max="19" width="6.38333333333333" style="146" customWidth="1"/>
    <col min="20" max="20" width="5.025" style="146" customWidth="1"/>
    <col min="21" max="21" width="7.11666666666667" style="146" customWidth="1"/>
    <col min="22" max="23" width="9" style="146" customWidth="1"/>
    <col min="24" max="24" width="41.0083333333333" style="146" customWidth="1"/>
    <col min="25" max="25" width="9.1" style="146" customWidth="1"/>
    <col min="26" max="26" width="7.21666666666667" style="146" customWidth="1"/>
    <col min="27" max="27" width="9.1" style="144" customWidth="1"/>
    <col min="28" max="28" width="9.73333333333333" style="144" customWidth="1"/>
    <col min="29" max="29" width="9.1" style="144" customWidth="1"/>
    <col min="30" max="30" width="9.1" style="146" customWidth="1"/>
    <col min="31" max="31" width="9.1" style="144" customWidth="1"/>
    <col min="32" max="32" width="17.3666666666667" style="144" customWidth="1"/>
    <col min="33" max="16384" width="8.35833333333333" style="144"/>
  </cols>
  <sheetData>
    <row r="1" s="144" customFormat="1" ht="22.5" spans="1:30">
      <c r="A1" s="148" t="s">
        <v>30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55"/>
      <c r="P1" s="155"/>
      <c r="Q1" s="159"/>
      <c r="R1" s="160"/>
      <c r="S1" s="161"/>
      <c r="T1" s="161"/>
      <c r="U1" s="161"/>
      <c r="V1" s="161">
        <f>SUM(V4:V7)</f>
        <v>882</v>
      </c>
      <c r="W1" s="161">
        <f>SUM(W4:W7)</f>
        <v>1632</v>
      </c>
      <c r="X1" s="146"/>
      <c r="Y1" s="146"/>
      <c r="Z1" s="146"/>
      <c r="AD1" s="146"/>
    </row>
    <row r="2" s="144" customFormat="1" ht="16.5" spans="1:30">
      <c r="A2" s="149" t="s">
        <v>31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6"/>
      <c r="P2" s="156"/>
      <c r="Q2" s="162"/>
      <c r="R2" s="163"/>
      <c r="S2" s="164" t="s">
        <v>32</v>
      </c>
      <c r="T2" s="165"/>
      <c r="U2" s="165"/>
      <c r="V2" s="166"/>
      <c r="W2" s="112" t="s">
        <v>33</v>
      </c>
      <c r="X2" s="146"/>
      <c r="Y2" s="146"/>
      <c r="Z2" s="146"/>
      <c r="AD2" s="146"/>
    </row>
    <row r="3" s="145" customFormat="1" ht="33" spans="1:30">
      <c r="A3" s="151" t="s">
        <v>34</v>
      </c>
      <c r="B3" s="152" t="s">
        <v>35</v>
      </c>
      <c r="C3" s="151" t="s">
        <v>36</v>
      </c>
      <c r="D3" s="152" t="s">
        <v>37</v>
      </c>
      <c r="E3" s="151" t="s">
        <v>38</v>
      </c>
      <c r="F3" s="151" t="s">
        <v>39</v>
      </c>
      <c r="G3" s="151" t="s">
        <v>40</v>
      </c>
      <c r="H3" s="151" t="s">
        <v>41</v>
      </c>
      <c r="I3" s="151" t="s">
        <v>42</v>
      </c>
      <c r="J3" s="151" t="s">
        <v>43</v>
      </c>
      <c r="K3" s="151" t="s">
        <v>44</v>
      </c>
      <c r="L3" s="151" t="s">
        <v>45</v>
      </c>
      <c r="M3" s="157" t="s">
        <v>46</v>
      </c>
      <c r="N3" s="151" t="s">
        <v>47</v>
      </c>
      <c r="O3" s="158" t="s">
        <v>48</v>
      </c>
      <c r="P3" s="157" t="s">
        <v>49</v>
      </c>
      <c r="Q3" s="151" t="s">
        <v>50</v>
      </c>
      <c r="R3" s="167" t="s">
        <v>51</v>
      </c>
      <c r="S3" s="86" t="s">
        <v>49</v>
      </c>
      <c r="T3" s="86" t="s">
        <v>48</v>
      </c>
      <c r="U3" s="86" t="s">
        <v>52</v>
      </c>
      <c r="V3" s="86" t="s">
        <v>53</v>
      </c>
      <c r="W3" s="86"/>
      <c r="X3" s="168"/>
      <c r="Y3" s="168"/>
      <c r="Z3" s="168"/>
      <c r="AD3" s="168"/>
    </row>
    <row r="4" spans="1:23">
      <c r="A4" s="2" t="s">
        <v>54</v>
      </c>
      <c r="B4" s="2" t="s">
        <v>55</v>
      </c>
      <c r="C4" s="2" t="s">
        <v>56</v>
      </c>
      <c r="D4" s="153">
        <v>45889</v>
      </c>
      <c r="E4" s="2" t="s">
        <v>57</v>
      </c>
      <c r="F4" s="2" t="s">
        <v>58</v>
      </c>
      <c r="G4" s="2" t="s">
        <v>59</v>
      </c>
      <c r="H4" s="2">
        <f>COUNTIF(G:G,G4)</f>
        <v>4</v>
      </c>
      <c r="I4" s="2">
        <v>1</v>
      </c>
      <c r="J4" s="3" t="s">
        <v>60</v>
      </c>
      <c r="K4" s="2" t="s">
        <v>61</v>
      </c>
      <c r="L4" s="2" t="str">
        <f>VLOOKUP(K4,物品明细!A:B,2,0)</f>
        <v>金属储物柜71英寸银色</v>
      </c>
      <c r="M4" s="2">
        <v>247</v>
      </c>
      <c r="N4" s="2" t="s">
        <v>62</v>
      </c>
      <c r="O4" s="2">
        <v>247</v>
      </c>
      <c r="P4" s="2">
        <v>21</v>
      </c>
      <c r="Q4" s="2"/>
      <c r="R4" s="169">
        <v>750</v>
      </c>
      <c r="S4" s="2">
        <f>P4</f>
        <v>21</v>
      </c>
      <c r="T4" s="2"/>
      <c r="U4" s="170">
        <v>14</v>
      </c>
      <c r="V4" s="170">
        <f>U4*S4</f>
        <v>294</v>
      </c>
      <c r="W4" s="171">
        <f>V4+R4</f>
        <v>1044</v>
      </c>
    </row>
    <row r="5" spans="1:23">
      <c r="A5" s="2" t="s">
        <v>54</v>
      </c>
      <c r="B5" s="2" t="s">
        <v>55</v>
      </c>
      <c r="C5" s="2" t="s">
        <v>56</v>
      </c>
      <c r="D5" s="153">
        <v>45889</v>
      </c>
      <c r="E5" s="2" t="s">
        <v>57</v>
      </c>
      <c r="F5" s="2" t="s">
        <v>58</v>
      </c>
      <c r="G5" s="2" t="s">
        <v>59</v>
      </c>
      <c r="H5" s="2">
        <f>COUNTIF(G:G,G5)</f>
        <v>4</v>
      </c>
      <c r="I5" s="2">
        <v>0</v>
      </c>
      <c r="J5" s="3" t="s">
        <v>60</v>
      </c>
      <c r="K5" s="2" t="s">
        <v>63</v>
      </c>
      <c r="L5" s="2" t="str">
        <f>VLOOKUP(K5,物品明细!A:B,2,0)</f>
        <v>金属储物柜71英寸灰色</v>
      </c>
      <c r="M5" s="2">
        <v>223</v>
      </c>
      <c r="N5" s="2" t="s">
        <v>62</v>
      </c>
      <c r="O5" s="2">
        <v>223</v>
      </c>
      <c r="P5" s="2">
        <v>19</v>
      </c>
      <c r="Q5" s="2"/>
      <c r="R5" s="172"/>
      <c r="S5" s="2">
        <f>P5</f>
        <v>19</v>
      </c>
      <c r="T5" s="2"/>
      <c r="U5" s="170">
        <v>14</v>
      </c>
      <c r="V5" s="170">
        <f>U5*S5</f>
        <v>266</v>
      </c>
      <c r="W5" s="171">
        <f>V5+R5</f>
        <v>266</v>
      </c>
    </row>
    <row r="6" spans="1:23">
      <c r="A6" s="2" t="s">
        <v>54</v>
      </c>
      <c r="B6" s="2" t="s">
        <v>55</v>
      </c>
      <c r="C6" s="2" t="s">
        <v>56</v>
      </c>
      <c r="D6" s="153">
        <v>45889</v>
      </c>
      <c r="E6" s="2" t="s">
        <v>57</v>
      </c>
      <c r="F6" s="2" t="s">
        <v>58</v>
      </c>
      <c r="G6" s="2" t="s">
        <v>59</v>
      </c>
      <c r="H6" s="2">
        <f>COUNTIF(G:G,G6)</f>
        <v>4</v>
      </c>
      <c r="I6" s="2">
        <v>0</v>
      </c>
      <c r="J6" s="3" t="s">
        <v>60</v>
      </c>
      <c r="K6" s="2" t="s">
        <v>64</v>
      </c>
      <c r="L6" s="2" t="str">
        <f>VLOOKUP(K6,物品明细!A:B,2,0)</f>
        <v>金属储物柜71英寸高</v>
      </c>
      <c r="M6" s="2">
        <v>151</v>
      </c>
      <c r="N6" s="2" t="s">
        <v>62</v>
      </c>
      <c r="O6" s="2">
        <v>151</v>
      </c>
      <c r="P6" s="2">
        <v>13</v>
      </c>
      <c r="Q6" s="2"/>
      <c r="R6" s="172"/>
      <c r="S6" s="2">
        <f>P6</f>
        <v>13</v>
      </c>
      <c r="T6" s="2"/>
      <c r="U6" s="170">
        <v>14</v>
      </c>
      <c r="V6" s="170">
        <f>U6*S6</f>
        <v>182</v>
      </c>
      <c r="W6" s="171">
        <f>V6+R6</f>
        <v>182</v>
      </c>
    </row>
    <row r="7" spans="1:23">
      <c r="A7" s="2" t="s">
        <v>54</v>
      </c>
      <c r="B7" s="2" t="s">
        <v>55</v>
      </c>
      <c r="C7" s="2" t="s">
        <v>56</v>
      </c>
      <c r="D7" s="153">
        <v>45889</v>
      </c>
      <c r="E7" s="2" t="s">
        <v>57</v>
      </c>
      <c r="F7" s="2" t="s">
        <v>58</v>
      </c>
      <c r="G7" s="2" t="s">
        <v>59</v>
      </c>
      <c r="H7" s="2">
        <f>COUNTIF(G:G,G7)</f>
        <v>4</v>
      </c>
      <c r="I7" s="2">
        <v>0</v>
      </c>
      <c r="J7" s="3" t="s">
        <v>60</v>
      </c>
      <c r="K7" s="2" t="s">
        <v>65</v>
      </c>
      <c r="L7" s="2" t="str">
        <f>VLOOKUP(K7,物品明细!A:B,2,0)</f>
        <v>德国联邦快递金属储物柜</v>
      </c>
      <c r="M7" s="2">
        <v>117</v>
      </c>
      <c r="N7" s="2" t="s">
        <v>62</v>
      </c>
      <c r="O7" s="2">
        <v>117</v>
      </c>
      <c r="P7" s="2">
        <v>10</v>
      </c>
      <c r="Q7" s="2"/>
      <c r="R7" s="173"/>
      <c r="S7" s="2">
        <f>P7</f>
        <v>10</v>
      </c>
      <c r="T7" s="2"/>
      <c r="U7" s="170">
        <v>14</v>
      </c>
      <c r="V7" s="170">
        <f>U7*S7</f>
        <v>140</v>
      </c>
      <c r="W7" s="171">
        <f>V7+R7</f>
        <v>140</v>
      </c>
    </row>
    <row r="9" spans="1:2">
      <c r="A9" s="154"/>
      <c r="B9" s="154"/>
    </row>
  </sheetData>
  <autoFilter xmlns:etc="http://www.wps.cn/officeDocument/2017/etCustomData" ref="A3:AD7" etc:filterBottomFollowUsedRange="0">
    <extLst/>
  </autoFilter>
  <mergeCells count="5">
    <mergeCell ref="A1:Q1"/>
    <mergeCell ref="A2:Q2"/>
    <mergeCell ref="S2:V2"/>
    <mergeCell ref="R4:R7"/>
    <mergeCell ref="W2:W3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048519"/>
  <sheetViews>
    <sheetView workbookViewId="0">
      <pane xSplit="4" ySplit="4" topLeftCell="E5" activePane="bottomRight" state="frozen"/>
      <selection/>
      <selection pane="topRight"/>
      <selection pane="bottomLeft"/>
      <selection pane="bottomRight" activeCell="I9" sqref="I9"/>
    </sheetView>
  </sheetViews>
  <sheetFormatPr defaultColWidth="8.8" defaultRowHeight="16.5"/>
  <cols>
    <col min="1" max="1" width="17.3833333333333" style="62" customWidth="1"/>
    <col min="2" max="2" width="4.75" style="63" customWidth="1"/>
    <col min="3" max="3" width="5.05" style="63" customWidth="1"/>
    <col min="4" max="4" width="3.94166666666667" style="63" customWidth="1"/>
    <col min="5" max="5" width="7.875" style="63" customWidth="1"/>
    <col min="6" max="6" width="8.8" style="63"/>
    <col min="7" max="7" width="12.6916666666667" style="63" customWidth="1"/>
    <col min="8" max="8" width="12.375" style="64" customWidth="1"/>
    <col min="9" max="9" width="12" style="63" customWidth="1"/>
    <col min="10" max="10" width="9.7" style="63" customWidth="1" outlineLevel="1"/>
    <col min="11" max="13" width="8.8" style="63" outlineLevel="1"/>
    <col min="14" max="14" width="19.4" style="63" customWidth="1" outlineLevel="1"/>
    <col min="15" max="15" width="5.31666666666667" style="63" customWidth="1"/>
    <col min="16" max="18" width="8.8" style="63" outlineLevel="1"/>
    <col min="19" max="19" width="32.75" style="63" customWidth="1"/>
    <col min="20" max="20" width="26.5666666666667" style="62" customWidth="1"/>
    <col min="21" max="21" width="8.8" style="62"/>
    <col min="22" max="22" width="8.8" style="65"/>
    <col min="23" max="23" width="8.8" style="66"/>
    <col min="24" max="25" width="8.8" style="63"/>
    <col min="26" max="26" width="8.06666666666667" style="63" customWidth="1"/>
    <col min="27" max="27" width="22.8166666666667" style="62" customWidth="1"/>
    <col min="28" max="29" width="10.5" style="63"/>
    <col min="30" max="31" width="6.00833333333333" style="63" customWidth="1"/>
    <col min="32" max="32" width="8.8" style="67" outlineLevel="1"/>
    <col min="33" max="34" width="5.45" style="63" customWidth="1" outlineLevel="1"/>
    <col min="35" max="35" width="9.13333333333333" style="63" customWidth="1" outlineLevel="1"/>
    <col min="36" max="36" width="6.06666666666667" style="63" customWidth="1" outlineLevel="1"/>
    <col min="37" max="37" width="6.06666666666667" style="68" customWidth="1"/>
    <col min="38" max="38" width="9.13333333333333" style="68" customWidth="1" outlineLevel="1"/>
    <col min="39" max="39" width="5.38333333333333" style="69" customWidth="1" outlineLevel="1"/>
    <col min="40" max="40" width="5.38333333333333" style="63" customWidth="1" outlineLevel="1"/>
    <col min="41" max="41" width="8.8" style="63" outlineLevel="1"/>
    <col min="42" max="42" width="4.31666666666667" style="63" customWidth="1" outlineLevel="1"/>
    <col min="43" max="43" width="4.31666666666667" style="63" customWidth="1"/>
    <col min="44" max="44" width="8.8" style="63" outlineLevel="1"/>
    <col min="45" max="46" width="4.25833333333333" style="63" customWidth="1"/>
    <col min="47" max="47" width="8.8" style="63"/>
    <col min="48" max="48" width="4.81666666666667" style="63" customWidth="1" outlineLevel="1"/>
    <col min="49" max="49" width="8.25833333333333" style="63" customWidth="1"/>
    <col min="50" max="50" width="8.38333333333333" style="63" customWidth="1"/>
    <col min="51" max="51" width="7.125" style="63" customWidth="1"/>
    <col min="52" max="55" width="4.69166666666667" style="63" customWidth="1"/>
    <col min="56" max="56" width="6.56666666666667" style="70" customWidth="1"/>
    <col min="57" max="57" width="11.0666666666667" style="63" customWidth="1"/>
    <col min="58" max="58" width="5.56666666666667" style="63" customWidth="1"/>
    <col min="59" max="59" width="7.63333333333333" style="71" customWidth="1"/>
    <col min="60" max="60" width="10.6916666666667" style="63" customWidth="1"/>
    <col min="61" max="61" width="5.31666666666667" style="63" customWidth="1"/>
    <col min="62" max="62" width="8.8" style="72"/>
    <col min="63" max="63" width="6.81666666666667" style="63" customWidth="1"/>
    <col min="64" max="64" width="5.75833333333333" style="63" customWidth="1"/>
    <col min="65" max="65" width="7.25" style="63" customWidth="1"/>
    <col min="66" max="67" width="5.81666666666667" style="63" customWidth="1"/>
    <col min="68" max="68" width="7.69166666666667" style="73" customWidth="1"/>
    <col min="69" max="69" width="8.825" style="63" customWidth="1"/>
    <col min="70" max="71" width="5.625" style="63" customWidth="1"/>
    <col min="72" max="72" width="11.0666666666667" style="74" customWidth="1"/>
    <col min="73" max="73" width="9.19166666666667" style="74" customWidth="1"/>
    <col min="74" max="74" width="10.1333333333333" style="74" customWidth="1"/>
    <col min="75" max="75" width="11.0666666666667" style="23" customWidth="1"/>
  </cols>
  <sheetData>
    <row r="1" s="23" customFormat="1" ht="22.5" spans="1:74">
      <c r="A1" s="75" t="s">
        <v>66</v>
      </c>
      <c r="B1" s="76"/>
      <c r="C1" s="76"/>
      <c r="D1" s="76"/>
      <c r="E1" s="76"/>
      <c r="F1" s="76"/>
      <c r="G1" s="76"/>
      <c r="H1" s="77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5"/>
      <c r="U1" s="75"/>
      <c r="V1" s="89"/>
      <c r="W1" s="90"/>
      <c r="X1" s="76"/>
      <c r="Y1" s="76"/>
      <c r="Z1" s="76"/>
      <c r="AA1" s="75"/>
      <c r="AB1" s="76"/>
      <c r="AC1" s="76"/>
      <c r="AD1" s="76"/>
      <c r="AE1" s="76"/>
      <c r="AF1" s="76"/>
      <c r="AG1" s="99"/>
      <c r="AH1" s="99"/>
      <c r="AI1" s="99" t="e">
        <f>SUM(#REF!)</f>
        <v>#REF!</v>
      </c>
      <c r="AJ1" s="100"/>
      <c r="AK1" s="101"/>
      <c r="AL1" s="100" t="e">
        <f>SUM(#REF!)</f>
        <v>#REF!</v>
      </c>
      <c r="AM1" s="102"/>
      <c r="AN1" s="100"/>
      <c r="AO1" s="100" t="e">
        <f>SUM(#REF!)</f>
        <v>#REF!</v>
      </c>
      <c r="AP1" s="99"/>
      <c r="AQ1" s="99"/>
      <c r="AR1" s="99" t="e">
        <f>SUM(#REF!)</f>
        <v>#REF!</v>
      </c>
      <c r="AS1" s="100"/>
      <c r="AT1" s="100"/>
      <c r="AU1" s="100" t="e">
        <f>SUM(#REF!)</f>
        <v>#REF!</v>
      </c>
      <c r="AV1" s="99"/>
      <c r="AW1" s="99"/>
      <c r="AX1" s="99" t="e">
        <f>SUM(#REF!)</f>
        <v>#REF!</v>
      </c>
      <c r="AY1" s="100" t="e">
        <f>SUM(#REF!)</f>
        <v>#REF!</v>
      </c>
      <c r="AZ1" s="100"/>
      <c r="BA1" s="100"/>
      <c r="BB1" s="100"/>
      <c r="BC1" s="100"/>
      <c r="BD1" s="120"/>
      <c r="BE1" s="100"/>
      <c r="BF1" s="100"/>
      <c r="BG1" s="100"/>
      <c r="BH1" s="100" t="e">
        <f>SUM(#REF!)</f>
        <v>#REF!</v>
      </c>
      <c r="BI1" s="100"/>
      <c r="BJ1" s="100" t="e">
        <f>SUM(#REF!)</f>
        <v>#REF!</v>
      </c>
      <c r="BK1" s="100"/>
      <c r="BL1" s="100"/>
      <c r="BM1" s="100"/>
      <c r="BN1" s="100"/>
      <c r="BO1" s="100"/>
      <c r="BP1" s="135"/>
      <c r="BQ1" s="100" t="e">
        <f>SUM(#REF!)</f>
        <v>#REF!</v>
      </c>
      <c r="BR1" s="100"/>
      <c r="BS1" s="100"/>
      <c r="BT1" s="100" t="e">
        <f>SUM(#REF!)</f>
        <v>#REF!</v>
      </c>
      <c r="BU1" s="100" t="e">
        <f>SUM(#REF!)</f>
        <v>#REF!</v>
      </c>
      <c r="BV1" s="100" t="e">
        <f>SUM(#REF!)</f>
        <v>#REF!</v>
      </c>
    </row>
    <row r="2" s="23" customFormat="1" ht="15" spans="1:74">
      <c r="A2" s="37"/>
      <c r="B2" s="21"/>
      <c r="C2" s="21"/>
      <c r="D2" s="21"/>
      <c r="E2" s="21"/>
      <c r="F2" s="21"/>
      <c r="G2" s="78"/>
      <c r="H2" s="79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91"/>
      <c r="U2" s="91"/>
      <c r="V2" s="92"/>
      <c r="W2" s="93"/>
      <c r="X2" s="78"/>
      <c r="Y2" s="78"/>
      <c r="Z2" s="78"/>
      <c r="AA2" s="91"/>
      <c r="AB2" s="78"/>
      <c r="AC2" s="78"/>
      <c r="AD2" s="78"/>
      <c r="AE2" s="78"/>
      <c r="AF2" s="78"/>
      <c r="AG2" s="103"/>
      <c r="AH2" s="104"/>
      <c r="AI2" s="104"/>
      <c r="AJ2" s="105"/>
      <c r="AK2" s="105"/>
      <c r="AL2" s="105"/>
      <c r="AM2" s="105"/>
      <c r="AN2" s="105"/>
      <c r="AO2" s="105"/>
      <c r="AP2" s="104"/>
      <c r="AQ2" s="104"/>
      <c r="AR2" s="104"/>
      <c r="AS2" s="105"/>
      <c r="AT2" s="105"/>
      <c r="AU2" s="105"/>
      <c r="AV2" s="104"/>
      <c r="AW2" s="104"/>
      <c r="AX2" s="104"/>
      <c r="AY2" s="121"/>
      <c r="AZ2" s="122" t="s">
        <v>67</v>
      </c>
      <c r="BA2" s="123"/>
      <c r="BB2" s="123"/>
      <c r="BC2" s="123"/>
      <c r="BD2" s="124"/>
      <c r="BE2" s="123"/>
      <c r="BF2" s="123"/>
      <c r="BG2" s="123"/>
      <c r="BH2" s="123"/>
      <c r="BI2" s="123"/>
      <c r="BJ2" s="129"/>
      <c r="BK2" s="123"/>
      <c r="BL2" s="123"/>
      <c r="BM2" s="123"/>
      <c r="BN2" s="123"/>
      <c r="BO2" s="123"/>
      <c r="BP2" s="136"/>
      <c r="BQ2" s="123"/>
      <c r="BR2" s="123"/>
      <c r="BS2" s="123"/>
      <c r="BT2" s="123"/>
      <c r="BU2" s="123"/>
      <c r="BV2" s="138" t="s">
        <v>68</v>
      </c>
    </row>
    <row r="3" s="23" customFormat="1" ht="15" spans="1:74">
      <c r="A3" s="80" t="s">
        <v>69</v>
      </c>
      <c r="B3" s="81"/>
      <c r="C3" s="81"/>
      <c r="D3" s="81"/>
      <c r="E3" s="81"/>
      <c r="F3" s="81"/>
      <c r="G3" s="81"/>
      <c r="H3" s="82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94"/>
      <c r="U3" s="94"/>
      <c r="V3" s="94"/>
      <c r="W3" s="95"/>
      <c r="X3" s="81"/>
      <c r="Y3" s="81"/>
      <c r="Z3" s="97" t="s">
        <v>70</v>
      </c>
      <c r="AA3" s="94"/>
      <c r="AB3" s="81"/>
      <c r="AC3" s="81"/>
      <c r="AD3" s="81"/>
      <c r="AE3" s="81"/>
      <c r="AF3" s="81"/>
      <c r="AG3" s="106" t="s">
        <v>71</v>
      </c>
      <c r="AH3" s="107"/>
      <c r="AI3" s="107"/>
      <c r="AJ3" s="108" t="s">
        <v>72</v>
      </c>
      <c r="AK3" s="109"/>
      <c r="AL3" s="110"/>
      <c r="AM3" s="111" t="s">
        <v>73</v>
      </c>
      <c r="AN3" s="112"/>
      <c r="AO3" s="117"/>
      <c r="AP3" s="106" t="s">
        <v>74</v>
      </c>
      <c r="AQ3" s="107"/>
      <c r="AR3" s="107"/>
      <c r="AS3" s="108" t="s">
        <v>75</v>
      </c>
      <c r="AT3" s="112"/>
      <c r="AU3" s="112"/>
      <c r="AV3" s="118" t="s">
        <v>76</v>
      </c>
      <c r="AW3" s="107"/>
      <c r="AX3" s="107"/>
      <c r="AY3" s="125" t="s">
        <v>20</v>
      </c>
      <c r="AZ3" s="108" t="s">
        <v>77</v>
      </c>
      <c r="BA3" s="112"/>
      <c r="BB3" s="112"/>
      <c r="BC3" s="112"/>
      <c r="BD3" s="126"/>
      <c r="BE3" s="112"/>
      <c r="BF3" s="112"/>
      <c r="BG3" s="130"/>
      <c r="BH3" s="112"/>
      <c r="BI3" s="131" t="s">
        <v>78</v>
      </c>
      <c r="BJ3" s="132"/>
      <c r="BK3" s="108" t="s">
        <v>79</v>
      </c>
      <c r="BL3" s="112"/>
      <c r="BM3" s="112"/>
      <c r="BN3" s="112"/>
      <c r="BO3" s="112"/>
      <c r="BP3" s="136"/>
      <c r="BQ3" s="112"/>
      <c r="BR3" s="112" t="s">
        <v>80</v>
      </c>
      <c r="BS3" s="112"/>
      <c r="BT3" s="112"/>
      <c r="BU3" s="125" t="s">
        <v>20</v>
      </c>
      <c r="BV3" s="88"/>
    </row>
    <row r="4" s="23" customFormat="1" ht="60" spans="1:74">
      <c r="A4" s="83" t="s">
        <v>81</v>
      </c>
      <c r="B4" s="84" t="s">
        <v>82</v>
      </c>
      <c r="C4" s="84" t="s">
        <v>83</v>
      </c>
      <c r="D4" s="84" t="s">
        <v>84</v>
      </c>
      <c r="E4" s="85" t="s">
        <v>85</v>
      </c>
      <c r="F4" s="86" t="s">
        <v>86</v>
      </c>
      <c r="G4" s="85" t="s">
        <v>87</v>
      </c>
      <c r="H4" s="87" t="s">
        <v>88</v>
      </c>
      <c r="I4" s="85" t="s">
        <v>89</v>
      </c>
      <c r="J4" s="85" t="s">
        <v>90</v>
      </c>
      <c r="K4" s="85" t="s">
        <v>91</v>
      </c>
      <c r="L4" s="85" t="s">
        <v>92</v>
      </c>
      <c r="M4" s="85" t="s">
        <v>93</v>
      </c>
      <c r="N4" s="88" t="s">
        <v>94</v>
      </c>
      <c r="O4" s="84" t="s">
        <v>95</v>
      </c>
      <c r="P4" s="85" t="s">
        <v>96</v>
      </c>
      <c r="Q4" s="85" t="s">
        <v>97</v>
      </c>
      <c r="R4" s="85" t="s">
        <v>36</v>
      </c>
      <c r="S4" s="85" t="s">
        <v>98</v>
      </c>
      <c r="T4" s="83" t="s">
        <v>99</v>
      </c>
      <c r="U4" s="83" t="s">
        <v>100</v>
      </c>
      <c r="V4" s="83" t="s">
        <v>101</v>
      </c>
      <c r="W4" s="96" t="s">
        <v>102</v>
      </c>
      <c r="X4" s="84" t="s">
        <v>103</v>
      </c>
      <c r="Y4" s="85" t="s">
        <v>104</v>
      </c>
      <c r="Z4" s="85" t="s">
        <v>105</v>
      </c>
      <c r="AA4" s="86" t="s">
        <v>45</v>
      </c>
      <c r="AB4" s="86" t="s">
        <v>106</v>
      </c>
      <c r="AC4" s="86" t="s">
        <v>107</v>
      </c>
      <c r="AD4" s="85" t="s">
        <v>108</v>
      </c>
      <c r="AE4" s="85" t="s">
        <v>109</v>
      </c>
      <c r="AF4" s="98" t="s">
        <v>110</v>
      </c>
      <c r="AG4" s="113" t="s">
        <v>111</v>
      </c>
      <c r="AH4" s="114" t="s">
        <v>112</v>
      </c>
      <c r="AI4" s="114" t="s">
        <v>113</v>
      </c>
      <c r="AJ4" s="113" t="s">
        <v>114</v>
      </c>
      <c r="AK4" s="114" t="s">
        <v>112</v>
      </c>
      <c r="AL4" s="115" t="s">
        <v>113</v>
      </c>
      <c r="AM4" s="116" t="s">
        <v>115</v>
      </c>
      <c r="AN4" s="113" t="s">
        <v>112</v>
      </c>
      <c r="AO4" s="119" t="s">
        <v>113</v>
      </c>
      <c r="AP4" s="114" t="s">
        <v>116</v>
      </c>
      <c r="AQ4" s="114" t="s">
        <v>52</v>
      </c>
      <c r="AR4" s="114" t="s">
        <v>53</v>
      </c>
      <c r="AS4" s="113" t="s">
        <v>115</v>
      </c>
      <c r="AT4" s="113" t="s">
        <v>112</v>
      </c>
      <c r="AU4" s="119" t="s">
        <v>113</v>
      </c>
      <c r="AV4" s="113" t="s">
        <v>117</v>
      </c>
      <c r="AW4" s="113" t="s">
        <v>112</v>
      </c>
      <c r="AX4" s="113" t="s">
        <v>113</v>
      </c>
      <c r="AY4" s="113" t="s">
        <v>118</v>
      </c>
      <c r="AZ4" s="113" t="s">
        <v>111</v>
      </c>
      <c r="BA4" s="113" t="s">
        <v>119</v>
      </c>
      <c r="BB4" s="113" t="s">
        <v>120</v>
      </c>
      <c r="BC4" s="127" t="s">
        <v>121</v>
      </c>
      <c r="BD4" s="128" t="s">
        <v>122</v>
      </c>
      <c r="BE4" s="113" t="s">
        <v>103</v>
      </c>
      <c r="BF4" s="113" t="s">
        <v>123</v>
      </c>
      <c r="BG4" s="113" t="s">
        <v>112</v>
      </c>
      <c r="BH4" s="119" t="s">
        <v>113</v>
      </c>
      <c r="BI4" s="133" t="s">
        <v>124</v>
      </c>
      <c r="BJ4" s="134" t="s">
        <v>125</v>
      </c>
      <c r="BK4" s="113" t="s">
        <v>126</v>
      </c>
      <c r="BL4" s="113" t="s">
        <v>127</v>
      </c>
      <c r="BM4" s="113" t="s">
        <v>128</v>
      </c>
      <c r="BN4" s="113" t="s">
        <v>129</v>
      </c>
      <c r="BO4" s="113" t="s">
        <v>130</v>
      </c>
      <c r="BP4" s="137" t="s">
        <v>131</v>
      </c>
      <c r="BQ4" s="119" t="s">
        <v>132</v>
      </c>
      <c r="BR4" s="113" t="s">
        <v>133</v>
      </c>
      <c r="BS4" s="113" t="s">
        <v>112</v>
      </c>
      <c r="BT4" s="119" t="s">
        <v>113</v>
      </c>
      <c r="BU4" s="139"/>
      <c r="BV4" s="140"/>
    </row>
    <row r="5" spans="68:68">
      <c r="BP5" s="68"/>
    </row>
    <row r="6" spans="68:68">
      <c r="BP6" s="68"/>
    </row>
    <row r="7" spans="68:68">
      <c r="BP7" s="68"/>
    </row>
    <row r="8" spans="68:68">
      <c r="BP8" s="68"/>
    </row>
    <row r="9" spans="68:68">
      <c r="BP9" s="68"/>
    </row>
    <row r="10" spans="68:68">
      <c r="BP10" s="68"/>
    </row>
    <row r="11" spans="68:68">
      <c r="BP11" s="68"/>
    </row>
    <row r="12" spans="68:68">
      <c r="BP12" s="68"/>
    </row>
    <row r="13" spans="68:68">
      <c r="BP13" s="68"/>
    </row>
    <row r="14" spans="68:68">
      <c r="BP14" s="68"/>
    </row>
    <row r="15" spans="68:68">
      <c r="BP15" s="68"/>
    </row>
    <row r="16" spans="68:68">
      <c r="BP16" s="68"/>
    </row>
    <row r="17" spans="68:68">
      <c r="BP17" s="68"/>
    </row>
    <row r="18" spans="68:68">
      <c r="BP18" s="68"/>
    </row>
    <row r="19" spans="68:68">
      <c r="BP19" s="68"/>
    </row>
    <row r="20" spans="68:68">
      <c r="BP20" s="68"/>
    </row>
    <row r="21" spans="68:68">
      <c r="BP21" s="68"/>
    </row>
    <row r="22" spans="68:68">
      <c r="BP22" s="68"/>
    </row>
    <row r="23" spans="68:68">
      <c r="BP23" s="68"/>
    </row>
    <row r="24" spans="68:68">
      <c r="BP24" s="68"/>
    </row>
    <row r="25" spans="68:68">
      <c r="BP25" s="68"/>
    </row>
    <row r="26" spans="68:68">
      <c r="BP26" s="68"/>
    </row>
    <row r="27" spans="68:68">
      <c r="BP27" s="68"/>
    </row>
    <row r="28" spans="68:68">
      <c r="BP28" s="68"/>
    </row>
    <row r="29" spans="68:68">
      <c r="BP29" s="68"/>
    </row>
    <row r="30" spans="68:68">
      <c r="BP30" s="68"/>
    </row>
    <row r="31" spans="68:68">
      <c r="BP31" s="68"/>
    </row>
    <row r="32" spans="68:68">
      <c r="BP32" s="68"/>
    </row>
    <row r="33" spans="68:68">
      <c r="BP33" s="68"/>
    </row>
    <row r="34" spans="68:68">
      <c r="BP34" s="68"/>
    </row>
    <row r="35" spans="68:68">
      <c r="BP35" s="68"/>
    </row>
    <row r="36" spans="68:68">
      <c r="BP36" s="68"/>
    </row>
    <row r="37" spans="68:68">
      <c r="BP37" s="68"/>
    </row>
    <row r="38" spans="68:68">
      <c r="BP38" s="68"/>
    </row>
    <row r="39" spans="68:68">
      <c r="BP39" s="68"/>
    </row>
    <row r="40" spans="68:68">
      <c r="BP40" s="68"/>
    </row>
    <row r="41" spans="68:68">
      <c r="BP41" s="68"/>
    </row>
    <row r="42" spans="68:68">
      <c r="BP42" s="68"/>
    </row>
    <row r="43" spans="68:68">
      <c r="BP43" s="68"/>
    </row>
    <row r="44" spans="68:68">
      <c r="BP44" s="68"/>
    </row>
    <row r="45" spans="68:68">
      <c r="BP45" s="68"/>
    </row>
    <row r="46" spans="68:68">
      <c r="BP46" s="68"/>
    </row>
    <row r="47" spans="68:68">
      <c r="BP47" s="68"/>
    </row>
    <row r="48" spans="68:68">
      <c r="BP48" s="68"/>
    </row>
    <row r="49" spans="68:68">
      <c r="BP49" s="68"/>
    </row>
    <row r="50" spans="68:68">
      <c r="BP50" s="68"/>
    </row>
    <row r="51" spans="68:68">
      <c r="BP51" s="68"/>
    </row>
    <row r="52" spans="68:68">
      <c r="BP52" s="68"/>
    </row>
    <row r="53" spans="68:68">
      <c r="BP53" s="68"/>
    </row>
    <row r="54" spans="68:68">
      <c r="BP54" s="68"/>
    </row>
    <row r="55" spans="68:68">
      <c r="BP55" s="68"/>
    </row>
    <row r="56" spans="68:68">
      <c r="BP56" s="68"/>
    </row>
    <row r="57" spans="68:68">
      <c r="BP57" s="68"/>
    </row>
    <row r="58" spans="68:68">
      <c r="BP58" s="68"/>
    </row>
    <row r="59" spans="68:68">
      <c r="BP59" s="68"/>
    </row>
    <row r="60" spans="68:68">
      <c r="BP60" s="68"/>
    </row>
    <row r="61" spans="68:68">
      <c r="BP61" s="68"/>
    </row>
    <row r="62" spans="68:68">
      <c r="BP62" s="68"/>
    </row>
    <row r="63" spans="68:68">
      <c r="BP63" s="68"/>
    </row>
    <row r="64" spans="68:68">
      <c r="BP64" s="68"/>
    </row>
    <row r="65" spans="68:68">
      <c r="BP65" s="68"/>
    </row>
    <row r="66" spans="68:68">
      <c r="BP66" s="68"/>
    </row>
    <row r="67" spans="68:68">
      <c r="BP67" s="68"/>
    </row>
    <row r="68" spans="68:68">
      <c r="BP68" s="68"/>
    </row>
    <row r="69" spans="68:68">
      <c r="BP69" s="68"/>
    </row>
    <row r="70" spans="68:68">
      <c r="BP70" s="68"/>
    </row>
    <row r="71" spans="68:68">
      <c r="BP71" s="68"/>
    </row>
    <row r="72" spans="68:68">
      <c r="BP72" s="68"/>
    </row>
    <row r="73" spans="68:68">
      <c r="BP73" s="68"/>
    </row>
    <row r="74" spans="68:68">
      <c r="BP74" s="68"/>
    </row>
    <row r="75" spans="68:68">
      <c r="BP75" s="68"/>
    </row>
    <row r="76" spans="68:68">
      <c r="BP76" s="68"/>
    </row>
    <row r="77" spans="68:68">
      <c r="BP77" s="68"/>
    </row>
    <row r="78" spans="68:68">
      <c r="BP78" s="68"/>
    </row>
    <row r="79" spans="68:68">
      <c r="BP79" s="68"/>
    </row>
    <row r="80" spans="68:68">
      <c r="BP80" s="68"/>
    </row>
    <row r="81" spans="68:68">
      <c r="BP81" s="68"/>
    </row>
    <row r="82" spans="68:68">
      <c r="BP82" s="68"/>
    </row>
    <row r="83" spans="68:68">
      <c r="BP83" s="68"/>
    </row>
    <row r="84" spans="68:68">
      <c r="BP84" s="68"/>
    </row>
    <row r="85" spans="68:68">
      <c r="BP85" s="68"/>
    </row>
    <row r="86" spans="68:68">
      <c r="BP86" s="68"/>
    </row>
    <row r="87" spans="68:68">
      <c r="BP87" s="68"/>
    </row>
    <row r="88" spans="68:68">
      <c r="BP88" s="68"/>
    </row>
    <row r="89" spans="68:68">
      <c r="BP89" s="68"/>
    </row>
    <row r="90" spans="68:68">
      <c r="BP90" s="68"/>
    </row>
    <row r="91" spans="68:68">
      <c r="BP91" s="68"/>
    </row>
    <row r="92" spans="68:68">
      <c r="BP92" s="68"/>
    </row>
    <row r="93" spans="68:68">
      <c r="BP93" s="68"/>
    </row>
    <row r="94" spans="68:68">
      <c r="BP94" s="68"/>
    </row>
    <row r="95" spans="68:68">
      <c r="BP95" s="68"/>
    </row>
    <row r="96" spans="68:68">
      <c r="BP96" s="68"/>
    </row>
    <row r="97" spans="68:68">
      <c r="BP97" s="68"/>
    </row>
    <row r="98" spans="68:68">
      <c r="BP98" s="68"/>
    </row>
    <row r="99" spans="68:68">
      <c r="BP99" s="68"/>
    </row>
    <row r="100" spans="68:68">
      <c r="BP100" s="68"/>
    </row>
    <row r="101" spans="68:68">
      <c r="BP101" s="68"/>
    </row>
    <row r="102" spans="68:68">
      <c r="BP102" s="68"/>
    </row>
    <row r="103" spans="68:68">
      <c r="BP103" s="68"/>
    </row>
    <row r="104" spans="68:68">
      <c r="BP104" s="68"/>
    </row>
    <row r="105" spans="68:68">
      <c r="BP105" s="68"/>
    </row>
    <row r="106" spans="68:68">
      <c r="BP106" s="68"/>
    </row>
    <row r="107" spans="68:68">
      <c r="BP107" s="68"/>
    </row>
    <row r="108" spans="68:68">
      <c r="BP108" s="68"/>
    </row>
    <row r="109" spans="68:68">
      <c r="BP109" s="68"/>
    </row>
    <row r="110" spans="68:68">
      <c r="BP110" s="68"/>
    </row>
    <row r="111" spans="68:68">
      <c r="BP111" s="68"/>
    </row>
    <row r="112" spans="68:68">
      <c r="BP112" s="68"/>
    </row>
    <row r="113" spans="68:68">
      <c r="BP113" s="68"/>
    </row>
    <row r="114" spans="68:68">
      <c r="BP114" s="68"/>
    </row>
    <row r="115" spans="68:68">
      <c r="BP115" s="68"/>
    </row>
    <row r="116" spans="68:68">
      <c r="BP116" s="68"/>
    </row>
    <row r="117" spans="68:68">
      <c r="BP117" s="68"/>
    </row>
    <row r="118" spans="68:68">
      <c r="BP118" s="68"/>
    </row>
    <row r="119" spans="68:68">
      <c r="BP119" s="68"/>
    </row>
    <row r="120" spans="68:68">
      <c r="BP120" s="68"/>
    </row>
    <row r="121" spans="68:68">
      <c r="BP121" s="68"/>
    </row>
    <row r="122" spans="68:68">
      <c r="BP122" s="68"/>
    </row>
    <row r="123" spans="68:68">
      <c r="BP123" s="68"/>
    </row>
    <row r="124" spans="68:68">
      <c r="BP124" s="68"/>
    </row>
    <row r="125" spans="68:68">
      <c r="BP125" s="68"/>
    </row>
    <row r="126" spans="68:68">
      <c r="BP126" s="68"/>
    </row>
    <row r="127" spans="68:68">
      <c r="BP127" s="68"/>
    </row>
    <row r="128" spans="68:68">
      <c r="BP128" s="68"/>
    </row>
    <row r="129" spans="68:68">
      <c r="BP129" s="68"/>
    </row>
    <row r="130" spans="68:68">
      <c r="BP130" s="68"/>
    </row>
    <row r="131" spans="68:68">
      <c r="BP131" s="68"/>
    </row>
    <row r="132" spans="68:68">
      <c r="BP132" s="68"/>
    </row>
    <row r="133" spans="68:68">
      <c r="BP133" s="68"/>
    </row>
    <row r="134" spans="68:68">
      <c r="BP134" s="68"/>
    </row>
    <row r="135" spans="68:68">
      <c r="BP135" s="68"/>
    </row>
    <row r="136" spans="68:68">
      <c r="BP136" s="68"/>
    </row>
    <row r="137" spans="68:68">
      <c r="BP137" s="68"/>
    </row>
    <row r="138" spans="68:68">
      <c r="BP138" s="68"/>
    </row>
    <row r="139" spans="68:68">
      <c r="BP139" s="68"/>
    </row>
    <row r="140" spans="68:68">
      <c r="BP140" s="68"/>
    </row>
    <row r="141" spans="68:68">
      <c r="BP141" s="68"/>
    </row>
    <row r="142" spans="68:68">
      <c r="BP142" s="68"/>
    </row>
    <row r="143" spans="68:68">
      <c r="BP143" s="68"/>
    </row>
    <row r="144" spans="68:68">
      <c r="BP144" s="68"/>
    </row>
    <row r="145" spans="68:68">
      <c r="BP145" s="68"/>
    </row>
    <row r="146" spans="68:68">
      <c r="BP146" s="68"/>
    </row>
    <row r="147" spans="68:68">
      <c r="BP147" s="68"/>
    </row>
    <row r="148" spans="68:68">
      <c r="BP148" s="68"/>
    </row>
    <row r="149" spans="68:68">
      <c r="BP149" s="68"/>
    </row>
    <row r="150" spans="68:68">
      <c r="BP150" s="68"/>
    </row>
    <row r="151" spans="68:68">
      <c r="BP151" s="68"/>
    </row>
    <row r="152" spans="68:68">
      <c r="BP152" s="68"/>
    </row>
    <row r="153" spans="68:68">
      <c r="BP153" s="68"/>
    </row>
    <row r="154" spans="68:68">
      <c r="BP154" s="68"/>
    </row>
    <row r="155" spans="68:68">
      <c r="BP155" s="68"/>
    </row>
    <row r="156" spans="68:68">
      <c r="BP156" s="68"/>
    </row>
    <row r="157" spans="68:68">
      <c r="BP157" s="68"/>
    </row>
    <row r="158" spans="68:68">
      <c r="BP158" s="68"/>
    </row>
    <row r="159" spans="68:68">
      <c r="BP159" s="68"/>
    </row>
    <row r="160" spans="68:68">
      <c r="BP160" s="68"/>
    </row>
    <row r="161" spans="68:68">
      <c r="BP161" s="68"/>
    </row>
    <row r="162" spans="68:68">
      <c r="BP162" s="68"/>
    </row>
    <row r="163" spans="68:68">
      <c r="BP163" s="68"/>
    </row>
    <row r="164" spans="68:68">
      <c r="BP164" s="68"/>
    </row>
    <row r="165" spans="68:68">
      <c r="BP165" s="68"/>
    </row>
    <row r="166" spans="68:68">
      <c r="BP166" s="68"/>
    </row>
    <row r="167" spans="68:68">
      <c r="BP167" s="68"/>
    </row>
    <row r="168" spans="68:68">
      <c r="BP168" s="68"/>
    </row>
    <row r="169" spans="68:68">
      <c r="BP169" s="68"/>
    </row>
    <row r="170" spans="68:68">
      <c r="BP170" s="68"/>
    </row>
    <row r="171" spans="68:68">
      <c r="BP171" s="68"/>
    </row>
    <row r="172" spans="68:68">
      <c r="BP172" s="68"/>
    </row>
    <row r="173" spans="68:68">
      <c r="BP173" s="68"/>
    </row>
    <row r="174" spans="68:68">
      <c r="BP174" s="68"/>
    </row>
    <row r="175" spans="68:68">
      <c r="BP175" s="68"/>
    </row>
    <row r="176" spans="68:68">
      <c r="BP176" s="68"/>
    </row>
    <row r="177" spans="68:68">
      <c r="BP177" s="68"/>
    </row>
    <row r="178" spans="68:68">
      <c r="BP178" s="68"/>
    </row>
    <row r="179" spans="68:68">
      <c r="BP179" s="68"/>
    </row>
    <row r="180" spans="68:68">
      <c r="BP180" s="68"/>
    </row>
    <row r="181" spans="68:68">
      <c r="BP181" s="68"/>
    </row>
    <row r="182" spans="68:68">
      <c r="BP182" s="68"/>
    </row>
    <row r="183" spans="68:68">
      <c r="BP183" s="68"/>
    </row>
    <row r="184" spans="68:68">
      <c r="BP184" s="68"/>
    </row>
    <row r="185" spans="68:68">
      <c r="BP185" s="68"/>
    </row>
    <row r="186" spans="68:68">
      <c r="BP186" s="68"/>
    </row>
    <row r="187" spans="68:68">
      <c r="BP187" s="68"/>
    </row>
    <row r="188" spans="68:68">
      <c r="BP188" s="68"/>
    </row>
    <row r="189" spans="68:68">
      <c r="BP189" s="68"/>
    </row>
    <row r="190" spans="68:68">
      <c r="BP190" s="68"/>
    </row>
    <row r="191" spans="68:68">
      <c r="BP191" s="68"/>
    </row>
    <row r="192" spans="68:68">
      <c r="BP192" s="68"/>
    </row>
    <row r="193" spans="68:68">
      <c r="BP193" s="68"/>
    </row>
    <row r="194" spans="68:68">
      <c r="BP194" s="68"/>
    </row>
    <row r="195" spans="68:68">
      <c r="BP195" s="68"/>
    </row>
    <row r="196" spans="68:68">
      <c r="BP196" s="68"/>
    </row>
    <row r="197" spans="68:68">
      <c r="BP197" s="68"/>
    </row>
    <row r="198" spans="68:68">
      <c r="BP198" s="68"/>
    </row>
    <row r="199" spans="68:68">
      <c r="BP199" s="68"/>
    </row>
    <row r="200" spans="68:68">
      <c r="BP200" s="68"/>
    </row>
    <row r="201" spans="68:68">
      <c r="BP201" s="68"/>
    </row>
    <row r="202" spans="68:68">
      <c r="BP202" s="68"/>
    </row>
    <row r="203" spans="68:68">
      <c r="BP203" s="68"/>
    </row>
    <row r="204" spans="68:68">
      <c r="BP204" s="68"/>
    </row>
    <row r="205" spans="68:68">
      <c r="BP205" s="68"/>
    </row>
    <row r="206" spans="68:68">
      <c r="BP206" s="68"/>
    </row>
    <row r="207" spans="68:68">
      <c r="BP207" s="68"/>
    </row>
    <row r="208" spans="68:68">
      <c r="BP208" s="68"/>
    </row>
    <row r="209" spans="68:68">
      <c r="BP209" s="68"/>
    </row>
    <row r="210" spans="68:68">
      <c r="BP210" s="68"/>
    </row>
    <row r="211" spans="68:68">
      <c r="BP211" s="68"/>
    </row>
    <row r="212" spans="68:68">
      <c r="BP212" s="68"/>
    </row>
    <row r="213" spans="68:68">
      <c r="BP213" s="68"/>
    </row>
    <row r="214" spans="68:68">
      <c r="BP214" s="68"/>
    </row>
    <row r="215" spans="68:68">
      <c r="BP215" s="68"/>
    </row>
    <row r="216" spans="68:68">
      <c r="BP216" s="68"/>
    </row>
    <row r="217" spans="68:68">
      <c r="BP217" s="68"/>
    </row>
    <row r="218" spans="68:68">
      <c r="BP218" s="68"/>
    </row>
    <row r="219" spans="68:68">
      <c r="BP219" s="68"/>
    </row>
    <row r="220" spans="68:68">
      <c r="BP220" s="68"/>
    </row>
    <row r="221" spans="68:68">
      <c r="BP221" s="68"/>
    </row>
    <row r="222" spans="68:68">
      <c r="BP222" s="68"/>
    </row>
    <row r="223" spans="68:68">
      <c r="BP223" s="68"/>
    </row>
    <row r="224" spans="68:68">
      <c r="BP224" s="68"/>
    </row>
    <row r="225" spans="68:68">
      <c r="BP225" s="68"/>
    </row>
    <row r="226" spans="68:68">
      <c r="BP226" s="68"/>
    </row>
    <row r="227" spans="68:68">
      <c r="BP227" s="68"/>
    </row>
    <row r="228" spans="68:68">
      <c r="BP228" s="68"/>
    </row>
    <row r="229" spans="68:68">
      <c r="BP229" s="68"/>
    </row>
    <row r="230" spans="68:68">
      <c r="BP230" s="68"/>
    </row>
    <row r="231" spans="68:68">
      <c r="BP231" s="68"/>
    </row>
    <row r="232" spans="68:68">
      <c r="BP232" s="68"/>
    </row>
    <row r="233" spans="68:68">
      <c r="BP233" s="68"/>
    </row>
    <row r="234" spans="68:68">
      <c r="BP234" s="68"/>
    </row>
    <row r="235" spans="68:68">
      <c r="BP235" s="68"/>
    </row>
    <row r="236" spans="68:68">
      <c r="BP236" s="68"/>
    </row>
    <row r="237" spans="68:68">
      <c r="BP237" s="68"/>
    </row>
    <row r="238" spans="68:68">
      <c r="BP238" s="68"/>
    </row>
    <row r="239" spans="68:68">
      <c r="BP239" s="68"/>
    </row>
    <row r="240" spans="68:68">
      <c r="BP240" s="68"/>
    </row>
    <row r="241" spans="68:68">
      <c r="BP241" s="68"/>
    </row>
    <row r="242" spans="68:68">
      <c r="BP242" s="68"/>
    </row>
    <row r="243" spans="68:68">
      <c r="BP243" s="68"/>
    </row>
    <row r="244" spans="68:68">
      <c r="BP244" s="68"/>
    </row>
    <row r="245" spans="68:68">
      <c r="BP245" s="68"/>
    </row>
    <row r="246" spans="68:68">
      <c r="BP246" s="68"/>
    </row>
    <row r="247" spans="68:68">
      <c r="BP247" s="68"/>
    </row>
    <row r="248" spans="68:68">
      <c r="BP248" s="68"/>
    </row>
    <row r="249" spans="68:68">
      <c r="BP249" s="68"/>
    </row>
    <row r="250" spans="68:68">
      <c r="BP250" s="68"/>
    </row>
    <row r="251" spans="68:68">
      <c r="BP251" s="68"/>
    </row>
    <row r="252" spans="68:68">
      <c r="BP252" s="68"/>
    </row>
    <row r="253" spans="68:68">
      <c r="BP253" s="68"/>
    </row>
    <row r="254" spans="68:68">
      <c r="BP254" s="68"/>
    </row>
    <row r="255" spans="68:68">
      <c r="BP255" s="68"/>
    </row>
    <row r="256" spans="68:68">
      <c r="BP256" s="68"/>
    </row>
    <row r="257" spans="68:68">
      <c r="BP257" s="68"/>
    </row>
    <row r="258" spans="68:68">
      <c r="BP258" s="68"/>
    </row>
    <row r="259" spans="68:68">
      <c r="BP259" s="68"/>
    </row>
    <row r="260" spans="68:68">
      <c r="BP260" s="68"/>
    </row>
    <row r="261" spans="68:68">
      <c r="BP261" s="68"/>
    </row>
    <row r="262" spans="68:68">
      <c r="BP262" s="68"/>
    </row>
    <row r="263" spans="68:68">
      <c r="BP263" s="68"/>
    </row>
    <row r="264" spans="68:68">
      <c r="BP264" s="68"/>
    </row>
    <row r="265" spans="68:68">
      <c r="BP265" s="68"/>
    </row>
    <row r="266" spans="68:68">
      <c r="BP266" s="68"/>
    </row>
    <row r="267" spans="68:68">
      <c r="BP267" s="68"/>
    </row>
    <row r="268" spans="68:68">
      <c r="BP268" s="68"/>
    </row>
    <row r="269" spans="68:68">
      <c r="BP269" s="68"/>
    </row>
    <row r="270" spans="68:68">
      <c r="BP270" s="68"/>
    </row>
    <row r="271" spans="68:68">
      <c r="BP271" s="68"/>
    </row>
    <row r="272" spans="68:68">
      <c r="BP272" s="68"/>
    </row>
    <row r="273" spans="68:68">
      <c r="BP273" s="68"/>
    </row>
    <row r="274" spans="68:68">
      <c r="BP274" s="68"/>
    </row>
    <row r="275" spans="68:68">
      <c r="BP275" s="68"/>
    </row>
    <row r="276" spans="68:68">
      <c r="BP276" s="68"/>
    </row>
    <row r="277" spans="68:68">
      <c r="BP277" s="68"/>
    </row>
    <row r="278" spans="68:68">
      <c r="BP278" s="68"/>
    </row>
    <row r="279" spans="68:68">
      <c r="BP279" s="68"/>
    </row>
    <row r="280" spans="68:68">
      <c r="BP280" s="68"/>
    </row>
    <row r="281" spans="68:68">
      <c r="BP281" s="68"/>
    </row>
    <row r="282" spans="68:68">
      <c r="BP282" s="68"/>
    </row>
    <row r="283" spans="68:68">
      <c r="BP283" s="68"/>
    </row>
    <row r="284" spans="68:68">
      <c r="BP284" s="68"/>
    </row>
    <row r="285" spans="68:68">
      <c r="BP285" s="68"/>
    </row>
    <row r="286" spans="68:68">
      <c r="BP286" s="68"/>
    </row>
    <row r="287" spans="68:68">
      <c r="BP287" s="68"/>
    </row>
    <row r="288" spans="68:68">
      <c r="BP288" s="68"/>
    </row>
    <row r="289" spans="68:68">
      <c r="BP289" s="68"/>
    </row>
    <row r="290" spans="68:68">
      <c r="BP290" s="68"/>
    </row>
    <row r="291" spans="68:68">
      <c r="BP291" s="68"/>
    </row>
    <row r="292" spans="68:68">
      <c r="BP292" s="68"/>
    </row>
    <row r="293" spans="68:68">
      <c r="BP293" s="68"/>
    </row>
    <row r="294" spans="68:68">
      <c r="BP294" s="68"/>
    </row>
    <row r="295" spans="68:68">
      <c r="BP295" s="68"/>
    </row>
    <row r="296" spans="68:68">
      <c r="BP296" s="68"/>
    </row>
    <row r="297" spans="68:68">
      <c r="BP297" s="68"/>
    </row>
    <row r="298" spans="68:68">
      <c r="BP298" s="68"/>
    </row>
    <row r="299" spans="68:68">
      <c r="BP299" s="68"/>
    </row>
    <row r="300" spans="68:68">
      <c r="BP300" s="68"/>
    </row>
    <row r="301" spans="68:68">
      <c r="BP301" s="68"/>
    </row>
    <row r="302" spans="68:68">
      <c r="BP302" s="68"/>
    </row>
    <row r="303" spans="68:68">
      <c r="BP303" s="68"/>
    </row>
    <row r="304" spans="68:68">
      <c r="BP304" s="68"/>
    </row>
    <row r="305" spans="68:68">
      <c r="BP305" s="68"/>
    </row>
    <row r="306" spans="68:68">
      <c r="BP306" s="68"/>
    </row>
    <row r="307" spans="68:68">
      <c r="BP307" s="68"/>
    </row>
    <row r="308" spans="68:68">
      <c r="BP308" s="68"/>
    </row>
    <row r="309" spans="68:68">
      <c r="BP309" s="68"/>
    </row>
    <row r="310" spans="68:68">
      <c r="BP310" s="68"/>
    </row>
    <row r="311" spans="68:68">
      <c r="BP311" s="68"/>
    </row>
    <row r="312" spans="68:68">
      <c r="BP312" s="68"/>
    </row>
    <row r="313" spans="68:68">
      <c r="BP313" s="68"/>
    </row>
    <row r="314" spans="68:68">
      <c r="BP314" s="68"/>
    </row>
    <row r="315" spans="68:68">
      <c r="BP315" s="68"/>
    </row>
    <row r="316" spans="68:68">
      <c r="BP316" s="68"/>
    </row>
    <row r="317" spans="68:68">
      <c r="BP317" s="68"/>
    </row>
    <row r="318" spans="68:68">
      <c r="BP318" s="68"/>
    </row>
    <row r="319" spans="68:68">
      <c r="BP319" s="68"/>
    </row>
    <row r="320" spans="68:68">
      <c r="BP320" s="68"/>
    </row>
    <row r="321" spans="68:68">
      <c r="BP321" s="68"/>
    </row>
    <row r="322" spans="68:68">
      <c r="BP322" s="68"/>
    </row>
    <row r="323" spans="68:68">
      <c r="BP323" s="68"/>
    </row>
    <row r="324" spans="68:68">
      <c r="BP324" s="68"/>
    </row>
    <row r="325" spans="68:68">
      <c r="BP325" s="68"/>
    </row>
    <row r="326" spans="68:68">
      <c r="BP326" s="68"/>
    </row>
    <row r="327" spans="68:68">
      <c r="BP327" s="68"/>
    </row>
    <row r="328" spans="68:68">
      <c r="BP328" s="68"/>
    </row>
    <row r="329" spans="68:68">
      <c r="BP329" s="68"/>
    </row>
    <row r="330" spans="68:68">
      <c r="BP330" s="68"/>
    </row>
    <row r="331" spans="68:68">
      <c r="BP331" s="68"/>
    </row>
    <row r="332" spans="68:68">
      <c r="BP332" s="68"/>
    </row>
    <row r="333" spans="68:68">
      <c r="BP333" s="68"/>
    </row>
    <row r="334" spans="68:68">
      <c r="BP334" s="68"/>
    </row>
    <row r="335" spans="68:68">
      <c r="BP335" s="68"/>
    </row>
    <row r="336" spans="68:68">
      <c r="BP336" s="68"/>
    </row>
    <row r="337" spans="68:68">
      <c r="BP337" s="68"/>
    </row>
    <row r="338" spans="68:68">
      <c r="BP338" s="68"/>
    </row>
    <row r="339" spans="68:68">
      <c r="BP339" s="68"/>
    </row>
    <row r="340" spans="68:68">
      <c r="BP340" s="68"/>
    </row>
    <row r="341" spans="68:68">
      <c r="BP341" s="68"/>
    </row>
    <row r="342" spans="68:68">
      <c r="BP342" s="68"/>
    </row>
    <row r="343" spans="68:68">
      <c r="BP343" s="68"/>
    </row>
    <row r="344" spans="68:68">
      <c r="BP344" s="68"/>
    </row>
    <row r="345" spans="68:68">
      <c r="BP345" s="68"/>
    </row>
    <row r="346" spans="68:68">
      <c r="BP346" s="68"/>
    </row>
    <row r="347" spans="68:68">
      <c r="BP347" s="68"/>
    </row>
    <row r="348" spans="68:68">
      <c r="BP348" s="68"/>
    </row>
    <row r="349" spans="68:68">
      <c r="BP349" s="68"/>
    </row>
    <row r="350" spans="68:68">
      <c r="BP350" s="68"/>
    </row>
    <row r="351" spans="68:68">
      <c r="BP351" s="68"/>
    </row>
    <row r="352" spans="68:68">
      <c r="BP352" s="68"/>
    </row>
    <row r="353" spans="68:68">
      <c r="BP353" s="68"/>
    </row>
    <row r="354" spans="68:68">
      <c r="BP354" s="68"/>
    </row>
    <row r="355" spans="68:68">
      <c r="BP355" s="68"/>
    </row>
    <row r="356" spans="68:68">
      <c r="BP356" s="68"/>
    </row>
    <row r="357" spans="68:68">
      <c r="BP357" s="68"/>
    </row>
    <row r="358" spans="68:68">
      <c r="BP358" s="68"/>
    </row>
    <row r="359" spans="68:68">
      <c r="BP359" s="68"/>
    </row>
    <row r="360" spans="68:68">
      <c r="BP360" s="68"/>
    </row>
    <row r="361" spans="68:68">
      <c r="BP361" s="68"/>
    </row>
    <row r="362" spans="68:68">
      <c r="BP362" s="68"/>
    </row>
    <row r="363" spans="68:68">
      <c r="BP363" s="68"/>
    </row>
    <row r="364" spans="68:68">
      <c r="BP364" s="68"/>
    </row>
    <row r="365" spans="68:68">
      <c r="BP365" s="68"/>
    </row>
    <row r="366" spans="68:68">
      <c r="BP366" s="68"/>
    </row>
    <row r="367" spans="68:68">
      <c r="BP367" s="68"/>
    </row>
    <row r="368" spans="68:68">
      <c r="BP368" s="68"/>
    </row>
    <row r="369" spans="68:68">
      <c r="BP369" s="68"/>
    </row>
    <row r="370" spans="68:68">
      <c r="BP370" s="68"/>
    </row>
    <row r="371" spans="68:68">
      <c r="BP371" s="68"/>
    </row>
    <row r="372" spans="68:68">
      <c r="BP372" s="68"/>
    </row>
    <row r="373" spans="68:68">
      <c r="BP373" s="68"/>
    </row>
    <row r="374" spans="68:68">
      <c r="BP374" s="68"/>
    </row>
    <row r="375" spans="68:68">
      <c r="BP375" s="68"/>
    </row>
    <row r="376" spans="68:68">
      <c r="BP376" s="68"/>
    </row>
    <row r="377" spans="68:68">
      <c r="BP377" s="68"/>
    </row>
    <row r="378" spans="68:68">
      <c r="BP378" s="68"/>
    </row>
    <row r="379" spans="68:68">
      <c r="BP379" s="68"/>
    </row>
    <row r="380" spans="68:68">
      <c r="BP380" s="68"/>
    </row>
    <row r="381" spans="68:68">
      <c r="BP381" s="68"/>
    </row>
    <row r="382" spans="68:68">
      <c r="BP382" s="68"/>
    </row>
    <row r="383" spans="68:68">
      <c r="BP383" s="68"/>
    </row>
    <row r="384" spans="68:68">
      <c r="BP384" s="68"/>
    </row>
    <row r="385" spans="68:68">
      <c r="BP385" s="68"/>
    </row>
    <row r="386" spans="68:68">
      <c r="BP386" s="68"/>
    </row>
    <row r="387" spans="68:68">
      <c r="BP387" s="68"/>
    </row>
    <row r="388" spans="68:68">
      <c r="BP388" s="68"/>
    </row>
    <row r="389" spans="68:68">
      <c r="BP389" s="68"/>
    </row>
    <row r="390" spans="68:68">
      <c r="BP390" s="68"/>
    </row>
    <row r="391" spans="68:68">
      <c r="BP391" s="68"/>
    </row>
    <row r="392" spans="68:68">
      <c r="BP392" s="68"/>
    </row>
    <row r="393" spans="68:68">
      <c r="BP393" s="68"/>
    </row>
    <row r="394" spans="68:68">
      <c r="BP394" s="68"/>
    </row>
    <row r="395" spans="68:68">
      <c r="BP395" s="68"/>
    </row>
    <row r="396" spans="68:68">
      <c r="BP396" s="68"/>
    </row>
    <row r="397" spans="68:68">
      <c r="BP397" s="68"/>
    </row>
    <row r="398" spans="68:68">
      <c r="BP398" s="68"/>
    </row>
    <row r="399" spans="68:68">
      <c r="BP399" s="68"/>
    </row>
    <row r="400" spans="68:68">
      <c r="BP400" s="68"/>
    </row>
    <row r="401" spans="68:68">
      <c r="BP401" s="68"/>
    </row>
    <row r="402" spans="68:68">
      <c r="BP402" s="68"/>
    </row>
    <row r="403" spans="68:68">
      <c r="BP403" s="68"/>
    </row>
    <row r="404" spans="68:68">
      <c r="BP404" s="68"/>
    </row>
    <row r="405" spans="68:68">
      <c r="BP405" s="68"/>
    </row>
    <row r="406" spans="68:68">
      <c r="BP406" s="68"/>
    </row>
    <row r="407" spans="68:68">
      <c r="BP407" s="68"/>
    </row>
    <row r="408" spans="68:68">
      <c r="BP408" s="68"/>
    </row>
    <row r="409" spans="68:68">
      <c r="BP409" s="68"/>
    </row>
    <row r="410" spans="68:68">
      <c r="BP410" s="68"/>
    </row>
    <row r="411" spans="68:68">
      <c r="BP411" s="68"/>
    </row>
    <row r="412" spans="68:68">
      <c r="BP412" s="68"/>
    </row>
    <row r="413" spans="68:68">
      <c r="BP413" s="68"/>
    </row>
    <row r="414" spans="68:68">
      <c r="BP414" s="68"/>
    </row>
    <row r="415" spans="68:68">
      <c r="BP415" s="68"/>
    </row>
    <row r="416" spans="68:68">
      <c r="BP416" s="68"/>
    </row>
    <row r="417" spans="68:68">
      <c r="BP417" s="68"/>
    </row>
    <row r="418" spans="68:68">
      <c r="BP418" s="68"/>
    </row>
    <row r="419" spans="68:68">
      <c r="BP419" s="68"/>
    </row>
    <row r="420" spans="68:68">
      <c r="BP420" s="68"/>
    </row>
    <row r="421" spans="68:68">
      <c r="BP421" s="68"/>
    </row>
    <row r="422" spans="68:68">
      <c r="BP422" s="68"/>
    </row>
    <row r="423" spans="68:68">
      <c r="BP423" s="68"/>
    </row>
    <row r="424" spans="68:68">
      <c r="BP424" s="68"/>
    </row>
    <row r="425" spans="68:68">
      <c r="BP425" s="68"/>
    </row>
    <row r="426" spans="68:68">
      <c r="BP426" s="68"/>
    </row>
    <row r="427" spans="68:68">
      <c r="BP427" s="68"/>
    </row>
    <row r="428" spans="68:68">
      <c r="BP428" s="68"/>
    </row>
    <row r="429" spans="68:68">
      <c r="BP429" s="68"/>
    </row>
    <row r="430" spans="68:68">
      <c r="BP430" s="68"/>
    </row>
    <row r="431" spans="68:68">
      <c r="BP431" s="68"/>
    </row>
    <row r="432" spans="68:68">
      <c r="BP432" s="68"/>
    </row>
    <row r="433" spans="68:68">
      <c r="BP433" s="68"/>
    </row>
    <row r="434" spans="68:68">
      <c r="BP434" s="68"/>
    </row>
    <row r="435" spans="68:68">
      <c r="BP435" s="68"/>
    </row>
    <row r="436" spans="68:68">
      <c r="BP436" s="68"/>
    </row>
    <row r="437" spans="68:68">
      <c r="BP437" s="68"/>
    </row>
    <row r="438" spans="68:68">
      <c r="BP438" s="68"/>
    </row>
    <row r="439" spans="68:68">
      <c r="BP439" s="68"/>
    </row>
    <row r="440" spans="68:68">
      <c r="BP440" s="68"/>
    </row>
    <row r="441" spans="68:68">
      <c r="BP441" s="68"/>
    </row>
    <row r="442" spans="68:68">
      <c r="BP442" s="68"/>
    </row>
    <row r="443" spans="68:68">
      <c r="BP443" s="68"/>
    </row>
    <row r="444" spans="68:68">
      <c r="BP444" s="68"/>
    </row>
    <row r="445" spans="68:68">
      <c r="BP445" s="68"/>
    </row>
    <row r="446" spans="68:68">
      <c r="BP446" s="68"/>
    </row>
    <row r="447" spans="68:68">
      <c r="BP447" s="68"/>
    </row>
    <row r="448" spans="68:68">
      <c r="BP448" s="68"/>
    </row>
    <row r="449" spans="68:68">
      <c r="BP449" s="68"/>
    </row>
    <row r="450" spans="68:68">
      <c r="BP450" s="68"/>
    </row>
    <row r="451" spans="68:68">
      <c r="BP451" s="68"/>
    </row>
    <row r="452" spans="68:68">
      <c r="BP452" s="68"/>
    </row>
    <row r="453" spans="68:68">
      <c r="BP453" s="68"/>
    </row>
    <row r="454" spans="68:68">
      <c r="BP454" s="68"/>
    </row>
    <row r="455" spans="68:68">
      <c r="BP455" s="68"/>
    </row>
    <row r="456" spans="68:68">
      <c r="BP456" s="68"/>
    </row>
    <row r="457" spans="68:68">
      <c r="BP457" s="68"/>
    </row>
    <row r="458" spans="68:68">
      <c r="BP458" s="68"/>
    </row>
    <row r="459" spans="68:68">
      <c r="BP459" s="68"/>
    </row>
    <row r="460" spans="68:68">
      <c r="BP460" s="68"/>
    </row>
    <row r="461" spans="68:68">
      <c r="BP461" s="68"/>
    </row>
    <row r="462" spans="68:68">
      <c r="BP462" s="68"/>
    </row>
    <row r="463" spans="68:68">
      <c r="BP463" s="68"/>
    </row>
    <row r="464" spans="68:68">
      <c r="BP464" s="68"/>
    </row>
    <row r="465" spans="68:68">
      <c r="BP465" s="68"/>
    </row>
    <row r="466" spans="68:68">
      <c r="BP466" s="68"/>
    </row>
    <row r="467" spans="68:68">
      <c r="BP467" s="68"/>
    </row>
    <row r="468" spans="68:68">
      <c r="BP468" s="68"/>
    </row>
    <row r="469" spans="68:68">
      <c r="BP469" s="68"/>
    </row>
    <row r="470" spans="68:68">
      <c r="BP470" s="68"/>
    </row>
    <row r="471" spans="68:68">
      <c r="BP471" s="68"/>
    </row>
    <row r="472" spans="68:68">
      <c r="BP472" s="68"/>
    </row>
    <row r="473" spans="68:68">
      <c r="BP473" s="68"/>
    </row>
    <row r="474" spans="68:68">
      <c r="BP474" s="68"/>
    </row>
    <row r="475" spans="68:68">
      <c r="BP475" s="68"/>
    </row>
    <row r="476" spans="68:68">
      <c r="BP476" s="68"/>
    </row>
    <row r="477" spans="68:68">
      <c r="BP477" s="68"/>
    </row>
    <row r="478" spans="68:68">
      <c r="BP478" s="68"/>
    </row>
    <row r="479" spans="68:68">
      <c r="BP479" s="68"/>
    </row>
    <row r="480" spans="68:68">
      <c r="BP480" s="68"/>
    </row>
    <row r="481" spans="68:68">
      <c r="BP481" s="68"/>
    </row>
    <row r="482" spans="68:68">
      <c r="BP482" s="68"/>
    </row>
    <row r="483" spans="68:68">
      <c r="BP483" s="68"/>
    </row>
    <row r="484" spans="68:68">
      <c r="BP484" s="68"/>
    </row>
    <row r="485" spans="68:68">
      <c r="BP485" s="68"/>
    </row>
    <row r="486" spans="68:68">
      <c r="BP486" s="68"/>
    </row>
    <row r="487" spans="68:68">
      <c r="BP487" s="68"/>
    </row>
    <row r="488" spans="68:68">
      <c r="BP488" s="68"/>
    </row>
    <row r="489" spans="68:68">
      <c r="BP489" s="68"/>
    </row>
    <row r="490" spans="68:68">
      <c r="BP490" s="68"/>
    </row>
    <row r="491" spans="68:68">
      <c r="BP491" s="68"/>
    </row>
    <row r="492" spans="68:68">
      <c r="BP492" s="68"/>
    </row>
    <row r="493" spans="68:68">
      <c r="BP493" s="68"/>
    </row>
    <row r="494" spans="68:68">
      <c r="BP494" s="68"/>
    </row>
    <row r="495" spans="68:68">
      <c r="BP495" s="68"/>
    </row>
    <row r="496" spans="68:68">
      <c r="BP496" s="68"/>
    </row>
    <row r="497" spans="68:68">
      <c r="BP497" s="68"/>
    </row>
    <row r="498" spans="68:68">
      <c r="BP498" s="68"/>
    </row>
    <row r="499" spans="68:68">
      <c r="BP499" s="68"/>
    </row>
    <row r="500" spans="68:68">
      <c r="BP500" s="68"/>
    </row>
    <row r="501" spans="68:68">
      <c r="BP501" s="68"/>
    </row>
    <row r="502" spans="68:68">
      <c r="BP502" s="68"/>
    </row>
    <row r="503" spans="68:68">
      <c r="BP503" s="68"/>
    </row>
    <row r="504" spans="68:68">
      <c r="BP504" s="68"/>
    </row>
    <row r="505" spans="68:68">
      <c r="BP505" s="68"/>
    </row>
    <row r="506" spans="68:68">
      <c r="BP506" s="68"/>
    </row>
    <row r="507" spans="68:68">
      <c r="BP507" s="68"/>
    </row>
    <row r="508" spans="68:68">
      <c r="BP508" s="68"/>
    </row>
    <row r="509" spans="68:68">
      <c r="BP509" s="68"/>
    </row>
    <row r="510" spans="68:68">
      <c r="BP510" s="68"/>
    </row>
    <row r="511" spans="68:68">
      <c r="BP511" s="68"/>
    </row>
    <row r="512" spans="68:68">
      <c r="BP512" s="68"/>
    </row>
    <row r="513" spans="68:68">
      <c r="BP513" s="68"/>
    </row>
    <row r="514" spans="68:68">
      <c r="BP514" s="68"/>
    </row>
    <row r="515" spans="68:68">
      <c r="BP515" s="68"/>
    </row>
    <row r="516" spans="68:68">
      <c r="BP516" s="68"/>
    </row>
    <row r="517" spans="68:68">
      <c r="BP517" s="68"/>
    </row>
    <row r="518" spans="68:68">
      <c r="BP518" s="68"/>
    </row>
    <row r="519" spans="68:68">
      <c r="BP519" s="68"/>
    </row>
    <row r="520" spans="68:68">
      <c r="BP520" s="68"/>
    </row>
    <row r="521" spans="68:68">
      <c r="BP521" s="68"/>
    </row>
    <row r="522" spans="68:68">
      <c r="BP522" s="68"/>
    </row>
    <row r="523" spans="68:68">
      <c r="BP523" s="68"/>
    </row>
    <row r="524" spans="68:68">
      <c r="BP524" s="68"/>
    </row>
    <row r="525" spans="68:68">
      <c r="BP525" s="68"/>
    </row>
    <row r="526" spans="68:68">
      <c r="BP526" s="68"/>
    </row>
    <row r="527" spans="68:68">
      <c r="BP527" s="68"/>
    </row>
    <row r="528" spans="68:68">
      <c r="BP528" s="68"/>
    </row>
    <row r="529" spans="68:68">
      <c r="BP529" s="68"/>
    </row>
    <row r="530" spans="68:68">
      <c r="BP530" s="68"/>
    </row>
    <row r="531" spans="68:68">
      <c r="BP531" s="68"/>
    </row>
    <row r="532" spans="68:68">
      <c r="BP532" s="68"/>
    </row>
    <row r="533" spans="68:68">
      <c r="BP533" s="68"/>
    </row>
    <row r="534" spans="68:68">
      <c r="BP534" s="68"/>
    </row>
    <row r="535" spans="68:68">
      <c r="BP535" s="68"/>
    </row>
    <row r="536" spans="68:68">
      <c r="BP536" s="68"/>
    </row>
    <row r="537" spans="68:68">
      <c r="BP537" s="68"/>
    </row>
    <row r="538" spans="68:68">
      <c r="BP538" s="68"/>
    </row>
    <row r="539" spans="68:68">
      <c r="BP539" s="68"/>
    </row>
    <row r="540" spans="68:68">
      <c r="BP540" s="68"/>
    </row>
    <row r="541" spans="68:68">
      <c r="BP541" s="68"/>
    </row>
    <row r="542" spans="68:68">
      <c r="BP542" s="68"/>
    </row>
    <row r="543" spans="68:68">
      <c r="BP543" s="68"/>
    </row>
    <row r="544" spans="68:68">
      <c r="BP544" s="68"/>
    </row>
    <row r="545" spans="68:68">
      <c r="BP545" s="68"/>
    </row>
    <row r="546" spans="68:68">
      <c r="BP546" s="68"/>
    </row>
    <row r="547" spans="68:68">
      <c r="BP547" s="68"/>
    </row>
    <row r="548" spans="68:68">
      <c r="BP548" s="68"/>
    </row>
    <row r="549" spans="68:68">
      <c r="BP549" s="68"/>
    </row>
    <row r="550" spans="68:68">
      <c r="BP550" s="68"/>
    </row>
    <row r="551" spans="68:68">
      <c r="BP551" s="68"/>
    </row>
    <row r="552" spans="68:68">
      <c r="BP552" s="68"/>
    </row>
    <row r="553" spans="68:68">
      <c r="BP553" s="68"/>
    </row>
    <row r="554" spans="68:68">
      <c r="BP554" s="68"/>
    </row>
    <row r="555" spans="68:68">
      <c r="BP555" s="68"/>
    </row>
    <row r="556" spans="68:68">
      <c r="BP556" s="68"/>
    </row>
    <row r="557" spans="68:68">
      <c r="BP557" s="68"/>
    </row>
    <row r="558" spans="68:68">
      <c r="BP558" s="68"/>
    </row>
    <row r="559" spans="68:68">
      <c r="BP559" s="68"/>
    </row>
    <row r="560" spans="68:68">
      <c r="BP560" s="68"/>
    </row>
    <row r="561" spans="68:68">
      <c r="BP561" s="68"/>
    </row>
    <row r="562" spans="68:68">
      <c r="BP562" s="68"/>
    </row>
    <row r="563" spans="68:68">
      <c r="BP563" s="68"/>
    </row>
    <row r="564" spans="68:68">
      <c r="BP564" s="68"/>
    </row>
    <row r="565" spans="68:68">
      <c r="BP565" s="68"/>
    </row>
    <row r="566" spans="68:68">
      <c r="BP566" s="68"/>
    </row>
    <row r="567" spans="68:68">
      <c r="BP567" s="68"/>
    </row>
    <row r="568" spans="68:68">
      <c r="BP568" s="68"/>
    </row>
    <row r="569" spans="68:68">
      <c r="BP569" s="68"/>
    </row>
    <row r="570" spans="68:68">
      <c r="BP570" s="68"/>
    </row>
    <row r="571" spans="68:68">
      <c r="BP571" s="68"/>
    </row>
    <row r="572" spans="68:68">
      <c r="BP572" s="68"/>
    </row>
    <row r="573" spans="68:68">
      <c r="BP573" s="68"/>
    </row>
    <row r="574" spans="68:68">
      <c r="BP574" s="68"/>
    </row>
    <row r="575" spans="68:68">
      <c r="BP575" s="68"/>
    </row>
    <row r="576" spans="68:68">
      <c r="BP576" s="68"/>
    </row>
    <row r="577" spans="68:68">
      <c r="BP577" s="68"/>
    </row>
    <row r="578" spans="68:68">
      <c r="BP578" s="68"/>
    </row>
    <row r="579" spans="68:68">
      <c r="BP579" s="68"/>
    </row>
    <row r="580" spans="68:68">
      <c r="BP580" s="68"/>
    </row>
    <row r="581" spans="68:68">
      <c r="BP581" s="68"/>
    </row>
    <row r="582" spans="68:68">
      <c r="BP582" s="68"/>
    </row>
    <row r="583" spans="68:68">
      <c r="BP583" s="68"/>
    </row>
    <row r="584" spans="68:68">
      <c r="BP584" s="68"/>
    </row>
    <row r="585" spans="68:68">
      <c r="BP585" s="68"/>
    </row>
    <row r="586" spans="68:68">
      <c r="BP586" s="68"/>
    </row>
    <row r="587" spans="68:68">
      <c r="BP587" s="68"/>
    </row>
    <row r="588" spans="68:68">
      <c r="BP588" s="68"/>
    </row>
    <row r="589" spans="68:68">
      <c r="BP589" s="68"/>
    </row>
    <row r="590" spans="68:68">
      <c r="BP590" s="68"/>
    </row>
    <row r="591" spans="68:68">
      <c r="BP591" s="68"/>
    </row>
    <row r="592" spans="68:68">
      <c r="BP592" s="68"/>
    </row>
    <row r="593" spans="68:68">
      <c r="BP593" s="68"/>
    </row>
    <row r="594" spans="68:68">
      <c r="BP594" s="68"/>
    </row>
    <row r="595" spans="68:68">
      <c r="BP595" s="68"/>
    </row>
    <row r="596" spans="68:68">
      <c r="BP596" s="68"/>
    </row>
    <row r="597" spans="68:68">
      <c r="BP597" s="68"/>
    </row>
    <row r="598" spans="68:68">
      <c r="BP598" s="68"/>
    </row>
    <row r="599" spans="68:68">
      <c r="BP599" s="68"/>
    </row>
    <row r="600" spans="68:68">
      <c r="BP600" s="68"/>
    </row>
    <row r="601" spans="68:68">
      <c r="BP601" s="68"/>
    </row>
    <row r="602" spans="68:68">
      <c r="BP602" s="68"/>
    </row>
    <row r="603" spans="68:68">
      <c r="BP603" s="68"/>
    </row>
    <row r="604" spans="68:68">
      <c r="BP604" s="68"/>
    </row>
    <row r="605" spans="68:68">
      <c r="BP605" s="68"/>
    </row>
    <row r="606" spans="68:68">
      <c r="BP606" s="68"/>
    </row>
    <row r="607" spans="68:68">
      <c r="BP607" s="68"/>
    </row>
    <row r="608" spans="68:68">
      <c r="BP608" s="68"/>
    </row>
    <row r="609" spans="68:68">
      <c r="BP609" s="68"/>
    </row>
    <row r="610" spans="68:68">
      <c r="BP610" s="68"/>
    </row>
    <row r="611" spans="68:68">
      <c r="BP611" s="68"/>
    </row>
    <row r="612" spans="68:68">
      <c r="BP612" s="68"/>
    </row>
    <row r="613" spans="68:68">
      <c r="BP613" s="68"/>
    </row>
    <row r="614" spans="68:68">
      <c r="BP614" s="68"/>
    </row>
    <row r="615" spans="68:68">
      <c r="BP615" s="68"/>
    </row>
    <row r="616" spans="68:68">
      <c r="BP616" s="68"/>
    </row>
    <row r="617" spans="68:68">
      <c r="BP617" s="68"/>
    </row>
    <row r="618" spans="68:68">
      <c r="BP618" s="68"/>
    </row>
    <row r="619" spans="68:68">
      <c r="BP619" s="68"/>
    </row>
    <row r="620" spans="68:68">
      <c r="BP620" s="68"/>
    </row>
    <row r="621" spans="68:68">
      <c r="BP621" s="68"/>
    </row>
    <row r="622" spans="68:68">
      <c r="BP622" s="68"/>
    </row>
    <row r="623" spans="68:68">
      <c r="BP623" s="68"/>
    </row>
    <row r="624" spans="68:68">
      <c r="BP624" s="68"/>
    </row>
    <row r="625" spans="68:68">
      <c r="BP625" s="68"/>
    </row>
    <row r="626" spans="68:68">
      <c r="BP626" s="68"/>
    </row>
    <row r="627" spans="68:68">
      <c r="BP627" s="68"/>
    </row>
    <row r="628" spans="68:68">
      <c r="BP628" s="68"/>
    </row>
    <row r="629" spans="68:68">
      <c r="BP629" s="68"/>
    </row>
    <row r="630" spans="68:68">
      <c r="BP630" s="68"/>
    </row>
    <row r="631" spans="68:68">
      <c r="BP631" s="68"/>
    </row>
    <row r="632" spans="68:68">
      <c r="BP632" s="68"/>
    </row>
    <row r="633" spans="68:68">
      <c r="BP633" s="68"/>
    </row>
    <row r="634" spans="68:68">
      <c r="BP634" s="68"/>
    </row>
    <row r="635" spans="68:68">
      <c r="BP635" s="68"/>
    </row>
    <row r="636" spans="68:68">
      <c r="BP636" s="68"/>
    </row>
    <row r="637" spans="68:68">
      <c r="BP637" s="68"/>
    </row>
    <row r="638" spans="68:68">
      <c r="BP638" s="68"/>
    </row>
    <row r="639" spans="68:68">
      <c r="BP639" s="68"/>
    </row>
    <row r="640" spans="68:68">
      <c r="BP640" s="68"/>
    </row>
    <row r="641" spans="68:68">
      <c r="BP641" s="68"/>
    </row>
    <row r="642" spans="68:68">
      <c r="BP642" s="68"/>
    </row>
    <row r="643" spans="68:68">
      <c r="BP643" s="68"/>
    </row>
    <row r="644" spans="68:68">
      <c r="BP644" s="68"/>
    </row>
    <row r="645" spans="68:68">
      <c r="BP645" s="68"/>
    </row>
    <row r="646" spans="68:68">
      <c r="BP646" s="68"/>
    </row>
    <row r="647" spans="68:68">
      <c r="BP647" s="68"/>
    </row>
    <row r="648" spans="68:68">
      <c r="BP648" s="68"/>
    </row>
    <row r="649" spans="68:68">
      <c r="BP649" s="68"/>
    </row>
    <row r="650" spans="68:68">
      <c r="BP650" s="68"/>
    </row>
    <row r="651" spans="68:68">
      <c r="BP651" s="68"/>
    </row>
    <row r="652" spans="68:68">
      <c r="BP652" s="68"/>
    </row>
    <row r="653" spans="68:68">
      <c r="BP653" s="68"/>
    </row>
    <row r="654" spans="68:68">
      <c r="BP654" s="68"/>
    </row>
    <row r="655" spans="68:68">
      <c r="BP655" s="68"/>
    </row>
    <row r="656" spans="68:68">
      <c r="BP656" s="68"/>
    </row>
    <row r="657" spans="68:68">
      <c r="BP657" s="68"/>
    </row>
    <row r="658" spans="68:68">
      <c r="BP658" s="68"/>
    </row>
    <row r="659" spans="68:68">
      <c r="BP659" s="68"/>
    </row>
    <row r="660" spans="68:68">
      <c r="BP660" s="68"/>
    </row>
    <row r="661" spans="68:68">
      <c r="BP661" s="68"/>
    </row>
    <row r="662" spans="68:68">
      <c r="BP662" s="68"/>
    </row>
    <row r="663" spans="68:68">
      <c r="BP663" s="68"/>
    </row>
    <row r="664" spans="68:68">
      <c r="BP664" s="68"/>
    </row>
    <row r="665" spans="68:68">
      <c r="BP665" s="68"/>
    </row>
    <row r="666" spans="68:68">
      <c r="BP666" s="68"/>
    </row>
    <row r="667" s="23" customFormat="1" spans="1:74">
      <c r="A667" s="62"/>
      <c r="B667" s="63"/>
      <c r="C667" s="63"/>
      <c r="D667" s="63"/>
      <c r="E667" s="63"/>
      <c r="F667" s="63"/>
      <c r="G667" s="63"/>
      <c r="H667" s="64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2"/>
      <c r="U667" s="62"/>
      <c r="V667" s="65"/>
      <c r="W667" s="66"/>
      <c r="X667" s="63"/>
      <c r="Y667" s="63"/>
      <c r="Z667" s="63"/>
      <c r="AA667" s="62"/>
      <c r="AB667" s="63"/>
      <c r="AC667" s="63"/>
      <c r="AD667" s="63"/>
      <c r="AE667" s="63"/>
      <c r="AF667" s="67"/>
      <c r="AG667" s="63"/>
      <c r="AH667" s="63"/>
      <c r="AI667" s="63"/>
      <c r="AJ667" s="63"/>
      <c r="AK667" s="68"/>
      <c r="AL667" s="68"/>
      <c r="AM667" s="69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/>
      <c r="BD667" s="70"/>
      <c r="BE667" s="63"/>
      <c r="BF667" s="63"/>
      <c r="BG667" s="71"/>
      <c r="BH667" s="63"/>
      <c r="BI667" s="63"/>
      <c r="BJ667" s="72"/>
      <c r="BK667" s="63"/>
      <c r="BL667" s="63"/>
      <c r="BM667" s="63"/>
      <c r="BN667" s="63"/>
      <c r="BO667" s="63"/>
      <c r="BP667" s="68"/>
      <c r="BQ667" s="63"/>
      <c r="BR667" s="63"/>
      <c r="BS667" s="63"/>
      <c r="BT667" s="74"/>
      <c r="BU667" s="74"/>
      <c r="BV667" s="74"/>
    </row>
    <row r="668" spans="68:68">
      <c r="BP668" s="68"/>
    </row>
    <row r="669" spans="68:68">
      <c r="BP669" s="68"/>
    </row>
    <row r="670" spans="68:68">
      <c r="BP670" s="68"/>
    </row>
    <row r="671" spans="68:68">
      <c r="BP671" s="68"/>
    </row>
    <row r="672" spans="68:68">
      <c r="BP672" s="68"/>
    </row>
    <row r="673" spans="68:68">
      <c r="BP673" s="68"/>
    </row>
    <row r="674" spans="68:68">
      <c r="BP674" s="68"/>
    </row>
    <row r="675" spans="68:68">
      <c r="BP675" s="68"/>
    </row>
    <row r="676" spans="68:68">
      <c r="BP676" s="68"/>
    </row>
    <row r="677" spans="68:68">
      <c r="BP677" s="68"/>
    </row>
    <row r="678" spans="68:68">
      <c r="BP678" s="68"/>
    </row>
    <row r="679" spans="68:68">
      <c r="BP679" s="68"/>
    </row>
    <row r="680" spans="68:68">
      <c r="BP680" s="68"/>
    </row>
    <row r="681" spans="68:68">
      <c r="BP681" s="68"/>
    </row>
    <row r="682" spans="68:68">
      <c r="BP682" s="68"/>
    </row>
    <row r="683" spans="68:68">
      <c r="BP683" s="68"/>
    </row>
    <row r="684" spans="68:68">
      <c r="BP684" s="68"/>
    </row>
    <row r="685" spans="68:68">
      <c r="BP685" s="68"/>
    </row>
    <row r="686" spans="68:68">
      <c r="BP686" s="68"/>
    </row>
    <row r="687" spans="68:68">
      <c r="BP687" s="68"/>
    </row>
    <row r="688" spans="68:68">
      <c r="BP688" s="68"/>
    </row>
    <row r="689" spans="68:68">
      <c r="BP689" s="68"/>
    </row>
    <row r="690" spans="68:68">
      <c r="BP690" s="68"/>
    </row>
    <row r="691" spans="68:68">
      <c r="BP691" s="68"/>
    </row>
    <row r="692" spans="68:68">
      <c r="BP692" s="68"/>
    </row>
    <row r="693" spans="68:68">
      <c r="BP693" s="68"/>
    </row>
    <row r="694" spans="68:68">
      <c r="BP694" s="68"/>
    </row>
    <row r="695" spans="68:68">
      <c r="BP695" s="68"/>
    </row>
    <row r="696" spans="68:68">
      <c r="BP696" s="68"/>
    </row>
    <row r="697" spans="68:68">
      <c r="BP697" s="68"/>
    </row>
    <row r="698" spans="68:68">
      <c r="BP698" s="68"/>
    </row>
    <row r="699" spans="68:68">
      <c r="BP699" s="68"/>
    </row>
    <row r="700" spans="68:68">
      <c r="BP700" s="68"/>
    </row>
    <row r="701" spans="68:68">
      <c r="BP701" s="68"/>
    </row>
    <row r="702" spans="68:68">
      <c r="BP702" s="68"/>
    </row>
    <row r="703" spans="68:68">
      <c r="BP703" s="68"/>
    </row>
    <row r="704" spans="68:68">
      <c r="BP704" s="68"/>
    </row>
    <row r="705" spans="68:68">
      <c r="BP705" s="68"/>
    </row>
    <row r="706" spans="68:68">
      <c r="BP706" s="68"/>
    </row>
    <row r="707" spans="68:68">
      <c r="BP707" s="68"/>
    </row>
    <row r="708" spans="68:68">
      <c r="BP708" s="68"/>
    </row>
    <row r="709" spans="68:68">
      <c r="BP709" s="68"/>
    </row>
    <row r="710" spans="68:68">
      <c r="BP710" s="68"/>
    </row>
    <row r="711" spans="68:68">
      <c r="BP711" s="68"/>
    </row>
    <row r="712" spans="68:68">
      <c r="BP712" s="68"/>
    </row>
    <row r="713" spans="68:68">
      <c r="BP713" s="68"/>
    </row>
    <row r="714" spans="68:68">
      <c r="BP714" s="68"/>
    </row>
    <row r="715" spans="68:68">
      <c r="BP715" s="68"/>
    </row>
    <row r="716" spans="68:68">
      <c r="BP716" s="68"/>
    </row>
    <row r="717" spans="68:68">
      <c r="BP717" s="68"/>
    </row>
    <row r="718" spans="68:68">
      <c r="BP718" s="68"/>
    </row>
    <row r="719" spans="68:68">
      <c r="BP719" s="68"/>
    </row>
    <row r="720" spans="68:68">
      <c r="BP720" s="68"/>
    </row>
    <row r="721" spans="68:68">
      <c r="BP721" s="68"/>
    </row>
    <row r="722" spans="68:68">
      <c r="BP722" s="68"/>
    </row>
    <row r="723" spans="68:68">
      <c r="BP723" s="68"/>
    </row>
    <row r="724" spans="68:68">
      <c r="BP724" s="68"/>
    </row>
    <row r="725" spans="68:68">
      <c r="BP725" s="68"/>
    </row>
    <row r="726" spans="68:68">
      <c r="BP726" s="68"/>
    </row>
    <row r="727" spans="68:68">
      <c r="BP727" s="68"/>
    </row>
    <row r="728" spans="68:68">
      <c r="BP728" s="68"/>
    </row>
    <row r="729" spans="68:68">
      <c r="BP729" s="68"/>
    </row>
    <row r="730" spans="68:68">
      <c r="BP730" s="68"/>
    </row>
    <row r="731" spans="68:68">
      <c r="BP731" s="68"/>
    </row>
    <row r="732" spans="68:68">
      <c r="BP732" s="68"/>
    </row>
    <row r="733" spans="68:68">
      <c r="BP733" s="68"/>
    </row>
    <row r="734" spans="68:68">
      <c r="BP734" s="68"/>
    </row>
    <row r="735" spans="68:68">
      <c r="BP735" s="68"/>
    </row>
    <row r="736" spans="68:68">
      <c r="BP736" s="68"/>
    </row>
    <row r="737" spans="68:68">
      <c r="BP737" s="68"/>
    </row>
    <row r="738" spans="68:68">
      <c r="BP738" s="68"/>
    </row>
    <row r="739" spans="68:68">
      <c r="BP739" s="68"/>
    </row>
    <row r="740" spans="68:68">
      <c r="BP740" s="68"/>
    </row>
    <row r="741" spans="68:68">
      <c r="BP741" s="68"/>
    </row>
    <row r="742" spans="68:68">
      <c r="BP742" s="68"/>
    </row>
    <row r="743" spans="68:68">
      <c r="BP743" s="68"/>
    </row>
    <row r="744" spans="68:68">
      <c r="BP744" s="68"/>
    </row>
    <row r="745" spans="68:68">
      <c r="BP745" s="68"/>
    </row>
    <row r="746" spans="68:68">
      <c r="BP746" s="68"/>
    </row>
    <row r="747" spans="68:68">
      <c r="BP747" s="68"/>
    </row>
    <row r="748" spans="68:68">
      <c r="BP748" s="68"/>
    </row>
    <row r="749" spans="68:68">
      <c r="BP749" s="68"/>
    </row>
    <row r="750" spans="68:68">
      <c r="BP750" s="68"/>
    </row>
    <row r="751" spans="68:68">
      <c r="BP751" s="68"/>
    </row>
    <row r="752" spans="68:68">
      <c r="BP752" s="68"/>
    </row>
    <row r="753" spans="68:68">
      <c r="BP753" s="68"/>
    </row>
    <row r="754" spans="68:68">
      <c r="BP754" s="68"/>
    </row>
    <row r="755" spans="68:68">
      <c r="BP755" s="68"/>
    </row>
    <row r="756" spans="68:68">
      <c r="BP756" s="68"/>
    </row>
    <row r="757" spans="68:68">
      <c r="BP757" s="68"/>
    </row>
    <row r="758" spans="68:68">
      <c r="BP758" s="68"/>
    </row>
    <row r="759" spans="68:68">
      <c r="BP759" s="68"/>
    </row>
    <row r="760" spans="68:68">
      <c r="BP760" s="68"/>
    </row>
    <row r="761" spans="68:68">
      <c r="BP761" s="68"/>
    </row>
    <row r="762" spans="68:68">
      <c r="BP762" s="68"/>
    </row>
    <row r="763" spans="68:68">
      <c r="BP763" s="68"/>
    </row>
    <row r="764" spans="68:68">
      <c r="BP764" s="68"/>
    </row>
    <row r="765" spans="68:68">
      <c r="BP765" s="68"/>
    </row>
    <row r="766" spans="68:68">
      <c r="BP766" s="68"/>
    </row>
    <row r="767" spans="68:68">
      <c r="BP767" s="68"/>
    </row>
    <row r="768" spans="68:68">
      <c r="BP768" s="68"/>
    </row>
    <row r="769" spans="68:68">
      <c r="BP769" s="68"/>
    </row>
    <row r="770" spans="68:68">
      <c r="BP770" s="68"/>
    </row>
    <row r="771" spans="68:68">
      <c r="BP771" s="68"/>
    </row>
    <row r="772" spans="68:68">
      <c r="BP772" s="68"/>
    </row>
    <row r="773" spans="68:68">
      <c r="BP773" s="68"/>
    </row>
    <row r="774" spans="68:68">
      <c r="BP774" s="68"/>
    </row>
    <row r="775" spans="68:68">
      <c r="BP775" s="68"/>
    </row>
    <row r="776" spans="68:68">
      <c r="BP776" s="68"/>
    </row>
    <row r="777" spans="68:68">
      <c r="BP777" s="68"/>
    </row>
    <row r="778" spans="68:68">
      <c r="BP778" s="68"/>
    </row>
    <row r="779" spans="68:68">
      <c r="BP779" s="68"/>
    </row>
    <row r="780" spans="68:68">
      <c r="BP780" s="68"/>
    </row>
    <row r="781" spans="68:68">
      <c r="BP781" s="68"/>
    </row>
    <row r="782" spans="68:68">
      <c r="BP782" s="68"/>
    </row>
    <row r="783" spans="68:68">
      <c r="BP783" s="68"/>
    </row>
    <row r="784" spans="68:68">
      <c r="BP784" s="68"/>
    </row>
    <row r="785" spans="68:68">
      <c r="BP785" s="68"/>
    </row>
    <row r="786" spans="68:68">
      <c r="BP786" s="68"/>
    </row>
    <row r="787" spans="68:68">
      <c r="BP787" s="68"/>
    </row>
    <row r="788" spans="68:68">
      <c r="BP788" s="68"/>
    </row>
    <row r="789" spans="68:68">
      <c r="BP789" s="68"/>
    </row>
    <row r="790" spans="68:68">
      <c r="BP790" s="68"/>
    </row>
    <row r="791" spans="68:68">
      <c r="BP791" s="68"/>
    </row>
    <row r="792" spans="68:68">
      <c r="BP792" s="68"/>
    </row>
    <row r="793" spans="68:68">
      <c r="BP793" s="68"/>
    </row>
    <row r="794" spans="68:68">
      <c r="BP794" s="68"/>
    </row>
    <row r="795" spans="68:68">
      <c r="BP795" s="68"/>
    </row>
    <row r="796" spans="68:68">
      <c r="BP796" s="68"/>
    </row>
    <row r="797" spans="68:68">
      <c r="BP797" s="68"/>
    </row>
    <row r="798" spans="68:68">
      <c r="BP798" s="68"/>
    </row>
    <row r="799" spans="68:68">
      <c r="BP799" s="68"/>
    </row>
    <row r="800" spans="68:68">
      <c r="BP800" s="68"/>
    </row>
    <row r="801" spans="68:68">
      <c r="BP801" s="68"/>
    </row>
    <row r="802" spans="68:68">
      <c r="BP802" s="68"/>
    </row>
    <row r="803" spans="68:68">
      <c r="BP803" s="68"/>
    </row>
    <row r="804" spans="68:68">
      <c r="BP804" s="68"/>
    </row>
    <row r="805" spans="68:68">
      <c r="BP805" s="68"/>
    </row>
    <row r="806" spans="68:68">
      <c r="BP806" s="68"/>
    </row>
    <row r="807" spans="68:68">
      <c r="BP807" s="68"/>
    </row>
    <row r="808" spans="68:68">
      <c r="BP808" s="68"/>
    </row>
    <row r="809" spans="68:68">
      <c r="BP809" s="68"/>
    </row>
    <row r="810" spans="68:68">
      <c r="BP810" s="68"/>
    </row>
    <row r="811" spans="68:68">
      <c r="BP811" s="68"/>
    </row>
    <row r="812" spans="68:68">
      <c r="BP812" s="68"/>
    </row>
    <row r="813" spans="68:68">
      <c r="BP813" s="68"/>
    </row>
    <row r="814" spans="68:68">
      <c r="BP814" s="68"/>
    </row>
    <row r="815" spans="68:68">
      <c r="BP815" s="68"/>
    </row>
    <row r="816" spans="68:68">
      <c r="BP816" s="68"/>
    </row>
    <row r="817" spans="68:68">
      <c r="BP817" s="68"/>
    </row>
    <row r="818" spans="68:68">
      <c r="BP818" s="68"/>
    </row>
    <row r="819" spans="68:68">
      <c r="BP819" s="68"/>
    </row>
    <row r="820" spans="68:68">
      <c r="BP820" s="68"/>
    </row>
    <row r="821" spans="68:68">
      <c r="BP821" s="68"/>
    </row>
    <row r="822" spans="68:68">
      <c r="BP822" s="68"/>
    </row>
    <row r="823" spans="68:68">
      <c r="BP823" s="68"/>
    </row>
    <row r="824" spans="68:68">
      <c r="BP824" s="68"/>
    </row>
    <row r="825" spans="68:68">
      <c r="BP825" s="68"/>
    </row>
    <row r="826" spans="68:68">
      <c r="BP826" s="68"/>
    </row>
    <row r="827" spans="68:68">
      <c r="BP827" s="68"/>
    </row>
    <row r="828" spans="68:68">
      <c r="BP828" s="68"/>
    </row>
    <row r="829" spans="68:68">
      <c r="BP829" s="68"/>
    </row>
    <row r="830" spans="68:68">
      <c r="BP830" s="68"/>
    </row>
    <row r="831" spans="68:68">
      <c r="BP831" s="68"/>
    </row>
    <row r="832" spans="68:68">
      <c r="BP832" s="68"/>
    </row>
    <row r="833" spans="68:68">
      <c r="BP833" s="68"/>
    </row>
    <row r="834" spans="68:68">
      <c r="BP834" s="68"/>
    </row>
    <row r="835" spans="68:68">
      <c r="BP835" s="68"/>
    </row>
    <row r="836" spans="68:68">
      <c r="BP836" s="68"/>
    </row>
    <row r="837" spans="68:68">
      <c r="BP837" s="68"/>
    </row>
    <row r="838" spans="68:68">
      <c r="BP838" s="68"/>
    </row>
    <row r="839" spans="68:68">
      <c r="BP839" s="68"/>
    </row>
    <row r="840" spans="68:68">
      <c r="BP840" s="68"/>
    </row>
    <row r="841" spans="68:68">
      <c r="BP841" s="68"/>
    </row>
    <row r="842" spans="68:68">
      <c r="BP842" s="68"/>
    </row>
    <row r="843" spans="68:68">
      <c r="BP843" s="68"/>
    </row>
    <row r="844" spans="68:68">
      <c r="BP844" s="68"/>
    </row>
    <row r="845" spans="68:68">
      <c r="BP845" s="68"/>
    </row>
    <row r="846" spans="68:68">
      <c r="BP846" s="68"/>
    </row>
    <row r="847" spans="68:68">
      <c r="BP847" s="68"/>
    </row>
    <row r="848" spans="68:68">
      <c r="BP848" s="68"/>
    </row>
    <row r="849" spans="68:68">
      <c r="BP849" s="68"/>
    </row>
    <row r="850" spans="68:68">
      <c r="BP850" s="68"/>
    </row>
    <row r="851" spans="68:68">
      <c r="BP851" s="68"/>
    </row>
    <row r="852" spans="68:68">
      <c r="BP852" s="68"/>
    </row>
    <row r="853" spans="68:68">
      <c r="BP853" s="68"/>
    </row>
    <row r="854" spans="68:68">
      <c r="BP854" s="68"/>
    </row>
    <row r="855" spans="68:68">
      <c r="BP855" s="68"/>
    </row>
    <row r="856" spans="68:68">
      <c r="BP856" s="68"/>
    </row>
    <row r="857" spans="68:68">
      <c r="BP857" s="68"/>
    </row>
    <row r="858" spans="68:68">
      <c r="BP858" s="68"/>
    </row>
    <row r="859" spans="68:68">
      <c r="BP859" s="68"/>
    </row>
    <row r="860" spans="68:68">
      <c r="BP860" s="68"/>
    </row>
    <row r="861" spans="68:68">
      <c r="BP861" s="68"/>
    </row>
    <row r="862" spans="68:68">
      <c r="BP862" s="68"/>
    </row>
    <row r="863" spans="68:68">
      <c r="BP863" s="68"/>
    </row>
    <row r="864" spans="68:68">
      <c r="BP864" s="68"/>
    </row>
    <row r="865" spans="68:68">
      <c r="BP865" s="68"/>
    </row>
    <row r="866" spans="68:68">
      <c r="BP866" s="68"/>
    </row>
    <row r="867" spans="68:68">
      <c r="BP867" s="68"/>
    </row>
    <row r="868" spans="68:68">
      <c r="BP868" s="68"/>
    </row>
    <row r="869" spans="68:68">
      <c r="BP869" s="68"/>
    </row>
    <row r="870" spans="68:68">
      <c r="BP870" s="68"/>
    </row>
    <row r="871" spans="68:68">
      <c r="BP871" s="68"/>
    </row>
    <row r="872" spans="68:68">
      <c r="BP872" s="68"/>
    </row>
    <row r="873" spans="68:68">
      <c r="BP873" s="68"/>
    </row>
    <row r="874" spans="68:68">
      <c r="BP874" s="68"/>
    </row>
    <row r="875" spans="68:68">
      <c r="BP875" s="68"/>
    </row>
    <row r="876" spans="68:68">
      <c r="BP876" s="68"/>
    </row>
    <row r="877" spans="68:68">
      <c r="BP877" s="68"/>
    </row>
    <row r="878" spans="68:68">
      <c r="BP878" s="68"/>
    </row>
    <row r="879" spans="68:68">
      <c r="BP879" s="68"/>
    </row>
    <row r="880" spans="68:68">
      <c r="BP880" s="68"/>
    </row>
    <row r="881" spans="68:68">
      <c r="BP881" s="68"/>
    </row>
    <row r="882" spans="68:68">
      <c r="BP882" s="68"/>
    </row>
    <row r="883" spans="68:68">
      <c r="BP883" s="68"/>
    </row>
    <row r="884" spans="68:68">
      <c r="BP884" s="68"/>
    </row>
    <row r="885" spans="68:68">
      <c r="BP885" s="68"/>
    </row>
    <row r="886" spans="68:68">
      <c r="BP886" s="68"/>
    </row>
    <row r="887" spans="68:68">
      <c r="BP887" s="68"/>
    </row>
    <row r="888" spans="68:68">
      <c r="BP888" s="68"/>
    </row>
    <row r="889" spans="68:68">
      <c r="BP889" s="68"/>
    </row>
    <row r="890" spans="68:68">
      <c r="BP890" s="68"/>
    </row>
    <row r="891" spans="68:68">
      <c r="BP891" s="68"/>
    </row>
    <row r="892" spans="68:68">
      <c r="BP892" s="68"/>
    </row>
    <row r="893" spans="68:68">
      <c r="BP893" s="68"/>
    </row>
    <row r="894" spans="68:68">
      <c r="BP894" s="68"/>
    </row>
    <row r="895" spans="68:68">
      <c r="BP895" s="68"/>
    </row>
    <row r="896" spans="68:68">
      <c r="BP896" s="68"/>
    </row>
    <row r="897" spans="68:68">
      <c r="BP897" s="68"/>
    </row>
    <row r="898" spans="68:68">
      <c r="BP898" s="68"/>
    </row>
    <row r="899" spans="68:68">
      <c r="BP899" s="68"/>
    </row>
    <row r="900" spans="68:68">
      <c r="BP900" s="68"/>
    </row>
    <row r="901" spans="68:68">
      <c r="BP901" s="68"/>
    </row>
    <row r="902" spans="68:68">
      <c r="BP902" s="68"/>
    </row>
    <row r="903" spans="68:68">
      <c r="BP903" s="68"/>
    </row>
    <row r="904" spans="68:68">
      <c r="BP904" s="68"/>
    </row>
    <row r="905" spans="68:68">
      <c r="BP905" s="68"/>
    </row>
    <row r="906" spans="68:68">
      <c r="BP906" s="68"/>
    </row>
    <row r="907" spans="68:68">
      <c r="BP907" s="68"/>
    </row>
    <row r="908" spans="68:68">
      <c r="BP908" s="68"/>
    </row>
    <row r="909" spans="68:68">
      <c r="BP909" s="68"/>
    </row>
    <row r="910" spans="68:68">
      <c r="BP910" s="68"/>
    </row>
    <row r="911" spans="68:68">
      <c r="BP911" s="68"/>
    </row>
    <row r="912" spans="68:68">
      <c r="BP912" s="68"/>
    </row>
    <row r="913" spans="68:68">
      <c r="BP913" s="68"/>
    </row>
    <row r="914" spans="68:68">
      <c r="BP914" s="68"/>
    </row>
    <row r="915" spans="68:68">
      <c r="BP915" s="68"/>
    </row>
    <row r="916" spans="68:68">
      <c r="BP916" s="68"/>
    </row>
    <row r="917" spans="68:68">
      <c r="BP917" s="68"/>
    </row>
    <row r="918" spans="68:68">
      <c r="BP918" s="68"/>
    </row>
    <row r="919" spans="68:68">
      <c r="BP919" s="68"/>
    </row>
    <row r="920" spans="68:68">
      <c r="BP920" s="68"/>
    </row>
    <row r="921" spans="68:68">
      <c r="BP921" s="68"/>
    </row>
    <row r="922" spans="68:68">
      <c r="BP922" s="68"/>
    </row>
    <row r="923" spans="68:68">
      <c r="BP923" s="68"/>
    </row>
    <row r="924" spans="68:68">
      <c r="BP924" s="68"/>
    </row>
    <row r="925" spans="68:68">
      <c r="BP925" s="68"/>
    </row>
    <row r="926" spans="68:68">
      <c r="BP926" s="68"/>
    </row>
    <row r="927" spans="68:68">
      <c r="BP927" s="68"/>
    </row>
    <row r="928" spans="68:68">
      <c r="BP928" s="68"/>
    </row>
    <row r="929" spans="68:68">
      <c r="BP929" s="68"/>
    </row>
    <row r="930" spans="68:68">
      <c r="BP930" s="68"/>
    </row>
    <row r="931" spans="68:68">
      <c r="BP931" s="68"/>
    </row>
    <row r="932" spans="68:68">
      <c r="BP932" s="68"/>
    </row>
    <row r="933" spans="68:68">
      <c r="BP933" s="68"/>
    </row>
    <row r="934" spans="68:68">
      <c r="BP934" s="68"/>
    </row>
    <row r="935" spans="68:68">
      <c r="BP935" s="68"/>
    </row>
    <row r="936" spans="68:68">
      <c r="BP936" s="68"/>
    </row>
    <row r="937" spans="68:68">
      <c r="BP937" s="68"/>
    </row>
    <row r="938" spans="68:68">
      <c r="BP938" s="68"/>
    </row>
    <row r="939" spans="68:68">
      <c r="BP939" s="68"/>
    </row>
    <row r="940" spans="68:68">
      <c r="BP940" s="68"/>
    </row>
    <row r="941" spans="68:68">
      <c r="BP941" s="68"/>
    </row>
    <row r="942" spans="68:68">
      <c r="BP942" s="68"/>
    </row>
    <row r="943" spans="68:68">
      <c r="BP943" s="68"/>
    </row>
    <row r="944" spans="68:68">
      <c r="BP944" s="68"/>
    </row>
    <row r="945" spans="68:68">
      <c r="BP945" s="68"/>
    </row>
    <row r="946" spans="68:68">
      <c r="BP946" s="68"/>
    </row>
    <row r="947" spans="68:68">
      <c r="BP947" s="68"/>
    </row>
    <row r="948" spans="68:68">
      <c r="BP948" s="68"/>
    </row>
    <row r="949" spans="68:68">
      <c r="BP949" s="68"/>
    </row>
    <row r="950" spans="68:68">
      <c r="BP950" s="68"/>
    </row>
    <row r="951" spans="68:68">
      <c r="BP951" s="68"/>
    </row>
    <row r="952" spans="68:68">
      <c r="BP952" s="68"/>
    </row>
    <row r="953" spans="68:68">
      <c r="BP953" s="68"/>
    </row>
    <row r="954" spans="68:68">
      <c r="BP954" s="68"/>
    </row>
    <row r="955" spans="68:68">
      <c r="BP955" s="68"/>
    </row>
    <row r="956" spans="68:68">
      <c r="BP956" s="68"/>
    </row>
    <row r="957" spans="68:68">
      <c r="BP957" s="68"/>
    </row>
    <row r="958" spans="68:68">
      <c r="BP958" s="68"/>
    </row>
    <row r="959" spans="68:68">
      <c r="BP959" s="68"/>
    </row>
    <row r="960" spans="68:68">
      <c r="BP960" s="68"/>
    </row>
    <row r="961" spans="68:68">
      <c r="BP961" s="68"/>
    </row>
    <row r="962" spans="68:68">
      <c r="BP962" s="68"/>
    </row>
    <row r="963" spans="68:68">
      <c r="BP963" s="68"/>
    </row>
    <row r="964" spans="68:68">
      <c r="BP964" s="68"/>
    </row>
    <row r="965" spans="68:68">
      <c r="BP965" s="68"/>
    </row>
    <row r="966" spans="68:68">
      <c r="BP966" s="68"/>
    </row>
    <row r="967" spans="68:68">
      <c r="BP967" s="68"/>
    </row>
    <row r="968" spans="68:68">
      <c r="BP968" s="68"/>
    </row>
    <row r="969" spans="68:68">
      <c r="BP969" s="68"/>
    </row>
    <row r="970" spans="68:68">
      <c r="BP970" s="68"/>
    </row>
    <row r="971" spans="68:68">
      <c r="BP971" s="68"/>
    </row>
    <row r="972" spans="68:68">
      <c r="BP972" s="68"/>
    </row>
    <row r="973" spans="68:68">
      <c r="BP973" s="68"/>
    </row>
    <row r="974" spans="68:68">
      <c r="BP974" s="68"/>
    </row>
    <row r="975" spans="68:68">
      <c r="BP975" s="68"/>
    </row>
    <row r="976" spans="68:68">
      <c r="BP976" s="68"/>
    </row>
    <row r="977" spans="68:68">
      <c r="BP977" s="68"/>
    </row>
    <row r="978" spans="68:68">
      <c r="BP978" s="68"/>
    </row>
    <row r="979" spans="68:68">
      <c r="BP979" s="68"/>
    </row>
    <row r="980" spans="68:68">
      <c r="BP980" s="68"/>
    </row>
    <row r="981" spans="68:68">
      <c r="BP981" s="68"/>
    </row>
    <row r="982" spans="68:68">
      <c r="BP982" s="68"/>
    </row>
    <row r="983" spans="68:68">
      <c r="BP983" s="68"/>
    </row>
    <row r="984" spans="68:68">
      <c r="BP984" s="68"/>
    </row>
    <row r="985" spans="68:68">
      <c r="BP985" s="68"/>
    </row>
    <row r="986" spans="68:68">
      <c r="BP986" s="68"/>
    </row>
    <row r="987" spans="68:68">
      <c r="BP987" s="68"/>
    </row>
    <row r="988" spans="68:68">
      <c r="BP988" s="68"/>
    </row>
    <row r="989" spans="68:68">
      <c r="BP989" s="68"/>
    </row>
    <row r="990" spans="68:68">
      <c r="BP990" s="68"/>
    </row>
    <row r="991" spans="68:68">
      <c r="BP991" s="68"/>
    </row>
    <row r="992" spans="68:68">
      <c r="BP992" s="68"/>
    </row>
    <row r="993" spans="68:68">
      <c r="BP993" s="68"/>
    </row>
    <row r="994" spans="68:68">
      <c r="BP994" s="68"/>
    </row>
    <row r="995" spans="68:68">
      <c r="BP995" s="68"/>
    </row>
    <row r="996" spans="68:68">
      <c r="BP996" s="68"/>
    </row>
    <row r="997" spans="68:68">
      <c r="BP997" s="68"/>
    </row>
    <row r="998" spans="68:68">
      <c r="BP998" s="68"/>
    </row>
    <row r="999" spans="68:68">
      <c r="BP999" s="68"/>
    </row>
    <row r="1000" spans="68:68">
      <c r="BP1000" s="68"/>
    </row>
    <row r="1001" spans="68:68">
      <c r="BP1001" s="68"/>
    </row>
    <row r="1002" spans="68:68">
      <c r="BP1002" s="68"/>
    </row>
    <row r="1003" spans="68:68">
      <c r="BP1003" s="68"/>
    </row>
    <row r="1004" spans="68:68">
      <c r="BP1004" s="68"/>
    </row>
    <row r="1005" spans="68:68">
      <c r="BP1005" s="68"/>
    </row>
    <row r="1006" spans="68:68">
      <c r="BP1006" s="68"/>
    </row>
    <row r="1007" spans="68:68">
      <c r="BP1007" s="68"/>
    </row>
    <row r="1008" spans="68:68">
      <c r="BP1008" s="68"/>
    </row>
    <row r="1009" spans="68:68">
      <c r="BP1009" s="68"/>
    </row>
    <row r="1010" spans="68:68">
      <c r="BP1010" s="68"/>
    </row>
    <row r="1011" spans="68:68">
      <c r="BP1011" s="68"/>
    </row>
    <row r="1012" spans="68:68">
      <c r="BP1012" s="68"/>
    </row>
    <row r="1013" spans="68:68">
      <c r="BP1013" s="68"/>
    </row>
    <row r="1014" spans="68:68">
      <c r="BP1014" s="68"/>
    </row>
    <row r="1015" spans="68:68">
      <c r="BP1015" s="68"/>
    </row>
    <row r="1016" spans="68:68">
      <c r="BP1016" s="68"/>
    </row>
    <row r="1017" spans="68:68">
      <c r="BP1017" s="68"/>
    </row>
    <row r="1018" spans="68:68">
      <c r="BP1018" s="68"/>
    </row>
    <row r="1019" spans="68:68">
      <c r="BP1019" s="68"/>
    </row>
    <row r="1020" spans="68:68">
      <c r="BP1020" s="68"/>
    </row>
    <row r="1021" spans="68:68">
      <c r="BP1021" s="68"/>
    </row>
    <row r="1022" spans="68:68">
      <c r="BP1022" s="68"/>
    </row>
    <row r="1023" spans="68:68">
      <c r="BP1023" s="68"/>
    </row>
    <row r="1024" spans="68:68">
      <c r="BP1024" s="68"/>
    </row>
    <row r="1025" spans="68:68">
      <c r="BP1025" s="68"/>
    </row>
    <row r="1026" spans="68:68">
      <c r="BP1026" s="68"/>
    </row>
    <row r="1027" spans="68:68">
      <c r="BP1027" s="68"/>
    </row>
    <row r="1028" spans="68:68">
      <c r="BP1028" s="68"/>
    </row>
    <row r="1029" spans="68:68">
      <c r="BP1029" s="68"/>
    </row>
    <row r="1030" spans="68:68">
      <c r="BP1030" s="68"/>
    </row>
    <row r="1031" spans="68:68">
      <c r="BP1031" s="68"/>
    </row>
    <row r="1032" spans="68:68">
      <c r="BP1032" s="68"/>
    </row>
    <row r="1033" spans="68:68">
      <c r="BP1033" s="68"/>
    </row>
    <row r="1034" spans="68:68">
      <c r="BP1034" s="68"/>
    </row>
    <row r="1035" spans="68:68">
      <c r="BP1035" s="68"/>
    </row>
    <row r="1036" spans="68:68">
      <c r="BP1036" s="68"/>
    </row>
    <row r="1037" spans="68:68">
      <c r="BP1037" s="68"/>
    </row>
    <row r="1038" spans="68:68">
      <c r="BP1038" s="68"/>
    </row>
    <row r="1039" spans="68:68">
      <c r="BP1039" s="68"/>
    </row>
    <row r="1040" spans="68:68">
      <c r="BP1040" s="68"/>
    </row>
    <row r="1041" spans="68:68">
      <c r="BP1041" s="68"/>
    </row>
    <row r="1042" spans="68:68">
      <c r="BP1042" s="68"/>
    </row>
    <row r="1043" spans="68:68">
      <c r="BP1043" s="68"/>
    </row>
    <row r="1044" spans="68:68">
      <c r="BP1044" s="68"/>
    </row>
    <row r="1045" spans="68:68">
      <c r="BP1045" s="68"/>
    </row>
    <row r="1046" spans="68:68">
      <c r="BP1046" s="68"/>
    </row>
    <row r="1047" spans="68:68">
      <c r="BP1047" s="68"/>
    </row>
    <row r="1048" spans="68:68">
      <c r="BP1048" s="68"/>
    </row>
    <row r="1049" spans="68:68">
      <c r="BP1049" s="68"/>
    </row>
    <row r="1050" spans="68:68">
      <c r="BP1050" s="68"/>
    </row>
    <row r="1051" spans="68:68">
      <c r="BP1051" s="68"/>
    </row>
    <row r="1052" spans="68:68">
      <c r="BP1052" s="68"/>
    </row>
    <row r="1053" spans="68:68">
      <c r="BP1053" s="68"/>
    </row>
    <row r="1054" spans="68:68">
      <c r="BP1054" s="68"/>
    </row>
    <row r="1055" spans="68:68">
      <c r="BP1055" s="68"/>
    </row>
    <row r="1056" spans="68:68">
      <c r="BP1056" s="68"/>
    </row>
    <row r="1057" spans="68:68">
      <c r="BP1057" s="68"/>
    </row>
    <row r="1058" spans="68:68">
      <c r="BP1058" s="68"/>
    </row>
    <row r="1059" spans="68:68">
      <c r="BP1059" s="68"/>
    </row>
    <row r="1060" spans="68:68">
      <c r="BP1060" s="68"/>
    </row>
    <row r="1061" spans="68:68">
      <c r="BP1061" s="68"/>
    </row>
    <row r="1062" spans="68:68">
      <c r="BP1062" s="68"/>
    </row>
    <row r="1063" spans="68:68">
      <c r="BP1063" s="68"/>
    </row>
    <row r="1064" spans="68:68">
      <c r="BP1064" s="68"/>
    </row>
    <row r="1065" spans="68:68">
      <c r="BP1065" s="68"/>
    </row>
    <row r="1066" spans="68:68">
      <c r="BP1066" s="68"/>
    </row>
    <row r="1067" spans="68:68">
      <c r="BP1067" s="68"/>
    </row>
    <row r="1068" spans="68:68">
      <c r="BP1068" s="68"/>
    </row>
    <row r="1069" spans="68:68">
      <c r="BP1069" s="68"/>
    </row>
    <row r="1070" spans="68:68">
      <c r="BP1070" s="68"/>
    </row>
    <row r="1071" spans="68:68">
      <c r="BP1071" s="68"/>
    </row>
    <row r="1072" spans="68:68">
      <c r="BP1072" s="68"/>
    </row>
    <row r="1073" spans="68:68">
      <c r="BP1073" s="68"/>
    </row>
    <row r="1074" spans="68:68">
      <c r="BP1074" s="68"/>
    </row>
    <row r="1075" spans="68:68">
      <c r="BP1075" s="68"/>
    </row>
    <row r="1076" spans="68:68">
      <c r="BP1076" s="68"/>
    </row>
    <row r="1077" spans="68:68">
      <c r="BP1077" s="68"/>
    </row>
    <row r="1078" spans="68:68">
      <c r="BP1078" s="68"/>
    </row>
    <row r="1079" spans="68:68">
      <c r="BP1079" s="68"/>
    </row>
    <row r="1080" spans="68:68">
      <c r="BP1080" s="68"/>
    </row>
    <row r="1081" spans="68:68">
      <c r="BP1081" s="68"/>
    </row>
    <row r="1082" spans="68:68">
      <c r="BP1082" s="68"/>
    </row>
    <row r="1083" spans="68:68">
      <c r="BP1083" s="68"/>
    </row>
    <row r="1084" spans="68:68">
      <c r="BP1084" s="68"/>
    </row>
    <row r="1085" spans="68:68">
      <c r="BP1085" s="68"/>
    </row>
    <row r="1086" spans="68:68">
      <c r="BP1086" s="68"/>
    </row>
    <row r="1087" spans="68:68">
      <c r="BP1087" s="68"/>
    </row>
    <row r="1088" spans="68:68">
      <c r="BP1088" s="68"/>
    </row>
    <row r="1089" spans="68:68">
      <c r="BP1089" s="68"/>
    </row>
    <row r="1090" spans="68:68">
      <c r="BP1090" s="68"/>
    </row>
    <row r="1091" spans="68:68">
      <c r="BP1091" s="68"/>
    </row>
    <row r="1092" spans="68:68">
      <c r="BP1092" s="68"/>
    </row>
    <row r="1093" spans="68:68">
      <c r="BP1093" s="68"/>
    </row>
    <row r="1094" spans="68:68">
      <c r="BP1094" s="68"/>
    </row>
    <row r="1095" spans="68:68">
      <c r="BP1095" s="68"/>
    </row>
    <row r="1096" spans="68:68">
      <c r="BP1096" s="68"/>
    </row>
    <row r="1097" spans="68:68">
      <c r="BP1097" s="68"/>
    </row>
    <row r="1098" spans="68:68">
      <c r="BP1098" s="68"/>
    </row>
    <row r="1099" spans="68:68">
      <c r="BP1099" s="68"/>
    </row>
    <row r="1100" spans="68:68">
      <c r="BP1100" s="68"/>
    </row>
    <row r="1101" spans="68:68">
      <c r="BP1101" s="68"/>
    </row>
    <row r="1102" spans="68:68">
      <c r="BP1102" s="68"/>
    </row>
    <row r="1103" spans="68:68">
      <c r="BP1103" s="68"/>
    </row>
    <row r="1104" spans="68:68">
      <c r="BP1104" s="68"/>
    </row>
    <row r="1105" spans="68:68">
      <c r="BP1105" s="68"/>
    </row>
    <row r="1106" spans="68:68">
      <c r="BP1106" s="68"/>
    </row>
    <row r="1107" spans="68:68">
      <c r="BP1107" s="68"/>
    </row>
    <row r="1108" spans="68:68">
      <c r="BP1108" s="68"/>
    </row>
    <row r="1109" spans="68:68">
      <c r="BP1109" s="68"/>
    </row>
    <row r="1110" spans="68:68">
      <c r="BP1110" s="68"/>
    </row>
    <row r="1111" spans="68:68">
      <c r="BP1111" s="68"/>
    </row>
    <row r="1112" spans="68:68">
      <c r="BP1112" s="68"/>
    </row>
    <row r="1113" spans="68:68">
      <c r="BP1113" s="68"/>
    </row>
    <row r="1114" spans="68:68">
      <c r="BP1114" s="68"/>
    </row>
    <row r="1115" spans="68:68">
      <c r="BP1115" s="68"/>
    </row>
    <row r="1116" spans="68:68">
      <c r="BP1116" s="68"/>
    </row>
    <row r="1117" spans="68:68">
      <c r="BP1117" s="68"/>
    </row>
    <row r="1118" spans="68:68">
      <c r="BP1118" s="68"/>
    </row>
    <row r="1119" spans="68:68">
      <c r="BP1119" s="68"/>
    </row>
    <row r="1120" spans="68:68">
      <c r="BP1120" s="68"/>
    </row>
    <row r="1121" spans="68:68">
      <c r="BP1121" s="68"/>
    </row>
    <row r="1122" spans="68:68">
      <c r="BP1122" s="68"/>
    </row>
    <row r="1123" spans="68:68">
      <c r="BP1123" s="68"/>
    </row>
    <row r="1124" spans="68:68">
      <c r="BP1124" s="68"/>
    </row>
    <row r="1125" spans="68:68">
      <c r="BP1125" s="68"/>
    </row>
    <row r="1126" spans="68:68">
      <c r="BP1126" s="68"/>
    </row>
    <row r="1127" spans="68:68">
      <c r="BP1127" s="68"/>
    </row>
    <row r="1128" spans="68:68">
      <c r="BP1128" s="68"/>
    </row>
    <row r="1129" spans="68:68">
      <c r="BP1129" s="68"/>
    </row>
    <row r="1130" spans="68:68">
      <c r="BP1130" s="68"/>
    </row>
    <row r="1131" spans="68:68">
      <c r="BP1131" s="68"/>
    </row>
    <row r="1132" spans="68:68">
      <c r="BP1132" s="68"/>
    </row>
    <row r="1133" spans="68:68">
      <c r="BP1133" s="68"/>
    </row>
    <row r="1134" spans="68:68">
      <c r="BP1134" s="68"/>
    </row>
    <row r="1135" spans="68:68">
      <c r="BP1135" s="68"/>
    </row>
    <row r="1136" spans="68:68">
      <c r="BP1136" s="68"/>
    </row>
    <row r="1137" spans="68:68">
      <c r="BP1137" s="68"/>
    </row>
    <row r="1138" spans="68:68">
      <c r="BP1138" s="68"/>
    </row>
    <row r="1139" spans="68:68">
      <c r="BP1139" s="68"/>
    </row>
    <row r="1140" spans="68:68">
      <c r="BP1140" s="68"/>
    </row>
    <row r="1141" spans="68:68">
      <c r="BP1141" s="68"/>
    </row>
    <row r="1142" spans="68:68">
      <c r="BP1142" s="68"/>
    </row>
    <row r="1143" spans="68:68">
      <c r="BP1143" s="68"/>
    </row>
    <row r="1144" spans="68:68">
      <c r="BP1144" s="68"/>
    </row>
    <row r="1145" spans="68:68">
      <c r="BP1145" s="68"/>
    </row>
    <row r="1146" spans="68:68">
      <c r="BP1146" s="68"/>
    </row>
    <row r="1147" spans="68:68">
      <c r="BP1147" s="68"/>
    </row>
    <row r="1148" spans="68:68">
      <c r="BP1148" s="68"/>
    </row>
    <row r="1149" spans="68:68">
      <c r="BP1149" s="68"/>
    </row>
    <row r="1150" spans="68:68">
      <c r="BP1150" s="68"/>
    </row>
    <row r="1151" spans="68:68">
      <c r="BP1151" s="68"/>
    </row>
    <row r="1152" spans="68:68">
      <c r="BP1152" s="68"/>
    </row>
    <row r="1153" spans="68:68">
      <c r="BP1153" s="68"/>
    </row>
    <row r="1154" spans="68:68">
      <c r="BP1154" s="68"/>
    </row>
    <row r="1155" spans="68:68">
      <c r="BP1155" s="68"/>
    </row>
    <row r="1156" spans="68:68">
      <c r="BP1156" s="68"/>
    </row>
    <row r="1157" spans="68:68">
      <c r="BP1157" s="68"/>
    </row>
    <row r="1158" spans="68:68">
      <c r="BP1158" s="68"/>
    </row>
    <row r="1159" spans="68:68">
      <c r="BP1159" s="68"/>
    </row>
    <row r="1160" spans="68:68">
      <c r="BP1160" s="68"/>
    </row>
    <row r="1161" spans="68:68">
      <c r="BP1161" s="68"/>
    </row>
    <row r="1162" spans="68:68">
      <c r="BP1162" s="68"/>
    </row>
    <row r="1163" spans="68:68">
      <c r="BP1163" s="68"/>
    </row>
    <row r="1164" spans="68:68">
      <c r="BP1164" s="68"/>
    </row>
    <row r="1165" spans="68:68">
      <c r="BP1165" s="68"/>
    </row>
    <row r="1166" spans="68:68">
      <c r="BP1166" s="68"/>
    </row>
    <row r="1167" spans="68:68">
      <c r="BP1167" s="68"/>
    </row>
    <row r="1168" spans="68:68">
      <c r="BP1168" s="68"/>
    </row>
    <row r="1169" spans="68:68">
      <c r="BP1169" s="68"/>
    </row>
    <row r="1170" spans="68:68">
      <c r="BP1170" s="68"/>
    </row>
    <row r="1171" spans="68:68">
      <c r="BP1171" s="68"/>
    </row>
    <row r="1172" spans="68:68">
      <c r="BP1172" s="68"/>
    </row>
    <row r="1173" spans="68:68">
      <c r="BP1173" s="68"/>
    </row>
    <row r="1174" spans="68:68">
      <c r="BP1174" s="68"/>
    </row>
    <row r="1175" spans="68:68">
      <c r="BP1175" s="68"/>
    </row>
    <row r="1176" spans="68:68">
      <c r="BP1176" s="68"/>
    </row>
    <row r="1177" spans="68:68">
      <c r="BP1177" s="68"/>
    </row>
    <row r="1178" spans="68:68">
      <c r="BP1178" s="68"/>
    </row>
    <row r="1179" spans="68:68">
      <c r="BP1179" s="68"/>
    </row>
    <row r="1180" spans="68:68">
      <c r="BP1180" s="68"/>
    </row>
    <row r="1181" spans="68:68">
      <c r="BP1181" s="68"/>
    </row>
    <row r="1182" spans="68:68">
      <c r="BP1182" s="68"/>
    </row>
    <row r="1183" spans="68:68">
      <c r="BP1183" s="68"/>
    </row>
    <row r="1184" spans="68:68">
      <c r="BP1184" s="68"/>
    </row>
    <row r="1185" spans="68:68">
      <c r="BP1185" s="68"/>
    </row>
    <row r="1186" spans="68:68">
      <c r="BP1186" s="68"/>
    </row>
    <row r="1187" spans="68:68">
      <c r="BP1187" s="68"/>
    </row>
    <row r="1188" spans="68:68">
      <c r="BP1188" s="68"/>
    </row>
    <row r="1189" spans="68:68">
      <c r="BP1189" s="68"/>
    </row>
    <row r="1190" spans="68:68">
      <c r="BP1190" s="68"/>
    </row>
    <row r="1191" spans="68:68">
      <c r="BP1191" s="68"/>
    </row>
    <row r="1192" spans="68:68">
      <c r="BP1192" s="68"/>
    </row>
    <row r="1193" spans="68:68">
      <c r="BP1193" s="68"/>
    </row>
    <row r="1194" spans="68:68">
      <c r="BP1194" s="68"/>
    </row>
    <row r="1195" spans="68:68">
      <c r="BP1195" s="68"/>
    </row>
    <row r="1196" spans="68:68">
      <c r="BP1196" s="68"/>
    </row>
    <row r="1197" spans="68:68">
      <c r="BP1197" s="68"/>
    </row>
    <row r="1198" spans="68:68">
      <c r="BP1198" s="68"/>
    </row>
    <row r="1199" spans="68:68">
      <c r="BP1199" s="68"/>
    </row>
    <row r="1200" spans="68:68">
      <c r="BP1200" s="68"/>
    </row>
    <row r="1201" spans="68:68">
      <c r="BP1201" s="68"/>
    </row>
    <row r="1202" spans="68:68">
      <c r="BP1202" s="68"/>
    </row>
    <row r="1203" spans="68:68">
      <c r="BP1203" s="68"/>
    </row>
    <row r="1204" spans="68:68">
      <c r="BP1204" s="68"/>
    </row>
    <row r="1205" spans="68:68">
      <c r="BP1205" s="68"/>
    </row>
    <row r="1206" spans="68:68">
      <c r="BP1206" s="68"/>
    </row>
    <row r="1207" spans="68:68">
      <c r="BP1207" s="68"/>
    </row>
    <row r="1208" spans="68:68">
      <c r="BP1208" s="68"/>
    </row>
    <row r="1209" spans="68:68">
      <c r="BP1209" s="68"/>
    </row>
    <row r="1210" spans="68:68">
      <c r="BP1210" s="68"/>
    </row>
    <row r="1211" spans="68:68">
      <c r="BP1211" s="68"/>
    </row>
    <row r="1212" spans="68:68">
      <c r="BP1212" s="68"/>
    </row>
    <row r="1213" spans="68:68">
      <c r="BP1213" s="68"/>
    </row>
    <row r="1214" spans="68:68">
      <c r="BP1214" s="68"/>
    </row>
    <row r="1215" spans="68:68">
      <c r="BP1215" s="68"/>
    </row>
    <row r="1216" spans="68:68">
      <c r="BP1216" s="68"/>
    </row>
    <row r="1217" spans="68:68">
      <c r="BP1217" s="68"/>
    </row>
    <row r="1218" spans="68:68">
      <c r="BP1218" s="68"/>
    </row>
    <row r="1219" spans="68:68">
      <c r="BP1219" s="68"/>
    </row>
    <row r="1220" spans="68:68">
      <c r="BP1220" s="68"/>
    </row>
    <row r="1221" spans="68:68">
      <c r="BP1221" s="68"/>
    </row>
    <row r="1222" spans="68:68">
      <c r="BP1222" s="68"/>
    </row>
    <row r="1223" spans="68:68">
      <c r="BP1223" s="68"/>
    </row>
    <row r="1224" spans="68:68">
      <c r="BP1224" s="68"/>
    </row>
    <row r="1225" spans="68:68">
      <c r="BP1225" s="68"/>
    </row>
    <row r="1226" spans="68:68">
      <c r="BP1226" s="68"/>
    </row>
    <row r="1227" spans="68:68">
      <c r="BP1227" s="68"/>
    </row>
    <row r="1228" spans="68:68">
      <c r="BP1228" s="68"/>
    </row>
    <row r="1229" spans="68:68">
      <c r="BP1229" s="68"/>
    </row>
    <row r="1230" spans="68:68">
      <c r="BP1230" s="68"/>
    </row>
    <row r="1231" spans="68:68">
      <c r="BP1231" s="68"/>
    </row>
    <row r="1232" spans="68:68">
      <c r="BP1232" s="68"/>
    </row>
    <row r="1233" spans="68:68">
      <c r="BP1233" s="68"/>
    </row>
    <row r="1234" spans="68:68">
      <c r="BP1234" s="68"/>
    </row>
    <row r="1235" spans="68:68">
      <c r="BP1235" s="68"/>
    </row>
    <row r="1236" spans="68:68">
      <c r="BP1236" s="68"/>
    </row>
    <row r="1237" spans="68:68">
      <c r="BP1237" s="68"/>
    </row>
    <row r="1238" spans="68:68">
      <c r="BP1238" s="68"/>
    </row>
    <row r="1239" spans="68:68">
      <c r="BP1239" s="68"/>
    </row>
    <row r="1240" spans="68:68">
      <c r="BP1240" s="68"/>
    </row>
    <row r="1241" spans="68:68">
      <c r="BP1241" s="68"/>
    </row>
    <row r="1242" spans="68:68">
      <c r="BP1242" s="68"/>
    </row>
    <row r="1243" spans="68:68">
      <c r="BP1243" s="68"/>
    </row>
    <row r="1244" spans="68:68">
      <c r="BP1244" s="68"/>
    </row>
    <row r="1245" spans="68:68">
      <c r="BP1245" s="68"/>
    </row>
    <row r="1246" spans="68:68">
      <c r="BP1246" s="68"/>
    </row>
    <row r="1247" spans="68:68">
      <c r="BP1247" s="68"/>
    </row>
    <row r="1248" spans="68:68">
      <c r="BP1248" s="68"/>
    </row>
    <row r="1249" spans="68:68">
      <c r="BP1249" s="68"/>
    </row>
    <row r="1250" spans="68:68">
      <c r="BP1250" s="68"/>
    </row>
    <row r="1251" spans="68:68">
      <c r="BP1251" s="68"/>
    </row>
    <row r="1252" spans="68:68">
      <c r="BP1252" s="68"/>
    </row>
    <row r="1253" spans="68:68">
      <c r="BP1253" s="68"/>
    </row>
    <row r="1254" spans="68:68">
      <c r="BP1254" s="68"/>
    </row>
    <row r="1255" spans="68:68">
      <c r="BP1255" s="68"/>
    </row>
    <row r="1256" spans="68:68">
      <c r="BP1256" s="68"/>
    </row>
    <row r="1257" spans="68:68">
      <c r="BP1257" s="68"/>
    </row>
    <row r="1258" spans="68:68">
      <c r="BP1258" s="68"/>
    </row>
    <row r="1259" spans="68:68">
      <c r="BP1259" s="68"/>
    </row>
    <row r="1260" spans="68:68">
      <c r="BP1260" s="68"/>
    </row>
    <row r="1261" spans="68:68">
      <c r="BP1261" s="68"/>
    </row>
    <row r="1262" spans="68:68">
      <c r="BP1262" s="68"/>
    </row>
    <row r="1263" spans="68:68">
      <c r="BP1263" s="68"/>
    </row>
    <row r="1264" spans="68:68">
      <c r="BP1264" s="68"/>
    </row>
    <row r="1265" spans="68:68">
      <c r="BP1265" s="68"/>
    </row>
    <row r="1266" spans="68:68">
      <c r="BP1266" s="68"/>
    </row>
    <row r="1267" spans="68:68">
      <c r="BP1267" s="68"/>
    </row>
    <row r="1268" spans="68:68">
      <c r="BP1268" s="68"/>
    </row>
    <row r="1269" spans="68:68">
      <c r="BP1269" s="68"/>
    </row>
    <row r="1270" spans="68:68">
      <c r="BP1270" s="68"/>
    </row>
    <row r="1271" spans="68:68">
      <c r="BP1271" s="68"/>
    </row>
    <row r="1272" spans="68:68">
      <c r="BP1272" s="68"/>
    </row>
    <row r="1273" spans="68:68">
      <c r="BP1273" s="68"/>
    </row>
    <row r="1274" spans="68:68">
      <c r="BP1274" s="68"/>
    </row>
    <row r="1275" spans="68:68">
      <c r="BP1275" s="68"/>
    </row>
    <row r="1276" spans="68:68">
      <c r="BP1276" s="68"/>
    </row>
    <row r="1277" spans="68:68">
      <c r="BP1277" s="68"/>
    </row>
    <row r="1278" spans="68:68">
      <c r="BP1278" s="68"/>
    </row>
    <row r="1279" spans="68:68">
      <c r="BP1279" s="68"/>
    </row>
    <row r="1280" spans="68:68">
      <c r="BP1280" s="68"/>
    </row>
    <row r="1281" spans="68:68">
      <c r="BP1281" s="68"/>
    </row>
    <row r="1282" spans="68:68">
      <c r="BP1282" s="68"/>
    </row>
    <row r="1283" spans="68:68">
      <c r="BP1283" s="68"/>
    </row>
    <row r="1284" spans="68:68">
      <c r="BP1284" s="68"/>
    </row>
    <row r="1285" spans="68:68">
      <c r="BP1285" s="68"/>
    </row>
    <row r="1286" spans="68:68">
      <c r="BP1286" s="68"/>
    </row>
    <row r="1287" spans="68:68">
      <c r="BP1287" s="68"/>
    </row>
    <row r="1288" spans="68:68">
      <c r="BP1288" s="68"/>
    </row>
    <row r="1289" spans="68:68">
      <c r="BP1289" s="68"/>
    </row>
    <row r="1290" spans="68:68">
      <c r="BP1290" s="68"/>
    </row>
    <row r="1291" spans="68:68">
      <c r="BP1291" s="68"/>
    </row>
    <row r="1292" spans="68:68">
      <c r="BP1292" s="68"/>
    </row>
    <row r="1293" spans="68:68">
      <c r="BP1293" s="68"/>
    </row>
    <row r="1294" spans="68:68">
      <c r="BP1294" s="68"/>
    </row>
    <row r="1295" spans="68:68">
      <c r="BP1295" s="68"/>
    </row>
    <row r="1296" spans="68:68">
      <c r="BP1296" s="68"/>
    </row>
    <row r="1297" spans="68:68">
      <c r="BP1297" s="68"/>
    </row>
    <row r="1298" spans="68:68">
      <c r="BP1298" s="68"/>
    </row>
    <row r="1299" spans="68:68">
      <c r="BP1299" s="68"/>
    </row>
    <row r="1300" spans="68:68">
      <c r="BP1300" s="68"/>
    </row>
    <row r="1301" spans="68:68">
      <c r="BP1301" s="68"/>
    </row>
    <row r="1302" spans="68:68">
      <c r="BP1302" s="68"/>
    </row>
    <row r="1303" spans="68:68">
      <c r="BP1303" s="68"/>
    </row>
    <row r="1304" spans="68:68">
      <c r="BP1304" s="68"/>
    </row>
    <row r="1305" spans="68:68">
      <c r="BP1305" s="68"/>
    </row>
    <row r="1306" spans="68:68">
      <c r="BP1306" s="68"/>
    </row>
    <row r="1307" spans="68:68">
      <c r="BP1307" s="68"/>
    </row>
    <row r="1308" spans="68:68">
      <c r="BP1308" s="68"/>
    </row>
    <row r="1309" spans="68:68">
      <c r="BP1309" s="68"/>
    </row>
    <row r="1310" spans="68:68">
      <c r="BP1310" s="68"/>
    </row>
    <row r="1311" spans="68:68">
      <c r="BP1311" s="68"/>
    </row>
    <row r="1312" spans="68:68">
      <c r="BP1312" s="68"/>
    </row>
    <row r="1313" spans="68:68">
      <c r="BP1313" s="68"/>
    </row>
    <row r="1314" spans="68:68">
      <c r="BP1314" s="68"/>
    </row>
    <row r="1315" spans="68:68">
      <c r="BP1315" s="68"/>
    </row>
    <row r="1316" spans="68:68">
      <c r="BP1316" s="68"/>
    </row>
    <row r="1317" spans="68:68">
      <c r="BP1317" s="68"/>
    </row>
    <row r="1318" spans="68:68">
      <c r="BP1318" s="68"/>
    </row>
    <row r="1319" spans="68:68">
      <c r="BP1319" s="68"/>
    </row>
    <row r="1320" spans="68:68">
      <c r="BP1320" s="68"/>
    </row>
    <row r="1321" spans="68:68">
      <c r="BP1321" s="68"/>
    </row>
    <row r="1322" spans="68:68">
      <c r="BP1322" s="68"/>
    </row>
    <row r="1323" spans="68:68">
      <c r="BP1323" s="68"/>
    </row>
    <row r="1324" spans="68:68">
      <c r="BP1324" s="68"/>
    </row>
    <row r="1325" spans="68:68">
      <c r="BP1325" s="68"/>
    </row>
    <row r="1326" spans="68:68">
      <c r="BP1326" s="68"/>
    </row>
    <row r="1327" spans="68:68">
      <c r="BP1327" s="68"/>
    </row>
    <row r="1328" spans="68:68">
      <c r="BP1328" s="68"/>
    </row>
    <row r="1329" spans="68:68">
      <c r="BP1329" s="68"/>
    </row>
    <row r="1330" spans="68:68">
      <c r="BP1330" s="68"/>
    </row>
    <row r="1331" spans="68:68">
      <c r="BP1331" s="68"/>
    </row>
    <row r="1332" spans="68:68">
      <c r="BP1332" s="68"/>
    </row>
    <row r="1333" spans="68:68">
      <c r="BP1333" s="68"/>
    </row>
    <row r="1334" spans="68:68">
      <c r="BP1334" s="68"/>
    </row>
    <row r="1335" spans="68:68">
      <c r="BP1335" s="68"/>
    </row>
    <row r="1336" spans="68:68">
      <c r="BP1336" s="68"/>
    </row>
    <row r="1337" spans="68:68">
      <c r="BP1337" s="68"/>
    </row>
    <row r="1338" spans="68:68">
      <c r="BP1338" s="68"/>
    </row>
    <row r="1339" spans="68:68">
      <c r="BP1339" s="68"/>
    </row>
    <row r="1340" spans="68:68">
      <c r="BP1340" s="68"/>
    </row>
    <row r="1341" spans="68:68">
      <c r="BP1341" s="68"/>
    </row>
    <row r="1342" spans="68:68">
      <c r="BP1342" s="68"/>
    </row>
    <row r="1343" spans="68:68">
      <c r="BP1343" s="68"/>
    </row>
    <row r="1344" spans="68:68">
      <c r="BP1344" s="68"/>
    </row>
    <row r="1345" spans="68:68">
      <c r="BP1345" s="68"/>
    </row>
    <row r="1346" spans="68:68">
      <c r="BP1346" s="68"/>
    </row>
    <row r="1347" spans="68:68">
      <c r="BP1347" s="68"/>
    </row>
    <row r="1348" spans="68:68">
      <c r="BP1348" s="68"/>
    </row>
    <row r="1349" spans="68:68">
      <c r="BP1349" s="68"/>
    </row>
    <row r="1350" spans="68:68">
      <c r="BP1350" s="68"/>
    </row>
    <row r="1351" spans="68:68">
      <c r="BP1351" s="68"/>
    </row>
    <row r="1352" spans="68:68">
      <c r="BP1352" s="68"/>
    </row>
    <row r="1353" spans="68:68">
      <c r="BP1353" s="68"/>
    </row>
    <row r="1354" spans="68:68">
      <c r="BP1354" s="68"/>
    </row>
    <row r="1355" spans="68:68">
      <c r="BP1355" s="68"/>
    </row>
    <row r="1356" spans="68:68">
      <c r="BP1356" s="68"/>
    </row>
    <row r="1357" spans="68:68">
      <c r="BP1357" s="68"/>
    </row>
    <row r="1358" spans="68:68">
      <c r="BP1358" s="68"/>
    </row>
    <row r="1359" spans="68:68">
      <c r="BP1359" s="68"/>
    </row>
    <row r="1360" spans="68:68">
      <c r="BP1360" s="68"/>
    </row>
    <row r="1361" spans="68:68">
      <c r="BP1361" s="68"/>
    </row>
    <row r="1362" spans="68:68">
      <c r="BP1362" s="68"/>
    </row>
    <row r="1363" spans="68:68">
      <c r="BP1363" s="68"/>
    </row>
    <row r="1364" spans="68:68">
      <c r="BP1364" s="68"/>
    </row>
    <row r="1365" spans="68:68">
      <c r="BP1365" s="68"/>
    </row>
    <row r="1366" spans="68:68">
      <c r="BP1366" s="68"/>
    </row>
    <row r="1367" spans="68:68">
      <c r="BP1367" s="68"/>
    </row>
    <row r="1368" spans="68:68">
      <c r="BP1368" s="68"/>
    </row>
    <row r="1369" spans="68:68">
      <c r="BP1369" s="68"/>
    </row>
    <row r="1370" spans="68:68">
      <c r="BP1370" s="68"/>
    </row>
    <row r="1371" spans="68:68">
      <c r="BP1371" s="68"/>
    </row>
    <row r="1372" spans="68:68">
      <c r="BP1372" s="68"/>
    </row>
    <row r="1373" spans="68:68">
      <c r="BP1373" s="68"/>
    </row>
    <row r="1374" spans="68:68">
      <c r="BP1374" s="68"/>
    </row>
    <row r="1375" spans="68:68">
      <c r="BP1375" s="68"/>
    </row>
    <row r="1376" spans="68:68">
      <c r="BP1376" s="68"/>
    </row>
    <row r="1377" spans="68:68">
      <c r="BP1377" s="68"/>
    </row>
    <row r="1378" spans="68:68">
      <c r="BP1378" s="68"/>
    </row>
    <row r="1379" spans="68:68">
      <c r="BP1379" s="68"/>
    </row>
    <row r="1380" spans="68:68">
      <c r="BP1380" s="68"/>
    </row>
    <row r="1381" spans="68:68">
      <c r="BP1381" s="68"/>
    </row>
    <row r="1382" spans="68:68">
      <c r="BP1382" s="68"/>
    </row>
    <row r="1383" spans="68:68">
      <c r="BP1383" s="68"/>
    </row>
    <row r="1384" spans="68:68">
      <c r="BP1384" s="68"/>
    </row>
    <row r="1385" spans="68:68">
      <c r="BP1385" s="68"/>
    </row>
    <row r="1386" spans="68:68">
      <c r="BP1386" s="68"/>
    </row>
    <row r="1387" spans="68:68">
      <c r="BP1387" s="68"/>
    </row>
    <row r="1388" spans="68:68">
      <c r="BP1388" s="68"/>
    </row>
    <row r="1389" spans="68:68">
      <c r="BP1389" s="68"/>
    </row>
    <row r="1390" spans="68:68">
      <c r="BP1390" s="68"/>
    </row>
    <row r="1391" spans="68:68">
      <c r="BP1391" s="68"/>
    </row>
    <row r="1392" spans="68:68">
      <c r="BP1392" s="68"/>
    </row>
    <row r="1393" spans="68:68">
      <c r="BP1393" s="68"/>
    </row>
    <row r="1394" spans="68:68">
      <c r="BP1394" s="68"/>
    </row>
    <row r="1395" spans="68:68">
      <c r="BP1395" s="68"/>
    </row>
    <row r="1396" spans="68:68">
      <c r="BP1396" s="68"/>
    </row>
    <row r="1397" spans="68:68">
      <c r="BP1397" s="68"/>
    </row>
    <row r="1398" spans="68:68">
      <c r="BP1398" s="68"/>
    </row>
    <row r="1399" spans="68:68">
      <c r="BP1399" s="68"/>
    </row>
    <row r="1400" spans="68:68">
      <c r="BP1400" s="68"/>
    </row>
    <row r="1401" spans="68:68">
      <c r="BP1401" s="68"/>
    </row>
    <row r="1402" spans="68:68">
      <c r="BP1402" s="68"/>
    </row>
    <row r="1403" spans="68:68">
      <c r="BP1403" s="68"/>
    </row>
    <row r="1404" spans="68:68">
      <c r="BP1404" s="68"/>
    </row>
    <row r="1405" spans="68:68">
      <c r="BP1405" s="68"/>
    </row>
    <row r="1406" spans="68:68">
      <c r="BP1406" s="68"/>
    </row>
    <row r="1407" spans="68:68">
      <c r="BP1407" s="68"/>
    </row>
    <row r="1408" spans="68:68">
      <c r="BP1408" s="68"/>
    </row>
    <row r="1409" spans="68:68">
      <c r="BP1409" s="68"/>
    </row>
    <row r="1410" spans="68:68">
      <c r="BP1410" s="68"/>
    </row>
    <row r="1411" spans="68:68">
      <c r="BP1411" s="68"/>
    </row>
    <row r="1412" spans="68:68">
      <c r="BP1412" s="68"/>
    </row>
    <row r="1413" spans="68:68">
      <c r="BP1413" s="68"/>
    </row>
    <row r="1414" spans="68:68">
      <c r="BP1414" s="68"/>
    </row>
    <row r="1415" spans="68:68">
      <c r="BP1415" s="68"/>
    </row>
    <row r="1416" spans="68:68">
      <c r="BP1416" s="68"/>
    </row>
    <row r="1417" spans="68:68">
      <c r="BP1417" s="68"/>
    </row>
    <row r="1418" spans="68:68">
      <c r="BP1418" s="68"/>
    </row>
    <row r="1419" spans="68:68">
      <c r="BP1419" s="68"/>
    </row>
    <row r="1420" spans="68:68">
      <c r="BP1420" s="68"/>
    </row>
    <row r="1421" spans="68:68">
      <c r="BP1421" s="68"/>
    </row>
    <row r="1422" spans="68:68">
      <c r="BP1422" s="68"/>
    </row>
    <row r="1423" spans="68:68">
      <c r="BP1423" s="68"/>
    </row>
    <row r="1424" spans="68:68">
      <c r="BP1424" s="68"/>
    </row>
    <row r="1425" spans="68:68">
      <c r="BP1425" s="68"/>
    </row>
    <row r="1426" spans="68:68">
      <c r="BP1426" s="68"/>
    </row>
    <row r="1427" spans="68:68">
      <c r="BP1427" s="68"/>
    </row>
    <row r="1428" spans="68:68">
      <c r="BP1428" s="68"/>
    </row>
    <row r="1429" spans="68:68">
      <c r="BP1429" s="68"/>
    </row>
    <row r="1430" spans="68:68">
      <c r="BP1430" s="68"/>
    </row>
    <row r="1431" spans="68:68">
      <c r="BP1431" s="68"/>
    </row>
    <row r="1432" spans="68:68">
      <c r="BP1432" s="68"/>
    </row>
    <row r="1433" spans="68:68">
      <c r="BP1433" s="68"/>
    </row>
    <row r="1434" spans="68:68">
      <c r="BP1434" s="68"/>
    </row>
    <row r="1435" spans="68:68">
      <c r="BP1435" s="68"/>
    </row>
    <row r="1436" spans="68:68">
      <c r="BP1436" s="68"/>
    </row>
    <row r="1437" spans="68:68">
      <c r="BP1437" s="68"/>
    </row>
    <row r="1438" spans="68:68">
      <c r="BP1438" s="68"/>
    </row>
    <row r="1439" spans="68:68">
      <c r="BP1439" s="68"/>
    </row>
    <row r="1440" spans="68:68">
      <c r="BP1440" s="68"/>
    </row>
    <row r="1441" spans="68:68">
      <c r="BP1441" s="68"/>
    </row>
    <row r="1442" spans="68:68">
      <c r="BP1442" s="68"/>
    </row>
    <row r="1443" spans="68:68">
      <c r="BP1443" s="68"/>
    </row>
    <row r="1444" spans="68:68">
      <c r="BP1444" s="68"/>
    </row>
    <row r="1445" spans="68:68">
      <c r="BP1445" s="68"/>
    </row>
    <row r="1446" spans="68:68">
      <c r="BP1446" s="68"/>
    </row>
    <row r="1447" spans="68:68">
      <c r="BP1447" s="68"/>
    </row>
    <row r="1448" spans="68:68">
      <c r="BP1448" s="68"/>
    </row>
    <row r="1449" spans="68:68">
      <c r="BP1449" s="68"/>
    </row>
    <row r="1450" spans="68:68">
      <c r="BP1450" s="68"/>
    </row>
    <row r="1451" spans="68:68">
      <c r="BP1451" s="68"/>
    </row>
    <row r="1452" spans="68:68">
      <c r="BP1452" s="68"/>
    </row>
    <row r="1453" spans="68:68">
      <c r="BP1453" s="68"/>
    </row>
    <row r="1454" spans="68:68">
      <c r="BP1454" s="68"/>
    </row>
    <row r="1455" spans="68:68">
      <c r="BP1455" s="68"/>
    </row>
    <row r="1456" spans="68:68">
      <c r="BP1456" s="68"/>
    </row>
    <row r="1457" spans="68:68">
      <c r="BP1457" s="68"/>
    </row>
    <row r="1458" spans="68:68">
      <c r="BP1458" s="68"/>
    </row>
    <row r="1459" spans="68:68">
      <c r="BP1459" s="68"/>
    </row>
    <row r="1460" spans="68:68">
      <c r="BP1460" s="68"/>
    </row>
    <row r="1461" spans="68:68">
      <c r="BP1461" s="68"/>
    </row>
    <row r="1462" spans="68:68">
      <c r="BP1462" s="68"/>
    </row>
    <row r="1463" spans="68:68">
      <c r="BP1463" s="68"/>
    </row>
    <row r="1464" spans="68:68">
      <c r="BP1464" s="68"/>
    </row>
    <row r="1465" spans="68:68">
      <c r="BP1465" s="68"/>
    </row>
    <row r="1466" spans="68:68">
      <c r="BP1466" s="68"/>
    </row>
    <row r="1467" spans="68:68">
      <c r="BP1467" s="68"/>
    </row>
    <row r="1468" spans="68:68">
      <c r="BP1468" s="68"/>
    </row>
    <row r="1469" spans="68:68">
      <c r="BP1469" s="68"/>
    </row>
    <row r="1470" spans="68:68">
      <c r="BP1470" s="68"/>
    </row>
    <row r="1471" spans="68:68">
      <c r="BP1471" s="68"/>
    </row>
    <row r="1472" spans="68:68">
      <c r="BP1472" s="68"/>
    </row>
    <row r="1473" spans="68:68">
      <c r="BP1473" s="68"/>
    </row>
    <row r="1474" spans="68:68">
      <c r="BP1474" s="68"/>
    </row>
    <row r="1475" spans="68:68">
      <c r="BP1475" s="68"/>
    </row>
    <row r="1476" spans="68:68">
      <c r="BP1476" s="68"/>
    </row>
    <row r="1477" spans="68:68">
      <c r="BP1477" s="68"/>
    </row>
    <row r="1478" spans="68:68">
      <c r="BP1478" s="68"/>
    </row>
    <row r="1479" spans="68:68">
      <c r="BP1479" s="68"/>
    </row>
    <row r="1480" spans="68:68">
      <c r="BP1480" s="68"/>
    </row>
    <row r="1481" spans="68:68">
      <c r="BP1481" s="68"/>
    </row>
    <row r="1482" spans="68:68">
      <c r="BP1482" s="68"/>
    </row>
    <row r="1483" spans="68:68">
      <c r="BP1483" s="68"/>
    </row>
    <row r="1484" spans="68:68">
      <c r="BP1484" s="68"/>
    </row>
    <row r="1485" spans="68:68">
      <c r="BP1485" s="68"/>
    </row>
    <row r="1486" spans="68:68">
      <c r="BP1486" s="68"/>
    </row>
    <row r="1487" spans="68:68">
      <c r="BP1487" s="68"/>
    </row>
    <row r="1488" spans="68:68">
      <c r="BP1488" s="68"/>
    </row>
    <row r="1489" spans="68:68">
      <c r="BP1489" s="68"/>
    </row>
    <row r="1490" spans="68:68">
      <c r="BP1490" s="68"/>
    </row>
    <row r="1491" spans="68:68">
      <c r="BP1491" s="68"/>
    </row>
    <row r="1492" spans="68:68">
      <c r="BP1492" s="68"/>
    </row>
    <row r="1493" spans="68:68">
      <c r="BP1493" s="68"/>
    </row>
    <row r="1494" spans="68:68">
      <c r="BP1494" s="68"/>
    </row>
    <row r="1495" spans="68:68">
      <c r="BP1495" s="68"/>
    </row>
    <row r="1496" spans="68:68">
      <c r="BP1496" s="68"/>
    </row>
    <row r="1497" spans="68:68">
      <c r="BP1497" s="68"/>
    </row>
    <row r="1498" spans="68:68">
      <c r="BP1498" s="68"/>
    </row>
    <row r="1499" spans="68:68">
      <c r="BP1499" s="68"/>
    </row>
    <row r="1500" spans="68:68">
      <c r="BP1500" s="68"/>
    </row>
    <row r="1501" spans="68:68">
      <c r="BP1501" s="68"/>
    </row>
    <row r="1502" spans="68:68">
      <c r="BP1502" s="68"/>
    </row>
    <row r="1503" spans="68:68">
      <c r="BP1503" s="68"/>
    </row>
    <row r="1504" spans="68:68">
      <c r="BP1504" s="68"/>
    </row>
    <row r="1505" spans="68:68">
      <c r="BP1505" s="68"/>
    </row>
    <row r="1506" spans="68:68">
      <c r="BP1506" s="68"/>
    </row>
    <row r="1507" spans="68:68">
      <c r="BP1507" s="68"/>
    </row>
    <row r="1508" spans="68:68">
      <c r="BP1508" s="68"/>
    </row>
    <row r="1509" spans="68:68">
      <c r="BP1509" s="68"/>
    </row>
    <row r="1510" spans="68:68">
      <c r="BP1510" s="68"/>
    </row>
    <row r="1511" spans="68:68">
      <c r="BP1511" s="68"/>
    </row>
    <row r="1512" spans="68:68">
      <c r="BP1512" s="68"/>
    </row>
    <row r="1513" spans="68:68">
      <c r="BP1513" s="68"/>
    </row>
    <row r="1514" spans="68:68">
      <c r="BP1514" s="68"/>
    </row>
    <row r="1515" spans="68:68">
      <c r="BP1515" s="68"/>
    </row>
    <row r="1516" spans="68:68">
      <c r="BP1516" s="68"/>
    </row>
    <row r="1517" spans="68:68">
      <c r="BP1517" s="68"/>
    </row>
    <row r="1518" spans="68:68">
      <c r="BP1518" s="68"/>
    </row>
    <row r="1519" spans="68:68">
      <c r="BP1519" s="68"/>
    </row>
    <row r="1520" spans="68:68">
      <c r="BP1520" s="68"/>
    </row>
    <row r="1521" spans="68:68">
      <c r="BP1521" s="68"/>
    </row>
    <row r="1522" spans="68:68">
      <c r="BP1522" s="68"/>
    </row>
    <row r="1523" spans="68:68">
      <c r="BP1523" s="68"/>
    </row>
    <row r="1524" spans="68:68">
      <c r="BP1524" s="68"/>
    </row>
    <row r="1525" spans="68:68">
      <c r="BP1525" s="68"/>
    </row>
    <row r="1526" spans="68:68">
      <c r="BP1526" s="68"/>
    </row>
    <row r="1527" spans="68:68">
      <c r="BP1527" s="68"/>
    </row>
    <row r="1528" spans="68:68">
      <c r="BP1528" s="68"/>
    </row>
    <row r="1529" spans="68:68">
      <c r="BP1529" s="68"/>
    </row>
    <row r="1530" spans="68:68">
      <c r="BP1530" s="68"/>
    </row>
    <row r="1531" spans="68:68">
      <c r="BP1531" s="68"/>
    </row>
    <row r="1532" spans="68:68">
      <c r="BP1532" s="68"/>
    </row>
    <row r="1533" spans="68:68">
      <c r="BP1533" s="68"/>
    </row>
    <row r="1534" spans="68:68">
      <c r="BP1534" s="68"/>
    </row>
    <row r="1535" spans="68:68">
      <c r="BP1535" s="68"/>
    </row>
    <row r="1536" spans="68:68">
      <c r="BP1536" s="68"/>
    </row>
    <row r="1537" spans="68:68">
      <c r="BP1537" s="68"/>
    </row>
    <row r="1538" spans="68:68">
      <c r="BP1538" s="68"/>
    </row>
    <row r="1539" spans="68:68">
      <c r="BP1539" s="68"/>
    </row>
    <row r="1540" spans="68:68">
      <c r="BP1540" s="68"/>
    </row>
    <row r="1541" spans="68:68">
      <c r="BP1541" s="68"/>
    </row>
    <row r="1542" spans="68:68">
      <c r="BP1542" s="68"/>
    </row>
    <row r="1543" spans="68:68">
      <c r="BP1543" s="68"/>
    </row>
    <row r="1544" spans="68:68">
      <c r="BP1544" s="68"/>
    </row>
    <row r="1545" spans="68:68">
      <c r="BP1545" s="68"/>
    </row>
    <row r="1546" spans="68:68">
      <c r="BP1546" s="68"/>
    </row>
    <row r="1547" spans="68:68">
      <c r="BP1547" s="68"/>
    </row>
    <row r="1548" spans="68:68">
      <c r="BP1548" s="68"/>
    </row>
    <row r="1549" spans="68:68">
      <c r="BP1549" s="68"/>
    </row>
    <row r="1550" spans="68:68">
      <c r="BP1550" s="68"/>
    </row>
    <row r="1551" spans="68:68">
      <c r="BP1551" s="68"/>
    </row>
    <row r="1552" spans="68:68">
      <c r="BP1552" s="68"/>
    </row>
    <row r="1553" spans="68:68">
      <c r="BP1553" s="68"/>
    </row>
    <row r="1554" spans="68:68">
      <c r="BP1554" s="68"/>
    </row>
    <row r="1555" spans="68:68">
      <c r="BP1555" s="68"/>
    </row>
    <row r="1556" spans="68:68">
      <c r="BP1556" s="68"/>
    </row>
    <row r="1557" spans="68:68">
      <c r="BP1557" s="68"/>
    </row>
    <row r="1558" spans="68:68">
      <c r="BP1558" s="68"/>
    </row>
    <row r="1559" spans="68:68">
      <c r="BP1559" s="68"/>
    </row>
    <row r="1560" spans="68:68">
      <c r="BP1560" s="68"/>
    </row>
    <row r="1561" spans="68:68">
      <c r="BP1561" s="68"/>
    </row>
    <row r="1562" spans="68:68">
      <c r="BP1562" s="68"/>
    </row>
    <row r="1563" spans="68:68">
      <c r="BP1563" s="68"/>
    </row>
    <row r="1564" spans="68:68">
      <c r="BP1564" s="68"/>
    </row>
    <row r="1565" spans="68:68">
      <c r="BP1565" s="68"/>
    </row>
    <row r="1566" spans="68:68">
      <c r="BP1566" s="68"/>
    </row>
    <row r="1567" spans="68:68">
      <c r="BP1567" s="68"/>
    </row>
    <row r="1568" spans="68:68">
      <c r="BP1568" s="68"/>
    </row>
    <row r="1569" spans="68:68">
      <c r="BP1569" s="68"/>
    </row>
    <row r="1570" spans="68:68">
      <c r="BP1570" s="68"/>
    </row>
    <row r="1571" spans="68:68">
      <c r="BP1571" s="68"/>
    </row>
    <row r="1572" spans="68:68">
      <c r="BP1572" s="68"/>
    </row>
    <row r="1573" spans="68:68">
      <c r="BP1573" s="68"/>
    </row>
    <row r="1574" spans="68:68">
      <c r="BP1574" s="68"/>
    </row>
    <row r="1575" spans="68:68">
      <c r="BP1575" s="68"/>
    </row>
    <row r="1576" spans="68:68">
      <c r="BP1576" s="68"/>
    </row>
    <row r="1577" spans="68:68">
      <c r="BP1577" s="68"/>
    </row>
    <row r="1578" spans="68:68">
      <c r="BP1578" s="68"/>
    </row>
    <row r="1579" spans="68:68">
      <c r="BP1579" s="68"/>
    </row>
    <row r="1580" spans="68:68">
      <c r="BP1580" s="68"/>
    </row>
    <row r="1581" spans="68:68">
      <c r="BP1581" s="68"/>
    </row>
    <row r="1582" spans="68:68">
      <c r="BP1582" s="68"/>
    </row>
    <row r="1583" spans="68:68">
      <c r="BP1583" s="68"/>
    </row>
    <row r="1584" spans="68:68">
      <c r="BP1584" s="68"/>
    </row>
    <row r="1585" spans="68:68">
      <c r="BP1585" s="68"/>
    </row>
    <row r="1586" spans="68:68">
      <c r="BP1586" s="68"/>
    </row>
    <row r="1587" spans="68:68">
      <c r="BP1587" s="68"/>
    </row>
    <row r="1588" spans="68:68">
      <c r="BP1588" s="68"/>
    </row>
    <row r="1589" spans="68:68">
      <c r="BP1589" s="68"/>
    </row>
    <row r="1590" spans="68:68">
      <c r="BP1590" s="68"/>
    </row>
    <row r="1591" spans="68:68">
      <c r="BP1591" s="68"/>
    </row>
    <row r="1592" spans="68:68">
      <c r="BP1592" s="68"/>
    </row>
    <row r="1593" spans="68:68">
      <c r="BP1593" s="68"/>
    </row>
    <row r="1594" spans="68:68">
      <c r="BP1594" s="68"/>
    </row>
    <row r="1595" spans="68:68">
      <c r="BP1595" s="68"/>
    </row>
    <row r="1596" spans="68:68">
      <c r="BP1596" s="68"/>
    </row>
    <row r="1597" spans="68:68">
      <c r="BP1597" s="68"/>
    </row>
    <row r="1598" spans="68:68">
      <c r="BP1598" s="68"/>
    </row>
    <row r="1599" spans="68:68">
      <c r="BP1599" s="68"/>
    </row>
    <row r="1600" spans="68:68">
      <c r="BP1600" s="68"/>
    </row>
    <row r="1601" spans="68:68">
      <c r="BP1601" s="68"/>
    </row>
    <row r="1602" spans="68:68">
      <c r="BP1602" s="68"/>
    </row>
    <row r="1603" spans="68:68">
      <c r="BP1603" s="68"/>
    </row>
    <row r="1604" spans="68:68">
      <c r="BP1604" s="68"/>
    </row>
    <row r="1605" spans="68:68">
      <c r="BP1605" s="68"/>
    </row>
    <row r="1046360" customFormat="1" ht="14.25" spans="33:73">
      <c r="AG1046360" s="141"/>
      <c r="AH1046360" s="141"/>
      <c r="AI1046360" s="141"/>
      <c r="AP1046360" s="141"/>
      <c r="AQ1046360" s="141"/>
      <c r="AR1046360" s="141"/>
      <c r="AV1046360" s="141"/>
      <c r="AW1046360" s="141"/>
      <c r="AX1046360" s="141"/>
      <c r="BP1046360" s="142"/>
      <c r="BU1046360" s="143"/>
    </row>
    <row r="1046361" customFormat="1" ht="14.25" spans="33:73">
      <c r="AG1046361" s="141"/>
      <c r="AH1046361" s="141"/>
      <c r="AI1046361" s="141"/>
      <c r="AP1046361" s="141"/>
      <c r="AQ1046361" s="141"/>
      <c r="AR1046361" s="141"/>
      <c r="AV1046361" s="141"/>
      <c r="AW1046361" s="141"/>
      <c r="AX1046361" s="141"/>
      <c r="BP1046361" s="142"/>
      <c r="BU1046361" s="143"/>
    </row>
    <row r="1046362" customFormat="1" ht="14.25" spans="33:73">
      <c r="AG1046362" s="141"/>
      <c r="AH1046362" s="141"/>
      <c r="AI1046362" s="141"/>
      <c r="AP1046362" s="141"/>
      <c r="AQ1046362" s="141"/>
      <c r="AR1046362" s="141"/>
      <c r="AV1046362" s="141"/>
      <c r="AW1046362" s="141"/>
      <c r="AX1046362" s="141"/>
      <c r="BP1046362" s="142"/>
      <c r="BU1046362" s="143"/>
    </row>
    <row r="1046363" customFormat="1" ht="14.25" spans="33:73">
      <c r="AG1046363" s="141"/>
      <c r="AH1046363" s="141"/>
      <c r="AI1046363" s="141"/>
      <c r="AP1046363" s="141"/>
      <c r="AQ1046363" s="141"/>
      <c r="AR1046363" s="141"/>
      <c r="AV1046363" s="141"/>
      <c r="AW1046363" s="141"/>
      <c r="AX1046363" s="141"/>
      <c r="BP1046363" s="142"/>
      <c r="BU1046363" s="143"/>
    </row>
    <row r="1046364" customFormat="1" ht="14.25" spans="33:73">
      <c r="AG1046364" s="141"/>
      <c r="AH1046364" s="141"/>
      <c r="AI1046364" s="141"/>
      <c r="AP1046364" s="141"/>
      <c r="AQ1046364" s="141"/>
      <c r="AR1046364" s="141"/>
      <c r="AV1046364" s="141"/>
      <c r="AW1046364" s="141"/>
      <c r="AX1046364" s="141"/>
      <c r="BP1046364" s="142"/>
      <c r="BU1046364" s="143"/>
    </row>
    <row r="1046365" customFormat="1" ht="14.25" spans="33:73">
      <c r="AG1046365" s="141"/>
      <c r="AH1046365" s="141"/>
      <c r="AI1046365" s="141"/>
      <c r="AP1046365" s="141"/>
      <c r="AQ1046365" s="141"/>
      <c r="AR1046365" s="141"/>
      <c r="AV1046365" s="141"/>
      <c r="AW1046365" s="141"/>
      <c r="AX1046365" s="141"/>
      <c r="BP1046365" s="142"/>
      <c r="BU1046365" s="143"/>
    </row>
    <row r="1046366" customFormat="1" ht="14.25" spans="33:73">
      <c r="AG1046366" s="141"/>
      <c r="AH1046366" s="141"/>
      <c r="AI1046366" s="141"/>
      <c r="AP1046366" s="141"/>
      <c r="AQ1046366" s="141"/>
      <c r="AR1046366" s="141"/>
      <c r="AV1046366" s="141"/>
      <c r="AW1046366" s="141"/>
      <c r="AX1046366" s="141"/>
      <c r="BP1046366" s="142"/>
      <c r="BU1046366" s="143"/>
    </row>
    <row r="1046367" customFormat="1" ht="14.25" spans="33:73">
      <c r="AG1046367" s="141"/>
      <c r="AH1046367" s="141"/>
      <c r="AI1046367" s="141"/>
      <c r="AP1046367" s="141"/>
      <c r="AQ1046367" s="141"/>
      <c r="AR1046367" s="141"/>
      <c r="AV1046367" s="141"/>
      <c r="AW1046367" s="141"/>
      <c r="AX1046367" s="141"/>
      <c r="BP1046367" s="142"/>
      <c r="BU1046367" s="143"/>
    </row>
    <row r="1046368" customFormat="1" ht="14.25" spans="33:73">
      <c r="AG1046368" s="141"/>
      <c r="AH1046368" s="141"/>
      <c r="AI1046368" s="141"/>
      <c r="AP1046368" s="141"/>
      <c r="AQ1046368" s="141"/>
      <c r="AR1046368" s="141"/>
      <c r="AV1046368" s="141"/>
      <c r="AW1046368" s="141"/>
      <c r="AX1046368" s="141"/>
      <c r="BP1046368" s="142"/>
      <c r="BU1046368" s="143"/>
    </row>
    <row r="1046369" customFormat="1" ht="14.25" spans="33:73">
      <c r="AG1046369" s="141"/>
      <c r="AH1046369" s="141"/>
      <c r="AI1046369" s="141"/>
      <c r="AP1046369" s="141"/>
      <c r="AQ1046369" s="141"/>
      <c r="AR1046369" s="141"/>
      <c r="AV1046369" s="141"/>
      <c r="AW1046369" s="141"/>
      <c r="AX1046369" s="141"/>
      <c r="BP1046369" s="142"/>
      <c r="BU1046369" s="143"/>
    </row>
    <row r="1046370" customFormat="1" ht="14.25" spans="33:73">
      <c r="AG1046370" s="141"/>
      <c r="AH1046370" s="141"/>
      <c r="AI1046370" s="141"/>
      <c r="AP1046370" s="141"/>
      <c r="AQ1046370" s="141"/>
      <c r="AR1046370" s="141"/>
      <c r="AV1046370" s="141"/>
      <c r="AW1046370" s="141"/>
      <c r="AX1046370" s="141"/>
      <c r="BP1046370" s="142"/>
      <c r="BU1046370" s="143"/>
    </row>
    <row r="1046371" customFormat="1" ht="14.25" spans="33:73">
      <c r="AG1046371" s="141"/>
      <c r="AH1046371" s="141"/>
      <c r="AI1046371" s="141"/>
      <c r="AP1046371" s="141"/>
      <c r="AQ1046371" s="141"/>
      <c r="AR1046371" s="141"/>
      <c r="AV1046371" s="141"/>
      <c r="AW1046371" s="141"/>
      <c r="AX1046371" s="141"/>
      <c r="BP1046371" s="142"/>
      <c r="BU1046371" s="143"/>
    </row>
    <row r="1046372" customFormat="1" ht="14.25" spans="33:73">
      <c r="AG1046372" s="141"/>
      <c r="AH1046372" s="141"/>
      <c r="AI1046372" s="141"/>
      <c r="AP1046372" s="141"/>
      <c r="AQ1046372" s="141"/>
      <c r="AR1046372" s="141"/>
      <c r="AV1046372" s="141"/>
      <c r="AW1046372" s="141"/>
      <c r="AX1046372" s="141"/>
      <c r="BP1046372" s="142"/>
      <c r="BU1046372" s="143"/>
    </row>
    <row r="1046373" customFormat="1" ht="14.25" spans="33:73">
      <c r="AG1046373" s="141"/>
      <c r="AH1046373" s="141"/>
      <c r="AI1046373" s="141"/>
      <c r="AP1046373" s="141"/>
      <c r="AQ1046373" s="141"/>
      <c r="AR1046373" s="141"/>
      <c r="AV1046373" s="141"/>
      <c r="AW1046373" s="141"/>
      <c r="AX1046373" s="141"/>
      <c r="BP1046373" s="142"/>
      <c r="BU1046373" s="143"/>
    </row>
    <row r="1046374" customFormat="1" ht="14.25" spans="33:73">
      <c r="AG1046374" s="141"/>
      <c r="AH1046374" s="141"/>
      <c r="AI1046374" s="141"/>
      <c r="AP1046374" s="141"/>
      <c r="AQ1046374" s="141"/>
      <c r="AR1046374" s="141"/>
      <c r="AV1046374" s="141"/>
      <c r="AW1046374" s="141"/>
      <c r="AX1046374" s="141"/>
      <c r="BP1046374" s="142"/>
      <c r="BU1046374" s="143"/>
    </row>
    <row r="1046375" customFormat="1" ht="14.25" spans="33:73">
      <c r="AG1046375" s="141"/>
      <c r="AH1046375" s="141"/>
      <c r="AI1046375" s="141"/>
      <c r="AP1046375" s="141"/>
      <c r="AQ1046375" s="141"/>
      <c r="AR1046375" s="141"/>
      <c r="AV1046375" s="141"/>
      <c r="AW1046375" s="141"/>
      <c r="AX1046375" s="141"/>
      <c r="BP1046375" s="142"/>
      <c r="BU1046375" s="143"/>
    </row>
    <row r="1046376" customFormat="1" ht="14.25" spans="33:73">
      <c r="AG1046376" s="141"/>
      <c r="AH1046376" s="141"/>
      <c r="AI1046376" s="141"/>
      <c r="AP1046376" s="141"/>
      <c r="AQ1046376" s="141"/>
      <c r="AR1046376" s="141"/>
      <c r="AV1046376" s="141"/>
      <c r="AW1046376" s="141"/>
      <c r="AX1046376" s="141"/>
      <c r="BP1046376" s="142"/>
      <c r="BU1046376" s="143"/>
    </row>
    <row r="1046377" customFormat="1" ht="14.25" spans="33:73">
      <c r="AG1046377" s="141"/>
      <c r="AH1046377" s="141"/>
      <c r="AI1046377" s="141"/>
      <c r="AP1046377" s="141"/>
      <c r="AQ1046377" s="141"/>
      <c r="AR1046377" s="141"/>
      <c r="AV1046377" s="141"/>
      <c r="AW1046377" s="141"/>
      <c r="AX1046377" s="141"/>
      <c r="BP1046377" s="142"/>
      <c r="BU1046377" s="143"/>
    </row>
    <row r="1046378" customFormat="1" ht="14.25" spans="33:73">
      <c r="AG1046378" s="141"/>
      <c r="AH1046378" s="141"/>
      <c r="AI1046378" s="141"/>
      <c r="AP1046378" s="141"/>
      <c r="AQ1046378" s="141"/>
      <c r="AR1046378" s="141"/>
      <c r="AV1046378" s="141"/>
      <c r="AW1046378" s="141"/>
      <c r="AX1046378" s="141"/>
      <c r="BP1046378" s="142"/>
      <c r="BU1046378" s="143"/>
    </row>
    <row r="1046379" customFormat="1" ht="14.25" spans="33:73">
      <c r="AG1046379" s="141"/>
      <c r="AH1046379" s="141"/>
      <c r="AI1046379" s="141"/>
      <c r="AP1046379" s="141"/>
      <c r="AQ1046379" s="141"/>
      <c r="AR1046379" s="141"/>
      <c r="AV1046379" s="141"/>
      <c r="AW1046379" s="141"/>
      <c r="AX1046379" s="141"/>
      <c r="BP1046379" s="142"/>
      <c r="BU1046379" s="143"/>
    </row>
    <row r="1046380" customFormat="1" ht="14.25" spans="33:73">
      <c r="AG1046380" s="141"/>
      <c r="AH1046380" s="141"/>
      <c r="AI1046380" s="141"/>
      <c r="AP1046380" s="141"/>
      <c r="AQ1046380" s="141"/>
      <c r="AR1046380" s="141"/>
      <c r="AV1046380" s="141"/>
      <c r="AW1046380" s="141"/>
      <c r="AX1046380" s="141"/>
      <c r="BP1046380" s="142"/>
      <c r="BU1046380" s="143"/>
    </row>
    <row r="1046381" customFormat="1" ht="14.25" spans="33:73">
      <c r="AG1046381" s="141"/>
      <c r="AH1046381" s="141"/>
      <c r="AI1046381" s="141"/>
      <c r="AP1046381" s="141"/>
      <c r="AQ1046381" s="141"/>
      <c r="AR1046381" s="141"/>
      <c r="AV1046381" s="141"/>
      <c r="AW1046381" s="141"/>
      <c r="AX1046381" s="141"/>
      <c r="BP1046381" s="142"/>
      <c r="BU1046381" s="143"/>
    </row>
    <row r="1046382" customFormat="1" ht="14.25" spans="33:73">
      <c r="AG1046382" s="141"/>
      <c r="AH1046382" s="141"/>
      <c r="AI1046382" s="141"/>
      <c r="AP1046382" s="141"/>
      <c r="AQ1046382" s="141"/>
      <c r="AR1046382" s="141"/>
      <c r="AV1046382" s="141"/>
      <c r="AW1046382" s="141"/>
      <c r="AX1046382" s="141"/>
      <c r="BP1046382" s="142"/>
      <c r="BU1046382" s="143"/>
    </row>
    <row r="1046383" customFormat="1" ht="14.25" spans="33:73">
      <c r="AG1046383" s="141"/>
      <c r="AH1046383" s="141"/>
      <c r="AI1046383" s="141"/>
      <c r="AP1046383" s="141"/>
      <c r="AQ1046383" s="141"/>
      <c r="AR1046383" s="141"/>
      <c r="AV1046383" s="141"/>
      <c r="AW1046383" s="141"/>
      <c r="AX1046383" s="141"/>
      <c r="BP1046383" s="142"/>
      <c r="BU1046383" s="143"/>
    </row>
    <row r="1046384" customFormat="1" ht="14.25" spans="33:73">
      <c r="AG1046384" s="141"/>
      <c r="AH1046384" s="141"/>
      <c r="AI1046384" s="141"/>
      <c r="AP1046384" s="141"/>
      <c r="AQ1046384" s="141"/>
      <c r="AR1046384" s="141"/>
      <c r="AV1046384" s="141"/>
      <c r="AW1046384" s="141"/>
      <c r="AX1046384" s="141"/>
      <c r="BP1046384" s="142"/>
      <c r="BU1046384" s="143"/>
    </row>
    <row r="1046385" customFormat="1" ht="14.25" spans="33:73">
      <c r="AG1046385" s="141"/>
      <c r="AH1046385" s="141"/>
      <c r="AI1046385" s="141"/>
      <c r="AP1046385" s="141"/>
      <c r="AQ1046385" s="141"/>
      <c r="AR1046385" s="141"/>
      <c r="AV1046385" s="141"/>
      <c r="AW1046385" s="141"/>
      <c r="AX1046385" s="141"/>
      <c r="BP1046385" s="142"/>
      <c r="BU1046385" s="143"/>
    </row>
    <row r="1046386" customFormat="1" ht="14.25" spans="33:73">
      <c r="AG1046386" s="141"/>
      <c r="AH1046386" s="141"/>
      <c r="AI1046386" s="141"/>
      <c r="AP1046386" s="141"/>
      <c r="AQ1046386" s="141"/>
      <c r="AR1046386" s="141"/>
      <c r="AV1046386" s="141"/>
      <c r="AW1046386" s="141"/>
      <c r="AX1046386" s="141"/>
      <c r="BP1046386" s="142"/>
      <c r="BU1046386" s="143"/>
    </row>
    <row r="1046387" customFormat="1" ht="14.25" spans="33:73">
      <c r="AG1046387" s="141"/>
      <c r="AH1046387" s="141"/>
      <c r="AI1046387" s="141"/>
      <c r="AP1046387" s="141"/>
      <c r="AQ1046387" s="141"/>
      <c r="AR1046387" s="141"/>
      <c r="AV1046387" s="141"/>
      <c r="AW1046387" s="141"/>
      <c r="AX1046387" s="141"/>
      <c r="BP1046387" s="142"/>
      <c r="BU1046387" s="143"/>
    </row>
    <row r="1046388" customFormat="1" ht="14.25" spans="33:73">
      <c r="AG1046388" s="141"/>
      <c r="AH1046388" s="141"/>
      <c r="AI1046388" s="141"/>
      <c r="AP1046388" s="141"/>
      <c r="AQ1046388" s="141"/>
      <c r="AR1046388" s="141"/>
      <c r="AV1046388" s="141"/>
      <c r="AW1046388" s="141"/>
      <c r="AX1046388" s="141"/>
      <c r="BP1046388" s="142"/>
      <c r="BU1046388" s="143"/>
    </row>
    <row r="1046389" customFormat="1" ht="14.25" spans="33:73">
      <c r="AG1046389" s="141"/>
      <c r="AH1046389" s="141"/>
      <c r="AI1046389" s="141"/>
      <c r="AP1046389" s="141"/>
      <c r="AQ1046389" s="141"/>
      <c r="AR1046389" s="141"/>
      <c r="AV1046389" s="141"/>
      <c r="AW1046389" s="141"/>
      <c r="AX1046389" s="141"/>
      <c r="BP1046389" s="142"/>
      <c r="BU1046389" s="143"/>
    </row>
    <row r="1046390" customFormat="1" ht="14.25" spans="33:73">
      <c r="AG1046390" s="141"/>
      <c r="AH1046390" s="141"/>
      <c r="AI1046390" s="141"/>
      <c r="AP1046390" s="141"/>
      <c r="AQ1046390" s="141"/>
      <c r="AR1046390" s="141"/>
      <c r="AV1046390" s="141"/>
      <c r="AW1046390" s="141"/>
      <c r="AX1046390" s="141"/>
      <c r="BP1046390" s="142"/>
      <c r="BU1046390" s="143"/>
    </row>
    <row r="1046391" customFormat="1" ht="14.25" spans="33:73">
      <c r="AG1046391" s="141"/>
      <c r="AH1046391" s="141"/>
      <c r="AI1046391" s="141"/>
      <c r="AP1046391" s="141"/>
      <c r="AQ1046391" s="141"/>
      <c r="AR1046391" s="141"/>
      <c r="AV1046391" s="141"/>
      <c r="AW1046391" s="141"/>
      <c r="AX1046391" s="141"/>
      <c r="BP1046391" s="142"/>
      <c r="BU1046391" s="143"/>
    </row>
    <row r="1046392" customFormat="1" ht="14.25" spans="33:73">
      <c r="AG1046392" s="141"/>
      <c r="AH1046392" s="141"/>
      <c r="AI1046392" s="141"/>
      <c r="AP1046392" s="141"/>
      <c r="AQ1046392" s="141"/>
      <c r="AR1046392" s="141"/>
      <c r="AV1046392" s="141"/>
      <c r="AW1046392" s="141"/>
      <c r="AX1046392" s="141"/>
      <c r="BP1046392" s="142"/>
      <c r="BU1046392" s="143"/>
    </row>
    <row r="1046393" customFormat="1" ht="14.25" spans="33:73">
      <c r="AG1046393" s="141"/>
      <c r="AH1046393" s="141"/>
      <c r="AI1046393" s="141"/>
      <c r="AP1046393" s="141"/>
      <c r="AQ1046393" s="141"/>
      <c r="AR1046393" s="141"/>
      <c r="AV1046393" s="141"/>
      <c r="AW1046393" s="141"/>
      <c r="AX1046393" s="141"/>
      <c r="BP1046393" s="142"/>
      <c r="BU1046393" s="143"/>
    </row>
    <row r="1046394" customFormat="1" ht="14.25" spans="33:73">
      <c r="AG1046394" s="141"/>
      <c r="AH1046394" s="141"/>
      <c r="AI1046394" s="141"/>
      <c r="AP1046394" s="141"/>
      <c r="AQ1046394" s="141"/>
      <c r="AR1046394" s="141"/>
      <c r="AV1046394" s="141"/>
      <c r="AW1046394" s="141"/>
      <c r="AX1046394" s="141"/>
      <c r="BP1046394" s="142"/>
      <c r="BU1046394" s="143"/>
    </row>
    <row r="1046395" customFormat="1" ht="14.25" spans="33:73">
      <c r="AG1046395" s="141"/>
      <c r="AH1046395" s="141"/>
      <c r="AI1046395" s="141"/>
      <c r="AP1046395" s="141"/>
      <c r="AQ1046395" s="141"/>
      <c r="AR1046395" s="141"/>
      <c r="AV1046395" s="141"/>
      <c r="AW1046395" s="141"/>
      <c r="AX1046395" s="141"/>
      <c r="BP1046395" s="142"/>
      <c r="BU1046395" s="143"/>
    </row>
    <row r="1046396" customFormat="1" ht="14.25" spans="33:73">
      <c r="AG1046396" s="141"/>
      <c r="AH1046396" s="141"/>
      <c r="AI1046396" s="141"/>
      <c r="AP1046396" s="141"/>
      <c r="AQ1046396" s="141"/>
      <c r="AR1046396" s="141"/>
      <c r="AV1046396" s="141"/>
      <c r="AW1046396" s="141"/>
      <c r="AX1046396" s="141"/>
      <c r="BP1046396" s="142"/>
      <c r="BU1046396" s="143"/>
    </row>
    <row r="1046397" customFormat="1" ht="14.25" spans="33:73">
      <c r="AG1046397" s="141"/>
      <c r="AH1046397" s="141"/>
      <c r="AI1046397" s="141"/>
      <c r="AP1046397" s="141"/>
      <c r="AQ1046397" s="141"/>
      <c r="AR1046397" s="141"/>
      <c r="AV1046397" s="141"/>
      <c r="AW1046397" s="141"/>
      <c r="AX1046397" s="141"/>
      <c r="BP1046397" s="142"/>
      <c r="BU1046397" s="143"/>
    </row>
    <row r="1046398" customFormat="1" ht="14.25" spans="33:73">
      <c r="AG1046398" s="141"/>
      <c r="AH1046398" s="141"/>
      <c r="AI1046398" s="141"/>
      <c r="AP1046398" s="141"/>
      <c r="AQ1046398" s="141"/>
      <c r="AR1046398" s="141"/>
      <c r="AV1046398" s="141"/>
      <c r="AW1046398" s="141"/>
      <c r="AX1046398" s="141"/>
      <c r="BP1046398" s="142"/>
      <c r="BU1046398" s="143"/>
    </row>
    <row r="1046399" customFormat="1" ht="14.25" spans="33:73">
      <c r="AG1046399" s="141"/>
      <c r="AH1046399" s="141"/>
      <c r="AI1046399" s="141"/>
      <c r="AP1046399" s="141"/>
      <c r="AQ1046399" s="141"/>
      <c r="AR1046399" s="141"/>
      <c r="AV1046399" s="141"/>
      <c r="AW1046399" s="141"/>
      <c r="AX1046399" s="141"/>
      <c r="BP1046399" s="142"/>
      <c r="BU1046399" s="143"/>
    </row>
    <row r="1046400" customFormat="1" ht="14.25" spans="33:73">
      <c r="AG1046400" s="141"/>
      <c r="AH1046400" s="141"/>
      <c r="AI1046400" s="141"/>
      <c r="AP1046400" s="141"/>
      <c r="AQ1046400" s="141"/>
      <c r="AR1046400" s="141"/>
      <c r="AV1046400" s="141"/>
      <c r="AW1046400" s="141"/>
      <c r="AX1046400" s="141"/>
      <c r="BP1046400" s="142"/>
      <c r="BU1046400" s="143"/>
    </row>
    <row r="1046401" customFormat="1" ht="14.25" spans="33:73">
      <c r="AG1046401" s="141"/>
      <c r="AH1046401" s="141"/>
      <c r="AI1046401" s="141"/>
      <c r="AP1046401" s="141"/>
      <c r="AQ1046401" s="141"/>
      <c r="AR1046401" s="141"/>
      <c r="AV1046401" s="141"/>
      <c r="AW1046401" s="141"/>
      <c r="AX1046401" s="141"/>
      <c r="BP1046401" s="142"/>
      <c r="BU1046401" s="143"/>
    </row>
    <row r="1046402" customFormat="1" ht="14.25" spans="33:73">
      <c r="AG1046402" s="141"/>
      <c r="AH1046402" s="141"/>
      <c r="AI1046402" s="141"/>
      <c r="AP1046402" s="141"/>
      <c r="AQ1046402" s="141"/>
      <c r="AR1046402" s="141"/>
      <c r="AV1046402" s="141"/>
      <c r="AW1046402" s="141"/>
      <c r="AX1046402" s="141"/>
      <c r="BP1046402" s="142"/>
      <c r="BU1046402" s="143"/>
    </row>
    <row r="1046403" customFormat="1" ht="14.25" spans="33:73">
      <c r="AG1046403" s="141"/>
      <c r="AH1046403" s="141"/>
      <c r="AI1046403" s="141"/>
      <c r="AP1046403" s="141"/>
      <c r="AQ1046403" s="141"/>
      <c r="AR1046403" s="141"/>
      <c r="AV1046403" s="141"/>
      <c r="AW1046403" s="141"/>
      <c r="AX1046403" s="141"/>
      <c r="BP1046403" s="142"/>
      <c r="BU1046403" s="143"/>
    </row>
    <row r="1046404" customFormat="1" ht="14.25" spans="33:73">
      <c r="AG1046404" s="141"/>
      <c r="AH1046404" s="141"/>
      <c r="AI1046404" s="141"/>
      <c r="AP1046404" s="141"/>
      <c r="AQ1046404" s="141"/>
      <c r="AR1046404" s="141"/>
      <c r="AV1046404" s="141"/>
      <c r="AW1046404" s="141"/>
      <c r="AX1046404" s="141"/>
      <c r="BP1046404" s="142"/>
      <c r="BU1046404" s="143"/>
    </row>
    <row r="1046405" customFormat="1" ht="14.25" spans="33:73">
      <c r="AG1046405" s="141"/>
      <c r="AH1046405" s="141"/>
      <c r="AI1046405" s="141"/>
      <c r="AP1046405" s="141"/>
      <c r="AQ1046405" s="141"/>
      <c r="AR1046405" s="141"/>
      <c r="AV1046405" s="141"/>
      <c r="AW1046405" s="141"/>
      <c r="AX1046405" s="141"/>
      <c r="BP1046405" s="142"/>
      <c r="BU1046405" s="143"/>
    </row>
    <row r="1046406" customFormat="1" ht="14.25" spans="33:73">
      <c r="AG1046406" s="141"/>
      <c r="AH1046406" s="141"/>
      <c r="AI1046406" s="141"/>
      <c r="AP1046406" s="141"/>
      <c r="AQ1046406" s="141"/>
      <c r="AR1046406" s="141"/>
      <c r="AV1046406" s="141"/>
      <c r="AW1046406" s="141"/>
      <c r="AX1046406" s="141"/>
      <c r="BP1046406" s="142"/>
      <c r="BU1046406" s="143"/>
    </row>
    <row r="1046407" customFormat="1" ht="14.25" spans="33:73">
      <c r="AG1046407" s="141"/>
      <c r="AH1046407" s="141"/>
      <c r="AI1046407" s="141"/>
      <c r="AP1046407" s="141"/>
      <c r="AQ1046407" s="141"/>
      <c r="AR1046407" s="141"/>
      <c r="AV1046407" s="141"/>
      <c r="AW1046407" s="141"/>
      <c r="AX1046407" s="141"/>
      <c r="BP1046407" s="142"/>
      <c r="BU1046407" s="143"/>
    </row>
    <row r="1046408" customFormat="1" ht="14.25" spans="33:73">
      <c r="AG1046408" s="141"/>
      <c r="AH1046408" s="141"/>
      <c r="AI1046408" s="141"/>
      <c r="AP1046408" s="141"/>
      <c r="AQ1046408" s="141"/>
      <c r="AR1046408" s="141"/>
      <c r="AV1046408" s="141"/>
      <c r="AW1046408" s="141"/>
      <c r="AX1046408" s="141"/>
      <c r="BP1046408" s="142"/>
      <c r="BU1046408" s="143"/>
    </row>
    <row r="1046409" customFormat="1" ht="14.25" spans="33:73">
      <c r="AG1046409" s="141"/>
      <c r="AH1046409" s="141"/>
      <c r="AI1046409" s="141"/>
      <c r="AP1046409" s="141"/>
      <c r="AQ1046409" s="141"/>
      <c r="AR1046409" s="141"/>
      <c r="AV1046409" s="141"/>
      <c r="AW1046409" s="141"/>
      <c r="AX1046409" s="141"/>
      <c r="BP1046409" s="142"/>
      <c r="BU1046409" s="143"/>
    </row>
    <row r="1046410" customFormat="1" ht="14.25" spans="33:73">
      <c r="AG1046410" s="141"/>
      <c r="AH1046410" s="141"/>
      <c r="AI1046410" s="141"/>
      <c r="AP1046410" s="141"/>
      <c r="AQ1046410" s="141"/>
      <c r="AR1046410" s="141"/>
      <c r="AV1046410" s="141"/>
      <c r="AW1046410" s="141"/>
      <c r="AX1046410" s="141"/>
      <c r="BP1046410" s="142"/>
      <c r="BU1046410" s="143"/>
    </row>
    <row r="1046411" customFormat="1" ht="14.25" spans="33:73">
      <c r="AG1046411" s="141"/>
      <c r="AH1046411" s="141"/>
      <c r="AI1046411" s="141"/>
      <c r="AP1046411" s="141"/>
      <c r="AQ1046411" s="141"/>
      <c r="AR1046411" s="141"/>
      <c r="AV1046411" s="141"/>
      <c r="AW1046411" s="141"/>
      <c r="AX1046411" s="141"/>
      <c r="BP1046411" s="142"/>
      <c r="BU1046411" s="143"/>
    </row>
    <row r="1046412" customFormat="1" ht="14.25" spans="33:73">
      <c r="AG1046412" s="141"/>
      <c r="AH1046412" s="141"/>
      <c r="AI1046412" s="141"/>
      <c r="AP1046412" s="141"/>
      <c r="AQ1046412" s="141"/>
      <c r="AR1046412" s="141"/>
      <c r="AV1046412" s="141"/>
      <c r="AW1046412" s="141"/>
      <c r="AX1046412" s="141"/>
      <c r="BP1046412" s="142"/>
      <c r="BU1046412" s="143"/>
    </row>
    <row r="1046413" customFormat="1" ht="14.25" spans="33:73">
      <c r="AG1046413" s="141"/>
      <c r="AH1046413" s="141"/>
      <c r="AI1046413" s="141"/>
      <c r="AP1046413" s="141"/>
      <c r="AQ1046413" s="141"/>
      <c r="AR1046413" s="141"/>
      <c r="AV1046413" s="141"/>
      <c r="AW1046413" s="141"/>
      <c r="AX1046413" s="141"/>
      <c r="BP1046413" s="142"/>
      <c r="BU1046413" s="143"/>
    </row>
    <row r="1046414" customFormat="1" ht="14.25" spans="33:73">
      <c r="AG1046414" s="141"/>
      <c r="AH1046414" s="141"/>
      <c r="AI1046414" s="141"/>
      <c r="AP1046414" s="141"/>
      <c r="AQ1046414" s="141"/>
      <c r="AR1046414" s="141"/>
      <c r="AV1046414" s="141"/>
      <c r="AW1046414" s="141"/>
      <c r="AX1046414" s="141"/>
      <c r="BP1046414" s="142"/>
      <c r="BU1046414" s="143"/>
    </row>
    <row r="1046415" customFormat="1" ht="14.25" spans="33:73">
      <c r="AG1046415" s="141"/>
      <c r="AH1046415" s="141"/>
      <c r="AI1046415" s="141"/>
      <c r="AP1046415" s="141"/>
      <c r="AQ1046415" s="141"/>
      <c r="AR1046415" s="141"/>
      <c r="AV1046415" s="141"/>
      <c r="AW1046415" s="141"/>
      <c r="AX1046415" s="141"/>
      <c r="BP1046415" s="142"/>
      <c r="BU1046415" s="143"/>
    </row>
    <row r="1046416" customFormat="1" ht="14.25" spans="33:73">
      <c r="AG1046416" s="141"/>
      <c r="AH1046416" s="141"/>
      <c r="AI1046416" s="141"/>
      <c r="AP1046416" s="141"/>
      <c r="AQ1046416" s="141"/>
      <c r="AR1046416" s="141"/>
      <c r="AV1046416" s="141"/>
      <c r="AW1046416" s="141"/>
      <c r="AX1046416" s="141"/>
      <c r="BP1046416" s="142"/>
      <c r="BU1046416" s="143"/>
    </row>
    <row r="1046417" customFormat="1" ht="14.25" spans="33:73">
      <c r="AG1046417" s="141"/>
      <c r="AH1046417" s="141"/>
      <c r="AI1046417" s="141"/>
      <c r="AP1046417" s="141"/>
      <c r="AQ1046417" s="141"/>
      <c r="AR1046417" s="141"/>
      <c r="AV1046417" s="141"/>
      <c r="AW1046417" s="141"/>
      <c r="AX1046417" s="141"/>
      <c r="BP1046417" s="142"/>
      <c r="BU1046417" s="143"/>
    </row>
    <row r="1046418" customFormat="1" ht="14.25" spans="33:73">
      <c r="AG1046418" s="141"/>
      <c r="AH1046418" s="141"/>
      <c r="AI1046418" s="141"/>
      <c r="AP1046418" s="141"/>
      <c r="AQ1046418" s="141"/>
      <c r="AR1046418" s="141"/>
      <c r="AV1046418" s="141"/>
      <c r="AW1046418" s="141"/>
      <c r="AX1046418" s="141"/>
      <c r="BP1046418" s="142"/>
      <c r="BU1046418" s="143"/>
    </row>
    <row r="1046419" customFormat="1" ht="14.25" spans="33:73">
      <c r="AG1046419" s="141"/>
      <c r="AH1046419" s="141"/>
      <c r="AI1046419" s="141"/>
      <c r="AP1046419" s="141"/>
      <c r="AQ1046419" s="141"/>
      <c r="AR1046419" s="141"/>
      <c r="AV1046419" s="141"/>
      <c r="AW1046419" s="141"/>
      <c r="AX1046419" s="141"/>
      <c r="BP1046419" s="142"/>
      <c r="BU1046419" s="143"/>
    </row>
    <row r="1046420" customFormat="1" ht="14.25" spans="33:73">
      <c r="AG1046420" s="141"/>
      <c r="AH1046420" s="141"/>
      <c r="AI1046420" s="141"/>
      <c r="AP1046420" s="141"/>
      <c r="AQ1046420" s="141"/>
      <c r="AR1046420" s="141"/>
      <c r="AV1046420" s="141"/>
      <c r="AW1046420" s="141"/>
      <c r="AX1046420" s="141"/>
      <c r="BP1046420" s="142"/>
      <c r="BU1046420" s="143"/>
    </row>
    <row r="1046421" customFormat="1" ht="14.25" spans="33:73">
      <c r="AG1046421" s="141"/>
      <c r="AH1046421" s="141"/>
      <c r="AI1046421" s="141"/>
      <c r="AP1046421" s="141"/>
      <c r="AQ1046421" s="141"/>
      <c r="AR1046421" s="141"/>
      <c r="AV1046421" s="141"/>
      <c r="AW1046421" s="141"/>
      <c r="AX1046421" s="141"/>
      <c r="BP1046421" s="142"/>
      <c r="BU1046421" s="143"/>
    </row>
    <row r="1046422" customFormat="1" ht="14.25" spans="33:73">
      <c r="AG1046422" s="141"/>
      <c r="AH1046422" s="141"/>
      <c r="AI1046422" s="141"/>
      <c r="AP1046422" s="141"/>
      <c r="AQ1046422" s="141"/>
      <c r="AR1046422" s="141"/>
      <c r="AV1046422" s="141"/>
      <c r="AW1046422" s="141"/>
      <c r="AX1046422" s="141"/>
      <c r="BP1046422" s="142"/>
      <c r="BU1046422" s="143"/>
    </row>
    <row r="1046423" customFormat="1" ht="14.25" spans="33:73">
      <c r="AG1046423" s="141"/>
      <c r="AH1046423" s="141"/>
      <c r="AI1046423" s="141"/>
      <c r="AP1046423" s="141"/>
      <c r="AQ1046423" s="141"/>
      <c r="AR1046423" s="141"/>
      <c r="AV1046423" s="141"/>
      <c r="AW1046423" s="141"/>
      <c r="AX1046423" s="141"/>
      <c r="BP1046423" s="142"/>
      <c r="BU1046423" s="143"/>
    </row>
    <row r="1046424" customFormat="1" ht="14.25" spans="33:73">
      <c r="AG1046424" s="141"/>
      <c r="AH1046424" s="141"/>
      <c r="AI1046424" s="141"/>
      <c r="AP1046424" s="141"/>
      <c r="AQ1046424" s="141"/>
      <c r="AR1046424" s="141"/>
      <c r="AV1046424" s="141"/>
      <c r="AW1046424" s="141"/>
      <c r="AX1046424" s="141"/>
      <c r="BP1046424" s="142"/>
      <c r="BU1046424" s="143"/>
    </row>
    <row r="1046425" customFormat="1" ht="14.25" spans="33:73">
      <c r="AG1046425" s="141"/>
      <c r="AH1046425" s="141"/>
      <c r="AI1046425" s="141"/>
      <c r="AP1046425" s="141"/>
      <c r="AQ1046425" s="141"/>
      <c r="AR1046425" s="141"/>
      <c r="AV1046425" s="141"/>
      <c r="AW1046425" s="141"/>
      <c r="AX1046425" s="141"/>
      <c r="BP1046425" s="142"/>
      <c r="BU1046425" s="143"/>
    </row>
    <row r="1046426" customFormat="1" ht="14.25" spans="33:73">
      <c r="AG1046426" s="141"/>
      <c r="AH1046426" s="141"/>
      <c r="AI1046426" s="141"/>
      <c r="AP1046426" s="141"/>
      <c r="AQ1046426" s="141"/>
      <c r="AR1046426" s="141"/>
      <c r="AV1046426" s="141"/>
      <c r="AW1046426" s="141"/>
      <c r="AX1046426" s="141"/>
      <c r="BP1046426" s="142"/>
      <c r="BU1046426" s="143"/>
    </row>
    <row r="1046427" customFormat="1" ht="14.25" spans="33:73">
      <c r="AG1046427" s="141"/>
      <c r="AH1046427" s="141"/>
      <c r="AI1046427" s="141"/>
      <c r="AP1046427" s="141"/>
      <c r="AQ1046427" s="141"/>
      <c r="AR1046427" s="141"/>
      <c r="AV1046427" s="141"/>
      <c r="AW1046427" s="141"/>
      <c r="AX1046427" s="141"/>
      <c r="BP1046427" s="142"/>
      <c r="BU1046427" s="143"/>
    </row>
    <row r="1046428" customFormat="1" ht="14.25" spans="33:73">
      <c r="AG1046428" s="141"/>
      <c r="AH1046428" s="141"/>
      <c r="AI1046428" s="141"/>
      <c r="AP1046428" s="141"/>
      <c r="AQ1046428" s="141"/>
      <c r="AR1046428" s="141"/>
      <c r="AV1046428" s="141"/>
      <c r="AW1046428" s="141"/>
      <c r="AX1046428" s="141"/>
      <c r="BP1046428" s="142"/>
      <c r="BU1046428" s="143"/>
    </row>
    <row r="1046429" customFormat="1" ht="14.25" spans="33:73">
      <c r="AG1046429" s="141"/>
      <c r="AH1046429" s="141"/>
      <c r="AI1046429" s="141"/>
      <c r="AP1046429" s="141"/>
      <c r="AQ1046429" s="141"/>
      <c r="AR1046429" s="141"/>
      <c r="AV1046429" s="141"/>
      <c r="AW1046429" s="141"/>
      <c r="AX1046429" s="141"/>
      <c r="BP1046429" s="142"/>
      <c r="BU1046429" s="143"/>
    </row>
    <row r="1046430" customFormat="1" ht="14.25" spans="33:73">
      <c r="AG1046430" s="141"/>
      <c r="AH1046430" s="141"/>
      <c r="AI1046430" s="141"/>
      <c r="AP1046430" s="141"/>
      <c r="AQ1046430" s="141"/>
      <c r="AR1046430" s="141"/>
      <c r="AV1046430" s="141"/>
      <c r="AW1046430" s="141"/>
      <c r="AX1046430" s="141"/>
      <c r="BP1046430" s="142"/>
      <c r="BU1046430" s="143"/>
    </row>
    <row r="1046431" customFormat="1" ht="14.25" spans="33:73">
      <c r="AG1046431" s="141"/>
      <c r="AH1046431" s="141"/>
      <c r="AI1046431" s="141"/>
      <c r="AP1046431" s="141"/>
      <c r="AQ1046431" s="141"/>
      <c r="AR1046431" s="141"/>
      <c r="AV1046431" s="141"/>
      <c r="AW1046431" s="141"/>
      <c r="AX1046431" s="141"/>
      <c r="BP1046431" s="142"/>
      <c r="BU1046431" s="143"/>
    </row>
    <row r="1046432" customFormat="1" ht="14.25" spans="33:73">
      <c r="AG1046432" s="141"/>
      <c r="AH1046432" s="141"/>
      <c r="AI1046432" s="141"/>
      <c r="AP1046432" s="141"/>
      <c r="AQ1046432" s="141"/>
      <c r="AR1046432" s="141"/>
      <c r="AV1046432" s="141"/>
      <c r="AW1046432" s="141"/>
      <c r="AX1046432" s="141"/>
      <c r="BP1046432" s="142"/>
      <c r="BU1046432" s="143"/>
    </row>
    <row r="1046433" customFormat="1" ht="14.25" spans="33:73">
      <c r="AG1046433" s="141"/>
      <c r="AH1046433" s="141"/>
      <c r="AI1046433" s="141"/>
      <c r="AP1046433" s="141"/>
      <c r="AQ1046433" s="141"/>
      <c r="AR1046433" s="141"/>
      <c r="AV1046433" s="141"/>
      <c r="AW1046433" s="141"/>
      <c r="AX1046433" s="141"/>
      <c r="BP1046433" s="142"/>
      <c r="BU1046433" s="143"/>
    </row>
    <row r="1046434" customFormat="1" ht="14.25" spans="33:73">
      <c r="AG1046434" s="141"/>
      <c r="AH1046434" s="141"/>
      <c r="AI1046434" s="141"/>
      <c r="AP1046434" s="141"/>
      <c r="AQ1046434" s="141"/>
      <c r="AR1046434" s="141"/>
      <c r="AV1046434" s="141"/>
      <c r="AW1046434" s="141"/>
      <c r="AX1046434" s="141"/>
      <c r="BP1046434" s="142"/>
      <c r="BU1046434" s="143"/>
    </row>
    <row r="1046435" customFormat="1" ht="14.25" spans="33:73">
      <c r="AG1046435" s="141"/>
      <c r="AH1046435" s="141"/>
      <c r="AI1046435" s="141"/>
      <c r="AP1046435" s="141"/>
      <c r="AQ1046435" s="141"/>
      <c r="AR1046435" s="141"/>
      <c r="AV1046435" s="141"/>
      <c r="AW1046435" s="141"/>
      <c r="AX1046435" s="141"/>
      <c r="BP1046435" s="142"/>
      <c r="BU1046435" s="143"/>
    </row>
    <row r="1046436" customFormat="1" ht="14.25" spans="33:73">
      <c r="AG1046436" s="141"/>
      <c r="AH1046436" s="141"/>
      <c r="AI1046436" s="141"/>
      <c r="AP1046436" s="141"/>
      <c r="AQ1046436" s="141"/>
      <c r="AR1046436" s="141"/>
      <c r="AV1046436" s="141"/>
      <c r="AW1046436" s="141"/>
      <c r="AX1046436" s="141"/>
      <c r="BP1046436" s="142"/>
      <c r="BU1046436" s="143"/>
    </row>
    <row r="1046437" customFormat="1" ht="14.25" spans="33:73">
      <c r="AG1046437" s="141"/>
      <c r="AH1046437" s="141"/>
      <c r="AI1046437" s="141"/>
      <c r="AP1046437" s="141"/>
      <c r="AQ1046437" s="141"/>
      <c r="AR1046437" s="141"/>
      <c r="AV1046437" s="141"/>
      <c r="AW1046437" s="141"/>
      <c r="AX1046437" s="141"/>
      <c r="BP1046437" s="142"/>
      <c r="BU1046437" s="143"/>
    </row>
    <row r="1046438" customFormat="1" ht="14.25" spans="33:73">
      <c r="AG1046438" s="141"/>
      <c r="AH1046438" s="141"/>
      <c r="AI1046438" s="141"/>
      <c r="AP1046438" s="141"/>
      <c r="AQ1046438" s="141"/>
      <c r="AR1046438" s="141"/>
      <c r="AV1046438" s="141"/>
      <c r="AW1046438" s="141"/>
      <c r="AX1046438" s="141"/>
      <c r="BP1046438" s="142"/>
      <c r="BU1046438" s="143"/>
    </row>
    <row r="1046439" customFormat="1" ht="14.25" spans="33:73">
      <c r="AG1046439" s="141"/>
      <c r="AH1046439" s="141"/>
      <c r="AI1046439" s="141"/>
      <c r="AP1046439" s="141"/>
      <c r="AQ1046439" s="141"/>
      <c r="AR1046439" s="141"/>
      <c r="AV1046439" s="141"/>
      <c r="AW1046439" s="141"/>
      <c r="AX1046439" s="141"/>
      <c r="BP1046439" s="142"/>
      <c r="BU1046439" s="143"/>
    </row>
    <row r="1046440" customFormat="1" ht="14.25" spans="33:73">
      <c r="AG1046440" s="141"/>
      <c r="AH1046440" s="141"/>
      <c r="AI1046440" s="141"/>
      <c r="AP1046440" s="141"/>
      <c r="AQ1046440" s="141"/>
      <c r="AR1046440" s="141"/>
      <c r="AV1046440" s="141"/>
      <c r="AW1046440" s="141"/>
      <c r="AX1046440" s="141"/>
      <c r="BP1046440" s="142"/>
      <c r="BU1046440" s="143"/>
    </row>
    <row r="1046441" customFormat="1" ht="14.25" spans="33:73">
      <c r="AG1046441" s="141"/>
      <c r="AH1046441" s="141"/>
      <c r="AI1046441" s="141"/>
      <c r="AP1046441" s="141"/>
      <c r="AQ1046441" s="141"/>
      <c r="AR1046441" s="141"/>
      <c r="AV1046441" s="141"/>
      <c r="AW1046441" s="141"/>
      <c r="AX1046441" s="141"/>
      <c r="BP1046441" s="142"/>
      <c r="BU1046441" s="143"/>
    </row>
    <row r="1046442" customFormat="1" ht="14.25" spans="33:73">
      <c r="AG1046442" s="141"/>
      <c r="AH1046442" s="141"/>
      <c r="AI1046442" s="141"/>
      <c r="AP1046442" s="141"/>
      <c r="AQ1046442" s="141"/>
      <c r="AR1046442" s="141"/>
      <c r="AV1046442" s="141"/>
      <c r="AW1046442" s="141"/>
      <c r="AX1046442" s="141"/>
      <c r="BP1046442" s="142"/>
      <c r="BU1046442" s="143"/>
    </row>
    <row r="1046443" customFormat="1" ht="14.25" spans="33:73">
      <c r="AG1046443" s="141"/>
      <c r="AH1046443" s="141"/>
      <c r="AI1046443" s="141"/>
      <c r="AP1046443" s="141"/>
      <c r="AQ1046443" s="141"/>
      <c r="AR1046443" s="141"/>
      <c r="AV1046443" s="141"/>
      <c r="AW1046443" s="141"/>
      <c r="AX1046443" s="141"/>
      <c r="BP1046443" s="142"/>
      <c r="BU1046443" s="143"/>
    </row>
    <row r="1046444" customFormat="1" ht="14.25" spans="33:73">
      <c r="AG1046444" s="141"/>
      <c r="AH1046444" s="141"/>
      <c r="AI1046444" s="141"/>
      <c r="AP1046444" s="141"/>
      <c r="AQ1046444" s="141"/>
      <c r="AR1046444" s="141"/>
      <c r="AV1046444" s="141"/>
      <c r="AW1046444" s="141"/>
      <c r="AX1046444" s="141"/>
      <c r="BP1046444" s="142"/>
      <c r="BU1046444" s="143"/>
    </row>
    <row r="1046445" customFormat="1" ht="14.25" spans="33:73">
      <c r="AG1046445" s="141"/>
      <c r="AH1046445" s="141"/>
      <c r="AI1046445" s="141"/>
      <c r="AP1046445" s="141"/>
      <c r="AQ1046445" s="141"/>
      <c r="AR1046445" s="141"/>
      <c r="AV1046445" s="141"/>
      <c r="AW1046445" s="141"/>
      <c r="AX1046445" s="141"/>
      <c r="BP1046445" s="142"/>
      <c r="BU1046445" s="143"/>
    </row>
    <row r="1046446" customFormat="1" ht="14.25" spans="33:73">
      <c r="AG1046446" s="141"/>
      <c r="AH1046446" s="141"/>
      <c r="AI1046446" s="141"/>
      <c r="AP1046446" s="141"/>
      <c r="AQ1046446" s="141"/>
      <c r="AR1046446" s="141"/>
      <c r="AV1046446" s="141"/>
      <c r="AW1046446" s="141"/>
      <c r="AX1046446" s="141"/>
      <c r="BP1046446" s="142"/>
      <c r="BU1046446" s="143"/>
    </row>
    <row r="1046447" customFormat="1" ht="14.25" spans="33:73">
      <c r="AG1046447" s="141"/>
      <c r="AH1046447" s="141"/>
      <c r="AI1046447" s="141"/>
      <c r="AP1046447" s="141"/>
      <c r="AQ1046447" s="141"/>
      <c r="AR1046447" s="141"/>
      <c r="AV1046447" s="141"/>
      <c r="AW1046447" s="141"/>
      <c r="AX1046447" s="141"/>
      <c r="BP1046447" s="142"/>
      <c r="BU1046447" s="143"/>
    </row>
    <row r="1046448" customFormat="1" ht="14.25" spans="33:73">
      <c r="AG1046448" s="141"/>
      <c r="AH1046448" s="141"/>
      <c r="AI1046448" s="141"/>
      <c r="AP1046448" s="141"/>
      <c r="AQ1046448" s="141"/>
      <c r="AR1046448" s="141"/>
      <c r="AV1046448" s="141"/>
      <c r="AW1046448" s="141"/>
      <c r="AX1046448" s="141"/>
      <c r="BP1046448" s="142"/>
      <c r="BU1046448" s="143"/>
    </row>
    <row r="1046449" customFormat="1" ht="14.25" spans="33:73">
      <c r="AG1046449" s="141"/>
      <c r="AH1046449" s="141"/>
      <c r="AI1046449" s="141"/>
      <c r="AP1046449" s="141"/>
      <c r="AQ1046449" s="141"/>
      <c r="AR1046449" s="141"/>
      <c r="AV1046449" s="141"/>
      <c r="AW1046449" s="141"/>
      <c r="AX1046449" s="141"/>
      <c r="BP1046449" s="142"/>
      <c r="BU1046449" s="143"/>
    </row>
    <row r="1046450" customFormat="1" ht="14.25" spans="33:73">
      <c r="AG1046450" s="141"/>
      <c r="AH1046450" s="141"/>
      <c r="AI1046450" s="141"/>
      <c r="AP1046450" s="141"/>
      <c r="AQ1046450" s="141"/>
      <c r="AR1046450" s="141"/>
      <c r="AV1046450" s="141"/>
      <c r="AW1046450" s="141"/>
      <c r="AX1046450" s="141"/>
      <c r="BP1046450" s="142"/>
      <c r="BU1046450" s="143"/>
    </row>
    <row r="1046451" customFormat="1" ht="14.25" spans="33:73">
      <c r="AG1046451" s="141"/>
      <c r="AH1046451" s="141"/>
      <c r="AI1046451" s="141"/>
      <c r="AP1046451" s="141"/>
      <c r="AQ1046451" s="141"/>
      <c r="AR1046451" s="141"/>
      <c r="AV1046451" s="141"/>
      <c r="AW1046451" s="141"/>
      <c r="AX1046451" s="141"/>
      <c r="BP1046451" s="142"/>
      <c r="BU1046451" s="143"/>
    </row>
    <row r="1046452" customFormat="1" ht="14.25" spans="33:73">
      <c r="AG1046452" s="141"/>
      <c r="AH1046452" s="141"/>
      <c r="AI1046452" s="141"/>
      <c r="AP1046452" s="141"/>
      <c r="AQ1046452" s="141"/>
      <c r="AR1046452" s="141"/>
      <c r="AV1046452" s="141"/>
      <c r="AW1046452" s="141"/>
      <c r="AX1046452" s="141"/>
      <c r="BP1046452" s="142"/>
      <c r="BU1046452" s="143"/>
    </row>
    <row r="1046453" customFormat="1" ht="14.25" spans="33:73">
      <c r="AG1046453" s="141"/>
      <c r="AH1046453" s="141"/>
      <c r="AI1046453" s="141"/>
      <c r="AP1046453" s="141"/>
      <c r="AQ1046453" s="141"/>
      <c r="AR1046453" s="141"/>
      <c r="AV1046453" s="141"/>
      <c r="AW1046453" s="141"/>
      <c r="AX1046453" s="141"/>
      <c r="BP1046453" s="142"/>
      <c r="BU1046453" s="143"/>
    </row>
    <row r="1046454" customFormat="1" ht="14.25" spans="33:73">
      <c r="AG1046454" s="141"/>
      <c r="AH1046454" s="141"/>
      <c r="AI1046454" s="141"/>
      <c r="AP1046454" s="141"/>
      <c r="AQ1046454" s="141"/>
      <c r="AR1046454" s="141"/>
      <c r="AV1046454" s="141"/>
      <c r="AW1046454" s="141"/>
      <c r="AX1046454" s="141"/>
      <c r="BP1046454" s="142"/>
      <c r="BU1046454" s="143"/>
    </row>
    <row r="1046455" customFormat="1" ht="14.25" spans="33:73">
      <c r="AG1046455" s="141"/>
      <c r="AH1046455" s="141"/>
      <c r="AI1046455" s="141"/>
      <c r="AP1046455" s="141"/>
      <c r="AQ1046455" s="141"/>
      <c r="AR1046455" s="141"/>
      <c r="AV1046455" s="141"/>
      <c r="AW1046455" s="141"/>
      <c r="AX1046455" s="141"/>
      <c r="BP1046455" s="142"/>
      <c r="BU1046455" s="143"/>
    </row>
    <row r="1046456" customFormat="1" ht="14.25" spans="33:73">
      <c r="AG1046456" s="141"/>
      <c r="AH1046456" s="141"/>
      <c r="AI1046456" s="141"/>
      <c r="AP1046456" s="141"/>
      <c r="AQ1046456" s="141"/>
      <c r="AR1046456" s="141"/>
      <c r="AV1046456" s="141"/>
      <c r="AW1046456" s="141"/>
      <c r="AX1046456" s="141"/>
      <c r="BP1046456" s="142"/>
      <c r="BU1046456" s="143"/>
    </row>
    <row r="1046457" customFormat="1" ht="14.25" spans="33:73">
      <c r="AG1046457" s="141"/>
      <c r="AH1046457" s="141"/>
      <c r="AI1046457" s="141"/>
      <c r="AP1046457" s="141"/>
      <c r="AQ1046457" s="141"/>
      <c r="AR1046457" s="141"/>
      <c r="AV1046457" s="141"/>
      <c r="AW1046457" s="141"/>
      <c r="AX1046457" s="141"/>
      <c r="BP1046457" s="142"/>
      <c r="BU1046457" s="143"/>
    </row>
    <row r="1046458" customFormat="1" ht="14.25" spans="33:73">
      <c r="AG1046458" s="141"/>
      <c r="AH1046458" s="141"/>
      <c r="AI1046458" s="141"/>
      <c r="AP1046458" s="141"/>
      <c r="AQ1046458" s="141"/>
      <c r="AR1046458" s="141"/>
      <c r="AV1046458" s="141"/>
      <c r="AW1046458" s="141"/>
      <c r="AX1046458" s="141"/>
      <c r="BP1046458" s="142"/>
      <c r="BU1046458" s="143"/>
    </row>
    <row r="1046459" customFormat="1" ht="14.25" spans="33:73">
      <c r="AG1046459" s="141"/>
      <c r="AH1046459" s="141"/>
      <c r="AI1046459" s="141"/>
      <c r="AP1046459" s="141"/>
      <c r="AQ1046459" s="141"/>
      <c r="AR1046459" s="141"/>
      <c r="AV1046459" s="141"/>
      <c r="AW1046459" s="141"/>
      <c r="AX1046459" s="141"/>
      <c r="BP1046459" s="142"/>
      <c r="BU1046459" s="143"/>
    </row>
    <row r="1046460" customFormat="1" ht="14.25" spans="33:73">
      <c r="AG1046460" s="141"/>
      <c r="AH1046460" s="141"/>
      <c r="AI1046460" s="141"/>
      <c r="AP1046460" s="141"/>
      <c r="AQ1046460" s="141"/>
      <c r="AR1046460" s="141"/>
      <c r="AV1046460" s="141"/>
      <c r="AW1046460" s="141"/>
      <c r="AX1046460" s="141"/>
      <c r="BP1046460" s="142"/>
      <c r="BU1046460" s="143"/>
    </row>
    <row r="1046461" customFormat="1" ht="14.25" spans="33:73">
      <c r="AG1046461" s="141"/>
      <c r="AH1046461" s="141"/>
      <c r="AI1046461" s="141"/>
      <c r="AP1046461" s="141"/>
      <c r="AQ1046461" s="141"/>
      <c r="AR1046461" s="141"/>
      <c r="AV1046461" s="141"/>
      <c r="AW1046461" s="141"/>
      <c r="AX1046461" s="141"/>
      <c r="BP1046461" s="142"/>
      <c r="BU1046461" s="143"/>
    </row>
    <row r="1046462" customFormat="1" ht="14.25" spans="33:73">
      <c r="AG1046462" s="141"/>
      <c r="AH1046462" s="141"/>
      <c r="AI1046462" s="141"/>
      <c r="AP1046462" s="141"/>
      <c r="AQ1046462" s="141"/>
      <c r="AR1046462" s="141"/>
      <c r="AV1046462" s="141"/>
      <c r="AW1046462" s="141"/>
      <c r="AX1046462" s="141"/>
      <c r="BP1046462" s="142"/>
      <c r="BU1046462" s="143"/>
    </row>
    <row r="1046463" customFormat="1" ht="14.25" spans="33:73">
      <c r="AG1046463" s="141"/>
      <c r="AH1046463" s="141"/>
      <c r="AI1046463" s="141"/>
      <c r="AP1046463" s="141"/>
      <c r="AQ1046463" s="141"/>
      <c r="AR1046463" s="141"/>
      <c r="AV1046463" s="141"/>
      <c r="AW1046463" s="141"/>
      <c r="AX1046463" s="141"/>
      <c r="BP1046463" s="142"/>
      <c r="BU1046463" s="143"/>
    </row>
    <row r="1046464" customFormat="1" ht="14.25" spans="33:73">
      <c r="AG1046464" s="141"/>
      <c r="AH1046464" s="141"/>
      <c r="AI1046464" s="141"/>
      <c r="AP1046464" s="141"/>
      <c r="AQ1046464" s="141"/>
      <c r="AR1046464" s="141"/>
      <c r="AV1046464" s="141"/>
      <c r="AW1046464" s="141"/>
      <c r="AX1046464" s="141"/>
      <c r="BP1046464" s="142"/>
      <c r="BU1046464" s="143"/>
    </row>
    <row r="1046465" customFormat="1" ht="14.25" spans="33:73">
      <c r="AG1046465" s="141"/>
      <c r="AH1046465" s="141"/>
      <c r="AI1046465" s="141"/>
      <c r="AP1046465" s="141"/>
      <c r="AQ1046465" s="141"/>
      <c r="AR1046465" s="141"/>
      <c r="AV1046465" s="141"/>
      <c r="AW1046465" s="141"/>
      <c r="AX1046465" s="141"/>
      <c r="BP1046465" s="142"/>
      <c r="BU1046465" s="143"/>
    </row>
    <row r="1046466" customFormat="1" ht="14.25" spans="33:73">
      <c r="AG1046466" s="141"/>
      <c r="AH1046466" s="141"/>
      <c r="AI1046466" s="141"/>
      <c r="AP1046466" s="141"/>
      <c r="AQ1046466" s="141"/>
      <c r="AR1046466" s="141"/>
      <c r="AV1046466" s="141"/>
      <c r="AW1046466" s="141"/>
      <c r="AX1046466" s="141"/>
      <c r="BP1046466" s="142"/>
      <c r="BU1046466" s="143"/>
    </row>
    <row r="1046467" customFormat="1" ht="14.25" spans="33:73">
      <c r="AG1046467" s="141"/>
      <c r="AH1046467" s="141"/>
      <c r="AI1046467" s="141"/>
      <c r="AP1046467" s="141"/>
      <c r="AQ1046467" s="141"/>
      <c r="AR1046467" s="141"/>
      <c r="AV1046467" s="141"/>
      <c r="AW1046467" s="141"/>
      <c r="AX1046467" s="141"/>
      <c r="BP1046467" s="142"/>
      <c r="BU1046467" s="143"/>
    </row>
    <row r="1046468" customFormat="1" ht="14.25" spans="33:73">
      <c r="AG1046468" s="141"/>
      <c r="AH1046468" s="141"/>
      <c r="AI1046468" s="141"/>
      <c r="AP1046468" s="141"/>
      <c r="AQ1046468" s="141"/>
      <c r="AR1046468" s="141"/>
      <c r="AV1046468" s="141"/>
      <c r="AW1046468" s="141"/>
      <c r="AX1046468" s="141"/>
      <c r="BP1046468" s="142"/>
      <c r="BU1046468" s="143"/>
    </row>
    <row r="1046469" customFormat="1" ht="14.25" spans="33:73">
      <c r="AG1046469" s="141"/>
      <c r="AH1046469" s="141"/>
      <c r="AI1046469" s="141"/>
      <c r="AP1046469" s="141"/>
      <c r="AQ1046469" s="141"/>
      <c r="AR1046469" s="141"/>
      <c r="AV1046469" s="141"/>
      <c r="AW1046469" s="141"/>
      <c r="AX1046469" s="141"/>
      <c r="BP1046469" s="142"/>
      <c r="BU1046469" s="143"/>
    </row>
    <row r="1046470" customFormat="1" ht="14.25" spans="33:73">
      <c r="AG1046470" s="141"/>
      <c r="AH1046470" s="141"/>
      <c r="AI1046470" s="141"/>
      <c r="AP1046470" s="141"/>
      <c r="AQ1046470" s="141"/>
      <c r="AR1046470" s="141"/>
      <c r="AV1046470" s="141"/>
      <c r="AW1046470" s="141"/>
      <c r="AX1046470" s="141"/>
      <c r="BP1046470" s="142"/>
      <c r="BU1046470" s="143"/>
    </row>
    <row r="1046471" customFormat="1" ht="14.25" spans="33:73">
      <c r="AG1046471" s="141"/>
      <c r="AH1046471" s="141"/>
      <c r="AI1046471" s="141"/>
      <c r="AP1046471" s="141"/>
      <c r="AQ1046471" s="141"/>
      <c r="AR1046471" s="141"/>
      <c r="AV1046471" s="141"/>
      <c r="AW1046471" s="141"/>
      <c r="AX1046471" s="141"/>
      <c r="BP1046471" s="142"/>
      <c r="BU1046471" s="143"/>
    </row>
    <row r="1046472" customFormat="1" ht="14.25" spans="33:73">
      <c r="AG1046472" s="141"/>
      <c r="AH1046472" s="141"/>
      <c r="AI1046472" s="141"/>
      <c r="AP1046472" s="141"/>
      <c r="AQ1046472" s="141"/>
      <c r="AR1046472" s="141"/>
      <c r="AV1046472" s="141"/>
      <c r="AW1046472" s="141"/>
      <c r="AX1046472" s="141"/>
      <c r="BP1046472" s="142"/>
      <c r="BU1046472" s="143"/>
    </row>
    <row r="1046473" customFormat="1" ht="14.25" spans="33:73">
      <c r="AG1046473" s="141"/>
      <c r="AH1046473" s="141"/>
      <c r="AI1046473" s="141"/>
      <c r="AP1046473" s="141"/>
      <c r="AQ1046473" s="141"/>
      <c r="AR1046473" s="141"/>
      <c r="AV1046473" s="141"/>
      <c r="AW1046473" s="141"/>
      <c r="AX1046473" s="141"/>
      <c r="BP1046473" s="142"/>
      <c r="BU1046473" s="143"/>
    </row>
    <row r="1046474" customFormat="1" ht="14.25" spans="33:73">
      <c r="AG1046474" s="141"/>
      <c r="AH1046474" s="141"/>
      <c r="AI1046474" s="141"/>
      <c r="AP1046474" s="141"/>
      <c r="AQ1046474" s="141"/>
      <c r="AR1046474" s="141"/>
      <c r="AV1046474" s="141"/>
      <c r="AW1046474" s="141"/>
      <c r="AX1046474" s="141"/>
      <c r="BP1046474" s="142"/>
      <c r="BU1046474" s="143"/>
    </row>
    <row r="1046475" customFormat="1" ht="14.25" spans="33:73">
      <c r="AG1046475" s="141"/>
      <c r="AH1046475" s="141"/>
      <c r="AI1046475" s="141"/>
      <c r="AP1046475" s="141"/>
      <c r="AQ1046475" s="141"/>
      <c r="AR1046475" s="141"/>
      <c r="AV1046475" s="141"/>
      <c r="AW1046475" s="141"/>
      <c r="AX1046475" s="141"/>
      <c r="BP1046475" s="142"/>
      <c r="BU1046475" s="143"/>
    </row>
    <row r="1046476" customFormat="1" ht="14.25" spans="33:73">
      <c r="AG1046476" s="141"/>
      <c r="AH1046476" s="141"/>
      <c r="AI1046476" s="141"/>
      <c r="AP1046476" s="141"/>
      <c r="AQ1046476" s="141"/>
      <c r="AR1046476" s="141"/>
      <c r="AV1046476" s="141"/>
      <c r="AW1046476" s="141"/>
      <c r="AX1046476" s="141"/>
      <c r="BP1046476" s="142"/>
      <c r="BU1046476" s="143"/>
    </row>
    <row r="1046477" customFormat="1" ht="14.25" spans="33:73">
      <c r="AG1046477" s="141"/>
      <c r="AH1046477" s="141"/>
      <c r="AI1046477" s="141"/>
      <c r="AP1046477" s="141"/>
      <c r="AQ1046477" s="141"/>
      <c r="AR1046477" s="141"/>
      <c r="AV1046477" s="141"/>
      <c r="AW1046477" s="141"/>
      <c r="AX1046477" s="141"/>
      <c r="BP1046477" s="142"/>
      <c r="BU1046477" s="143"/>
    </row>
    <row r="1046478" customFormat="1" ht="14.25" spans="33:73">
      <c r="AG1046478" s="141"/>
      <c r="AH1046478" s="141"/>
      <c r="AI1046478" s="141"/>
      <c r="AP1046478" s="141"/>
      <c r="AQ1046478" s="141"/>
      <c r="AR1046478" s="141"/>
      <c r="AV1046478" s="141"/>
      <c r="AW1046478" s="141"/>
      <c r="AX1046478" s="141"/>
      <c r="BP1046478" s="142"/>
      <c r="BU1046478" s="143"/>
    </row>
    <row r="1046479" customFormat="1" ht="14.25" spans="33:73">
      <c r="AG1046479" s="141"/>
      <c r="AH1046479" s="141"/>
      <c r="AI1046479" s="141"/>
      <c r="AP1046479" s="141"/>
      <c r="AQ1046479" s="141"/>
      <c r="AR1046479" s="141"/>
      <c r="AV1046479" s="141"/>
      <c r="AW1046479" s="141"/>
      <c r="AX1046479" s="141"/>
      <c r="BP1046479" s="142"/>
      <c r="BU1046479" s="143"/>
    </row>
    <row r="1046480" customFormat="1" ht="14.25" spans="33:73">
      <c r="AG1046480" s="141"/>
      <c r="AH1046480" s="141"/>
      <c r="AI1046480" s="141"/>
      <c r="AP1046480" s="141"/>
      <c r="AQ1046480" s="141"/>
      <c r="AR1046480" s="141"/>
      <c r="AV1046480" s="141"/>
      <c r="AW1046480" s="141"/>
      <c r="AX1046480" s="141"/>
      <c r="BP1046480" s="142"/>
      <c r="BU1046480" s="143"/>
    </row>
    <row r="1046481" customFormat="1" ht="14.25" spans="33:73">
      <c r="AG1046481" s="141"/>
      <c r="AH1046481" s="141"/>
      <c r="AI1046481" s="141"/>
      <c r="AP1046481" s="141"/>
      <c r="AQ1046481" s="141"/>
      <c r="AR1046481" s="141"/>
      <c r="AV1046481" s="141"/>
      <c r="AW1046481" s="141"/>
      <c r="AX1046481" s="141"/>
      <c r="BP1046481" s="142"/>
      <c r="BU1046481" s="143"/>
    </row>
    <row r="1046482" customFormat="1" ht="14.25" spans="33:73">
      <c r="AG1046482" s="141"/>
      <c r="AH1046482" s="141"/>
      <c r="AI1046482" s="141"/>
      <c r="AP1046482" s="141"/>
      <c r="AQ1046482" s="141"/>
      <c r="AR1046482" s="141"/>
      <c r="AV1046482" s="141"/>
      <c r="AW1046482" s="141"/>
      <c r="AX1046482" s="141"/>
      <c r="BP1046482" s="142"/>
      <c r="BU1046482" s="143"/>
    </row>
    <row r="1046483" customFormat="1" ht="14.25" spans="33:73">
      <c r="AG1046483" s="141"/>
      <c r="AH1046483" s="141"/>
      <c r="AI1046483" s="141"/>
      <c r="AP1046483" s="141"/>
      <c r="AQ1046483" s="141"/>
      <c r="AR1046483" s="141"/>
      <c r="AV1046483" s="141"/>
      <c r="AW1046483" s="141"/>
      <c r="AX1046483" s="141"/>
      <c r="BP1046483" s="142"/>
      <c r="BU1046483" s="143"/>
    </row>
    <row r="1046484" customFormat="1" ht="14.25" spans="33:73">
      <c r="AG1046484" s="141"/>
      <c r="AH1046484" s="141"/>
      <c r="AI1046484" s="141"/>
      <c r="AP1046484" s="141"/>
      <c r="AQ1046484" s="141"/>
      <c r="AR1046484" s="141"/>
      <c r="AV1046484" s="141"/>
      <c r="AW1046484" s="141"/>
      <c r="AX1046484" s="141"/>
      <c r="BP1046484" s="142"/>
      <c r="BU1046484" s="143"/>
    </row>
    <row r="1046485" customFormat="1" ht="14.25" spans="33:73">
      <c r="AG1046485" s="141"/>
      <c r="AH1046485" s="141"/>
      <c r="AI1046485" s="141"/>
      <c r="AP1046485" s="141"/>
      <c r="AQ1046485" s="141"/>
      <c r="AR1046485" s="141"/>
      <c r="AV1046485" s="141"/>
      <c r="AW1046485" s="141"/>
      <c r="AX1046485" s="141"/>
      <c r="BP1046485" s="142"/>
      <c r="BU1046485" s="143"/>
    </row>
    <row r="1046486" customFormat="1" ht="14.25" spans="33:73">
      <c r="AG1046486" s="141"/>
      <c r="AH1046486" s="141"/>
      <c r="AI1046486" s="141"/>
      <c r="AP1046486" s="141"/>
      <c r="AQ1046486" s="141"/>
      <c r="AR1046486" s="141"/>
      <c r="AV1046486" s="141"/>
      <c r="AW1046486" s="141"/>
      <c r="AX1046486" s="141"/>
      <c r="BP1046486" s="142"/>
      <c r="BU1046486" s="143"/>
    </row>
    <row r="1046487" customFormat="1" ht="14.25" spans="33:73">
      <c r="AG1046487" s="141"/>
      <c r="AH1046487" s="141"/>
      <c r="AI1046487" s="141"/>
      <c r="AP1046487" s="141"/>
      <c r="AQ1046487" s="141"/>
      <c r="AR1046487" s="141"/>
      <c r="AV1046487" s="141"/>
      <c r="AW1046487" s="141"/>
      <c r="AX1046487" s="141"/>
      <c r="BP1046487" s="142"/>
      <c r="BU1046487" s="143"/>
    </row>
    <row r="1046488" customFormat="1" ht="14.25" spans="33:73">
      <c r="AG1046488" s="141"/>
      <c r="AH1046488" s="141"/>
      <c r="AI1046488" s="141"/>
      <c r="AP1046488" s="141"/>
      <c r="AQ1046488" s="141"/>
      <c r="AR1046488" s="141"/>
      <c r="AV1046488" s="141"/>
      <c r="AW1046488" s="141"/>
      <c r="AX1046488" s="141"/>
      <c r="BP1046488" s="142"/>
      <c r="BU1046488" s="143"/>
    </row>
    <row r="1046489" customFormat="1" ht="14.25" spans="33:73">
      <c r="AG1046489" s="141"/>
      <c r="AH1046489" s="141"/>
      <c r="AI1046489" s="141"/>
      <c r="AP1046489" s="141"/>
      <c r="AQ1046489" s="141"/>
      <c r="AR1046489" s="141"/>
      <c r="AV1046489" s="141"/>
      <c r="AW1046489" s="141"/>
      <c r="AX1046489" s="141"/>
      <c r="BP1046489" s="142"/>
      <c r="BU1046489" s="143"/>
    </row>
    <row r="1046490" customFormat="1" ht="14.25" spans="33:73">
      <c r="AG1046490" s="141"/>
      <c r="AH1046490" s="141"/>
      <c r="AI1046490" s="141"/>
      <c r="AP1046490" s="141"/>
      <c r="AQ1046490" s="141"/>
      <c r="AR1046490" s="141"/>
      <c r="AV1046490" s="141"/>
      <c r="AW1046490" s="141"/>
      <c r="AX1046490" s="141"/>
      <c r="BP1046490" s="142"/>
      <c r="BU1046490" s="143"/>
    </row>
    <row r="1046491" customFormat="1" ht="14.25" spans="33:73">
      <c r="AG1046491" s="141"/>
      <c r="AH1046491" s="141"/>
      <c r="AI1046491" s="141"/>
      <c r="AP1046491" s="141"/>
      <c r="AQ1046491" s="141"/>
      <c r="AR1046491" s="141"/>
      <c r="AV1046491" s="141"/>
      <c r="AW1046491" s="141"/>
      <c r="AX1046491" s="141"/>
      <c r="BP1046491" s="142"/>
      <c r="BU1046491" s="143"/>
    </row>
    <row r="1046492" customFormat="1" ht="14.25" spans="33:73">
      <c r="AG1046492" s="141"/>
      <c r="AH1046492" s="141"/>
      <c r="AI1046492" s="141"/>
      <c r="AP1046492" s="141"/>
      <c r="AQ1046492" s="141"/>
      <c r="AR1046492" s="141"/>
      <c r="AV1046492" s="141"/>
      <c r="AW1046492" s="141"/>
      <c r="AX1046492" s="141"/>
      <c r="BP1046492" s="142"/>
      <c r="BU1046492" s="143"/>
    </row>
    <row r="1046493" customFormat="1" ht="14.25" spans="33:73">
      <c r="AG1046493" s="141"/>
      <c r="AH1046493" s="141"/>
      <c r="AI1046493" s="141"/>
      <c r="AP1046493" s="141"/>
      <c r="AQ1046493" s="141"/>
      <c r="AR1046493" s="141"/>
      <c r="AV1046493" s="141"/>
      <c r="AW1046493" s="141"/>
      <c r="AX1046493" s="141"/>
      <c r="BP1046493" s="142"/>
      <c r="BU1046493" s="143"/>
    </row>
    <row r="1046494" customFormat="1" ht="14.25" spans="33:73">
      <c r="AG1046494" s="141"/>
      <c r="AH1046494" s="141"/>
      <c r="AI1046494" s="141"/>
      <c r="AP1046494" s="141"/>
      <c r="AQ1046494" s="141"/>
      <c r="AR1046494" s="141"/>
      <c r="AV1046494" s="141"/>
      <c r="AW1046494" s="141"/>
      <c r="AX1046494" s="141"/>
      <c r="BP1046494" s="142"/>
      <c r="BU1046494" s="143"/>
    </row>
    <row r="1046495" customFormat="1" ht="14.25" spans="33:73">
      <c r="AG1046495" s="141"/>
      <c r="AH1046495" s="141"/>
      <c r="AI1046495" s="141"/>
      <c r="AP1046495" s="141"/>
      <c r="AQ1046495" s="141"/>
      <c r="AR1046495" s="141"/>
      <c r="AV1046495" s="141"/>
      <c r="AW1046495" s="141"/>
      <c r="AX1046495" s="141"/>
      <c r="BP1046495" s="142"/>
      <c r="BU1046495" s="143"/>
    </row>
    <row r="1046496" customFormat="1" ht="14.25" spans="33:73">
      <c r="AG1046496" s="141"/>
      <c r="AH1046496" s="141"/>
      <c r="AI1046496" s="141"/>
      <c r="AP1046496" s="141"/>
      <c r="AQ1046496" s="141"/>
      <c r="AR1046496" s="141"/>
      <c r="AV1046496" s="141"/>
      <c r="AW1046496" s="141"/>
      <c r="AX1046496" s="141"/>
      <c r="BP1046496" s="142"/>
      <c r="BU1046496" s="143"/>
    </row>
    <row r="1046497" customFormat="1" ht="14.25" spans="33:73">
      <c r="AG1046497" s="141"/>
      <c r="AH1046497" s="141"/>
      <c r="AI1046497" s="141"/>
      <c r="AP1046497" s="141"/>
      <c r="AQ1046497" s="141"/>
      <c r="AR1046497" s="141"/>
      <c r="AV1046497" s="141"/>
      <c r="AW1046497" s="141"/>
      <c r="AX1046497" s="141"/>
      <c r="BP1046497" s="142"/>
      <c r="BU1046497" s="143"/>
    </row>
    <row r="1046498" customFormat="1" ht="14.25" spans="33:73">
      <c r="AG1046498" s="141"/>
      <c r="AH1046498" s="141"/>
      <c r="AI1046498" s="141"/>
      <c r="AP1046498" s="141"/>
      <c r="AQ1046498" s="141"/>
      <c r="AR1046498" s="141"/>
      <c r="AV1046498" s="141"/>
      <c r="AW1046498" s="141"/>
      <c r="AX1046498" s="141"/>
      <c r="BP1046498" s="142"/>
      <c r="BU1046498" s="143"/>
    </row>
    <row r="1046499" customFormat="1" ht="14.25" spans="33:73">
      <c r="AG1046499" s="141"/>
      <c r="AH1046499" s="141"/>
      <c r="AI1046499" s="141"/>
      <c r="AP1046499" s="141"/>
      <c r="AQ1046499" s="141"/>
      <c r="AR1046499" s="141"/>
      <c r="AV1046499" s="141"/>
      <c r="AW1046499" s="141"/>
      <c r="AX1046499" s="141"/>
      <c r="BP1046499" s="142"/>
      <c r="BU1046499" s="143"/>
    </row>
    <row r="1046500" customFormat="1" ht="14.25" spans="33:73">
      <c r="AG1046500" s="141"/>
      <c r="AH1046500" s="141"/>
      <c r="AI1046500" s="141"/>
      <c r="AP1046500" s="141"/>
      <c r="AQ1046500" s="141"/>
      <c r="AR1046500" s="141"/>
      <c r="AV1046500" s="141"/>
      <c r="AW1046500" s="141"/>
      <c r="AX1046500" s="141"/>
      <c r="BP1046500" s="142"/>
      <c r="BU1046500" s="143"/>
    </row>
    <row r="1046501" customFormat="1" ht="14.25" spans="33:73">
      <c r="AG1046501" s="141"/>
      <c r="AH1046501" s="141"/>
      <c r="AI1046501" s="141"/>
      <c r="AP1046501" s="141"/>
      <c r="AQ1046501" s="141"/>
      <c r="AR1046501" s="141"/>
      <c r="AV1046501" s="141"/>
      <c r="AW1046501" s="141"/>
      <c r="AX1046501" s="141"/>
      <c r="BP1046501" s="142"/>
      <c r="BU1046501" s="143"/>
    </row>
    <row r="1046502" customFormat="1" ht="14.25" spans="33:73">
      <c r="AG1046502" s="141"/>
      <c r="AH1046502" s="141"/>
      <c r="AI1046502" s="141"/>
      <c r="AP1046502" s="141"/>
      <c r="AQ1046502" s="141"/>
      <c r="AR1046502" s="141"/>
      <c r="AV1046502" s="141"/>
      <c r="AW1046502" s="141"/>
      <c r="AX1046502" s="141"/>
      <c r="BP1046502" s="142"/>
      <c r="BU1046502" s="143"/>
    </row>
    <row r="1046503" customFormat="1" ht="14.25" spans="33:73">
      <c r="AG1046503" s="141"/>
      <c r="AH1046503" s="141"/>
      <c r="AI1046503" s="141"/>
      <c r="AP1046503" s="141"/>
      <c r="AQ1046503" s="141"/>
      <c r="AR1046503" s="141"/>
      <c r="AV1046503" s="141"/>
      <c r="AW1046503" s="141"/>
      <c r="AX1046503" s="141"/>
      <c r="BP1046503" s="142"/>
      <c r="BU1046503" s="143"/>
    </row>
    <row r="1046504" customFormat="1" ht="14.25" spans="33:73">
      <c r="AG1046504" s="141"/>
      <c r="AH1046504" s="141"/>
      <c r="AI1046504" s="141"/>
      <c r="AP1046504" s="141"/>
      <c r="AQ1046504" s="141"/>
      <c r="AR1046504" s="141"/>
      <c r="AV1046504" s="141"/>
      <c r="AW1046504" s="141"/>
      <c r="AX1046504" s="141"/>
      <c r="BP1046504" s="142"/>
      <c r="BU1046504" s="143"/>
    </row>
    <row r="1046505" customFormat="1" ht="14.25" spans="33:73">
      <c r="AG1046505" s="141"/>
      <c r="AH1046505" s="141"/>
      <c r="AI1046505" s="141"/>
      <c r="AP1046505" s="141"/>
      <c r="AQ1046505" s="141"/>
      <c r="AR1046505" s="141"/>
      <c r="AV1046505" s="141"/>
      <c r="AW1046505" s="141"/>
      <c r="AX1046505" s="141"/>
      <c r="BP1046505" s="142"/>
      <c r="BU1046505" s="143"/>
    </row>
    <row r="1046506" customFormat="1" ht="14.25" spans="33:73">
      <c r="AG1046506" s="141"/>
      <c r="AH1046506" s="141"/>
      <c r="AI1046506" s="141"/>
      <c r="AP1046506" s="141"/>
      <c r="AQ1046506" s="141"/>
      <c r="AR1046506" s="141"/>
      <c r="AV1046506" s="141"/>
      <c r="AW1046506" s="141"/>
      <c r="AX1046506" s="141"/>
      <c r="BP1046506" s="142"/>
      <c r="BU1046506" s="143"/>
    </row>
    <row r="1046507" customFormat="1" ht="14.25" spans="33:73">
      <c r="AG1046507" s="141"/>
      <c r="AH1046507" s="141"/>
      <c r="AI1046507" s="141"/>
      <c r="AP1046507" s="141"/>
      <c r="AQ1046507" s="141"/>
      <c r="AR1046507" s="141"/>
      <c r="AV1046507" s="141"/>
      <c r="AW1046507" s="141"/>
      <c r="AX1046507" s="141"/>
      <c r="BP1046507" s="142"/>
      <c r="BU1046507" s="143"/>
    </row>
    <row r="1046508" customFormat="1" ht="14.25" spans="33:73">
      <c r="AG1046508" s="141"/>
      <c r="AH1046508" s="141"/>
      <c r="AI1046508" s="141"/>
      <c r="AP1046508" s="141"/>
      <c r="AQ1046508" s="141"/>
      <c r="AR1046508" s="141"/>
      <c r="AV1046508" s="141"/>
      <c r="AW1046508" s="141"/>
      <c r="AX1046508" s="141"/>
      <c r="BP1046508" s="142"/>
      <c r="BU1046508" s="143"/>
    </row>
    <row r="1046509" customFormat="1" ht="14.25" spans="33:73">
      <c r="AG1046509" s="141"/>
      <c r="AH1046509" s="141"/>
      <c r="AI1046509" s="141"/>
      <c r="AP1046509" s="141"/>
      <c r="AQ1046509" s="141"/>
      <c r="AR1046509" s="141"/>
      <c r="AV1046509" s="141"/>
      <c r="AW1046509" s="141"/>
      <c r="AX1046509" s="141"/>
      <c r="BP1046509" s="142"/>
      <c r="BU1046509" s="143"/>
    </row>
    <row r="1046510" customFormat="1" ht="14.25" spans="33:73">
      <c r="AG1046510" s="141"/>
      <c r="AH1046510" s="141"/>
      <c r="AI1046510" s="141"/>
      <c r="AP1046510" s="141"/>
      <c r="AQ1046510" s="141"/>
      <c r="AR1046510" s="141"/>
      <c r="AV1046510" s="141"/>
      <c r="AW1046510" s="141"/>
      <c r="AX1046510" s="141"/>
      <c r="BP1046510" s="142"/>
      <c r="BU1046510" s="143"/>
    </row>
    <row r="1046511" customFormat="1" ht="14.25" spans="33:73">
      <c r="AG1046511" s="141"/>
      <c r="AH1046511" s="141"/>
      <c r="AI1046511" s="141"/>
      <c r="AP1046511" s="141"/>
      <c r="AQ1046511" s="141"/>
      <c r="AR1046511" s="141"/>
      <c r="AV1046511" s="141"/>
      <c r="AW1046511" s="141"/>
      <c r="AX1046511" s="141"/>
      <c r="BP1046511" s="142"/>
      <c r="BU1046511" s="143"/>
    </row>
    <row r="1046512" customFormat="1" ht="14.25" spans="33:73">
      <c r="AG1046512" s="141"/>
      <c r="AH1046512" s="141"/>
      <c r="AI1046512" s="141"/>
      <c r="AP1046512" s="141"/>
      <c r="AQ1046512" s="141"/>
      <c r="AR1046512" s="141"/>
      <c r="AV1046512" s="141"/>
      <c r="AW1046512" s="141"/>
      <c r="AX1046512" s="141"/>
      <c r="BP1046512" s="142"/>
      <c r="BU1046512" s="143"/>
    </row>
    <row r="1046513" customFormat="1" ht="14.25" spans="33:73">
      <c r="AG1046513" s="141"/>
      <c r="AH1046513" s="141"/>
      <c r="AI1046513" s="141"/>
      <c r="AP1046513" s="141"/>
      <c r="AQ1046513" s="141"/>
      <c r="AR1046513" s="141"/>
      <c r="AV1046513" s="141"/>
      <c r="AW1046513" s="141"/>
      <c r="AX1046513" s="141"/>
      <c r="BP1046513" s="142"/>
      <c r="BU1046513" s="143"/>
    </row>
    <row r="1046514" customFormat="1" ht="14.25" spans="33:73">
      <c r="AG1046514" s="141"/>
      <c r="AH1046514" s="141"/>
      <c r="AI1046514" s="141"/>
      <c r="AP1046514" s="141"/>
      <c r="AQ1046514" s="141"/>
      <c r="AR1046514" s="141"/>
      <c r="AV1046514" s="141"/>
      <c r="AW1046514" s="141"/>
      <c r="AX1046514" s="141"/>
      <c r="BP1046514" s="142"/>
      <c r="BU1046514" s="143"/>
    </row>
    <row r="1046515" customFormat="1" ht="14.25" spans="33:73">
      <c r="AG1046515" s="141"/>
      <c r="AH1046515" s="141"/>
      <c r="AI1046515" s="141"/>
      <c r="AP1046515" s="141"/>
      <c r="AQ1046515" s="141"/>
      <c r="AR1046515" s="141"/>
      <c r="AV1046515" s="141"/>
      <c r="AW1046515" s="141"/>
      <c r="AX1046515" s="141"/>
      <c r="BP1046515" s="142"/>
      <c r="BU1046515" s="143"/>
    </row>
    <row r="1046516" customFormat="1" ht="14.25" spans="33:73">
      <c r="AG1046516" s="141"/>
      <c r="AH1046516" s="141"/>
      <c r="AI1046516" s="141"/>
      <c r="AP1046516" s="141"/>
      <c r="AQ1046516" s="141"/>
      <c r="AR1046516" s="141"/>
      <c r="AV1046516" s="141"/>
      <c r="AW1046516" s="141"/>
      <c r="AX1046516" s="141"/>
      <c r="BP1046516" s="142"/>
      <c r="BU1046516" s="143"/>
    </row>
    <row r="1046517" customFormat="1" ht="14.25" spans="33:73">
      <c r="AG1046517" s="141"/>
      <c r="AH1046517" s="141"/>
      <c r="AI1046517" s="141"/>
      <c r="AP1046517" s="141"/>
      <c r="AQ1046517" s="141"/>
      <c r="AR1046517" s="141"/>
      <c r="AV1046517" s="141"/>
      <c r="AW1046517" s="141"/>
      <c r="AX1046517" s="141"/>
      <c r="BP1046517" s="142"/>
      <c r="BU1046517" s="143"/>
    </row>
    <row r="1046518" customFormat="1" ht="14.25" spans="33:73">
      <c r="AG1046518" s="141"/>
      <c r="AH1046518" s="141"/>
      <c r="AI1046518" s="141"/>
      <c r="AP1046518" s="141"/>
      <c r="AQ1046518" s="141"/>
      <c r="AR1046518" s="141"/>
      <c r="AV1046518" s="141"/>
      <c r="AW1046518" s="141"/>
      <c r="AX1046518" s="141"/>
      <c r="BP1046518" s="142"/>
      <c r="BU1046518" s="143"/>
    </row>
    <row r="1046519" customFormat="1" ht="14.25" spans="33:73">
      <c r="AG1046519" s="141"/>
      <c r="AH1046519" s="141"/>
      <c r="AI1046519" s="141"/>
      <c r="AP1046519" s="141"/>
      <c r="AQ1046519" s="141"/>
      <c r="AR1046519" s="141"/>
      <c r="AV1046519" s="141"/>
      <c r="AW1046519" s="141"/>
      <c r="AX1046519" s="141"/>
      <c r="BP1046519" s="142"/>
      <c r="BU1046519" s="143"/>
    </row>
    <row r="1046520" customFormat="1" ht="14.25" spans="33:73">
      <c r="AG1046520" s="141"/>
      <c r="AH1046520" s="141"/>
      <c r="AI1046520" s="141"/>
      <c r="AP1046520" s="141"/>
      <c r="AQ1046520" s="141"/>
      <c r="AR1046520" s="141"/>
      <c r="AV1046520" s="141"/>
      <c r="AW1046520" s="141"/>
      <c r="AX1046520" s="141"/>
      <c r="BP1046520" s="142"/>
      <c r="BU1046520" s="143"/>
    </row>
    <row r="1046521" customFormat="1" ht="14.25" spans="33:73">
      <c r="AG1046521" s="141"/>
      <c r="AH1046521" s="141"/>
      <c r="AI1046521" s="141"/>
      <c r="AP1046521" s="141"/>
      <c r="AQ1046521" s="141"/>
      <c r="AR1046521" s="141"/>
      <c r="AV1046521" s="141"/>
      <c r="AW1046521" s="141"/>
      <c r="AX1046521" s="141"/>
      <c r="BP1046521" s="142"/>
      <c r="BU1046521" s="143"/>
    </row>
    <row r="1046522" customFormat="1" ht="14.25" spans="33:73">
      <c r="AG1046522" s="141"/>
      <c r="AH1046522" s="141"/>
      <c r="AI1046522" s="141"/>
      <c r="AP1046522" s="141"/>
      <c r="AQ1046522" s="141"/>
      <c r="AR1046522" s="141"/>
      <c r="AV1046522" s="141"/>
      <c r="AW1046522" s="141"/>
      <c r="AX1046522" s="141"/>
      <c r="BP1046522" s="142"/>
      <c r="BU1046522" s="143"/>
    </row>
    <row r="1046523" customFormat="1" ht="14.25" spans="33:73">
      <c r="AG1046523" s="141"/>
      <c r="AH1046523" s="141"/>
      <c r="AI1046523" s="141"/>
      <c r="AP1046523" s="141"/>
      <c r="AQ1046523" s="141"/>
      <c r="AR1046523" s="141"/>
      <c r="AV1046523" s="141"/>
      <c r="AW1046523" s="141"/>
      <c r="AX1046523" s="141"/>
      <c r="BP1046523" s="142"/>
      <c r="BU1046523" s="143"/>
    </row>
    <row r="1046524" customFormat="1" ht="14.25" spans="33:73">
      <c r="AG1046524" s="141"/>
      <c r="AH1046524" s="141"/>
      <c r="AI1046524" s="141"/>
      <c r="AP1046524" s="141"/>
      <c r="AQ1046524" s="141"/>
      <c r="AR1046524" s="141"/>
      <c r="AV1046524" s="141"/>
      <c r="AW1046524" s="141"/>
      <c r="AX1046524" s="141"/>
      <c r="BP1046524" s="142"/>
      <c r="BU1046524" s="143"/>
    </row>
    <row r="1046525" customFormat="1" ht="14.25" spans="33:73">
      <c r="AG1046525" s="141"/>
      <c r="AH1046525" s="141"/>
      <c r="AI1046525" s="141"/>
      <c r="AP1046525" s="141"/>
      <c r="AQ1046525" s="141"/>
      <c r="AR1046525" s="141"/>
      <c r="AV1046525" s="141"/>
      <c r="AW1046525" s="141"/>
      <c r="AX1046525" s="141"/>
      <c r="BP1046525" s="142"/>
      <c r="BU1046525" s="143"/>
    </row>
    <row r="1046526" customFormat="1" ht="14.25" spans="33:73">
      <c r="AG1046526" s="141"/>
      <c r="AH1046526" s="141"/>
      <c r="AI1046526" s="141"/>
      <c r="AP1046526" s="141"/>
      <c r="AQ1046526" s="141"/>
      <c r="AR1046526" s="141"/>
      <c r="AV1046526" s="141"/>
      <c r="AW1046526" s="141"/>
      <c r="AX1046526" s="141"/>
      <c r="BP1046526" s="142"/>
      <c r="BU1046526" s="143"/>
    </row>
    <row r="1046527" customFormat="1" ht="14.25" spans="33:73">
      <c r="AG1046527" s="141"/>
      <c r="AH1046527" s="141"/>
      <c r="AI1046527" s="141"/>
      <c r="AP1046527" s="141"/>
      <c r="AQ1046527" s="141"/>
      <c r="AR1046527" s="141"/>
      <c r="AV1046527" s="141"/>
      <c r="AW1046527" s="141"/>
      <c r="AX1046527" s="141"/>
      <c r="BP1046527" s="142"/>
      <c r="BU1046527" s="143"/>
    </row>
    <row r="1046528" customFormat="1" ht="14.25" spans="33:73">
      <c r="AG1046528" s="141"/>
      <c r="AH1046528" s="141"/>
      <c r="AI1046528" s="141"/>
      <c r="AP1046528" s="141"/>
      <c r="AQ1046528" s="141"/>
      <c r="AR1046528" s="141"/>
      <c r="AV1046528" s="141"/>
      <c r="AW1046528" s="141"/>
      <c r="AX1046528" s="141"/>
      <c r="BP1046528" s="142"/>
      <c r="BU1046528" s="143"/>
    </row>
    <row r="1046529" customFormat="1" ht="14.25" spans="33:73">
      <c r="AG1046529" s="141"/>
      <c r="AH1046529" s="141"/>
      <c r="AI1046529" s="141"/>
      <c r="AP1046529" s="141"/>
      <c r="AQ1046529" s="141"/>
      <c r="AR1046529" s="141"/>
      <c r="AV1046529" s="141"/>
      <c r="AW1046529" s="141"/>
      <c r="AX1046529" s="141"/>
      <c r="BP1046529" s="142"/>
      <c r="BU1046529" s="143"/>
    </row>
    <row r="1046530" customFormat="1" ht="14.25" spans="33:73">
      <c r="AG1046530" s="141"/>
      <c r="AH1046530" s="141"/>
      <c r="AI1046530" s="141"/>
      <c r="AP1046530" s="141"/>
      <c r="AQ1046530" s="141"/>
      <c r="AR1046530" s="141"/>
      <c r="AV1046530" s="141"/>
      <c r="AW1046530" s="141"/>
      <c r="AX1046530" s="141"/>
      <c r="BP1046530" s="142"/>
      <c r="BU1046530" s="143"/>
    </row>
    <row r="1046531" customFormat="1" ht="14.25" spans="33:73">
      <c r="AG1046531" s="141"/>
      <c r="AH1046531" s="141"/>
      <c r="AI1046531" s="141"/>
      <c r="AP1046531" s="141"/>
      <c r="AQ1046531" s="141"/>
      <c r="AR1046531" s="141"/>
      <c r="AV1046531" s="141"/>
      <c r="AW1046531" s="141"/>
      <c r="AX1046531" s="141"/>
      <c r="BP1046531" s="142"/>
      <c r="BU1046531" s="143"/>
    </row>
    <row r="1046532" customFormat="1" ht="14.25" spans="33:73">
      <c r="AG1046532" s="141"/>
      <c r="AH1046532" s="141"/>
      <c r="AI1046532" s="141"/>
      <c r="AP1046532" s="141"/>
      <c r="AQ1046532" s="141"/>
      <c r="AR1046532" s="141"/>
      <c r="AV1046532" s="141"/>
      <c r="AW1046532" s="141"/>
      <c r="AX1046532" s="141"/>
      <c r="BP1046532" s="142"/>
      <c r="BU1046532" s="143"/>
    </row>
    <row r="1046533" customFormat="1" ht="14.25" spans="33:73">
      <c r="AG1046533" s="141"/>
      <c r="AH1046533" s="141"/>
      <c r="AI1046533" s="141"/>
      <c r="AP1046533" s="141"/>
      <c r="AQ1046533" s="141"/>
      <c r="AR1046533" s="141"/>
      <c r="AV1046533" s="141"/>
      <c r="AW1046533" s="141"/>
      <c r="AX1046533" s="141"/>
      <c r="BP1046533" s="142"/>
      <c r="BU1046533" s="143"/>
    </row>
    <row r="1046534" customFormat="1" ht="14.25" spans="33:73">
      <c r="AG1046534" s="141"/>
      <c r="AH1046534" s="141"/>
      <c r="AI1046534" s="141"/>
      <c r="AP1046534" s="141"/>
      <c r="AQ1046534" s="141"/>
      <c r="AR1046534" s="141"/>
      <c r="AV1046534" s="141"/>
      <c r="AW1046534" s="141"/>
      <c r="AX1046534" s="141"/>
      <c r="BP1046534" s="142"/>
      <c r="BU1046534" s="143"/>
    </row>
    <row r="1046535" customFormat="1" ht="14.25" spans="33:73">
      <c r="AG1046535" s="141"/>
      <c r="AH1046535" s="141"/>
      <c r="AI1046535" s="141"/>
      <c r="AP1046535" s="141"/>
      <c r="AQ1046535" s="141"/>
      <c r="AR1046535" s="141"/>
      <c r="AV1046535" s="141"/>
      <c r="AW1046535" s="141"/>
      <c r="AX1046535" s="141"/>
      <c r="BP1046535" s="142"/>
      <c r="BU1046535" s="143"/>
    </row>
    <row r="1046536" customFormat="1" ht="14.25" spans="33:73">
      <c r="AG1046536" s="141"/>
      <c r="AH1046536" s="141"/>
      <c r="AI1046536" s="141"/>
      <c r="AP1046536" s="141"/>
      <c r="AQ1046536" s="141"/>
      <c r="AR1046536" s="141"/>
      <c r="AV1046536" s="141"/>
      <c r="AW1046536" s="141"/>
      <c r="AX1046536" s="141"/>
      <c r="BP1046536" s="142"/>
      <c r="BU1046536" s="143"/>
    </row>
    <row r="1046537" customFormat="1" ht="14.25" spans="33:73">
      <c r="AG1046537" s="141"/>
      <c r="AH1046537" s="141"/>
      <c r="AI1046537" s="141"/>
      <c r="AP1046537" s="141"/>
      <c r="AQ1046537" s="141"/>
      <c r="AR1046537" s="141"/>
      <c r="AV1046537" s="141"/>
      <c r="AW1046537" s="141"/>
      <c r="AX1046537" s="141"/>
      <c r="BP1046537" s="142"/>
      <c r="BU1046537" s="143"/>
    </row>
    <row r="1046538" customFormat="1" ht="14.25" spans="33:73">
      <c r="AG1046538" s="141"/>
      <c r="AH1046538" s="141"/>
      <c r="AI1046538" s="141"/>
      <c r="AP1046538" s="141"/>
      <c r="AQ1046538" s="141"/>
      <c r="AR1046538" s="141"/>
      <c r="AV1046538" s="141"/>
      <c r="AW1046538" s="141"/>
      <c r="AX1046538" s="141"/>
      <c r="BP1046538" s="142"/>
      <c r="BU1046538" s="143"/>
    </row>
    <row r="1046539" customFormat="1" ht="14.25" spans="33:73">
      <c r="AG1046539" s="141"/>
      <c r="AH1046539" s="141"/>
      <c r="AI1046539" s="141"/>
      <c r="AP1046539" s="141"/>
      <c r="AQ1046539" s="141"/>
      <c r="AR1046539" s="141"/>
      <c r="AV1046539" s="141"/>
      <c r="AW1046539" s="141"/>
      <c r="AX1046539" s="141"/>
      <c r="BP1046539" s="142"/>
      <c r="BU1046539" s="143"/>
    </row>
    <row r="1046540" customFormat="1" ht="14.25" spans="33:73">
      <c r="AG1046540" s="141"/>
      <c r="AH1046540" s="141"/>
      <c r="AI1046540" s="141"/>
      <c r="AP1046540" s="141"/>
      <c r="AQ1046540" s="141"/>
      <c r="AR1046540" s="141"/>
      <c r="AV1046540" s="141"/>
      <c r="AW1046540" s="141"/>
      <c r="AX1046540" s="141"/>
      <c r="BP1046540" s="142"/>
      <c r="BU1046540" s="143"/>
    </row>
    <row r="1046541" customFormat="1" ht="14.25" spans="33:73">
      <c r="AG1046541" s="141"/>
      <c r="AH1046541" s="141"/>
      <c r="AI1046541" s="141"/>
      <c r="AP1046541" s="141"/>
      <c r="AQ1046541" s="141"/>
      <c r="AR1046541" s="141"/>
      <c r="AV1046541" s="141"/>
      <c r="AW1046541" s="141"/>
      <c r="AX1046541" s="141"/>
      <c r="BP1046541" s="142"/>
      <c r="BU1046541" s="143"/>
    </row>
    <row r="1046542" customFormat="1" ht="14.25" spans="33:73">
      <c r="AG1046542" s="141"/>
      <c r="AH1046542" s="141"/>
      <c r="AI1046542" s="141"/>
      <c r="AP1046542" s="141"/>
      <c r="AQ1046542" s="141"/>
      <c r="AR1046542" s="141"/>
      <c r="AV1046542" s="141"/>
      <c r="AW1046542" s="141"/>
      <c r="AX1046542" s="141"/>
      <c r="BP1046542" s="142"/>
      <c r="BU1046542" s="143"/>
    </row>
    <row r="1046543" customFormat="1" ht="14.25" spans="33:73">
      <c r="AG1046543" s="141"/>
      <c r="AH1046543" s="141"/>
      <c r="AI1046543" s="141"/>
      <c r="AP1046543" s="141"/>
      <c r="AQ1046543" s="141"/>
      <c r="AR1046543" s="141"/>
      <c r="AV1046543" s="141"/>
      <c r="AW1046543" s="141"/>
      <c r="AX1046543" s="141"/>
      <c r="BP1046543" s="142"/>
      <c r="BU1046543" s="143"/>
    </row>
    <row r="1046544" customFormat="1" ht="14.25" spans="33:73">
      <c r="AG1046544" s="141"/>
      <c r="AH1046544" s="141"/>
      <c r="AI1046544" s="141"/>
      <c r="AP1046544" s="141"/>
      <c r="AQ1046544" s="141"/>
      <c r="AR1046544" s="141"/>
      <c r="AV1046544" s="141"/>
      <c r="AW1046544" s="141"/>
      <c r="AX1046544" s="141"/>
      <c r="BP1046544" s="142"/>
      <c r="BU1046544" s="143"/>
    </row>
    <row r="1046545" customFormat="1" ht="14.25" spans="33:73">
      <c r="AG1046545" s="141"/>
      <c r="AH1046545" s="141"/>
      <c r="AI1046545" s="141"/>
      <c r="AP1046545" s="141"/>
      <c r="AQ1046545" s="141"/>
      <c r="AR1046545" s="141"/>
      <c r="AV1046545" s="141"/>
      <c r="AW1046545" s="141"/>
      <c r="AX1046545" s="141"/>
      <c r="BP1046545" s="142"/>
      <c r="BU1046545" s="143"/>
    </row>
    <row r="1046546" customFormat="1" ht="14.25" spans="33:73">
      <c r="AG1046546" s="141"/>
      <c r="AH1046546" s="141"/>
      <c r="AI1046546" s="141"/>
      <c r="AP1046546" s="141"/>
      <c r="AQ1046546" s="141"/>
      <c r="AR1046546" s="141"/>
      <c r="AV1046546" s="141"/>
      <c r="AW1046546" s="141"/>
      <c r="AX1046546" s="141"/>
      <c r="BP1046546" s="142"/>
      <c r="BU1046546" s="143"/>
    </row>
    <row r="1046547" customFormat="1" ht="14.25" spans="33:73">
      <c r="AG1046547" s="141"/>
      <c r="AH1046547" s="141"/>
      <c r="AI1046547" s="141"/>
      <c r="AP1046547" s="141"/>
      <c r="AQ1046547" s="141"/>
      <c r="AR1046547" s="141"/>
      <c r="AV1046547" s="141"/>
      <c r="AW1046547" s="141"/>
      <c r="AX1046547" s="141"/>
      <c r="BP1046547" s="142"/>
      <c r="BU1046547" s="143"/>
    </row>
    <row r="1046548" customFormat="1" ht="14.25" spans="33:73">
      <c r="AG1046548" s="141"/>
      <c r="AH1046548" s="141"/>
      <c r="AI1046548" s="141"/>
      <c r="AP1046548" s="141"/>
      <c r="AQ1046548" s="141"/>
      <c r="AR1046548" s="141"/>
      <c r="AV1046548" s="141"/>
      <c r="AW1046548" s="141"/>
      <c r="AX1046548" s="141"/>
      <c r="BP1046548" s="142"/>
      <c r="BU1046548" s="143"/>
    </row>
    <row r="1046549" customFormat="1" ht="14.25" spans="33:73">
      <c r="AG1046549" s="141"/>
      <c r="AH1046549" s="141"/>
      <c r="AI1046549" s="141"/>
      <c r="AP1046549" s="141"/>
      <c r="AQ1046549" s="141"/>
      <c r="AR1046549" s="141"/>
      <c r="AV1046549" s="141"/>
      <c r="AW1046549" s="141"/>
      <c r="AX1046549" s="141"/>
      <c r="BP1046549" s="142"/>
      <c r="BU1046549" s="143"/>
    </row>
    <row r="1046550" customFormat="1" ht="14.25" spans="33:73">
      <c r="AG1046550" s="141"/>
      <c r="AH1046550" s="141"/>
      <c r="AI1046550" s="141"/>
      <c r="AP1046550" s="141"/>
      <c r="AQ1046550" s="141"/>
      <c r="AR1046550" s="141"/>
      <c r="AV1046550" s="141"/>
      <c r="AW1046550" s="141"/>
      <c r="AX1046550" s="141"/>
      <c r="BP1046550" s="142"/>
      <c r="BU1046550" s="143"/>
    </row>
    <row r="1046551" customFormat="1" ht="14.25" spans="33:73">
      <c r="AG1046551" s="141"/>
      <c r="AH1046551" s="141"/>
      <c r="AI1046551" s="141"/>
      <c r="AP1046551" s="141"/>
      <c r="AQ1046551" s="141"/>
      <c r="AR1046551" s="141"/>
      <c r="AV1046551" s="141"/>
      <c r="AW1046551" s="141"/>
      <c r="AX1046551" s="141"/>
      <c r="BP1046551" s="142"/>
      <c r="BU1046551" s="143"/>
    </row>
    <row r="1046552" customFormat="1" ht="14.25" spans="33:73">
      <c r="AG1046552" s="141"/>
      <c r="AH1046552" s="141"/>
      <c r="AI1046552" s="141"/>
      <c r="AP1046552" s="141"/>
      <c r="AQ1046552" s="141"/>
      <c r="AR1046552" s="141"/>
      <c r="AV1046552" s="141"/>
      <c r="AW1046552" s="141"/>
      <c r="AX1046552" s="141"/>
      <c r="BP1046552" s="142"/>
      <c r="BU1046552" s="143"/>
    </row>
    <row r="1046553" customFormat="1" ht="14.25" spans="33:73">
      <c r="AG1046553" s="141"/>
      <c r="AH1046553" s="141"/>
      <c r="AI1046553" s="141"/>
      <c r="AP1046553" s="141"/>
      <c r="AQ1046553" s="141"/>
      <c r="AR1046553" s="141"/>
      <c r="AV1046553" s="141"/>
      <c r="AW1046553" s="141"/>
      <c r="AX1046553" s="141"/>
      <c r="BP1046553" s="142"/>
      <c r="BU1046553" s="143"/>
    </row>
    <row r="1046554" customFormat="1" ht="14.25" spans="33:73">
      <c r="AG1046554" s="141"/>
      <c r="AH1046554" s="141"/>
      <c r="AI1046554" s="141"/>
      <c r="AP1046554" s="141"/>
      <c r="AQ1046554" s="141"/>
      <c r="AR1046554" s="141"/>
      <c r="AV1046554" s="141"/>
      <c r="AW1046554" s="141"/>
      <c r="AX1046554" s="141"/>
      <c r="BP1046554" s="142"/>
      <c r="BU1046554" s="143"/>
    </row>
    <row r="1046555" customFormat="1" ht="14.25" spans="33:73">
      <c r="AG1046555" s="141"/>
      <c r="AH1046555" s="141"/>
      <c r="AI1046555" s="141"/>
      <c r="AP1046555" s="141"/>
      <c r="AQ1046555" s="141"/>
      <c r="AR1046555" s="141"/>
      <c r="AV1046555" s="141"/>
      <c r="AW1046555" s="141"/>
      <c r="AX1046555" s="141"/>
      <c r="BP1046555" s="142"/>
      <c r="BU1046555" s="143"/>
    </row>
    <row r="1046556" customFormat="1" ht="14.25" spans="33:73">
      <c r="AG1046556" s="141"/>
      <c r="AH1046556" s="141"/>
      <c r="AI1046556" s="141"/>
      <c r="AP1046556" s="141"/>
      <c r="AQ1046556" s="141"/>
      <c r="AR1046556" s="141"/>
      <c r="AV1046556" s="141"/>
      <c r="AW1046556" s="141"/>
      <c r="AX1046556" s="141"/>
      <c r="BP1046556" s="142"/>
      <c r="BU1046556" s="143"/>
    </row>
    <row r="1046557" customFormat="1" ht="14.25" spans="33:73">
      <c r="AG1046557" s="141"/>
      <c r="AH1046557" s="141"/>
      <c r="AI1046557" s="141"/>
      <c r="AP1046557" s="141"/>
      <c r="AQ1046557" s="141"/>
      <c r="AR1046557" s="141"/>
      <c r="AV1046557" s="141"/>
      <c r="AW1046557" s="141"/>
      <c r="AX1046557" s="141"/>
      <c r="BP1046557" s="142"/>
      <c r="BU1046557" s="143"/>
    </row>
    <row r="1046558" customFormat="1" ht="14.25" spans="33:73">
      <c r="AG1046558" s="141"/>
      <c r="AH1046558" s="141"/>
      <c r="AI1046558" s="141"/>
      <c r="AP1046558" s="141"/>
      <c r="AQ1046558" s="141"/>
      <c r="AR1046558" s="141"/>
      <c r="AV1046558" s="141"/>
      <c r="AW1046558" s="141"/>
      <c r="AX1046558" s="141"/>
      <c r="BP1046558" s="142"/>
      <c r="BU1046558" s="143"/>
    </row>
    <row r="1046559" customFormat="1" ht="14.25" spans="33:73">
      <c r="AG1046559" s="141"/>
      <c r="AH1046559" s="141"/>
      <c r="AI1046559" s="141"/>
      <c r="AP1046559" s="141"/>
      <c r="AQ1046559" s="141"/>
      <c r="AR1046559" s="141"/>
      <c r="AV1046559" s="141"/>
      <c r="AW1046559" s="141"/>
      <c r="AX1046559" s="141"/>
      <c r="BP1046559" s="142"/>
      <c r="BU1046559" s="143"/>
    </row>
    <row r="1046560" customFormat="1" ht="14.25" spans="33:73">
      <c r="AG1046560" s="141"/>
      <c r="AH1046560" s="141"/>
      <c r="AI1046560" s="141"/>
      <c r="AP1046560" s="141"/>
      <c r="AQ1046560" s="141"/>
      <c r="AR1046560" s="141"/>
      <c r="AV1046560" s="141"/>
      <c r="AW1046560" s="141"/>
      <c r="AX1046560" s="141"/>
      <c r="BP1046560" s="142"/>
      <c r="BU1046560" s="143"/>
    </row>
    <row r="1046561" customFormat="1" ht="14.25" spans="33:73">
      <c r="AG1046561" s="141"/>
      <c r="AH1046561" s="141"/>
      <c r="AI1046561" s="141"/>
      <c r="AP1046561" s="141"/>
      <c r="AQ1046561" s="141"/>
      <c r="AR1046561" s="141"/>
      <c r="AV1046561" s="141"/>
      <c r="AW1046561" s="141"/>
      <c r="AX1046561" s="141"/>
      <c r="BP1046561" s="142"/>
      <c r="BU1046561" s="143"/>
    </row>
    <row r="1046562" customFormat="1" ht="14.25" spans="33:73">
      <c r="AG1046562" s="141"/>
      <c r="AH1046562" s="141"/>
      <c r="AI1046562" s="141"/>
      <c r="AP1046562" s="141"/>
      <c r="AQ1046562" s="141"/>
      <c r="AR1046562" s="141"/>
      <c r="AV1046562" s="141"/>
      <c r="AW1046562" s="141"/>
      <c r="AX1046562" s="141"/>
      <c r="BP1046562" s="142"/>
      <c r="BU1046562" s="143"/>
    </row>
    <row r="1046563" customFormat="1" ht="14.25" spans="33:73">
      <c r="AG1046563" s="141"/>
      <c r="AH1046563" s="141"/>
      <c r="AI1046563" s="141"/>
      <c r="AP1046563" s="141"/>
      <c r="AQ1046563" s="141"/>
      <c r="AR1046563" s="141"/>
      <c r="AV1046563" s="141"/>
      <c r="AW1046563" s="141"/>
      <c r="AX1046563" s="141"/>
      <c r="BP1046563" s="142"/>
      <c r="BU1046563" s="143"/>
    </row>
    <row r="1046564" customFormat="1" ht="14.25" spans="33:73">
      <c r="AG1046564" s="141"/>
      <c r="AH1046564" s="141"/>
      <c r="AI1046564" s="141"/>
      <c r="AP1046564" s="141"/>
      <c r="AQ1046564" s="141"/>
      <c r="AR1046564" s="141"/>
      <c r="AV1046564" s="141"/>
      <c r="AW1046564" s="141"/>
      <c r="AX1046564" s="141"/>
      <c r="BP1046564" s="142"/>
      <c r="BU1046564" s="143"/>
    </row>
    <row r="1046565" customFormat="1" ht="14.25" spans="33:73">
      <c r="AG1046565" s="141"/>
      <c r="AH1046565" s="141"/>
      <c r="AI1046565" s="141"/>
      <c r="AP1046565" s="141"/>
      <c r="AQ1046565" s="141"/>
      <c r="AR1046565" s="141"/>
      <c r="AV1046565" s="141"/>
      <c r="AW1046565" s="141"/>
      <c r="AX1046565" s="141"/>
      <c r="BP1046565" s="142"/>
      <c r="BU1046565" s="143"/>
    </row>
    <row r="1046566" customFormat="1" ht="14.25" spans="33:73">
      <c r="AG1046566" s="141"/>
      <c r="AH1046566" s="141"/>
      <c r="AI1046566" s="141"/>
      <c r="AP1046566" s="141"/>
      <c r="AQ1046566" s="141"/>
      <c r="AR1046566" s="141"/>
      <c r="AV1046566" s="141"/>
      <c r="AW1046566" s="141"/>
      <c r="AX1046566" s="141"/>
      <c r="BP1046566" s="142"/>
      <c r="BU1046566" s="143"/>
    </row>
    <row r="1046567" customFormat="1" ht="14.25" spans="33:73">
      <c r="AG1046567" s="141"/>
      <c r="AH1046567" s="141"/>
      <c r="AI1046567" s="141"/>
      <c r="AP1046567" s="141"/>
      <c r="AQ1046567" s="141"/>
      <c r="AR1046567" s="141"/>
      <c r="AV1046567" s="141"/>
      <c r="AW1046567" s="141"/>
      <c r="AX1046567" s="141"/>
      <c r="BP1046567" s="142"/>
      <c r="BU1046567" s="143"/>
    </row>
    <row r="1046568" customFormat="1" ht="14.25" spans="33:73">
      <c r="AG1046568" s="141"/>
      <c r="AH1046568" s="141"/>
      <c r="AI1046568" s="141"/>
      <c r="AP1046568" s="141"/>
      <c r="AQ1046568" s="141"/>
      <c r="AR1046568" s="141"/>
      <c r="AV1046568" s="141"/>
      <c r="AW1046568" s="141"/>
      <c r="AX1046568" s="141"/>
      <c r="BP1046568" s="142"/>
      <c r="BU1046568" s="143"/>
    </row>
    <row r="1046569" customFormat="1" ht="14.25" spans="33:73">
      <c r="AG1046569" s="141"/>
      <c r="AH1046569" s="141"/>
      <c r="AI1046569" s="141"/>
      <c r="AP1046569" s="141"/>
      <c r="AQ1046569" s="141"/>
      <c r="AR1046569" s="141"/>
      <c r="AV1046569" s="141"/>
      <c r="AW1046569" s="141"/>
      <c r="AX1046569" s="141"/>
      <c r="BP1046569" s="142"/>
      <c r="BU1046569" s="143"/>
    </row>
    <row r="1046570" customFormat="1" ht="14.25" spans="33:73">
      <c r="AG1046570" s="141"/>
      <c r="AH1046570" s="141"/>
      <c r="AI1046570" s="141"/>
      <c r="AP1046570" s="141"/>
      <c r="AQ1046570" s="141"/>
      <c r="AR1046570" s="141"/>
      <c r="AV1046570" s="141"/>
      <c r="AW1046570" s="141"/>
      <c r="AX1046570" s="141"/>
      <c r="BP1046570" s="142"/>
      <c r="BU1046570" s="143"/>
    </row>
    <row r="1046571" customFormat="1" ht="14.25" spans="33:73">
      <c r="AG1046571" s="141"/>
      <c r="AH1046571" s="141"/>
      <c r="AI1046571" s="141"/>
      <c r="AP1046571" s="141"/>
      <c r="AQ1046571" s="141"/>
      <c r="AR1046571" s="141"/>
      <c r="AV1046571" s="141"/>
      <c r="AW1046571" s="141"/>
      <c r="AX1046571" s="141"/>
      <c r="BP1046571" s="142"/>
      <c r="BU1046571" s="143"/>
    </row>
    <row r="1046572" customFormat="1" ht="14.25" spans="33:73">
      <c r="AG1046572" s="141"/>
      <c r="AH1046572" s="141"/>
      <c r="AI1046572" s="141"/>
      <c r="AP1046572" s="141"/>
      <c r="AQ1046572" s="141"/>
      <c r="AR1046572" s="141"/>
      <c r="AV1046572" s="141"/>
      <c r="AW1046572" s="141"/>
      <c r="AX1046572" s="141"/>
      <c r="BP1046572" s="142"/>
      <c r="BU1046572" s="143"/>
    </row>
    <row r="1046573" customFormat="1" ht="14.25" spans="33:73">
      <c r="AG1046573" s="141"/>
      <c r="AH1046573" s="141"/>
      <c r="AI1046573" s="141"/>
      <c r="AP1046573" s="141"/>
      <c r="AQ1046573" s="141"/>
      <c r="AR1046573" s="141"/>
      <c r="AV1046573" s="141"/>
      <c r="AW1046573" s="141"/>
      <c r="AX1046573" s="141"/>
      <c r="BP1046573" s="142"/>
      <c r="BU1046573" s="143"/>
    </row>
    <row r="1046574" customFormat="1" ht="14.25" spans="33:73">
      <c r="AG1046574" s="141"/>
      <c r="AH1046574" s="141"/>
      <c r="AI1046574" s="141"/>
      <c r="AP1046574" s="141"/>
      <c r="AQ1046574" s="141"/>
      <c r="AR1046574" s="141"/>
      <c r="AV1046574" s="141"/>
      <c r="AW1046574" s="141"/>
      <c r="AX1046574" s="141"/>
      <c r="BP1046574" s="142"/>
      <c r="BU1046574" s="143"/>
    </row>
    <row r="1046575" customFormat="1" ht="14.25" spans="33:73">
      <c r="AG1046575" s="141"/>
      <c r="AH1046575" s="141"/>
      <c r="AI1046575" s="141"/>
      <c r="AP1046575" s="141"/>
      <c r="AQ1046575" s="141"/>
      <c r="AR1046575" s="141"/>
      <c r="AV1046575" s="141"/>
      <c r="AW1046575" s="141"/>
      <c r="AX1046575" s="141"/>
      <c r="BP1046575" s="142"/>
      <c r="BU1046575" s="143"/>
    </row>
    <row r="1046576" customFormat="1" ht="14.25" spans="33:73">
      <c r="AG1046576" s="141"/>
      <c r="AH1046576" s="141"/>
      <c r="AI1046576" s="141"/>
      <c r="AP1046576" s="141"/>
      <c r="AQ1046576" s="141"/>
      <c r="AR1046576" s="141"/>
      <c r="AV1046576" s="141"/>
      <c r="AW1046576" s="141"/>
      <c r="AX1046576" s="141"/>
      <c r="BP1046576" s="142"/>
      <c r="BU1046576" s="143"/>
    </row>
    <row r="1046577" customFormat="1" ht="14.25" spans="33:73">
      <c r="AG1046577" s="141"/>
      <c r="AH1046577" s="141"/>
      <c r="AI1046577" s="141"/>
      <c r="AP1046577" s="141"/>
      <c r="AQ1046577" s="141"/>
      <c r="AR1046577" s="141"/>
      <c r="AV1046577" s="141"/>
      <c r="AW1046577" s="141"/>
      <c r="AX1046577" s="141"/>
      <c r="BP1046577" s="142"/>
      <c r="BU1046577" s="143"/>
    </row>
    <row r="1046578" customFormat="1" ht="14.25" spans="33:73">
      <c r="AG1046578" s="141"/>
      <c r="AH1046578" s="141"/>
      <c r="AI1046578" s="141"/>
      <c r="AP1046578" s="141"/>
      <c r="AQ1046578" s="141"/>
      <c r="AR1046578" s="141"/>
      <c r="AV1046578" s="141"/>
      <c r="AW1046578" s="141"/>
      <c r="AX1046578" s="141"/>
      <c r="BP1046578" s="142"/>
      <c r="BU1046578" s="143"/>
    </row>
    <row r="1046579" customFormat="1" ht="14.25" spans="33:73">
      <c r="AG1046579" s="141"/>
      <c r="AH1046579" s="141"/>
      <c r="AI1046579" s="141"/>
      <c r="AP1046579" s="141"/>
      <c r="AQ1046579" s="141"/>
      <c r="AR1046579" s="141"/>
      <c r="AV1046579" s="141"/>
      <c r="AW1046579" s="141"/>
      <c r="AX1046579" s="141"/>
      <c r="BP1046579" s="142"/>
      <c r="BU1046579" s="143"/>
    </row>
    <row r="1046580" customFormat="1" ht="14.25" spans="33:73">
      <c r="AG1046580" s="141"/>
      <c r="AH1046580" s="141"/>
      <c r="AI1046580" s="141"/>
      <c r="AP1046580" s="141"/>
      <c r="AQ1046580" s="141"/>
      <c r="AR1046580" s="141"/>
      <c r="AV1046580" s="141"/>
      <c r="AW1046580" s="141"/>
      <c r="AX1046580" s="141"/>
      <c r="BP1046580" s="142"/>
      <c r="BU1046580" s="143"/>
    </row>
    <row r="1046581" customFormat="1" ht="14.25" spans="33:73">
      <c r="AG1046581" s="141"/>
      <c r="AH1046581" s="141"/>
      <c r="AI1046581" s="141"/>
      <c r="AP1046581" s="141"/>
      <c r="AQ1046581" s="141"/>
      <c r="AR1046581" s="141"/>
      <c r="AV1046581" s="141"/>
      <c r="AW1046581" s="141"/>
      <c r="AX1046581" s="141"/>
      <c r="BP1046581" s="142"/>
      <c r="BU1046581" s="143"/>
    </row>
    <row r="1046582" customFormat="1" ht="14.25" spans="33:73">
      <c r="AG1046582" s="141"/>
      <c r="AH1046582" s="141"/>
      <c r="AI1046582" s="141"/>
      <c r="AP1046582" s="141"/>
      <c r="AQ1046582" s="141"/>
      <c r="AR1046582" s="141"/>
      <c r="AV1046582" s="141"/>
      <c r="AW1046582" s="141"/>
      <c r="AX1046582" s="141"/>
      <c r="BP1046582" s="142"/>
      <c r="BU1046582" s="143"/>
    </row>
    <row r="1046583" customFormat="1" ht="14.25" spans="33:73">
      <c r="AG1046583" s="141"/>
      <c r="AH1046583" s="141"/>
      <c r="AI1046583" s="141"/>
      <c r="AP1046583" s="141"/>
      <c r="AQ1046583" s="141"/>
      <c r="AR1046583" s="141"/>
      <c r="AV1046583" s="141"/>
      <c r="AW1046583" s="141"/>
      <c r="AX1046583" s="141"/>
      <c r="BP1046583" s="142"/>
      <c r="BU1046583" s="143"/>
    </row>
    <row r="1046584" customFormat="1" ht="14.25" spans="33:73">
      <c r="AG1046584" s="141"/>
      <c r="AH1046584" s="141"/>
      <c r="AI1046584" s="141"/>
      <c r="AP1046584" s="141"/>
      <c r="AQ1046584" s="141"/>
      <c r="AR1046584" s="141"/>
      <c r="AV1046584" s="141"/>
      <c r="AW1046584" s="141"/>
      <c r="AX1046584" s="141"/>
      <c r="BP1046584" s="142"/>
      <c r="BU1046584" s="143"/>
    </row>
    <row r="1046585" customFormat="1" ht="14.25" spans="33:73">
      <c r="AG1046585" s="141"/>
      <c r="AH1046585" s="141"/>
      <c r="AI1046585" s="141"/>
      <c r="AP1046585" s="141"/>
      <c r="AQ1046585" s="141"/>
      <c r="AR1046585" s="141"/>
      <c r="AV1046585" s="141"/>
      <c r="AW1046585" s="141"/>
      <c r="AX1046585" s="141"/>
      <c r="BP1046585" s="142"/>
      <c r="BU1046585" s="143"/>
    </row>
    <row r="1046586" customFormat="1" ht="14.25" spans="33:73">
      <c r="AG1046586" s="141"/>
      <c r="AH1046586" s="141"/>
      <c r="AI1046586" s="141"/>
      <c r="AP1046586" s="141"/>
      <c r="AQ1046586" s="141"/>
      <c r="AR1046586" s="141"/>
      <c r="AV1046586" s="141"/>
      <c r="AW1046586" s="141"/>
      <c r="AX1046586" s="141"/>
      <c r="BP1046586" s="142"/>
      <c r="BU1046586" s="143"/>
    </row>
    <row r="1046587" customFormat="1" ht="14.25" spans="33:73">
      <c r="AG1046587" s="141"/>
      <c r="AH1046587" s="141"/>
      <c r="AI1046587" s="141"/>
      <c r="AP1046587" s="141"/>
      <c r="AQ1046587" s="141"/>
      <c r="AR1046587" s="141"/>
      <c r="AV1046587" s="141"/>
      <c r="AW1046587" s="141"/>
      <c r="AX1046587" s="141"/>
      <c r="BP1046587" s="142"/>
      <c r="BU1046587" s="143"/>
    </row>
    <row r="1046588" customFormat="1" ht="14.25" spans="33:73">
      <c r="AG1046588" s="141"/>
      <c r="AH1046588" s="141"/>
      <c r="AI1046588" s="141"/>
      <c r="AP1046588" s="141"/>
      <c r="AQ1046588" s="141"/>
      <c r="AR1046588" s="141"/>
      <c r="AV1046588" s="141"/>
      <c r="AW1046588" s="141"/>
      <c r="AX1046588" s="141"/>
      <c r="BP1046588" s="142"/>
      <c r="BU1046588" s="143"/>
    </row>
    <row r="1046589" customFormat="1" ht="14.25" spans="33:73">
      <c r="AG1046589" s="141"/>
      <c r="AH1046589" s="141"/>
      <c r="AI1046589" s="141"/>
      <c r="AP1046589" s="141"/>
      <c r="AQ1046589" s="141"/>
      <c r="AR1046589" s="141"/>
      <c r="AV1046589" s="141"/>
      <c r="AW1046589" s="141"/>
      <c r="AX1046589" s="141"/>
      <c r="BP1046589" s="142"/>
      <c r="BU1046589" s="143"/>
    </row>
    <row r="1046590" customFormat="1" ht="14.25" spans="33:73">
      <c r="AG1046590" s="141"/>
      <c r="AH1046590" s="141"/>
      <c r="AI1046590" s="141"/>
      <c r="AP1046590" s="141"/>
      <c r="AQ1046590" s="141"/>
      <c r="AR1046590" s="141"/>
      <c r="AV1046590" s="141"/>
      <c r="AW1046590" s="141"/>
      <c r="AX1046590" s="141"/>
      <c r="BP1046590" s="142"/>
      <c r="BU1046590" s="143"/>
    </row>
    <row r="1046591" customFormat="1" ht="14.25" spans="33:73">
      <c r="AG1046591" s="141"/>
      <c r="AH1046591" s="141"/>
      <c r="AI1046591" s="141"/>
      <c r="AP1046591" s="141"/>
      <c r="AQ1046591" s="141"/>
      <c r="AR1046591" s="141"/>
      <c r="AV1046591" s="141"/>
      <c r="AW1046591" s="141"/>
      <c r="AX1046591" s="141"/>
      <c r="BP1046591" s="142"/>
      <c r="BU1046591" s="143"/>
    </row>
    <row r="1046592" customFormat="1" ht="14.25" spans="33:73">
      <c r="AG1046592" s="141"/>
      <c r="AH1046592" s="141"/>
      <c r="AI1046592" s="141"/>
      <c r="AP1046592" s="141"/>
      <c r="AQ1046592" s="141"/>
      <c r="AR1046592" s="141"/>
      <c r="AV1046592" s="141"/>
      <c r="AW1046592" s="141"/>
      <c r="AX1046592" s="141"/>
      <c r="BP1046592" s="142"/>
      <c r="BU1046592" s="143"/>
    </row>
    <row r="1046593" customFormat="1" ht="14.25" spans="33:73">
      <c r="AG1046593" s="141"/>
      <c r="AH1046593" s="141"/>
      <c r="AI1046593" s="141"/>
      <c r="AP1046593" s="141"/>
      <c r="AQ1046593" s="141"/>
      <c r="AR1046593" s="141"/>
      <c r="AV1046593" s="141"/>
      <c r="AW1046593" s="141"/>
      <c r="AX1046593" s="141"/>
      <c r="BP1046593" s="142"/>
      <c r="BU1046593" s="143"/>
    </row>
    <row r="1046594" customFormat="1" ht="14.25" spans="33:73">
      <c r="AG1046594" s="141"/>
      <c r="AH1046594" s="141"/>
      <c r="AI1046594" s="141"/>
      <c r="AP1046594" s="141"/>
      <c r="AQ1046594" s="141"/>
      <c r="AR1046594" s="141"/>
      <c r="AV1046594" s="141"/>
      <c r="AW1046594" s="141"/>
      <c r="AX1046594" s="141"/>
      <c r="BP1046594" s="142"/>
      <c r="BU1046594" s="143"/>
    </row>
    <row r="1046595" customFormat="1" ht="14.25" spans="33:73">
      <c r="AG1046595" s="141"/>
      <c r="AH1046595" s="141"/>
      <c r="AI1046595" s="141"/>
      <c r="AP1046595" s="141"/>
      <c r="AQ1046595" s="141"/>
      <c r="AR1046595" s="141"/>
      <c r="AV1046595" s="141"/>
      <c r="AW1046595" s="141"/>
      <c r="AX1046595" s="141"/>
      <c r="BP1046595" s="142"/>
      <c r="BU1046595" s="143"/>
    </row>
    <row r="1046596" customFormat="1" ht="14.25" spans="33:73">
      <c r="AG1046596" s="141"/>
      <c r="AH1046596" s="141"/>
      <c r="AI1046596" s="141"/>
      <c r="AP1046596" s="141"/>
      <c r="AQ1046596" s="141"/>
      <c r="AR1046596" s="141"/>
      <c r="AV1046596" s="141"/>
      <c r="AW1046596" s="141"/>
      <c r="AX1046596" s="141"/>
      <c r="BP1046596" s="142"/>
      <c r="BU1046596" s="143"/>
    </row>
    <row r="1046597" customFormat="1" ht="14.25" spans="33:73">
      <c r="AG1046597" s="141"/>
      <c r="AH1046597" s="141"/>
      <c r="AI1046597" s="141"/>
      <c r="AP1046597" s="141"/>
      <c r="AQ1046597" s="141"/>
      <c r="AR1046597" s="141"/>
      <c r="AV1046597" s="141"/>
      <c r="AW1046597" s="141"/>
      <c r="AX1046597" s="141"/>
      <c r="BP1046597" s="142"/>
      <c r="BU1046597" s="143"/>
    </row>
    <row r="1046598" customFormat="1" ht="14.25" spans="33:73">
      <c r="AG1046598" s="141"/>
      <c r="AH1046598" s="141"/>
      <c r="AI1046598" s="141"/>
      <c r="AP1046598" s="141"/>
      <c r="AQ1046598" s="141"/>
      <c r="AR1046598" s="141"/>
      <c r="AV1046598" s="141"/>
      <c r="AW1046598" s="141"/>
      <c r="AX1046598" s="141"/>
      <c r="BP1046598" s="142"/>
      <c r="BU1046598" s="143"/>
    </row>
    <row r="1046599" customFormat="1" ht="14.25" spans="33:73">
      <c r="AG1046599" s="141"/>
      <c r="AH1046599" s="141"/>
      <c r="AI1046599" s="141"/>
      <c r="AP1046599" s="141"/>
      <c r="AQ1046599" s="141"/>
      <c r="AR1046599" s="141"/>
      <c r="AV1046599" s="141"/>
      <c r="AW1046599" s="141"/>
      <c r="AX1046599" s="141"/>
      <c r="BP1046599" s="142"/>
      <c r="BU1046599" s="143"/>
    </row>
    <row r="1046600" customFormat="1" ht="14.25" spans="33:73">
      <c r="AG1046600" s="141"/>
      <c r="AH1046600" s="141"/>
      <c r="AI1046600" s="141"/>
      <c r="AP1046600" s="141"/>
      <c r="AQ1046600" s="141"/>
      <c r="AR1046600" s="141"/>
      <c r="AV1046600" s="141"/>
      <c r="AW1046600" s="141"/>
      <c r="AX1046600" s="141"/>
      <c r="BP1046600" s="142"/>
      <c r="BU1046600" s="143"/>
    </row>
    <row r="1046601" customFormat="1" ht="14.25" spans="33:73">
      <c r="AG1046601" s="141"/>
      <c r="AH1046601" s="141"/>
      <c r="AI1046601" s="141"/>
      <c r="AP1046601" s="141"/>
      <c r="AQ1046601" s="141"/>
      <c r="AR1046601" s="141"/>
      <c r="AV1046601" s="141"/>
      <c r="AW1046601" s="141"/>
      <c r="AX1046601" s="141"/>
      <c r="BP1046601" s="142"/>
      <c r="BU1046601" s="143"/>
    </row>
    <row r="1046602" customFormat="1" ht="14.25" spans="33:73">
      <c r="AG1046602" s="141"/>
      <c r="AH1046602" s="141"/>
      <c r="AI1046602" s="141"/>
      <c r="AP1046602" s="141"/>
      <c r="AQ1046602" s="141"/>
      <c r="AR1046602" s="141"/>
      <c r="AV1046602" s="141"/>
      <c r="AW1046602" s="141"/>
      <c r="AX1046602" s="141"/>
      <c r="BP1046602" s="142"/>
      <c r="BU1046602" s="143"/>
    </row>
    <row r="1046603" customFormat="1" ht="14.25" spans="33:73">
      <c r="AG1046603" s="141"/>
      <c r="AH1046603" s="141"/>
      <c r="AI1046603" s="141"/>
      <c r="AP1046603" s="141"/>
      <c r="AQ1046603" s="141"/>
      <c r="AR1046603" s="141"/>
      <c r="AV1046603" s="141"/>
      <c r="AW1046603" s="141"/>
      <c r="AX1046603" s="141"/>
      <c r="BP1046603" s="142"/>
      <c r="BU1046603" s="143"/>
    </row>
    <row r="1046604" customFormat="1" ht="14.25" spans="33:73">
      <c r="AG1046604" s="141"/>
      <c r="AH1046604" s="141"/>
      <c r="AI1046604" s="141"/>
      <c r="AP1046604" s="141"/>
      <c r="AQ1046604" s="141"/>
      <c r="AR1046604" s="141"/>
      <c r="AV1046604" s="141"/>
      <c r="AW1046604" s="141"/>
      <c r="AX1046604" s="141"/>
      <c r="BP1046604" s="142"/>
      <c r="BU1046604" s="143"/>
    </row>
    <row r="1046605" customFormat="1" ht="14.25" spans="33:73">
      <c r="AG1046605" s="141"/>
      <c r="AH1046605" s="141"/>
      <c r="AI1046605" s="141"/>
      <c r="AP1046605" s="141"/>
      <c r="AQ1046605" s="141"/>
      <c r="AR1046605" s="141"/>
      <c r="AV1046605" s="141"/>
      <c r="AW1046605" s="141"/>
      <c r="AX1046605" s="141"/>
      <c r="BP1046605" s="142"/>
      <c r="BU1046605" s="143"/>
    </row>
    <row r="1046606" customFormat="1" ht="14.25" spans="33:73">
      <c r="AG1046606" s="141"/>
      <c r="AH1046606" s="141"/>
      <c r="AI1046606" s="141"/>
      <c r="AP1046606" s="141"/>
      <c r="AQ1046606" s="141"/>
      <c r="AR1046606" s="141"/>
      <c r="AV1046606" s="141"/>
      <c r="AW1046606" s="141"/>
      <c r="AX1046606" s="141"/>
      <c r="BP1046606" s="142"/>
      <c r="BU1046606" s="143"/>
    </row>
    <row r="1046607" customFormat="1" ht="14.25" spans="33:73">
      <c r="AG1046607" s="141"/>
      <c r="AH1046607" s="141"/>
      <c r="AI1046607" s="141"/>
      <c r="AP1046607" s="141"/>
      <c r="AQ1046607" s="141"/>
      <c r="AR1046607" s="141"/>
      <c r="AV1046607" s="141"/>
      <c r="AW1046607" s="141"/>
      <c r="AX1046607" s="141"/>
      <c r="BP1046607" s="142"/>
      <c r="BU1046607" s="143"/>
    </row>
    <row r="1046608" customFormat="1" ht="14.25" spans="33:73">
      <c r="AG1046608" s="141"/>
      <c r="AH1046608" s="141"/>
      <c r="AI1046608" s="141"/>
      <c r="AP1046608" s="141"/>
      <c r="AQ1046608" s="141"/>
      <c r="AR1046608" s="141"/>
      <c r="AV1046608" s="141"/>
      <c r="AW1046608" s="141"/>
      <c r="AX1046608" s="141"/>
      <c r="BP1046608" s="142"/>
      <c r="BU1046608" s="143"/>
    </row>
    <row r="1046609" customFormat="1" ht="14.25" spans="33:73">
      <c r="AG1046609" s="141"/>
      <c r="AH1046609" s="141"/>
      <c r="AI1046609" s="141"/>
      <c r="AP1046609" s="141"/>
      <c r="AQ1046609" s="141"/>
      <c r="AR1046609" s="141"/>
      <c r="AV1046609" s="141"/>
      <c r="AW1046609" s="141"/>
      <c r="AX1046609" s="141"/>
      <c r="BP1046609" s="142"/>
      <c r="BU1046609" s="143"/>
    </row>
    <row r="1046610" customFormat="1" ht="14.25" spans="33:73">
      <c r="AG1046610" s="141"/>
      <c r="AH1046610" s="141"/>
      <c r="AI1046610" s="141"/>
      <c r="AP1046610" s="141"/>
      <c r="AQ1046610" s="141"/>
      <c r="AR1046610" s="141"/>
      <c r="AV1046610" s="141"/>
      <c r="AW1046610" s="141"/>
      <c r="AX1046610" s="141"/>
      <c r="BP1046610" s="142"/>
      <c r="BU1046610" s="143"/>
    </row>
    <row r="1046611" customFormat="1" ht="14.25" spans="33:73">
      <c r="AG1046611" s="141"/>
      <c r="AH1046611" s="141"/>
      <c r="AI1046611" s="141"/>
      <c r="AP1046611" s="141"/>
      <c r="AQ1046611" s="141"/>
      <c r="AR1046611" s="141"/>
      <c r="AV1046611" s="141"/>
      <c r="AW1046611" s="141"/>
      <c r="AX1046611" s="141"/>
      <c r="BP1046611" s="142"/>
      <c r="BU1046611" s="143"/>
    </row>
    <row r="1046612" customFormat="1" ht="14.25" spans="33:73">
      <c r="AG1046612" s="141"/>
      <c r="AH1046612" s="141"/>
      <c r="AI1046612" s="141"/>
      <c r="AP1046612" s="141"/>
      <c r="AQ1046612" s="141"/>
      <c r="AR1046612" s="141"/>
      <c r="AV1046612" s="141"/>
      <c r="AW1046612" s="141"/>
      <c r="AX1046612" s="141"/>
      <c r="BP1046612" s="142"/>
      <c r="BU1046612" s="143"/>
    </row>
    <row r="1046613" customFormat="1" ht="14.25" spans="33:73">
      <c r="AG1046613" s="141"/>
      <c r="AH1046613" s="141"/>
      <c r="AI1046613" s="141"/>
      <c r="AP1046613" s="141"/>
      <c r="AQ1046613" s="141"/>
      <c r="AR1046613" s="141"/>
      <c r="AV1046613" s="141"/>
      <c r="AW1046613" s="141"/>
      <c r="AX1046613" s="141"/>
      <c r="BP1046613" s="142"/>
      <c r="BU1046613" s="143"/>
    </row>
    <row r="1046614" customFormat="1" ht="14.25" spans="33:73">
      <c r="AG1046614" s="141"/>
      <c r="AH1046614" s="141"/>
      <c r="AI1046614" s="141"/>
      <c r="AP1046614" s="141"/>
      <c r="AQ1046614" s="141"/>
      <c r="AR1046614" s="141"/>
      <c r="AV1046614" s="141"/>
      <c r="AW1046614" s="141"/>
      <c r="AX1046614" s="141"/>
      <c r="BP1046614" s="142"/>
      <c r="BU1046614" s="143"/>
    </row>
    <row r="1046615" customFormat="1" ht="14.25" spans="33:73">
      <c r="AG1046615" s="141"/>
      <c r="AH1046615" s="141"/>
      <c r="AI1046615" s="141"/>
      <c r="AP1046615" s="141"/>
      <c r="AQ1046615" s="141"/>
      <c r="AR1046615" s="141"/>
      <c r="AV1046615" s="141"/>
      <c r="AW1046615" s="141"/>
      <c r="AX1046615" s="141"/>
      <c r="BP1046615" s="142"/>
      <c r="BU1046615" s="143"/>
    </row>
    <row r="1046616" customFormat="1" ht="14.25" spans="33:73">
      <c r="AG1046616" s="141"/>
      <c r="AH1046616" s="141"/>
      <c r="AI1046616" s="141"/>
      <c r="AP1046616" s="141"/>
      <c r="AQ1046616" s="141"/>
      <c r="AR1046616" s="141"/>
      <c r="AV1046616" s="141"/>
      <c r="AW1046616" s="141"/>
      <c r="AX1046616" s="141"/>
      <c r="BP1046616" s="142"/>
      <c r="BU1046616" s="143"/>
    </row>
    <row r="1046617" customFormat="1" ht="14.25" spans="33:73">
      <c r="AG1046617" s="141"/>
      <c r="AH1046617" s="141"/>
      <c r="AI1046617" s="141"/>
      <c r="AP1046617" s="141"/>
      <c r="AQ1046617" s="141"/>
      <c r="AR1046617" s="141"/>
      <c r="AV1046617" s="141"/>
      <c r="AW1046617" s="141"/>
      <c r="AX1046617" s="141"/>
      <c r="BP1046617" s="142"/>
      <c r="BU1046617" s="143"/>
    </row>
    <row r="1046618" customFormat="1" ht="14.25" spans="33:73">
      <c r="AG1046618" s="141"/>
      <c r="AH1046618" s="141"/>
      <c r="AI1046618" s="141"/>
      <c r="AP1046618" s="141"/>
      <c r="AQ1046618" s="141"/>
      <c r="AR1046618" s="141"/>
      <c r="AV1046618" s="141"/>
      <c r="AW1046618" s="141"/>
      <c r="AX1046618" s="141"/>
      <c r="BP1046618" s="142"/>
      <c r="BU1046618" s="143"/>
    </row>
    <row r="1046619" customFormat="1" ht="14.25" spans="33:73">
      <c r="AG1046619" s="141"/>
      <c r="AH1046619" s="141"/>
      <c r="AI1046619" s="141"/>
      <c r="AP1046619" s="141"/>
      <c r="AQ1046619" s="141"/>
      <c r="AR1046619" s="141"/>
      <c r="AV1046619" s="141"/>
      <c r="AW1046619" s="141"/>
      <c r="AX1046619" s="141"/>
      <c r="BP1046619" s="142"/>
      <c r="BU1046619" s="143"/>
    </row>
    <row r="1046620" customFormat="1" ht="14.25" spans="33:73">
      <c r="AG1046620" s="141"/>
      <c r="AH1046620" s="141"/>
      <c r="AI1046620" s="141"/>
      <c r="AP1046620" s="141"/>
      <c r="AQ1046620" s="141"/>
      <c r="AR1046620" s="141"/>
      <c r="AV1046620" s="141"/>
      <c r="AW1046620" s="141"/>
      <c r="AX1046620" s="141"/>
      <c r="BP1046620" s="142"/>
      <c r="BU1046620" s="143"/>
    </row>
    <row r="1046621" customFormat="1" ht="14.25" spans="33:73">
      <c r="AG1046621" s="141"/>
      <c r="AH1046621" s="141"/>
      <c r="AI1046621" s="141"/>
      <c r="AP1046621" s="141"/>
      <c r="AQ1046621" s="141"/>
      <c r="AR1046621" s="141"/>
      <c r="AV1046621" s="141"/>
      <c r="AW1046621" s="141"/>
      <c r="AX1046621" s="141"/>
      <c r="BP1046621" s="142"/>
      <c r="BU1046621" s="143"/>
    </row>
    <row r="1046622" customFormat="1" ht="14.25" spans="33:73">
      <c r="AG1046622" s="141"/>
      <c r="AH1046622" s="141"/>
      <c r="AI1046622" s="141"/>
      <c r="AP1046622" s="141"/>
      <c r="AQ1046622" s="141"/>
      <c r="AR1046622" s="141"/>
      <c r="AV1046622" s="141"/>
      <c r="AW1046622" s="141"/>
      <c r="AX1046622" s="141"/>
      <c r="BP1046622" s="142"/>
      <c r="BU1046622" s="143"/>
    </row>
    <row r="1046623" customFormat="1" ht="14.25" spans="33:73">
      <c r="AG1046623" s="141"/>
      <c r="AH1046623" s="141"/>
      <c r="AI1046623" s="141"/>
      <c r="AP1046623" s="141"/>
      <c r="AQ1046623" s="141"/>
      <c r="AR1046623" s="141"/>
      <c r="AV1046623" s="141"/>
      <c r="AW1046623" s="141"/>
      <c r="AX1046623" s="141"/>
      <c r="BP1046623" s="142"/>
      <c r="BU1046623" s="143"/>
    </row>
    <row r="1046624" customFormat="1" ht="14.25" spans="33:73">
      <c r="AG1046624" s="141"/>
      <c r="AH1046624" s="141"/>
      <c r="AI1046624" s="141"/>
      <c r="AP1046624" s="141"/>
      <c r="AQ1046624" s="141"/>
      <c r="AR1046624" s="141"/>
      <c r="AV1046624" s="141"/>
      <c r="AW1046624" s="141"/>
      <c r="AX1046624" s="141"/>
      <c r="BP1046624" s="142"/>
      <c r="BU1046624" s="143"/>
    </row>
    <row r="1046625" customFormat="1" ht="14.25" spans="33:73">
      <c r="AG1046625" s="141"/>
      <c r="AH1046625" s="141"/>
      <c r="AI1046625" s="141"/>
      <c r="AP1046625" s="141"/>
      <c r="AQ1046625" s="141"/>
      <c r="AR1046625" s="141"/>
      <c r="AV1046625" s="141"/>
      <c r="AW1046625" s="141"/>
      <c r="AX1046625" s="141"/>
      <c r="BP1046625" s="142"/>
      <c r="BU1046625" s="143"/>
    </row>
    <row r="1046626" customFormat="1" ht="14.25" spans="33:73">
      <c r="AG1046626" s="141"/>
      <c r="AH1046626" s="141"/>
      <c r="AI1046626" s="141"/>
      <c r="AP1046626" s="141"/>
      <c r="AQ1046626" s="141"/>
      <c r="AR1046626" s="141"/>
      <c r="AV1046626" s="141"/>
      <c r="AW1046626" s="141"/>
      <c r="AX1046626" s="141"/>
      <c r="BP1046626" s="142"/>
      <c r="BU1046626" s="143"/>
    </row>
    <row r="1046627" customFormat="1" ht="14.25" spans="33:73">
      <c r="AG1046627" s="141"/>
      <c r="AH1046627" s="141"/>
      <c r="AI1046627" s="141"/>
      <c r="AP1046627" s="141"/>
      <c r="AQ1046627" s="141"/>
      <c r="AR1046627" s="141"/>
      <c r="AV1046627" s="141"/>
      <c r="AW1046627" s="141"/>
      <c r="AX1046627" s="141"/>
      <c r="BP1046627" s="142"/>
      <c r="BU1046627" s="143"/>
    </row>
    <row r="1046628" customFormat="1" ht="14.25" spans="33:73">
      <c r="AG1046628" s="141"/>
      <c r="AH1046628" s="141"/>
      <c r="AI1046628" s="141"/>
      <c r="AP1046628" s="141"/>
      <c r="AQ1046628" s="141"/>
      <c r="AR1046628" s="141"/>
      <c r="AV1046628" s="141"/>
      <c r="AW1046628" s="141"/>
      <c r="AX1046628" s="141"/>
      <c r="BP1046628" s="142"/>
      <c r="BU1046628" s="143"/>
    </row>
    <row r="1046629" customFormat="1" ht="14.25" spans="33:73">
      <c r="AG1046629" s="141"/>
      <c r="AH1046629" s="141"/>
      <c r="AI1046629" s="141"/>
      <c r="AP1046629" s="141"/>
      <c r="AQ1046629" s="141"/>
      <c r="AR1046629" s="141"/>
      <c r="AV1046629" s="141"/>
      <c r="AW1046629" s="141"/>
      <c r="AX1046629" s="141"/>
      <c r="BP1046629" s="142"/>
      <c r="BU1046629" s="143"/>
    </row>
    <row r="1046630" customFormat="1" ht="14.25" spans="33:73">
      <c r="AG1046630" s="141"/>
      <c r="AH1046630" s="141"/>
      <c r="AI1046630" s="141"/>
      <c r="AP1046630" s="141"/>
      <c r="AQ1046630" s="141"/>
      <c r="AR1046630" s="141"/>
      <c r="AV1046630" s="141"/>
      <c r="AW1046630" s="141"/>
      <c r="AX1046630" s="141"/>
      <c r="BP1046630" s="142"/>
      <c r="BU1046630" s="143"/>
    </row>
    <row r="1046631" customFormat="1" ht="14.25" spans="33:73">
      <c r="AG1046631" s="141"/>
      <c r="AH1046631" s="141"/>
      <c r="AI1046631" s="141"/>
      <c r="AP1046631" s="141"/>
      <c r="AQ1046631" s="141"/>
      <c r="AR1046631" s="141"/>
      <c r="AV1046631" s="141"/>
      <c r="AW1046631" s="141"/>
      <c r="AX1046631" s="141"/>
      <c r="BP1046631" s="142"/>
      <c r="BU1046631" s="143"/>
    </row>
    <row r="1046632" customFormat="1" ht="14.25" spans="33:73">
      <c r="AG1046632" s="141"/>
      <c r="AH1046632" s="141"/>
      <c r="AI1046632" s="141"/>
      <c r="AP1046632" s="141"/>
      <c r="AQ1046632" s="141"/>
      <c r="AR1046632" s="141"/>
      <c r="AV1046632" s="141"/>
      <c r="AW1046632" s="141"/>
      <c r="AX1046632" s="141"/>
      <c r="BP1046632" s="142"/>
      <c r="BU1046632" s="143"/>
    </row>
    <row r="1046633" customFormat="1" ht="14.25" spans="33:73">
      <c r="AG1046633" s="141"/>
      <c r="AH1046633" s="141"/>
      <c r="AI1046633" s="141"/>
      <c r="AP1046633" s="141"/>
      <c r="AQ1046633" s="141"/>
      <c r="AR1046633" s="141"/>
      <c r="AV1046633" s="141"/>
      <c r="AW1046633" s="141"/>
      <c r="AX1046633" s="141"/>
      <c r="BP1046633" s="142"/>
      <c r="BU1046633" s="143"/>
    </row>
    <row r="1046634" customFormat="1" ht="14.25" spans="33:73">
      <c r="AG1046634" s="141"/>
      <c r="AH1046634" s="141"/>
      <c r="AI1046634" s="141"/>
      <c r="AP1046634" s="141"/>
      <c r="AQ1046634" s="141"/>
      <c r="AR1046634" s="141"/>
      <c r="AV1046634" s="141"/>
      <c r="AW1046634" s="141"/>
      <c r="AX1046634" s="141"/>
      <c r="BP1046634" s="142"/>
      <c r="BU1046634" s="143"/>
    </row>
    <row r="1046635" customFormat="1" ht="14.25" spans="33:73">
      <c r="AG1046635" s="141"/>
      <c r="AH1046635" s="141"/>
      <c r="AI1046635" s="141"/>
      <c r="AP1046635" s="141"/>
      <c r="AQ1046635" s="141"/>
      <c r="AR1046635" s="141"/>
      <c r="AV1046635" s="141"/>
      <c r="AW1046635" s="141"/>
      <c r="AX1046635" s="141"/>
      <c r="BP1046635" s="142"/>
      <c r="BU1046635" s="143"/>
    </row>
    <row r="1046636" customFormat="1" ht="14.25" spans="33:73">
      <c r="AG1046636" s="141"/>
      <c r="AH1046636" s="141"/>
      <c r="AI1046636" s="141"/>
      <c r="AP1046636" s="141"/>
      <c r="AQ1046636" s="141"/>
      <c r="AR1046636" s="141"/>
      <c r="AV1046636" s="141"/>
      <c r="AW1046636" s="141"/>
      <c r="AX1046636" s="141"/>
      <c r="BP1046636" s="142"/>
      <c r="BU1046636" s="143"/>
    </row>
    <row r="1046637" customFormat="1" ht="14.25" spans="33:73">
      <c r="AG1046637" s="141"/>
      <c r="AH1046637" s="141"/>
      <c r="AI1046637" s="141"/>
      <c r="AP1046637" s="141"/>
      <c r="AQ1046637" s="141"/>
      <c r="AR1046637" s="141"/>
      <c r="AV1046637" s="141"/>
      <c r="AW1046637" s="141"/>
      <c r="AX1046637" s="141"/>
      <c r="BP1046637" s="142"/>
      <c r="BU1046637" s="143"/>
    </row>
    <row r="1046638" customFormat="1" ht="14.25" spans="33:73">
      <c r="AG1046638" s="141"/>
      <c r="AH1046638" s="141"/>
      <c r="AI1046638" s="141"/>
      <c r="AP1046638" s="141"/>
      <c r="AQ1046638" s="141"/>
      <c r="AR1046638" s="141"/>
      <c r="AV1046638" s="141"/>
      <c r="AW1046638" s="141"/>
      <c r="AX1046638" s="141"/>
      <c r="BP1046638" s="142"/>
      <c r="BU1046638" s="143"/>
    </row>
    <row r="1046639" customFormat="1" ht="14.25" spans="33:73">
      <c r="AG1046639" s="141"/>
      <c r="AH1046639" s="141"/>
      <c r="AI1046639" s="141"/>
      <c r="AP1046639" s="141"/>
      <c r="AQ1046639" s="141"/>
      <c r="AR1046639" s="141"/>
      <c r="AV1046639" s="141"/>
      <c r="AW1046639" s="141"/>
      <c r="AX1046639" s="141"/>
      <c r="BP1046639" s="142"/>
      <c r="BU1046639" s="143"/>
    </row>
    <row r="1046640" customFormat="1" ht="14.25" spans="33:73">
      <c r="AG1046640" s="141"/>
      <c r="AH1046640" s="141"/>
      <c r="AI1046640" s="141"/>
      <c r="AP1046640" s="141"/>
      <c r="AQ1046640" s="141"/>
      <c r="AR1046640" s="141"/>
      <c r="AV1046640" s="141"/>
      <c r="AW1046640" s="141"/>
      <c r="AX1046640" s="141"/>
      <c r="BP1046640" s="142"/>
      <c r="BU1046640" s="143"/>
    </row>
    <row r="1046641" customFormat="1" ht="14.25" spans="33:73">
      <c r="AG1046641" s="141"/>
      <c r="AH1046641" s="141"/>
      <c r="AI1046641" s="141"/>
      <c r="AP1046641" s="141"/>
      <c r="AQ1046641" s="141"/>
      <c r="AR1046641" s="141"/>
      <c r="AV1046641" s="141"/>
      <c r="AW1046641" s="141"/>
      <c r="AX1046641" s="141"/>
      <c r="BP1046641" s="142"/>
      <c r="BU1046641" s="143"/>
    </row>
    <row r="1046642" customFormat="1" ht="14.25" spans="33:73">
      <c r="AG1046642" s="141"/>
      <c r="AH1046642" s="141"/>
      <c r="AI1046642" s="141"/>
      <c r="AP1046642" s="141"/>
      <c r="AQ1046642" s="141"/>
      <c r="AR1046642" s="141"/>
      <c r="AV1046642" s="141"/>
      <c r="AW1046642" s="141"/>
      <c r="AX1046642" s="141"/>
      <c r="BP1046642" s="142"/>
      <c r="BU1046642" s="143"/>
    </row>
    <row r="1046643" customFormat="1" ht="14.25" spans="33:73">
      <c r="AG1046643" s="141"/>
      <c r="AH1046643" s="141"/>
      <c r="AI1046643" s="141"/>
      <c r="AP1046643" s="141"/>
      <c r="AQ1046643" s="141"/>
      <c r="AR1046643" s="141"/>
      <c r="AV1046643" s="141"/>
      <c r="AW1046643" s="141"/>
      <c r="AX1046643" s="141"/>
      <c r="BP1046643" s="142"/>
      <c r="BU1046643" s="143"/>
    </row>
    <row r="1046644" customFormat="1" ht="14.25" spans="33:73">
      <c r="AG1046644" s="141"/>
      <c r="AH1046644" s="141"/>
      <c r="AI1046644" s="141"/>
      <c r="AP1046644" s="141"/>
      <c r="AQ1046644" s="141"/>
      <c r="AR1046644" s="141"/>
      <c r="AV1046644" s="141"/>
      <c r="AW1046644" s="141"/>
      <c r="AX1046644" s="141"/>
      <c r="BP1046644" s="142"/>
      <c r="BU1046644" s="143"/>
    </row>
    <row r="1046645" customFormat="1" ht="14.25" spans="33:73">
      <c r="AG1046645" s="141"/>
      <c r="AH1046645" s="141"/>
      <c r="AI1046645" s="141"/>
      <c r="AP1046645" s="141"/>
      <c r="AQ1046645" s="141"/>
      <c r="AR1046645" s="141"/>
      <c r="AV1046645" s="141"/>
      <c r="AW1046645" s="141"/>
      <c r="AX1046645" s="141"/>
      <c r="BP1046645" s="142"/>
      <c r="BU1046645" s="143"/>
    </row>
    <row r="1046646" customFormat="1" ht="14.25" spans="33:73">
      <c r="AG1046646" s="141"/>
      <c r="AH1046646" s="141"/>
      <c r="AI1046646" s="141"/>
      <c r="AP1046646" s="141"/>
      <c r="AQ1046646" s="141"/>
      <c r="AR1046646" s="141"/>
      <c r="AV1046646" s="141"/>
      <c r="AW1046646" s="141"/>
      <c r="AX1046646" s="141"/>
      <c r="BP1046646" s="142"/>
      <c r="BU1046646" s="143"/>
    </row>
    <row r="1046647" customFormat="1" ht="14.25" spans="33:73">
      <c r="AG1046647" s="141"/>
      <c r="AH1046647" s="141"/>
      <c r="AI1046647" s="141"/>
      <c r="AP1046647" s="141"/>
      <c r="AQ1046647" s="141"/>
      <c r="AR1046647" s="141"/>
      <c r="AV1046647" s="141"/>
      <c r="AW1046647" s="141"/>
      <c r="AX1046647" s="141"/>
      <c r="BP1046647" s="142"/>
      <c r="BU1046647" s="143"/>
    </row>
    <row r="1046648" customFormat="1" ht="14.25" spans="33:73">
      <c r="AG1046648" s="141"/>
      <c r="AH1046648" s="141"/>
      <c r="AI1046648" s="141"/>
      <c r="AP1046648" s="141"/>
      <c r="AQ1046648" s="141"/>
      <c r="AR1046648" s="141"/>
      <c r="AV1046648" s="141"/>
      <c r="AW1046648" s="141"/>
      <c r="AX1046648" s="141"/>
      <c r="BP1046648" s="142"/>
      <c r="BU1046648" s="143"/>
    </row>
    <row r="1046649" customFormat="1" ht="14.25" spans="33:73">
      <c r="AG1046649" s="141"/>
      <c r="AH1046649" s="141"/>
      <c r="AI1046649" s="141"/>
      <c r="AP1046649" s="141"/>
      <c r="AQ1046649" s="141"/>
      <c r="AR1046649" s="141"/>
      <c r="AV1046649" s="141"/>
      <c r="AW1046649" s="141"/>
      <c r="AX1046649" s="141"/>
      <c r="BP1046649" s="142"/>
      <c r="BU1046649" s="143"/>
    </row>
    <row r="1046650" customFormat="1" ht="14.25" spans="33:73">
      <c r="AG1046650" s="141"/>
      <c r="AH1046650" s="141"/>
      <c r="AI1046650" s="141"/>
      <c r="AP1046650" s="141"/>
      <c r="AQ1046650" s="141"/>
      <c r="AR1046650" s="141"/>
      <c r="AV1046650" s="141"/>
      <c r="AW1046650" s="141"/>
      <c r="AX1046650" s="141"/>
      <c r="BP1046650" s="142"/>
      <c r="BU1046650" s="143"/>
    </row>
    <row r="1046651" customFormat="1" ht="14.25" spans="33:73">
      <c r="AG1046651" s="141"/>
      <c r="AH1046651" s="141"/>
      <c r="AI1046651" s="141"/>
      <c r="AP1046651" s="141"/>
      <c r="AQ1046651" s="141"/>
      <c r="AR1046651" s="141"/>
      <c r="AV1046651" s="141"/>
      <c r="AW1046651" s="141"/>
      <c r="AX1046651" s="141"/>
      <c r="BP1046651" s="142"/>
      <c r="BU1046651" s="143"/>
    </row>
    <row r="1046652" customFormat="1" ht="14.25" spans="33:73">
      <c r="AG1046652" s="141"/>
      <c r="AH1046652" s="141"/>
      <c r="AI1046652" s="141"/>
      <c r="AP1046652" s="141"/>
      <c r="AQ1046652" s="141"/>
      <c r="AR1046652" s="141"/>
      <c r="AV1046652" s="141"/>
      <c r="AW1046652" s="141"/>
      <c r="AX1046652" s="141"/>
      <c r="BP1046652" s="142"/>
      <c r="BU1046652" s="143"/>
    </row>
    <row r="1046653" customFormat="1" ht="14.25" spans="33:73">
      <c r="AG1046653" s="141"/>
      <c r="AH1046653" s="141"/>
      <c r="AI1046653" s="141"/>
      <c r="AP1046653" s="141"/>
      <c r="AQ1046653" s="141"/>
      <c r="AR1046653" s="141"/>
      <c r="AV1046653" s="141"/>
      <c r="AW1046653" s="141"/>
      <c r="AX1046653" s="141"/>
      <c r="BP1046653" s="142"/>
      <c r="BU1046653" s="143"/>
    </row>
    <row r="1046654" customFormat="1" ht="14.25" spans="33:73">
      <c r="AG1046654" s="141"/>
      <c r="AH1046654" s="141"/>
      <c r="AI1046654" s="141"/>
      <c r="AP1046654" s="141"/>
      <c r="AQ1046654" s="141"/>
      <c r="AR1046654" s="141"/>
      <c r="AV1046654" s="141"/>
      <c r="AW1046654" s="141"/>
      <c r="AX1046654" s="141"/>
      <c r="BP1046654" s="142"/>
      <c r="BU1046654" s="143"/>
    </row>
    <row r="1046655" customFormat="1" ht="14.25" spans="33:73">
      <c r="AG1046655" s="141"/>
      <c r="AH1046655" s="141"/>
      <c r="AI1046655" s="141"/>
      <c r="AP1046655" s="141"/>
      <c r="AQ1046655" s="141"/>
      <c r="AR1046655" s="141"/>
      <c r="AV1046655" s="141"/>
      <c r="AW1046655" s="141"/>
      <c r="AX1046655" s="141"/>
      <c r="BP1046655" s="142"/>
      <c r="BU1046655" s="143"/>
    </row>
    <row r="1046656" customFormat="1" ht="14.25" spans="33:73">
      <c r="AG1046656" s="141"/>
      <c r="AH1046656" s="141"/>
      <c r="AI1046656" s="141"/>
      <c r="AP1046656" s="141"/>
      <c r="AQ1046656" s="141"/>
      <c r="AR1046656" s="141"/>
      <c r="AV1046656" s="141"/>
      <c r="AW1046656" s="141"/>
      <c r="AX1046656" s="141"/>
      <c r="BP1046656" s="142"/>
      <c r="BU1046656" s="143"/>
    </row>
    <row r="1046657" customFormat="1" ht="14.25" spans="33:73">
      <c r="AG1046657" s="141"/>
      <c r="AH1046657" s="141"/>
      <c r="AI1046657" s="141"/>
      <c r="AP1046657" s="141"/>
      <c r="AQ1046657" s="141"/>
      <c r="AR1046657" s="141"/>
      <c r="AV1046657" s="141"/>
      <c r="AW1046657" s="141"/>
      <c r="AX1046657" s="141"/>
      <c r="BP1046657" s="142"/>
      <c r="BU1046657" s="143"/>
    </row>
    <row r="1046658" customFormat="1" ht="14.25" spans="33:73">
      <c r="AG1046658" s="141"/>
      <c r="AH1046658" s="141"/>
      <c r="AI1046658" s="141"/>
      <c r="AP1046658" s="141"/>
      <c r="AQ1046658" s="141"/>
      <c r="AR1046658" s="141"/>
      <c r="AV1046658" s="141"/>
      <c r="AW1046658" s="141"/>
      <c r="AX1046658" s="141"/>
      <c r="BP1046658" s="142"/>
      <c r="BU1046658" s="143"/>
    </row>
    <row r="1046659" customFormat="1" ht="14.25" spans="33:73">
      <c r="AG1046659" s="141"/>
      <c r="AH1046659" s="141"/>
      <c r="AI1046659" s="141"/>
      <c r="AP1046659" s="141"/>
      <c r="AQ1046659" s="141"/>
      <c r="AR1046659" s="141"/>
      <c r="AV1046659" s="141"/>
      <c r="AW1046659" s="141"/>
      <c r="AX1046659" s="141"/>
      <c r="BP1046659" s="142"/>
      <c r="BU1046659" s="143"/>
    </row>
    <row r="1046660" customFormat="1" ht="14.25" spans="33:73">
      <c r="AG1046660" s="141"/>
      <c r="AH1046660" s="141"/>
      <c r="AI1046660" s="141"/>
      <c r="AP1046660" s="141"/>
      <c r="AQ1046660" s="141"/>
      <c r="AR1046660" s="141"/>
      <c r="AV1046660" s="141"/>
      <c r="AW1046660" s="141"/>
      <c r="AX1046660" s="141"/>
      <c r="BP1046660" s="142"/>
      <c r="BU1046660" s="143"/>
    </row>
    <row r="1046661" customFormat="1" ht="14.25" spans="33:73">
      <c r="AG1046661" s="141"/>
      <c r="AH1046661" s="141"/>
      <c r="AI1046661" s="141"/>
      <c r="AP1046661" s="141"/>
      <c r="AQ1046661" s="141"/>
      <c r="AR1046661" s="141"/>
      <c r="AV1046661" s="141"/>
      <c r="AW1046661" s="141"/>
      <c r="AX1046661" s="141"/>
      <c r="BP1046661" s="142"/>
      <c r="BU1046661" s="143"/>
    </row>
    <row r="1046662" customFormat="1" ht="14.25" spans="33:73">
      <c r="AG1046662" s="141"/>
      <c r="AH1046662" s="141"/>
      <c r="AI1046662" s="141"/>
      <c r="AP1046662" s="141"/>
      <c r="AQ1046662" s="141"/>
      <c r="AR1046662" s="141"/>
      <c r="AV1046662" s="141"/>
      <c r="AW1046662" s="141"/>
      <c r="AX1046662" s="141"/>
      <c r="BP1046662" s="142"/>
      <c r="BU1046662" s="143"/>
    </row>
    <row r="1046663" customFormat="1" ht="14.25" spans="33:73">
      <c r="AG1046663" s="141"/>
      <c r="AH1046663" s="141"/>
      <c r="AI1046663" s="141"/>
      <c r="AP1046663" s="141"/>
      <c r="AQ1046663" s="141"/>
      <c r="AR1046663" s="141"/>
      <c r="AV1046663" s="141"/>
      <c r="AW1046663" s="141"/>
      <c r="AX1046663" s="141"/>
      <c r="BP1046663" s="142"/>
      <c r="BU1046663" s="143"/>
    </row>
    <row r="1046664" customFormat="1" ht="14.25" spans="33:73">
      <c r="AG1046664" s="141"/>
      <c r="AH1046664" s="141"/>
      <c r="AI1046664" s="141"/>
      <c r="AP1046664" s="141"/>
      <c r="AQ1046664" s="141"/>
      <c r="AR1046664" s="141"/>
      <c r="AV1046664" s="141"/>
      <c r="AW1046664" s="141"/>
      <c r="AX1046664" s="141"/>
      <c r="BP1046664" s="142"/>
      <c r="BU1046664" s="143"/>
    </row>
    <row r="1046665" customFormat="1" ht="14.25" spans="33:73">
      <c r="AG1046665" s="141"/>
      <c r="AH1046665" s="141"/>
      <c r="AI1046665" s="141"/>
      <c r="AP1046665" s="141"/>
      <c r="AQ1046665" s="141"/>
      <c r="AR1046665" s="141"/>
      <c r="AV1046665" s="141"/>
      <c r="AW1046665" s="141"/>
      <c r="AX1046665" s="141"/>
      <c r="BP1046665" s="142"/>
      <c r="BU1046665" s="143"/>
    </row>
    <row r="1046666" customFormat="1" ht="14.25" spans="33:73">
      <c r="AG1046666" s="141"/>
      <c r="AH1046666" s="141"/>
      <c r="AI1046666" s="141"/>
      <c r="AP1046666" s="141"/>
      <c r="AQ1046666" s="141"/>
      <c r="AR1046666" s="141"/>
      <c r="AV1046666" s="141"/>
      <c r="AW1046666" s="141"/>
      <c r="AX1046666" s="141"/>
      <c r="BP1046666" s="142"/>
      <c r="BU1046666" s="143"/>
    </row>
    <row r="1046667" customFormat="1" ht="14.25" spans="33:73">
      <c r="AG1046667" s="141"/>
      <c r="AH1046667" s="141"/>
      <c r="AI1046667" s="141"/>
      <c r="AP1046667" s="141"/>
      <c r="AQ1046667" s="141"/>
      <c r="AR1046667" s="141"/>
      <c r="AV1046667" s="141"/>
      <c r="AW1046667" s="141"/>
      <c r="AX1046667" s="141"/>
      <c r="BP1046667" s="142"/>
      <c r="BU1046667" s="143"/>
    </row>
    <row r="1046668" customFormat="1" ht="14.25" spans="33:73">
      <c r="AG1046668" s="141"/>
      <c r="AH1046668" s="141"/>
      <c r="AI1046668" s="141"/>
      <c r="AP1046668" s="141"/>
      <c r="AQ1046668" s="141"/>
      <c r="AR1046668" s="141"/>
      <c r="AV1046668" s="141"/>
      <c r="AW1046668" s="141"/>
      <c r="AX1046668" s="141"/>
      <c r="BP1046668" s="142"/>
      <c r="BU1046668" s="143"/>
    </row>
    <row r="1046669" customFormat="1" ht="14.25" spans="33:73">
      <c r="AG1046669" s="141"/>
      <c r="AH1046669" s="141"/>
      <c r="AI1046669" s="141"/>
      <c r="AP1046669" s="141"/>
      <c r="AQ1046669" s="141"/>
      <c r="AR1046669" s="141"/>
      <c r="AV1046669" s="141"/>
      <c r="AW1046669" s="141"/>
      <c r="AX1046669" s="141"/>
      <c r="BP1046669" s="142"/>
      <c r="BU1046669" s="143"/>
    </row>
    <row r="1046670" customFormat="1" ht="14.25" spans="33:73">
      <c r="AG1046670" s="141"/>
      <c r="AH1046670" s="141"/>
      <c r="AI1046670" s="141"/>
      <c r="AP1046670" s="141"/>
      <c r="AQ1046670" s="141"/>
      <c r="AR1046670" s="141"/>
      <c r="AV1046670" s="141"/>
      <c r="AW1046670" s="141"/>
      <c r="AX1046670" s="141"/>
      <c r="BP1046670" s="142"/>
      <c r="BU1046670" s="143"/>
    </row>
    <row r="1046671" customFormat="1" ht="14.25" spans="33:73">
      <c r="AG1046671" s="141"/>
      <c r="AH1046671" s="141"/>
      <c r="AI1046671" s="141"/>
      <c r="AP1046671" s="141"/>
      <c r="AQ1046671" s="141"/>
      <c r="AR1046671" s="141"/>
      <c r="AV1046671" s="141"/>
      <c r="AW1046671" s="141"/>
      <c r="AX1046671" s="141"/>
      <c r="BP1046671" s="142"/>
      <c r="BU1046671" s="143"/>
    </row>
    <row r="1046672" customFormat="1" ht="14.25" spans="33:73">
      <c r="AG1046672" s="141"/>
      <c r="AH1046672" s="141"/>
      <c r="AI1046672" s="141"/>
      <c r="AP1046672" s="141"/>
      <c r="AQ1046672" s="141"/>
      <c r="AR1046672" s="141"/>
      <c r="AV1046672" s="141"/>
      <c r="AW1046672" s="141"/>
      <c r="AX1046672" s="141"/>
      <c r="BP1046672" s="142"/>
      <c r="BU1046672" s="143"/>
    </row>
    <row r="1046673" customFormat="1" ht="14.25" spans="33:73">
      <c r="AG1046673" s="141"/>
      <c r="AH1046673" s="141"/>
      <c r="AI1046673" s="141"/>
      <c r="AP1046673" s="141"/>
      <c r="AQ1046673" s="141"/>
      <c r="AR1046673" s="141"/>
      <c r="AV1046673" s="141"/>
      <c r="AW1046673" s="141"/>
      <c r="AX1046673" s="141"/>
      <c r="BP1046673" s="142"/>
      <c r="BU1046673" s="143"/>
    </row>
    <row r="1046674" customFormat="1" ht="14.25" spans="33:73">
      <c r="AG1046674" s="141"/>
      <c r="AH1046674" s="141"/>
      <c r="AI1046674" s="141"/>
      <c r="AP1046674" s="141"/>
      <c r="AQ1046674" s="141"/>
      <c r="AR1046674" s="141"/>
      <c r="AV1046674" s="141"/>
      <c r="AW1046674" s="141"/>
      <c r="AX1046674" s="141"/>
      <c r="BP1046674" s="142"/>
      <c r="BU1046674" s="143"/>
    </row>
    <row r="1046675" customFormat="1" ht="14.25" spans="33:73">
      <c r="AG1046675" s="141"/>
      <c r="AH1046675" s="141"/>
      <c r="AI1046675" s="141"/>
      <c r="AP1046675" s="141"/>
      <c r="AQ1046675" s="141"/>
      <c r="AR1046675" s="141"/>
      <c r="AV1046675" s="141"/>
      <c r="AW1046675" s="141"/>
      <c r="AX1046675" s="141"/>
      <c r="BP1046675" s="142"/>
      <c r="BU1046675" s="143"/>
    </row>
    <row r="1046676" customFormat="1" ht="14.25" spans="33:73">
      <c r="AG1046676" s="141"/>
      <c r="AH1046676" s="141"/>
      <c r="AI1046676" s="141"/>
      <c r="AP1046676" s="141"/>
      <c r="AQ1046676" s="141"/>
      <c r="AR1046676" s="141"/>
      <c r="AV1046676" s="141"/>
      <c r="AW1046676" s="141"/>
      <c r="AX1046676" s="141"/>
      <c r="BP1046676" s="142"/>
      <c r="BU1046676" s="143"/>
    </row>
    <row r="1046677" customFormat="1" ht="14.25" spans="33:73">
      <c r="AG1046677" s="141"/>
      <c r="AH1046677" s="141"/>
      <c r="AI1046677" s="141"/>
      <c r="AP1046677" s="141"/>
      <c r="AQ1046677" s="141"/>
      <c r="AR1046677" s="141"/>
      <c r="AV1046677" s="141"/>
      <c r="AW1046677" s="141"/>
      <c r="AX1046677" s="141"/>
      <c r="BP1046677" s="142"/>
      <c r="BU1046677" s="143"/>
    </row>
    <row r="1046678" customFormat="1" ht="14.25" spans="33:73">
      <c r="AG1046678" s="141"/>
      <c r="AH1046678" s="141"/>
      <c r="AI1046678" s="141"/>
      <c r="AP1046678" s="141"/>
      <c r="AQ1046678" s="141"/>
      <c r="AR1046678" s="141"/>
      <c r="AV1046678" s="141"/>
      <c r="AW1046678" s="141"/>
      <c r="AX1046678" s="141"/>
      <c r="BP1046678" s="142"/>
      <c r="BU1046678" s="143"/>
    </row>
    <row r="1046679" customFormat="1" ht="14.25" spans="33:73">
      <c r="AG1046679" s="141"/>
      <c r="AH1046679" s="141"/>
      <c r="AI1046679" s="141"/>
      <c r="AP1046679" s="141"/>
      <c r="AQ1046679" s="141"/>
      <c r="AR1046679" s="141"/>
      <c r="AV1046679" s="141"/>
      <c r="AW1046679" s="141"/>
      <c r="AX1046679" s="141"/>
      <c r="BP1046679" s="142"/>
      <c r="BU1046679" s="143"/>
    </row>
    <row r="1046680" customFormat="1" ht="14.25" spans="33:73">
      <c r="AG1046680" s="141"/>
      <c r="AH1046680" s="141"/>
      <c r="AI1046680" s="141"/>
      <c r="AP1046680" s="141"/>
      <c r="AQ1046680" s="141"/>
      <c r="AR1046680" s="141"/>
      <c r="AV1046680" s="141"/>
      <c r="AW1046680" s="141"/>
      <c r="AX1046680" s="141"/>
      <c r="BP1046680" s="142"/>
      <c r="BU1046680" s="143"/>
    </row>
    <row r="1046681" customFormat="1" ht="14.25" spans="33:73">
      <c r="AG1046681" s="141"/>
      <c r="AH1046681" s="141"/>
      <c r="AI1046681" s="141"/>
      <c r="AP1046681" s="141"/>
      <c r="AQ1046681" s="141"/>
      <c r="AR1046681" s="141"/>
      <c r="AV1046681" s="141"/>
      <c r="AW1046681" s="141"/>
      <c r="AX1046681" s="141"/>
      <c r="BP1046681" s="142"/>
      <c r="BU1046681" s="143"/>
    </row>
    <row r="1046682" customFormat="1" ht="14.25" spans="33:73">
      <c r="AG1046682" s="141"/>
      <c r="AH1046682" s="141"/>
      <c r="AI1046682" s="141"/>
      <c r="AP1046682" s="141"/>
      <c r="AQ1046682" s="141"/>
      <c r="AR1046682" s="141"/>
      <c r="AV1046682" s="141"/>
      <c r="AW1046682" s="141"/>
      <c r="AX1046682" s="141"/>
      <c r="BP1046682" s="142"/>
      <c r="BU1046682" s="143"/>
    </row>
    <row r="1046683" customFormat="1" ht="14.25" spans="33:73">
      <c r="AG1046683" s="141"/>
      <c r="AH1046683" s="141"/>
      <c r="AI1046683" s="141"/>
      <c r="AP1046683" s="141"/>
      <c r="AQ1046683" s="141"/>
      <c r="AR1046683" s="141"/>
      <c r="AV1046683" s="141"/>
      <c r="AW1046683" s="141"/>
      <c r="AX1046683" s="141"/>
      <c r="BP1046683" s="142"/>
      <c r="BU1046683" s="143"/>
    </row>
    <row r="1046684" customFormat="1" ht="14.25" spans="33:73">
      <c r="AG1046684" s="141"/>
      <c r="AH1046684" s="141"/>
      <c r="AI1046684" s="141"/>
      <c r="AP1046684" s="141"/>
      <c r="AQ1046684" s="141"/>
      <c r="AR1046684" s="141"/>
      <c r="AV1046684" s="141"/>
      <c r="AW1046684" s="141"/>
      <c r="AX1046684" s="141"/>
      <c r="BP1046684" s="142"/>
      <c r="BU1046684" s="143"/>
    </row>
    <row r="1046685" customFormat="1" ht="14.25" spans="33:73">
      <c r="AG1046685" s="141"/>
      <c r="AH1046685" s="141"/>
      <c r="AI1046685" s="141"/>
      <c r="AP1046685" s="141"/>
      <c r="AQ1046685" s="141"/>
      <c r="AR1046685" s="141"/>
      <c r="AV1046685" s="141"/>
      <c r="AW1046685" s="141"/>
      <c r="AX1046685" s="141"/>
      <c r="BP1046685" s="142"/>
      <c r="BU1046685" s="143"/>
    </row>
    <row r="1046686" customFormat="1" ht="14.25" spans="33:73">
      <c r="AG1046686" s="141"/>
      <c r="AH1046686" s="141"/>
      <c r="AI1046686" s="141"/>
      <c r="AP1046686" s="141"/>
      <c r="AQ1046686" s="141"/>
      <c r="AR1046686" s="141"/>
      <c r="AV1046686" s="141"/>
      <c r="AW1046686" s="141"/>
      <c r="AX1046686" s="141"/>
      <c r="BP1046686" s="142"/>
      <c r="BU1046686" s="143"/>
    </row>
    <row r="1046687" customFormat="1" ht="14.25" spans="33:73">
      <c r="AG1046687" s="141"/>
      <c r="AH1046687" s="141"/>
      <c r="AI1046687" s="141"/>
      <c r="AP1046687" s="141"/>
      <c r="AQ1046687" s="141"/>
      <c r="AR1046687" s="141"/>
      <c r="AV1046687" s="141"/>
      <c r="AW1046687" s="141"/>
      <c r="AX1046687" s="141"/>
      <c r="BP1046687" s="142"/>
      <c r="BU1046687" s="143"/>
    </row>
    <row r="1046688" customFormat="1" ht="14.25" spans="33:73">
      <c r="AG1046688" s="141"/>
      <c r="AH1046688" s="141"/>
      <c r="AI1046688" s="141"/>
      <c r="AP1046688" s="141"/>
      <c r="AQ1046688" s="141"/>
      <c r="AR1046688" s="141"/>
      <c r="AV1046688" s="141"/>
      <c r="AW1046688" s="141"/>
      <c r="AX1046688" s="141"/>
      <c r="BP1046688" s="142"/>
      <c r="BU1046688" s="143"/>
    </row>
    <row r="1046689" customFormat="1" ht="14.25" spans="33:73">
      <c r="AG1046689" s="141"/>
      <c r="AH1046689" s="141"/>
      <c r="AI1046689" s="141"/>
      <c r="AP1046689" s="141"/>
      <c r="AQ1046689" s="141"/>
      <c r="AR1046689" s="141"/>
      <c r="AV1046689" s="141"/>
      <c r="AW1046689" s="141"/>
      <c r="AX1046689" s="141"/>
      <c r="BP1046689" s="142"/>
      <c r="BU1046689" s="143"/>
    </row>
    <row r="1046690" customFormat="1" ht="14.25" spans="33:73">
      <c r="AG1046690" s="141"/>
      <c r="AH1046690" s="141"/>
      <c r="AI1046690" s="141"/>
      <c r="AP1046690" s="141"/>
      <c r="AQ1046690" s="141"/>
      <c r="AR1046690" s="141"/>
      <c r="AV1046690" s="141"/>
      <c r="AW1046690" s="141"/>
      <c r="AX1046690" s="141"/>
      <c r="BP1046690" s="142"/>
      <c r="BU1046690" s="143"/>
    </row>
    <row r="1046691" customFormat="1" ht="14.25" spans="33:73">
      <c r="AG1046691" s="141"/>
      <c r="AH1046691" s="141"/>
      <c r="AI1046691" s="141"/>
      <c r="AP1046691" s="141"/>
      <c r="AQ1046691" s="141"/>
      <c r="AR1046691" s="141"/>
      <c r="AV1046691" s="141"/>
      <c r="AW1046691" s="141"/>
      <c r="AX1046691" s="141"/>
      <c r="BP1046691" s="142"/>
      <c r="BU1046691" s="143"/>
    </row>
    <row r="1046692" customFormat="1" ht="14.25" spans="33:73">
      <c r="AG1046692" s="141"/>
      <c r="AH1046692" s="141"/>
      <c r="AI1046692" s="141"/>
      <c r="AP1046692" s="141"/>
      <c r="AQ1046692" s="141"/>
      <c r="AR1046692" s="141"/>
      <c r="AV1046692" s="141"/>
      <c r="AW1046692" s="141"/>
      <c r="AX1046692" s="141"/>
      <c r="BP1046692" s="142"/>
      <c r="BU1046692" s="143"/>
    </row>
    <row r="1046693" customFormat="1" ht="14.25" spans="33:73">
      <c r="AG1046693" s="141"/>
      <c r="AH1046693" s="141"/>
      <c r="AI1046693" s="141"/>
      <c r="AP1046693" s="141"/>
      <c r="AQ1046693" s="141"/>
      <c r="AR1046693" s="141"/>
      <c r="AV1046693" s="141"/>
      <c r="AW1046693" s="141"/>
      <c r="AX1046693" s="141"/>
      <c r="BP1046693" s="142"/>
      <c r="BU1046693" s="143"/>
    </row>
    <row r="1046694" customFormat="1" ht="14.25" spans="33:73">
      <c r="AG1046694" s="141"/>
      <c r="AH1046694" s="141"/>
      <c r="AI1046694" s="141"/>
      <c r="AP1046694" s="141"/>
      <c r="AQ1046694" s="141"/>
      <c r="AR1046694" s="141"/>
      <c r="AV1046694" s="141"/>
      <c r="AW1046694" s="141"/>
      <c r="AX1046694" s="141"/>
      <c r="BP1046694" s="142"/>
      <c r="BU1046694" s="143"/>
    </row>
    <row r="1046695" customFormat="1" ht="14.25" spans="33:73">
      <c r="AG1046695" s="141"/>
      <c r="AH1046695" s="141"/>
      <c r="AI1046695" s="141"/>
      <c r="AP1046695" s="141"/>
      <c r="AQ1046695" s="141"/>
      <c r="AR1046695" s="141"/>
      <c r="AV1046695" s="141"/>
      <c r="AW1046695" s="141"/>
      <c r="AX1046695" s="141"/>
      <c r="BP1046695" s="142"/>
      <c r="BU1046695" s="143"/>
    </row>
    <row r="1046696" customFormat="1" ht="14.25" spans="33:73">
      <c r="AG1046696" s="141"/>
      <c r="AH1046696" s="141"/>
      <c r="AI1046696" s="141"/>
      <c r="AP1046696" s="141"/>
      <c r="AQ1046696" s="141"/>
      <c r="AR1046696" s="141"/>
      <c r="AV1046696" s="141"/>
      <c r="AW1046696" s="141"/>
      <c r="AX1046696" s="141"/>
      <c r="BP1046696" s="142"/>
      <c r="BU1046696" s="143"/>
    </row>
    <row r="1046697" customFormat="1" ht="14.25" spans="33:73">
      <c r="AG1046697" s="141"/>
      <c r="AH1046697" s="141"/>
      <c r="AI1046697" s="141"/>
      <c r="AP1046697" s="141"/>
      <c r="AQ1046697" s="141"/>
      <c r="AR1046697" s="141"/>
      <c r="AV1046697" s="141"/>
      <c r="AW1046697" s="141"/>
      <c r="AX1046697" s="141"/>
      <c r="BP1046697" s="142"/>
      <c r="BU1046697" s="143"/>
    </row>
    <row r="1046698" customFormat="1" ht="14.25" spans="33:73">
      <c r="AG1046698" s="141"/>
      <c r="AH1046698" s="141"/>
      <c r="AI1046698" s="141"/>
      <c r="AP1046698" s="141"/>
      <c r="AQ1046698" s="141"/>
      <c r="AR1046698" s="141"/>
      <c r="AV1046698" s="141"/>
      <c r="AW1046698" s="141"/>
      <c r="AX1046698" s="141"/>
      <c r="BP1046698" s="142"/>
      <c r="BU1046698" s="143"/>
    </row>
    <row r="1046699" customFormat="1" ht="14.25" spans="33:73">
      <c r="AG1046699" s="141"/>
      <c r="AH1046699" s="141"/>
      <c r="AI1046699" s="141"/>
      <c r="AP1046699" s="141"/>
      <c r="AQ1046699" s="141"/>
      <c r="AR1046699" s="141"/>
      <c r="AV1046699" s="141"/>
      <c r="AW1046699" s="141"/>
      <c r="AX1046699" s="141"/>
      <c r="BP1046699" s="142"/>
      <c r="BU1046699" s="143"/>
    </row>
    <row r="1046700" customFormat="1" ht="14.25" spans="33:73">
      <c r="AG1046700" s="141"/>
      <c r="AH1046700" s="141"/>
      <c r="AI1046700" s="141"/>
      <c r="AP1046700" s="141"/>
      <c r="AQ1046700" s="141"/>
      <c r="AR1046700" s="141"/>
      <c r="AV1046700" s="141"/>
      <c r="AW1046700" s="141"/>
      <c r="AX1046700" s="141"/>
      <c r="BP1046700" s="142"/>
      <c r="BU1046700" s="143"/>
    </row>
    <row r="1046701" customFormat="1" ht="14.25" spans="33:73">
      <c r="AG1046701" s="141"/>
      <c r="AH1046701" s="141"/>
      <c r="AI1046701" s="141"/>
      <c r="AP1046701" s="141"/>
      <c r="AQ1046701" s="141"/>
      <c r="AR1046701" s="141"/>
      <c r="AV1046701" s="141"/>
      <c r="AW1046701" s="141"/>
      <c r="AX1046701" s="141"/>
      <c r="BP1046701" s="142"/>
      <c r="BU1046701" s="143"/>
    </row>
    <row r="1046702" customFormat="1" ht="14.25" spans="33:73">
      <c r="AG1046702" s="141"/>
      <c r="AH1046702" s="141"/>
      <c r="AI1046702" s="141"/>
      <c r="AP1046702" s="141"/>
      <c r="AQ1046702" s="141"/>
      <c r="AR1046702" s="141"/>
      <c r="AV1046702" s="141"/>
      <c r="AW1046702" s="141"/>
      <c r="AX1046702" s="141"/>
      <c r="BP1046702" s="142"/>
      <c r="BU1046702" s="143"/>
    </row>
    <row r="1046703" customFormat="1" ht="14.25" spans="33:73">
      <c r="AG1046703" s="141"/>
      <c r="AH1046703" s="141"/>
      <c r="AI1046703" s="141"/>
      <c r="AP1046703" s="141"/>
      <c r="AQ1046703" s="141"/>
      <c r="AR1046703" s="141"/>
      <c r="AV1046703" s="141"/>
      <c r="AW1046703" s="141"/>
      <c r="AX1046703" s="141"/>
      <c r="BP1046703" s="142"/>
      <c r="BU1046703" s="143"/>
    </row>
    <row r="1046704" customFormat="1" ht="14.25" spans="33:73">
      <c r="AG1046704" s="141"/>
      <c r="AH1046704" s="141"/>
      <c r="AI1046704" s="141"/>
      <c r="AP1046704" s="141"/>
      <c r="AQ1046704" s="141"/>
      <c r="AR1046704" s="141"/>
      <c r="AV1046704" s="141"/>
      <c r="AW1046704" s="141"/>
      <c r="AX1046704" s="141"/>
      <c r="BP1046704" s="142"/>
      <c r="BU1046704" s="143"/>
    </row>
    <row r="1046705" customFormat="1" ht="14.25" spans="33:73">
      <c r="AG1046705" s="141"/>
      <c r="AH1046705" s="141"/>
      <c r="AI1046705" s="141"/>
      <c r="AP1046705" s="141"/>
      <c r="AQ1046705" s="141"/>
      <c r="AR1046705" s="141"/>
      <c r="AV1046705" s="141"/>
      <c r="AW1046705" s="141"/>
      <c r="AX1046705" s="141"/>
      <c r="BP1046705" s="142"/>
      <c r="BU1046705" s="143"/>
    </row>
    <row r="1046706" customFormat="1" ht="14.25" spans="33:73">
      <c r="AG1046706" s="141"/>
      <c r="AH1046706" s="141"/>
      <c r="AI1046706" s="141"/>
      <c r="AP1046706" s="141"/>
      <c r="AQ1046706" s="141"/>
      <c r="AR1046706" s="141"/>
      <c r="AV1046706" s="141"/>
      <c r="AW1046706" s="141"/>
      <c r="AX1046706" s="141"/>
      <c r="BP1046706" s="142"/>
      <c r="BU1046706" s="143"/>
    </row>
    <row r="1046707" customFormat="1" ht="14.25" spans="33:73">
      <c r="AG1046707" s="141"/>
      <c r="AH1046707" s="141"/>
      <c r="AI1046707" s="141"/>
      <c r="AP1046707" s="141"/>
      <c r="AQ1046707" s="141"/>
      <c r="AR1046707" s="141"/>
      <c r="AV1046707" s="141"/>
      <c r="AW1046707" s="141"/>
      <c r="AX1046707" s="141"/>
      <c r="BP1046707" s="142"/>
      <c r="BU1046707" s="143"/>
    </row>
    <row r="1046708" customFormat="1" ht="14.25" spans="33:73">
      <c r="AG1046708" s="141"/>
      <c r="AH1046708" s="141"/>
      <c r="AI1046708" s="141"/>
      <c r="AP1046708" s="141"/>
      <c r="AQ1046708" s="141"/>
      <c r="AR1046708" s="141"/>
      <c r="AV1046708" s="141"/>
      <c r="AW1046708" s="141"/>
      <c r="AX1046708" s="141"/>
      <c r="BP1046708" s="142"/>
      <c r="BU1046708" s="143"/>
    </row>
    <row r="1046709" customFormat="1" ht="14.25" spans="33:73">
      <c r="AG1046709" s="141"/>
      <c r="AH1046709" s="141"/>
      <c r="AI1046709" s="141"/>
      <c r="AP1046709" s="141"/>
      <c r="AQ1046709" s="141"/>
      <c r="AR1046709" s="141"/>
      <c r="AV1046709" s="141"/>
      <c r="AW1046709" s="141"/>
      <c r="AX1046709" s="141"/>
      <c r="BP1046709" s="142"/>
      <c r="BU1046709" s="143"/>
    </row>
    <row r="1046710" customFormat="1" ht="14.25" spans="33:73">
      <c r="AG1046710" s="141"/>
      <c r="AH1046710" s="141"/>
      <c r="AI1046710" s="141"/>
      <c r="AP1046710" s="141"/>
      <c r="AQ1046710" s="141"/>
      <c r="AR1046710" s="141"/>
      <c r="AV1046710" s="141"/>
      <c r="AW1046710" s="141"/>
      <c r="AX1046710" s="141"/>
      <c r="BP1046710" s="142"/>
      <c r="BU1046710" s="143"/>
    </row>
    <row r="1046711" customFormat="1" ht="14.25" spans="33:73">
      <c r="AG1046711" s="141"/>
      <c r="AH1046711" s="141"/>
      <c r="AI1046711" s="141"/>
      <c r="AP1046711" s="141"/>
      <c r="AQ1046711" s="141"/>
      <c r="AR1046711" s="141"/>
      <c r="AV1046711" s="141"/>
      <c r="AW1046711" s="141"/>
      <c r="AX1046711" s="141"/>
      <c r="BP1046711" s="142"/>
      <c r="BU1046711" s="143"/>
    </row>
    <row r="1046712" customFormat="1" ht="14.25" spans="33:73">
      <c r="AG1046712" s="141"/>
      <c r="AH1046712" s="141"/>
      <c r="AI1046712" s="141"/>
      <c r="AP1046712" s="141"/>
      <c r="AQ1046712" s="141"/>
      <c r="AR1046712" s="141"/>
      <c r="AV1046712" s="141"/>
      <c r="AW1046712" s="141"/>
      <c r="AX1046712" s="141"/>
      <c r="BP1046712" s="142"/>
      <c r="BU1046712" s="143"/>
    </row>
    <row r="1046713" customFormat="1" ht="14.25" spans="33:73">
      <c r="AG1046713" s="141"/>
      <c r="AH1046713" s="141"/>
      <c r="AI1046713" s="141"/>
      <c r="AP1046713" s="141"/>
      <c r="AQ1046713" s="141"/>
      <c r="AR1046713" s="141"/>
      <c r="AV1046713" s="141"/>
      <c r="AW1046713" s="141"/>
      <c r="AX1046713" s="141"/>
      <c r="BP1046713" s="142"/>
      <c r="BU1046713" s="143"/>
    </row>
    <row r="1046714" customFormat="1" ht="14.25" spans="33:73">
      <c r="AG1046714" s="141"/>
      <c r="AH1046714" s="141"/>
      <c r="AI1046714" s="141"/>
      <c r="AP1046714" s="141"/>
      <c r="AQ1046714" s="141"/>
      <c r="AR1046714" s="141"/>
      <c r="AV1046714" s="141"/>
      <c r="AW1046714" s="141"/>
      <c r="AX1046714" s="141"/>
      <c r="BP1046714" s="142"/>
      <c r="BU1046714" s="143"/>
    </row>
    <row r="1046715" customFormat="1" ht="14.25" spans="33:73">
      <c r="AG1046715" s="141"/>
      <c r="AH1046715" s="141"/>
      <c r="AI1046715" s="141"/>
      <c r="AP1046715" s="141"/>
      <c r="AQ1046715" s="141"/>
      <c r="AR1046715" s="141"/>
      <c r="AV1046715" s="141"/>
      <c r="AW1046715" s="141"/>
      <c r="AX1046715" s="141"/>
      <c r="BP1046715" s="142"/>
      <c r="BU1046715" s="143"/>
    </row>
    <row r="1046716" customFormat="1" ht="14.25" spans="33:73">
      <c r="AG1046716" s="141"/>
      <c r="AH1046716" s="141"/>
      <c r="AI1046716" s="141"/>
      <c r="AP1046716" s="141"/>
      <c r="AQ1046716" s="141"/>
      <c r="AR1046716" s="141"/>
      <c r="AV1046716" s="141"/>
      <c r="AW1046716" s="141"/>
      <c r="AX1046716" s="141"/>
      <c r="BP1046716" s="142"/>
      <c r="BU1046716" s="143"/>
    </row>
    <row r="1046717" customFormat="1" ht="14.25" spans="33:73">
      <c r="AG1046717" s="141"/>
      <c r="AH1046717" s="141"/>
      <c r="AI1046717" s="141"/>
      <c r="AP1046717" s="141"/>
      <c r="AQ1046717" s="141"/>
      <c r="AR1046717" s="141"/>
      <c r="AV1046717" s="141"/>
      <c r="AW1046717" s="141"/>
      <c r="AX1046717" s="141"/>
      <c r="BP1046717" s="142"/>
      <c r="BU1046717" s="143"/>
    </row>
    <row r="1046718" customFormat="1" ht="14.25" spans="33:73">
      <c r="AG1046718" s="141"/>
      <c r="AH1046718" s="141"/>
      <c r="AI1046718" s="141"/>
      <c r="AP1046718" s="141"/>
      <c r="AQ1046718" s="141"/>
      <c r="AR1046718" s="141"/>
      <c r="AV1046718" s="141"/>
      <c r="AW1046718" s="141"/>
      <c r="AX1046718" s="141"/>
      <c r="BP1046718" s="142"/>
      <c r="BU1046718" s="143"/>
    </row>
    <row r="1046719" customFormat="1" ht="14.25" spans="33:73">
      <c r="AG1046719" s="141"/>
      <c r="AH1046719" s="141"/>
      <c r="AI1046719" s="141"/>
      <c r="AP1046719" s="141"/>
      <c r="AQ1046719" s="141"/>
      <c r="AR1046719" s="141"/>
      <c r="AV1046719" s="141"/>
      <c r="AW1046719" s="141"/>
      <c r="AX1046719" s="141"/>
      <c r="BP1046719" s="142"/>
      <c r="BU1046719" s="143"/>
    </row>
    <row r="1046720" customFormat="1" ht="14.25" spans="33:73">
      <c r="AG1046720" s="141"/>
      <c r="AH1046720" s="141"/>
      <c r="AI1046720" s="141"/>
      <c r="AP1046720" s="141"/>
      <c r="AQ1046720" s="141"/>
      <c r="AR1046720" s="141"/>
      <c r="AV1046720" s="141"/>
      <c r="AW1046720" s="141"/>
      <c r="AX1046720" s="141"/>
      <c r="BP1046720" s="142"/>
      <c r="BU1046720" s="143"/>
    </row>
    <row r="1046721" customFormat="1" ht="14.25" spans="33:73">
      <c r="AG1046721" s="141"/>
      <c r="AH1046721" s="141"/>
      <c r="AI1046721" s="141"/>
      <c r="AP1046721" s="141"/>
      <c r="AQ1046721" s="141"/>
      <c r="AR1046721" s="141"/>
      <c r="AV1046721" s="141"/>
      <c r="AW1046721" s="141"/>
      <c r="AX1046721" s="141"/>
      <c r="BP1046721" s="142"/>
      <c r="BU1046721" s="143"/>
    </row>
    <row r="1046722" customFormat="1" ht="14.25" spans="33:73">
      <c r="AG1046722" s="141"/>
      <c r="AH1046722" s="141"/>
      <c r="AI1046722" s="141"/>
      <c r="AP1046722" s="141"/>
      <c r="AQ1046722" s="141"/>
      <c r="AR1046722" s="141"/>
      <c r="AV1046722" s="141"/>
      <c r="AW1046722" s="141"/>
      <c r="AX1046722" s="141"/>
      <c r="BP1046722" s="142"/>
      <c r="BU1046722" s="143"/>
    </row>
    <row r="1046723" customFormat="1" ht="14.25" spans="33:73">
      <c r="AG1046723" s="141"/>
      <c r="AH1046723" s="141"/>
      <c r="AI1046723" s="141"/>
      <c r="AP1046723" s="141"/>
      <c r="AQ1046723" s="141"/>
      <c r="AR1046723" s="141"/>
      <c r="AV1046723" s="141"/>
      <c r="AW1046723" s="141"/>
      <c r="AX1046723" s="141"/>
      <c r="BP1046723" s="142"/>
      <c r="BU1046723" s="143"/>
    </row>
    <row r="1046724" customFormat="1" ht="14.25" spans="33:73">
      <c r="AG1046724" s="141"/>
      <c r="AH1046724" s="141"/>
      <c r="AI1046724" s="141"/>
      <c r="AP1046724" s="141"/>
      <c r="AQ1046724" s="141"/>
      <c r="AR1046724" s="141"/>
      <c r="AV1046724" s="141"/>
      <c r="AW1046724" s="141"/>
      <c r="AX1046724" s="141"/>
      <c r="BP1046724" s="142"/>
      <c r="BU1046724" s="143"/>
    </row>
    <row r="1046725" customFormat="1" ht="14.25" spans="33:73">
      <c r="AG1046725" s="141"/>
      <c r="AH1046725" s="141"/>
      <c r="AI1046725" s="141"/>
      <c r="AP1046725" s="141"/>
      <c r="AQ1046725" s="141"/>
      <c r="AR1046725" s="141"/>
      <c r="AV1046725" s="141"/>
      <c r="AW1046725" s="141"/>
      <c r="AX1046725" s="141"/>
      <c r="BP1046725" s="142"/>
      <c r="BU1046725" s="143"/>
    </row>
    <row r="1046726" customFormat="1" ht="14.25" spans="33:73">
      <c r="AG1046726" s="141"/>
      <c r="AH1046726" s="141"/>
      <c r="AI1046726" s="141"/>
      <c r="AP1046726" s="141"/>
      <c r="AQ1046726" s="141"/>
      <c r="AR1046726" s="141"/>
      <c r="AV1046726" s="141"/>
      <c r="AW1046726" s="141"/>
      <c r="AX1046726" s="141"/>
      <c r="BP1046726" s="142"/>
      <c r="BU1046726" s="143"/>
    </row>
    <row r="1046727" customFormat="1" ht="14.25" spans="33:73">
      <c r="AG1046727" s="141"/>
      <c r="AH1046727" s="141"/>
      <c r="AI1046727" s="141"/>
      <c r="AP1046727" s="141"/>
      <c r="AQ1046727" s="141"/>
      <c r="AR1046727" s="141"/>
      <c r="AV1046727" s="141"/>
      <c r="AW1046727" s="141"/>
      <c r="AX1046727" s="141"/>
      <c r="BP1046727" s="142"/>
      <c r="BU1046727" s="143"/>
    </row>
    <row r="1046728" customFormat="1" ht="14.25" spans="33:73">
      <c r="AG1046728" s="141"/>
      <c r="AH1046728" s="141"/>
      <c r="AI1046728" s="141"/>
      <c r="AP1046728" s="141"/>
      <c r="AQ1046728" s="141"/>
      <c r="AR1046728" s="141"/>
      <c r="AV1046728" s="141"/>
      <c r="AW1046728" s="141"/>
      <c r="AX1046728" s="141"/>
      <c r="BP1046728" s="142"/>
      <c r="BU1046728" s="143"/>
    </row>
    <row r="1046729" customFormat="1" ht="14.25" spans="33:73">
      <c r="AG1046729" s="141"/>
      <c r="AH1046729" s="141"/>
      <c r="AI1046729" s="141"/>
      <c r="AP1046729" s="141"/>
      <c r="AQ1046729" s="141"/>
      <c r="AR1046729" s="141"/>
      <c r="AV1046729" s="141"/>
      <c r="AW1046729" s="141"/>
      <c r="AX1046729" s="141"/>
      <c r="BP1046729" s="142"/>
      <c r="BU1046729" s="143"/>
    </row>
    <row r="1046730" customFormat="1" ht="14.25" spans="33:73">
      <c r="AG1046730" s="141"/>
      <c r="AH1046730" s="141"/>
      <c r="AI1046730" s="141"/>
      <c r="AP1046730" s="141"/>
      <c r="AQ1046730" s="141"/>
      <c r="AR1046730" s="141"/>
      <c r="AV1046730" s="141"/>
      <c r="AW1046730" s="141"/>
      <c r="AX1046730" s="141"/>
      <c r="BP1046730" s="142"/>
      <c r="BU1046730" s="143"/>
    </row>
    <row r="1046731" customFormat="1" ht="14.25" spans="33:73">
      <c r="AG1046731" s="141"/>
      <c r="AH1046731" s="141"/>
      <c r="AI1046731" s="141"/>
      <c r="AP1046731" s="141"/>
      <c r="AQ1046731" s="141"/>
      <c r="AR1046731" s="141"/>
      <c r="AV1046731" s="141"/>
      <c r="AW1046731" s="141"/>
      <c r="AX1046731" s="141"/>
      <c r="BP1046731" s="142"/>
      <c r="BU1046731" s="143"/>
    </row>
    <row r="1046732" customFormat="1" ht="14.25" spans="33:73">
      <c r="AG1046732" s="141"/>
      <c r="AH1046732" s="141"/>
      <c r="AI1046732" s="141"/>
      <c r="AP1046732" s="141"/>
      <c r="AQ1046732" s="141"/>
      <c r="AR1046732" s="141"/>
      <c r="AV1046732" s="141"/>
      <c r="AW1046732" s="141"/>
      <c r="AX1046732" s="141"/>
      <c r="BP1046732" s="142"/>
      <c r="BU1046732" s="143"/>
    </row>
    <row r="1046733" customFormat="1" ht="14.25" spans="33:73">
      <c r="AG1046733" s="141"/>
      <c r="AH1046733" s="141"/>
      <c r="AI1046733" s="141"/>
      <c r="AP1046733" s="141"/>
      <c r="AQ1046733" s="141"/>
      <c r="AR1046733" s="141"/>
      <c r="AV1046733" s="141"/>
      <c r="AW1046733" s="141"/>
      <c r="AX1046733" s="141"/>
      <c r="BP1046733" s="142"/>
      <c r="BU1046733" s="143"/>
    </row>
    <row r="1046734" customFormat="1" ht="14.25" spans="33:73">
      <c r="AG1046734" s="141"/>
      <c r="AH1046734" s="141"/>
      <c r="AI1046734" s="141"/>
      <c r="AP1046734" s="141"/>
      <c r="AQ1046734" s="141"/>
      <c r="AR1046734" s="141"/>
      <c r="AV1046734" s="141"/>
      <c r="AW1046734" s="141"/>
      <c r="AX1046734" s="141"/>
      <c r="BP1046734" s="142"/>
      <c r="BU1046734" s="143"/>
    </row>
    <row r="1046735" customFormat="1" ht="14.25" spans="33:73">
      <c r="AG1046735" s="141"/>
      <c r="AH1046735" s="141"/>
      <c r="AI1046735" s="141"/>
      <c r="AP1046735" s="141"/>
      <c r="AQ1046735" s="141"/>
      <c r="AR1046735" s="141"/>
      <c r="AV1046735" s="141"/>
      <c r="AW1046735" s="141"/>
      <c r="AX1046735" s="141"/>
      <c r="BP1046735" s="142"/>
      <c r="BU1046735" s="143"/>
    </row>
    <row r="1046736" customFormat="1" ht="14.25" spans="33:73">
      <c r="AG1046736" s="141"/>
      <c r="AH1046736" s="141"/>
      <c r="AI1046736" s="141"/>
      <c r="AP1046736" s="141"/>
      <c r="AQ1046736" s="141"/>
      <c r="AR1046736" s="141"/>
      <c r="AV1046736" s="141"/>
      <c r="AW1046736" s="141"/>
      <c r="AX1046736" s="141"/>
      <c r="BP1046736" s="142"/>
      <c r="BU1046736" s="143"/>
    </row>
    <row r="1046737" customFormat="1" ht="14.25" spans="33:73">
      <c r="AG1046737" s="141"/>
      <c r="AH1046737" s="141"/>
      <c r="AI1046737" s="141"/>
      <c r="AP1046737" s="141"/>
      <c r="AQ1046737" s="141"/>
      <c r="AR1046737" s="141"/>
      <c r="AV1046737" s="141"/>
      <c r="AW1046737" s="141"/>
      <c r="AX1046737" s="141"/>
      <c r="BP1046737" s="142"/>
      <c r="BU1046737" s="143"/>
    </row>
    <row r="1046738" customFormat="1" ht="14.25" spans="33:73">
      <c r="AG1046738" s="141"/>
      <c r="AH1046738" s="141"/>
      <c r="AI1046738" s="141"/>
      <c r="AP1046738" s="141"/>
      <c r="AQ1046738" s="141"/>
      <c r="AR1046738" s="141"/>
      <c r="AV1046738" s="141"/>
      <c r="AW1046738" s="141"/>
      <c r="AX1046738" s="141"/>
      <c r="BP1046738" s="142"/>
      <c r="BU1046738" s="143"/>
    </row>
    <row r="1046739" customFormat="1" ht="14.25" spans="33:73">
      <c r="AG1046739" s="141"/>
      <c r="AH1046739" s="141"/>
      <c r="AI1046739" s="141"/>
      <c r="AP1046739" s="141"/>
      <c r="AQ1046739" s="141"/>
      <c r="AR1046739" s="141"/>
      <c r="AV1046739" s="141"/>
      <c r="AW1046739" s="141"/>
      <c r="AX1046739" s="141"/>
      <c r="BP1046739" s="142"/>
      <c r="BU1046739" s="143"/>
    </row>
    <row r="1046740" customFormat="1" ht="14.25" spans="33:73">
      <c r="AG1046740" s="141"/>
      <c r="AH1046740" s="141"/>
      <c r="AI1046740" s="141"/>
      <c r="AP1046740" s="141"/>
      <c r="AQ1046740" s="141"/>
      <c r="AR1046740" s="141"/>
      <c r="AV1046740" s="141"/>
      <c r="AW1046740" s="141"/>
      <c r="AX1046740" s="141"/>
      <c r="BP1046740" s="142"/>
      <c r="BU1046740" s="143"/>
    </row>
    <row r="1046741" customFormat="1" ht="14.25" spans="33:73">
      <c r="AG1046741" s="141"/>
      <c r="AH1046741" s="141"/>
      <c r="AI1046741" s="141"/>
      <c r="AP1046741" s="141"/>
      <c r="AQ1046741" s="141"/>
      <c r="AR1046741" s="141"/>
      <c r="AV1046741" s="141"/>
      <c r="AW1046741" s="141"/>
      <c r="AX1046741" s="141"/>
      <c r="BP1046741" s="142"/>
      <c r="BU1046741" s="143"/>
    </row>
    <row r="1046742" customFormat="1" ht="14.25" spans="33:73">
      <c r="AG1046742" s="141"/>
      <c r="AH1046742" s="141"/>
      <c r="AI1046742" s="141"/>
      <c r="AP1046742" s="141"/>
      <c r="AQ1046742" s="141"/>
      <c r="AR1046742" s="141"/>
      <c r="AV1046742" s="141"/>
      <c r="AW1046742" s="141"/>
      <c r="AX1046742" s="141"/>
      <c r="BP1046742" s="142"/>
      <c r="BU1046742" s="143"/>
    </row>
    <row r="1046743" customFormat="1" ht="14.25" spans="33:73">
      <c r="AG1046743" s="141"/>
      <c r="AH1046743" s="141"/>
      <c r="AI1046743" s="141"/>
      <c r="AP1046743" s="141"/>
      <c r="AQ1046743" s="141"/>
      <c r="AR1046743" s="141"/>
      <c r="AV1046743" s="141"/>
      <c r="AW1046743" s="141"/>
      <c r="AX1046743" s="141"/>
      <c r="BP1046743" s="142"/>
      <c r="BU1046743" s="143"/>
    </row>
    <row r="1046744" customFormat="1" ht="14.25" spans="33:73">
      <c r="AG1046744" s="141"/>
      <c r="AH1046744" s="141"/>
      <c r="AI1046744" s="141"/>
      <c r="AP1046744" s="141"/>
      <c r="AQ1046744" s="141"/>
      <c r="AR1046744" s="141"/>
      <c r="AV1046744" s="141"/>
      <c r="AW1046744" s="141"/>
      <c r="AX1046744" s="141"/>
      <c r="BP1046744" s="142"/>
      <c r="BU1046744" s="143"/>
    </row>
    <row r="1046745" customFormat="1" ht="14.25" spans="33:73">
      <c r="AG1046745" s="141"/>
      <c r="AH1046745" s="141"/>
      <c r="AI1046745" s="141"/>
      <c r="AP1046745" s="141"/>
      <c r="AQ1046745" s="141"/>
      <c r="AR1046745" s="141"/>
      <c r="AV1046745" s="141"/>
      <c r="AW1046745" s="141"/>
      <c r="AX1046745" s="141"/>
      <c r="BP1046745" s="142"/>
      <c r="BU1046745" s="143"/>
    </row>
    <row r="1046746" customFormat="1" ht="14.25" spans="33:73">
      <c r="AG1046746" s="141"/>
      <c r="AH1046746" s="141"/>
      <c r="AI1046746" s="141"/>
      <c r="AP1046746" s="141"/>
      <c r="AQ1046746" s="141"/>
      <c r="AR1046746" s="141"/>
      <c r="AV1046746" s="141"/>
      <c r="AW1046746" s="141"/>
      <c r="AX1046746" s="141"/>
      <c r="BP1046746" s="142"/>
      <c r="BU1046746" s="143"/>
    </row>
    <row r="1046747" customFormat="1" ht="14.25" spans="33:73">
      <c r="AG1046747" s="141"/>
      <c r="AH1046747" s="141"/>
      <c r="AI1046747" s="141"/>
      <c r="AP1046747" s="141"/>
      <c r="AQ1046747" s="141"/>
      <c r="AR1046747" s="141"/>
      <c r="AV1046747" s="141"/>
      <c r="AW1046747" s="141"/>
      <c r="AX1046747" s="141"/>
      <c r="BP1046747" s="142"/>
      <c r="BU1046747" s="143"/>
    </row>
    <row r="1046748" customFormat="1" ht="14.25" spans="33:73">
      <c r="AG1046748" s="141"/>
      <c r="AH1046748" s="141"/>
      <c r="AI1046748" s="141"/>
      <c r="AP1046748" s="141"/>
      <c r="AQ1046748" s="141"/>
      <c r="AR1046748" s="141"/>
      <c r="AV1046748" s="141"/>
      <c r="AW1046748" s="141"/>
      <c r="AX1046748" s="141"/>
      <c r="BP1046748" s="142"/>
      <c r="BU1046748" s="143"/>
    </row>
    <row r="1046749" customFormat="1" ht="14.25" spans="33:73">
      <c r="AG1046749" s="141"/>
      <c r="AH1046749" s="141"/>
      <c r="AI1046749" s="141"/>
      <c r="AP1046749" s="141"/>
      <c r="AQ1046749" s="141"/>
      <c r="AR1046749" s="141"/>
      <c r="AV1046749" s="141"/>
      <c r="AW1046749" s="141"/>
      <c r="AX1046749" s="141"/>
      <c r="BP1046749" s="142"/>
      <c r="BU1046749" s="143"/>
    </row>
    <row r="1046750" customFormat="1" ht="14.25" spans="33:73">
      <c r="AG1046750" s="141"/>
      <c r="AH1046750" s="141"/>
      <c r="AI1046750" s="141"/>
      <c r="AP1046750" s="141"/>
      <c r="AQ1046750" s="141"/>
      <c r="AR1046750" s="141"/>
      <c r="AV1046750" s="141"/>
      <c r="AW1046750" s="141"/>
      <c r="AX1046750" s="141"/>
      <c r="BP1046750" s="142"/>
      <c r="BU1046750" s="143"/>
    </row>
    <row r="1046751" customFormat="1" ht="14.25" spans="33:73">
      <c r="AG1046751" s="141"/>
      <c r="AH1046751" s="141"/>
      <c r="AI1046751" s="141"/>
      <c r="AP1046751" s="141"/>
      <c r="AQ1046751" s="141"/>
      <c r="AR1046751" s="141"/>
      <c r="AV1046751" s="141"/>
      <c r="AW1046751" s="141"/>
      <c r="AX1046751" s="141"/>
      <c r="BP1046751" s="142"/>
      <c r="BU1046751" s="143"/>
    </row>
    <row r="1046752" customFormat="1" ht="14.25" spans="33:73">
      <c r="AG1046752" s="141"/>
      <c r="AH1046752" s="141"/>
      <c r="AI1046752" s="141"/>
      <c r="AP1046752" s="141"/>
      <c r="AQ1046752" s="141"/>
      <c r="AR1046752" s="141"/>
      <c r="AV1046752" s="141"/>
      <c r="AW1046752" s="141"/>
      <c r="AX1046752" s="141"/>
      <c r="BP1046752" s="142"/>
      <c r="BU1046752" s="143"/>
    </row>
    <row r="1046753" customFormat="1" ht="14.25" spans="33:73">
      <c r="AG1046753" s="141"/>
      <c r="AH1046753" s="141"/>
      <c r="AI1046753" s="141"/>
      <c r="AP1046753" s="141"/>
      <c r="AQ1046753" s="141"/>
      <c r="AR1046753" s="141"/>
      <c r="AV1046753" s="141"/>
      <c r="AW1046753" s="141"/>
      <c r="AX1046753" s="141"/>
      <c r="BP1046753" s="142"/>
      <c r="BU1046753" s="143"/>
    </row>
    <row r="1046754" customFormat="1" ht="14.25" spans="33:73">
      <c r="AG1046754" s="141"/>
      <c r="AH1046754" s="141"/>
      <c r="AI1046754" s="141"/>
      <c r="AP1046754" s="141"/>
      <c r="AQ1046754" s="141"/>
      <c r="AR1046754" s="141"/>
      <c r="AV1046754" s="141"/>
      <c r="AW1046754" s="141"/>
      <c r="AX1046754" s="141"/>
      <c r="BP1046754" s="142"/>
      <c r="BU1046754" s="143"/>
    </row>
    <row r="1046755" customFormat="1" ht="14.25" spans="33:73">
      <c r="AG1046755" s="141"/>
      <c r="AH1046755" s="141"/>
      <c r="AI1046755" s="141"/>
      <c r="AP1046755" s="141"/>
      <c r="AQ1046755" s="141"/>
      <c r="AR1046755" s="141"/>
      <c r="AV1046755" s="141"/>
      <c r="AW1046755" s="141"/>
      <c r="AX1046755" s="141"/>
      <c r="BP1046755" s="142"/>
      <c r="BU1046755" s="143"/>
    </row>
    <row r="1046756" customFormat="1" ht="14.25" spans="33:73">
      <c r="AG1046756" s="141"/>
      <c r="AH1046756" s="141"/>
      <c r="AI1046756" s="141"/>
      <c r="AP1046756" s="141"/>
      <c r="AQ1046756" s="141"/>
      <c r="AR1046756" s="141"/>
      <c r="AV1046756" s="141"/>
      <c r="AW1046756" s="141"/>
      <c r="AX1046756" s="141"/>
      <c r="BP1046756" s="142"/>
      <c r="BU1046756" s="143"/>
    </row>
    <row r="1046757" customFormat="1" ht="14.25" spans="33:73">
      <c r="AG1046757" s="141"/>
      <c r="AH1046757" s="141"/>
      <c r="AI1046757" s="141"/>
      <c r="AP1046757" s="141"/>
      <c r="AQ1046757" s="141"/>
      <c r="AR1046757" s="141"/>
      <c r="AV1046757" s="141"/>
      <c r="AW1046757" s="141"/>
      <c r="AX1046757" s="141"/>
      <c r="BP1046757" s="142"/>
      <c r="BU1046757" s="143"/>
    </row>
    <row r="1046758" customFormat="1" ht="14.25" spans="33:73">
      <c r="AG1046758" s="141"/>
      <c r="AH1046758" s="141"/>
      <c r="AI1046758" s="141"/>
      <c r="AP1046758" s="141"/>
      <c r="AQ1046758" s="141"/>
      <c r="AR1046758" s="141"/>
      <c r="AV1046758" s="141"/>
      <c r="AW1046758" s="141"/>
      <c r="AX1046758" s="141"/>
      <c r="BP1046758" s="142"/>
      <c r="BU1046758" s="143"/>
    </row>
    <row r="1046759" customFormat="1" ht="14.25" spans="33:73">
      <c r="AG1046759" s="141"/>
      <c r="AH1046759" s="141"/>
      <c r="AI1046759" s="141"/>
      <c r="AP1046759" s="141"/>
      <c r="AQ1046759" s="141"/>
      <c r="AR1046759" s="141"/>
      <c r="AV1046759" s="141"/>
      <c r="AW1046759" s="141"/>
      <c r="AX1046759" s="141"/>
      <c r="BP1046759" s="142"/>
      <c r="BU1046759" s="143"/>
    </row>
    <row r="1046760" customFormat="1" ht="14.25" spans="33:73">
      <c r="AG1046760" s="141"/>
      <c r="AH1046760" s="141"/>
      <c r="AI1046760" s="141"/>
      <c r="AP1046760" s="141"/>
      <c r="AQ1046760" s="141"/>
      <c r="AR1046760" s="141"/>
      <c r="AV1046760" s="141"/>
      <c r="AW1046760" s="141"/>
      <c r="AX1046760" s="141"/>
      <c r="BP1046760" s="142"/>
      <c r="BU1046760" s="143"/>
    </row>
    <row r="1046761" customFormat="1" ht="14.25" spans="33:73">
      <c r="AG1046761" s="141"/>
      <c r="AH1046761" s="141"/>
      <c r="AI1046761" s="141"/>
      <c r="AP1046761" s="141"/>
      <c r="AQ1046761" s="141"/>
      <c r="AR1046761" s="141"/>
      <c r="AV1046761" s="141"/>
      <c r="AW1046761" s="141"/>
      <c r="AX1046761" s="141"/>
      <c r="BP1046761" s="142"/>
      <c r="BU1046761" s="143"/>
    </row>
    <row r="1046762" customFormat="1" ht="14.25" spans="33:73">
      <c r="AG1046762" s="141"/>
      <c r="AH1046762" s="141"/>
      <c r="AI1046762" s="141"/>
      <c r="AP1046762" s="141"/>
      <c r="AQ1046762" s="141"/>
      <c r="AR1046762" s="141"/>
      <c r="AV1046762" s="141"/>
      <c r="AW1046762" s="141"/>
      <c r="AX1046762" s="141"/>
      <c r="BP1046762" s="142"/>
      <c r="BU1046762" s="143"/>
    </row>
    <row r="1046763" customFormat="1" ht="14.25" spans="33:73">
      <c r="AG1046763" s="141"/>
      <c r="AH1046763" s="141"/>
      <c r="AI1046763" s="141"/>
      <c r="AP1046763" s="141"/>
      <c r="AQ1046763" s="141"/>
      <c r="AR1046763" s="141"/>
      <c r="AV1046763" s="141"/>
      <c r="AW1046763" s="141"/>
      <c r="AX1046763" s="141"/>
      <c r="BP1046763" s="142"/>
      <c r="BU1046763" s="143"/>
    </row>
    <row r="1046764" customFormat="1" ht="14.25" spans="33:73">
      <c r="AG1046764" s="141"/>
      <c r="AH1046764" s="141"/>
      <c r="AI1046764" s="141"/>
      <c r="AP1046764" s="141"/>
      <c r="AQ1046764" s="141"/>
      <c r="AR1046764" s="141"/>
      <c r="AV1046764" s="141"/>
      <c r="AW1046764" s="141"/>
      <c r="AX1046764" s="141"/>
      <c r="BP1046764" s="142"/>
      <c r="BU1046764" s="143"/>
    </row>
    <row r="1046765" customFormat="1" ht="14.25" spans="33:73">
      <c r="AG1046765" s="141"/>
      <c r="AH1046765" s="141"/>
      <c r="AI1046765" s="141"/>
      <c r="AP1046765" s="141"/>
      <c r="AQ1046765" s="141"/>
      <c r="AR1046765" s="141"/>
      <c r="AV1046765" s="141"/>
      <c r="AW1046765" s="141"/>
      <c r="AX1046765" s="141"/>
      <c r="BP1046765" s="142"/>
      <c r="BU1046765" s="143"/>
    </row>
    <row r="1046766" customFormat="1" ht="14.25" spans="33:73">
      <c r="AG1046766" s="141"/>
      <c r="AH1046766" s="141"/>
      <c r="AI1046766" s="141"/>
      <c r="AP1046766" s="141"/>
      <c r="AQ1046766" s="141"/>
      <c r="AR1046766" s="141"/>
      <c r="AV1046766" s="141"/>
      <c r="AW1046766" s="141"/>
      <c r="AX1046766" s="141"/>
      <c r="BP1046766" s="142"/>
      <c r="BU1046766" s="143"/>
    </row>
    <row r="1046767" customFormat="1" ht="14.25" spans="33:73">
      <c r="AG1046767" s="141"/>
      <c r="AH1046767" s="141"/>
      <c r="AI1046767" s="141"/>
      <c r="AP1046767" s="141"/>
      <c r="AQ1046767" s="141"/>
      <c r="AR1046767" s="141"/>
      <c r="AV1046767" s="141"/>
      <c r="AW1046767" s="141"/>
      <c r="AX1046767" s="141"/>
      <c r="BP1046767" s="142"/>
      <c r="BU1046767" s="143"/>
    </row>
    <row r="1046768" customFormat="1" ht="14.25" spans="33:73">
      <c r="AG1046768" s="141"/>
      <c r="AH1046768" s="141"/>
      <c r="AI1046768" s="141"/>
      <c r="AP1046768" s="141"/>
      <c r="AQ1046768" s="141"/>
      <c r="AR1046768" s="141"/>
      <c r="AV1046768" s="141"/>
      <c r="AW1046768" s="141"/>
      <c r="AX1046768" s="141"/>
      <c r="BP1046768" s="142"/>
      <c r="BU1046768" s="143"/>
    </row>
    <row r="1046769" customFormat="1" ht="14.25" spans="33:73">
      <c r="AG1046769" s="141"/>
      <c r="AH1046769" s="141"/>
      <c r="AI1046769" s="141"/>
      <c r="AP1046769" s="141"/>
      <c r="AQ1046769" s="141"/>
      <c r="AR1046769" s="141"/>
      <c r="AV1046769" s="141"/>
      <c r="AW1046769" s="141"/>
      <c r="AX1046769" s="141"/>
      <c r="BP1046769" s="142"/>
      <c r="BU1046769" s="143"/>
    </row>
    <row r="1046770" customFormat="1" ht="14.25" spans="33:73">
      <c r="AG1046770" s="141"/>
      <c r="AH1046770" s="141"/>
      <c r="AI1046770" s="141"/>
      <c r="AP1046770" s="141"/>
      <c r="AQ1046770" s="141"/>
      <c r="AR1046770" s="141"/>
      <c r="AV1046770" s="141"/>
      <c r="AW1046770" s="141"/>
      <c r="AX1046770" s="141"/>
      <c r="BP1046770" s="142"/>
      <c r="BU1046770" s="143"/>
    </row>
    <row r="1046771" customFormat="1" ht="14.25" spans="33:73">
      <c r="AG1046771" s="141"/>
      <c r="AH1046771" s="141"/>
      <c r="AI1046771" s="141"/>
      <c r="AP1046771" s="141"/>
      <c r="AQ1046771" s="141"/>
      <c r="AR1046771" s="141"/>
      <c r="AV1046771" s="141"/>
      <c r="AW1046771" s="141"/>
      <c r="AX1046771" s="141"/>
      <c r="BP1046771" s="142"/>
      <c r="BU1046771" s="143"/>
    </row>
    <row r="1046772" customFormat="1" ht="14.25" spans="33:73">
      <c r="AG1046772" s="141"/>
      <c r="AH1046772" s="141"/>
      <c r="AI1046772" s="141"/>
      <c r="AP1046772" s="141"/>
      <c r="AQ1046772" s="141"/>
      <c r="AR1046772" s="141"/>
      <c r="AV1046772" s="141"/>
      <c r="AW1046772" s="141"/>
      <c r="AX1046772" s="141"/>
      <c r="BP1046772" s="142"/>
      <c r="BU1046772" s="143"/>
    </row>
    <row r="1046773" customFormat="1" ht="14.25" spans="33:73">
      <c r="AG1046773" s="141"/>
      <c r="AH1046773" s="141"/>
      <c r="AI1046773" s="141"/>
      <c r="AP1046773" s="141"/>
      <c r="AQ1046773" s="141"/>
      <c r="AR1046773" s="141"/>
      <c r="AV1046773" s="141"/>
      <c r="AW1046773" s="141"/>
      <c r="AX1046773" s="141"/>
      <c r="BP1046773" s="142"/>
      <c r="BU1046773" s="143"/>
    </row>
    <row r="1046774" customFormat="1" ht="14.25" spans="33:73">
      <c r="AG1046774" s="141"/>
      <c r="AH1046774" s="141"/>
      <c r="AI1046774" s="141"/>
      <c r="AP1046774" s="141"/>
      <c r="AQ1046774" s="141"/>
      <c r="AR1046774" s="141"/>
      <c r="AV1046774" s="141"/>
      <c r="AW1046774" s="141"/>
      <c r="AX1046774" s="141"/>
      <c r="BP1046774" s="142"/>
      <c r="BU1046774" s="143"/>
    </row>
    <row r="1046775" customFormat="1" ht="14.25" spans="33:73">
      <c r="AG1046775" s="141"/>
      <c r="AH1046775" s="141"/>
      <c r="AI1046775" s="141"/>
      <c r="AP1046775" s="141"/>
      <c r="AQ1046775" s="141"/>
      <c r="AR1046775" s="141"/>
      <c r="AV1046775" s="141"/>
      <c r="AW1046775" s="141"/>
      <c r="AX1046775" s="141"/>
      <c r="BP1046775" s="142"/>
      <c r="BU1046775" s="143"/>
    </row>
    <row r="1046776" customFormat="1" ht="14.25" spans="33:73">
      <c r="AG1046776" s="141"/>
      <c r="AH1046776" s="141"/>
      <c r="AI1046776" s="141"/>
      <c r="AP1046776" s="141"/>
      <c r="AQ1046776" s="141"/>
      <c r="AR1046776" s="141"/>
      <c r="AV1046776" s="141"/>
      <c r="AW1046776" s="141"/>
      <c r="AX1046776" s="141"/>
      <c r="BP1046776" s="142"/>
      <c r="BU1046776" s="143"/>
    </row>
    <row r="1046777" customFormat="1" ht="14.25" spans="33:73">
      <c r="AG1046777" s="141"/>
      <c r="AH1046777" s="141"/>
      <c r="AI1046777" s="141"/>
      <c r="AP1046777" s="141"/>
      <c r="AQ1046777" s="141"/>
      <c r="AR1046777" s="141"/>
      <c r="AV1046777" s="141"/>
      <c r="AW1046777" s="141"/>
      <c r="AX1046777" s="141"/>
      <c r="BP1046777" s="142"/>
      <c r="BU1046777" s="143"/>
    </row>
    <row r="1046778" customFormat="1" ht="14.25" spans="33:73">
      <c r="AG1046778" s="141"/>
      <c r="AH1046778" s="141"/>
      <c r="AI1046778" s="141"/>
      <c r="AP1046778" s="141"/>
      <c r="AQ1046778" s="141"/>
      <c r="AR1046778" s="141"/>
      <c r="AV1046778" s="141"/>
      <c r="AW1046778" s="141"/>
      <c r="AX1046778" s="141"/>
      <c r="BP1046778" s="142"/>
      <c r="BU1046778" s="143"/>
    </row>
    <row r="1046779" customFormat="1" ht="14.25" spans="33:73">
      <c r="AG1046779" s="141"/>
      <c r="AH1046779" s="141"/>
      <c r="AI1046779" s="141"/>
      <c r="AP1046779" s="141"/>
      <c r="AQ1046779" s="141"/>
      <c r="AR1046779" s="141"/>
      <c r="AV1046779" s="141"/>
      <c r="AW1046779" s="141"/>
      <c r="AX1046779" s="141"/>
      <c r="BP1046779" s="142"/>
      <c r="BU1046779" s="143"/>
    </row>
    <row r="1046780" customFormat="1" ht="14.25" spans="33:73">
      <c r="AG1046780" s="141"/>
      <c r="AH1046780" s="141"/>
      <c r="AI1046780" s="141"/>
      <c r="AP1046780" s="141"/>
      <c r="AQ1046780" s="141"/>
      <c r="AR1046780" s="141"/>
      <c r="AV1046780" s="141"/>
      <c r="AW1046780" s="141"/>
      <c r="AX1046780" s="141"/>
      <c r="BP1046780" s="142"/>
      <c r="BU1046780" s="143"/>
    </row>
    <row r="1046781" customFormat="1" ht="14.25" spans="33:73">
      <c r="AG1046781" s="141"/>
      <c r="AH1046781" s="141"/>
      <c r="AI1046781" s="141"/>
      <c r="AP1046781" s="141"/>
      <c r="AQ1046781" s="141"/>
      <c r="AR1046781" s="141"/>
      <c r="AV1046781" s="141"/>
      <c r="AW1046781" s="141"/>
      <c r="AX1046781" s="141"/>
      <c r="BP1046781" s="142"/>
      <c r="BU1046781" s="143"/>
    </row>
    <row r="1046782" customFormat="1" ht="14.25" spans="33:73">
      <c r="AG1046782" s="141"/>
      <c r="AH1046782" s="141"/>
      <c r="AI1046782" s="141"/>
      <c r="AP1046782" s="141"/>
      <c r="AQ1046782" s="141"/>
      <c r="AR1046782" s="141"/>
      <c r="AV1046782" s="141"/>
      <c r="AW1046782" s="141"/>
      <c r="AX1046782" s="141"/>
      <c r="BP1046782" s="142"/>
      <c r="BU1046782" s="143"/>
    </row>
    <row r="1046783" customFormat="1" ht="14.25" spans="33:73">
      <c r="AG1046783" s="141"/>
      <c r="AH1046783" s="141"/>
      <c r="AI1046783" s="141"/>
      <c r="AP1046783" s="141"/>
      <c r="AQ1046783" s="141"/>
      <c r="AR1046783" s="141"/>
      <c r="AV1046783" s="141"/>
      <c r="AW1046783" s="141"/>
      <c r="AX1046783" s="141"/>
      <c r="BP1046783" s="142"/>
      <c r="BU1046783" s="143"/>
    </row>
    <row r="1046784" customFormat="1" ht="14.25" spans="33:73">
      <c r="AG1046784" s="141"/>
      <c r="AH1046784" s="141"/>
      <c r="AI1046784" s="141"/>
      <c r="AP1046784" s="141"/>
      <c r="AQ1046784" s="141"/>
      <c r="AR1046784" s="141"/>
      <c r="AV1046784" s="141"/>
      <c r="AW1046784" s="141"/>
      <c r="AX1046784" s="141"/>
      <c r="BP1046784" s="142"/>
      <c r="BU1046784" s="143"/>
    </row>
    <row r="1046785" customFormat="1" ht="14.25" spans="33:73">
      <c r="AG1046785" s="141"/>
      <c r="AH1046785" s="141"/>
      <c r="AI1046785" s="141"/>
      <c r="AP1046785" s="141"/>
      <c r="AQ1046785" s="141"/>
      <c r="AR1046785" s="141"/>
      <c r="AV1046785" s="141"/>
      <c r="AW1046785" s="141"/>
      <c r="AX1046785" s="141"/>
      <c r="BP1046785" s="142"/>
      <c r="BU1046785" s="143"/>
    </row>
    <row r="1046786" customFormat="1" ht="14.25" spans="33:73">
      <c r="AG1046786" s="141"/>
      <c r="AH1046786" s="141"/>
      <c r="AI1046786" s="141"/>
      <c r="AP1046786" s="141"/>
      <c r="AQ1046786" s="141"/>
      <c r="AR1046786" s="141"/>
      <c r="AV1046786" s="141"/>
      <c r="AW1046786" s="141"/>
      <c r="AX1046786" s="141"/>
      <c r="BP1046786" s="142"/>
      <c r="BU1046786" s="143"/>
    </row>
    <row r="1046787" customFormat="1" ht="14.25" spans="33:73">
      <c r="AG1046787" s="141"/>
      <c r="AH1046787" s="141"/>
      <c r="AI1046787" s="141"/>
      <c r="AP1046787" s="141"/>
      <c r="AQ1046787" s="141"/>
      <c r="AR1046787" s="141"/>
      <c r="AV1046787" s="141"/>
      <c r="AW1046787" s="141"/>
      <c r="AX1046787" s="141"/>
      <c r="BP1046787" s="142"/>
      <c r="BU1046787" s="143"/>
    </row>
    <row r="1046788" customFormat="1" ht="14.25" spans="33:73">
      <c r="AG1046788" s="141"/>
      <c r="AH1046788" s="141"/>
      <c r="AI1046788" s="141"/>
      <c r="AP1046788" s="141"/>
      <c r="AQ1046788" s="141"/>
      <c r="AR1046788" s="141"/>
      <c r="AV1046788" s="141"/>
      <c r="AW1046788" s="141"/>
      <c r="AX1046788" s="141"/>
      <c r="BP1046788" s="142"/>
      <c r="BU1046788" s="143"/>
    </row>
    <row r="1046789" customFormat="1" ht="14.25" spans="33:73">
      <c r="AG1046789" s="141"/>
      <c r="AH1046789" s="141"/>
      <c r="AI1046789" s="141"/>
      <c r="AP1046789" s="141"/>
      <c r="AQ1046789" s="141"/>
      <c r="AR1046789" s="141"/>
      <c r="AV1046789" s="141"/>
      <c r="AW1046789" s="141"/>
      <c r="AX1046789" s="141"/>
      <c r="BP1046789" s="142"/>
      <c r="BU1046789" s="143"/>
    </row>
    <row r="1046790" customFormat="1" ht="14.25" spans="33:73">
      <c r="AG1046790" s="141"/>
      <c r="AH1046790" s="141"/>
      <c r="AI1046790" s="141"/>
      <c r="AP1046790" s="141"/>
      <c r="AQ1046790" s="141"/>
      <c r="AR1046790" s="141"/>
      <c r="AV1046790" s="141"/>
      <c r="AW1046790" s="141"/>
      <c r="AX1046790" s="141"/>
      <c r="BP1046790" s="142"/>
      <c r="BU1046790" s="143"/>
    </row>
    <row r="1046791" customFormat="1" ht="14.25" spans="33:73">
      <c r="AG1046791" s="141"/>
      <c r="AH1046791" s="141"/>
      <c r="AI1046791" s="141"/>
      <c r="AP1046791" s="141"/>
      <c r="AQ1046791" s="141"/>
      <c r="AR1046791" s="141"/>
      <c r="AV1046791" s="141"/>
      <c r="AW1046791" s="141"/>
      <c r="AX1046791" s="141"/>
      <c r="BP1046791" s="142"/>
      <c r="BU1046791" s="143"/>
    </row>
    <row r="1046792" customFormat="1" ht="14.25" spans="33:73">
      <c r="AG1046792" s="141"/>
      <c r="AH1046792" s="141"/>
      <c r="AI1046792" s="141"/>
      <c r="AP1046792" s="141"/>
      <c r="AQ1046792" s="141"/>
      <c r="AR1046792" s="141"/>
      <c r="AV1046792" s="141"/>
      <c r="AW1046792" s="141"/>
      <c r="AX1046792" s="141"/>
      <c r="BP1046792" s="142"/>
      <c r="BU1046792" s="143"/>
    </row>
    <row r="1046793" customFormat="1" ht="14.25" spans="33:73">
      <c r="AG1046793" s="141"/>
      <c r="AH1046793" s="141"/>
      <c r="AI1046793" s="141"/>
      <c r="AP1046793" s="141"/>
      <c r="AQ1046793" s="141"/>
      <c r="AR1046793" s="141"/>
      <c r="AV1046793" s="141"/>
      <c r="AW1046793" s="141"/>
      <c r="AX1046793" s="141"/>
      <c r="BP1046793" s="142"/>
      <c r="BU1046793" s="143"/>
    </row>
    <row r="1046794" customFormat="1" ht="14.25" spans="33:73">
      <c r="AG1046794" s="141"/>
      <c r="AH1046794" s="141"/>
      <c r="AI1046794" s="141"/>
      <c r="AP1046794" s="141"/>
      <c r="AQ1046794" s="141"/>
      <c r="AR1046794" s="141"/>
      <c r="AV1046794" s="141"/>
      <c r="AW1046794" s="141"/>
      <c r="AX1046794" s="141"/>
      <c r="BP1046794" s="142"/>
      <c r="BU1046794" s="143"/>
    </row>
    <row r="1046795" customFormat="1" ht="14.25" spans="33:73">
      <c r="AG1046795" s="141"/>
      <c r="AH1046795" s="141"/>
      <c r="AI1046795" s="141"/>
      <c r="AP1046795" s="141"/>
      <c r="AQ1046795" s="141"/>
      <c r="AR1046795" s="141"/>
      <c r="AV1046795" s="141"/>
      <c r="AW1046795" s="141"/>
      <c r="AX1046795" s="141"/>
      <c r="BP1046795" s="142"/>
      <c r="BU1046795" s="143"/>
    </row>
    <row r="1046796" customFormat="1" ht="14.25" spans="33:73">
      <c r="AG1046796" s="141"/>
      <c r="AH1046796" s="141"/>
      <c r="AI1046796" s="141"/>
      <c r="AP1046796" s="141"/>
      <c r="AQ1046796" s="141"/>
      <c r="AR1046796" s="141"/>
      <c r="AV1046796" s="141"/>
      <c r="AW1046796" s="141"/>
      <c r="AX1046796" s="141"/>
      <c r="BP1046796" s="142"/>
      <c r="BU1046796" s="143"/>
    </row>
    <row r="1046797" customFormat="1" ht="14.25" spans="33:73">
      <c r="AG1046797" s="141"/>
      <c r="AH1046797" s="141"/>
      <c r="AI1046797" s="141"/>
      <c r="AP1046797" s="141"/>
      <c r="AQ1046797" s="141"/>
      <c r="AR1046797" s="141"/>
      <c r="AV1046797" s="141"/>
      <c r="AW1046797" s="141"/>
      <c r="AX1046797" s="141"/>
      <c r="BP1046797" s="142"/>
      <c r="BU1046797" s="143"/>
    </row>
    <row r="1046798" customFormat="1" ht="14.25" spans="33:73">
      <c r="AG1046798" s="141"/>
      <c r="AH1046798" s="141"/>
      <c r="AI1046798" s="141"/>
      <c r="AP1046798" s="141"/>
      <c r="AQ1046798" s="141"/>
      <c r="AR1046798" s="141"/>
      <c r="AV1046798" s="141"/>
      <c r="AW1046798" s="141"/>
      <c r="AX1046798" s="141"/>
      <c r="BP1046798" s="142"/>
      <c r="BU1046798" s="143"/>
    </row>
    <row r="1046799" customFormat="1" ht="14.25" spans="33:73">
      <c r="AG1046799" s="141"/>
      <c r="AH1046799" s="141"/>
      <c r="AI1046799" s="141"/>
      <c r="AP1046799" s="141"/>
      <c r="AQ1046799" s="141"/>
      <c r="AR1046799" s="141"/>
      <c r="AV1046799" s="141"/>
      <c r="AW1046799" s="141"/>
      <c r="AX1046799" s="141"/>
      <c r="BP1046799" s="142"/>
      <c r="BU1046799" s="143"/>
    </row>
    <row r="1046800" customFormat="1" ht="14.25" spans="33:73">
      <c r="AG1046800" s="141"/>
      <c r="AH1046800" s="141"/>
      <c r="AI1046800" s="141"/>
      <c r="AP1046800" s="141"/>
      <c r="AQ1046800" s="141"/>
      <c r="AR1046800" s="141"/>
      <c r="AV1046800" s="141"/>
      <c r="AW1046800" s="141"/>
      <c r="AX1046800" s="141"/>
      <c r="BP1046800" s="142"/>
      <c r="BU1046800" s="143"/>
    </row>
    <row r="1046801" customFormat="1" ht="14.25" spans="33:73">
      <c r="AG1046801" s="141"/>
      <c r="AH1046801" s="141"/>
      <c r="AI1046801" s="141"/>
      <c r="AP1046801" s="141"/>
      <c r="AQ1046801" s="141"/>
      <c r="AR1046801" s="141"/>
      <c r="AV1046801" s="141"/>
      <c r="AW1046801" s="141"/>
      <c r="AX1046801" s="141"/>
      <c r="BP1046801" s="142"/>
      <c r="BU1046801" s="143"/>
    </row>
    <row r="1046802" customFormat="1" ht="14.25" spans="33:73">
      <c r="AG1046802" s="141"/>
      <c r="AH1046802" s="141"/>
      <c r="AI1046802" s="141"/>
      <c r="AP1046802" s="141"/>
      <c r="AQ1046802" s="141"/>
      <c r="AR1046802" s="141"/>
      <c r="AV1046802" s="141"/>
      <c r="AW1046802" s="141"/>
      <c r="AX1046802" s="141"/>
      <c r="BP1046802" s="142"/>
      <c r="BU1046802" s="143"/>
    </row>
    <row r="1046803" customFormat="1" ht="14.25" spans="33:73">
      <c r="AG1046803" s="141"/>
      <c r="AH1046803" s="141"/>
      <c r="AI1046803" s="141"/>
      <c r="AP1046803" s="141"/>
      <c r="AQ1046803" s="141"/>
      <c r="AR1046803" s="141"/>
      <c r="AV1046803" s="141"/>
      <c r="AW1046803" s="141"/>
      <c r="AX1046803" s="141"/>
      <c r="BP1046803" s="142"/>
      <c r="BU1046803" s="143"/>
    </row>
    <row r="1046804" customFormat="1" ht="14.25" spans="33:73">
      <c r="AG1046804" s="141"/>
      <c r="AH1046804" s="141"/>
      <c r="AI1046804" s="141"/>
      <c r="AP1046804" s="141"/>
      <c r="AQ1046804" s="141"/>
      <c r="AR1046804" s="141"/>
      <c r="AV1046804" s="141"/>
      <c r="AW1046804" s="141"/>
      <c r="AX1046804" s="141"/>
      <c r="BP1046804" s="142"/>
      <c r="BU1046804" s="143"/>
    </row>
    <row r="1046805" customFormat="1" ht="14.25" spans="33:73">
      <c r="AG1046805" s="141"/>
      <c r="AH1046805" s="141"/>
      <c r="AI1046805" s="141"/>
      <c r="AP1046805" s="141"/>
      <c r="AQ1046805" s="141"/>
      <c r="AR1046805" s="141"/>
      <c r="AV1046805" s="141"/>
      <c r="AW1046805" s="141"/>
      <c r="AX1046805" s="141"/>
      <c r="BP1046805" s="142"/>
      <c r="BU1046805" s="143"/>
    </row>
    <row r="1046806" customFormat="1" ht="14.25" spans="33:73">
      <c r="AG1046806" s="141"/>
      <c r="AH1046806" s="141"/>
      <c r="AI1046806" s="141"/>
      <c r="AP1046806" s="141"/>
      <c r="AQ1046806" s="141"/>
      <c r="AR1046806" s="141"/>
      <c r="AV1046806" s="141"/>
      <c r="AW1046806" s="141"/>
      <c r="AX1046806" s="141"/>
      <c r="BP1046806" s="142"/>
      <c r="BU1046806" s="143"/>
    </row>
    <row r="1046807" customFormat="1" ht="14.25" spans="33:73">
      <c r="AG1046807" s="141"/>
      <c r="AH1046807" s="141"/>
      <c r="AI1046807" s="141"/>
      <c r="AP1046807" s="141"/>
      <c r="AQ1046807" s="141"/>
      <c r="AR1046807" s="141"/>
      <c r="AV1046807" s="141"/>
      <c r="AW1046807" s="141"/>
      <c r="AX1046807" s="141"/>
      <c r="BP1046807" s="142"/>
      <c r="BU1046807" s="143"/>
    </row>
    <row r="1046808" customFormat="1" ht="14.25" spans="33:73">
      <c r="AG1046808" s="141"/>
      <c r="AH1046808" s="141"/>
      <c r="AI1046808" s="141"/>
      <c r="AP1046808" s="141"/>
      <c r="AQ1046808" s="141"/>
      <c r="AR1046808" s="141"/>
      <c r="AV1046808" s="141"/>
      <c r="AW1046808" s="141"/>
      <c r="AX1046808" s="141"/>
      <c r="BP1046808" s="142"/>
      <c r="BU1046808" s="143"/>
    </row>
    <row r="1046809" customFormat="1" ht="14.25" spans="33:73">
      <c r="AG1046809" s="141"/>
      <c r="AH1046809" s="141"/>
      <c r="AI1046809" s="141"/>
      <c r="AP1046809" s="141"/>
      <c r="AQ1046809" s="141"/>
      <c r="AR1046809" s="141"/>
      <c r="AV1046809" s="141"/>
      <c r="AW1046809" s="141"/>
      <c r="AX1046809" s="141"/>
      <c r="BP1046809" s="142"/>
      <c r="BU1046809" s="143"/>
    </row>
    <row r="1046810" customFormat="1" ht="14.25" spans="33:73">
      <c r="AG1046810" s="141"/>
      <c r="AH1046810" s="141"/>
      <c r="AI1046810" s="141"/>
      <c r="AP1046810" s="141"/>
      <c r="AQ1046810" s="141"/>
      <c r="AR1046810" s="141"/>
      <c r="AV1046810" s="141"/>
      <c r="AW1046810" s="141"/>
      <c r="AX1046810" s="141"/>
      <c r="BP1046810" s="142"/>
      <c r="BU1046810" s="143"/>
    </row>
    <row r="1046811" customFormat="1" ht="14.25" spans="33:73">
      <c r="AG1046811" s="141"/>
      <c r="AH1046811" s="141"/>
      <c r="AI1046811" s="141"/>
      <c r="AP1046811" s="141"/>
      <c r="AQ1046811" s="141"/>
      <c r="AR1046811" s="141"/>
      <c r="AV1046811" s="141"/>
      <c r="AW1046811" s="141"/>
      <c r="AX1046811" s="141"/>
      <c r="BP1046811" s="142"/>
      <c r="BU1046811" s="143"/>
    </row>
    <row r="1046812" customFormat="1" ht="14.25" spans="33:73">
      <c r="AG1046812" s="141"/>
      <c r="AH1046812" s="141"/>
      <c r="AI1046812" s="141"/>
      <c r="AP1046812" s="141"/>
      <c r="AQ1046812" s="141"/>
      <c r="AR1046812" s="141"/>
      <c r="AV1046812" s="141"/>
      <c r="AW1046812" s="141"/>
      <c r="AX1046812" s="141"/>
      <c r="BP1046812" s="142"/>
      <c r="BU1046812" s="143"/>
    </row>
    <row r="1046813" customFormat="1" ht="14.25" spans="33:73">
      <c r="AG1046813" s="141"/>
      <c r="AH1046813" s="141"/>
      <c r="AI1046813" s="141"/>
      <c r="AP1046813" s="141"/>
      <c r="AQ1046813" s="141"/>
      <c r="AR1046813" s="141"/>
      <c r="AV1046813" s="141"/>
      <c r="AW1046813" s="141"/>
      <c r="AX1046813" s="141"/>
      <c r="BP1046813" s="142"/>
      <c r="BU1046813" s="143"/>
    </row>
    <row r="1046814" customFormat="1" ht="14.25" spans="33:73">
      <c r="AG1046814" s="141"/>
      <c r="AH1046814" s="141"/>
      <c r="AI1046814" s="141"/>
      <c r="AP1046814" s="141"/>
      <c r="AQ1046814" s="141"/>
      <c r="AR1046814" s="141"/>
      <c r="AV1046814" s="141"/>
      <c r="AW1046814" s="141"/>
      <c r="AX1046814" s="141"/>
      <c r="BP1046814" s="142"/>
      <c r="BU1046814" s="143"/>
    </row>
    <row r="1046815" customFormat="1" ht="14.25" spans="33:73">
      <c r="AG1046815" s="141"/>
      <c r="AH1046815" s="141"/>
      <c r="AI1046815" s="141"/>
      <c r="AP1046815" s="141"/>
      <c r="AQ1046815" s="141"/>
      <c r="AR1046815" s="141"/>
      <c r="AV1046815" s="141"/>
      <c r="AW1046815" s="141"/>
      <c r="AX1046815" s="141"/>
      <c r="BP1046815" s="142"/>
      <c r="BU1046815" s="143"/>
    </row>
    <row r="1046816" customFormat="1" ht="14.25" spans="33:73">
      <c r="AG1046816" s="141"/>
      <c r="AH1046816" s="141"/>
      <c r="AI1046816" s="141"/>
      <c r="AP1046816" s="141"/>
      <c r="AQ1046816" s="141"/>
      <c r="AR1046816" s="141"/>
      <c r="AV1046816" s="141"/>
      <c r="AW1046816" s="141"/>
      <c r="AX1046816" s="141"/>
      <c r="BP1046816" s="142"/>
      <c r="BU1046816" s="143"/>
    </row>
    <row r="1046817" customFormat="1" ht="14.25" spans="33:73">
      <c r="AG1046817" s="141"/>
      <c r="AH1046817" s="141"/>
      <c r="AI1046817" s="141"/>
      <c r="AP1046817" s="141"/>
      <c r="AQ1046817" s="141"/>
      <c r="AR1046817" s="141"/>
      <c r="AV1046817" s="141"/>
      <c r="AW1046817" s="141"/>
      <c r="AX1046817" s="141"/>
      <c r="BP1046817" s="142"/>
      <c r="BU1046817" s="143"/>
    </row>
    <row r="1046818" customFormat="1" ht="14.25" spans="33:73">
      <c r="AG1046818" s="141"/>
      <c r="AH1046818" s="141"/>
      <c r="AI1046818" s="141"/>
      <c r="AP1046818" s="141"/>
      <c r="AQ1046818" s="141"/>
      <c r="AR1046818" s="141"/>
      <c r="AV1046818" s="141"/>
      <c r="AW1046818" s="141"/>
      <c r="AX1046818" s="141"/>
      <c r="BP1046818" s="142"/>
      <c r="BU1046818" s="143"/>
    </row>
    <row r="1046819" customFormat="1" ht="14.25" spans="33:73">
      <c r="AG1046819" s="141"/>
      <c r="AH1046819" s="141"/>
      <c r="AI1046819" s="141"/>
      <c r="AP1046819" s="141"/>
      <c r="AQ1046819" s="141"/>
      <c r="AR1046819" s="141"/>
      <c r="AV1046819" s="141"/>
      <c r="AW1046819" s="141"/>
      <c r="AX1046819" s="141"/>
      <c r="BP1046819" s="142"/>
      <c r="BU1046819" s="143"/>
    </row>
    <row r="1046820" customFormat="1" ht="14.25" spans="33:73">
      <c r="AG1046820" s="141"/>
      <c r="AH1046820" s="141"/>
      <c r="AI1046820" s="141"/>
      <c r="AP1046820" s="141"/>
      <c r="AQ1046820" s="141"/>
      <c r="AR1046820" s="141"/>
      <c r="AV1046820" s="141"/>
      <c r="AW1046820" s="141"/>
      <c r="AX1046820" s="141"/>
      <c r="BP1046820" s="142"/>
      <c r="BU1046820" s="143"/>
    </row>
    <row r="1046821" customFormat="1" ht="14.25" spans="33:73">
      <c r="AG1046821" s="141"/>
      <c r="AH1046821" s="141"/>
      <c r="AI1046821" s="141"/>
      <c r="AP1046821" s="141"/>
      <c r="AQ1046821" s="141"/>
      <c r="AR1046821" s="141"/>
      <c r="AV1046821" s="141"/>
      <c r="AW1046821" s="141"/>
      <c r="AX1046821" s="141"/>
      <c r="BP1046821" s="142"/>
      <c r="BU1046821" s="143"/>
    </row>
    <row r="1046822" customFormat="1" ht="14.25" spans="33:73">
      <c r="AG1046822" s="141"/>
      <c r="AH1046822" s="141"/>
      <c r="AI1046822" s="141"/>
      <c r="AP1046822" s="141"/>
      <c r="AQ1046822" s="141"/>
      <c r="AR1046822" s="141"/>
      <c r="AV1046822" s="141"/>
      <c r="AW1046822" s="141"/>
      <c r="AX1046822" s="141"/>
      <c r="BP1046822" s="142"/>
      <c r="BU1046822" s="143"/>
    </row>
    <row r="1046823" customFormat="1" ht="14.25" spans="33:73">
      <c r="AG1046823" s="141"/>
      <c r="AH1046823" s="141"/>
      <c r="AI1046823" s="141"/>
      <c r="AP1046823" s="141"/>
      <c r="AQ1046823" s="141"/>
      <c r="AR1046823" s="141"/>
      <c r="AV1046823" s="141"/>
      <c r="AW1046823" s="141"/>
      <c r="AX1046823" s="141"/>
      <c r="BP1046823" s="142"/>
      <c r="BU1046823" s="143"/>
    </row>
    <row r="1046824" customFormat="1" ht="14.25" spans="33:73">
      <c r="AG1046824" s="141"/>
      <c r="AH1046824" s="141"/>
      <c r="AI1046824" s="141"/>
      <c r="AP1046824" s="141"/>
      <c r="AQ1046824" s="141"/>
      <c r="AR1046824" s="141"/>
      <c r="AV1046824" s="141"/>
      <c r="AW1046824" s="141"/>
      <c r="AX1046824" s="141"/>
      <c r="BP1046824" s="142"/>
      <c r="BU1046824" s="143"/>
    </row>
    <row r="1046825" customFormat="1" ht="14.25" spans="33:73">
      <c r="AG1046825" s="141"/>
      <c r="AH1046825" s="141"/>
      <c r="AI1046825" s="141"/>
      <c r="AP1046825" s="141"/>
      <c r="AQ1046825" s="141"/>
      <c r="AR1046825" s="141"/>
      <c r="AV1046825" s="141"/>
      <c r="AW1046825" s="141"/>
      <c r="AX1046825" s="141"/>
      <c r="BP1046825" s="142"/>
      <c r="BU1046825" s="143"/>
    </row>
    <row r="1046826" customFormat="1" ht="14.25" spans="33:73">
      <c r="AG1046826" s="141"/>
      <c r="AH1046826" s="141"/>
      <c r="AI1046826" s="141"/>
      <c r="AP1046826" s="141"/>
      <c r="AQ1046826" s="141"/>
      <c r="AR1046826" s="141"/>
      <c r="AV1046826" s="141"/>
      <c r="AW1046826" s="141"/>
      <c r="AX1046826" s="141"/>
      <c r="BP1046826" s="142"/>
      <c r="BU1046826" s="143"/>
    </row>
    <row r="1046827" customFormat="1" ht="14.25" spans="33:73">
      <c r="AG1046827" s="141"/>
      <c r="AH1046827" s="141"/>
      <c r="AI1046827" s="141"/>
      <c r="AP1046827" s="141"/>
      <c r="AQ1046827" s="141"/>
      <c r="AR1046827" s="141"/>
      <c r="AV1046827" s="141"/>
      <c r="AW1046827" s="141"/>
      <c r="AX1046827" s="141"/>
      <c r="BP1046827" s="142"/>
      <c r="BU1046827" s="143"/>
    </row>
    <row r="1046828" customFormat="1" ht="14.25" spans="33:73">
      <c r="AG1046828" s="141"/>
      <c r="AH1046828" s="141"/>
      <c r="AI1046828" s="141"/>
      <c r="AP1046828" s="141"/>
      <c r="AQ1046828" s="141"/>
      <c r="AR1046828" s="141"/>
      <c r="AV1046828" s="141"/>
      <c r="AW1046828" s="141"/>
      <c r="AX1046828" s="141"/>
      <c r="BP1046828" s="142"/>
      <c r="BU1046828" s="143"/>
    </row>
    <row r="1046829" customFormat="1" ht="14.25" spans="33:73">
      <c r="AG1046829" s="141"/>
      <c r="AH1046829" s="141"/>
      <c r="AI1046829" s="141"/>
      <c r="AP1046829" s="141"/>
      <c r="AQ1046829" s="141"/>
      <c r="AR1046829" s="141"/>
      <c r="AV1046829" s="141"/>
      <c r="AW1046829" s="141"/>
      <c r="AX1046829" s="141"/>
      <c r="BP1046829" s="142"/>
      <c r="BU1046829" s="143"/>
    </row>
    <row r="1046830" customFormat="1" ht="14.25" spans="33:73">
      <c r="AG1046830" s="141"/>
      <c r="AH1046830" s="141"/>
      <c r="AI1046830" s="141"/>
      <c r="AP1046830" s="141"/>
      <c r="AQ1046830" s="141"/>
      <c r="AR1046830" s="141"/>
      <c r="AV1046830" s="141"/>
      <c r="AW1046830" s="141"/>
      <c r="AX1046830" s="141"/>
      <c r="BP1046830" s="142"/>
      <c r="BU1046830" s="143"/>
    </row>
    <row r="1046831" customFormat="1" ht="14.25" spans="33:73">
      <c r="AG1046831" s="141"/>
      <c r="AH1046831" s="141"/>
      <c r="AI1046831" s="141"/>
      <c r="AP1046831" s="141"/>
      <c r="AQ1046831" s="141"/>
      <c r="AR1046831" s="141"/>
      <c r="AV1046831" s="141"/>
      <c r="AW1046831" s="141"/>
      <c r="AX1046831" s="141"/>
      <c r="BP1046831" s="142"/>
      <c r="BU1046831" s="143"/>
    </row>
    <row r="1046832" customFormat="1" ht="14.25" spans="33:73">
      <c r="AG1046832" s="141"/>
      <c r="AH1046832" s="141"/>
      <c r="AI1046832" s="141"/>
      <c r="AP1046832" s="141"/>
      <c r="AQ1046832" s="141"/>
      <c r="AR1046832" s="141"/>
      <c r="AV1046832" s="141"/>
      <c r="AW1046832" s="141"/>
      <c r="AX1046832" s="141"/>
      <c r="BP1046832" s="142"/>
      <c r="BU1046832" s="143"/>
    </row>
    <row r="1046833" customFormat="1" ht="14.25" spans="33:73">
      <c r="AG1046833" s="141"/>
      <c r="AH1046833" s="141"/>
      <c r="AI1046833" s="141"/>
      <c r="AP1046833" s="141"/>
      <c r="AQ1046833" s="141"/>
      <c r="AR1046833" s="141"/>
      <c r="AV1046833" s="141"/>
      <c r="AW1046833" s="141"/>
      <c r="AX1046833" s="141"/>
      <c r="BP1046833" s="142"/>
      <c r="BU1046833" s="143"/>
    </row>
    <row r="1046834" customFormat="1" ht="14.25" spans="33:73">
      <c r="AG1046834" s="141"/>
      <c r="AH1046834" s="141"/>
      <c r="AI1046834" s="141"/>
      <c r="AP1046834" s="141"/>
      <c r="AQ1046834" s="141"/>
      <c r="AR1046834" s="141"/>
      <c r="AV1046834" s="141"/>
      <c r="AW1046834" s="141"/>
      <c r="AX1046834" s="141"/>
      <c r="BP1046834" s="142"/>
      <c r="BU1046834" s="143"/>
    </row>
    <row r="1046835" customFormat="1" ht="14.25" spans="33:73">
      <c r="AG1046835" s="141"/>
      <c r="AH1046835" s="141"/>
      <c r="AI1046835" s="141"/>
      <c r="AP1046835" s="141"/>
      <c r="AQ1046835" s="141"/>
      <c r="AR1046835" s="141"/>
      <c r="AV1046835" s="141"/>
      <c r="AW1046835" s="141"/>
      <c r="AX1046835" s="141"/>
      <c r="BP1046835" s="142"/>
      <c r="BU1046835" s="143"/>
    </row>
    <row r="1046836" customFormat="1" ht="14.25" spans="33:73">
      <c r="AG1046836" s="141"/>
      <c r="AH1046836" s="141"/>
      <c r="AI1046836" s="141"/>
      <c r="AP1046836" s="141"/>
      <c r="AQ1046836" s="141"/>
      <c r="AR1046836" s="141"/>
      <c r="AV1046836" s="141"/>
      <c r="AW1046836" s="141"/>
      <c r="AX1046836" s="141"/>
      <c r="BP1046836" s="142"/>
      <c r="BU1046836" s="143"/>
    </row>
    <row r="1046837" customFormat="1" ht="14.25" spans="33:73">
      <c r="AG1046837" s="141"/>
      <c r="AH1046837" s="141"/>
      <c r="AI1046837" s="141"/>
      <c r="AP1046837" s="141"/>
      <c r="AQ1046837" s="141"/>
      <c r="AR1046837" s="141"/>
      <c r="AV1046837" s="141"/>
      <c r="AW1046837" s="141"/>
      <c r="AX1046837" s="141"/>
      <c r="BP1046837" s="142"/>
      <c r="BU1046837" s="143"/>
    </row>
    <row r="1046838" customFormat="1" ht="14.25" spans="33:73">
      <c r="AG1046838" s="141"/>
      <c r="AH1046838" s="141"/>
      <c r="AI1046838" s="141"/>
      <c r="AP1046838" s="141"/>
      <c r="AQ1046838" s="141"/>
      <c r="AR1046838" s="141"/>
      <c r="AV1046838" s="141"/>
      <c r="AW1046838" s="141"/>
      <c r="AX1046838" s="141"/>
      <c r="BP1046838" s="142"/>
      <c r="BU1046838" s="143"/>
    </row>
    <row r="1046839" customFormat="1" ht="14.25" spans="33:73">
      <c r="AG1046839" s="141"/>
      <c r="AH1046839" s="141"/>
      <c r="AI1046839" s="141"/>
      <c r="AP1046839" s="141"/>
      <c r="AQ1046839" s="141"/>
      <c r="AR1046839" s="141"/>
      <c r="AV1046839" s="141"/>
      <c r="AW1046839" s="141"/>
      <c r="AX1046839" s="141"/>
      <c r="BP1046839" s="142"/>
      <c r="BU1046839" s="143"/>
    </row>
    <row r="1046840" customFormat="1" ht="14.25" spans="33:73">
      <c r="AG1046840" s="141"/>
      <c r="AH1046840" s="141"/>
      <c r="AI1046840" s="141"/>
      <c r="AP1046840" s="141"/>
      <c r="AQ1046840" s="141"/>
      <c r="AR1046840" s="141"/>
      <c r="AV1046840" s="141"/>
      <c r="AW1046840" s="141"/>
      <c r="AX1046840" s="141"/>
      <c r="BP1046840" s="142"/>
      <c r="BU1046840" s="143"/>
    </row>
    <row r="1046841" customFormat="1" ht="14.25" spans="33:73">
      <c r="AG1046841" s="141"/>
      <c r="AH1046841" s="141"/>
      <c r="AI1046841" s="141"/>
      <c r="AP1046841" s="141"/>
      <c r="AQ1046841" s="141"/>
      <c r="AR1046841" s="141"/>
      <c r="AV1046841" s="141"/>
      <c r="AW1046841" s="141"/>
      <c r="AX1046841" s="141"/>
      <c r="BP1046841" s="142"/>
      <c r="BU1046841" s="143"/>
    </row>
    <row r="1046842" customFormat="1" ht="14.25" spans="33:73">
      <c r="AG1046842" s="141"/>
      <c r="AH1046842" s="141"/>
      <c r="AI1046842" s="141"/>
      <c r="AP1046842" s="141"/>
      <c r="AQ1046842" s="141"/>
      <c r="AR1046842" s="141"/>
      <c r="AV1046842" s="141"/>
      <c r="AW1046842" s="141"/>
      <c r="AX1046842" s="141"/>
      <c r="BP1046842" s="142"/>
      <c r="BU1046842" s="143"/>
    </row>
    <row r="1046843" customFormat="1" ht="14.25" spans="33:73">
      <c r="AG1046843" s="141"/>
      <c r="AH1046843" s="141"/>
      <c r="AI1046843" s="141"/>
      <c r="AP1046843" s="141"/>
      <c r="AQ1046843" s="141"/>
      <c r="AR1046843" s="141"/>
      <c r="AV1046843" s="141"/>
      <c r="AW1046843" s="141"/>
      <c r="AX1046843" s="141"/>
      <c r="BP1046843" s="142"/>
      <c r="BU1046843" s="143"/>
    </row>
    <row r="1046844" customFormat="1" ht="14.25" spans="33:73">
      <c r="AG1046844" s="141"/>
      <c r="AH1046844" s="141"/>
      <c r="AI1046844" s="141"/>
      <c r="AP1046844" s="141"/>
      <c r="AQ1046844" s="141"/>
      <c r="AR1046844" s="141"/>
      <c r="AV1046844" s="141"/>
      <c r="AW1046844" s="141"/>
      <c r="AX1046844" s="141"/>
      <c r="BP1046844" s="142"/>
      <c r="BU1046844" s="143"/>
    </row>
    <row r="1046845" customFormat="1" ht="14.25" spans="33:73">
      <c r="AG1046845" s="141"/>
      <c r="AH1046845" s="141"/>
      <c r="AI1046845" s="141"/>
      <c r="AP1046845" s="141"/>
      <c r="AQ1046845" s="141"/>
      <c r="AR1046845" s="141"/>
      <c r="AV1046845" s="141"/>
      <c r="AW1046845" s="141"/>
      <c r="AX1046845" s="141"/>
      <c r="BP1046845" s="142"/>
      <c r="BU1046845" s="143"/>
    </row>
    <row r="1046846" customFormat="1" ht="14.25" spans="33:73">
      <c r="AG1046846" s="141"/>
      <c r="AH1046846" s="141"/>
      <c r="AI1046846" s="141"/>
      <c r="AP1046846" s="141"/>
      <c r="AQ1046846" s="141"/>
      <c r="AR1046846" s="141"/>
      <c r="AV1046846" s="141"/>
      <c r="AW1046846" s="141"/>
      <c r="AX1046846" s="141"/>
      <c r="BP1046846" s="142"/>
      <c r="BU1046846" s="143"/>
    </row>
    <row r="1046847" customFormat="1" ht="14.25" spans="33:73">
      <c r="AG1046847" s="141"/>
      <c r="AH1046847" s="141"/>
      <c r="AI1046847" s="141"/>
      <c r="AP1046847" s="141"/>
      <c r="AQ1046847" s="141"/>
      <c r="AR1046847" s="141"/>
      <c r="AV1046847" s="141"/>
      <c r="AW1046847" s="141"/>
      <c r="AX1046847" s="141"/>
      <c r="BP1046847" s="142"/>
      <c r="BU1046847" s="143"/>
    </row>
    <row r="1046848" customFormat="1" ht="14.25" spans="33:73">
      <c r="AG1046848" s="141"/>
      <c r="AH1046848" s="141"/>
      <c r="AI1046848" s="141"/>
      <c r="AP1046848" s="141"/>
      <c r="AQ1046848" s="141"/>
      <c r="AR1046848" s="141"/>
      <c r="AV1046848" s="141"/>
      <c r="AW1046848" s="141"/>
      <c r="AX1046848" s="141"/>
      <c r="BP1046848" s="142"/>
      <c r="BU1046848" s="143"/>
    </row>
    <row r="1046849" customFormat="1" ht="14.25" spans="33:73">
      <c r="AG1046849" s="141"/>
      <c r="AH1046849" s="141"/>
      <c r="AI1046849" s="141"/>
      <c r="AP1046849" s="141"/>
      <c r="AQ1046849" s="141"/>
      <c r="AR1046849" s="141"/>
      <c r="AV1046849" s="141"/>
      <c r="AW1046849" s="141"/>
      <c r="AX1046849" s="141"/>
      <c r="BP1046849" s="142"/>
      <c r="BU1046849" s="143"/>
    </row>
    <row r="1046850" customFormat="1" ht="14.25" spans="33:73">
      <c r="AG1046850" s="141"/>
      <c r="AH1046850" s="141"/>
      <c r="AI1046850" s="141"/>
      <c r="AP1046850" s="141"/>
      <c r="AQ1046850" s="141"/>
      <c r="AR1046850" s="141"/>
      <c r="AV1046850" s="141"/>
      <c r="AW1046850" s="141"/>
      <c r="AX1046850" s="141"/>
      <c r="BP1046850" s="142"/>
      <c r="BU1046850" s="143"/>
    </row>
    <row r="1046851" customFormat="1" ht="14.25" spans="33:73">
      <c r="AG1046851" s="141"/>
      <c r="AH1046851" s="141"/>
      <c r="AI1046851" s="141"/>
      <c r="AP1046851" s="141"/>
      <c r="AQ1046851" s="141"/>
      <c r="AR1046851" s="141"/>
      <c r="AV1046851" s="141"/>
      <c r="AW1046851" s="141"/>
      <c r="AX1046851" s="141"/>
      <c r="BP1046851" s="142"/>
      <c r="BU1046851" s="143"/>
    </row>
    <row r="1046852" customFormat="1" ht="14.25" spans="33:73">
      <c r="AG1046852" s="141"/>
      <c r="AH1046852" s="141"/>
      <c r="AI1046852" s="141"/>
      <c r="AP1046852" s="141"/>
      <c r="AQ1046852" s="141"/>
      <c r="AR1046852" s="141"/>
      <c r="AV1046852" s="141"/>
      <c r="AW1046852" s="141"/>
      <c r="AX1046852" s="141"/>
      <c r="BP1046852" s="142"/>
      <c r="BU1046852" s="143"/>
    </row>
    <row r="1046853" customFormat="1" ht="14.25" spans="33:73">
      <c r="AG1046853" s="141"/>
      <c r="AH1046853" s="141"/>
      <c r="AI1046853" s="141"/>
      <c r="AP1046853" s="141"/>
      <c r="AQ1046853" s="141"/>
      <c r="AR1046853" s="141"/>
      <c r="AV1046853" s="141"/>
      <c r="AW1046853" s="141"/>
      <c r="AX1046853" s="141"/>
      <c r="BP1046853" s="142"/>
      <c r="BU1046853" s="143"/>
    </row>
    <row r="1046854" customFormat="1" ht="14.25" spans="33:73">
      <c r="AG1046854" s="141"/>
      <c r="AH1046854" s="141"/>
      <c r="AI1046854" s="141"/>
      <c r="AP1046854" s="141"/>
      <c r="AQ1046854" s="141"/>
      <c r="AR1046854" s="141"/>
      <c r="AV1046854" s="141"/>
      <c r="AW1046854" s="141"/>
      <c r="AX1046854" s="141"/>
      <c r="BP1046854" s="142"/>
      <c r="BU1046854" s="143"/>
    </row>
    <row r="1046855" customFormat="1" ht="14.25" spans="33:73">
      <c r="AG1046855" s="141"/>
      <c r="AH1046855" s="141"/>
      <c r="AI1046855" s="141"/>
      <c r="AP1046855" s="141"/>
      <c r="AQ1046855" s="141"/>
      <c r="AR1046855" s="141"/>
      <c r="AV1046855" s="141"/>
      <c r="AW1046855" s="141"/>
      <c r="AX1046855" s="141"/>
      <c r="BP1046855" s="142"/>
      <c r="BU1046855" s="143"/>
    </row>
    <row r="1046856" customFormat="1" ht="14.25" spans="33:73">
      <c r="AG1046856" s="141"/>
      <c r="AH1046856" s="141"/>
      <c r="AI1046856" s="141"/>
      <c r="AP1046856" s="141"/>
      <c r="AQ1046856" s="141"/>
      <c r="AR1046856" s="141"/>
      <c r="AV1046856" s="141"/>
      <c r="AW1046856" s="141"/>
      <c r="AX1046856" s="141"/>
      <c r="BP1046856" s="142"/>
      <c r="BU1046856" s="143"/>
    </row>
    <row r="1046857" customFormat="1" ht="14.25" spans="33:73">
      <c r="AG1046857" s="141"/>
      <c r="AH1046857" s="141"/>
      <c r="AI1046857" s="141"/>
      <c r="AP1046857" s="141"/>
      <c r="AQ1046857" s="141"/>
      <c r="AR1046857" s="141"/>
      <c r="AV1046857" s="141"/>
      <c r="AW1046857" s="141"/>
      <c r="AX1046857" s="141"/>
      <c r="BP1046857" s="142"/>
      <c r="BU1046857" s="143"/>
    </row>
    <row r="1046858" customFormat="1" ht="14.25" spans="33:73">
      <c r="AG1046858" s="141"/>
      <c r="AH1046858" s="141"/>
      <c r="AI1046858" s="141"/>
      <c r="AP1046858" s="141"/>
      <c r="AQ1046858" s="141"/>
      <c r="AR1046858" s="141"/>
      <c r="AV1046858" s="141"/>
      <c r="AW1046858" s="141"/>
      <c r="AX1046858" s="141"/>
      <c r="BP1046858" s="142"/>
      <c r="BU1046858" s="143"/>
    </row>
    <row r="1046859" customFormat="1" ht="14.25" spans="33:73">
      <c r="AG1046859" s="141"/>
      <c r="AH1046859" s="141"/>
      <c r="AI1046859" s="141"/>
      <c r="AP1046859" s="141"/>
      <c r="AQ1046859" s="141"/>
      <c r="AR1046859" s="141"/>
      <c r="AV1046859" s="141"/>
      <c r="AW1046859" s="141"/>
      <c r="AX1046859" s="141"/>
      <c r="BP1046859" s="142"/>
      <c r="BU1046859" s="143"/>
    </row>
    <row r="1046860" customFormat="1" ht="14.25" spans="33:73">
      <c r="AG1046860" s="141"/>
      <c r="AH1046860" s="141"/>
      <c r="AI1046860" s="141"/>
      <c r="AP1046860" s="141"/>
      <c r="AQ1046860" s="141"/>
      <c r="AR1046860" s="141"/>
      <c r="AV1046860" s="141"/>
      <c r="AW1046860" s="141"/>
      <c r="AX1046860" s="141"/>
      <c r="BP1046860" s="142"/>
      <c r="BU1046860" s="143"/>
    </row>
    <row r="1046861" customFormat="1" ht="14.25" spans="33:73">
      <c r="AG1046861" s="141"/>
      <c r="AH1046861" s="141"/>
      <c r="AI1046861" s="141"/>
      <c r="AP1046861" s="141"/>
      <c r="AQ1046861" s="141"/>
      <c r="AR1046861" s="141"/>
      <c r="AV1046861" s="141"/>
      <c r="AW1046861" s="141"/>
      <c r="AX1046861" s="141"/>
      <c r="BP1046861" s="142"/>
      <c r="BU1046861" s="143"/>
    </row>
    <row r="1046862" customFormat="1" ht="14.25" spans="33:73">
      <c r="AG1046862" s="141"/>
      <c r="AH1046862" s="141"/>
      <c r="AI1046862" s="141"/>
      <c r="AP1046862" s="141"/>
      <c r="AQ1046862" s="141"/>
      <c r="AR1046862" s="141"/>
      <c r="AV1046862" s="141"/>
      <c r="AW1046862" s="141"/>
      <c r="AX1046862" s="141"/>
      <c r="BP1046862" s="142"/>
      <c r="BU1046862" s="143"/>
    </row>
    <row r="1046863" customFormat="1" ht="14.25" spans="33:73">
      <c r="AG1046863" s="141"/>
      <c r="AH1046863" s="141"/>
      <c r="AI1046863" s="141"/>
      <c r="AP1046863" s="141"/>
      <c r="AQ1046863" s="141"/>
      <c r="AR1046863" s="141"/>
      <c r="AV1046863" s="141"/>
      <c r="AW1046863" s="141"/>
      <c r="AX1046863" s="141"/>
      <c r="BP1046863" s="142"/>
      <c r="BU1046863" s="143"/>
    </row>
    <row r="1046864" customFormat="1" ht="14.25" spans="33:73">
      <c r="AG1046864" s="141"/>
      <c r="AH1046864" s="141"/>
      <c r="AI1046864" s="141"/>
      <c r="AP1046864" s="141"/>
      <c r="AQ1046864" s="141"/>
      <c r="AR1046864" s="141"/>
      <c r="AV1046864" s="141"/>
      <c r="AW1046864" s="141"/>
      <c r="AX1046864" s="141"/>
      <c r="BP1046864" s="142"/>
      <c r="BU1046864" s="143"/>
    </row>
    <row r="1046865" customFormat="1" ht="14.25" spans="33:73">
      <c r="AG1046865" s="141"/>
      <c r="AH1046865" s="141"/>
      <c r="AI1046865" s="141"/>
      <c r="AP1046865" s="141"/>
      <c r="AQ1046865" s="141"/>
      <c r="AR1046865" s="141"/>
      <c r="AV1046865" s="141"/>
      <c r="AW1046865" s="141"/>
      <c r="AX1046865" s="141"/>
      <c r="BP1046865" s="142"/>
      <c r="BU1046865" s="143"/>
    </row>
    <row r="1046866" customFormat="1" ht="14.25" spans="33:73">
      <c r="AG1046866" s="141"/>
      <c r="AH1046866" s="141"/>
      <c r="AI1046866" s="141"/>
      <c r="AP1046866" s="141"/>
      <c r="AQ1046866" s="141"/>
      <c r="AR1046866" s="141"/>
      <c r="AV1046866" s="141"/>
      <c r="AW1046866" s="141"/>
      <c r="AX1046866" s="141"/>
      <c r="BP1046866" s="142"/>
      <c r="BU1046866" s="143"/>
    </row>
    <row r="1046867" customFormat="1" ht="14.25" spans="33:73">
      <c r="AG1046867" s="141"/>
      <c r="AH1046867" s="141"/>
      <c r="AI1046867" s="141"/>
      <c r="AP1046867" s="141"/>
      <c r="AQ1046867" s="141"/>
      <c r="AR1046867" s="141"/>
      <c r="AV1046867" s="141"/>
      <c r="AW1046867" s="141"/>
      <c r="AX1046867" s="141"/>
      <c r="BP1046867" s="142"/>
      <c r="BU1046867" s="143"/>
    </row>
    <row r="1046868" customFormat="1" ht="14.25" spans="33:73">
      <c r="AG1046868" s="141"/>
      <c r="AH1046868" s="141"/>
      <c r="AI1046868" s="141"/>
      <c r="AP1046868" s="141"/>
      <c r="AQ1046868" s="141"/>
      <c r="AR1046868" s="141"/>
      <c r="AV1046868" s="141"/>
      <c r="AW1046868" s="141"/>
      <c r="AX1046868" s="141"/>
      <c r="BP1046868" s="142"/>
      <c r="BU1046868" s="143"/>
    </row>
    <row r="1046869" customFormat="1" ht="14.25" spans="33:73">
      <c r="AG1046869" s="141"/>
      <c r="AH1046869" s="141"/>
      <c r="AI1046869" s="141"/>
      <c r="AP1046869" s="141"/>
      <c r="AQ1046869" s="141"/>
      <c r="AR1046869" s="141"/>
      <c r="AV1046869" s="141"/>
      <c r="AW1046869" s="141"/>
      <c r="AX1046869" s="141"/>
      <c r="BP1046869" s="142"/>
      <c r="BU1046869" s="143"/>
    </row>
    <row r="1046870" customFormat="1" ht="14.25" spans="33:73">
      <c r="AG1046870" s="141"/>
      <c r="AH1046870" s="141"/>
      <c r="AI1046870" s="141"/>
      <c r="AP1046870" s="141"/>
      <c r="AQ1046870" s="141"/>
      <c r="AR1046870" s="141"/>
      <c r="AV1046870" s="141"/>
      <c r="AW1046870" s="141"/>
      <c r="AX1046870" s="141"/>
      <c r="BP1046870" s="142"/>
      <c r="BU1046870" s="143"/>
    </row>
    <row r="1046871" customFormat="1" ht="14.25" spans="33:73">
      <c r="AG1046871" s="141"/>
      <c r="AH1046871" s="141"/>
      <c r="AI1046871" s="141"/>
      <c r="AP1046871" s="141"/>
      <c r="AQ1046871" s="141"/>
      <c r="AR1046871" s="141"/>
      <c r="AV1046871" s="141"/>
      <c r="AW1046871" s="141"/>
      <c r="AX1046871" s="141"/>
      <c r="BP1046871" s="142"/>
      <c r="BU1046871" s="143"/>
    </row>
    <row r="1046872" customFormat="1" ht="14.25" spans="33:73">
      <c r="AG1046872" s="141"/>
      <c r="AH1046872" s="141"/>
      <c r="AI1046872" s="141"/>
      <c r="AP1046872" s="141"/>
      <c r="AQ1046872" s="141"/>
      <c r="AR1046872" s="141"/>
      <c r="AV1046872" s="141"/>
      <c r="AW1046872" s="141"/>
      <c r="AX1046872" s="141"/>
      <c r="BP1046872" s="142"/>
      <c r="BU1046872" s="143"/>
    </row>
    <row r="1046873" customFormat="1" ht="14.25" spans="33:73">
      <c r="AG1046873" s="141"/>
      <c r="AH1046873" s="141"/>
      <c r="AI1046873" s="141"/>
      <c r="AP1046873" s="141"/>
      <c r="AQ1046873" s="141"/>
      <c r="AR1046873" s="141"/>
      <c r="AV1046873" s="141"/>
      <c r="AW1046873" s="141"/>
      <c r="AX1046873" s="141"/>
      <c r="BP1046873" s="142"/>
      <c r="BU1046873" s="143"/>
    </row>
    <row r="1046874" customFormat="1" ht="14.25" spans="33:73">
      <c r="AG1046874" s="141"/>
      <c r="AH1046874" s="141"/>
      <c r="AI1046874" s="141"/>
      <c r="AP1046874" s="141"/>
      <c r="AQ1046874" s="141"/>
      <c r="AR1046874" s="141"/>
      <c r="AV1046874" s="141"/>
      <c r="AW1046874" s="141"/>
      <c r="AX1046874" s="141"/>
      <c r="BP1046874" s="142"/>
      <c r="BU1046874" s="143"/>
    </row>
    <row r="1046875" customFormat="1" ht="14.25" spans="33:73">
      <c r="AG1046875" s="141"/>
      <c r="AH1046875" s="141"/>
      <c r="AI1046875" s="141"/>
      <c r="AP1046875" s="141"/>
      <c r="AQ1046875" s="141"/>
      <c r="AR1046875" s="141"/>
      <c r="AV1046875" s="141"/>
      <c r="AW1046875" s="141"/>
      <c r="AX1046875" s="141"/>
      <c r="BP1046875" s="142"/>
      <c r="BU1046875" s="143"/>
    </row>
    <row r="1046876" customFormat="1" ht="14.25" spans="33:73">
      <c r="AG1046876" s="141"/>
      <c r="AH1046876" s="141"/>
      <c r="AI1046876" s="141"/>
      <c r="AP1046876" s="141"/>
      <c r="AQ1046876" s="141"/>
      <c r="AR1046876" s="141"/>
      <c r="AV1046876" s="141"/>
      <c r="AW1046876" s="141"/>
      <c r="AX1046876" s="141"/>
      <c r="BP1046876" s="142"/>
      <c r="BU1046876" s="143"/>
    </row>
    <row r="1046877" customFormat="1" ht="14.25" spans="33:73">
      <c r="AG1046877" s="141"/>
      <c r="AH1046877" s="141"/>
      <c r="AI1046877" s="141"/>
      <c r="AP1046877" s="141"/>
      <c r="AQ1046877" s="141"/>
      <c r="AR1046877" s="141"/>
      <c r="AV1046877" s="141"/>
      <c r="AW1046877" s="141"/>
      <c r="AX1046877" s="141"/>
      <c r="BP1046877" s="142"/>
      <c r="BU1046877" s="143"/>
    </row>
    <row r="1046878" customFormat="1" ht="14.25" spans="33:73">
      <c r="AG1046878" s="141"/>
      <c r="AH1046878" s="141"/>
      <c r="AI1046878" s="141"/>
      <c r="AP1046878" s="141"/>
      <c r="AQ1046878" s="141"/>
      <c r="AR1046878" s="141"/>
      <c r="AV1046878" s="141"/>
      <c r="AW1046878" s="141"/>
      <c r="AX1046878" s="141"/>
      <c r="BP1046878" s="142"/>
      <c r="BU1046878" s="143"/>
    </row>
    <row r="1046879" customFormat="1" ht="14.25" spans="33:73">
      <c r="AG1046879" s="141"/>
      <c r="AH1046879" s="141"/>
      <c r="AI1046879" s="141"/>
      <c r="AP1046879" s="141"/>
      <c r="AQ1046879" s="141"/>
      <c r="AR1046879" s="141"/>
      <c r="AV1046879" s="141"/>
      <c r="AW1046879" s="141"/>
      <c r="AX1046879" s="141"/>
      <c r="BP1046879" s="142"/>
      <c r="BU1046879" s="143"/>
    </row>
    <row r="1046880" customFormat="1" ht="14.25" spans="33:73">
      <c r="AG1046880" s="141"/>
      <c r="AH1046880" s="141"/>
      <c r="AI1046880" s="141"/>
      <c r="AP1046880" s="141"/>
      <c r="AQ1046880" s="141"/>
      <c r="AR1046880" s="141"/>
      <c r="AV1046880" s="141"/>
      <c r="AW1046880" s="141"/>
      <c r="AX1046880" s="141"/>
      <c r="BP1046880" s="142"/>
      <c r="BU1046880" s="143"/>
    </row>
    <row r="1046881" customFormat="1" ht="14.25" spans="33:73">
      <c r="AG1046881" s="141"/>
      <c r="AH1046881" s="141"/>
      <c r="AI1046881" s="141"/>
      <c r="AP1046881" s="141"/>
      <c r="AQ1046881" s="141"/>
      <c r="AR1046881" s="141"/>
      <c r="AV1046881" s="141"/>
      <c r="AW1046881" s="141"/>
      <c r="AX1046881" s="141"/>
      <c r="BP1046881" s="142"/>
      <c r="BU1046881" s="143"/>
    </row>
    <row r="1046882" customFormat="1" ht="14.25" spans="33:73">
      <c r="AG1046882" s="141"/>
      <c r="AH1046882" s="141"/>
      <c r="AI1046882" s="141"/>
      <c r="AP1046882" s="141"/>
      <c r="AQ1046882" s="141"/>
      <c r="AR1046882" s="141"/>
      <c r="AV1046882" s="141"/>
      <c r="AW1046882" s="141"/>
      <c r="AX1046882" s="141"/>
      <c r="BP1046882" s="142"/>
      <c r="BU1046882" s="143"/>
    </row>
    <row r="1046883" customFormat="1" ht="14.25" spans="33:73">
      <c r="AG1046883" s="141"/>
      <c r="AH1046883" s="141"/>
      <c r="AI1046883" s="141"/>
      <c r="AP1046883" s="141"/>
      <c r="AQ1046883" s="141"/>
      <c r="AR1046883" s="141"/>
      <c r="AV1046883" s="141"/>
      <c r="AW1046883" s="141"/>
      <c r="AX1046883" s="141"/>
      <c r="BP1046883" s="142"/>
      <c r="BU1046883" s="143"/>
    </row>
    <row r="1046884" customFormat="1" ht="14.25" spans="33:73">
      <c r="AG1046884" s="141"/>
      <c r="AH1046884" s="141"/>
      <c r="AI1046884" s="141"/>
      <c r="AP1046884" s="141"/>
      <c r="AQ1046884" s="141"/>
      <c r="AR1046884" s="141"/>
      <c r="AV1046884" s="141"/>
      <c r="AW1046884" s="141"/>
      <c r="AX1046884" s="141"/>
      <c r="BP1046884" s="142"/>
      <c r="BU1046884" s="143"/>
    </row>
    <row r="1046885" customFormat="1" ht="14.25" spans="33:73">
      <c r="AG1046885" s="141"/>
      <c r="AH1046885" s="141"/>
      <c r="AI1046885" s="141"/>
      <c r="AP1046885" s="141"/>
      <c r="AQ1046885" s="141"/>
      <c r="AR1046885" s="141"/>
      <c r="AV1046885" s="141"/>
      <c r="AW1046885" s="141"/>
      <c r="AX1046885" s="141"/>
      <c r="BP1046885" s="142"/>
      <c r="BU1046885" s="143"/>
    </row>
    <row r="1046886" customFormat="1" ht="14.25" spans="33:73">
      <c r="AG1046886" s="141"/>
      <c r="AH1046886" s="141"/>
      <c r="AI1046886" s="141"/>
      <c r="AP1046886" s="141"/>
      <c r="AQ1046886" s="141"/>
      <c r="AR1046886" s="141"/>
      <c r="AV1046886" s="141"/>
      <c r="AW1046886" s="141"/>
      <c r="AX1046886" s="141"/>
      <c r="BP1046886" s="142"/>
      <c r="BU1046886" s="143"/>
    </row>
    <row r="1046887" customFormat="1" ht="14.25" spans="33:73">
      <c r="AG1046887" s="141"/>
      <c r="AH1046887" s="141"/>
      <c r="AI1046887" s="141"/>
      <c r="AP1046887" s="141"/>
      <c r="AQ1046887" s="141"/>
      <c r="AR1046887" s="141"/>
      <c r="AV1046887" s="141"/>
      <c r="AW1046887" s="141"/>
      <c r="AX1046887" s="141"/>
      <c r="BP1046887" s="142"/>
      <c r="BU1046887" s="143"/>
    </row>
    <row r="1046888" customFormat="1" ht="14.25" spans="33:73">
      <c r="AG1046888" s="141"/>
      <c r="AH1046888" s="141"/>
      <c r="AI1046888" s="141"/>
      <c r="AP1046888" s="141"/>
      <c r="AQ1046888" s="141"/>
      <c r="AR1046888" s="141"/>
      <c r="AV1046888" s="141"/>
      <c r="AW1046888" s="141"/>
      <c r="AX1046888" s="141"/>
      <c r="BP1046888" s="142"/>
      <c r="BU1046888" s="143"/>
    </row>
    <row r="1046889" customFormat="1" ht="14.25" spans="33:73">
      <c r="AG1046889" s="141"/>
      <c r="AH1046889" s="141"/>
      <c r="AI1046889" s="141"/>
      <c r="AP1046889" s="141"/>
      <c r="AQ1046889" s="141"/>
      <c r="AR1046889" s="141"/>
      <c r="AV1046889" s="141"/>
      <c r="AW1046889" s="141"/>
      <c r="AX1046889" s="141"/>
      <c r="BP1046889" s="142"/>
      <c r="BU1046889" s="143"/>
    </row>
    <row r="1046890" customFormat="1" ht="14.25" spans="33:73">
      <c r="AG1046890" s="141"/>
      <c r="AH1046890" s="141"/>
      <c r="AI1046890" s="141"/>
      <c r="AP1046890" s="141"/>
      <c r="AQ1046890" s="141"/>
      <c r="AR1046890" s="141"/>
      <c r="AV1046890" s="141"/>
      <c r="AW1046890" s="141"/>
      <c r="AX1046890" s="141"/>
      <c r="BP1046890" s="142"/>
      <c r="BU1046890" s="143"/>
    </row>
    <row r="1046891" customFormat="1" ht="14.25" spans="33:73">
      <c r="AG1046891" s="141"/>
      <c r="AH1046891" s="141"/>
      <c r="AI1046891" s="141"/>
      <c r="AP1046891" s="141"/>
      <c r="AQ1046891" s="141"/>
      <c r="AR1046891" s="141"/>
      <c r="AV1046891" s="141"/>
      <c r="AW1046891" s="141"/>
      <c r="AX1046891" s="141"/>
      <c r="BP1046891" s="142"/>
      <c r="BU1046891" s="143"/>
    </row>
    <row r="1046892" customFormat="1" ht="14.25" spans="33:73">
      <c r="AG1046892" s="141"/>
      <c r="AH1046892" s="141"/>
      <c r="AI1046892" s="141"/>
      <c r="AP1046892" s="141"/>
      <c r="AQ1046892" s="141"/>
      <c r="AR1046892" s="141"/>
      <c r="AV1046892" s="141"/>
      <c r="AW1046892" s="141"/>
      <c r="AX1046892" s="141"/>
      <c r="BP1046892" s="142"/>
      <c r="BU1046892" s="143"/>
    </row>
    <row r="1046893" customFormat="1" ht="14.25" spans="33:73">
      <c r="AG1046893" s="141"/>
      <c r="AH1046893" s="141"/>
      <c r="AI1046893" s="141"/>
      <c r="AP1046893" s="141"/>
      <c r="AQ1046893" s="141"/>
      <c r="AR1046893" s="141"/>
      <c r="AV1046893" s="141"/>
      <c r="AW1046893" s="141"/>
      <c r="AX1046893" s="141"/>
      <c r="BP1046893" s="142"/>
      <c r="BU1046893" s="143"/>
    </row>
    <row r="1046894" customFormat="1" ht="14.25" spans="33:73">
      <c r="AG1046894" s="141"/>
      <c r="AH1046894" s="141"/>
      <c r="AI1046894" s="141"/>
      <c r="AP1046894" s="141"/>
      <c r="AQ1046894" s="141"/>
      <c r="AR1046894" s="141"/>
      <c r="AV1046894" s="141"/>
      <c r="AW1046894" s="141"/>
      <c r="AX1046894" s="141"/>
      <c r="BP1046894" s="142"/>
      <c r="BU1046894" s="143"/>
    </row>
    <row r="1046895" customFormat="1" ht="14.25" spans="33:73">
      <c r="AG1046895" s="141"/>
      <c r="AH1046895" s="141"/>
      <c r="AI1046895" s="141"/>
      <c r="AP1046895" s="141"/>
      <c r="AQ1046895" s="141"/>
      <c r="AR1046895" s="141"/>
      <c r="AV1046895" s="141"/>
      <c r="AW1046895" s="141"/>
      <c r="AX1046895" s="141"/>
      <c r="BP1046895" s="142"/>
      <c r="BU1046895" s="143"/>
    </row>
    <row r="1046896" customFormat="1" ht="14.25" spans="33:73">
      <c r="AG1046896" s="141"/>
      <c r="AH1046896" s="141"/>
      <c r="AI1046896" s="141"/>
      <c r="AP1046896" s="141"/>
      <c r="AQ1046896" s="141"/>
      <c r="AR1046896" s="141"/>
      <c r="AV1046896" s="141"/>
      <c r="AW1046896" s="141"/>
      <c r="AX1046896" s="141"/>
      <c r="BP1046896" s="142"/>
      <c r="BU1046896" s="143"/>
    </row>
    <row r="1046897" customFormat="1" ht="14.25" spans="33:73">
      <c r="AG1046897" s="141"/>
      <c r="AH1046897" s="141"/>
      <c r="AI1046897" s="141"/>
      <c r="AP1046897" s="141"/>
      <c r="AQ1046897" s="141"/>
      <c r="AR1046897" s="141"/>
      <c r="AV1046897" s="141"/>
      <c r="AW1046897" s="141"/>
      <c r="AX1046897" s="141"/>
      <c r="BP1046897" s="142"/>
      <c r="BU1046897" s="143"/>
    </row>
    <row r="1046898" customFormat="1" ht="14.25" spans="33:73">
      <c r="AG1046898" s="141"/>
      <c r="AH1046898" s="141"/>
      <c r="AI1046898" s="141"/>
      <c r="AP1046898" s="141"/>
      <c r="AQ1046898" s="141"/>
      <c r="AR1046898" s="141"/>
      <c r="AV1046898" s="141"/>
      <c r="AW1046898" s="141"/>
      <c r="AX1046898" s="141"/>
      <c r="BP1046898" s="142"/>
      <c r="BU1046898" s="143"/>
    </row>
    <row r="1046899" customFormat="1" ht="14.25" spans="33:73">
      <c r="AG1046899" s="141"/>
      <c r="AH1046899" s="141"/>
      <c r="AI1046899" s="141"/>
      <c r="AP1046899" s="141"/>
      <c r="AQ1046899" s="141"/>
      <c r="AR1046899" s="141"/>
      <c r="AV1046899" s="141"/>
      <c r="AW1046899" s="141"/>
      <c r="AX1046899" s="141"/>
      <c r="BP1046899" s="142"/>
      <c r="BU1046899" s="143"/>
    </row>
    <row r="1046900" customFormat="1" ht="14.25" spans="33:73">
      <c r="AG1046900" s="141"/>
      <c r="AH1046900" s="141"/>
      <c r="AI1046900" s="141"/>
      <c r="AP1046900" s="141"/>
      <c r="AQ1046900" s="141"/>
      <c r="AR1046900" s="141"/>
      <c r="AV1046900" s="141"/>
      <c r="AW1046900" s="141"/>
      <c r="AX1046900" s="141"/>
      <c r="BP1046900" s="142"/>
      <c r="BU1046900" s="143"/>
    </row>
    <row r="1046901" customFormat="1" ht="14.25" spans="33:73">
      <c r="AG1046901" s="141"/>
      <c r="AH1046901" s="141"/>
      <c r="AI1046901" s="141"/>
      <c r="AP1046901" s="141"/>
      <c r="AQ1046901" s="141"/>
      <c r="AR1046901" s="141"/>
      <c r="AV1046901" s="141"/>
      <c r="AW1046901" s="141"/>
      <c r="AX1046901" s="141"/>
      <c r="BP1046901" s="142"/>
      <c r="BU1046901" s="143"/>
    </row>
    <row r="1046902" customFormat="1" ht="14.25" spans="33:73">
      <c r="AG1046902" s="141"/>
      <c r="AH1046902" s="141"/>
      <c r="AI1046902" s="141"/>
      <c r="AP1046902" s="141"/>
      <c r="AQ1046902" s="141"/>
      <c r="AR1046902" s="141"/>
      <c r="AV1046902" s="141"/>
      <c r="AW1046902" s="141"/>
      <c r="AX1046902" s="141"/>
      <c r="BP1046902" s="142"/>
      <c r="BU1046902" s="143"/>
    </row>
    <row r="1046903" customFormat="1" ht="14.25" spans="33:73">
      <c r="AG1046903" s="141"/>
      <c r="AH1046903" s="141"/>
      <c r="AI1046903" s="141"/>
      <c r="AP1046903" s="141"/>
      <c r="AQ1046903" s="141"/>
      <c r="AR1046903" s="141"/>
      <c r="AV1046903" s="141"/>
      <c r="AW1046903" s="141"/>
      <c r="AX1046903" s="141"/>
      <c r="BP1046903" s="142"/>
      <c r="BU1046903" s="143"/>
    </row>
    <row r="1046904" customFormat="1" ht="14.25" spans="33:73">
      <c r="AG1046904" s="141"/>
      <c r="AH1046904" s="141"/>
      <c r="AI1046904" s="141"/>
      <c r="AP1046904" s="141"/>
      <c r="AQ1046904" s="141"/>
      <c r="AR1046904" s="141"/>
      <c r="AV1046904" s="141"/>
      <c r="AW1046904" s="141"/>
      <c r="AX1046904" s="141"/>
      <c r="BP1046904" s="142"/>
      <c r="BU1046904" s="143"/>
    </row>
    <row r="1046905" customFormat="1" ht="14.25" spans="33:73">
      <c r="AG1046905" s="141"/>
      <c r="AH1046905" s="141"/>
      <c r="AI1046905" s="141"/>
      <c r="AP1046905" s="141"/>
      <c r="AQ1046905" s="141"/>
      <c r="AR1046905" s="141"/>
      <c r="AV1046905" s="141"/>
      <c r="AW1046905" s="141"/>
      <c r="AX1046905" s="141"/>
      <c r="BP1046905" s="142"/>
      <c r="BU1046905" s="143"/>
    </row>
    <row r="1046906" customFormat="1" ht="14.25" spans="33:73">
      <c r="AG1046906" s="141"/>
      <c r="AH1046906" s="141"/>
      <c r="AI1046906" s="141"/>
      <c r="AP1046906" s="141"/>
      <c r="AQ1046906" s="141"/>
      <c r="AR1046906" s="141"/>
      <c r="AV1046906" s="141"/>
      <c r="AW1046906" s="141"/>
      <c r="AX1046906" s="141"/>
      <c r="BP1046906" s="142"/>
      <c r="BU1046906" s="143"/>
    </row>
    <row r="1046907" customFormat="1" ht="14.25" spans="33:73">
      <c r="AG1046907" s="141"/>
      <c r="AH1046907" s="141"/>
      <c r="AI1046907" s="141"/>
      <c r="AP1046907" s="141"/>
      <c r="AQ1046907" s="141"/>
      <c r="AR1046907" s="141"/>
      <c r="AV1046907" s="141"/>
      <c r="AW1046907" s="141"/>
      <c r="AX1046907" s="141"/>
      <c r="BP1046907" s="142"/>
      <c r="BU1046907" s="143"/>
    </row>
    <row r="1046908" customFormat="1" ht="14.25" spans="33:73">
      <c r="AG1046908" s="141"/>
      <c r="AH1046908" s="141"/>
      <c r="AI1046908" s="141"/>
      <c r="AP1046908" s="141"/>
      <c r="AQ1046908" s="141"/>
      <c r="AR1046908" s="141"/>
      <c r="AV1046908" s="141"/>
      <c r="AW1046908" s="141"/>
      <c r="AX1046908" s="141"/>
      <c r="BP1046908" s="142"/>
      <c r="BU1046908" s="143"/>
    </row>
    <row r="1046909" customFormat="1" ht="14.25" spans="33:73">
      <c r="AG1046909" s="141"/>
      <c r="AH1046909" s="141"/>
      <c r="AI1046909" s="141"/>
      <c r="AP1046909" s="141"/>
      <c r="AQ1046909" s="141"/>
      <c r="AR1046909" s="141"/>
      <c r="AV1046909" s="141"/>
      <c r="AW1046909" s="141"/>
      <c r="AX1046909" s="141"/>
      <c r="BP1046909" s="142"/>
      <c r="BU1046909" s="143"/>
    </row>
    <row r="1046910" customFormat="1" ht="14.25" spans="33:73">
      <c r="AG1046910" s="141"/>
      <c r="AH1046910" s="141"/>
      <c r="AI1046910" s="141"/>
      <c r="AP1046910" s="141"/>
      <c r="AQ1046910" s="141"/>
      <c r="AR1046910" s="141"/>
      <c r="AV1046910" s="141"/>
      <c r="AW1046910" s="141"/>
      <c r="AX1046910" s="141"/>
      <c r="BP1046910" s="142"/>
      <c r="BU1046910" s="143"/>
    </row>
    <row r="1046911" customFormat="1" ht="14.25" spans="33:73">
      <c r="AG1046911" s="141"/>
      <c r="AH1046911" s="141"/>
      <c r="AI1046911" s="141"/>
      <c r="AP1046911" s="141"/>
      <c r="AQ1046911" s="141"/>
      <c r="AR1046911" s="141"/>
      <c r="AV1046911" s="141"/>
      <c r="AW1046911" s="141"/>
      <c r="AX1046911" s="141"/>
      <c r="BP1046911" s="142"/>
      <c r="BU1046911" s="143"/>
    </row>
    <row r="1046912" customFormat="1" ht="14.25" spans="33:73">
      <c r="AG1046912" s="141"/>
      <c r="AH1046912" s="141"/>
      <c r="AI1046912" s="141"/>
      <c r="AP1046912" s="141"/>
      <c r="AQ1046912" s="141"/>
      <c r="AR1046912" s="141"/>
      <c r="AV1046912" s="141"/>
      <c r="AW1046912" s="141"/>
      <c r="AX1046912" s="141"/>
      <c r="BP1046912" s="142"/>
      <c r="BU1046912" s="143"/>
    </row>
    <row r="1046913" customFormat="1" ht="14.25" spans="33:73">
      <c r="AG1046913" s="141"/>
      <c r="AH1046913" s="141"/>
      <c r="AI1046913" s="141"/>
      <c r="AP1046913" s="141"/>
      <c r="AQ1046913" s="141"/>
      <c r="AR1046913" s="141"/>
      <c r="AV1046913" s="141"/>
      <c r="AW1046913" s="141"/>
      <c r="AX1046913" s="141"/>
      <c r="BP1046913" s="142"/>
      <c r="BU1046913" s="143"/>
    </row>
    <row r="1046914" customFormat="1" ht="14.25" spans="33:73">
      <c r="AG1046914" s="141"/>
      <c r="AH1046914" s="141"/>
      <c r="AI1046914" s="141"/>
      <c r="AP1046914" s="141"/>
      <c r="AQ1046914" s="141"/>
      <c r="AR1046914" s="141"/>
      <c r="AV1046914" s="141"/>
      <c r="AW1046914" s="141"/>
      <c r="AX1046914" s="141"/>
      <c r="BP1046914" s="142"/>
      <c r="BU1046914" s="143"/>
    </row>
    <row r="1046915" customFormat="1" ht="14.25" spans="33:73">
      <c r="AG1046915" s="141"/>
      <c r="AH1046915" s="141"/>
      <c r="AI1046915" s="141"/>
      <c r="AP1046915" s="141"/>
      <c r="AQ1046915" s="141"/>
      <c r="AR1046915" s="141"/>
      <c r="AV1046915" s="141"/>
      <c r="AW1046915" s="141"/>
      <c r="AX1046915" s="141"/>
      <c r="BP1046915" s="142"/>
      <c r="BU1046915" s="143"/>
    </row>
    <row r="1046916" customFormat="1" ht="14.25" spans="33:73">
      <c r="AG1046916" s="141"/>
      <c r="AH1046916" s="141"/>
      <c r="AI1046916" s="141"/>
      <c r="AP1046916" s="141"/>
      <c r="AQ1046916" s="141"/>
      <c r="AR1046916" s="141"/>
      <c r="AV1046916" s="141"/>
      <c r="AW1046916" s="141"/>
      <c r="AX1046916" s="141"/>
      <c r="BP1046916" s="142"/>
      <c r="BU1046916" s="143"/>
    </row>
    <row r="1046917" customFormat="1" ht="14.25" spans="33:73">
      <c r="AG1046917" s="141"/>
      <c r="AH1046917" s="141"/>
      <c r="AI1046917" s="141"/>
      <c r="AP1046917" s="141"/>
      <c r="AQ1046917" s="141"/>
      <c r="AR1046917" s="141"/>
      <c r="AV1046917" s="141"/>
      <c r="AW1046917" s="141"/>
      <c r="AX1046917" s="141"/>
      <c r="BP1046917" s="142"/>
      <c r="BU1046917" s="143"/>
    </row>
    <row r="1046918" customFormat="1" ht="14.25" spans="33:73">
      <c r="AG1046918" s="141"/>
      <c r="AH1046918" s="141"/>
      <c r="AI1046918" s="141"/>
      <c r="AP1046918" s="141"/>
      <c r="AQ1046918" s="141"/>
      <c r="AR1046918" s="141"/>
      <c r="AV1046918" s="141"/>
      <c r="AW1046918" s="141"/>
      <c r="AX1046918" s="141"/>
      <c r="BP1046918" s="142"/>
      <c r="BU1046918" s="143"/>
    </row>
    <row r="1046919" customFormat="1" ht="14.25" spans="33:73">
      <c r="AG1046919" s="141"/>
      <c r="AH1046919" s="141"/>
      <c r="AI1046919" s="141"/>
      <c r="AP1046919" s="141"/>
      <c r="AQ1046919" s="141"/>
      <c r="AR1046919" s="141"/>
      <c r="AV1046919" s="141"/>
      <c r="AW1046919" s="141"/>
      <c r="AX1046919" s="141"/>
      <c r="BP1046919" s="142"/>
      <c r="BU1046919" s="143"/>
    </row>
    <row r="1046920" customFormat="1" ht="14.25" spans="33:73">
      <c r="AG1046920" s="141"/>
      <c r="AH1046920" s="141"/>
      <c r="AI1046920" s="141"/>
      <c r="AP1046920" s="141"/>
      <c r="AQ1046920" s="141"/>
      <c r="AR1046920" s="141"/>
      <c r="AV1046920" s="141"/>
      <c r="AW1046920" s="141"/>
      <c r="AX1046920" s="141"/>
      <c r="BP1046920" s="142"/>
      <c r="BU1046920" s="143"/>
    </row>
    <row r="1046921" customFormat="1" ht="14.25" spans="33:73">
      <c r="AG1046921" s="141"/>
      <c r="AH1046921" s="141"/>
      <c r="AI1046921" s="141"/>
      <c r="AP1046921" s="141"/>
      <c r="AQ1046921" s="141"/>
      <c r="AR1046921" s="141"/>
      <c r="AV1046921" s="141"/>
      <c r="AW1046921" s="141"/>
      <c r="AX1046921" s="141"/>
      <c r="BP1046921" s="142"/>
      <c r="BU1046921" s="143"/>
    </row>
    <row r="1046922" customFormat="1" ht="14.25" spans="33:73">
      <c r="AG1046922" s="141"/>
      <c r="AH1046922" s="141"/>
      <c r="AI1046922" s="141"/>
      <c r="AP1046922" s="141"/>
      <c r="AQ1046922" s="141"/>
      <c r="AR1046922" s="141"/>
      <c r="AV1046922" s="141"/>
      <c r="AW1046922" s="141"/>
      <c r="AX1046922" s="141"/>
      <c r="BP1046922" s="142"/>
      <c r="BU1046922" s="143"/>
    </row>
    <row r="1046923" customFormat="1" ht="14.25" spans="33:73">
      <c r="AG1046923" s="141"/>
      <c r="AH1046923" s="141"/>
      <c r="AI1046923" s="141"/>
      <c r="AP1046923" s="141"/>
      <c r="AQ1046923" s="141"/>
      <c r="AR1046923" s="141"/>
      <c r="AV1046923" s="141"/>
      <c r="AW1046923" s="141"/>
      <c r="AX1046923" s="141"/>
      <c r="BP1046923" s="142"/>
      <c r="BU1046923" s="143"/>
    </row>
    <row r="1046924" customFormat="1" ht="14.25" spans="33:73">
      <c r="AG1046924" s="141"/>
      <c r="AH1046924" s="141"/>
      <c r="AI1046924" s="141"/>
      <c r="AP1046924" s="141"/>
      <c r="AQ1046924" s="141"/>
      <c r="AR1046924" s="141"/>
      <c r="AV1046924" s="141"/>
      <c r="AW1046924" s="141"/>
      <c r="AX1046924" s="141"/>
      <c r="BP1046924" s="142"/>
      <c r="BU1046924" s="143"/>
    </row>
    <row r="1046925" customFormat="1" ht="14.25" spans="33:73">
      <c r="AG1046925" s="141"/>
      <c r="AH1046925" s="141"/>
      <c r="AI1046925" s="141"/>
      <c r="AP1046925" s="141"/>
      <c r="AQ1046925" s="141"/>
      <c r="AR1046925" s="141"/>
      <c r="AV1046925" s="141"/>
      <c r="AW1046925" s="141"/>
      <c r="AX1046925" s="141"/>
      <c r="BP1046925" s="142"/>
      <c r="BU1046925" s="143"/>
    </row>
    <row r="1046926" customFormat="1" ht="14.25" spans="33:73">
      <c r="AG1046926" s="141"/>
      <c r="AH1046926" s="141"/>
      <c r="AI1046926" s="141"/>
      <c r="AP1046926" s="141"/>
      <c r="AQ1046926" s="141"/>
      <c r="AR1046926" s="141"/>
      <c r="AV1046926" s="141"/>
      <c r="AW1046926" s="141"/>
      <c r="AX1046926" s="141"/>
      <c r="BP1046926" s="142"/>
      <c r="BU1046926" s="143"/>
    </row>
    <row r="1046927" customFormat="1" ht="14.25" spans="33:73">
      <c r="AG1046927" s="141"/>
      <c r="AH1046927" s="141"/>
      <c r="AI1046927" s="141"/>
      <c r="AP1046927" s="141"/>
      <c r="AQ1046927" s="141"/>
      <c r="AR1046927" s="141"/>
      <c r="AV1046927" s="141"/>
      <c r="AW1046927" s="141"/>
      <c r="AX1046927" s="141"/>
      <c r="BP1046927" s="142"/>
      <c r="BU1046927" s="143"/>
    </row>
    <row r="1046928" customFormat="1" ht="14.25" spans="33:73">
      <c r="AG1046928" s="141"/>
      <c r="AH1046928" s="141"/>
      <c r="AI1046928" s="141"/>
      <c r="AP1046928" s="141"/>
      <c r="AQ1046928" s="141"/>
      <c r="AR1046928" s="141"/>
      <c r="AV1046928" s="141"/>
      <c r="AW1046928" s="141"/>
      <c r="AX1046928" s="141"/>
      <c r="BP1046928" s="142"/>
      <c r="BU1046928" s="143"/>
    </row>
    <row r="1046929" customFormat="1" ht="14.25" spans="33:73">
      <c r="AG1046929" s="141"/>
      <c r="AH1046929" s="141"/>
      <c r="AI1046929" s="141"/>
      <c r="AP1046929" s="141"/>
      <c r="AQ1046929" s="141"/>
      <c r="AR1046929" s="141"/>
      <c r="AV1046929" s="141"/>
      <c r="AW1046929" s="141"/>
      <c r="AX1046929" s="141"/>
      <c r="BP1046929" s="142"/>
      <c r="BU1046929" s="143"/>
    </row>
    <row r="1046930" customFormat="1" ht="14.25" spans="33:73">
      <c r="AG1046930" s="141"/>
      <c r="AH1046930" s="141"/>
      <c r="AI1046930" s="141"/>
      <c r="AP1046930" s="141"/>
      <c r="AQ1046930" s="141"/>
      <c r="AR1046930" s="141"/>
      <c r="AV1046930" s="141"/>
      <c r="AW1046930" s="141"/>
      <c r="AX1046930" s="141"/>
      <c r="BP1046930" s="142"/>
      <c r="BU1046930" s="143"/>
    </row>
    <row r="1046931" customFormat="1" ht="14.25" spans="33:73">
      <c r="AG1046931" s="141"/>
      <c r="AH1046931" s="141"/>
      <c r="AI1046931" s="141"/>
      <c r="AP1046931" s="141"/>
      <c r="AQ1046931" s="141"/>
      <c r="AR1046931" s="141"/>
      <c r="AV1046931" s="141"/>
      <c r="AW1046931" s="141"/>
      <c r="AX1046931" s="141"/>
      <c r="BP1046931" s="142"/>
      <c r="BU1046931" s="143"/>
    </row>
    <row r="1046932" customFormat="1" ht="14.25" spans="33:73">
      <c r="AG1046932" s="141"/>
      <c r="AH1046932" s="141"/>
      <c r="AI1046932" s="141"/>
      <c r="AP1046932" s="141"/>
      <c r="AQ1046932" s="141"/>
      <c r="AR1046932" s="141"/>
      <c r="AV1046932" s="141"/>
      <c r="AW1046932" s="141"/>
      <c r="AX1046932" s="141"/>
      <c r="BP1046932" s="142"/>
      <c r="BU1046932" s="143"/>
    </row>
    <row r="1046933" customFormat="1" ht="14.25" spans="33:73">
      <c r="AG1046933" s="141"/>
      <c r="AH1046933" s="141"/>
      <c r="AI1046933" s="141"/>
      <c r="AP1046933" s="141"/>
      <c r="AQ1046933" s="141"/>
      <c r="AR1046933" s="141"/>
      <c r="AV1046933" s="141"/>
      <c r="AW1046933" s="141"/>
      <c r="AX1046933" s="141"/>
      <c r="BP1046933" s="142"/>
      <c r="BU1046933" s="143"/>
    </row>
    <row r="1046934" customFormat="1" ht="14.25" spans="33:73">
      <c r="AG1046934" s="141"/>
      <c r="AH1046934" s="141"/>
      <c r="AI1046934" s="141"/>
      <c r="AP1046934" s="141"/>
      <c r="AQ1046934" s="141"/>
      <c r="AR1046934" s="141"/>
      <c r="AV1046934" s="141"/>
      <c r="AW1046934" s="141"/>
      <c r="AX1046934" s="141"/>
      <c r="BP1046934" s="142"/>
      <c r="BU1046934" s="143"/>
    </row>
    <row r="1046935" customFormat="1" ht="14.25" spans="33:73">
      <c r="AG1046935" s="141"/>
      <c r="AH1046935" s="141"/>
      <c r="AI1046935" s="141"/>
      <c r="AP1046935" s="141"/>
      <c r="AQ1046935" s="141"/>
      <c r="AR1046935" s="141"/>
      <c r="AV1046935" s="141"/>
      <c r="AW1046935" s="141"/>
      <c r="AX1046935" s="141"/>
      <c r="BP1046935" s="142"/>
      <c r="BU1046935" s="143"/>
    </row>
    <row r="1046936" customFormat="1" ht="14.25" spans="33:73">
      <c r="AG1046936" s="141"/>
      <c r="AH1046936" s="141"/>
      <c r="AI1046936" s="141"/>
      <c r="AP1046936" s="141"/>
      <c r="AQ1046936" s="141"/>
      <c r="AR1046936" s="141"/>
      <c r="AV1046936" s="141"/>
      <c r="AW1046936" s="141"/>
      <c r="AX1046936" s="141"/>
      <c r="BP1046936" s="142"/>
      <c r="BU1046936" s="143"/>
    </row>
    <row r="1046937" customFormat="1" ht="14.25" spans="33:73">
      <c r="AG1046937" s="141"/>
      <c r="AH1046937" s="141"/>
      <c r="AI1046937" s="141"/>
      <c r="AP1046937" s="141"/>
      <c r="AQ1046937" s="141"/>
      <c r="AR1046937" s="141"/>
      <c r="AV1046937" s="141"/>
      <c r="AW1046937" s="141"/>
      <c r="AX1046937" s="141"/>
      <c r="BP1046937" s="142"/>
      <c r="BU1046937" s="143"/>
    </row>
    <row r="1046938" customFormat="1" ht="14.25" spans="33:73">
      <c r="AG1046938" s="141"/>
      <c r="AH1046938" s="141"/>
      <c r="AI1046938" s="141"/>
      <c r="AP1046938" s="141"/>
      <c r="AQ1046938" s="141"/>
      <c r="AR1046938" s="141"/>
      <c r="AV1046938" s="141"/>
      <c r="AW1046938" s="141"/>
      <c r="AX1046938" s="141"/>
      <c r="BP1046938" s="142"/>
      <c r="BU1046938" s="143"/>
    </row>
    <row r="1046939" customFormat="1" ht="14.25" spans="33:73">
      <c r="AG1046939" s="141"/>
      <c r="AH1046939" s="141"/>
      <c r="AI1046939" s="141"/>
      <c r="AP1046939" s="141"/>
      <c r="AQ1046939" s="141"/>
      <c r="AR1046939" s="141"/>
      <c r="AV1046939" s="141"/>
      <c r="AW1046939" s="141"/>
      <c r="AX1046939" s="141"/>
      <c r="BP1046939" s="142"/>
      <c r="BU1046939" s="143"/>
    </row>
    <row r="1046940" customFormat="1" ht="14.25" spans="33:73">
      <c r="AG1046940" s="141"/>
      <c r="AH1046940" s="141"/>
      <c r="AI1046940" s="141"/>
      <c r="AP1046940" s="141"/>
      <c r="AQ1046940" s="141"/>
      <c r="AR1046940" s="141"/>
      <c r="AV1046940" s="141"/>
      <c r="AW1046940" s="141"/>
      <c r="AX1046940" s="141"/>
      <c r="BP1046940" s="142"/>
      <c r="BU1046940" s="143"/>
    </row>
    <row r="1046941" customFormat="1" ht="14.25" spans="33:73">
      <c r="AG1046941" s="141"/>
      <c r="AH1046941" s="141"/>
      <c r="AI1046941" s="141"/>
      <c r="AP1046941" s="141"/>
      <c r="AQ1046941" s="141"/>
      <c r="AR1046941" s="141"/>
      <c r="AV1046941" s="141"/>
      <c r="AW1046941" s="141"/>
      <c r="AX1046941" s="141"/>
      <c r="BP1046941" s="142"/>
      <c r="BU1046941" s="143"/>
    </row>
    <row r="1046942" customFormat="1" ht="14.25" spans="33:73">
      <c r="AG1046942" s="141"/>
      <c r="AH1046942" s="141"/>
      <c r="AI1046942" s="141"/>
      <c r="AP1046942" s="141"/>
      <c r="AQ1046942" s="141"/>
      <c r="AR1046942" s="141"/>
      <c r="AV1046942" s="141"/>
      <c r="AW1046942" s="141"/>
      <c r="AX1046942" s="141"/>
      <c r="BP1046942" s="142"/>
      <c r="BU1046942" s="143"/>
    </row>
    <row r="1046943" customFormat="1" ht="14.25" spans="33:73">
      <c r="AG1046943" s="141"/>
      <c r="AH1046943" s="141"/>
      <c r="AI1046943" s="141"/>
      <c r="AP1046943" s="141"/>
      <c r="AQ1046943" s="141"/>
      <c r="AR1046943" s="141"/>
      <c r="AV1046943" s="141"/>
      <c r="AW1046943" s="141"/>
      <c r="AX1046943" s="141"/>
      <c r="BP1046943" s="142"/>
      <c r="BU1046943" s="143"/>
    </row>
    <row r="1046944" customFormat="1" ht="14.25" spans="33:73">
      <c r="AG1046944" s="141"/>
      <c r="AH1046944" s="141"/>
      <c r="AI1046944" s="141"/>
      <c r="AP1046944" s="141"/>
      <c r="AQ1046944" s="141"/>
      <c r="AR1046944" s="141"/>
      <c r="AV1046944" s="141"/>
      <c r="AW1046944" s="141"/>
      <c r="AX1046944" s="141"/>
      <c r="BP1046944" s="142"/>
      <c r="BU1046944" s="143"/>
    </row>
    <row r="1046945" customFormat="1" ht="14.25" spans="33:73">
      <c r="AG1046945" s="141"/>
      <c r="AH1046945" s="141"/>
      <c r="AI1046945" s="141"/>
      <c r="AP1046945" s="141"/>
      <c r="AQ1046945" s="141"/>
      <c r="AR1046945" s="141"/>
      <c r="AV1046945" s="141"/>
      <c r="AW1046945" s="141"/>
      <c r="AX1046945" s="141"/>
      <c r="BP1046945" s="142"/>
      <c r="BU1046945" s="143"/>
    </row>
    <row r="1046946" customFormat="1" ht="14.25" spans="33:73">
      <c r="AG1046946" s="141"/>
      <c r="AH1046946" s="141"/>
      <c r="AI1046946" s="141"/>
      <c r="AP1046946" s="141"/>
      <c r="AQ1046946" s="141"/>
      <c r="AR1046946" s="141"/>
      <c r="AV1046946" s="141"/>
      <c r="AW1046946" s="141"/>
      <c r="AX1046946" s="141"/>
      <c r="BP1046946" s="142"/>
      <c r="BU1046946" s="143"/>
    </row>
    <row r="1046947" customFormat="1" ht="14.25" spans="33:73">
      <c r="AG1046947" s="141"/>
      <c r="AH1046947" s="141"/>
      <c r="AI1046947" s="141"/>
      <c r="AP1046947" s="141"/>
      <c r="AQ1046947" s="141"/>
      <c r="AR1046947" s="141"/>
      <c r="AV1046947" s="141"/>
      <c r="AW1046947" s="141"/>
      <c r="AX1046947" s="141"/>
      <c r="BP1046947" s="142"/>
      <c r="BU1046947" s="143"/>
    </row>
    <row r="1046948" customFormat="1" ht="14.25" spans="33:73">
      <c r="AG1046948" s="141"/>
      <c r="AH1046948" s="141"/>
      <c r="AI1046948" s="141"/>
      <c r="AP1046948" s="141"/>
      <c r="AQ1046948" s="141"/>
      <c r="AR1046948" s="141"/>
      <c r="AV1046948" s="141"/>
      <c r="AW1046948" s="141"/>
      <c r="AX1046948" s="141"/>
      <c r="BP1046948" s="142"/>
      <c r="BU1046948" s="143"/>
    </row>
    <row r="1046949" customFormat="1" ht="14.25" spans="33:73">
      <c r="AG1046949" s="141"/>
      <c r="AH1046949" s="141"/>
      <c r="AI1046949" s="141"/>
      <c r="AP1046949" s="141"/>
      <c r="AQ1046949" s="141"/>
      <c r="AR1046949" s="141"/>
      <c r="AV1046949" s="141"/>
      <c r="AW1046949" s="141"/>
      <c r="AX1046949" s="141"/>
      <c r="BP1046949" s="142"/>
      <c r="BU1046949" s="143"/>
    </row>
    <row r="1046950" customFormat="1" ht="14.25" spans="33:73">
      <c r="AG1046950" s="141"/>
      <c r="AH1046950" s="141"/>
      <c r="AI1046950" s="141"/>
      <c r="AP1046950" s="141"/>
      <c r="AQ1046950" s="141"/>
      <c r="AR1046950" s="141"/>
      <c r="AV1046950" s="141"/>
      <c r="AW1046950" s="141"/>
      <c r="AX1046950" s="141"/>
      <c r="BP1046950" s="142"/>
      <c r="BU1046950" s="143"/>
    </row>
    <row r="1046951" customFormat="1" ht="14.25" spans="33:73">
      <c r="AG1046951" s="141"/>
      <c r="AH1046951" s="141"/>
      <c r="AI1046951" s="141"/>
      <c r="AP1046951" s="141"/>
      <c r="AQ1046951" s="141"/>
      <c r="AR1046951" s="141"/>
      <c r="AV1046951" s="141"/>
      <c r="AW1046951" s="141"/>
      <c r="AX1046951" s="141"/>
      <c r="BP1046951" s="142"/>
      <c r="BU1046951" s="143"/>
    </row>
    <row r="1046952" customFormat="1" ht="14.25" spans="33:73">
      <c r="AG1046952" s="141"/>
      <c r="AH1046952" s="141"/>
      <c r="AI1046952" s="141"/>
      <c r="AP1046952" s="141"/>
      <c r="AQ1046952" s="141"/>
      <c r="AR1046952" s="141"/>
      <c r="AV1046952" s="141"/>
      <c r="AW1046952" s="141"/>
      <c r="AX1046952" s="141"/>
      <c r="BP1046952" s="142"/>
      <c r="BU1046952" s="143"/>
    </row>
    <row r="1046953" customFormat="1" ht="14.25" spans="33:73">
      <c r="AG1046953" s="141"/>
      <c r="AH1046953" s="141"/>
      <c r="AI1046953" s="141"/>
      <c r="AP1046953" s="141"/>
      <c r="AQ1046953" s="141"/>
      <c r="AR1046953" s="141"/>
      <c r="AV1046953" s="141"/>
      <c r="AW1046953" s="141"/>
      <c r="AX1046953" s="141"/>
      <c r="BP1046953" s="142"/>
      <c r="BU1046953" s="143"/>
    </row>
    <row r="1046954" customFormat="1" ht="14.25" spans="33:73">
      <c r="AG1046954" s="141"/>
      <c r="AH1046954" s="141"/>
      <c r="AI1046954" s="141"/>
      <c r="AP1046954" s="141"/>
      <c r="AQ1046954" s="141"/>
      <c r="AR1046954" s="141"/>
      <c r="AV1046954" s="141"/>
      <c r="AW1046954" s="141"/>
      <c r="AX1046954" s="141"/>
      <c r="BP1046954" s="142"/>
      <c r="BU1046954" s="143"/>
    </row>
    <row r="1046955" customFormat="1" ht="14.25" spans="33:73">
      <c r="AG1046955" s="141"/>
      <c r="AH1046955" s="141"/>
      <c r="AI1046955" s="141"/>
      <c r="AP1046955" s="141"/>
      <c r="AQ1046955" s="141"/>
      <c r="AR1046955" s="141"/>
      <c r="AV1046955" s="141"/>
      <c r="AW1046955" s="141"/>
      <c r="AX1046955" s="141"/>
      <c r="BP1046955" s="142"/>
      <c r="BU1046955" s="143"/>
    </row>
    <row r="1046956" customFormat="1" ht="14.25" spans="33:73">
      <c r="AG1046956" s="141"/>
      <c r="AH1046956" s="141"/>
      <c r="AI1046956" s="141"/>
      <c r="AP1046956" s="141"/>
      <c r="AQ1046956" s="141"/>
      <c r="AR1046956" s="141"/>
      <c r="AV1046956" s="141"/>
      <c r="AW1046956" s="141"/>
      <c r="AX1046956" s="141"/>
      <c r="BP1046956" s="142"/>
      <c r="BU1046956" s="143"/>
    </row>
    <row r="1046957" customFormat="1" ht="14.25" spans="33:73">
      <c r="AG1046957" s="141"/>
      <c r="AH1046957" s="141"/>
      <c r="AI1046957" s="141"/>
      <c r="AP1046957" s="141"/>
      <c r="AQ1046957" s="141"/>
      <c r="AR1046957" s="141"/>
      <c r="AV1046957" s="141"/>
      <c r="AW1046957" s="141"/>
      <c r="AX1046957" s="141"/>
      <c r="BP1046957" s="142"/>
      <c r="BU1046957" s="143"/>
    </row>
    <row r="1046958" customFormat="1" ht="14.25" spans="33:73">
      <c r="AG1046958" s="141"/>
      <c r="AH1046958" s="141"/>
      <c r="AI1046958" s="141"/>
      <c r="AP1046958" s="141"/>
      <c r="AQ1046958" s="141"/>
      <c r="AR1046958" s="141"/>
      <c r="AV1046958" s="141"/>
      <c r="AW1046958" s="141"/>
      <c r="AX1046958" s="141"/>
      <c r="BP1046958" s="142"/>
      <c r="BU1046958" s="143"/>
    </row>
    <row r="1046959" customFormat="1" ht="14.25" spans="33:73">
      <c r="AG1046959" s="141"/>
      <c r="AH1046959" s="141"/>
      <c r="AI1046959" s="141"/>
      <c r="AP1046959" s="141"/>
      <c r="AQ1046959" s="141"/>
      <c r="AR1046959" s="141"/>
      <c r="AV1046959" s="141"/>
      <c r="AW1046959" s="141"/>
      <c r="AX1046959" s="141"/>
      <c r="BP1046959" s="142"/>
      <c r="BU1046959" s="143"/>
    </row>
    <row r="1046960" customFormat="1" ht="14.25" spans="33:73">
      <c r="AG1046960" s="141"/>
      <c r="AH1046960" s="141"/>
      <c r="AI1046960" s="141"/>
      <c r="AP1046960" s="141"/>
      <c r="AQ1046960" s="141"/>
      <c r="AR1046960" s="141"/>
      <c r="AV1046960" s="141"/>
      <c r="AW1046960" s="141"/>
      <c r="AX1046960" s="141"/>
      <c r="BP1046960" s="142"/>
      <c r="BU1046960" s="143"/>
    </row>
    <row r="1046961" customFormat="1" ht="14.25" spans="33:73">
      <c r="AG1046961" s="141"/>
      <c r="AH1046961" s="141"/>
      <c r="AI1046961" s="141"/>
      <c r="AP1046961" s="141"/>
      <c r="AQ1046961" s="141"/>
      <c r="AR1046961" s="141"/>
      <c r="AV1046961" s="141"/>
      <c r="AW1046961" s="141"/>
      <c r="AX1046961" s="141"/>
      <c r="BP1046961" s="142"/>
      <c r="BU1046961" s="143"/>
    </row>
    <row r="1046962" customFormat="1" ht="14.25" spans="33:73">
      <c r="AG1046962" s="141"/>
      <c r="AH1046962" s="141"/>
      <c r="AI1046962" s="141"/>
      <c r="AP1046962" s="141"/>
      <c r="AQ1046962" s="141"/>
      <c r="AR1046962" s="141"/>
      <c r="AV1046962" s="141"/>
      <c r="AW1046962" s="141"/>
      <c r="AX1046962" s="141"/>
      <c r="BP1046962" s="142"/>
      <c r="BU1046962" s="143"/>
    </row>
    <row r="1046963" customFormat="1" ht="14.25" spans="33:73">
      <c r="AG1046963" s="141"/>
      <c r="AH1046963" s="141"/>
      <c r="AI1046963" s="141"/>
      <c r="AP1046963" s="141"/>
      <c r="AQ1046963" s="141"/>
      <c r="AR1046963" s="141"/>
      <c r="AV1046963" s="141"/>
      <c r="AW1046963" s="141"/>
      <c r="AX1046963" s="141"/>
      <c r="BP1046963" s="142"/>
      <c r="BU1046963" s="143"/>
    </row>
    <row r="1046964" customFormat="1" ht="14.25" spans="33:73">
      <c r="AG1046964" s="141"/>
      <c r="AH1046964" s="141"/>
      <c r="AI1046964" s="141"/>
      <c r="AP1046964" s="141"/>
      <c r="AQ1046964" s="141"/>
      <c r="AR1046964" s="141"/>
      <c r="AV1046964" s="141"/>
      <c r="AW1046964" s="141"/>
      <c r="AX1046964" s="141"/>
      <c r="BP1046964" s="142"/>
      <c r="BU1046964" s="143"/>
    </row>
    <row r="1046965" customFormat="1" ht="14.25" spans="33:73">
      <c r="AG1046965" s="141"/>
      <c r="AH1046965" s="141"/>
      <c r="AI1046965" s="141"/>
      <c r="AP1046965" s="141"/>
      <c r="AQ1046965" s="141"/>
      <c r="AR1046965" s="141"/>
      <c r="AV1046965" s="141"/>
      <c r="AW1046965" s="141"/>
      <c r="AX1046965" s="141"/>
      <c r="BP1046965" s="142"/>
      <c r="BU1046965" s="143"/>
    </row>
    <row r="1046966" customFormat="1" ht="14.25" spans="33:73">
      <c r="AG1046966" s="141"/>
      <c r="AH1046966" s="141"/>
      <c r="AI1046966" s="141"/>
      <c r="AP1046966" s="141"/>
      <c r="AQ1046966" s="141"/>
      <c r="AR1046966" s="141"/>
      <c r="AV1046966" s="141"/>
      <c r="AW1046966" s="141"/>
      <c r="AX1046966" s="141"/>
      <c r="BP1046966" s="142"/>
      <c r="BU1046966" s="143"/>
    </row>
    <row r="1046967" customFormat="1" ht="14.25" spans="33:73">
      <c r="AG1046967" s="141"/>
      <c r="AH1046967" s="141"/>
      <c r="AI1046967" s="141"/>
      <c r="AP1046967" s="141"/>
      <c r="AQ1046967" s="141"/>
      <c r="AR1046967" s="141"/>
      <c r="AV1046967" s="141"/>
      <c r="AW1046967" s="141"/>
      <c r="AX1046967" s="141"/>
      <c r="BP1046967" s="142"/>
      <c r="BU1046967" s="143"/>
    </row>
    <row r="1046968" customFormat="1" ht="14.25" spans="33:73">
      <c r="AG1046968" s="141"/>
      <c r="AH1046968" s="141"/>
      <c r="AI1046968" s="141"/>
      <c r="AP1046968" s="141"/>
      <c r="AQ1046968" s="141"/>
      <c r="AR1046968" s="141"/>
      <c r="AV1046968" s="141"/>
      <c r="AW1046968" s="141"/>
      <c r="AX1046968" s="141"/>
      <c r="BP1046968" s="142"/>
      <c r="BU1046968" s="143"/>
    </row>
    <row r="1046969" customFormat="1" ht="14.25" spans="33:73">
      <c r="AG1046969" s="141"/>
      <c r="AH1046969" s="141"/>
      <c r="AI1046969" s="141"/>
      <c r="AP1046969" s="141"/>
      <c r="AQ1046969" s="141"/>
      <c r="AR1046969" s="141"/>
      <c r="AV1046969" s="141"/>
      <c r="AW1046969" s="141"/>
      <c r="AX1046969" s="141"/>
      <c r="BP1046969" s="142"/>
      <c r="BU1046969" s="143"/>
    </row>
    <row r="1046970" customFormat="1" ht="14.25" spans="33:73">
      <c r="AG1046970" s="141"/>
      <c r="AH1046970" s="141"/>
      <c r="AI1046970" s="141"/>
      <c r="AP1046970" s="141"/>
      <c r="AQ1046970" s="141"/>
      <c r="AR1046970" s="141"/>
      <c r="AV1046970" s="141"/>
      <c r="AW1046970" s="141"/>
      <c r="AX1046970" s="141"/>
      <c r="BP1046970" s="142"/>
      <c r="BU1046970" s="143"/>
    </row>
    <row r="1046971" customFormat="1" ht="14.25" spans="33:73">
      <c r="AG1046971" s="141"/>
      <c r="AH1046971" s="141"/>
      <c r="AI1046971" s="141"/>
      <c r="AP1046971" s="141"/>
      <c r="AQ1046971" s="141"/>
      <c r="AR1046971" s="141"/>
      <c r="AV1046971" s="141"/>
      <c r="AW1046971" s="141"/>
      <c r="AX1046971" s="141"/>
      <c r="BP1046971" s="142"/>
      <c r="BU1046971" s="143"/>
    </row>
    <row r="1046972" customFormat="1" ht="14.25" spans="33:73">
      <c r="AG1046972" s="141"/>
      <c r="AH1046972" s="141"/>
      <c r="AI1046972" s="141"/>
      <c r="AP1046972" s="141"/>
      <c r="AQ1046972" s="141"/>
      <c r="AR1046972" s="141"/>
      <c r="AV1046972" s="141"/>
      <c r="AW1046972" s="141"/>
      <c r="AX1046972" s="141"/>
      <c r="BP1046972" s="142"/>
      <c r="BU1046972" s="143"/>
    </row>
    <row r="1046973" customFormat="1" ht="14.25" spans="33:73">
      <c r="AG1046973" s="141"/>
      <c r="AH1046973" s="141"/>
      <c r="AI1046973" s="141"/>
      <c r="AP1046973" s="141"/>
      <c r="AQ1046973" s="141"/>
      <c r="AR1046973" s="141"/>
      <c r="AV1046973" s="141"/>
      <c r="AW1046973" s="141"/>
      <c r="AX1046973" s="141"/>
      <c r="BP1046973" s="142"/>
      <c r="BU1046973" s="143"/>
    </row>
    <row r="1046974" customFormat="1" ht="14.25" spans="33:73">
      <c r="AG1046974" s="141"/>
      <c r="AH1046974" s="141"/>
      <c r="AI1046974" s="141"/>
      <c r="AP1046974" s="141"/>
      <c r="AQ1046974" s="141"/>
      <c r="AR1046974" s="141"/>
      <c r="AV1046974" s="141"/>
      <c r="AW1046974" s="141"/>
      <c r="AX1046974" s="141"/>
      <c r="BP1046974" s="142"/>
      <c r="BU1046974" s="143"/>
    </row>
    <row r="1046975" customFormat="1" ht="14.25" spans="33:73">
      <c r="AG1046975" s="141"/>
      <c r="AH1046975" s="141"/>
      <c r="AI1046975" s="141"/>
      <c r="AP1046975" s="141"/>
      <c r="AQ1046975" s="141"/>
      <c r="AR1046975" s="141"/>
      <c r="AV1046975" s="141"/>
      <c r="AW1046975" s="141"/>
      <c r="AX1046975" s="141"/>
      <c r="BP1046975" s="142"/>
      <c r="BU1046975" s="143"/>
    </row>
    <row r="1046976" customFormat="1" ht="14.25" spans="33:73">
      <c r="AG1046976" s="141"/>
      <c r="AH1046976" s="141"/>
      <c r="AI1046976" s="141"/>
      <c r="AP1046976" s="141"/>
      <c r="AQ1046976" s="141"/>
      <c r="AR1046976" s="141"/>
      <c r="AV1046976" s="141"/>
      <c r="AW1046976" s="141"/>
      <c r="AX1046976" s="141"/>
      <c r="BP1046976" s="142"/>
      <c r="BU1046976" s="143"/>
    </row>
    <row r="1046977" customFormat="1" ht="14.25" spans="33:73">
      <c r="AG1046977" s="141"/>
      <c r="AH1046977" s="141"/>
      <c r="AI1046977" s="141"/>
      <c r="AP1046977" s="141"/>
      <c r="AQ1046977" s="141"/>
      <c r="AR1046977" s="141"/>
      <c r="AV1046977" s="141"/>
      <c r="AW1046977" s="141"/>
      <c r="AX1046977" s="141"/>
      <c r="BP1046977" s="142"/>
      <c r="BU1046977" s="143"/>
    </row>
    <row r="1046978" customFormat="1" ht="14.25" spans="33:73">
      <c r="AG1046978" s="141"/>
      <c r="AH1046978" s="141"/>
      <c r="AI1046978" s="141"/>
      <c r="AP1046978" s="141"/>
      <c r="AQ1046978" s="141"/>
      <c r="AR1046978" s="141"/>
      <c r="AV1046978" s="141"/>
      <c r="AW1046978" s="141"/>
      <c r="AX1046978" s="141"/>
      <c r="BP1046978" s="142"/>
      <c r="BU1046978" s="143"/>
    </row>
    <row r="1046979" customFormat="1" ht="14.25" spans="33:73">
      <c r="AG1046979" s="141"/>
      <c r="AH1046979" s="141"/>
      <c r="AI1046979" s="141"/>
      <c r="AP1046979" s="141"/>
      <c r="AQ1046979" s="141"/>
      <c r="AR1046979" s="141"/>
      <c r="AV1046979" s="141"/>
      <c r="AW1046979" s="141"/>
      <c r="AX1046979" s="141"/>
      <c r="BP1046979" s="142"/>
      <c r="BU1046979" s="143"/>
    </row>
    <row r="1046980" customFormat="1" ht="14.25" spans="33:73">
      <c r="AG1046980" s="141"/>
      <c r="AH1046980" s="141"/>
      <c r="AI1046980" s="141"/>
      <c r="AP1046980" s="141"/>
      <c r="AQ1046980" s="141"/>
      <c r="AR1046980" s="141"/>
      <c r="AV1046980" s="141"/>
      <c r="AW1046980" s="141"/>
      <c r="AX1046980" s="141"/>
      <c r="BP1046980" s="142"/>
      <c r="BU1046980" s="143"/>
    </row>
    <row r="1046981" customFormat="1" ht="14.25" spans="33:73">
      <c r="AG1046981" s="141"/>
      <c r="AH1046981" s="141"/>
      <c r="AI1046981" s="141"/>
      <c r="AP1046981" s="141"/>
      <c r="AQ1046981" s="141"/>
      <c r="AR1046981" s="141"/>
      <c r="AV1046981" s="141"/>
      <c r="AW1046981" s="141"/>
      <c r="AX1046981" s="141"/>
      <c r="BP1046981" s="142"/>
      <c r="BU1046981" s="143"/>
    </row>
    <row r="1046982" customFormat="1" ht="14.25" spans="33:73">
      <c r="AG1046982" s="141"/>
      <c r="AH1046982" s="141"/>
      <c r="AI1046982" s="141"/>
      <c r="AP1046982" s="141"/>
      <c r="AQ1046982" s="141"/>
      <c r="AR1046982" s="141"/>
      <c r="AV1046982" s="141"/>
      <c r="AW1046982" s="141"/>
      <c r="AX1046982" s="141"/>
      <c r="BP1046982" s="142"/>
      <c r="BU1046982" s="143"/>
    </row>
    <row r="1046983" customFormat="1" ht="14.25" spans="33:73">
      <c r="AG1046983" s="141"/>
      <c r="AH1046983" s="141"/>
      <c r="AI1046983" s="141"/>
      <c r="AP1046983" s="141"/>
      <c r="AQ1046983" s="141"/>
      <c r="AR1046983" s="141"/>
      <c r="AV1046983" s="141"/>
      <c r="AW1046983" s="141"/>
      <c r="AX1046983" s="141"/>
      <c r="BP1046983" s="142"/>
      <c r="BU1046983" s="143"/>
    </row>
    <row r="1046984" customFormat="1" ht="14.25" spans="33:73">
      <c r="AG1046984" s="141"/>
      <c r="AH1046984" s="141"/>
      <c r="AI1046984" s="141"/>
      <c r="AP1046984" s="141"/>
      <c r="AQ1046984" s="141"/>
      <c r="AR1046984" s="141"/>
      <c r="AV1046984" s="141"/>
      <c r="AW1046984" s="141"/>
      <c r="AX1046984" s="141"/>
      <c r="BP1046984" s="142"/>
      <c r="BU1046984" s="143"/>
    </row>
    <row r="1046985" customFormat="1" ht="14.25" spans="33:73">
      <c r="AG1046985" s="141"/>
      <c r="AH1046985" s="141"/>
      <c r="AI1046985" s="141"/>
      <c r="AP1046985" s="141"/>
      <c r="AQ1046985" s="141"/>
      <c r="AR1046985" s="141"/>
      <c r="AV1046985" s="141"/>
      <c r="AW1046985" s="141"/>
      <c r="AX1046985" s="141"/>
      <c r="BP1046985" s="142"/>
      <c r="BU1046985" s="143"/>
    </row>
    <row r="1046986" customFormat="1" ht="14.25" spans="33:73">
      <c r="AG1046986" s="141"/>
      <c r="AH1046986" s="141"/>
      <c r="AI1046986" s="141"/>
      <c r="AP1046986" s="141"/>
      <c r="AQ1046986" s="141"/>
      <c r="AR1046986" s="141"/>
      <c r="AV1046986" s="141"/>
      <c r="AW1046986" s="141"/>
      <c r="AX1046986" s="141"/>
      <c r="BP1046986" s="142"/>
      <c r="BU1046986" s="143"/>
    </row>
    <row r="1046987" customFormat="1" ht="14.25" spans="33:73">
      <c r="AG1046987" s="141"/>
      <c r="AH1046987" s="141"/>
      <c r="AI1046987" s="141"/>
      <c r="AP1046987" s="141"/>
      <c r="AQ1046987" s="141"/>
      <c r="AR1046987" s="141"/>
      <c r="AV1046987" s="141"/>
      <c r="AW1046987" s="141"/>
      <c r="AX1046987" s="141"/>
      <c r="BP1046987" s="142"/>
      <c r="BU1046987" s="143"/>
    </row>
    <row r="1046988" customFormat="1" ht="14.25" spans="33:73">
      <c r="AG1046988" s="141"/>
      <c r="AH1046988" s="141"/>
      <c r="AI1046988" s="141"/>
      <c r="AP1046988" s="141"/>
      <c r="AQ1046988" s="141"/>
      <c r="AR1046988" s="141"/>
      <c r="AV1046988" s="141"/>
      <c r="AW1046988" s="141"/>
      <c r="AX1046988" s="141"/>
      <c r="BP1046988" s="142"/>
      <c r="BU1046988" s="143"/>
    </row>
    <row r="1046989" customFormat="1" ht="14.25" spans="33:73">
      <c r="AG1046989" s="141"/>
      <c r="AH1046989" s="141"/>
      <c r="AI1046989" s="141"/>
      <c r="AP1046989" s="141"/>
      <c r="AQ1046989" s="141"/>
      <c r="AR1046989" s="141"/>
      <c r="AV1046989" s="141"/>
      <c r="AW1046989" s="141"/>
      <c r="AX1046989" s="141"/>
      <c r="BP1046989" s="142"/>
      <c r="BU1046989" s="143"/>
    </row>
    <row r="1046990" customFormat="1" ht="14.25" spans="33:73">
      <c r="AG1046990" s="141"/>
      <c r="AH1046990" s="141"/>
      <c r="AI1046990" s="141"/>
      <c r="AP1046990" s="141"/>
      <c r="AQ1046990" s="141"/>
      <c r="AR1046990" s="141"/>
      <c r="AV1046990" s="141"/>
      <c r="AW1046990" s="141"/>
      <c r="AX1046990" s="141"/>
      <c r="BP1046990" s="142"/>
      <c r="BU1046990" s="143"/>
    </row>
    <row r="1046991" customFormat="1" ht="14.25" spans="33:73">
      <c r="AG1046991" s="141"/>
      <c r="AH1046991" s="141"/>
      <c r="AI1046991" s="141"/>
      <c r="AP1046991" s="141"/>
      <c r="AQ1046991" s="141"/>
      <c r="AR1046991" s="141"/>
      <c r="AV1046991" s="141"/>
      <c r="AW1046991" s="141"/>
      <c r="AX1046991" s="141"/>
      <c r="BP1046991" s="142"/>
      <c r="BU1046991" s="143"/>
    </row>
    <row r="1046992" customFormat="1" ht="14.25" spans="33:73">
      <c r="AG1046992" s="141"/>
      <c r="AH1046992" s="141"/>
      <c r="AI1046992" s="141"/>
      <c r="AP1046992" s="141"/>
      <c r="AQ1046992" s="141"/>
      <c r="AR1046992" s="141"/>
      <c r="AV1046992" s="141"/>
      <c r="AW1046992" s="141"/>
      <c r="AX1046992" s="141"/>
      <c r="BP1046992" s="142"/>
      <c r="BU1046992" s="143"/>
    </row>
    <row r="1046993" customFormat="1" ht="14.25" spans="33:73">
      <c r="AG1046993" s="141"/>
      <c r="AH1046993" s="141"/>
      <c r="AI1046993" s="141"/>
      <c r="AP1046993" s="141"/>
      <c r="AQ1046993" s="141"/>
      <c r="AR1046993" s="141"/>
      <c r="AV1046993" s="141"/>
      <c r="AW1046993" s="141"/>
      <c r="AX1046993" s="141"/>
      <c r="BP1046993" s="142"/>
      <c r="BU1046993" s="143"/>
    </row>
    <row r="1046994" customFormat="1" ht="14.25" spans="33:73">
      <c r="AG1046994" s="141"/>
      <c r="AH1046994" s="141"/>
      <c r="AI1046994" s="141"/>
      <c r="AP1046994" s="141"/>
      <c r="AQ1046994" s="141"/>
      <c r="AR1046994" s="141"/>
      <c r="AV1046994" s="141"/>
      <c r="AW1046994" s="141"/>
      <c r="AX1046994" s="141"/>
      <c r="BP1046994" s="142"/>
      <c r="BU1046994" s="143"/>
    </row>
    <row r="1046995" customFormat="1" ht="14.25" spans="33:73">
      <c r="AG1046995" s="141"/>
      <c r="AH1046995" s="141"/>
      <c r="AI1046995" s="141"/>
      <c r="AP1046995" s="141"/>
      <c r="AQ1046995" s="141"/>
      <c r="AR1046995" s="141"/>
      <c r="AV1046995" s="141"/>
      <c r="AW1046995" s="141"/>
      <c r="AX1046995" s="141"/>
      <c r="BP1046995" s="142"/>
      <c r="BU1046995" s="143"/>
    </row>
    <row r="1046996" customFormat="1" ht="14.25" spans="33:73">
      <c r="AG1046996" s="141"/>
      <c r="AH1046996" s="141"/>
      <c r="AI1046996" s="141"/>
      <c r="AP1046996" s="141"/>
      <c r="AQ1046996" s="141"/>
      <c r="AR1046996" s="141"/>
      <c r="AV1046996" s="141"/>
      <c r="AW1046996" s="141"/>
      <c r="AX1046996" s="141"/>
      <c r="BP1046996" s="142"/>
      <c r="BU1046996" s="143"/>
    </row>
    <row r="1046997" customFormat="1" ht="14.25" spans="33:73">
      <c r="AG1046997" s="141"/>
      <c r="AH1046997" s="141"/>
      <c r="AI1046997" s="141"/>
      <c r="AP1046997" s="141"/>
      <c r="AQ1046997" s="141"/>
      <c r="AR1046997" s="141"/>
      <c r="AV1046997" s="141"/>
      <c r="AW1046997" s="141"/>
      <c r="AX1046997" s="141"/>
      <c r="BP1046997" s="142"/>
      <c r="BU1046997" s="143"/>
    </row>
    <row r="1046998" customFormat="1" ht="14.25" spans="33:73">
      <c r="AG1046998" s="141"/>
      <c r="AH1046998" s="141"/>
      <c r="AI1046998" s="141"/>
      <c r="AP1046998" s="141"/>
      <c r="AQ1046998" s="141"/>
      <c r="AR1046998" s="141"/>
      <c r="AV1046998" s="141"/>
      <c r="AW1046998" s="141"/>
      <c r="AX1046998" s="141"/>
      <c r="BP1046998" s="142"/>
      <c r="BU1046998" s="143"/>
    </row>
    <row r="1046999" customFormat="1" ht="14.25" spans="33:73">
      <c r="AG1046999" s="141"/>
      <c r="AH1046999" s="141"/>
      <c r="AI1046999" s="141"/>
      <c r="AP1046999" s="141"/>
      <c r="AQ1046999" s="141"/>
      <c r="AR1046999" s="141"/>
      <c r="AV1046999" s="141"/>
      <c r="AW1046999" s="141"/>
      <c r="AX1046999" s="141"/>
      <c r="BP1046999" s="142"/>
      <c r="BU1046999" s="143"/>
    </row>
    <row r="1047000" customFormat="1" ht="14.25" spans="33:73">
      <c r="AG1047000" s="141"/>
      <c r="AH1047000" s="141"/>
      <c r="AI1047000" s="141"/>
      <c r="AP1047000" s="141"/>
      <c r="AQ1047000" s="141"/>
      <c r="AR1047000" s="141"/>
      <c r="AV1047000" s="141"/>
      <c r="AW1047000" s="141"/>
      <c r="AX1047000" s="141"/>
      <c r="BP1047000" s="142"/>
      <c r="BU1047000" s="143"/>
    </row>
    <row r="1047001" customFormat="1" ht="14.25" spans="33:73">
      <c r="AG1047001" s="141"/>
      <c r="AH1047001" s="141"/>
      <c r="AI1047001" s="141"/>
      <c r="AP1047001" s="141"/>
      <c r="AQ1047001" s="141"/>
      <c r="AR1047001" s="141"/>
      <c r="AV1047001" s="141"/>
      <c r="AW1047001" s="141"/>
      <c r="AX1047001" s="141"/>
      <c r="BP1047001" s="142"/>
      <c r="BU1047001" s="143"/>
    </row>
    <row r="1047002" customFormat="1" ht="14.25" spans="33:73">
      <c r="AG1047002" s="141"/>
      <c r="AH1047002" s="141"/>
      <c r="AI1047002" s="141"/>
      <c r="AP1047002" s="141"/>
      <c r="AQ1047002" s="141"/>
      <c r="AR1047002" s="141"/>
      <c r="AV1047002" s="141"/>
      <c r="AW1047002" s="141"/>
      <c r="AX1047002" s="141"/>
      <c r="BP1047002" s="142"/>
      <c r="BU1047002" s="143"/>
    </row>
    <row r="1047003" customFormat="1" ht="14.25" spans="33:73">
      <c r="AG1047003" s="141"/>
      <c r="AH1047003" s="141"/>
      <c r="AI1047003" s="141"/>
      <c r="AP1047003" s="141"/>
      <c r="AQ1047003" s="141"/>
      <c r="AR1047003" s="141"/>
      <c r="AV1047003" s="141"/>
      <c r="AW1047003" s="141"/>
      <c r="AX1047003" s="141"/>
      <c r="BP1047003" s="142"/>
      <c r="BU1047003" s="143"/>
    </row>
    <row r="1047004" customFormat="1" ht="14.25" spans="33:73">
      <c r="AG1047004" s="141"/>
      <c r="AH1047004" s="141"/>
      <c r="AI1047004" s="141"/>
      <c r="AP1047004" s="141"/>
      <c r="AQ1047004" s="141"/>
      <c r="AR1047004" s="141"/>
      <c r="AV1047004" s="141"/>
      <c r="AW1047004" s="141"/>
      <c r="AX1047004" s="141"/>
      <c r="BP1047004" s="142"/>
      <c r="BU1047004" s="143"/>
    </row>
    <row r="1047005" customFormat="1" ht="14.25" spans="33:73">
      <c r="AG1047005" s="141"/>
      <c r="AH1047005" s="141"/>
      <c r="AI1047005" s="141"/>
      <c r="AP1047005" s="141"/>
      <c r="AQ1047005" s="141"/>
      <c r="AR1047005" s="141"/>
      <c r="AV1047005" s="141"/>
      <c r="AW1047005" s="141"/>
      <c r="AX1047005" s="141"/>
      <c r="BP1047005" s="142"/>
      <c r="BU1047005" s="143"/>
    </row>
    <row r="1047006" customFormat="1" ht="14.25" spans="33:73">
      <c r="AG1047006" s="141"/>
      <c r="AH1047006" s="141"/>
      <c r="AI1047006" s="141"/>
      <c r="AP1047006" s="141"/>
      <c r="AQ1047006" s="141"/>
      <c r="AR1047006" s="141"/>
      <c r="AV1047006" s="141"/>
      <c r="AW1047006" s="141"/>
      <c r="AX1047006" s="141"/>
      <c r="BP1047006" s="142"/>
      <c r="BU1047006" s="143"/>
    </row>
    <row r="1047007" customFormat="1" ht="14.25" spans="33:73">
      <c r="AG1047007" s="141"/>
      <c r="AH1047007" s="141"/>
      <c r="AI1047007" s="141"/>
      <c r="AP1047007" s="141"/>
      <c r="AQ1047007" s="141"/>
      <c r="AR1047007" s="141"/>
      <c r="AV1047007" s="141"/>
      <c r="AW1047007" s="141"/>
      <c r="AX1047007" s="141"/>
      <c r="BP1047007" s="142"/>
      <c r="BU1047007" s="143"/>
    </row>
    <row r="1047008" customFormat="1" ht="14.25" spans="33:73">
      <c r="AG1047008" s="141"/>
      <c r="AH1047008" s="141"/>
      <c r="AI1047008" s="141"/>
      <c r="AP1047008" s="141"/>
      <c r="AQ1047008" s="141"/>
      <c r="AR1047008" s="141"/>
      <c r="AV1047008" s="141"/>
      <c r="AW1047008" s="141"/>
      <c r="AX1047008" s="141"/>
      <c r="BP1047008" s="142"/>
      <c r="BU1047008" s="143"/>
    </row>
    <row r="1047009" customFormat="1" ht="14.25" spans="33:73">
      <c r="AG1047009" s="141"/>
      <c r="AH1047009" s="141"/>
      <c r="AI1047009" s="141"/>
      <c r="AP1047009" s="141"/>
      <c r="AQ1047009" s="141"/>
      <c r="AR1047009" s="141"/>
      <c r="AV1047009" s="141"/>
      <c r="AW1047009" s="141"/>
      <c r="AX1047009" s="141"/>
      <c r="BP1047009" s="142"/>
      <c r="BU1047009" s="143"/>
    </row>
    <row r="1047010" customFormat="1" ht="14.25" spans="33:73">
      <c r="AG1047010" s="141"/>
      <c r="AH1047010" s="141"/>
      <c r="AI1047010" s="141"/>
      <c r="AP1047010" s="141"/>
      <c r="AQ1047010" s="141"/>
      <c r="AR1047010" s="141"/>
      <c r="AV1047010" s="141"/>
      <c r="AW1047010" s="141"/>
      <c r="AX1047010" s="141"/>
      <c r="BP1047010" s="142"/>
      <c r="BU1047010" s="143"/>
    </row>
    <row r="1047011" customFormat="1" ht="14.25" spans="33:73">
      <c r="AG1047011" s="141"/>
      <c r="AH1047011" s="141"/>
      <c r="AI1047011" s="141"/>
      <c r="AP1047011" s="141"/>
      <c r="AQ1047011" s="141"/>
      <c r="AR1047011" s="141"/>
      <c r="AV1047011" s="141"/>
      <c r="AW1047011" s="141"/>
      <c r="AX1047011" s="141"/>
      <c r="BP1047011" s="142"/>
      <c r="BU1047011" s="143"/>
    </row>
    <row r="1047012" customFormat="1" ht="14.25" spans="33:73">
      <c r="AG1047012" s="141"/>
      <c r="AH1047012" s="141"/>
      <c r="AI1047012" s="141"/>
      <c r="AP1047012" s="141"/>
      <c r="AQ1047012" s="141"/>
      <c r="AR1047012" s="141"/>
      <c r="AV1047012" s="141"/>
      <c r="AW1047012" s="141"/>
      <c r="AX1047012" s="141"/>
      <c r="BP1047012" s="142"/>
      <c r="BU1047012" s="143"/>
    </row>
    <row r="1047013" customFormat="1" ht="14.25" spans="33:73">
      <c r="AG1047013" s="141"/>
      <c r="AH1047013" s="141"/>
      <c r="AI1047013" s="141"/>
      <c r="AP1047013" s="141"/>
      <c r="AQ1047013" s="141"/>
      <c r="AR1047013" s="141"/>
      <c r="AV1047013" s="141"/>
      <c r="AW1047013" s="141"/>
      <c r="AX1047013" s="141"/>
      <c r="BP1047013" s="142"/>
      <c r="BU1047013" s="143"/>
    </row>
    <row r="1047014" customFormat="1" ht="14.25" spans="33:73">
      <c r="AG1047014" s="141"/>
      <c r="AH1047014" s="141"/>
      <c r="AI1047014" s="141"/>
      <c r="AP1047014" s="141"/>
      <c r="AQ1047014" s="141"/>
      <c r="AR1047014" s="141"/>
      <c r="AV1047014" s="141"/>
      <c r="AW1047014" s="141"/>
      <c r="AX1047014" s="141"/>
      <c r="BP1047014" s="142"/>
      <c r="BU1047014" s="143"/>
    </row>
    <row r="1047015" customFormat="1" ht="14.25" spans="33:73">
      <c r="AG1047015" s="141"/>
      <c r="AH1047015" s="141"/>
      <c r="AI1047015" s="141"/>
      <c r="AP1047015" s="141"/>
      <c r="AQ1047015" s="141"/>
      <c r="AR1047015" s="141"/>
      <c r="AV1047015" s="141"/>
      <c r="AW1047015" s="141"/>
      <c r="AX1047015" s="141"/>
      <c r="BP1047015" s="142"/>
      <c r="BU1047015" s="143"/>
    </row>
    <row r="1047016" customFormat="1" ht="14.25" spans="33:73">
      <c r="AG1047016" s="141"/>
      <c r="AH1047016" s="141"/>
      <c r="AI1047016" s="141"/>
      <c r="AP1047016" s="141"/>
      <c r="AQ1047016" s="141"/>
      <c r="AR1047016" s="141"/>
      <c r="AV1047016" s="141"/>
      <c r="AW1047016" s="141"/>
      <c r="AX1047016" s="141"/>
      <c r="BP1047016" s="142"/>
      <c r="BU1047016" s="143"/>
    </row>
    <row r="1047017" customFormat="1" ht="14.25" spans="33:73">
      <c r="AG1047017" s="141"/>
      <c r="AH1047017" s="141"/>
      <c r="AI1047017" s="141"/>
      <c r="AP1047017" s="141"/>
      <c r="AQ1047017" s="141"/>
      <c r="AR1047017" s="141"/>
      <c r="AV1047017" s="141"/>
      <c r="AW1047017" s="141"/>
      <c r="AX1047017" s="141"/>
      <c r="BP1047017" s="142"/>
      <c r="BU1047017" s="143"/>
    </row>
    <row r="1047018" customFormat="1" ht="14.25" spans="33:73">
      <c r="AG1047018" s="141"/>
      <c r="AH1047018" s="141"/>
      <c r="AI1047018" s="141"/>
      <c r="AP1047018" s="141"/>
      <c r="AQ1047018" s="141"/>
      <c r="AR1047018" s="141"/>
      <c r="AV1047018" s="141"/>
      <c r="AW1047018" s="141"/>
      <c r="AX1047018" s="141"/>
      <c r="BP1047018" s="142"/>
      <c r="BU1047018" s="143"/>
    </row>
    <row r="1047019" customFormat="1" ht="14.25" spans="33:73">
      <c r="AG1047019" s="141"/>
      <c r="AH1047019" s="141"/>
      <c r="AI1047019" s="141"/>
      <c r="AP1047019" s="141"/>
      <c r="AQ1047019" s="141"/>
      <c r="AR1047019" s="141"/>
      <c r="AV1047019" s="141"/>
      <c r="AW1047019" s="141"/>
      <c r="AX1047019" s="141"/>
      <c r="BP1047019" s="142"/>
      <c r="BU1047019" s="143"/>
    </row>
    <row r="1047020" customFormat="1" ht="14.25" spans="33:73">
      <c r="AG1047020" s="141"/>
      <c r="AH1047020" s="141"/>
      <c r="AI1047020" s="141"/>
      <c r="AP1047020" s="141"/>
      <c r="AQ1047020" s="141"/>
      <c r="AR1047020" s="141"/>
      <c r="AV1047020" s="141"/>
      <c r="AW1047020" s="141"/>
      <c r="AX1047020" s="141"/>
      <c r="BP1047020" s="142"/>
      <c r="BU1047020" s="143"/>
    </row>
    <row r="1047021" customFormat="1" ht="14.25" spans="33:73">
      <c r="AG1047021" s="141"/>
      <c r="AH1047021" s="141"/>
      <c r="AI1047021" s="141"/>
      <c r="AP1047021" s="141"/>
      <c r="AQ1047021" s="141"/>
      <c r="AR1047021" s="141"/>
      <c r="AV1047021" s="141"/>
      <c r="AW1047021" s="141"/>
      <c r="AX1047021" s="141"/>
      <c r="BP1047021" s="142"/>
      <c r="BU1047021" s="143"/>
    </row>
    <row r="1047022" customFormat="1" ht="14.25" spans="33:73">
      <c r="AG1047022" s="141"/>
      <c r="AH1047022" s="141"/>
      <c r="AI1047022" s="141"/>
      <c r="AP1047022" s="141"/>
      <c r="AQ1047022" s="141"/>
      <c r="AR1047022" s="141"/>
      <c r="AV1047022" s="141"/>
      <c r="AW1047022" s="141"/>
      <c r="AX1047022" s="141"/>
      <c r="BP1047022" s="142"/>
      <c r="BU1047022" s="143"/>
    </row>
    <row r="1047023" customFormat="1" ht="14.25" spans="33:73">
      <c r="AG1047023" s="141"/>
      <c r="AH1047023" s="141"/>
      <c r="AI1047023" s="141"/>
      <c r="AP1047023" s="141"/>
      <c r="AQ1047023" s="141"/>
      <c r="AR1047023" s="141"/>
      <c r="AV1047023" s="141"/>
      <c r="AW1047023" s="141"/>
      <c r="AX1047023" s="141"/>
      <c r="BP1047023" s="142"/>
      <c r="BU1047023" s="143"/>
    </row>
    <row r="1047024" customFormat="1" ht="14.25" spans="33:73">
      <c r="AG1047024" s="141"/>
      <c r="AH1047024" s="141"/>
      <c r="AI1047024" s="141"/>
      <c r="AP1047024" s="141"/>
      <c r="AQ1047024" s="141"/>
      <c r="AR1047024" s="141"/>
      <c r="AV1047024" s="141"/>
      <c r="AW1047024" s="141"/>
      <c r="AX1047024" s="141"/>
      <c r="BP1047024" s="142"/>
      <c r="BU1047024" s="143"/>
    </row>
    <row r="1047025" customFormat="1" ht="14.25" spans="33:73">
      <c r="AG1047025" s="141"/>
      <c r="AH1047025" s="141"/>
      <c r="AI1047025" s="141"/>
      <c r="AP1047025" s="141"/>
      <c r="AQ1047025" s="141"/>
      <c r="AR1047025" s="141"/>
      <c r="AV1047025" s="141"/>
      <c r="AW1047025" s="141"/>
      <c r="AX1047025" s="141"/>
      <c r="BP1047025" s="142"/>
      <c r="BU1047025" s="143"/>
    </row>
    <row r="1047026" customFormat="1" ht="14.25" spans="33:73">
      <c r="AG1047026" s="141"/>
      <c r="AH1047026" s="141"/>
      <c r="AI1047026" s="141"/>
      <c r="AP1047026" s="141"/>
      <c r="AQ1047026" s="141"/>
      <c r="AR1047026" s="141"/>
      <c r="AV1047026" s="141"/>
      <c r="AW1047026" s="141"/>
      <c r="AX1047026" s="141"/>
      <c r="BP1047026" s="142"/>
      <c r="BU1047026" s="143"/>
    </row>
    <row r="1047027" customFormat="1" ht="14.25" spans="33:73">
      <c r="AG1047027" s="141"/>
      <c r="AH1047027" s="141"/>
      <c r="AI1047027" s="141"/>
      <c r="AP1047027" s="141"/>
      <c r="AQ1047027" s="141"/>
      <c r="AR1047027" s="141"/>
      <c r="AV1047027" s="141"/>
      <c r="AW1047027" s="141"/>
      <c r="AX1047027" s="141"/>
      <c r="BP1047027" s="142"/>
      <c r="BU1047027" s="143"/>
    </row>
    <row r="1047028" customFormat="1" ht="14.25" spans="33:73">
      <c r="AG1047028" s="141"/>
      <c r="AH1047028" s="141"/>
      <c r="AI1047028" s="141"/>
      <c r="AP1047028" s="141"/>
      <c r="AQ1047028" s="141"/>
      <c r="AR1047028" s="141"/>
      <c r="AV1047028" s="141"/>
      <c r="AW1047028" s="141"/>
      <c r="AX1047028" s="141"/>
      <c r="BP1047028" s="142"/>
      <c r="BU1047028" s="143"/>
    </row>
    <row r="1047029" customFormat="1" ht="14.25" spans="33:73">
      <c r="AG1047029" s="141"/>
      <c r="AH1047029" s="141"/>
      <c r="AI1047029" s="141"/>
      <c r="AP1047029" s="141"/>
      <c r="AQ1047029" s="141"/>
      <c r="AR1047029" s="141"/>
      <c r="AV1047029" s="141"/>
      <c r="AW1047029" s="141"/>
      <c r="AX1047029" s="141"/>
      <c r="BP1047029" s="142"/>
      <c r="BU1047029" s="143"/>
    </row>
    <row r="1047030" customFormat="1" ht="14.25" spans="33:73">
      <c r="AG1047030" s="141"/>
      <c r="AH1047030" s="141"/>
      <c r="AI1047030" s="141"/>
      <c r="AP1047030" s="141"/>
      <c r="AQ1047030" s="141"/>
      <c r="AR1047030" s="141"/>
      <c r="AV1047030" s="141"/>
      <c r="AW1047030" s="141"/>
      <c r="AX1047030" s="141"/>
      <c r="BP1047030" s="142"/>
      <c r="BU1047030" s="143"/>
    </row>
    <row r="1047031" customFormat="1" ht="14.25" spans="33:73">
      <c r="AG1047031" s="141"/>
      <c r="AH1047031" s="141"/>
      <c r="AI1047031" s="141"/>
      <c r="AP1047031" s="141"/>
      <c r="AQ1047031" s="141"/>
      <c r="AR1047031" s="141"/>
      <c r="AV1047031" s="141"/>
      <c r="AW1047031" s="141"/>
      <c r="AX1047031" s="141"/>
      <c r="BP1047031" s="142"/>
      <c r="BU1047031" s="143"/>
    </row>
    <row r="1047032" customFormat="1" ht="14.25" spans="33:73">
      <c r="AG1047032" s="141"/>
      <c r="AH1047032" s="141"/>
      <c r="AI1047032" s="141"/>
      <c r="AP1047032" s="141"/>
      <c r="AQ1047032" s="141"/>
      <c r="AR1047032" s="141"/>
      <c r="AV1047032" s="141"/>
      <c r="AW1047032" s="141"/>
      <c r="AX1047032" s="141"/>
      <c r="BP1047032" s="142"/>
      <c r="BU1047032" s="143"/>
    </row>
    <row r="1047033" customFormat="1" ht="14.25" spans="33:73">
      <c r="AG1047033" s="141"/>
      <c r="AH1047033" s="141"/>
      <c r="AI1047033" s="141"/>
      <c r="AP1047033" s="141"/>
      <c r="AQ1047033" s="141"/>
      <c r="AR1047033" s="141"/>
      <c r="AV1047033" s="141"/>
      <c r="AW1047033" s="141"/>
      <c r="AX1047033" s="141"/>
      <c r="BP1047033" s="142"/>
      <c r="BU1047033" s="143"/>
    </row>
    <row r="1047034" customFormat="1" ht="14.25" spans="33:73">
      <c r="AG1047034" s="141"/>
      <c r="AH1047034" s="141"/>
      <c r="AI1047034" s="141"/>
      <c r="AP1047034" s="141"/>
      <c r="AQ1047034" s="141"/>
      <c r="AR1047034" s="141"/>
      <c r="AV1047034" s="141"/>
      <c r="AW1047034" s="141"/>
      <c r="AX1047034" s="141"/>
      <c r="BP1047034" s="142"/>
      <c r="BU1047034" s="143"/>
    </row>
    <row r="1047035" customFormat="1" ht="14.25" spans="33:73">
      <c r="AG1047035" s="141"/>
      <c r="AH1047035" s="141"/>
      <c r="AI1047035" s="141"/>
      <c r="AP1047035" s="141"/>
      <c r="AQ1047035" s="141"/>
      <c r="AR1047035" s="141"/>
      <c r="AV1047035" s="141"/>
      <c r="AW1047035" s="141"/>
      <c r="AX1047035" s="141"/>
      <c r="BP1047035" s="142"/>
      <c r="BU1047035" s="143"/>
    </row>
    <row r="1047036" customFormat="1" ht="14.25" spans="33:73">
      <c r="AG1047036" s="141"/>
      <c r="AH1047036" s="141"/>
      <c r="AI1047036" s="141"/>
      <c r="AP1047036" s="141"/>
      <c r="AQ1047036" s="141"/>
      <c r="AR1047036" s="141"/>
      <c r="AV1047036" s="141"/>
      <c r="AW1047036" s="141"/>
      <c r="AX1047036" s="141"/>
      <c r="BP1047036" s="142"/>
      <c r="BU1047036" s="143"/>
    </row>
    <row r="1047037" customFormat="1" ht="14.25" spans="33:73">
      <c r="AG1047037" s="141"/>
      <c r="AH1047037" s="141"/>
      <c r="AI1047037" s="141"/>
      <c r="AP1047037" s="141"/>
      <c r="AQ1047037" s="141"/>
      <c r="AR1047037" s="141"/>
      <c r="AV1047037" s="141"/>
      <c r="AW1047037" s="141"/>
      <c r="AX1047037" s="141"/>
      <c r="BP1047037" s="142"/>
      <c r="BU1047037" s="143"/>
    </row>
    <row r="1047038" customFormat="1" ht="14.25" spans="33:73">
      <c r="AG1047038" s="141"/>
      <c r="AH1047038" s="141"/>
      <c r="AI1047038" s="141"/>
      <c r="AP1047038" s="141"/>
      <c r="AQ1047038" s="141"/>
      <c r="AR1047038" s="141"/>
      <c r="AV1047038" s="141"/>
      <c r="AW1047038" s="141"/>
      <c r="AX1047038" s="141"/>
      <c r="BP1047038" s="142"/>
      <c r="BU1047038" s="143"/>
    </row>
    <row r="1047039" customFormat="1" ht="14.25" spans="33:73">
      <c r="AG1047039" s="141"/>
      <c r="AH1047039" s="141"/>
      <c r="AI1047039" s="141"/>
      <c r="AP1047039" s="141"/>
      <c r="AQ1047039" s="141"/>
      <c r="AR1047039" s="141"/>
      <c r="AV1047039" s="141"/>
      <c r="AW1047039" s="141"/>
      <c r="AX1047039" s="141"/>
      <c r="BP1047039" s="142"/>
      <c r="BU1047039" s="143"/>
    </row>
    <row r="1047040" customFormat="1" ht="14.25" spans="33:73">
      <c r="AG1047040" s="141"/>
      <c r="AH1047040" s="141"/>
      <c r="AI1047040" s="141"/>
      <c r="AP1047040" s="141"/>
      <c r="AQ1047040" s="141"/>
      <c r="AR1047040" s="141"/>
      <c r="AV1047040" s="141"/>
      <c r="AW1047040" s="141"/>
      <c r="AX1047040" s="141"/>
      <c r="BP1047040" s="142"/>
      <c r="BU1047040" s="143"/>
    </row>
    <row r="1047041" customFormat="1" ht="14.25" spans="33:73">
      <c r="AG1047041" s="141"/>
      <c r="AH1047041" s="141"/>
      <c r="AI1047041" s="141"/>
      <c r="AP1047041" s="141"/>
      <c r="AQ1047041" s="141"/>
      <c r="AR1047041" s="141"/>
      <c r="AV1047041" s="141"/>
      <c r="AW1047041" s="141"/>
      <c r="AX1047041" s="141"/>
      <c r="BP1047041" s="142"/>
      <c r="BU1047041" s="143"/>
    </row>
    <row r="1047042" customFormat="1" ht="14.25" spans="33:73">
      <c r="AG1047042" s="141"/>
      <c r="AH1047042" s="141"/>
      <c r="AI1047042" s="141"/>
      <c r="AP1047042" s="141"/>
      <c r="AQ1047042" s="141"/>
      <c r="AR1047042" s="141"/>
      <c r="AV1047042" s="141"/>
      <c r="AW1047042" s="141"/>
      <c r="AX1047042" s="141"/>
      <c r="BP1047042" s="142"/>
      <c r="BU1047042" s="143"/>
    </row>
    <row r="1047043" customFormat="1" ht="14.25" spans="33:73">
      <c r="AG1047043" s="141"/>
      <c r="AH1047043" s="141"/>
      <c r="AI1047043" s="141"/>
      <c r="AP1047043" s="141"/>
      <c r="AQ1047043" s="141"/>
      <c r="AR1047043" s="141"/>
      <c r="AV1047043" s="141"/>
      <c r="AW1047043" s="141"/>
      <c r="AX1047043" s="141"/>
      <c r="BP1047043" s="142"/>
      <c r="BU1047043" s="143"/>
    </row>
    <row r="1047044" customFormat="1" ht="14.25" spans="33:73">
      <c r="AG1047044" s="141"/>
      <c r="AH1047044" s="141"/>
      <c r="AI1047044" s="141"/>
      <c r="AP1047044" s="141"/>
      <c r="AQ1047044" s="141"/>
      <c r="AR1047044" s="141"/>
      <c r="AV1047044" s="141"/>
      <c r="AW1047044" s="141"/>
      <c r="AX1047044" s="141"/>
      <c r="BP1047044" s="142"/>
      <c r="BU1047044" s="143"/>
    </row>
    <row r="1047045" customFormat="1" ht="14.25" spans="33:73">
      <c r="AG1047045" s="141"/>
      <c r="AH1047045" s="141"/>
      <c r="AI1047045" s="141"/>
      <c r="AP1047045" s="141"/>
      <c r="AQ1047045" s="141"/>
      <c r="AR1047045" s="141"/>
      <c r="AV1047045" s="141"/>
      <c r="AW1047045" s="141"/>
      <c r="AX1047045" s="141"/>
      <c r="BP1047045" s="142"/>
      <c r="BU1047045" s="143"/>
    </row>
    <row r="1047046" customFormat="1" ht="14.25" spans="33:73">
      <c r="AG1047046" s="141"/>
      <c r="AH1047046" s="141"/>
      <c r="AI1047046" s="141"/>
      <c r="AP1047046" s="141"/>
      <c r="AQ1047046" s="141"/>
      <c r="AR1047046" s="141"/>
      <c r="AV1047046" s="141"/>
      <c r="AW1047046" s="141"/>
      <c r="AX1047046" s="141"/>
      <c r="BP1047046" s="142"/>
      <c r="BU1047046" s="143"/>
    </row>
    <row r="1047047" customFormat="1" ht="14.25" spans="33:73">
      <c r="AG1047047" s="141"/>
      <c r="AH1047047" s="141"/>
      <c r="AI1047047" s="141"/>
      <c r="AP1047047" s="141"/>
      <c r="AQ1047047" s="141"/>
      <c r="AR1047047" s="141"/>
      <c r="AV1047047" s="141"/>
      <c r="AW1047047" s="141"/>
      <c r="AX1047047" s="141"/>
      <c r="BP1047047" s="142"/>
      <c r="BU1047047" s="143"/>
    </row>
    <row r="1047048" customFormat="1" ht="14.25" spans="33:73">
      <c r="AG1047048" s="141"/>
      <c r="AH1047048" s="141"/>
      <c r="AI1047048" s="141"/>
      <c r="AP1047048" s="141"/>
      <c r="AQ1047048" s="141"/>
      <c r="AR1047048" s="141"/>
      <c r="AV1047048" s="141"/>
      <c r="AW1047048" s="141"/>
      <c r="AX1047048" s="141"/>
      <c r="BP1047048" s="142"/>
      <c r="BU1047048" s="143"/>
    </row>
    <row r="1047049" customFormat="1" ht="14.25" spans="33:73">
      <c r="AG1047049" s="141"/>
      <c r="AH1047049" s="141"/>
      <c r="AI1047049" s="141"/>
      <c r="AP1047049" s="141"/>
      <c r="AQ1047049" s="141"/>
      <c r="AR1047049" s="141"/>
      <c r="AV1047049" s="141"/>
      <c r="AW1047049" s="141"/>
      <c r="AX1047049" s="141"/>
      <c r="BP1047049" s="142"/>
      <c r="BU1047049" s="143"/>
    </row>
    <row r="1047050" customFormat="1" ht="14.25" spans="33:73">
      <c r="AG1047050" s="141"/>
      <c r="AH1047050" s="141"/>
      <c r="AI1047050" s="141"/>
      <c r="AP1047050" s="141"/>
      <c r="AQ1047050" s="141"/>
      <c r="AR1047050" s="141"/>
      <c r="AV1047050" s="141"/>
      <c r="AW1047050" s="141"/>
      <c r="AX1047050" s="141"/>
      <c r="BP1047050" s="142"/>
      <c r="BU1047050" s="143"/>
    </row>
    <row r="1047051" customFormat="1" ht="14.25" spans="33:73">
      <c r="AG1047051" s="141"/>
      <c r="AH1047051" s="141"/>
      <c r="AI1047051" s="141"/>
      <c r="AP1047051" s="141"/>
      <c r="AQ1047051" s="141"/>
      <c r="AR1047051" s="141"/>
      <c r="AV1047051" s="141"/>
      <c r="AW1047051" s="141"/>
      <c r="AX1047051" s="141"/>
      <c r="BP1047051" s="142"/>
      <c r="BU1047051" s="143"/>
    </row>
    <row r="1047052" customFormat="1" ht="14.25" spans="33:73">
      <c r="AG1047052" s="141"/>
      <c r="AH1047052" s="141"/>
      <c r="AI1047052" s="141"/>
      <c r="AP1047052" s="141"/>
      <c r="AQ1047052" s="141"/>
      <c r="AR1047052" s="141"/>
      <c r="AV1047052" s="141"/>
      <c r="AW1047052" s="141"/>
      <c r="AX1047052" s="141"/>
      <c r="BP1047052" s="142"/>
      <c r="BU1047052" s="143"/>
    </row>
    <row r="1047053" customFormat="1" ht="14.25" spans="33:73">
      <c r="AG1047053" s="141"/>
      <c r="AH1047053" s="141"/>
      <c r="AI1047053" s="141"/>
      <c r="AP1047053" s="141"/>
      <c r="AQ1047053" s="141"/>
      <c r="AR1047053" s="141"/>
      <c r="AV1047053" s="141"/>
      <c r="AW1047053" s="141"/>
      <c r="AX1047053" s="141"/>
      <c r="BP1047053" s="142"/>
      <c r="BU1047053" s="143"/>
    </row>
    <row r="1047054" customFormat="1" ht="14.25" spans="33:73">
      <c r="AG1047054" s="141"/>
      <c r="AH1047054" s="141"/>
      <c r="AI1047054" s="141"/>
      <c r="AP1047054" s="141"/>
      <c r="AQ1047054" s="141"/>
      <c r="AR1047054" s="141"/>
      <c r="AV1047054" s="141"/>
      <c r="AW1047054" s="141"/>
      <c r="AX1047054" s="141"/>
      <c r="BP1047054" s="142"/>
      <c r="BU1047054" s="143"/>
    </row>
    <row r="1047055" customFormat="1" ht="14.25" spans="33:73">
      <c r="AG1047055" s="141"/>
      <c r="AH1047055" s="141"/>
      <c r="AI1047055" s="141"/>
      <c r="AP1047055" s="141"/>
      <c r="AQ1047055" s="141"/>
      <c r="AR1047055" s="141"/>
      <c r="AV1047055" s="141"/>
      <c r="AW1047055" s="141"/>
      <c r="AX1047055" s="141"/>
      <c r="BP1047055" s="142"/>
      <c r="BU1047055" s="143"/>
    </row>
    <row r="1047056" customFormat="1" ht="14.25" spans="33:73">
      <c r="AG1047056" s="141"/>
      <c r="AH1047056" s="141"/>
      <c r="AI1047056" s="141"/>
      <c r="AP1047056" s="141"/>
      <c r="AQ1047056" s="141"/>
      <c r="AR1047056" s="141"/>
      <c r="AV1047056" s="141"/>
      <c r="AW1047056" s="141"/>
      <c r="AX1047056" s="141"/>
      <c r="BP1047056" s="142"/>
      <c r="BU1047056" s="143"/>
    </row>
    <row r="1047057" customFormat="1" ht="14.25" spans="33:73">
      <c r="AG1047057" s="141"/>
      <c r="AH1047057" s="141"/>
      <c r="AI1047057" s="141"/>
      <c r="AP1047057" s="141"/>
      <c r="AQ1047057" s="141"/>
      <c r="AR1047057" s="141"/>
      <c r="AV1047057" s="141"/>
      <c r="AW1047057" s="141"/>
      <c r="AX1047057" s="141"/>
      <c r="BP1047057" s="142"/>
      <c r="BU1047057" s="143"/>
    </row>
    <row r="1047058" customFormat="1" ht="14.25" spans="33:73">
      <c r="AG1047058" s="141"/>
      <c r="AH1047058" s="141"/>
      <c r="AI1047058" s="141"/>
      <c r="AP1047058" s="141"/>
      <c r="AQ1047058" s="141"/>
      <c r="AR1047058" s="141"/>
      <c r="AV1047058" s="141"/>
      <c r="AW1047058" s="141"/>
      <c r="AX1047058" s="141"/>
      <c r="BP1047058" s="142"/>
      <c r="BU1047058" s="143"/>
    </row>
    <row r="1047059" customFormat="1" ht="14.25" spans="33:73">
      <c r="AG1047059" s="141"/>
      <c r="AH1047059" s="141"/>
      <c r="AI1047059" s="141"/>
      <c r="AP1047059" s="141"/>
      <c r="AQ1047059" s="141"/>
      <c r="AR1047059" s="141"/>
      <c r="AV1047059" s="141"/>
      <c r="AW1047059" s="141"/>
      <c r="AX1047059" s="141"/>
      <c r="BP1047059" s="142"/>
      <c r="BU1047059" s="143"/>
    </row>
    <row r="1047060" customFormat="1" ht="14.25" spans="33:73">
      <c r="AG1047060" s="141"/>
      <c r="AH1047060" s="141"/>
      <c r="AI1047060" s="141"/>
      <c r="AP1047060" s="141"/>
      <c r="AQ1047060" s="141"/>
      <c r="AR1047060" s="141"/>
      <c r="AV1047060" s="141"/>
      <c r="AW1047060" s="141"/>
      <c r="AX1047060" s="141"/>
      <c r="BP1047060" s="142"/>
      <c r="BU1047060" s="143"/>
    </row>
    <row r="1047061" customFormat="1" ht="14.25" spans="33:73">
      <c r="AG1047061" s="141"/>
      <c r="AH1047061" s="141"/>
      <c r="AI1047061" s="141"/>
      <c r="AP1047061" s="141"/>
      <c r="AQ1047061" s="141"/>
      <c r="AR1047061" s="141"/>
      <c r="AV1047061" s="141"/>
      <c r="AW1047061" s="141"/>
      <c r="AX1047061" s="141"/>
      <c r="BP1047061" s="142"/>
      <c r="BU1047061" s="143"/>
    </row>
    <row r="1047062" customFormat="1" ht="14.25" spans="33:73">
      <c r="AG1047062" s="141"/>
      <c r="AH1047062" s="141"/>
      <c r="AI1047062" s="141"/>
      <c r="AP1047062" s="141"/>
      <c r="AQ1047062" s="141"/>
      <c r="AR1047062" s="141"/>
      <c r="AV1047062" s="141"/>
      <c r="AW1047062" s="141"/>
      <c r="AX1047062" s="141"/>
      <c r="BP1047062" s="142"/>
      <c r="BU1047062" s="143"/>
    </row>
    <row r="1047063" customFormat="1" ht="14.25" spans="33:73">
      <c r="AG1047063" s="141"/>
      <c r="AH1047063" s="141"/>
      <c r="AI1047063" s="141"/>
      <c r="AP1047063" s="141"/>
      <c r="AQ1047063" s="141"/>
      <c r="AR1047063" s="141"/>
      <c r="AV1047063" s="141"/>
      <c r="AW1047063" s="141"/>
      <c r="AX1047063" s="141"/>
      <c r="BP1047063" s="142"/>
      <c r="BU1047063" s="143"/>
    </row>
    <row r="1047064" customFormat="1" ht="14.25" spans="33:73">
      <c r="AG1047064" s="141"/>
      <c r="AH1047064" s="141"/>
      <c r="AI1047064" s="141"/>
      <c r="AP1047064" s="141"/>
      <c r="AQ1047064" s="141"/>
      <c r="AR1047064" s="141"/>
      <c r="AV1047064" s="141"/>
      <c r="AW1047064" s="141"/>
      <c r="AX1047064" s="141"/>
      <c r="BP1047064" s="142"/>
      <c r="BU1047064" s="143"/>
    </row>
    <row r="1047065" customFormat="1" ht="14.25" spans="33:73">
      <c r="AG1047065" s="141"/>
      <c r="AH1047065" s="141"/>
      <c r="AI1047065" s="141"/>
      <c r="AP1047065" s="141"/>
      <c r="AQ1047065" s="141"/>
      <c r="AR1047065" s="141"/>
      <c r="AV1047065" s="141"/>
      <c r="AW1047065" s="141"/>
      <c r="AX1047065" s="141"/>
      <c r="BP1047065" s="142"/>
      <c r="BU1047065" s="143"/>
    </row>
    <row r="1047066" customFormat="1" ht="14.25" spans="33:73">
      <c r="AG1047066" s="141"/>
      <c r="AH1047066" s="141"/>
      <c r="AI1047066" s="141"/>
      <c r="AP1047066" s="141"/>
      <c r="AQ1047066" s="141"/>
      <c r="AR1047066" s="141"/>
      <c r="AV1047066" s="141"/>
      <c r="AW1047066" s="141"/>
      <c r="AX1047066" s="141"/>
      <c r="BP1047066" s="142"/>
      <c r="BU1047066" s="143"/>
    </row>
    <row r="1047067" customFormat="1" ht="14.25" spans="33:73">
      <c r="AG1047067" s="141"/>
      <c r="AH1047067" s="141"/>
      <c r="AI1047067" s="141"/>
      <c r="AP1047067" s="141"/>
      <c r="AQ1047067" s="141"/>
      <c r="AR1047067" s="141"/>
      <c r="AV1047067" s="141"/>
      <c r="AW1047067" s="141"/>
      <c r="AX1047067" s="141"/>
      <c r="BP1047067" s="142"/>
      <c r="BU1047067" s="143"/>
    </row>
    <row r="1047068" customFormat="1" ht="14.25" spans="33:73">
      <c r="AG1047068" s="141"/>
      <c r="AH1047068" s="141"/>
      <c r="AI1047068" s="141"/>
      <c r="AP1047068" s="141"/>
      <c r="AQ1047068" s="141"/>
      <c r="AR1047068" s="141"/>
      <c r="AV1047068" s="141"/>
      <c r="AW1047068" s="141"/>
      <c r="AX1047068" s="141"/>
      <c r="BP1047068" s="142"/>
      <c r="BU1047068" s="143"/>
    </row>
    <row r="1047069" customFormat="1" ht="14.25" spans="33:73">
      <c r="AG1047069" s="141"/>
      <c r="AH1047069" s="141"/>
      <c r="AI1047069" s="141"/>
      <c r="AP1047069" s="141"/>
      <c r="AQ1047069" s="141"/>
      <c r="AR1047069" s="141"/>
      <c r="AV1047069" s="141"/>
      <c r="AW1047069" s="141"/>
      <c r="AX1047069" s="141"/>
      <c r="BP1047069" s="142"/>
      <c r="BU1047069" s="143"/>
    </row>
    <row r="1047070" customFormat="1" ht="14.25" spans="33:73">
      <c r="AG1047070" s="141"/>
      <c r="AH1047070" s="141"/>
      <c r="AI1047070" s="141"/>
      <c r="AP1047070" s="141"/>
      <c r="AQ1047070" s="141"/>
      <c r="AR1047070" s="141"/>
      <c r="AV1047070" s="141"/>
      <c r="AW1047070" s="141"/>
      <c r="AX1047070" s="141"/>
      <c r="BP1047070" s="142"/>
      <c r="BU1047070" s="143"/>
    </row>
    <row r="1047071" customFormat="1" ht="14.25" spans="33:73">
      <c r="AG1047071" s="141"/>
      <c r="AH1047071" s="141"/>
      <c r="AI1047071" s="141"/>
      <c r="AP1047071" s="141"/>
      <c r="AQ1047071" s="141"/>
      <c r="AR1047071" s="141"/>
      <c r="AV1047071" s="141"/>
      <c r="AW1047071" s="141"/>
      <c r="AX1047071" s="141"/>
      <c r="BP1047071" s="142"/>
      <c r="BU1047071" s="143"/>
    </row>
    <row r="1047072" customFormat="1" ht="14.25" spans="33:73">
      <c r="AG1047072" s="141"/>
      <c r="AH1047072" s="141"/>
      <c r="AI1047072" s="141"/>
      <c r="AP1047072" s="141"/>
      <c r="AQ1047072" s="141"/>
      <c r="AR1047072" s="141"/>
      <c r="AV1047072" s="141"/>
      <c r="AW1047072" s="141"/>
      <c r="AX1047072" s="141"/>
      <c r="BP1047072" s="142"/>
      <c r="BU1047072" s="143"/>
    </row>
    <row r="1047073" customFormat="1" ht="14.25" spans="33:73">
      <c r="AG1047073" s="141"/>
      <c r="AH1047073" s="141"/>
      <c r="AI1047073" s="141"/>
      <c r="AP1047073" s="141"/>
      <c r="AQ1047073" s="141"/>
      <c r="AR1047073" s="141"/>
      <c r="AV1047073" s="141"/>
      <c r="AW1047073" s="141"/>
      <c r="AX1047073" s="141"/>
      <c r="BP1047073" s="142"/>
      <c r="BU1047073" s="143"/>
    </row>
    <row r="1047074" customFormat="1" ht="14.25" spans="33:73">
      <c r="AG1047074" s="141"/>
      <c r="AH1047074" s="141"/>
      <c r="AI1047074" s="141"/>
      <c r="AP1047074" s="141"/>
      <c r="AQ1047074" s="141"/>
      <c r="AR1047074" s="141"/>
      <c r="AV1047074" s="141"/>
      <c r="AW1047074" s="141"/>
      <c r="AX1047074" s="141"/>
      <c r="BP1047074" s="142"/>
      <c r="BU1047074" s="143"/>
    </row>
    <row r="1047075" customFormat="1" ht="14.25" spans="33:73">
      <c r="AG1047075" s="141"/>
      <c r="AH1047075" s="141"/>
      <c r="AI1047075" s="141"/>
      <c r="AP1047075" s="141"/>
      <c r="AQ1047075" s="141"/>
      <c r="AR1047075" s="141"/>
      <c r="AV1047075" s="141"/>
      <c r="AW1047075" s="141"/>
      <c r="AX1047075" s="141"/>
      <c r="BP1047075" s="142"/>
      <c r="BU1047075" s="143"/>
    </row>
    <row r="1047076" customFormat="1" ht="14.25" spans="33:73">
      <c r="AG1047076" s="141"/>
      <c r="AH1047076" s="141"/>
      <c r="AI1047076" s="141"/>
      <c r="AP1047076" s="141"/>
      <c r="AQ1047076" s="141"/>
      <c r="AR1047076" s="141"/>
      <c r="AV1047076" s="141"/>
      <c r="AW1047076" s="141"/>
      <c r="AX1047076" s="141"/>
      <c r="BP1047076" s="142"/>
      <c r="BU1047076" s="143"/>
    </row>
    <row r="1047077" customFormat="1" ht="14.25" spans="33:73">
      <c r="AG1047077" s="141"/>
      <c r="AH1047077" s="141"/>
      <c r="AI1047077" s="141"/>
      <c r="AP1047077" s="141"/>
      <c r="AQ1047077" s="141"/>
      <c r="AR1047077" s="141"/>
      <c r="AV1047077" s="141"/>
      <c r="AW1047077" s="141"/>
      <c r="AX1047077" s="141"/>
      <c r="BP1047077" s="142"/>
      <c r="BU1047077" s="143"/>
    </row>
    <row r="1047078" customFormat="1" ht="14.25" spans="33:73">
      <c r="AG1047078" s="141"/>
      <c r="AH1047078" s="141"/>
      <c r="AI1047078" s="141"/>
      <c r="AP1047078" s="141"/>
      <c r="AQ1047078" s="141"/>
      <c r="AR1047078" s="141"/>
      <c r="AV1047078" s="141"/>
      <c r="AW1047078" s="141"/>
      <c r="AX1047078" s="141"/>
      <c r="BP1047078" s="142"/>
      <c r="BU1047078" s="143"/>
    </row>
    <row r="1047079" customFormat="1" ht="14.25" spans="33:73">
      <c r="AG1047079" s="141"/>
      <c r="AH1047079" s="141"/>
      <c r="AI1047079" s="141"/>
      <c r="AP1047079" s="141"/>
      <c r="AQ1047079" s="141"/>
      <c r="AR1047079" s="141"/>
      <c r="AV1047079" s="141"/>
      <c r="AW1047079" s="141"/>
      <c r="AX1047079" s="141"/>
      <c r="BP1047079" s="142"/>
      <c r="BU1047079" s="143"/>
    </row>
    <row r="1047080" customFormat="1" ht="14.25" spans="33:73">
      <c r="AG1047080" s="141"/>
      <c r="AH1047080" s="141"/>
      <c r="AI1047080" s="141"/>
      <c r="AP1047080" s="141"/>
      <c r="AQ1047080" s="141"/>
      <c r="AR1047080" s="141"/>
      <c r="AV1047080" s="141"/>
      <c r="AW1047080" s="141"/>
      <c r="AX1047080" s="141"/>
      <c r="BP1047080" s="142"/>
      <c r="BU1047080" s="143"/>
    </row>
    <row r="1047081" customFormat="1" ht="14.25" spans="33:73">
      <c r="AG1047081" s="141"/>
      <c r="AH1047081" s="141"/>
      <c r="AI1047081" s="141"/>
      <c r="AP1047081" s="141"/>
      <c r="AQ1047081" s="141"/>
      <c r="AR1047081" s="141"/>
      <c r="AV1047081" s="141"/>
      <c r="AW1047081" s="141"/>
      <c r="AX1047081" s="141"/>
      <c r="BP1047081" s="142"/>
      <c r="BU1047081" s="143"/>
    </row>
    <row r="1047082" customFormat="1" ht="14.25" spans="33:73">
      <c r="AG1047082" s="141"/>
      <c r="AH1047082" s="141"/>
      <c r="AI1047082" s="141"/>
      <c r="AP1047082" s="141"/>
      <c r="AQ1047082" s="141"/>
      <c r="AR1047082" s="141"/>
      <c r="AV1047082" s="141"/>
      <c r="AW1047082" s="141"/>
      <c r="AX1047082" s="141"/>
      <c r="BP1047082" s="142"/>
      <c r="BU1047082" s="143"/>
    </row>
    <row r="1047083" customFormat="1" ht="14.25" spans="33:73">
      <c r="AG1047083" s="141"/>
      <c r="AH1047083" s="141"/>
      <c r="AI1047083" s="141"/>
      <c r="AP1047083" s="141"/>
      <c r="AQ1047083" s="141"/>
      <c r="AR1047083" s="141"/>
      <c r="AV1047083" s="141"/>
      <c r="AW1047083" s="141"/>
      <c r="AX1047083" s="141"/>
      <c r="BP1047083" s="142"/>
      <c r="BU1047083" s="143"/>
    </row>
    <row r="1047084" customFormat="1" ht="14.25" spans="33:73">
      <c r="AG1047084" s="141"/>
      <c r="AH1047084" s="141"/>
      <c r="AI1047084" s="141"/>
      <c r="AP1047084" s="141"/>
      <c r="AQ1047084" s="141"/>
      <c r="AR1047084" s="141"/>
      <c r="AV1047084" s="141"/>
      <c r="AW1047084" s="141"/>
      <c r="AX1047084" s="141"/>
      <c r="BP1047084" s="142"/>
      <c r="BU1047084" s="143"/>
    </row>
    <row r="1047085" customFormat="1" ht="14.25" spans="33:73">
      <c r="AG1047085" s="141"/>
      <c r="AH1047085" s="141"/>
      <c r="AI1047085" s="141"/>
      <c r="AP1047085" s="141"/>
      <c r="AQ1047085" s="141"/>
      <c r="AR1047085" s="141"/>
      <c r="AV1047085" s="141"/>
      <c r="AW1047085" s="141"/>
      <c r="AX1047085" s="141"/>
      <c r="BP1047085" s="142"/>
      <c r="BU1047085" s="143"/>
    </row>
    <row r="1047086" customFormat="1" ht="14.25" spans="33:73">
      <c r="AG1047086" s="141"/>
      <c r="AH1047086" s="141"/>
      <c r="AI1047086" s="141"/>
      <c r="AP1047086" s="141"/>
      <c r="AQ1047086" s="141"/>
      <c r="AR1047086" s="141"/>
      <c r="AV1047086" s="141"/>
      <c r="AW1047086" s="141"/>
      <c r="AX1047086" s="141"/>
      <c r="BP1047086" s="142"/>
      <c r="BU1047086" s="143"/>
    </row>
    <row r="1047087" customFormat="1" ht="14.25" spans="33:73">
      <c r="AG1047087" s="141"/>
      <c r="AH1047087" s="141"/>
      <c r="AI1047087" s="141"/>
      <c r="AP1047087" s="141"/>
      <c r="AQ1047087" s="141"/>
      <c r="AR1047087" s="141"/>
      <c r="AV1047087" s="141"/>
      <c r="AW1047087" s="141"/>
      <c r="AX1047087" s="141"/>
      <c r="BP1047087" s="142"/>
      <c r="BU1047087" s="143"/>
    </row>
    <row r="1047088" customFormat="1" ht="14.25" spans="33:73">
      <c r="AG1047088" s="141"/>
      <c r="AH1047088" s="141"/>
      <c r="AI1047088" s="141"/>
      <c r="AP1047088" s="141"/>
      <c r="AQ1047088" s="141"/>
      <c r="AR1047088" s="141"/>
      <c r="AV1047088" s="141"/>
      <c r="AW1047088" s="141"/>
      <c r="AX1047088" s="141"/>
      <c r="BP1047088" s="142"/>
      <c r="BU1047088" s="143"/>
    </row>
    <row r="1047089" customFormat="1" ht="14.25" spans="33:73">
      <c r="AG1047089" s="141"/>
      <c r="AH1047089" s="141"/>
      <c r="AI1047089" s="141"/>
      <c r="AP1047089" s="141"/>
      <c r="AQ1047089" s="141"/>
      <c r="AR1047089" s="141"/>
      <c r="AV1047089" s="141"/>
      <c r="AW1047089" s="141"/>
      <c r="AX1047089" s="141"/>
      <c r="BP1047089" s="142"/>
      <c r="BU1047089" s="143"/>
    </row>
    <row r="1047090" customFormat="1" ht="14.25" spans="33:73">
      <c r="AG1047090" s="141"/>
      <c r="AH1047090" s="141"/>
      <c r="AI1047090" s="141"/>
      <c r="AP1047090" s="141"/>
      <c r="AQ1047090" s="141"/>
      <c r="AR1047090" s="141"/>
      <c r="AV1047090" s="141"/>
      <c r="AW1047090" s="141"/>
      <c r="AX1047090" s="141"/>
      <c r="BP1047090" s="142"/>
      <c r="BU1047090" s="143"/>
    </row>
    <row r="1047091" customFormat="1" ht="14.25" spans="33:73">
      <c r="AG1047091" s="141"/>
      <c r="AH1047091" s="141"/>
      <c r="AI1047091" s="141"/>
      <c r="AP1047091" s="141"/>
      <c r="AQ1047091" s="141"/>
      <c r="AR1047091" s="141"/>
      <c r="AV1047091" s="141"/>
      <c r="AW1047091" s="141"/>
      <c r="AX1047091" s="141"/>
      <c r="BP1047091" s="142"/>
      <c r="BU1047091" s="143"/>
    </row>
    <row r="1047092" customFormat="1" ht="14.25" spans="33:73">
      <c r="AG1047092" s="141"/>
      <c r="AH1047092" s="141"/>
      <c r="AI1047092" s="141"/>
      <c r="AP1047092" s="141"/>
      <c r="AQ1047092" s="141"/>
      <c r="AR1047092" s="141"/>
      <c r="AV1047092" s="141"/>
      <c r="AW1047092" s="141"/>
      <c r="AX1047092" s="141"/>
      <c r="BP1047092" s="142"/>
      <c r="BU1047092" s="143"/>
    </row>
    <row r="1047093" customFormat="1" ht="14.25" spans="33:73">
      <c r="AG1047093" s="141"/>
      <c r="AH1047093" s="141"/>
      <c r="AI1047093" s="141"/>
      <c r="AP1047093" s="141"/>
      <c r="AQ1047093" s="141"/>
      <c r="AR1047093" s="141"/>
      <c r="AV1047093" s="141"/>
      <c r="AW1047093" s="141"/>
      <c r="AX1047093" s="141"/>
      <c r="BP1047093" s="142"/>
      <c r="BU1047093" s="143"/>
    </row>
    <row r="1047094" customFormat="1" ht="14.25" spans="33:73">
      <c r="AG1047094" s="141"/>
      <c r="AH1047094" s="141"/>
      <c r="AI1047094" s="141"/>
      <c r="AP1047094" s="141"/>
      <c r="AQ1047094" s="141"/>
      <c r="AR1047094" s="141"/>
      <c r="AV1047094" s="141"/>
      <c r="AW1047094" s="141"/>
      <c r="AX1047094" s="141"/>
      <c r="BP1047094" s="142"/>
      <c r="BU1047094" s="143"/>
    </row>
    <row r="1047095" customFormat="1" ht="14.25" spans="33:73">
      <c r="AG1047095" s="141"/>
      <c r="AH1047095" s="141"/>
      <c r="AI1047095" s="141"/>
      <c r="AP1047095" s="141"/>
      <c r="AQ1047095" s="141"/>
      <c r="AR1047095" s="141"/>
      <c r="AV1047095" s="141"/>
      <c r="AW1047095" s="141"/>
      <c r="AX1047095" s="141"/>
      <c r="BP1047095" s="142"/>
      <c r="BU1047095" s="143"/>
    </row>
    <row r="1047096" customFormat="1" ht="14.25" spans="33:73">
      <c r="AG1047096" s="141"/>
      <c r="AH1047096" s="141"/>
      <c r="AI1047096" s="141"/>
      <c r="AP1047096" s="141"/>
      <c r="AQ1047096" s="141"/>
      <c r="AR1047096" s="141"/>
      <c r="AV1047096" s="141"/>
      <c r="AW1047096" s="141"/>
      <c r="AX1047096" s="141"/>
      <c r="BP1047096" s="142"/>
      <c r="BU1047096" s="143"/>
    </row>
    <row r="1047097" customFormat="1" ht="14.25" spans="33:73">
      <c r="AG1047097" s="141"/>
      <c r="AH1047097" s="141"/>
      <c r="AI1047097" s="141"/>
      <c r="AP1047097" s="141"/>
      <c r="AQ1047097" s="141"/>
      <c r="AR1047097" s="141"/>
      <c r="AV1047097" s="141"/>
      <c r="AW1047097" s="141"/>
      <c r="AX1047097" s="141"/>
      <c r="BP1047097" s="142"/>
      <c r="BU1047097" s="143"/>
    </row>
    <row r="1047098" customFormat="1" ht="14.25" spans="33:73">
      <c r="AG1047098" s="141"/>
      <c r="AH1047098" s="141"/>
      <c r="AI1047098" s="141"/>
      <c r="AP1047098" s="141"/>
      <c r="AQ1047098" s="141"/>
      <c r="AR1047098" s="141"/>
      <c r="AV1047098" s="141"/>
      <c r="AW1047098" s="141"/>
      <c r="AX1047098" s="141"/>
      <c r="BP1047098" s="142"/>
      <c r="BU1047098" s="143"/>
    </row>
    <row r="1047099" customFormat="1" ht="14.25" spans="33:73">
      <c r="AG1047099" s="141"/>
      <c r="AH1047099" s="141"/>
      <c r="AI1047099" s="141"/>
      <c r="AP1047099" s="141"/>
      <c r="AQ1047099" s="141"/>
      <c r="AR1047099" s="141"/>
      <c r="AV1047099" s="141"/>
      <c r="AW1047099" s="141"/>
      <c r="AX1047099" s="141"/>
      <c r="BP1047099" s="142"/>
      <c r="BU1047099" s="143"/>
    </row>
    <row r="1047100" customFormat="1" ht="14.25" spans="33:73">
      <c r="AG1047100" s="141"/>
      <c r="AH1047100" s="141"/>
      <c r="AI1047100" s="141"/>
      <c r="AP1047100" s="141"/>
      <c r="AQ1047100" s="141"/>
      <c r="AR1047100" s="141"/>
      <c r="AV1047100" s="141"/>
      <c r="AW1047100" s="141"/>
      <c r="AX1047100" s="141"/>
      <c r="BP1047100" s="142"/>
      <c r="BU1047100" s="143"/>
    </row>
    <row r="1047101" customFormat="1" ht="14.25" spans="33:73">
      <c r="AG1047101" s="141"/>
      <c r="AH1047101" s="141"/>
      <c r="AI1047101" s="141"/>
      <c r="AP1047101" s="141"/>
      <c r="AQ1047101" s="141"/>
      <c r="AR1047101" s="141"/>
      <c r="AV1047101" s="141"/>
      <c r="AW1047101" s="141"/>
      <c r="AX1047101" s="141"/>
      <c r="BP1047101" s="142"/>
      <c r="BU1047101" s="143"/>
    </row>
    <row r="1047102" customFormat="1" ht="14.25" spans="33:73">
      <c r="AG1047102" s="141"/>
      <c r="AH1047102" s="141"/>
      <c r="AI1047102" s="141"/>
      <c r="AP1047102" s="141"/>
      <c r="AQ1047102" s="141"/>
      <c r="AR1047102" s="141"/>
      <c r="AV1047102" s="141"/>
      <c r="AW1047102" s="141"/>
      <c r="AX1047102" s="141"/>
      <c r="BP1047102" s="142"/>
      <c r="BU1047102" s="143"/>
    </row>
    <row r="1047103" customFormat="1" ht="14.25" spans="33:73">
      <c r="AG1047103" s="141"/>
      <c r="AH1047103" s="141"/>
      <c r="AI1047103" s="141"/>
      <c r="AP1047103" s="141"/>
      <c r="AQ1047103" s="141"/>
      <c r="AR1047103" s="141"/>
      <c r="AV1047103" s="141"/>
      <c r="AW1047103" s="141"/>
      <c r="AX1047103" s="141"/>
      <c r="BP1047103" s="142"/>
      <c r="BU1047103" s="143"/>
    </row>
    <row r="1047104" customFormat="1" ht="14.25" spans="33:73">
      <c r="AG1047104" s="141"/>
      <c r="AH1047104" s="141"/>
      <c r="AI1047104" s="141"/>
      <c r="AP1047104" s="141"/>
      <c r="AQ1047104" s="141"/>
      <c r="AR1047104" s="141"/>
      <c r="AV1047104" s="141"/>
      <c r="AW1047104" s="141"/>
      <c r="AX1047104" s="141"/>
      <c r="BP1047104" s="142"/>
      <c r="BU1047104" s="143"/>
    </row>
    <row r="1047105" customFormat="1" ht="14.25" spans="33:73">
      <c r="AG1047105" s="141"/>
      <c r="AH1047105" s="141"/>
      <c r="AI1047105" s="141"/>
      <c r="AP1047105" s="141"/>
      <c r="AQ1047105" s="141"/>
      <c r="AR1047105" s="141"/>
      <c r="AV1047105" s="141"/>
      <c r="AW1047105" s="141"/>
      <c r="AX1047105" s="141"/>
      <c r="BP1047105" s="142"/>
      <c r="BU1047105" s="143"/>
    </row>
    <row r="1047106" customFormat="1" ht="14.25" spans="33:73">
      <c r="AG1047106" s="141"/>
      <c r="AH1047106" s="141"/>
      <c r="AI1047106" s="141"/>
      <c r="AP1047106" s="141"/>
      <c r="AQ1047106" s="141"/>
      <c r="AR1047106" s="141"/>
      <c r="AV1047106" s="141"/>
      <c r="AW1047106" s="141"/>
      <c r="AX1047106" s="141"/>
      <c r="BP1047106" s="142"/>
      <c r="BU1047106" s="143"/>
    </row>
    <row r="1047107" customFormat="1" ht="14.25" spans="33:73">
      <c r="AG1047107" s="141"/>
      <c r="AH1047107" s="141"/>
      <c r="AI1047107" s="141"/>
      <c r="AP1047107" s="141"/>
      <c r="AQ1047107" s="141"/>
      <c r="AR1047107" s="141"/>
      <c r="AV1047107" s="141"/>
      <c r="AW1047107" s="141"/>
      <c r="AX1047107" s="141"/>
      <c r="BP1047107" s="142"/>
      <c r="BU1047107" s="143"/>
    </row>
    <row r="1047108" customFormat="1" ht="14.25" spans="33:73">
      <c r="AG1047108" s="141"/>
      <c r="AH1047108" s="141"/>
      <c r="AI1047108" s="141"/>
      <c r="AP1047108" s="141"/>
      <c r="AQ1047108" s="141"/>
      <c r="AR1047108" s="141"/>
      <c r="AV1047108" s="141"/>
      <c r="AW1047108" s="141"/>
      <c r="AX1047108" s="141"/>
      <c r="BP1047108" s="142"/>
      <c r="BU1047108" s="143"/>
    </row>
    <row r="1047109" customFormat="1" ht="14.25" spans="33:73">
      <c r="AG1047109" s="141"/>
      <c r="AH1047109" s="141"/>
      <c r="AI1047109" s="141"/>
      <c r="AP1047109" s="141"/>
      <c r="AQ1047109" s="141"/>
      <c r="AR1047109" s="141"/>
      <c r="AV1047109" s="141"/>
      <c r="AW1047109" s="141"/>
      <c r="AX1047109" s="141"/>
      <c r="BP1047109" s="142"/>
      <c r="BU1047109" s="143"/>
    </row>
    <row r="1047110" customFormat="1" ht="14.25" spans="33:73">
      <c r="AG1047110" s="141"/>
      <c r="AH1047110" s="141"/>
      <c r="AI1047110" s="141"/>
      <c r="AP1047110" s="141"/>
      <c r="AQ1047110" s="141"/>
      <c r="AR1047110" s="141"/>
      <c r="AV1047110" s="141"/>
      <c r="AW1047110" s="141"/>
      <c r="AX1047110" s="141"/>
      <c r="BP1047110" s="142"/>
      <c r="BU1047110" s="143"/>
    </row>
    <row r="1047111" customFormat="1" ht="14.25" spans="33:73">
      <c r="AG1047111" s="141"/>
      <c r="AH1047111" s="141"/>
      <c r="AI1047111" s="141"/>
      <c r="AP1047111" s="141"/>
      <c r="AQ1047111" s="141"/>
      <c r="AR1047111" s="141"/>
      <c r="AV1047111" s="141"/>
      <c r="AW1047111" s="141"/>
      <c r="AX1047111" s="141"/>
      <c r="BP1047111" s="142"/>
      <c r="BU1047111" s="143"/>
    </row>
    <row r="1047112" customFormat="1" ht="14.25" spans="33:73">
      <c r="AG1047112" s="141"/>
      <c r="AH1047112" s="141"/>
      <c r="AI1047112" s="141"/>
      <c r="AP1047112" s="141"/>
      <c r="AQ1047112" s="141"/>
      <c r="AR1047112" s="141"/>
      <c r="AV1047112" s="141"/>
      <c r="AW1047112" s="141"/>
      <c r="AX1047112" s="141"/>
      <c r="BP1047112" s="142"/>
      <c r="BU1047112" s="143"/>
    </row>
    <row r="1047113" customFormat="1" ht="14.25" spans="33:73">
      <c r="AG1047113" s="141"/>
      <c r="AH1047113" s="141"/>
      <c r="AI1047113" s="141"/>
      <c r="AP1047113" s="141"/>
      <c r="AQ1047113" s="141"/>
      <c r="AR1047113" s="141"/>
      <c r="AV1047113" s="141"/>
      <c r="AW1047113" s="141"/>
      <c r="AX1047113" s="141"/>
      <c r="BP1047113" s="142"/>
      <c r="BU1047113" s="143"/>
    </row>
    <row r="1047114" customFormat="1" ht="14.25" spans="33:73">
      <c r="AG1047114" s="141"/>
      <c r="AH1047114" s="141"/>
      <c r="AI1047114" s="141"/>
      <c r="AP1047114" s="141"/>
      <c r="AQ1047114" s="141"/>
      <c r="AR1047114" s="141"/>
      <c r="AV1047114" s="141"/>
      <c r="AW1047114" s="141"/>
      <c r="AX1047114" s="141"/>
      <c r="BP1047114" s="142"/>
      <c r="BU1047114" s="143"/>
    </row>
    <row r="1047115" customFormat="1" ht="14.25" spans="33:73">
      <c r="AG1047115" s="141"/>
      <c r="AH1047115" s="141"/>
      <c r="AI1047115" s="141"/>
      <c r="AP1047115" s="141"/>
      <c r="AQ1047115" s="141"/>
      <c r="AR1047115" s="141"/>
      <c r="AV1047115" s="141"/>
      <c r="AW1047115" s="141"/>
      <c r="AX1047115" s="141"/>
      <c r="BP1047115" s="142"/>
      <c r="BU1047115" s="143"/>
    </row>
    <row r="1047116" customFormat="1" ht="14.25" spans="33:73">
      <c r="AG1047116" s="141"/>
      <c r="AH1047116" s="141"/>
      <c r="AI1047116" s="141"/>
      <c r="AP1047116" s="141"/>
      <c r="AQ1047116" s="141"/>
      <c r="AR1047116" s="141"/>
      <c r="AV1047116" s="141"/>
      <c r="AW1047116" s="141"/>
      <c r="AX1047116" s="141"/>
      <c r="BP1047116" s="142"/>
      <c r="BU1047116" s="143"/>
    </row>
    <row r="1047117" customFormat="1" ht="14.25" spans="33:73">
      <c r="AG1047117" s="141"/>
      <c r="AH1047117" s="141"/>
      <c r="AI1047117" s="141"/>
      <c r="AP1047117" s="141"/>
      <c r="AQ1047117" s="141"/>
      <c r="AR1047117" s="141"/>
      <c r="AV1047117" s="141"/>
      <c r="AW1047117" s="141"/>
      <c r="AX1047117" s="141"/>
      <c r="BP1047117" s="142"/>
      <c r="BU1047117" s="143"/>
    </row>
    <row r="1047118" customFormat="1" ht="14.25" spans="33:73">
      <c r="AG1047118" s="141"/>
      <c r="AH1047118" s="141"/>
      <c r="AI1047118" s="141"/>
      <c r="AP1047118" s="141"/>
      <c r="AQ1047118" s="141"/>
      <c r="AR1047118" s="141"/>
      <c r="AV1047118" s="141"/>
      <c r="AW1047118" s="141"/>
      <c r="AX1047118" s="141"/>
      <c r="BP1047118" s="142"/>
      <c r="BU1047118" s="143"/>
    </row>
    <row r="1047119" customFormat="1" ht="14.25" spans="33:73">
      <c r="AG1047119" s="141"/>
      <c r="AH1047119" s="141"/>
      <c r="AI1047119" s="141"/>
      <c r="AP1047119" s="141"/>
      <c r="AQ1047119" s="141"/>
      <c r="AR1047119" s="141"/>
      <c r="AV1047119" s="141"/>
      <c r="AW1047119" s="141"/>
      <c r="AX1047119" s="141"/>
      <c r="BP1047119" s="142"/>
      <c r="BU1047119" s="143"/>
    </row>
    <row r="1047120" customFormat="1" ht="14.25" spans="33:73">
      <c r="AG1047120" s="141"/>
      <c r="AH1047120" s="141"/>
      <c r="AI1047120" s="141"/>
      <c r="AP1047120" s="141"/>
      <c r="AQ1047120" s="141"/>
      <c r="AR1047120" s="141"/>
      <c r="AV1047120" s="141"/>
      <c r="AW1047120" s="141"/>
      <c r="AX1047120" s="141"/>
      <c r="BP1047120" s="142"/>
      <c r="BU1047120" s="143"/>
    </row>
    <row r="1047121" customFormat="1" ht="14.25" spans="33:73">
      <c r="AG1047121" s="141"/>
      <c r="AH1047121" s="141"/>
      <c r="AI1047121" s="141"/>
      <c r="AP1047121" s="141"/>
      <c r="AQ1047121" s="141"/>
      <c r="AR1047121" s="141"/>
      <c r="AV1047121" s="141"/>
      <c r="AW1047121" s="141"/>
      <c r="AX1047121" s="141"/>
      <c r="BP1047121" s="142"/>
      <c r="BU1047121" s="143"/>
    </row>
    <row r="1047122" customFormat="1" ht="14.25" spans="33:73">
      <c r="AG1047122" s="141"/>
      <c r="AH1047122" s="141"/>
      <c r="AI1047122" s="141"/>
      <c r="AP1047122" s="141"/>
      <c r="AQ1047122" s="141"/>
      <c r="AR1047122" s="141"/>
      <c r="AV1047122" s="141"/>
      <c r="AW1047122" s="141"/>
      <c r="AX1047122" s="141"/>
      <c r="BP1047122" s="142"/>
      <c r="BU1047122" s="143"/>
    </row>
    <row r="1047123" customFormat="1" ht="14.25" spans="33:73">
      <c r="AG1047123" s="141"/>
      <c r="AH1047123" s="141"/>
      <c r="AI1047123" s="141"/>
      <c r="AP1047123" s="141"/>
      <c r="AQ1047123" s="141"/>
      <c r="AR1047123" s="141"/>
      <c r="AV1047123" s="141"/>
      <c r="AW1047123" s="141"/>
      <c r="AX1047123" s="141"/>
      <c r="BP1047123" s="142"/>
      <c r="BU1047123" s="143"/>
    </row>
    <row r="1047124" customFormat="1" ht="14.25" spans="33:73">
      <c r="AG1047124" s="141"/>
      <c r="AH1047124" s="141"/>
      <c r="AI1047124" s="141"/>
      <c r="AP1047124" s="141"/>
      <c r="AQ1047124" s="141"/>
      <c r="AR1047124" s="141"/>
      <c r="AV1047124" s="141"/>
      <c r="AW1047124" s="141"/>
      <c r="AX1047124" s="141"/>
      <c r="BP1047124" s="142"/>
      <c r="BU1047124" s="143"/>
    </row>
    <row r="1047125" customFormat="1" ht="14.25" spans="33:73">
      <c r="AG1047125" s="141"/>
      <c r="AH1047125" s="141"/>
      <c r="AI1047125" s="141"/>
      <c r="AP1047125" s="141"/>
      <c r="AQ1047125" s="141"/>
      <c r="AR1047125" s="141"/>
      <c r="AV1047125" s="141"/>
      <c r="AW1047125" s="141"/>
      <c r="AX1047125" s="141"/>
      <c r="BP1047125" s="142"/>
      <c r="BU1047125" s="143"/>
    </row>
    <row r="1047126" customFormat="1" ht="14.25" spans="33:73">
      <c r="AG1047126" s="141"/>
      <c r="AH1047126" s="141"/>
      <c r="AI1047126" s="141"/>
      <c r="AP1047126" s="141"/>
      <c r="AQ1047126" s="141"/>
      <c r="AR1047126" s="141"/>
      <c r="AV1047126" s="141"/>
      <c r="AW1047126" s="141"/>
      <c r="AX1047126" s="141"/>
      <c r="BP1047126" s="142"/>
      <c r="BU1047126" s="143"/>
    </row>
    <row r="1047127" customFormat="1" ht="14.25" spans="33:73">
      <c r="AG1047127" s="141"/>
      <c r="AH1047127" s="141"/>
      <c r="AI1047127" s="141"/>
      <c r="AP1047127" s="141"/>
      <c r="AQ1047127" s="141"/>
      <c r="AR1047127" s="141"/>
      <c r="AV1047127" s="141"/>
      <c r="AW1047127" s="141"/>
      <c r="AX1047127" s="141"/>
      <c r="BP1047127" s="142"/>
      <c r="BU1047127" s="143"/>
    </row>
    <row r="1047128" customFormat="1" ht="14.25" spans="33:73">
      <c r="AG1047128" s="141"/>
      <c r="AH1047128" s="141"/>
      <c r="AI1047128" s="141"/>
      <c r="AP1047128" s="141"/>
      <c r="AQ1047128" s="141"/>
      <c r="AR1047128" s="141"/>
      <c r="AV1047128" s="141"/>
      <c r="AW1047128" s="141"/>
      <c r="AX1047128" s="141"/>
      <c r="BP1047128" s="142"/>
      <c r="BU1047128" s="143"/>
    </row>
    <row r="1047129" customFormat="1" ht="14.25" spans="33:73">
      <c r="AG1047129" s="141"/>
      <c r="AH1047129" s="141"/>
      <c r="AI1047129" s="141"/>
      <c r="AP1047129" s="141"/>
      <c r="AQ1047129" s="141"/>
      <c r="AR1047129" s="141"/>
      <c r="AV1047129" s="141"/>
      <c r="AW1047129" s="141"/>
      <c r="AX1047129" s="141"/>
      <c r="BP1047129" s="142"/>
      <c r="BU1047129" s="143"/>
    </row>
    <row r="1047130" customFormat="1" ht="14.25" spans="33:73">
      <c r="AG1047130" s="141"/>
      <c r="AH1047130" s="141"/>
      <c r="AI1047130" s="141"/>
      <c r="AP1047130" s="141"/>
      <c r="AQ1047130" s="141"/>
      <c r="AR1047130" s="141"/>
      <c r="AV1047130" s="141"/>
      <c r="AW1047130" s="141"/>
      <c r="AX1047130" s="141"/>
      <c r="BP1047130" s="142"/>
      <c r="BU1047130" s="143"/>
    </row>
    <row r="1047131" customFormat="1" ht="14.25" spans="33:73">
      <c r="AG1047131" s="141"/>
      <c r="AH1047131" s="141"/>
      <c r="AI1047131" s="141"/>
      <c r="AP1047131" s="141"/>
      <c r="AQ1047131" s="141"/>
      <c r="AR1047131" s="141"/>
      <c r="AV1047131" s="141"/>
      <c r="AW1047131" s="141"/>
      <c r="AX1047131" s="141"/>
      <c r="BP1047131" s="142"/>
      <c r="BU1047131" s="143"/>
    </row>
    <row r="1047132" customFormat="1" ht="14.25" spans="33:73">
      <c r="AG1047132" s="141"/>
      <c r="AH1047132" s="141"/>
      <c r="AI1047132" s="141"/>
      <c r="AP1047132" s="141"/>
      <c r="AQ1047132" s="141"/>
      <c r="AR1047132" s="141"/>
      <c r="AV1047132" s="141"/>
      <c r="AW1047132" s="141"/>
      <c r="AX1047132" s="141"/>
      <c r="BP1047132" s="142"/>
      <c r="BU1047132" s="143"/>
    </row>
    <row r="1047133" customFormat="1" ht="14.25" spans="33:73">
      <c r="AG1047133" s="141"/>
      <c r="AH1047133" s="141"/>
      <c r="AI1047133" s="141"/>
      <c r="AP1047133" s="141"/>
      <c r="AQ1047133" s="141"/>
      <c r="AR1047133" s="141"/>
      <c r="AV1047133" s="141"/>
      <c r="AW1047133" s="141"/>
      <c r="AX1047133" s="141"/>
      <c r="BP1047133" s="142"/>
      <c r="BU1047133" s="143"/>
    </row>
    <row r="1047134" customFormat="1" ht="14.25" spans="33:73">
      <c r="AG1047134" s="141"/>
      <c r="AH1047134" s="141"/>
      <c r="AI1047134" s="141"/>
      <c r="AP1047134" s="141"/>
      <c r="AQ1047134" s="141"/>
      <c r="AR1047134" s="141"/>
      <c r="AV1047134" s="141"/>
      <c r="AW1047134" s="141"/>
      <c r="AX1047134" s="141"/>
      <c r="BP1047134" s="142"/>
      <c r="BU1047134" s="143"/>
    </row>
    <row r="1047135" customFormat="1" ht="14.25" spans="33:73">
      <c r="AG1047135" s="141"/>
      <c r="AH1047135" s="141"/>
      <c r="AI1047135" s="141"/>
      <c r="AP1047135" s="141"/>
      <c r="AQ1047135" s="141"/>
      <c r="AR1047135" s="141"/>
      <c r="AV1047135" s="141"/>
      <c r="AW1047135" s="141"/>
      <c r="AX1047135" s="141"/>
      <c r="BP1047135" s="142"/>
      <c r="BU1047135" s="143"/>
    </row>
    <row r="1047136" customFormat="1" ht="14.25" spans="33:73">
      <c r="AG1047136" s="141"/>
      <c r="AH1047136" s="141"/>
      <c r="AI1047136" s="141"/>
      <c r="AP1047136" s="141"/>
      <c r="AQ1047136" s="141"/>
      <c r="AR1047136" s="141"/>
      <c r="AV1047136" s="141"/>
      <c r="AW1047136" s="141"/>
      <c r="AX1047136" s="141"/>
      <c r="BP1047136" s="142"/>
      <c r="BU1047136" s="143"/>
    </row>
    <row r="1047137" customFormat="1" ht="14.25" spans="33:73">
      <c r="AG1047137" s="141"/>
      <c r="AH1047137" s="141"/>
      <c r="AI1047137" s="141"/>
      <c r="AP1047137" s="141"/>
      <c r="AQ1047137" s="141"/>
      <c r="AR1047137" s="141"/>
      <c r="AV1047137" s="141"/>
      <c r="AW1047137" s="141"/>
      <c r="AX1047137" s="141"/>
      <c r="BP1047137" s="142"/>
      <c r="BU1047137" s="143"/>
    </row>
    <row r="1047138" customFormat="1" ht="14.25" spans="33:73">
      <c r="AG1047138" s="141"/>
      <c r="AH1047138" s="141"/>
      <c r="AI1047138" s="141"/>
      <c r="AP1047138" s="141"/>
      <c r="AQ1047138" s="141"/>
      <c r="AR1047138" s="141"/>
      <c r="AV1047138" s="141"/>
      <c r="AW1047138" s="141"/>
      <c r="AX1047138" s="141"/>
      <c r="BP1047138" s="142"/>
      <c r="BU1047138" s="143"/>
    </row>
    <row r="1047139" customFormat="1" ht="14.25" spans="33:73">
      <c r="AG1047139" s="141"/>
      <c r="AH1047139" s="141"/>
      <c r="AI1047139" s="141"/>
      <c r="AP1047139" s="141"/>
      <c r="AQ1047139" s="141"/>
      <c r="AR1047139" s="141"/>
      <c r="AV1047139" s="141"/>
      <c r="AW1047139" s="141"/>
      <c r="AX1047139" s="141"/>
      <c r="BP1047139" s="142"/>
      <c r="BU1047139" s="143"/>
    </row>
    <row r="1047140" customFormat="1" ht="14.25" spans="33:73">
      <c r="AG1047140" s="141"/>
      <c r="AH1047140" s="141"/>
      <c r="AI1047140" s="141"/>
      <c r="AP1047140" s="141"/>
      <c r="AQ1047140" s="141"/>
      <c r="AR1047140" s="141"/>
      <c r="AV1047140" s="141"/>
      <c r="AW1047140" s="141"/>
      <c r="AX1047140" s="141"/>
      <c r="BP1047140" s="142"/>
      <c r="BU1047140" s="143"/>
    </row>
    <row r="1047141" customFormat="1" ht="14.25" spans="33:73">
      <c r="AG1047141" s="141"/>
      <c r="AH1047141" s="141"/>
      <c r="AI1047141" s="141"/>
      <c r="AP1047141" s="141"/>
      <c r="AQ1047141" s="141"/>
      <c r="AR1047141" s="141"/>
      <c r="AV1047141" s="141"/>
      <c r="AW1047141" s="141"/>
      <c r="AX1047141" s="141"/>
      <c r="BP1047141" s="142"/>
      <c r="BU1047141" s="143"/>
    </row>
    <row r="1047142" customFormat="1" ht="14.25" spans="33:73">
      <c r="AG1047142" s="141"/>
      <c r="AH1047142" s="141"/>
      <c r="AI1047142" s="141"/>
      <c r="AP1047142" s="141"/>
      <c r="AQ1047142" s="141"/>
      <c r="AR1047142" s="141"/>
      <c r="AV1047142" s="141"/>
      <c r="AW1047142" s="141"/>
      <c r="AX1047142" s="141"/>
      <c r="BP1047142" s="142"/>
      <c r="BU1047142" s="143"/>
    </row>
    <row r="1047143" customFormat="1" ht="14.25" spans="33:73">
      <c r="AG1047143" s="141"/>
      <c r="AH1047143" s="141"/>
      <c r="AI1047143" s="141"/>
      <c r="AP1047143" s="141"/>
      <c r="AQ1047143" s="141"/>
      <c r="AR1047143" s="141"/>
      <c r="AV1047143" s="141"/>
      <c r="AW1047143" s="141"/>
      <c r="AX1047143" s="141"/>
      <c r="BP1047143" s="142"/>
      <c r="BU1047143" s="143"/>
    </row>
    <row r="1047144" customFormat="1" ht="14.25" spans="33:73">
      <c r="AG1047144" s="141"/>
      <c r="AH1047144" s="141"/>
      <c r="AI1047144" s="141"/>
      <c r="AP1047144" s="141"/>
      <c r="AQ1047144" s="141"/>
      <c r="AR1047144" s="141"/>
      <c r="AV1047144" s="141"/>
      <c r="AW1047144" s="141"/>
      <c r="AX1047144" s="141"/>
      <c r="BP1047144" s="142"/>
      <c r="BU1047144" s="143"/>
    </row>
    <row r="1047145" customFormat="1" ht="14.25" spans="33:73">
      <c r="AG1047145" s="141"/>
      <c r="AH1047145" s="141"/>
      <c r="AI1047145" s="141"/>
      <c r="AP1047145" s="141"/>
      <c r="AQ1047145" s="141"/>
      <c r="AR1047145" s="141"/>
      <c r="AV1047145" s="141"/>
      <c r="AW1047145" s="141"/>
      <c r="AX1047145" s="141"/>
      <c r="BP1047145" s="142"/>
      <c r="BU1047145" s="143"/>
    </row>
    <row r="1047146" customFormat="1" ht="14.25" spans="33:73">
      <c r="AG1047146" s="141"/>
      <c r="AH1047146" s="141"/>
      <c r="AI1047146" s="141"/>
      <c r="AP1047146" s="141"/>
      <c r="AQ1047146" s="141"/>
      <c r="AR1047146" s="141"/>
      <c r="AV1047146" s="141"/>
      <c r="AW1047146" s="141"/>
      <c r="AX1047146" s="141"/>
      <c r="BP1047146" s="142"/>
      <c r="BU1047146" s="143"/>
    </row>
    <row r="1047147" customFormat="1" ht="14.25" spans="33:73">
      <c r="AG1047147" s="141"/>
      <c r="AH1047147" s="141"/>
      <c r="AI1047147" s="141"/>
      <c r="AP1047147" s="141"/>
      <c r="AQ1047147" s="141"/>
      <c r="AR1047147" s="141"/>
      <c r="AV1047147" s="141"/>
      <c r="AW1047147" s="141"/>
      <c r="AX1047147" s="141"/>
      <c r="BP1047147" s="142"/>
      <c r="BU1047147" s="143"/>
    </row>
    <row r="1047148" customFormat="1" ht="14.25" spans="33:73">
      <c r="AG1047148" s="141"/>
      <c r="AH1047148" s="141"/>
      <c r="AI1047148" s="141"/>
      <c r="AP1047148" s="141"/>
      <c r="AQ1047148" s="141"/>
      <c r="AR1047148" s="141"/>
      <c r="AV1047148" s="141"/>
      <c r="AW1047148" s="141"/>
      <c r="AX1047148" s="141"/>
      <c r="BP1047148" s="142"/>
      <c r="BU1047148" s="143"/>
    </row>
    <row r="1047149" customFormat="1" ht="14.25" spans="33:73">
      <c r="AG1047149" s="141"/>
      <c r="AH1047149" s="141"/>
      <c r="AI1047149" s="141"/>
      <c r="AP1047149" s="141"/>
      <c r="AQ1047149" s="141"/>
      <c r="AR1047149" s="141"/>
      <c r="AV1047149" s="141"/>
      <c r="AW1047149" s="141"/>
      <c r="AX1047149" s="141"/>
      <c r="BP1047149" s="142"/>
      <c r="BU1047149" s="143"/>
    </row>
    <row r="1047150" customFormat="1" ht="14.25" spans="33:73">
      <c r="AG1047150" s="141"/>
      <c r="AH1047150" s="141"/>
      <c r="AI1047150" s="141"/>
      <c r="AP1047150" s="141"/>
      <c r="AQ1047150" s="141"/>
      <c r="AR1047150" s="141"/>
      <c r="AV1047150" s="141"/>
      <c r="AW1047150" s="141"/>
      <c r="AX1047150" s="141"/>
      <c r="BP1047150" s="142"/>
      <c r="BU1047150" s="143"/>
    </row>
    <row r="1047151" customFormat="1" ht="14.25" spans="33:73">
      <c r="AG1047151" s="141"/>
      <c r="AH1047151" s="141"/>
      <c r="AI1047151" s="141"/>
      <c r="AP1047151" s="141"/>
      <c r="AQ1047151" s="141"/>
      <c r="AR1047151" s="141"/>
      <c r="AV1047151" s="141"/>
      <c r="AW1047151" s="141"/>
      <c r="AX1047151" s="141"/>
      <c r="BP1047151" s="142"/>
      <c r="BU1047151" s="143"/>
    </row>
    <row r="1047152" customFormat="1" ht="14.25" spans="33:73">
      <c r="AG1047152" s="141"/>
      <c r="AH1047152" s="141"/>
      <c r="AI1047152" s="141"/>
      <c r="AP1047152" s="141"/>
      <c r="AQ1047152" s="141"/>
      <c r="AR1047152" s="141"/>
      <c r="AV1047152" s="141"/>
      <c r="AW1047152" s="141"/>
      <c r="AX1047152" s="141"/>
      <c r="BP1047152" s="142"/>
      <c r="BU1047152" s="143"/>
    </row>
    <row r="1047153" customFormat="1" ht="14.25" spans="33:73">
      <c r="AG1047153" s="141"/>
      <c r="AH1047153" s="141"/>
      <c r="AI1047153" s="141"/>
      <c r="AP1047153" s="141"/>
      <c r="AQ1047153" s="141"/>
      <c r="AR1047153" s="141"/>
      <c r="AV1047153" s="141"/>
      <c r="AW1047153" s="141"/>
      <c r="AX1047153" s="141"/>
      <c r="BP1047153" s="142"/>
      <c r="BU1047153" s="143"/>
    </row>
    <row r="1047154" customFormat="1" ht="14.25" spans="33:73">
      <c r="AG1047154" s="141"/>
      <c r="AH1047154" s="141"/>
      <c r="AI1047154" s="141"/>
      <c r="AP1047154" s="141"/>
      <c r="AQ1047154" s="141"/>
      <c r="AR1047154" s="141"/>
      <c r="AV1047154" s="141"/>
      <c r="AW1047154" s="141"/>
      <c r="AX1047154" s="141"/>
      <c r="BP1047154" s="142"/>
      <c r="BU1047154" s="143"/>
    </row>
    <row r="1047155" customFormat="1" ht="14.25" spans="33:73">
      <c r="AG1047155" s="141"/>
      <c r="AH1047155" s="141"/>
      <c r="AI1047155" s="141"/>
      <c r="AP1047155" s="141"/>
      <c r="AQ1047155" s="141"/>
      <c r="AR1047155" s="141"/>
      <c r="AV1047155" s="141"/>
      <c r="AW1047155" s="141"/>
      <c r="AX1047155" s="141"/>
      <c r="BP1047155" s="142"/>
      <c r="BU1047155" s="143"/>
    </row>
    <row r="1047156" customFormat="1" ht="14.25" spans="33:73">
      <c r="AG1047156" s="141"/>
      <c r="AH1047156" s="141"/>
      <c r="AI1047156" s="141"/>
      <c r="AP1047156" s="141"/>
      <c r="AQ1047156" s="141"/>
      <c r="AR1047156" s="141"/>
      <c r="AV1047156" s="141"/>
      <c r="AW1047156" s="141"/>
      <c r="AX1047156" s="141"/>
      <c r="BP1047156" s="142"/>
      <c r="BU1047156" s="143"/>
    </row>
    <row r="1047157" customFormat="1" ht="14.25" spans="33:73">
      <c r="AG1047157" s="141"/>
      <c r="AH1047157" s="141"/>
      <c r="AI1047157" s="141"/>
      <c r="AP1047157" s="141"/>
      <c r="AQ1047157" s="141"/>
      <c r="AR1047157" s="141"/>
      <c r="AV1047157" s="141"/>
      <c r="AW1047157" s="141"/>
      <c r="AX1047157" s="141"/>
      <c r="BP1047157" s="142"/>
      <c r="BU1047157" s="143"/>
    </row>
    <row r="1047158" customFormat="1" ht="14.25" spans="33:73">
      <c r="AG1047158" s="141"/>
      <c r="AH1047158" s="141"/>
      <c r="AI1047158" s="141"/>
      <c r="AP1047158" s="141"/>
      <c r="AQ1047158" s="141"/>
      <c r="AR1047158" s="141"/>
      <c r="AV1047158" s="141"/>
      <c r="AW1047158" s="141"/>
      <c r="AX1047158" s="141"/>
      <c r="BP1047158" s="142"/>
      <c r="BU1047158" s="143"/>
    </row>
    <row r="1047159" customFormat="1" ht="14.25" spans="33:73">
      <c r="AG1047159" s="141"/>
      <c r="AH1047159" s="141"/>
      <c r="AI1047159" s="141"/>
      <c r="AP1047159" s="141"/>
      <c r="AQ1047159" s="141"/>
      <c r="AR1047159" s="141"/>
      <c r="AV1047159" s="141"/>
      <c r="AW1047159" s="141"/>
      <c r="AX1047159" s="141"/>
      <c r="BP1047159" s="142"/>
      <c r="BU1047159" s="143"/>
    </row>
    <row r="1047160" customFormat="1" ht="14.25" spans="33:73">
      <c r="AG1047160" s="141"/>
      <c r="AH1047160" s="141"/>
      <c r="AI1047160" s="141"/>
      <c r="AP1047160" s="141"/>
      <c r="AQ1047160" s="141"/>
      <c r="AR1047160" s="141"/>
      <c r="AV1047160" s="141"/>
      <c r="AW1047160" s="141"/>
      <c r="AX1047160" s="141"/>
      <c r="BP1047160" s="142"/>
      <c r="BU1047160" s="143"/>
    </row>
    <row r="1047161" customFormat="1" ht="14.25" spans="33:73">
      <c r="AG1047161" s="141"/>
      <c r="AH1047161" s="141"/>
      <c r="AI1047161" s="141"/>
      <c r="AP1047161" s="141"/>
      <c r="AQ1047161" s="141"/>
      <c r="AR1047161" s="141"/>
      <c r="AV1047161" s="141"/>
      <c r="AW1047161" s="141"/>
      <c r="AX1047161" s="141"/>
      <c r="BP1047161" s="142"/>
      <c r="BU1047161" s="143"/>
    </row>
    <row r="1047162" customFormat="1" ht="14.25" spans="33:73">
      <c r="AG1047162" s="141"/>
      <c r="AH1047162" s="141"/>
      <c r="AI1047162" s="141"/>
      <c r="AP1047162" s="141"/>
      <c r="AQ1047162" s="141"/>
      <c r="AR1047162" s="141"/>
      <c r="AV1047162" s="141"/>
      <c r="AW1047162" s="141"/>
      <c r="AX1047162" s="141"/>
      <c r="BP1047162" s="142"/>
      <c r="BU1047162" s="143"/>
    </row>
    <row r="1047163" customFormat="1" ht="14.25" spans="33:73">
      <c r="AG1047163" s="141"/>
      <c r="AH1047163" s="141"/>
      <c r="AI1047163" s="141"/>
      <c r="AP1047163" s="141"/>
      <c r="AQ1047163" s="141"/>
      <c r="AR1047163" s="141"/>
      <c r="AV1047163" s="141"/>
      <c r="AW1047163" s="141"/>
      <c r="AX1047163" s="141"/>
      <c r="BP1047163" s="142"/>
      <c r="BU1047163" s="143"/>
    </row>
    <row r="1047164" customFormat="1" ht="14.25" spans="33:73">
      <c r="AG1047164" s="141"/>
      <c r="AH1047164" s="141"/>
      <c r="AI1047164" s="141"/>
      <c r="AP1047164" s="141"/>
      <c r="AQ1047164" s="141"/>
      <c r="AR1047164" s="141"/>
      <c r="AV1047164" s="141"/>
      <c r="AW1047164" s="141"/>
      <c r="AX1047164" s="141"/>
      <c r="BP1047164" s="142"/>
      <c r="BU1047164" s="143"/>
    </row>
    <row r="1047165" customFormat="1" ht="14.25" spans="33:73">
      <c r="AG1047165" s="141"/>
      <c r="AH1047165" s="141"/>
      <c r="AI1047165" s="141"/>
      <c r="AP1047165" s="141"/>
      <c r="AQ1047165" s="141"/>
      <c r="AR1047165" s="141"/>
      <c r="AV1047165" s="141"/>
      <c r="AW1047165" s="141"/>
      <c r="AX1047165" s="141"/>
      <c r="BP1047165" s="142"/>
      <c r="BU1047165" s="143"/>
    </row>
    <row r="1047166" customFormat="1" ht="14.25" spans="33:73">
      <c r="AG1047166" s="141"/>
      <c r="AH1047166" s="141"/>
      <c r="AI1047166" s="141"/>
      <c r="AP1047166" s="141"/>
      <c r="AQ1047166" s="141"/>
      <c r="AR1047166" s="141"/>
      <c r="AV1047166" s="141"/>
      <c r="AW1047166" s="141"/>
      <c r="AX1047166" s="141"/>
      <c r="BP1047166" s="142"/>
      <c r="BU1047166" s="143"/>
    </row>
    <row r="1047167" customFormat="1" ht="14.25" spans="33:73">
      <c r="AG1047167" s="141"/>
      <c r="AH1047167" s="141"/>
      <c r="AI1047167" s="141"/>
      <c r="AP1047167" s="141"/>
      <c r="AQ1047167" s="141"/>
      <c r="AR1047167" s="141"/>
      <c r="AV1047167" s="141"/>
      <c r="AW1047167" s="141"/>
      <c r="AX1047167" s="141"/>
      <c r="BP1047167" s="142"/>
      <c r="BU1047167" s="143"/>
    </row>
    <row r="1047168" customFormat="1" ht="14.25" spans="33:73">
      <c r="AG1047168" s="141"/>
      <c r="AH1047168" s="141"/>
      <c r="AI1047168" s="141"/>
      <c r="AP1047168" s="141"/>
      <c r="AQ1047168" s="141"/>
      <c r="AR1047168" s="141"/>
      <c r="AV1047168" s="141"/>
      <c r="AW1047168" s="141"/>
      <c r="AX1047168" s="141"/>
      <c r="BP1047168" s="142"/>
      <c r="BU1047168" s="143"/>
    </row>
    <row r="1047169" customFormat="1" ht="14.25" spans="33:73">
      <c r="AG1047169" s="141"/>
      <c r="AH1047169" s="141"/>
      <c r="AI1047169" s="141"/>
      <c r="AP1047169" s="141"/>
      <c r="AQ1047169" s="141"/>
      <c r="AR1047169" s="141"/>
      <c r="AV1047169" s="141"/>
      <c r="AW1047169" s="141"/>
      <c r="AX1047169" s="141"/>
      <c r="BP1047169" s="142"/>
      <c r="BU1047169" s="143"/>
    </row>
    <row r="1047170" customFormat="1" ht="14.25" spans="33:73">
      <c r="AG1047170" s="141"/>
      <c r="AH1047170" s="141"/>
      <c r="AI1047170" s="141"/>
      <c r="AP1047170" s="141"/>
      <c r="AQ1047170" s="141"/>
      <c r="AR1047170" s="141"/>
      <c r="AV1047170" s="141"/>
      <c r="AW1047170" s="141"/>
      <c r="AX1047170" s="141"/>
      <c r="BP1047170" s="142"/>
      <c r="BU1047170" s="143"/>
    </row>
    <row r="1047171" customFormat="1" ht="14.25" spans="33:73">
      <c r="AG1047171" s="141"/>
      <c r="AH1047171" s="141"/>
      <c r="AI1047171" s="141"/>
      <c r="AP1047171" s="141"/>
      <c r="AQ1047171" s="141"/>
      <c r="AR1047171" s="141"/>
      <c r="AV1047171" s="141"/>
      <c r="AW1047171" s="141"/>
      <c r="AX1047171" s="141"/>
      <c r="BP1047171" s="142"/>
      <c r="BU1047171" s="143"/>
    </row>
    <row r="1047172" customFormat="1" ht="14.25" spans="33:73">
      <c r="AG1047172" s="141"/>
      <c r="AH1047172" s="141"/>
      <c r="AI1047172" s="141"/>
      <c r="AP1047172" s="141"/>
      <c r="AQ1047172" s="141"/>
      <c r="AR1047172" s="141"/>
      <c r="AV1047172" s="141"/>
      <c r="AW1047172" s="141"/>
      <c r="AX1047172" s="141"/>
      <c r="BP1047172" s="142"/>
      <c r="BU1047172" s="143"/>
    </row>
    <row r="1047173" customFormat="1" ht="14.25" spans="33:73">
      <c r="AG1047173" s="141"/>
      <c r="AH1047173" s="141"/>
      <c r="AI1047173" s="141"/>
      <c r="AP1047173" s="141"/>
      <c r="AQ1047173" s="141"/>
      <c r="AR1047173" s="141"/>
      <c r="AV1047173" s="141"/>
      <c r="AW1047173" s="141"/>
      <c r="AX1047173" s="141"/>
      <c r="BP1047173" s="142"/>
      <c r="BU1047173" s="143"/>
    </row>
    <row r="1047174" customFormat="1" ht="14.25" spans="33:73">
      <c r="AG1047174" s="141"/>
      <c r="AH1047174" s="141"/>
      <c r="AI1047174" s="141"/>
      <c r="AP1047174" s="141"/>
      <c r="AQ1047174" s="141"/>
      <c r="AR1047174" s="141"/>
      <c r="AV1047174" s="141"/>
      <c r="AW1047174" s="141"/>
      <c r="AX1047174" s="141"/>
      <c r="BP1047174" s="142"/>
      <c r="BU1047174" s="143"/>
    </row>
    <row r="1047175" customFormat="1" ht="14.25" spans="33:73">
      <c r="AG1047175" s="141"/>
      <c r="AH1047175" s="141"/>
      <c r="AI1047175" s="141"/>
      <c r="AP1047175" s="141"/>
      <c r="AQ1047175" s="141"/>
      <c r="AR1047175" s="141"/>
      <c r="AV1047175" s="141"/>
      <c r="AW1047175" s="141"/>
      <c r="AX1047175" s="141"/>
      <c r="BP1047175" s="142"/>
      <c r="BU1047175" s="143"/>
    </row>
    <row r="1047176" customFormat="1" ht="14.25" spans="33:73">
      <c r="AG1047176" s="141"/>
      <c r="AH1047176" s="141"/>
      <c r="AI1047176" s="141"/>
      <c r="AP1047176" s="141"/>
      <c r="AQ1047176" s="141"/>
      <c r="AR1047176" s="141"/>
      <c r="AV1047176" s="141"/>
      <c r="AW1047176" s="141"/>
      <c r="AX1047176" s="141"/>
      <c r="BP1047176" s="142"/>
      <c r="BU1047176" s="143"/>
    </row>
    <row r="1047177" customFormat="1" ht="14.25" spans="33:73">
      <c r="AG1047177" s="141"/>
      <c r="AH1047177" s="141"/>
      <c r="AI1047177" s="141"/>
      <c r="AP1047177" s="141"/>
      <c r="AQ1047177" s="141"/>
      <c r="AR1047177" s="141"/>
      <c r="AV1047177" s="141"/>
      <c r="AW1047177" s="141"/>
      <c r="AX1047177" s="141"/>
      <c r="BP1047177" s="142"/>
      <c r="BU1047177" s="143"/>
    </row>
    <row r="1047178" customFormat="1" ht="14.25" spans="33:73">
      <c r="AG1047178" s="141"/>
      <c r="AH1047178" s="141"/>
      <c r="AI1047178" s="141"/>
      <c r="AP1047178" s="141"/>
      <c r="AQ1047178" s="141"/>
      <c r="AR1047178" s="141"/>
      <c r="AV1047178" s="141"/>
      <c r="AW1047178" s="141"/>
      <c r="AX1047178" s="141"/>
      <c r="BP1047178" s="142"/>
      <c r="BU1047178" s="143"/>
    </row>
    <row r="1047179" customFormat="1" ht="14.25" spans="33:73">
      <c r="AG1047179" s="141"/>
      <c r="AH1047179" s="141"/>
      <c r="AI1047179" s="141"/>
      <c r="AP1047179" s="141"/>
      <c r="AQ1047179" s="141"/>
      <c r="AR1047179" s="141"/>
      <c r="AV1047179" s="141"/>
      <c r="AW1047179" s="141"/>
      <c r="AX1047179" s="141"/>
      <c r="BP1047179" s="142"/>
      <c r="BU1047179" s="143"/>
    </row>
    <row r="1047180" customFormat="1" ht="14.25" spans="33:73">
      <c r="AG1047180" s="141"/>
      <c r="AH1047180" s="141"/>
      <c r="AI1047180" s="141"/>
      <c r="AP1047180" s="141"/>
      <c r="AQ1047180" s="141"/>
      <c r="AR1047180" s="141"/>
      <c r="AV1047180" s="141"/>
      <c r="AW1047180" s="141"/>
      <c r="AX1047180" s="141"/>
      <c r="BP1047180" s="142"/>
      <c r="BU1047180" s="143"/>
    </row>
    <row r="1047181" customFormat="1" ht="14.25" spans="33:73">
      <c r="AG1047181" s="141"/>
      <c r="AH1047181" s="141"/>
      <c r="AI1047181" s="141"/>
      <c r="AP1047181" s="141"/>
      <c r="AQ1047181" s="141"/>
      <c r="AR1047181" s="141"/>
      <c r="AV1047181" s="141"/>
      <c r="AW1047181" s="141"/>
      <c r="AX1047181" s="141"/>
      <c r="BP1047181" s="142"/>
      <c r="BU1047181" s="143"/>
    </row>
    <row r="1047182" customFormat="1" ht="14.25" spans="33:73">
      <c r="AG1047182" s="141"/>
      <c r="AH1047182" s="141"/>
      <c r="AI1047182" s="141"/>
      <c r="AP1047182" s="141"/>
      <c r="AQ1047182" s="141"/>
      <c r="AR1047182" s="141"/>
      <c r="AV1047182" s="141"/>
      <c r="AW1047182" s="141"/>
      <c r="AX1047182" s="141"/>
      <c r="BP1047182" s="142"/>
      <c r="BU1047182" s="143"/>
    </row>
    <row r="1047183" customFormat="1" ht="14.25" spans="33:73">
      <c r="AG1047183" s="141"/>
      <c r="AH1047183" s="141"/>
      <c r="AI1047183" s="141"/>
      <c r="AP1047183" s="141"/>
      <c r="AQ1047183" s="141"/>
      <c r="AR1047183" s="141"/>
      <c r="AV1047183" s="141"/>
      <c r="AW1047183" s="141"/>
      <c r="AX1047183" s="141"/>
      <c r="BP1047183" s="142"/>
      <c r="BU1047183" s="143"/>
    </row>
    <row r="1047184" customFormat="1" ht="14.25" spans="33:73">
      <c r="AG1047184" s="141"/>
      <c r="AH1047184" s="141"/>
      <c r="AI1047184" s="141"/>
      <c r="AP1047184" s="141"/>
      <c r="AQ1047184" s="141"/>
      <c r="AR1047184" s="141"/>
      <c r="AV1047184" s="141"/>
      <c r="AW1047184" s="141"/>
      <c r="AX1047184" s="141"/>
      <c r="BP1047184" s="142"/>
      <c r="BU1047184" s="143"/>
    </row>
    <row r="1047185" customFormat="1" ht="14.25" spans="33:73">
      <c r="AG1047185" s="141"/>
      <c r="AH1047185" s="141"/>
      <c r="AI1047185" s="141"/>
      <c r="AP1047185" s="141"/>
      <c r="AQ1047185" s="141"/>
      <c r="AR1047185" s="141"/>
      <c r="AV1047185" s="141"/>
      <c r="AW1047185" s="141"/>
      <c r="AX1047185" s="141"/>
      <c r="BP1047185" s="142"/>
      <c r="BU1047185" s="143"/>
    </row>
    <row r="1047186" customFormat="1" ht="14.25" spans="33:73">
      <c r="AG1047186" s="141"/>
      <c r="AH1047186" s="141"/>
      <c r="AI1047186" s="141"/>
      <c r="AP1047186" s="141"/>
      <c r="AQ1047186" s="141"/>
      <c r="AR1047186" s="141"/>
      <c r="AV1047186" s="141"/>
      <c r="AW1047186" s="141"/>
      <c r="AX1047186" s="141"/>
      <c r="BP1047186" s="142"/>
      <c r="BU1047186" s="143"/>
    </row>
    <row r="1047187" customFormat="1" ht="14.25" spans="33:73">
      <c r="AG1047187" s="141"/>
      <c r="AH1047187" s="141"/>
      <c r="AI1047187" s="141"/>
      <c r="AP1047187" s="141"/>
      <c r="AQ1047187" s="141"/>
      <c r="AR1047187" s="141"/>
      <c r="AV1047187" s="141"/>
      <c r="AW1047187" s="141"/>
      <c r="AX1047187" s="141"/>
      <c r="BP1047187" s="142"/>
      <c r="BU1047187" s="143"/>
    </row>
    <row r="1047188" customFormat="1" ht="14.25" spans="33:73">
      <c r="AG1047188" s="141"/>
      <c r="AH1047188" s="141"/>
      <c r="AI1047188" s="141"/>
      <c r="AP1047188" s="141"/>
      <c r="AQ1047188" s="141"/>
      <c r="AR1047188" s="141"/>
      <c r="AV1047188" s="141"/>
      <c r="AW1047188" s="141"/>
      <c r="AX1047188" s="141"/>
      <c r="BP1047188" s="142"/>
      <c r="BU1047188" s="143"/>
    </row>
    <row r="1047189" customFormat="1" ht="14.25" spans="33:73">
      <c r="AG1047189" s="141"/>
      <c r="AH1047189" s="141"/>
      <c r="AI1047189" s="141"/>
      <c r="AP1047189" s="141"/>
      <c r="AQ1047189" s="141"/>
      <c r="AR1047189" s="141"/>
      <c r="AV1047189" s="141"/>
      <c r="AW1047189" s="141"/>
      <c r="AX1047189" s="141"/>
      <c r="BP1047189" s="142"/>
      <c r="BU1047189" s="143"/>
    </row>
    <row r="1047190" customFormat="1" ht="14.25" spans="33:73">
      <c r="AG1047190" s="141"/>
      <c r="AH1047190" s="141"/>
      <c r="AI1047190" s="141"/>
      <c r="AP1047190" s="141"/>
      <c r="AQ1047190" s="141"/>
      <c r="AR1047190" s="141"/>
      <c r="AV1047190" s="141"/>
      <c r="AW1047190" s="141"/>
      <c r="AX1047190" s="141"/>
      <c r="BP1047190" s="142"/>
      <c r="BU1047190" s="143"/>
    </row>
    <row r="1047191" customFormat="1" ht="14.25" spans="33:73">
      <c r="AG1047191" s="141"/>
      <c r="AH1047191" s="141"/>
      <c r="AI1047191" s="141"/>
      <c r="AP1047191" s="141"/>
      <c r="AQ1047191" s="141"/>
      <c r="AR1047191" s="141"/>
      <c r="AV1047191" s="141"/>
      <c r="AW1047191" s="141"/>
      <c r="AX1047191" s="141"/>
      <c r="BP1047191" s="142"/>
      <c r="BU1047191" s="143"/>
    </row>
    <row r="1047192" customFormat="1" ht="14.25" spans="33:73">
      <c r="AG1047192" s="141"/>
      <c r="AH1047192" s="141"/>
      <c r="AI1047192" s="141"/>
      <c r="AP1047192" s="141"/>
      <c r="AQ1047192" s="141"/>
      <c r="AR1047192" s="141"/>
      <c r="AV1047192" s="141"/>
      <c r="AW1047192" s="141"/>
      <c r="AX1047192" s="141"/>
      <c r="BP1047192" s="142"/>
      <c r="BU1047192" s="143"/>
    </row>
    <row r="1047193" customFormat="1" ht="14.25" spans="33:73">
      <c r="AG1047193" s="141"/>
      <c r="AH1047193" s="141"/>
      <c r="AI1047193" s="141"/>
      <c r="AP1047193" s="141"/>
      <c r="AQ1047193" s="141"/>
      <c r="AR1047193" s="141"/>
      <c r="AV1047193" s="141"/>
      <c r="AW1047193" s="141"/>
      <c r="AX1047193" s="141"/>
      <c r="BP1047193" s="142"/>
      <c r="BU1047193" s="143"/>
    </row>
    <row r="1047194" customFormat="1" ht="14.25" spans="33:73">
      <c r="AG1047194" s="141"/>
      <c r="AH1047194" s="141"/>
      <c r="AI1047194" s="141"/>
      <c r="AP1047194" s="141"/>
      <c r="AQ1047194" s="141"/>
      <c r="AR1047194" s="141"/>
      <c r="AV1047194" s="141"/>
      <c r="AW1047194" s="141"/>
      <c r="AX1047194" s="141"/>
      <c r="BP1047194" s="142"/>
      <c r="BU1047194" s="143"/>
    </row>
    <row r="1047195" customFormat="1" ht="14.25" spans="33:73">
      <c r="AG1047195" s="141"/>
      <c r="AH1047195" s="141"/>
      <c r="AI1047195" s="141"/>
      <c r="AP1047195" s="141"/>
      <c r="AQ1047195" s="141"/>
      <c r="AR1047195" s="141"/>
      <c r="AV1047195" s="141"/>
      <c r="AW1047195" s="141"/>
      <c r="AX1047195" s="141"/>
      <c r="BP1047195" s="142"/>
      <c r="BU1047195" s="143"/>
    </row>
    <row r="1047196" customFormat="1" ht="14.25" spans="33:73">
      <c r="AG1047196" s="141"/>
      <c r="AH1047196" s="141"/>
      <c r="AI1047196" s="141"/>
      <c r="AP1047196" s="141"/>
      <c r="AQ1047196" s="141"/>
      <c r="AR1047196" s="141"/>
      <c r="AV1047196" s="141"/>
      <c r="AW1047196" s="141"/>
      <c r="AX1047196" s="141"/>
      <c r="BP1047196" s="142"/>
      <c r="BU1047196" s="143"/>
    </row>
    <row r="1047197" customFormat="1" ht="14.25" spans="33:73">
      <c r="AG1047197" s="141"/>
      <c r="AH1047197" s="141"/>
      <c r="AI1047197" s="141"/>
      <c r="AP1047197" s="141"/>
      <c r="AQ1047197" s="141"/>
      <c r="AR1047197" s="141"/>
      <c r="AV1047197" s="141"/>
      <c r="AW1047197" s="141"/>
      <c r="AX1047197" s="141"/>
      <c r="BP1047197" s="142"/>
      <c r="BU1047197" s="143"/>
    </row>
    <row r="1047198" customFormat="1" ht="14.25" spans="33:73">
      <c r="AG1047198" s="141"/>
      <c r="AH1047198" s="141"/>
      <c r="AI1047198" s="141"/>
      <c r="AP1047198" s="141"/>
      <c r="AQ1047198" s="141"/>
      <c r="AR1047198" s="141"/>
      <c r="AV1047198" s="141"/>
      <c r="AW1047198" s="141"/>
      <c r="AX1047198" s="141"/>
      <c r="BP1047198" s="142"/>
      <c r="BU1047198" s="143"/>
    </row>
    <row r="1047199" customFormat="1" ht="14.25" spans="33:73">
      <c r="AG1047199" s="141"/>
      <c r="AH1047199" s="141"/>
      <c r="AI1047199" s="141"/>
      <c r="AP1047199" s="141"/>
      <c r="AQ1047199" s="141"/>
      <c r="AR1047199" s="141"/>
      <c r="AV1047199" s="141"/>
      <c r="AW1047199" s="141"/>
      <c r="AX1047199" s="141"/>
      <c r="BP1047199" s="142"/>
      <c r="BU1047199" s="143"/>
    </row>
    <row r="1047200" customFormat="1" ht="14.25" spans="33:73">
      <c r="AG1047200" s="141"/>
      <c r="AH1047200" s="141"/>
      <c r="AI1047200" s="141"/>
      <c r="AP1047200" s="141"/>
      <c r="AQ1047200" s="141"/>
      <c r="AR1047200" s="141"/>
      <c r="AV1047200" s="141"/>
      <c r="AW1047200" s="141"/>
      <c r="AX1047200" s="141"/>
      <c r="BP1047200" s="142"/>
      <c r="BU1047200" s="143"/>
    </row>
    <row r="1047201" customFormat="1" ht="14.25" spans="33:73">
      <c r="AG1047201" s="141"/>
      <c r="AH1047201" s="141"/>
      <c r="AI1047201" s="141"/>
      <c r="AP1047201" s="141"/>
      <c r="AQ1047201" s="141"/>
      <c r="AR1047201" s="141"/>
      <c r="AV1047201" s="141"/>
      <c r="AW1047201" s="141"/>
      <c r="AX1047201" s="141"/>
      <c r="BP1047201" s="142"/>
      <c r="BU1047201" s="143"/>
    </row>
    <row r="1047202" customFormat="1" ht="14.25" spans="33:73">
      <c r="AG1047202" s="141"/>
      <c r="AH1047202" s="141"/>
      <c r="AI1047202" s="141"/>
      <c r="AP1047202" s="141"/>
      <c r="AQ1047202" s="141"/>
      <c r="AR1047202" s="141"/>
      <c r="AV1047202" s="141"/>
      <c r="AW1047202" s="141"/>
      <c r="AX1047202" s="141"/>
      <c r="BP1047202" s="142"/>
      <c r="BU1047202" s="143"/>
    </row>
    <row r="1047203" customFormat="1" ht="14.25" spans="33:73">
      <c r="AG1047203" s="141"/>
      <c r="AH1047203" s="141"/>
      <c r="AI1047203" s="141"/>
      <c r="AP1047203" s="141"/>
      <c r="AQ1047203" s="141"/>
      <c r="AR1047203" s="141"/>
      <c r="AV1047203" s="141"/>
      <c r="AW1047203" s="141"/>
      <c r="AX1047203" s="141"/>
      <c r="BP1047203" s="142"/>
      <c r="BU1047203" s="143"/>
    </row>
    <row r="1047204" customFormat="1" ht="14.25" spans="33:73">
      <c r="AG1047204" s="141"/>
      <c r="AH1047204" s="141"/>
      <c r="AI1047204" s="141"/>
      <c r="AP1047204" s="141"/>
      <c r="AQ1047204" s="141"/>
      <c r="AR1047204" s="141"/>
      <c r="AV1047204" s="141"/>
      <c r="AW1047204" s="141"/>
      <c r="AX1047204" s="141"/>
      <c r="BP1047204" s="142"/>
      <c r="BU1047204" s="143"/>
    </row>
    <row r="1047205" customFormat="1" ht="14.25" spans="33:73">
      <c r="AG1047205" s="141"/>
      <c r="AH1047205" s="141"/>
      <c r="AI1047205" s="141"/>
      <c r="AP1047205" s="141"/>
      <c r="AQ1047205" s="141"/>
      <c r="AR1047205" s="141"/>
      <c r="AV1047205" s="141"/>
      <c r="AW1047205" s="141"/>
      <c r="AX1047205" s="141"/>
      <c r="BP1047205" s="142"/>
      <c r="BU1047205" s="143"/>
    </row>
    <row r="1047206" customFormat="1" ht="14.25" spans="33:73">
      <c r="AG1047206" s="141"/>
      <c r="AH1047206" s="141"/>
      <c r="AI1047206" s="141"/>
      <c r="AP1047206" s="141"/>
      <c r="AQ1047206" s="141"/>
      <c r="AR1047206" s="141"/>
      <c r="AV1047206" s="141"/>
      <c r="AW1047206" s="141"/>
      <c r="AX1047206" s="141"/>
      <c r="BP1047206" s="142"/>
      <c r="BU1047206" s="143"/>
    </row>
    <row r="1047207" customFormat="1" ht="14.25" spans="33:73">
      <c r="AG1047207" s="141"/>
      <c r="AH1047207" s="141"/>
      <c r="AI1047207" s="141"/>
      <c r="AP1047207" s="141"/>
      <c r="AQ1047207" s="141"/>
      <c r="AR1047207" s="141"/>
      <c r="AV1047207" s="141"/>
      <c r="AW1047207" s="141"/>
      <c r="AX1047207" s="141"/>
      <c r="BP1047207" s="142"/>
      <c r="BU1047207" s="143"/>
    </row>
    <row r="1047208" customFormat="1" ht="14.25" spans="33:73">
      <c r="AG1047208" s="141"/>
      <c r="AH1047208" s="141"/>
      <c r="AI1047208" s="141"/>
      <c r="AP1047208" s="141"/>
      <c r="AQ1047208" s="141"/>
      <c r="AR1047208" s="141"/>
      <c r="AV1047208" s="141"/>
      <c r="AW1047208" s="141"/>
      <c r="AX1047208" s="141"/>
      <c r="BP1047208" s="142"/>
      <c r="BU1047208" s="143"/>
    </row>
    <row r="1047209" customFormat="1" ht="14.25" spans="33:73">
      <c r="AG1047209" s="141"/>
      <c r="AH1047209" s="141"/>
      <c r="AI1047209" s="141"/>
      <c r="AP1047209" s="141"/>
      <c r="AQ1047209" s="141"/>
      <c r="AR1047209" s="141"/>
      <c r="AV1047209" s="141"/>
      <c r="AW1047209" s="141"/>
      <c r="AX1047209" s="141"/>
      <c r="BP1047209" s="142"/>
      <c r="BU1047209" s="143"/>
    </row>
    <row r="1047210" customFormat="1" ht="14.25" spans="33:73">
      <c r="AG1047210" s="141"/>
      <c r="AH1047210" s="141"/>
      <c r="AI1047210" s="141"/>
      <c r="AP1047210" s="141"/>
      <c r="AQ1047210" s="141"/>
      <c r="AR1047210" s="141"/>
      <c r="AV1047210" s="141"/>
      <c r="AW1047210" s="141"/>
      <c r="AX1047210" s="141"/>
      <c r="BP1047210" s="142"/>
      <c r="BU1047210" s="143"/>
    </row>
    <row r="1047211" customFormat="1" ht="14.25" spans="33:73">
      <c r="AG1047211" s="141"/>
      <c r="AH1047211" s="141"/>
      <c r="AI1047211" s="141"/>
      <c r="AP1047211" s="141"/>
      <c r="AQ1047211" s="141"/>
      <c r="AR1047211" s="141"/>
      <c r="AV1047211" s="141"/>
      <c r="AW1047211" s="141"/>
      <c r="AX1047211" s="141"/>
      <c r="BP1047211" s="142"/>
      <c r="BU1047211" s="143"/>
    </row>
    <row r="1047212" customFormat="1" ht="14.25" spans="33:73">
      <c r="AG1047212" s="141"/>
      <c r="AH1047212" s="141"/>
      <c r="AI1047212" s="141"/>
      <c r="AP1047212" s="141"/>
      <c r="AQ1047212" s="141"/>
      <c r="AR1047212" s="141"/>
      <c r="AV1047212" s="141"/>
      <c r="AW1047212" s="141"/>
      <c r="AX1047212" s="141"/>
      <c r="BP1047212" s="142"/>
      <c r="BU1047212" s="143"/>
    </row>
    <row r="1047213" customFormat="1" ht="14.25" spans="33:73">
      <c r="AG1047213" s="141"/>
      <c r="AH1047213" s="141"/>
      <c r="AI1047213" s="141"/>
      <c r="AP1047213" s="141"/>
      <c r="AQ1047213" s="141"/>
      <c r="AR1047213" s="141"/>
      <c r="AV1047213" s="141"/>
      <c r="AW1047213" s="141"/>
      <c r="AX1047213" s="141"/>
      <c r="BP1047213" s="142"/>
      <c r="BU1047213" s="143"/>
    </row>
    <row r="1047214" customFormat="1" ht="14.25" spans="33:73">
      <c r="AG1047214" s="141"/>
      <c r="AH1047214" s="141"/>
      <c r="AI1047214" s="141"/>
      <c r="AP1047214" s="141"/>
      <c r="AQ1047214" s="141"/>
      <c r="AR1047214" s="141"/>
      <c r="AV1047214" s="141"/>
      <c r="AW1047214" s="141"/>
      <c r="AX1047214" s="141"/>
      <c r="BP1047214" s="142"/>
      <c r="BU1047214" s="143"/>
    </row>
    <row r="1047215" customFormat="1" ht="14.25" spans="33:73">
      <c r="AG1047215" s="141"/>
      <c r="AH1047215" s="141"/>
      <c r="AI1047215" s="141"/>
      <c r="AP1047215" s="141"/>
      <c r="AQ1047215" s="141"/>
      <c r="AR1047215" s="141"/>
      <c r="AV1047215" s="141"/>
      <c r="AW1047215" s="141"/>
      <c r="AX1047215" s="141"/>
      <c r="BP1047215" s="142"/>
      <c r="BU1047215" s="143"/>
    </row>
    <row r="1047216" customFormat="1" ht="14.25" spans="33:73">
      <c r="AG1047216" s="141"/>
      <c r="AH1047216" s="141"/>
      <c r="AI1047216" s="141"/>
      <c r="AP1047216" s="141"/>
      <c r="AQ1047216" s="141"/>
      <c r="AR1047216" s="141"/>
      <c r="AV1047216" s="141"/>
      <c r="AW1047216" s="141"/>
      <c r="AX1047216" s="141"/>
      <c r="BP1047216" s="142"/>
      <c r="BU1047216" s="143"/>
    </row>
    <row r="1047217" customFormat="1" ht="14.25" spans="33:73">
      <c r="AG1047217" s="141"/>
      <c r="AH1047217" s="141"/>
      <c r="AI1047217" s="141"/>
      <c r="AP1047217" s="141"/>
      <c r="AQ1047217" s="141"/>
      <c r="AR1047217" s="141"/>
      <c r="AV1047217" s="141"/>
      <c r="AW1047217" s="141"/>
      <c r="AX1047217" s="141"/>
      <c r="BP1047217" s="142"/>
      <c r="BU1047217" s="143"/>
    </row>
    <row r="1047218" customFormat="1" ht="14.25" spans="33:73">
      <c r="AG1047218" s="141"/>
      <c r="AH1047218" s="141"/>
      <c r="AI1047218" s="141"/>
      <c r="AP1047218" s="141"/>
      <c r="AQ1047218" s="141"/>
      <c r="AR1047218" s="141"/>
      <c r="AV1047218" s="141"/>
      <c r="AW1047218" s="141"/>
      <c r="AX1047218" s="141"/>
      <c r="BP1047218" s="142"/>
      <c r="BU1047218" s="143"/>
    </row>
    <row r="1047219" customFormat="1" ht="14.25" spans="33:73">
      <c r="AG1047219" s="141"/>
      <c r="AH1047219" s="141"/>
      <c r="AI1047219" s="141"/>
      <c r="AP1047219" s="141"/>
      <c r="AQ1047219" s="141"/>
      <c r="AR1047219" s="141"/>
      <c r="AV1047219" s="141"/>
      <c r="AW1047219" s="141"/>
      <c r="AX1047219" s="141"/>
      <c r="BP1047219" s="142"/>
      <c r="BU1047219" s="143"/>
    </row>
    <row r="1047220" customFormat="1" ht="14.25" spans="33:73">
      <c r="AG1047220" s="141"/>
      <c r="AH1047220" s="141"/>
      <c r="AI1047220" s="141"/>
      <c r="AP1047220" s="141"/>
      <c r="AQ1047220" s="141"/>
      <c r="AR1047220" s="141"/>
      <c r="AV1047220" s="141"/>
      <c r="AW1047220" s="141"/>
      <c r="AX1047220" s="141"/>
      <c r="BP1047220" s="142"/>
      <c r="BU1047220" s="143"/>
    </row>
    <row r="1047221" customFormat="1" ht="14.25" spans="33:73">
      <c r="AG1047221" s="141"/>
      <c r="AH1047221" s="141"/>
      <c r="AI1047221" s="141"/>
      <c r="AP1047221" s="141"/>
      <c r="AQ1047221" s="141"/>
      <c r="AR1047221" s="141"/>
      <c r="AV1047221" s="141"/>
      <c r="AW1047221" s="141"/>
      <c r="AX1047221" s="141"/>
      <c r="BP1047221" s="142"/>
      <c r="BU1047221" s="143"/>
    </row>
    <row r="1047222" customFormat="1" ht="14.25" spans="33:73">
      <c r="AG1047222" s="141"/>
      <c r="AH1047222" s="141"/>
      <c r="AI1047222" s="141"/>
      <c r="AP1047222" s="141"/>
      <c r="AQ1047222" s="141"/>
      <c r="AR1047222" s="141"/>
      <c r="AV1047222" s="141"/>
      <c r="AW1047222" s="141"/>
      <c r="AX1047222" s="141"/>
      <c r="BP1047222" s="142"/>
      <c r="BU1047222" s="143"/>
    </row>
    <row r="1047223" customFormat="1" ht="14.25" spans="33:73">
      <c r="AG1047223" s="141"/>
      <c r="AH1047223" s="141"/>
      <c r="AI1047223" s="141"/>
      <c r="AP1047223" s="141"/>
      <c r="AQ1047223" s="141"/>
      <c r="AR1047223" s="141"/>
      <c r="AV1047223" s="141"/>
      <c r="AW1047223" s="141"/>
      <c r="AX1047223" s="141"/>
      <c r="BP1047223" s="142"/>
      <c r="BU1047223" s="143"/>
    </row>
    <row r="1047224" customFormat="1" ht="14.25" spans="33:73">
      <c r="AG1047224" s="141"/>
      <c r="AH1047224" s="141"/>
      <c r="AI1047224" s="141"/>
      <c r="AP1047224" s="141"/>
      <c r="AQ1047224" s="141"/>
      <c r="AR1047224" s="141"/>
      <c r="AV1047224" s="141"/>
      <c r="AW1047224" s="141"/>
      <c r="AX1047224" s="141"/>
      <c r="BP1047224" s="142"/>
      <c r="BU1047224" s="143"/>
    </row>
    <row r="1047225" customFormat="1" ht="14.25" spans="33:73">
      <c r="AG1047225" s="141"/>
      <c r="AH1047225" s="141"/>
      <c r="AI1047225" s="141"/>
      <c r="AP1047225" s="141"/>
      <c r="AQ1047225" s="141"/>
      <c r="AR1047225" s="141"/>
      <c r="AV1047225" s="141"/>
      <c r="AW1047225" s="141"/>
      <c r="AX1047225" s="141"/>
      <c r="BP1047225" s="142"/>
      <c r="BU1047225" s="143"/>
    </row>
    <row r="1047226" customFormat="1" ht="14.25" spans="33:73">
      <c r="AG1047226" s="141"/>
      <c r="AH1047226" s="141"/>
      <c r="AI1047226" s="141"/>
      <c r="AP1047226" s="141"/>
      <c r="AQ1047226" s="141"/>
      <c r="AR1047226" s="141"/>
      <c r="AV1047226" s="141"/>
      <c r="AW1047226" s="141"/>
      <c r="AX1047226" s="141"/>
      <c r="BP1047226" s="142"/>
      <c r="BU1047226" s="143"/>
    </row>
    <row r="1047227" customFormat="1" ht="14.25" spans="33:73">
      <c r="AG1047227" s="141"/>
      <c r="AH1047227" s="141"/>
      <c r="AI1047227" s="141"/>
      <c r="AP1047227" s="141"/>
      <c r="AQ1047227" s="141"/>
      <c r="AR1047227" s="141"/>
      <c r="AV1047227" s="141"/>
      <c r="AW1047227" s="141"/>
      <c r="AX1047227" s="141"/>
      <c r="BP1047227" s="142"/>
      <c r="BU1047227" s="143"/>
    </row>
    <row r="1047228" customFormat="1" ht="14.25" spans="33:73">
      <c r="AG1047228" s="141"/>
      <c r="AH1047228" s="141"/>
      <c r="AI1047228" s="141"/>
      <c r="AP1047228" s="141"/>
      <c r="AQ1047228" s="141"/>
      <c r="AR1047228" s="141"/>
      <c r="AV1047228" s="141"/>
      <c r="AW1047228" s="141"/>
      <c r="AX1047228" s="141"/>
      <c r="BP1047228" s="142"/>
      <c r="BU1047228" s="143"/>
    </row>
    <row r="1047229" customFormat="1" ht="14.25" spans="33:73">
      <c r="AG1047229" s="141"/>
      <c r="AH1047229" s="141"/>
      <c r="AI1047229" s="141"/>
      <c r="AP1047229" s="141"/>
      <c r="AQ1047229" s="141"/>
      <c r="AR1047229" s="141"/>
      <c r="AV1047229" s="141"/>
      <c r="AW1047229" s="141"/>
      <c r="AX1047229" s="141"/>
      <c r="BP1047229" s="142"/>
      <c r="BU1047229" s="143"/>
    </row>
    <row r="1047230" customFormat="1" ht="14.25" spans="33:73">
      <c r="AG1047230" s="141"/>
      <c r="AH1047230" s="141"/>
      <c r="AI1047230" s="141"/>
      <c r="AP1047230" s="141"/>
      <c r="AQ1047230" s="141"/>
      <c r="AR1047230" s="141"/>
      <c r="AV1047230" s="141"/>
      <c r="AW1047230" s="141"/>
      <c r="AX1047230" s="141"/>
      <c r="BP1047230" s="142"/>
      <c r="BU1047230" s="143"/>
    </row>
    <row r="1047231" customFormat="1" ht="14.25" spans="33:73">
      <c r="AG1047231" s="141"/>
      <c r="AH1047231" s="141"/>
      <c r="AI1047231" s="141"/>
      <c r="AP1047231" s="141"/>
      <c r="AQ1047231" s="141"/>
      <c r="AR1047231" s="141"/>
      <c r="AV1047231" s="141"/>
      <c r="AW1047231" s="141"/>
      <c r="AX1047231" s="141"/>
      <c r="BP1047231" s="142"/>
      <c r="BU1047231" s="143"/>
    </row>
    <row r="1047232" customFormat="1" ht="14.25" spans="33:73">
      <c r="AG1047232" s="141"/>
      <c r="AH1047232" s="141"/>
      <c r="AI1047232" s="141"/>
      <c r="AP1047232" s="141"/>
      <c r="AQ1047232" s="141"/>
      <c r="AR1047232" s="141"/>
      <c r="AV1047232" s="141"/>
      <c r="AW1047232" s="141"/>
      <c r="AX1047232" s="141"/>
      <c r="BP1047232" s="142"/>
      <c r="BU1047232" s="143"/>
    </row>
    <row r="1047233" customFormat="1" ht="14.25" spans="33:73">
      <c r="AG1047233" s="141"/>
      <c r="AH1047233" s="141"/>
      <c r="AI1047233" s="141"/>
      <c r="AP1047233" s="141"/>
      <c r="AQ1047233" s="141"/>
      <c r="AR1047233" s="141"/>
      <c r="AV1047233" s="141"/>
      <c r="AW1047233" s="141"/>
      <c r="AX1047233" s="141"/>
      <c r="BP1047233" s="142"/>
      <c r="BU1047233" s="143"/>
    </row>
    <row r="1047234" customFormat="1" ht="14.25" spans="33:73">
      <c r="AG1047234" s="141"/>
      <c r="AH1047234" s="141"/>
      <c r="AI1047234" s="141"/>
      <c r="AP1047234" s="141"/>
      <c r="AQ1047234" s="141"/>
      <c r="AR1047234" s="141"/>
      <c r="AV1047234" s="141"/>
      <c r="AW1047234" s="141"/>
      <c r="AX1047234" s="141"/>
      <c r="BP1047234" s="142"/>
      <c r="BU1047234" s="143"/>
    </row>
    <row r="1047235" customFormat="1" ht="14.25" spans="33:73">
      <c r="AG1047235" s="141"/>
      <c r="AH1047235" s="141"/>
      <c r="AI1047235" s="141"/>
      <c r="AP1047235" s="141"/>
      <c r="AQ1047235" s="141"/>
      <c r="AR1047235" s="141"/>
      <c r="AV1047235" s="141"/>
      <c r="AW1047235" s="141"/>
      <c r="AX1047235" s="141"/>
      <c r="BP1047235" s="142"/>
      <c r="BU1047235" s="143"/>
    </row>
    <row r="1047236" customFormat="1" ht="14.25" spans="33:73">
      <c r="AG1047236" s="141"/>
      <c r="AH1047236" s="141"/>
      <c r="AI1047236" s="141"/>
      <c r="AP1047236" s="141"/>
      <c r="AQ1047236" s="141"/>
      <c r="AR1047236" s="141"/>
      <c r="AV1047236" s="141"/>
      <c r="AW1047236" s="141"/>
      <c r="AX1047236" s="141"/>
      <c r="BP1047236" s="142"/>
      <c r="BU1047236" s="143"/>
    </row>
    <row r="1047237" customFormat="1" ht="14.25" spans="33:73">
      <c r="AG1047237" s="141"/>
      <c r="AH1047237" s="141"/>
      <c r="AI1047237" s="141"/>
      <c r="AP1047237" s="141"/>
      <c r="AQ1047237" s="141"/>
      <c r="AR1047237" s="141"/>
      <c r="AV1047237" s="141"/>
      <c r="AW1047237" s="141"/>
      <c r="AX1047237" s="141"/>
      <c r="BP1047237" s="142"/>
      <c r="BU1047237" s="143"/>
    </row>
    <row r="1047238" customFormat="1" ht="14.25" spans="33:73">
      <c r="AG1047238" s="141"/>
      <c r="AH1047238" s="141"/>
      <c r="AI1047238" s="141"/>
      <c r="AP1047238" s="141"/>
      <c r="AQ1047238" s="141"/>
      <c r="AR1047238" s="141"/>
      <c r="AV1047238" s="141"/>
      <c r="AW1047238" s="141"/>
      <c r="AX1047238" s="141"/>
      <c r="BP1047238" s="142"/>
      <c r="BU1047238" s="143"/>
    </row>
    <row r="1047239" customFormat="1" ht="14.25" spans="33:73">
      <c r="AG1047239" s="141"/>
      <c r="AH1047239" s="141"/>
      <c r="AI1047239" s="141"/>
      <c r="AP1047239" s="141"/>
      <c r="AQ1047239" s="141"/>
      <c r="AR1047239" s="141"/>
      <c r="AV1047239" s="141"/>
      <c r="AW1047239" s="141"/>
      <c r="AX1047239" s="141"/>
      <c r="BP1047239" s="142"/>
      <c r="BU1047239" s="143"/>
    </row>
    <row r="1047240" customFormat="1" ht="14.25" spans="33:73">
      <c r="AG1047240" s="141"/>
      <c r="AH1047240" s="141"/>
      <c r="AI1047240" s="141"/>
      <c r="AP1047240" s="141"/>
      <c r="AQ1047240" s="141"/>
      <c r="AR1047240" s="141"/>
      <c r="AV1047240" s="141"/>
      <c r="AW1047240" s="141"/>
      <c r="AX1047240" s="141"/>
      <c r="BP1047240" s="142"/>
      <c r="BU1047240" s="143"/>
    </row>
    <row r="1047241" customFormat="1" ht="14.25" spans="33:73">
      <c r="AG1047241" s="141"/>
      <c r="AH1047241" s="141"/>
      <c r="AI1047241" s="141"/>
      <c r="AP1047241" s="141"/>
      <c r="AQ1047241" s="141"/>
      <c r="AR1047241" s="141"/>
      <c r="AV1047241" s="141"/>
      <c r="AW1047241" s="141"/>
      <c r="AX1047241" s="141"/>
      <c r="BP1047241" s="142"/>
      <c r="BU1047241" s="143"/>
    </row>
    <row r="1047242" customFormat="1" ht="14.25" spans="33:73">
      <c r="AG1047242" s="141"/>
      <c r="AH1047242" s="141"/>
      <c r="AI1047242" s="141"/>
      <c r="AP1047242" s="141"/>
      <c r="AQ1047242" s="141"/>
      <c r="AR1047242" s="141"/>
      <c r="AV1047242" s="141"/>
      <c r="AW1047242" s="141"/>
      <c r="AX1047242" s="141"/>
      <c r="BP1047242" s="142"/>
      <c r="BU1047242" s="143"/>
    </row>
    <row r="1047243" customFormat="1" ht="14.25" spans="33:73">
      <c r="AG1047243" s="141"/>
      <c r="AH1047243" s="141"/>
      <c r="AI1047243" s="141"/>
      <c r="AP1047243" s="141"/>
      <c r="AQ1047243" s="141"/>
      <c r="AR1047243" s="141"/>
      <c r="AV1047243" s="141"/>
      <c r="AW1047243" s="141"/>
      <c r="AX1047243" s="141"/>
      <c r="BP1047243" s="142"/>
      <c r="BU1047243" s="143"/>
    </row>
    <row r="1047244" customFormat="1" ht="14.25" spans="33:73">
      <c r="AG1047244" s="141"/>
      <c r="AH1047244" s="141"/>
      <c r="AI1047244" s="141"/>
      <c r="AP1047244" s="141"/>
      <c r="AQ1047244" s="141"/>
      <c r="AR1047244" s="141"/>
      <c r="AV1047244" s="141"/>
      <c r="AW1047244" s="141"/>
      <c r="AX1047244" s="141"/>
      <c r="BP1047244" s="142"/>
      <c r="BU1047244" s="143"/>
    </row>
    <row r="1047245" customFormat="1" ht="14.25" spans="33:73">
      <c r="AG1047245" s="141"/>
      <c r="AH1047245" s="141"/>
      <c r="AI1047245" s="141"/>
      <c r="AP1047245" s="141"/>
      <c r="AQ1047245" s="141"/>
      <c r="AR1047245" s="141"/>
      <c r="AV1047245" s="141"/>
      <c r="AW1047245" s="141"/>
      <c r="AX1047245" s="141"/>
      <c r="BP1047245" s="142"/>
      <c r="BU1047245" s="143"/>
    </row>
    <row r="1047246" customFormat="1" ht="14.25" spans="33:73">
      <c r="AG1047246" s="141"/>
      <c r="AH1047246" s="141"/>
      <c r="AI1047246" s="141"/>
      <c r="AP1047246" s="141"/>
      <c r="AQ1047246" s="141"/>
      <c r="AR1047246" s="141"/>
      <c r="AV1047246" s="141"/>
      <c r="AW1047246" s="141"/>
      <c r="AX1047246" s="141"/>
      <c r="BP1047246" s="142"/>
      <c r="BU1047246" s="143"/>
    </row>
    <row r="1047247" customFormat="1" ht="14.25" spans="33:73">
      <c r="AG1047247" s="141"/>
      <c r="AH1047247" s="141"/>
      <c r="AI1047247" s="141"/>
      <c r="AP1047247" s="141"/>
      <c r="AQ1047247" s="141"/>
      <c r="AR1047247" s="141"/>
      <c r="AV1047247" s="141"/>
      <c r="AW1047247" s="141"/>
      <c r="AX1047247" s="141"/>
      <c r="BP1047247" s="142"/>
      <c r="BU1047247" s="143"/>
    </row>
    <row r="1047248" customFormat="1" ht="14.25" spans="33:73">
      <c r="AG1047248" s="141"/>
      <c r="AH1047248" s="141"/>
      <c r="AI1047248" s="141"/>
      <c r="AP1047248" s="141"/>
      <c r="AQ1047248" s="141"/>
      <c r="AR1047248" s="141"/>
      <c r="AV1047248" s="141"/>
      <c r="AW1047248" s="141"/>
      <c r="AX1047248" s="141"/>
      <c r="BP1047248" s="142"/>
      <c r="BU1047248" s="143"/>
    </row>
    <row r="1047249" customFormat="1" ht="14.25" spans="33:73">
      <c r="AG1047249" s="141"/>
      <c r="AH1047249" s="141"/>
      <c r="AI1047249" s="141"/>
      <c r="AP1047249" s="141"/>
      <c r="AQ1047249" s="141"/>
      <c r="AR1047249" s="141"/>
      <c r="AV1047249" s="141"/>
      <c r="AW1047249" s="141"/>
      <c r="AX1047249" s="141"/>
      <c r="BP1047249" s="142"/>
      <c r="BU1047249" s="143"/>
    </row>
    <row r="1047250" customFormat="1" ht="14.25" spans="33:73">
      <c r="AG1047250" s="141"/>
      <c r="AH1047250" s="141"/>
      <c r="AI1047250" s="141"/>
      <c r="AP1047250" s="141"/>
      <c r="AQ1047250" s="141"/>
      <c r="AR1047250" s="141"/>
      <c r="AV1047250" s="141"/>
      <c r="AW1047250" s="141"/>
      <c r="AX1047250" s="141"/>
      <c r="BP1047250" s="142"/>
      <c r="BU1047250" s="143"/>
    </row>
    <row r="1047251" customFormat="1" ht="14.25" spans="33:73">
      <c r="AG1047251" s="141"/>
      <c r="AH1047251" s="141"/>
      <c r="AI1047251" s="141"/>
      <c r="AP1047251" s="141"/>
      <c r="AQ1047251" s="141"/>
      <c r="AR1047251" s="141"/>
      <c r="AV1047251" s="141"/>
      <c r="AW1047251" s="141"/>
      <c r="AX1047251" s="141"/>
      <c r="BP1047251" s="142"/>
      <c r="BU1047251" s="143"/>
    </row>
    <row r="1047252" customFormat="1" ht="14.25" spans="33:73">
      <c r="AG1047252" s="141"/>
      <c r="AH1047252" s="141"/>
      <c r="AI1047252" s="141"/>
      <c r="AP1047252" s="141"/>
      <c r="AQ1047252" s="141"/>
      <c r="AR1047252" s="141"/>
      <c r="AV1047252" s="141"/>
      <c r="AW1047252" s="141"/>
      <c r="AX1047252" s="141"/>
      <c r="BP1047252" s="142"/>
      <c r="BU1047252" s="143"/>
    </row>
    <row r="1047253" customFormat="1" ht="14.25" spans="33:73">
      <c r="AG1047253" s="141"/>
      <c r="AH1047253" s="141"/>
      <c r="AI1047253" s="141"/>
      <c r="AP1047253" s="141"/>
      <c r="AQ1047253" s="141"/>
      <c r="AR1047253" s="141"/>
      <c r="AV1047253" s="141"/>
      <c r="AW1047253" s="141"/>
      <c r="AX1047253" s="141"/>
      <c r="BP1047253" s="142"/>
      <c r="BU1047253" s="143"/>
    </row>
    <row r="1047254" customFormat="1" ht="14.25" spans="33:73">
      <c r="AG1047254" s="141"/>
      <c r="AH1047254" s="141"/>
      <c r="AI1047254" s="141"/>
      <c r="AP1047254" s="141"/>
      <c r="AQ1047254" s="141"/>
      <c r="AR1047254" s="141"/>
      <c r="AV1047254" s="141"/>
      <c r="AW1047254" s="141"/>
      <c r="AX1047254" s="141"/>
      <c r="BP1047254" s="142"/>
      <c r="BU1047254" s="143"/>
    </row>
    <row r="1047255" customFormat="1" ht="14.25" spans="33:73">
      <c r="AG1047255" s="141"/>
      <c r="AH1047255" s="141"/>
      <c r="AI1047255" s="141"/>
      <c r="AP1047255" s="141"/>
      <c r="AQ1047255" s="141"/>
      <c r="AR1047255" s="141"/>
      <c r="AV1047255" s="141"/>
      <c r="AW1047255" s="141"/>
      <c r="AX1047255" s="141"/>
      <c r="BP1047255" s="142"/>
      <c r="BU1047255" s="143"/>
    </row>
    <row r="1047256" customFormat="1" ht="14.25" spans="33:73">
      <c r="AG1047256" s="141"/>
      <c r="AH1047256" s="141"/>
      <c r="AI1047256" s="141"/>
      <c r="AP1047256" s="141"/>
      <c r="AQ1047256" s="141"/>
      <c r="AR1047256" s="141"/>
      <c r="AV1047256" s="141"/>
      <c r="AW1047256" s="141"/>
      <c r="AX1047256" s="141"/>
      <c r="BP1047256" s="142"/>
      <c r="BU1047256" s="143"/>
    </row>
    <row r="1047257" customFormat="1" ht="14.25" spans="33:73">
      <c r="AG1047257" s="141"/>
      <c r="AH1047257" s="141"/>
      <c r="AI1047257" s="141"/>
      <c r="AP1047257" s="141"/>
      <c r="AQ1047257" s="141"/>
      <c r="AR1047257" s="141"/>
      <c r="AV1047257" s="141"/>
      <c r="AW1047257" s="141"/>
      <c r="AX1047257" s="141"/>
      <c r="BP1047257" s="142"/>
      <c r="BU1047257" s="143"/>
    </row>
    <row r="1047258" customFormat="1" ht="14.25" spans="33:73">
      <c r="AG1047258" s="141"/>
      <c r="AH1047258" s="141"/>
      <c r="AI1047258" s="141"/>
      <c r="AP1047258" s="141"/>
      <c r="AQ1047258" s="141"/>
      <c r="AR1047258" s="141"/>
      <c r="AV1047258" s="141"/>
      <c r="AW1047258" s="141"/>
      <c r="AX1047258" s="141"/>
      <c r="BP1047258" s="142"/>
      <c r="BU1047258" s="143"/>
    </row>
    <row r="1047259" customFormat="1" ht="14.25" spans="33:73">
      <c r="AG1047259" s="141"/>
      <c r="AH1047259" s="141"/>
      <c r="AI1047259" s="141"/>
      <c r="AP1047259" s="141"/>
      <c r="AQ1047259" s="141"/>
      <c r="AR1047259" s="141"/>
      <c r="AV1047259" s="141"/>
      <c r="AW1047259" s="141"/>
      <c r="AX1047259" s="141"/>
      <c r="BP1047259" s="142"/>
      <c r="BU1047259" s="143"/>
    </row>
    <row r="1047260" customFormat="1" ht="14.25" spans="33:73">
      <c r="AG1047260" s="141"/>
      <c r="AH1047260" s="141"/>
      <c r="AI1047260" s="141"/>
      <c r="AP1047260" s="141"/>
      <c r="AQ1047260" s="141"/>
      <c r="AR1047260" s="141"/>
      <c r="AV1047260" s="141"/>
      <c r="AW1047260" s="141"/>
      <c r="AX1047260" s="141"/>
      <c r="BP1047260" s="142"/>
      <c r="BU1047260" s="143"/>
    </row>
    <row r="1047261" customFormat="1" ht="14.25" spans="33:73">
      <c r="AG1047261" s="141"/>
      <c r="AH1047261" s="141"/>
      <c r="AI1047261" s="141"/>
      <c r="AP1047261" s="141"/>
      <c r="AQ1047261" s="141"/>
      <c r="AR1047261" s="141"/>
      <c r="AV1047261" s="141"/>
      <c r="AW1047261" s="141"/>
      <c r="AX1047261" s="141"/>
      <c r="BP1047261" s="142"/>
      <c r="BU1047261" s="143"/>
    </row>
    <row r="1047262" customFormat="1" ht="14.25" spans="33:73">
      <c r="AG1047262" s="141"/>
      <c r="AH1047262" s="141"/>
      <c r="AI1047262" s="141"/>
      <c r="AP1047262" s="141"/>
      <c r="AQ1047262" s="141"/>
      <c r="AR1047262" s="141"/>
      <c r="AV1047262" s="141"/>
      <c r="AW1047262" s="141"/>
      <c r="AX1047262" s="141"/>
      <c r="BP1047262" s="142"/>
      <c r="BU1047262" s="143"/>
    </row>
    <row r="1047263" customFormat="1" ht="14.25" spans="33:73">
      <c r="AG1047263" s="141"/>
      <c r="AH1047263" s="141"/>
      <c r="AI1047263" s="141"/>
      <c r="AP1047263" s="141"/>
      <c r="AQ1047263" s="141"/>
      <c r="AR1047263" s="141"/>
      <c r="AV1047263" s="141"/>
      <c r="AW1047263" s="141"/>
      <c r="AX1047263" s="141"/>
      <c r="BP1047263" s="142"/>
      <c r="BU1047263" s="143"/>
    </row>
    <row r="1047264" customFormat="1" ht="14.25" spans="33:73">
      <c r="AG1047264" s="141"/>
      <c r="AH1047264" s="141"/>
      <c r="AI1047264" s="141"/>
      <c r="AP1047264" s="141"/>
      <c r="AQ1047264" s="141"/>
      <c r="AR1047264" s="141"/>
      <c r="AV1047264" s="141"/>
      <c r="AW1047264" s="141"/>
      <c r="AX1047264" s="141"/>
      <c r="BP1047264" s="142"/>
      <c r="BU1047264" s="143"/>
    </row>
    <row r="1047265" customFormat="1" ht="14.25" spans="33:73">
      <c r="AG1047265" s="141"/>
      <c r="AH1047265" s="141"/>
      <c r="AI1047265" s="141"/>
      <c r="AP1047265" s="141"/>
      <c r="AQ1047265" s="141"/>
      <c r="AR1047265" s="141"/>
      <c r="AV1047265" s="141"/>
      <c r="AW1047265" s="141"/>
      <c r="AX1047265" s="141"/>
      <c r="BP1047265" s="142"/>
      <c r="BU1047265" s="143"/>
    </row>
    <row r="1047266" customFormat="1" ht="14.25" spans="33:73">
      <c r="AG1047266" s="141"/>
      <c r="AH1047266" s="141"/>
      <c r="AI1047266" s="141"/>
      <c r="AP1047266" s="141"/>
      <c r="AQ1047266" s="141"/>
      <c r="AR1047266" s="141"/>
      <c r="AV1047266" s="141"/>
      <c r="AW1047266" s="141"/>
      <c r="AX1047266" s="141"/>
      <c r="BP1047266" s="142"/>
      <c r="BU1047266" s="143"/>
    </row>
    <row r="1047267" customFormat="1" ht="14.25" spans="33:73">
      <c r="AG1047267" s="141"/>
      <c r="AH1047267" s="141"/>
      <c r="AI1047267" s="141"/>
      <c r="AP1047267" s="141"/>
      <c r="AQ1047267" s="141"/>
      <c r="AR1047267" s="141"/>
      <c r="AV1047267" s="141"/>
      <c r="AW1047267" s="141"/>
      <c r="AX1047267" s="141"/>
      <c r="BP1047267" s="142"/>
      <c r="BU1047267" s="143"/>
    </row>
    <row r="1047268" customFormat="1" ht="14.25" spans="33:73">
      <c r="AG1047268" s="141"/>
      <c r="AH1047268" s="141"/>
      <c r="AI1047268" s="141"/>
      <c r="AP1047268" s="141"/>
      <c r="AQ1047268" s="141"/>
      <c r="AR1047268" s="141"/>
      <c r="AV1047268" s="141"/>
      <c r="AW1047268" s="141"/>
      <c r="AX1047268" s="141"/>
      <c r="BP1047268" s="142"/>
      <c r="BU1047268" s="143"/>
    </row>
    <row r="1047269" customFormat="1" ht="14.25" spans="33:73">
      <c r="AG1047269" s="141"/>
      <c r="AH1047269" s="141"/>
      <c r="AI1047269" s="141"/>
      <c r="AP1047269" s="141"/>
      <c r="AQ1047269" s="141"/>
      <c r="AR1047269" s="141"/>
      <c r="AV1047269" s="141"/>
      <c r="AW1047269" s="141"/>
      <c r="AX1047269" s="141"/>
      <c r="BP1047269" s="142"/>
      <c r="BU1047269" s="143"/>
    </row>
    <row r="1047270" customFormat="1" ht="14.25" spans="33:73">
      <c r="AG1047270" s="141"/>
      <c r="AH1047270" s="141"/>
      <c r="AI1047270" s="141"/>
      <c r="AP1047270" s="141"/>
      <c r="AQ1047270" s="141"/>
      <c r="AR1047270" s="141"/>
      <c r="AV1047270" s="141"/>
      <c r="AW1047270" s="141"/>
      <c r="AX1047270" s="141"/>
      <c r="BP1047270" s="142"/>
      <c r="BU1047270" s="143"/>
    </row>
    <row r="1047271" customFormat="1" ht="14.25" spans="33:73">
      <c r="AG1047271" s="141"/>
      <c r="AH1047271" s="141"/>
      <c r="AI1047271" s="141"/>
      <c r="AP1047271" s="141"/>
      <c r="AQ1047271" s="141"/>
      <c r="AR1047271" s="141"/>
      <c r="AV1047271" s="141"/>
      <c r="AW1047271" s="141"/>
      <c r="AX1047271" s="141"/>
      <c r="BP1047271" s="142"/>
      <c r="BU1047271" s="143"/>
    </row>
    <row r="1047272" customFormat="1" ht="14.25" spans="33:73">
      <c r="AG1047272" s="141"/>
      <c r="AH1047272" s="141"/>
      <c r="AI1047272" s="141"/>
      <c r="AP1047272" s="141"/>
      <c r="AQ1047272" s="141"/>
      <c r="AR1047272" s="141"/>
      <c r="AV1047272" s="141"/>
      <c r="AW1047272" s="141"/>
      <c r="AX1047272" s="141"/>
      <c r="BP1047272" s="142"/>
      <c r="BU1047272" s="143"/>
    </row>
    <row r="1047273" customFormat="1" ht="14.25" spans="33:73">
      <c r="AG1047273" s="141"/>
      <c r="AH1047273" s="141"/>
      <c r="AI1047273" s="141"/>
      <c r="AP1047273" s="141"/>
      <c r="AQ1047273" s="141"/>
      <c r="AR1047273" s="141"/>
      <c r="AV1047273" s="141"/>
      <c r="AW1047273" s="141"/>
      <c r="AX1047273" s="141"/>
      <c r="BP1047273" s="142"/>
      <c r="BU1047273" s="143"/>
    </row>
    <row r="1047274" customFormat="1" ht="14.25" spans="33:73">
      <c r="AG1047274" s="141"/>
      <c r="AH1047274" s="141"/>
      <c r="AI1047274" s="141"/>
      <c r="AP1047274" s="141"/>
      <c r="AQ1047274" s="141"/>
      <c r="AR1047274" s="141"/>
      <c r="AV1047274" s="141"/>
      <c r="AW1047274" s="141"/>
      <c r="AX1047274" s="141"/>
      <c r="BP1047274" s="142"/>
      <c r="BU1047274" s="143"/>
    </row>
    <row r="1047275" customFormat="1" ht="14.25" spans="33:73">
      <c r="AG1047275" s="141"/>
      <c r="AH1047275" s="141"/>
      <c r="AI1047275" s="141"/>
      <c r="AP1047275" s="141"/>
      <c r="AQ1047275" s="141"/>
      <c r="AR1047275" s="141"/>
      <c r="AV1047275" s="141"/>
      <c r="AW1047275" s="141"/>
      <c r="AX1047275" s="141"/>
      <c r="BP1047275" s="142"/>
      <c r="BU1047275" s="143"/>
    </row>
    <row r="1047276" customFormat="1" ht="14.25" spans="33:73">
      <c r="AG1047276" s="141"/>
      <c r="AH1047276" s="141"/>
      <c r="AI1047276" s="141"/>
      <c r="AP1047276" s="141"/>
      <c r="AQ1047276" s="141"/>
      <c r="AR1047276" s="141"/>
      <c r="AV1047276" s="141"/>
      <c r="AW1047276" s="141"/>
      <c r="AX1047276" s="141"/>
      <c r="BP1047276" s="142"/>
      <c r="BU1047276" s="143"/>
    </row>
    <row r="1047277" customFormat="1" ht="14.25" spans="33:73">
      <c r="AG1047277" s="141"/>
      <c r="AH1047277" s="141"/>
      <c r="AI1047277" s="141"/>
      <c r="AP1047277" s="141"/>
      <c r="AQ1047277" s="141"/>
      <c r="AR1047277" s="141"/>
      <c r="AV1047277" s="141"/>
      <c r="AW1047277" s="141"/>
      <c r="AX1047277" s="141"/>
      <c r="BP1047277" s="142"/>
      <c r="BU1047277" s="143"/>
    </row>
    <row r="1047278" customFormat="1" ht="14.25" spans="33:73">
      <c r="AG1047278" s="141"/>
      <c r="AH1047278" s="141"/>
      <c r="AI1047278" s="141"/>
      <c r="AP1047278" s="141"/>
      <c r="AQ1047278" s="141"/>
      <c r="AR1047278" s="141"/>
      <c r="AV1047278" s="141"/>
      <c r="AW1047278" s="141"/>
      <c r="AX1047278" s="141"/>
      <c r="BP1047278" s="142"/>
      <c r="BU1047278" s="143"/>
    </row>
    <row r="1047279" customFormat="1" ht="14.25" spans="33:73">
      <c r="AG1047279" s="141"/>
      <c r="AH1047279" s="141"/>
      <c r="AI1047279" s="141"/>
      <c r="AP1047279" s="141"/>
      <c r="AQ1047279" s="141"/>
      <c r="AR1047279" s="141"/>
      <c r="AV1047279" s="141"/>
      <c r="AW1047279" s="141"/>
      <c r="AX1047279" s="141"/>
      <c r="BP1047279" s="142"/>
      <c r="BU1047279" s="143"/>
    </row>
    <row r="1047280" customFormat="1" ht="14.25" spans="33:73">
      <c r="AG1047280" s="141"/>
      <c r="AH1047280" s="141"/>
      <c r="AI1047280" s="141"/>
      <c r="AP1047280" s="141"/>
      <c r="AQ1047280" s="141"/>
      <c r="AR1047280" s="141"/>
      <c r="AV1047280" s="141"/>
      <c r="AW1047280" s="141"/>
      <c r="AX1047280" s="141"/>
      <c r="BP1047280" s="142"/>
      <c r="BU1047280" s="143"/>
    </row>
    <row r="1047281" customFormat="1" ht="14.25" spans="33:73">
      <c r="AG1047281" s="141"/>
      <c r="AH1047281" s="141"/>
      <c r="AI1047281" s="141"/>
      <c r="AP1047281" s="141"/>
      <c r="AQ1047281" s="141"/>
      <c r="AR1047281" s="141"/>
      <c r="AV1047281" s="141"/>
      <c r="AW1047281" s="141"/>
      <c r="AX1047281" s="141"/>
      <c r="BP1047281" s="142"/>
      <c r="BU1047281" s="143"/>
    </row>
    <row r="1047282" customFormat="1" ht="14.25" spans="33:73">
      <c r="AG1047282" s="141"/>
      <c r="AH1047282" s="141"/>
      <c r="AI1047282" s="141"/>
      <c r="AP1047282" s="141"/>
      <c r="AQ1047282" s="141"/>
      <c r="AR1047282" s="141"/>
      <c r="AV1047282" s="141"/>
      <c r="AW1047282" s="141"/>
      <c r="AX1047282" s="141"/>
      <c r="BP1047282" s="142"/>
      <c r="BU1047282" s="143"/>
    </row>
    <row r="1047283" customFormat="1" ht="14.25" spans="33:73">
      <c r="AG1047283" s="141"/>
      <c r="AH1047283" s="141"/>
      <c r="AI1047283" s="141"/>
      <c r="AP1047283" s="141"/>
      <c r="AQ1047283" s="141"/>
      <c r="AR1047283" s="141"/>
      <c r="AV1047283" s="141"/>
      <c r="AW1047283" s="141"/>
      <c r="AX1047283" s="141"/>
      <c r="BP1047283" s="142"/>
      <c r="BU1047283" s="143"/>
    </row>
    <row r="1047284" customFormat="1" ht="14.25" spans="33:73">
      <c r="AG1047284" s="141"/>
      <c r="AH1047284" s="141"/>
      <c r="AI1047284" s="141"/>
      <c r="AP1047284" s="141"/>
      <c r="AQ1047284" s="141"/>
      <c r="AR1047284" s="141"/>
      <c r="AV1047284" s="141"/>
      <c r="AW1047284" s="141"/>
      <c r="AX1047284" s="141"/>
      <c r="BP1047284" s="142"/>
      <c r="BU1047284" s="143"/>
    </row>
    <row r="1047285" customFormat="1" ht="14.25" spans="33:73">
      <c r="AG1047285" s="141"/>
      <c r="AH1047285" s="141"/>
      <c r="AI1047285" s="141"/>
      <c r="AP1047285" s="141"/>
      <c r="AQ1047285" s="141"/>
      <c r="AR1047285" s="141"/>
      <c r="AV1047285" s="141"/>
      <c r="AW1047285" s="141"/>
      <c r="AX1047285" s="141"/>
      <c r="BP1047285" s="142"/>
      <c r="BU1047285" s="143"/>
    </row>
    <row r="1047286" customFormat="1" ht="14.25" spans="33:73">
      <c r="AG1047286" s="141"/>
      <c r="AH1047286" s="141"/>
      <c r="AI1047286" s="141"/>
      <c r="AP1047286" s="141"/>
      <c r="AQ1047286" s="141"/>
      <c r="AR1047286" s="141"/>
      <c r="AV1047286" s="141"/>
      <c r="AW1047286" s="141"/>
      <c r="AX1047286" s="141"/>
      <c r="BP1047286" s="142"/>
      <c r="BU1047286" s="143"/>
    </row>
    <row r="1047287" customFormat="1" ht="14.25" spans="33:73">
      <c r="AG1047287" s="141"/>
      <c r="AH1047287" s="141"/>
      <c r="AI1047287" s="141"/>
      <c r="AP1047287" s="141"/>
      <c r="AQ1047287" s="141"/>
      <c r="AR1047287" s="141"/>
      <c r="AV1047287" s="141"/>
      <c r="AW1047287" s="141"/>
      <c r="AX1047287" s="141"/>
      <c r="BP1047287" s="142"/>
      <c r="BU1047287" s="143"/>
    </row>
    <row r="1047288" customFormat="1" ht="14.25" spans="33:73">
      <c r="AG1047288" s="141"/>
      <c r="AH1047288" s="141"/>
      <c r="AI1047288" s="141"/>
      <c r="AP1047288" s="141"/>
      <c r="AQ1047288" s="141"/>
      <c r="AR1047288" s="141"/>
      <c r="AV1047288" s="141"/>
      <c r="AW1047288" s="141"/>
      <c r="AX1047288" s="141"/>
      <c r="BP1047288" s="142"/>
      <c r="BU1047288" s="143"/>
    </row>
    <row r="1047289" customFormat="1" ht="14.25" spans="33:73">
      <c r="AG1047289" s="141"/>
      <c r="AH1047289" s="141"/>
      <c r="AI1047289" s="141"/>
      <c r="AP1047289" s="141"/>
      <c r="AQ1047289" s="141"/>
      <c r="AR1047289" s="141"/>
      <c r="AV1047289" s="141"/>
      <c r="AW1047289" s="141"/>
      <c r="AX1047289" s="141"/>
      <c r="BP1047289" s="142"/>
      <c r="BU1047289" s="143"/>
    </row>
    <row r="1047290" customFormat="1" ht="14.25" spans="33:73">
      <c r="AG1047290" s="141"/>
      <c r="AH1047290" s="141"/>
      <c r="AI1047290" s="141"/>
      <c r="AP1047290" s="141"/>
      <c r="AQ1047290" s="141"/>
      <c r="AR1047290" s="141"/>
      <c r="AV1047290" s="141"/>
      <c r="AW1047290" s="141"/>
      <c r="AX1047290" s="141"/>
      <c r="BP1047290" s="142"/>
      <c r="BU1047290" s="143"/>
    </row>
    <row r="1047291" customFormat="1" ht="14.25" spans="33:73">
      <c r="AG1047291" s="141"/>
      <c r="AH1047291" s="141"/>
      <c r="AI1047291" s="141"/>
      <c r="AP1047291" s="141"/>
      <c r="AQ1047291" s="141"/>
      <c r="AR1047291" s="141"/>
      <c r="AV1047291" s="141"/>
      <c r="AW1047291" s="141"/>
      <c r="AX1047291" s="141"/>
      <c r="BP1047291" s="142"/>
      <c r="BU1047291" s="143"/>
    </row>
    <row r="1047292" customFormat="1" ht="14.25" spans="33:73">
      <c r="AG1047292" s="141"/>
      <c r="AH1047292" s="141"/>
      <c r="AI1047292" s="141"/>
      <c r="AP1047292" s="141"/>
      <c r="AQ1047292" s="141"/>
      <c r="AR1047292" s="141"/>
      <c r="AV1047292" s="141"/>
      <c r="AW1047292" s="141"/>
      <c r="AX1047292" s="141"/>
      <c r="BP1047292" s="142"/>
      <c r="BU1047292" s="143"/>
    </row>
    <row r="1047293" customFormat="1" ht="14.25" spans="33:73">
      <c r="AG1047293" s="141"/>
      <c r="AH1047293" s="141"/>
      <c r="AI1047293" s="141"/>
      <c r="AP1047293" s="141"/>
      <c r="AQ1047293" s="141"/>
      <c r="AR1047293" s="141"/>
      <c r="AV1047293" s="141"/>
      <c r="AW1047293" s="141"/>
      <c r="AX1047293" s="141"/>
      <c r="BP1047293" s="142"/>
      <c r="BU1047293" s="143"/>
    </row>
    <row r="1047294" customFormat="1" ht="14.25" spans="33:73">
      <c r="AG1047294" s="141"/>
      <c r="AH1047294" s="141"/>
      <c r="AI1047294" s="141"/>
      <c r="AP1047294" s="141"/>
      <c r="AQ1047294" s="141"/>
      <c r="AR1047294" s="141"/>
      <c r="AV1047294" s="141"/>
      <c r="AW1047294" s="141"/>
      <c r="AX1047294" s="141"/>
      <c r="BP1047294" s="142"/>
      <c r="BU1047294" s="143"/>
    </row>
    <row r="1047295" customFormat="1" ht="14.25" spans="33:73">
      <c r="AG1047295" s="141"/>
      <c r="AH1047295" s="141"/>
      <c r="AI1047295" s="141"/>
      <c r="AP1047295" s="141"/>
      <c r="AQ1047295" s="141"/>
      <c r="AR1047295" s="141"/>
      <c r="AV1047295" s="141"/>
      <c r="AW1047295" s="141"/>
      <c r="AX1047295" s="141"/>
      <c r="BP1047295" s="142"/>
      <c r="BU1047295" s="143"/>
    </row>
    <row r="1047296" customFormat="1" ht="14.25" spans="33:73">
      <c r="AG1047296" s="141"/>
      <c r="AH1047296" s="141"/>
      <c r="AI1047296" s="141"/>
      <c r="AP1047296" s="141"/>
      <c r="AQ1047296" s="141"/>
      <c r="AR1047296" s="141"/>
      <c r="AV1047296" s="141"/>
      <c r="AW1047296" s="141"/>
      <c r="AX1047296" s="141"/>
      <c r="BP1047296" s="142"/>
      <c r="BU1047296" s="143"/>
    </row>
    <row r="1047297" customFormat="1" ht="14.25" spans="33:73">
      <c r="AG1047297" s="141"/>
      <c r="AH1047297" s="141"/>
      <c r="AI1047297" s="141"/>
      <c r="AP1047297" s="141"/>
      <c r="AQ1047297" s="141"/>
      <c r="AR1047297" s="141"/>
      <c r="AV1047297" s="141"/>
      <c r="AW1047297" s="141"/>
      <c r="AX1047297" s="141"/>
      <c r="BP1047297" s="142"/>
      <c r="BU1047297" s="143"/>
    </row>
    <row r="1047298" customFormat="1" ht="14.25" spans="33:73">
      <c r="AG1047298" s="141"/>
      <c r="AH1047298" s="141"/>
      <c r="AI1047298" s="141"/>
      <c r="AP1047298" s="141"/>
      <c r="AQ1047298" s="141"/>
      <c r="AR1047298" s="141"/>
      <c r="AV1047298" s="141"/>
      <c r="AW1047298" s="141"/>
      <c r="AX1047298" s="141"/>
      <c r="BP1047298" s="142"/>
      <c r="BU1047298" s="143"/>
    </row>
    <row r="1047299" customFormat="1" ht="14.25" spans="33:73">
      <c r="AG1047299" s="141"/>
      <c r="AH1047299" s="141"/>
      <c r="AI1047299" s="141"/>
      <c r="AP1047299" s="141"/>
      <c r="AQ1047299" s="141"/>
      <c r="AR1047299" s="141"/>
      <c r="AV1047299" s="141"/>
      <c r="AW1047299" s="141"/>
      <c r="AX1047299" s="141"/>
      <c r="BP1047299" s="142"/>
      <c r="BU1047299" s="143"/>
    </row>
    <row r="1047300" customFormat="1" ht="14.25" spans="33:73">
      <c r="AG1047300" s="141"/>
      <c r="AH1047300" s="141"/>
      <c r="AI1047300" s="141"/>
      <c r="AP1047300" s="141"/>
      <c r="AQ1047300" s="141"/>
      <c r="AR1047300" s="141"/>
      <c r="AV1047300" s="141"/>
      <c r="AW1047300" s="141"/>
      <c r="AX1047300" s="141"/>
      <c r="BP1047300" s="142"/>
      <c r="BU1047300" s="143"/>
    </row>
    <row r="1047301" customFormat="1" ht="14.25" spans="33:73">
      <c r="AG1047301" s="141"/>
      <c r="AH1047301" s="141"/>
      <c r="AI1047301" s="141"/>
      <c r="AP1047301" s="141"/>
      <c r="AQ1047301" s="141"/>
      <c r="AR1047301" s="141"/>
      <c r="AV1047301" s="141"/>
      <c r="AW1047301" s="141"/>
      <c r="AX1047301" s="141"/>
      <c r="BP1047301" s="142"/>
      <c r="BU1047301" s="143"/>
    </row>
    <row r="1047302" customFormat="1" ht="14.25" spans="33:73">
      <c r="AG1047302" s="141"/>
      <c r="AH1047302" s="141"/>
      <c r="AI1047302" s="141"/>
      <c r="AP1047302" s="141"/>
      <c r="AQ1047302" s="141"/>
      <c r="AR1047302" s="141"/>
      <c r="AV1047302" s="141"/>
      <c r="AW1047302" s="141"/>
      <c r="AX1047302" s="141"/>
      <c r="BP1047302" s="142"/>
      <c r="BU1047302" s="143"/>
    </row>
    <row r="1047303" customFormat="1" ht="14.25" spans="33:73">
      <c r="AG1047303" s="141"/>
      <c r="AH1047303" s="141"/>
      <c r="AI1047303" s="141"/>
      <c r="AP1047303" s="141"/>
      <c r="AQ1047303" s="141"/>
      <c r="AR1047303" s="141"/>
      <c r="AV1047303" s="141"/>
      <c r="AW1047303" s="141"/>
      <c r="AX1047303" s="141"/>
      <c r="BP1047303" s="142"/>
      <c r="BU1047303" s="143"/>
    </row>
    <row r="1047304" customFormat="1" ht="14.25" spans="33:73">
      <c r="AG1047304" s="141"/>
      <c r="AH1047304" s="141"/>
      <c r="AI1047304" s="141"/>
      <c r="AP1047304" s="141"/>
      <c r="AQ1047304" s="141"/>
      <c r="AR1047304" s="141"/>
      <c r="AV1047304" s="141"/>
      <c r="AW1047304" s="141"/>
      <c r="AX1047304" s="141"/>
      <c r="BP1047304" s="142"/>
      <c r="BU1047304" s="143"/>
    </row>
    <row r="1047305" customFormat="1" ht="14.25" spans="33:73">
      <c r="AG1047305" s="141"/>
      <c r="AH1047305" s="141"/>
      <c r="AI1047305" s="141"/>
      <c r="AP1047305" s="141"/>
      <c r="AQ1047305" s="141"/>
      <c r="AR1047305" s="141"/>
      <c r="AV1047305" s="141"/>
      <c r="AW1047305" s="141"/>
      <c r="AX1047305" s="141"/>
      <c r="BP1047305" s="142"/>
      <c r="BU1047305" s="143"/>
    </row>
    <row r="1047306" customFormat="1" ht="14.25" spans="33:73">
      <c r="AG1047306" s="141"/>
      <c r="AH1047306" s="141"/>
      <c r="AI1047306" s="141"/>
      <c r="AP1047306" s="141"/>
      <c r="AQ1047306" s="141"/>
      <c r="AR1047306" s="141"/>
      <c r="AV1047306" s="141"/>
      <c r="AW1047306" s="141"/>
      <c r="AX1047306" s="141"/>
      <c r="BP1047306" s="142"/>
      <c r="BU1047306" s="143"/>
    </row>
    <row r="1047307" customFormat="1" ht="14.25" spans="33:73">
      <c r="AG1047307" s="141"/>
      <c r="AH1047307" s="141"/>
      <c r="AI1047307" s="141"/>
      <c r="AP1047307" s="141"/>
      <c r="AQ1047307" s="141"/>
      <c r="AR1047307" s="141"/>
      <c r="AV1047307" s="141"/>
      <c r="AW1047307" s="141"/>
      <c r="AX1047307" s="141"/>
      <c r="BP1047307" s="142"/>
      <c r="BU1047307" s="143"/>
    </row>
    <row r="1047308" customFormat="1" ht="14.25" spans="33:73">
      <c r="AG1047308" s="141"/>
      <c r="AH1047308" s="141"/>
      <c r="AI1047308" s="141"/>
      <c r="AP1047308" s="141"/>
      <c r="AQ1047308" s="141"/>
      <c r="AR1047308" s="141"/>
      <c r="AV1047308" s="141"/>
      <c r="AW1047308" s="141"/>
      <c r="AX1047308" s="141"/>
      <c r="BP1047308" s="142"/>
      <c r="BU1047308" s="143"/>
    </row>
    <row r="1047309" customFormat="1" ht="14.25" spans="33:73">
      <c r="AG1047309" s="141"/>
      <c r="AH1047309" s="141"/>
      <c r="AI1047309" s="141"/>
      <c r="AP1047309" s="141"/>
      <c r="AQ1047309" s="141"/>
      <c r="AR1047309" s="141"/>
      <c r="AV1047309" s="141"/>
      <c r="AW1047309" s="141"/>
      <c r="AX1047309" s="141"/>
      <c r="BP1047309" s="142"/>
      <c r="BU1047309" s="143"/>
    </row>
    <row r="1047310" customFormat="1" ht="14.25" spans="33:73">
      <c r="AG1047310" s="141"/>
      <c r="AH1047310" s="141"/>
      <c r="AI1047310" s="141"/>
      <c r="AP1047310" s="141"/>
      <c r="AQ1047310" s="141"/>
      <c r="AR1047310" s="141"/>
      <c r="AV1047310" s="141"/>
      <c r="AW1047310" s="141"/>
      <c r="AX1047310" s="141"/>
      <c r="BP1047310" s="142"/>
      <c r="BU1047310" s="143"/>
    </row>
    <row r="1047311" customFormat="1" ht="14.25" spans="33:73">
      <c r="AG1047311" s="141"/>
      <c r="AH1047311" s="141"/>
      <c r="AI1047311" s="141"/>
      <c r="AP1047311" s="141"/>
      <c r="AQ1047311" s="141"/>
      <c r="AR1047311" s="141"/>
      <c r="AV1047311" s="141"/>
      <c r="AW1047311" s="141"/>
      <c r="AX1047311" s="141"/>
      <c r="BP1047311" s="142"/>
      <c r="BU1047311" s="143"/>
    </row>
    <row r="1047312" customFormat="1" ht="14.25" spans="33:73">
      <c r="AG1047312" s="141"/>
      <c r="AH1047312" s="141"/>
      <c r="AI1047312" s="141"/>
      <c r="AP1047312" s="141"/>
      <c r="AQ1047312" s="141"/>
      <c r="AR1047312" s="141"/>
      <c r="AV1047312" s="141"/>
      <c r="AW1047312" s="141"/>
      <c r="AX1047312" s="141"/>
      <c r="BP1047312" s="142"/>
      <c r="BU1047312" s="143"/>
    </row>
    <row r="1047313" customFormat="1" ht="14.25" spans="33:73">
      <c r="AG1047313" s="141"/>
      <c r="AH1047313" s="141"/>
      <c r="AI1047313" s="141"/>
      <c r="AP1047313" s="141"/>
      <c r="AQ1047313" s="141"/>
      <c r="AR1047313" s="141"/>
      <c r="AV1047313" s="141"/>
      <c r="AW1047313" s="141"/>
      <c r="AX1047313" s="141"/>
      <c r="BP1047313" s="142"/>
      <c r="BU1047313" s="143"/>
    </row>
    <row r="1047314" customFormat="1" ht="14.25" spans="33:73">
      <c r="AG1047314" s="141"/>
      <c r="AH1047314" s="141"/>
      <c r="AI1047314" s="141"/>
      <c r="AP1047314" s="141"/>
      <c r="AQ1047314" s="141"/>
      <c r="AR1047314" s="141"/>
      <c r="AV1047314" s="141"/>
      <c r="AW1047314" s="141"/>
      <c r="AX1047314" s="141"/>
      <c r="BP1047314" s="142"/>
      <c r="BU1047314" s="143"/>
    </row>
    <row r="1047315" customFormat="1" ht="14.25" spans="33:73">
      <c r="AG1047315" s="141"/>
      <c r="AH1047315" s="141"/>
      <c r="AI1047315" s="141"/>
      <c r="AP1047315" s="141"/>
      <c r="AQ1047315" s="141"/>
      <c r="AR1047315" s="141"/>
      <c r="AV1047315" s="141"/>
      <c r="AW1047315" s="141"/>
      <c r="AX1047315" s="141"/>
      <c r="BP1047315" s="142"/>
      <c r="BU1047315" s="143"/>
    </row>
    <row r="1047316" customFormat="1" ht="14.25" spans="33:73">
      <c r="AG1047316" s="141"/>
      <c r="AH1047316" s="141"/>
      <c r="AI1047316" s="141"/>
      <c r="AP1047316" s="141"/>
      <c r="AQ1047316" s="141"/>
      <c r="AR1047316" s="141"/>
      <c r="AV1047316" s="141"/>
      <c r="AW1047316" s="141"/>
      <c r="AX1047316" s="141"/>
      <c r="BP1047316" s="142"/>
      <c r="BU1047316" s="143"/>
    </row>
    <row r="1047317" customFormat="1" ht="14.25" spans="33:73">
      <c r="AG1047317" s="141"/>
      <c r="AH1047317" s="141"/>
      <c r="AI1047317" s="141"/>
      <c r="AP1047317" s="141"/>
      <c r="AQ1047317" s="141"/>
      <c r="AR1047317" s="141"/>
      <c r="AV1047317" s="141"/>
      <c r="AW1047317" s="141"/>
      <c r="AX1047317" s="141"/>
      <c r="BP1047317" s="142"/>
      <c r="BU1047317" s="143"/>
    </row>
    <row r="1047318" customFormat="1" ht="14.25" spans="33:73">
      <c r="AG1047318" s="141"/>
      <c r="AH1047318" s="141"/>
      <c r="AI1047318" s="141"/>
      <c r="AP1047318" s="141"/>
      <c r="AQ1047318" s="141"/>
      <c r="AR1047318" s="141"/>
      <c r="AV1047318" s="141"/>
      <c r="AW1047318" s="141"/>
      <c r="AX1047318" s="141"/>
      <c r="BP1047318" s="142"/>
      <c r="BU1047318" s="143"/>
    </row>
    <row r="1047319" customFormat="1" ht="14.25" spans="33:73">
      <c r="AG1047319" s="141"/>
      <c r="AH1047319" s="141"/>
      <c r="AI1047319" s="141"/>
      <c r="AP1047319" s="141"/>
      <c r="AQ1047319" s="141"/>
      <c r="AR1047319" s="141"/>
      <c r="AV1047319" s="141"/>
      <c r="AW1047319" s="141"/>
      <c r="AX1047319" s="141"/>
      <c r="BP1047319" s="142"/>
      <c r="BU1047319" s="143"/>
    </row>
    <row r="1047320" customFormat="1" ht="14.25" spans="33:73">
      <c r="AG1047320" s="141"/>
      <c r="AH1047320" s="141"/>
      <c r="AI1047320" s="141"/>
      <c r="AP1047320" s="141"/>
      <c r="AQ1047320" s="141"/>
      <c r="AR1047320" s="141"/>
      <c r="AV1047320" s="141"/>
      <c r="AW1047320" s="141"/>
      <c r="AX1047320" s="141"/>
      <c r="BP1047320" s="142"/>
      <c r="BU1047320" s="143"/>
    </row>
    <row r="1047321" customFormat="1" ht="14.25" spans="33:73">
      <c r="AG1047321" s="141"/>
      <c r="AH1047321" s="141"/>
      <c r="AI1047321" s="141"/>
      <c r="AP1047321" s="141"/>
      <c r="AQ1047321" s="141"/>
      <c r="AR1047321" s="141"/>
      <c r="AV1047321" s="141"/>
      <c r="AW1047321" s="141"/>
      <c r="AX1047321" s="141"/>
      <c r="BP1047321" s="142"/>
      <c r="BU1047321" s="143"/>
    </row>
    <row r="1047322" customFormat="1" ht="14.25" spans="33:73">
      <c r="AG1047322" s="141"/>
      <c r="AH1047322" s="141"/>
      <c r="AI1047322" s="141"/>
      <c r="AP1047322" s="141"/>
      <c r="AQ1047322" s="141"/>
      <c r="AR1047322" s="141"/>
      <c r="AV1047322" s="141"/>
      <c r="AW1047322" s="141"/>
      <c r="AX1047322" s="141"/>
      <c r="BP1047322" s="142"/>
      <c r="BU1047322" s="143"/>
    </row>
    <row r="1047323" customFormat="1" ht="14.25" spans="33:73">
      <c r="AG1047323" s="141"/>
      <c r="AH1047323" s="141"/>
      <c r="AI1047323" s="141"/>
      <c r="AP1047323" s="141"/>
      <c r="AQ1047323" s="141"/>
      <c r="AR1047323" s="141"/>
      <c r="AV1047323" s="141"/>
      <c r="AW1047323" s="141"/>
      <c r="AX1047323" s="141"/>
      <c r="BP1047323" s="142"/>
      <c r="BU1047323" s="143"/>
    </row>
    <row r="1047324" customFormat="1" ht="14.25" spans="33:73">
      <c r="AG1047324" s="141"/>
      <c r="AH1047324" s="141"/>
      <c r="AI1047324" s="141"/>
      <c r="AP1047324" s="141"/>
      <c r="AQ1047324" s="141"/>
      <c r="AR1047324" s="141"/>
      <c r="AV1047324" s="141"/>
      <c r="AW1047324" s="141"/>
      <c r="AX1047324" s="141"/>
      <c r="BP1047324" s="142"/>
      <c r="BU1047324" s="143"/>
    </row>
    <row r="1047325" customFormat="1" ht="14.25" spans="33:73">
      <c r="AG1047325" s="141"/>
      <c r="AH1047325" s="141"/>
      <c r="AI1047325" s="141"/>
      <c r="AP1047325" s="141"/>
      <c r="AQ1047325" s="141"/>
      <c r="AR1047325" s="141"/>
      <c r="AV1047325" s="141"/>
      <c r="AW1047325" s="141"/>
      <c r="AX1047325" s="141"/>
      <c r="BP1047325" s="142"/>
      <c r="BU1047325" s="143"/>
    </row>
    <row r="1047326" customFormat="1" ht="14.25" spans="33:73">
      <c r="AG1047326" s="141"/>
      <c r="AH1047326" s="141"/>
      <c r="AI1047326" s="141"/>
      <c r="AP1047326" s="141"/>
      <c r="AQ1047326" s="141"/>
      <c r="AR1047326" s="141"/>
      <c r="AV1047326" s="141"/>
      <c r="AW1047326" s="141"/>
      <c r="AX1047326" s="141"/>
      <c r="BP1047326" s="142"/>
      <c r="BU1047326" s="143"/>
    </row>
    <row r="1047327" customFormat="1" ht="14.25" spans="33:73">
      <c r="AG1047327" s="141"/>
      <c r="AH1047327" s="141"/>
      <c r="AI1047327" s="141"/>
      <c r="AP1047327" s="141"/>
      <c r="AQ1047327" s="141"/>
      <c r="AR1047327" s="141"/>
      <c r="AV1047327" s="141"/>
      <c r="AW1047327" s="141"/>
      <c r="AX1047327" s="141"/>
      <c r="BP1047327" s="142"/>
      <c r="BU1047327" s="143"/>
    </row>
    <row r="1047328" customFormat="1" ht="14.25" spans="33:73">
      <c r="AG1047328" s="141"/>
      <c r="AH1047328" s="141"/>
      <c r="AI1047328" s="141"/>
      <c r="AP1047328" s="141"/>
      <c r="AQ1047328" s="141"/>
      <c r="AR1047328" s="141"/>
      <c r="AV1047328" s="141"/>
      <c r="AW1047328" s="141"/>
      <c r="AX1047328" s="141"/>
      <c r="BP1047328" s="142"/>
      <c r="BU1047328" s="143"/>
    </row>
    <row r="1047329" customFormat="1" ht="14.25" spans="33:73">
      <c r="AG1047329" s="141"/>
      <c r="AH1047329" s="141"/>
      <c r="AI1047329" s="141"/>
      <c r="AP1047329" s="141"/>
      <c r="AQ1047329" s="141"/>
      <c r="AR1047329" s="141"/>
      <c r="AV1047329" s="141"/>
      <c r="AW1047329" s="141"/>
      <c r="AX1047329" s="141"/>
      <c r="BP1047329" s="142"/>
      <c r="BU1047329" s="143"/>
    </row>
    <row r="1047330" customFormat="1" ht="14.25" spans="33:73">
      <c r="AG1047330" s="141"/>
      <c r="AH1047330" s="141"/>
      <c r="AI1047330" s="141"/>
      <c r="AP1047330" s="141"/>
      <c r="AQ1047330" s="141"/>
      <c r="AR1047330" s="141"/>
      <c r="AV1047330" s="141"/>
      <c r="AW1047330" s="141"/>
      <c r="AX1047330" s="141"/>
      <c r="BP1047330" s="142"/>
      <c r="BU1047330" s="143"/>
    </row>
    <row r="1047331" customFormat="1" ht="14.25" spans="33:73">
      <c r="AG1047331" s="141"/>
      <c r="AH1047331" s="141"/>
      <c r="AI1047331" s="141"/>
      <c r="AP1047331" s="141"/>
      <c r="AQ1047331" s="141"/>
      <c r="AR1047331" s="141"/>
      <c r="AV1047331" s="141"/>
      <c r="AW1047331" s="141"/>
      <c r="AX1047331" s="141"/>
      <c r="BP1047331" s="142"/>
      <c r="BU1047331" s="143"/>
    </row>
    <row r="1047332" customFormat="1" ht="14.25" spans="33:73">
      <c r="AG1047332" s="141"/>
      <c r="AH1047332" s="141"/>
      <c r="AI1047332" s="141"/>
      <c r="AP1047332" s="141"/>
      <c r="AQ1047332" s="141"/>
      <c r="AR1047332" s="141"/>
      <c r="AV1047332" s="141"/>
      <c r="AW1047332" s="141"/>
      <c r="AX1047332" s="141"/>
      <c r="BP1047332" s="142"/>
      <c r="BU1047332" s="143"/>
    </row>
    <row r="1047333" customFormat="1" ht="14.25" spans="33:73">
      <c r="AG1047333" s="141"/>
      <c r="AH1047333" s="141"/>
      <c r="AI1047333" s="141"/>
      <c r="AP1047333" s="141"/>
      <c r="AQ1047333" s="141"/>
      <c r="AR1047333" s="141"/>
      <c r="AV1047333" s="141"/>
      <c r="AW1047333" s="141"/>
      <c r="AX1047333" s="141"/>
      <c r="BP1047333" s="142"/>
      <c r="BU1047333" s="143"/>
    </row>
    <row r="1047334" customFormat="1" ht="14.25" spans="33:73">
      <c r="AG1047334" s="141"/>
      <c r="AH1047334" s="141"/>
      <c r="AI1047334" s="141"/>
      <c r="AP1047334" s="141"/>
      <c r="AQ1047334" s="141"/>
      <c r="AR1047334" s="141"/>
      <c r="AV1047334" s="141"/>
      <c r="AW1047334" s="141"/>
      <c r="AX1047334" s="141"/>
      <c r="BP1047334" s="142"/>
      <c r="BU1047334" s="143"/>
    </row>
    <row r="1047335" customFormat="1" ht="14.25" spans="33:73">
      <c r="AG1047335" s="141"/>
      <c r="AH1047335" s="141"/>
      <c r="AI1047335" s="141"/>
      <c r="AP1047335" s="141"/>
      <c r="AQ1047335" s="141"/>
      <c r="AR1047335" s="141"/>
      <c r="AV1047335" s="141"/>
      <c r="AW1047335" s="141"/>
      <c r="AX1047335" s="141"/>
      <c r="BP1047335" s="142"/>
      <c r="BU1047335" s="143"/>
    </row>
    <row r="1047336" customFormat="1" ht="14.25" spans="33:73">
      <c r="AG1047336" s="141"/>
      <c r="AH1047336" s="141"/>
      <c r="AI1047336" s="141"/>
      <c r="AP1047336" s="141"/>
      <c r="AQ1047336" s="141"/>
      <c r="AR1047336" s="141"/>
      <c r="AV1047336" s="141"/>
      <c r="AW1047336" s="141"/>
      <c r="AX1047336" s="141"/>
      <c r="BP1047336" s="142"/>
      <c r="BU1047336" s="143"/>
    </row>
    <row r="1047337" customFormat="1" ht="14.25" spans="33:73">
      <c r="AG1047337" s="141"/>
      <c r="AH1047337" s="141"/>
      <c r="AI1047337" s="141"/>
      <c r="AP1047337" s="141"/>
      <c r="AQ1047337" s="141"/>
      <c r="AR1047337" s="141"/>
      <c r="AV1047337" s="141"/>
      <c r="AW1047337" s="141"/>
      <c r="AX1047337" s="141"/>
      <c r="BP1047337" s="142"/>
      <c r="BU1047337" s="143"/>
    </row>
    <row r="1047338" customFormat="1" ht="14.25" spans="33:73">
      <c r="AG1047338" s="141"/>
      <c r="AH1047338" s="141"/>
      <c r="AI1047338" s="141"/>
      <c r="AP1047338" s="141"/>
      <c r="AQ1047338" s="141"/>
      <c r="AR1047338" s="141"/>
      <c r="AV1047338" s="141"/>
      <c r="AW1047338" s="141"/>
      <c r="AX1047338" s="141"/>
      <c r="BP1047338" s="142"/>
      <c r="BU1047338" s="143"/>
    </row>
    <row r="1047339" customFormat="1" ht="14.25" spans="33:73">
      <c r="AG1047339" s="141"/>
      <c r="AH1047339" s="141"/>
      <c r="AI1047339" s="141"/>
      <c r="AP1047339" s="141"/>
      <c r="AQ1047339" s="141"/>
      <c r="AR1047339" s="141"/>
      <c r="AV1047339" s="141"/>
      <c r="AW1047339" s="141"/>
      <c r="AX1047339" s="141"/>
      <c r="BP1047339" s="142"/>
      <c r="BU1047339" s="143"/>
    </row>
    <row r="1047340" customFormat="1" ht="14.25" spans="33:73">
      <c r="AG1047340" s="141"/>
      <c r="AH1047340" s="141"/>
      <c r="AI1047340" s="141"/>
      <c r="AP1047340" s="141"/>
      <c r="AQ1047340" s="141"/>
      <c r="AR1047340" s="141"/>
      <c r="AV1047340" s="141"/>
      <c r="AW1047340" s="141"/>
      <c r="AX1047340" s="141"/>
      <c r="BP1047340" s="142"/>
      <c r="BU1047340" s="143"/>
    </row>
    <row r="1047341" customFormat="1" ht="14.25" spans="33:73">
      <c r="AG1047341" s="141"/>
      <c r="AH1047341" s="141"/>
      <c r="AI1047341" s="141"/>
      <c r="AP1047341" s="141"/>
      <c r="AQ1047341" s="141"/>
      <c r="AR1047341" s="141"/>
      <c r="AV1047341" s="141"/>
      <c r="AW1047341" s="141"/>
      <c r="AX1047341" s="141"/>
      <c r="BP1047341" s="142"/>
      <c r="BU1047341" s="143"/>
    </row>
    <row r="1047342" customFormat="1" ht="14.25" spans="33:73">
      <c r="AG1047342" s="141"/>
      <c r="AH1047342" s="141"/>
      <c r="AI1047342" s="141"/>
      <c r="AP1047342" s="141"/>
      <c r="AQ1047342" s="141"/>
      <c r="AR1047342" s="141"/>
      <c r="AV1047342" s="141"/>
      <c r="AW1047342" s="141"/>
      <c r="AX1047342" s="141"/>
      <c r="BP1047342" s="142"/>
      <c r="BU1047342" s="143"/>
    </row>
    <row r="1047343" customFormat="1" ht="14.25" spans="33:73">
      <c r="AG1047343" s="141"/>
      <c r="AH1047343" s="141"/>
      <c r="AI1047343" s="141"/>
      <c r="AP1047343" s="141"/>
      <c r="AQ1047343" s="141"/>
      <c r="AR1047343" s="141"/>
      <c r="AV1047343" s="141"/>
      <c r="AW1047343" s="141"/>
      <c r="AX1047343" s="141"/>
      <c r="BP1047343" s="142"/>
      <c r="BU1047343" s="143"/>
    </row>
    <row r="1047344" customFormat="1" ht="14.25" spans="33:73">
      <c r="AG1047344" s="141"/>
      <c r="AH1047344" s="141"/>
      <c r="AI1047344" s="141"/>
      <c r="AP1047344" s="141"/>
      <c r="AQ1047344" s="141"/>
      <c r="AR1047344" s="141"/>
      <c r="AV1047344" s="141"/>
      <c r="AW1047344" s="141"/>
      <c r="AX1047344" s="141"/>
      <c r="BP1047344" s="142"/>
      <c r="BU1047344" s="143"/>
    </row>
    <row r="1047345" customFormat="1" ht="14.25" spans="33:73">
      <c r="AG1047345" s="141"/>
      <c r="AH1047345" s="141"/>
      <c r="AI1047345" s="141"/>
      <c r="AP1047345" s="141"/>
      <c r="AQ1047345" s="141"/>
      <c r="AR1047345" s="141"/>
      <c r="AV1047345" s="141"/>
      <c r="AW1047345" s="141"/>
      <c r="AX1047345" s="141"/>
      <c r="BP1047345" s="142"/>
      <c r="BU1047345" s="143"/>
    </row>
    <row r="1047346" customFormat="1" ht="14.25" spans="33:73">
      <c r="AG1047346" s="141"/>
      <c r="AH1047346" s="141"/>
      <c r="AI1047346" s="141"/>
      <c r="AP1047346" s="141"/>
      <c r="AQ1047346" s="141"/>
      <c r="AR1047346" s="141"/>
      <c r="AV1047346" s="141"/>
      <c r="AW1047346" s="141"/>
      <c r="AX1047346" s="141"/>
      <c r="BP1047346" s="142"/>
      <c r="BU1047346" s="143"/>
    </row>
    <row r="1047347" customFormat="1" ht="14.25" spans="33:73">
      <c r="AG1047347" s="141"/>
      <c r="AH1047347" s="141"/>
      <c r="AI1047347" s="141"/>
      <c r="AP1047347" s="141"/>
      <c r="AQ1047347" s="141"/>
      <c r="AR1047347" s="141"/>
      <c r="AV1047347" s="141"/>
      <c r="AW1047347" s="141"/>
      <c r="AX1047347" s="141"/>
      <c r="BP1047347" s="142"/>
      <c r="BU1047347" s="143"/>
    </row>
    <row r="1047348" customFormat="1" ht="14.25" spans="33:73">
      <c r="AG1047348" s="141"/>
      <c r="AH1047348" s="141"/>
      <c r="AI1047348" s="141"/>
      <c r="AP1047348" s="141"/>
      <c r="AQ1047348" s="141"/>
      <c r="AR1047348" s="141"/>
      <c r="AV1047348" s="141"/>
      <c r="AW1047348" s="141"/>
      <c r="AX1047348" s="141"/>
      <c r="BP1047348" s="142"/>
      <c r="BU1047348" s="143"/>
    </row>
    <row r="1047349" customFormat="1" ht="14.25" spans="33:73">
      <c r="AG1047349" s="141"/>
      <c r="AH1047349" s="141"/>
      <c r="AI1047349" s="141"/>
      <c r="AP1047349" s="141"/>
      <c r="AQ1047349" s="141"/>
      <c r="AR1047349" s="141"/>
      <c r="AV1047349" s="141"/>
      <c r="AW1047349" s="141"/>
      <c r="AX1047349" s="141"/>
      <c r="BP1047349" s="142"/>
      <c r="BU1047349" s="143"/>
    </row>
    <row r="1047350" customFormat="1" ht="14.25" spans="33:73">
      <c r="AG1047350" s="141"/>
      <c r="AH1047350" s="141"/>
      <c r="AI1047350" s="141"/>
      <c r="AP1047350" s="141"/>
      <c r="AQ1047350" s="141"/>
      <c r="AR1047350" s="141"/>
      <c r="AV1047350" s="141"/>
      <c r="AW1047350" s="141"/>
      <c r="AX1047350" s="141"/>
      <c r="BP1047350" s="142"/>
      <c r="BU1047350" s="143"/>
    </row>
    <row r="1047351" customFormat="1" ht="14.25" spans="33:73">
      <c r="AG1047351" s="141"/>
      <c r="AH1047351" s="141"/>
      <c r="AI1047351" s="141"/>
      <c r="AP1047351" s="141"/>
      <c r="AQ1047351" s="141"/>
      <c r="AR1047351" s="141"/>
      <c r="AV1047351" s="141"/>
      <c r="AW1047351" s="141"/>
      <c r="AX1047351" s="141"/>
      <c r="BP1047351" s="142"/>
      <c r="BU1047351" s="143"/>
    </row>
    <row r="1047352" customFormat="1" ht="14.25" spans="33:73">
      <c r="AG1047352" s="141"/>
      <c r="AH1047352" s="141"/>
      <c r="AI1047352" s="141"/>
      <c r="AP1047352" s="141"/>
      <c r="AQ1047352" s="141"/>
      <c r="AR1047352" s="141"/>
      <c r="AV1047352" s="141"/>
      <c r="AW1047352" s="141"/>
      <c r="AX1047352" s="141"/>
      <c r="BP1047352" s="142"/>
      <c r="BU1047352" s="143"/>
    </row>
    <row r="1047353" customFormat="1" ht="14.25" spans="33:73">
      <c r="AG1047353" s="141"/>
      <c r="AH1047353" s="141"/>
      <c r="AI1047353" s="141"/>
      <c r="AP1047353" s="141"/>
      <c r="AQ1047353" s="141"/>
      <c r="AR1047353" s="141"/>
      <c r="AV1047353" s="141"/>
      <c r="AW1047353" s="141"/>
      <c r="AX1047353" s="141"/>
      <c r="BP1047353" s="142"/>
      <c r="BU1047353" s="143"/>
    </row>
    <row r="1047354" customFormat="1" ht="14.25" spans="33:73">
      <c r="AG1047354" s="141"/>
      <c r="AH1047354" s="141"/>
      <c r="AI1047354" s="141"/>
      <c r="AP1047354" s="141"/>
      <c r="AQ1047354" s="141"/>
      <c r="AR1047354" s="141"/>
      <c r="AV1047354" s="141"/>
      <c r="AW1047354" s="141"/>
      <c r="AX1047354" s="141"/>
      <c r="BP1047354" s="142"/>
      <c r="BU1047354" s="143"/>
    </row>
    <row r="1047355" customFormat="1" ht="14.25" spans="33:73">
      <c r="AG1047355" s="141"/>
      <c r="AH1047355" s="141"/>
      <c r="AI1047355" s="141"/>
      <c r="AP1047355" s="141"/>
      <c r="AQ1047355" s="141"/>
      <c r="AR1047355" s="141"/>
      <c r="AV1047355" s="141"/>
      <c r="AW1047355" s="141"/>
      <c r="AX1047355" s="141"/>
      <c r="BP1047355" s="142"/>
      <c r="BU1047355" s="143"/>
    </row>
    <row r="1047356" customFormat="1" ht="14.25" spans="33:73">
      <c r="AG1047356" s="141"/>
      <c r="AH1047356" s="141"/>
      <c r="AI1047356" s="141"/>
      <c r="AP1047356" s="141"/>
      <c r="AQ1047356" s="141"/>
      <c r="AR1047356" s="141"/>
      <c r="AV1047356" s="141"/>
      <c r="AW1047356" s="141"/>
      <c r="AX1047356" s="141"/>
      <c r="BP1047356" s="142"/>
      <c r="BU1047356" s="143"/>
    </row>
    <row r="1047357" customFormat="1" ht="14.25" spans="33:73">
      <c r="AG1047357" s="141"/>
      <c r="AH1047357" s="141"/>
      <c r="AI1047357" s="141"/>
      <c r="AP1047357" s="141"/>
      <c r="AQ1047357" s="141"/>
      <c r="AR1047357" s="141"/>
      <c r="AV1047357" s="141"/>
      <c r="AW1047357" s="141"/>
      <c r="AX1047357" s="141"/>
      <c r="BP1047357" s="142"/>
      <c r="BU1047357" s="143"/>
    </row>
    <row r="1047358" customFormat="1" ht="14.25" spans="33:73">
      <c r="AG1047358" s="141"/>
      <c r="AH1047358" s="141"/>
      <c r="AI1047358" s="141"/>
      <c r="AP1047358" s="141"/>
      <c r="AQ1047358" s="141"/>
      <c r="AR1047358" s="141"/>
      <c r="AV1047358" s="141"/>
      <c r="AW1047358" s="141"/>
      <c r="AX1047358" s="141"/>
      <c r="BP1047358" s="142"/>
      <c r="BU1047358" s="143"/>
    </row>
    <row r="1047359" customFormat="1" ht="14.25" spans="33:73">
      <c r="AG1047359" s="141"/>
      <c r="AH1047359" s="141"/>
      <c r="AI1047359" s="141"/>
      <c r="AP1047359" s="141"/>
      <c r="AQ1047359" s="141"/>
      <c r="AR1047359" s="141"/>
      <c r="AV1047359" s="141"/>
      <c r="AW1047359" s="141"/>
      <c r="AX1047359" s="141"/>
      <c r="BP1047359" s="142"/>
      <c r="BU1047359" s="143"/>
    </row>
    <row r="1047360" customFormat="1" ht="14.25" spans="33:73">
      <c r="AG1047360" s="141"/>
      <c r="AH1047360" s="141"/>
      <c r="AI1047360" s="141"/>
      <c r="AP1047360" s="141"/>
      <c r="AQ1047360" s="141"/>
      <c r="AR1047360" s="141"/>
      <c r="AV1047360" s="141"/>
      <c r="AW1047360" s="141"/>
      <c r="AX1047360" s="141"/>
      <c r="BP1047360" s="142"/>
      <c r="BU1047360" s="143"/>
    </row>
    <row r="1047361" customFormat="1" ht="14.25" spans="33:73">
      <c r="AG1047361" s="141"/>
      <c r="AH1047361" s="141"/>
      <c r="AI1047361" s="141"/>
      <c r="AP1047361" s="141"/>
      <c r="AQ1047361" s="141"/>
      <c r="AR1047361" s="141"/>
      <c r="AV1047361" s="141"/>
      <c r="AW1047361" s="141"/>
      <c r="AX1047361" s="141"/>
      <c r="BP1047361" s="142"/>
      <c r="BU1047361" s="143"/>
    </row>
    <row r="1047362" customFormat="1" ht="14.25" spans="33:73">
      <c r="AG1047362" s="141"/>
      <c r="AH1047362" s="141"/>
      <c r="AI1047362" s="141"/>
      <c r="AP1047362" s="141"/>
      <c r="AQ1047362" s="141"/>
      <c r="AR1047362" s="141"/>
      <c r="AV1047362" s="141"/>
      <c r="AW1047362" s="141"/>
      <c r="AX1047362" s="141"/>
      <c r="BP1047362" s="142"/>
      <c r="BU1047362" s="143"/>
    </row>
    <row r="1047363" customFormat="1" ht="14.25" spans="33:73">
      <c r="AG1047363" s="141"/>
      <c r="AH1047363" s="141"/>
      <c r="AI1047363" s="141"/>
      <c r="AP1047363" s="141"/>
      <c r="AQ1047363" s="141"/>
      <c r="AR1047363" s="141"/>
      <c r="AV1047363" s="141"/>
      <c r="AW1047363" s="141"/>
      <c r="AX1047363" s="141"/>
      <c r="BP1047363" s="142"/>
      <c r="BU1047363" s="143"/>
    </row>
    <row r="1047364" customFormat="1" ht="14.25" spans="33:73">
      <c r="AG1047364" s="141"/>
      <c r="AH1047364" s="141"/>
      <c r="AI1047364" s="141"/>
      <c r="AP1047364" s="141"/>
      <c r="AQ1047364" s="141"/>
      <c r="AR1047364" s="141"/>
      <c r="AV1047364" s="141"/>
      <c r="AW1047364" s="141"/>
      <c r="AX1047364" s="141"/>
      <c r="BP1047364" s="142"/>
      <c r="BU1047364" s="143"/>
    </row>
    <row r="1047365" customFormat="1" ht="14.25" spans="33:73">
      <c r="AG1047365" s="141"/>
      <c r="AH1047365" s="141"/>
      <c r="AI1047365" s="141"/>
      <c r="AP1047365" s="141"/>
      <c r="AQ1047365" s="141"/>
      <c r="AR1047365" s="141"/>
      <c r="AV1047365" s="141"/>
      <c r="AW1047365" s="141"/>
      <c r="AX1047365" s="141"/>
      <c r="BP1047365" s="142"/>
      <c r="BU1047365" s="143"/>
    </row>
    <row r="1047366" customFormat="1" ht="14.25" spans="33:73">
      <c r="AG1047366" s="141"/>
      <c r="AH1047366" s="141"/>
      <c r="AI1047366" s="141"/>
      <c r="AP1047366" s="141"/>
      <c r="AQ1047366" s="141"/>
      <c r="AR1047366" s="141"/>
      <c r="AV1047366" s="141"/>
      <c r="AW1047366" s="141"/>
      <c r="AX1047366" s="141"/>
      <c r="BP1047366" s="142"/>
      <c r="BU1047366" s="143"/>
    </row>
    <row r="1047367" customFormat="1" ht="14.25" spans="33:73">
      <c r="AG1047367" s="141"/>
      <c r="AH1047367" s="141"/>
      <c r="AI1047367" s="141"/>
      <c r="AP1047367" s="141"/>
      <c r="AQ1047367" s="141"/>
      <c r="AR1047367" s="141"/>
      <c r="AV1047367" s="141"/>
      <c r="AW1047367" s="141"/>
      <c r="AX1047367" s="141"/>
      <c r="BP1047367" s="142"/>
      <c r="BU1047367" s="143"/>
    </row>
    <row r="1047368" customFormat="1" ht="14.25" spans="33:73">
      <c r="AG1047368" s="141"/>
      <c r="AH1047368" s="141"/>
      <c r="AI1047368" s="141"/>
      <c r="AP1047368" s="141"/>
      <c r="AQ1047368" s="141"/>
      <c r="AR1047368" s="141"/>
      <c r="AV1047368" s="141"/>
      <c r="AW1047368" s="141"/>
      <c r="AX1047368" s="141"/>
      <c r="BP1047368" s="142"/>
      <c r="BU1047368" s="143"/>
    </row>
    <row r="1047369" customFormat="1" ht="14.25" spans="33:73">
      <c r="AG1047369" s="141"/>
      <c r="AH1047369" s="141"/>
      <c r="AI1047369" s="141"/>
      <c r="AP1047369" s="141"/>
      <c r="AQ1047369" s="141"/>
      <c r="AR1047369" s="141"/>
      <c r="AV1047369" s="141"/>
      <c r="AW1047369" s="141"/>
      <c r="AX1047369" s="141"/>
      <c r="BP1047369" s="142"/>
      <c r="BU1047369" s="143"/>
    </row>
    <row r="1047370" customFormat="1" ht="14.25" spans="33:73">
      <c r="AG1047370" s="141"/>
      <c r="AH1047370" s="141"/>
      <c r="AI1047370" s="141"/>
      <c r="AP1047370" s="141"/>
      <c r="AQ1047370" s="141"/>
      <c r="AR1047370" s="141"/>
      <c r="AV1047370" s="141"/>
      <c r="AW1047370" s="141"/>
      <c r="AX1047370" s="141"/>
      <c r="BP1047370" s="142"/>
      <c r="BU1047370" s="143"/>
    </row>
    <row r="1047371" customFormat="1" ht="14.25" spans="33:73">
      <c r="AG1047371" s="141"/>
      <c r="AH1047371" s="141"/>
      <c r="AI1047371" s="141"/>
      <c r="AP1047371" s="141"/>
      <c r="AQ1047371" s="141"/>
      <c r="AR1047371" s="141"/>
      <c r="AV1047371" s="141"/>
      <c r="AW1047371" s="141"/>
      <c r="AX1047371" s="141"/>
      <c r="BP1047371" s="142"/>
      <c r="BU1047371" s="143"/>
    </row>
    <row r="1047372" customFormat="1" ht="14.25" spans="33:73">
      <c r="AG1047372" s="141"/>
      <c r="AH1047372" s="141"/>
      <c r="AI1047372" s="141"/>
      <c r="AP1047372" s="141"/>
      <c r="AQ1047372" s="141"/>
      <c r="AR1047372" s="141"/>
      <c r="AV1047372" s="141"/>
      <c r="AW1047372" s="141"/>
      <c r="AX1047372" s="141"/>
      <c r="BP1047372" s="142"/>
      <c r="BU1047372" s="143"/>
    </row>
    <row r="1047373" customFormat="1" ht="14.25" spans="33:73">
      <c r="AG1047373" s="141"/>
      <c r="AH1047373" s="141"/>
      <c r="AI1047373" s="141"/>
      <c r="AP1047373" s="141"/>
      <c r="AQ1047373" s="141"/>
      <c r="AR1047373" s="141"/>
      <c r="AV1047373" s="141"/>
      <c r="AW1047373" s="141"/>
      <c r="AX1047373" s="141"/>
      <c r="BP1047373" s="142"/>
      <c r="BU1047373" s="143"/>
    </row>
    <row r="1047374" customFormat="1" ht="14.25" spans="33:73">
      <c r="AG1047374" s="141"/>
      <c r="AH1047374" s="141"/>
      <c r="AI1047374" s="141"/>
      <c r="AP1047374" s="141"/>
      <c r="AQ1047374" s="141"/>
      <c r="AR1047374" s="141"/>
      <c r="AV1047374" s="141"/>
      <c r="AW1047374" s="141"/>
      <c r="AX1047374" s="141"/>
      <c r="BP1047374" s="142"/>
      <c r="BU1047374" s="143"/>
    </row>
    <row r="1047375" customFormat="1" ht="14.25" spans="33:73">
      <c r="AG1047375" s="141"/>
      <c r="AH1047375" s="141"/>
      <c r="AI1047375" s="141"/>
      <c r="AP1047375" s="141"/>
      <c r="AQ1047375" s="141"/>
      <c r="AR1047375" s="141"/>
      <c r="AV1047375" s="141"/>
      <c r="AW1047375" s="141"/>
      <c r="AX1047375" s="141"/>
      <c r="BP1047375" s="142"/>
      <c r="BU1047375" s="143"/>
    </row>
    <row r="1047376" customFormat="1" ht="14.25" spans="33:73">
      <c r="AG1047376" s="141"/>
      <c r="AH1047376" s="141"/>
      <c r="AI1047376" s="141"/>
      <c r="AP1047376" s="141"/>
      <c r="AQ1047376" s="141"/>
      <c r="AR1047376" s="141"/>
      <c r="AV1047376" s="141"/>
      <c r="AW1047376" s="141"/>
      <c r="AX1047376" s="141"/>
      <c r="BP1047376" s="142"/>
      <c r="BU1047376" s="143"/>
    </row>
    <row r="1047377" customFormat="1" ht="14.25" spans="33:73">
      <c r="AG1047377" s="141"/>
      <c r="AH1047377" s="141"/>
      <c r="AI1047377" s="141"/>
      <c r="AP1047377" s="141"/>
      <c r="AQ1047377" s="141"/>
      <c r="AR1047377" s="141"/>
      <c r="AV1047377" s="141"/>
      <c r="AW1047377" s="141"/>
      <c r="AX1047377" s="141"/>
      <c r="BP1047377" s="142"/>
      <c r="BU1047377" s="143"/>
    </row>
    <row r="1047378" customFormat="1" ht="14.25" spans="33:73">
      <c r="AG1047378" s="141"/>
      <c r="AH1047378" s="141"/>
      <c r="AI1047378" s="141"/>
      <c r="AP1047378" s="141"/>
      <c r="AQ1047378" s="141"/>
      <c r="AR1047378" s="141"/>
      <c r="AV1047378" s="141"/>
      <c r="AW1047378" s="141"/>
      <c r="AX1047378" s="141"/>
      <c r="BP1047378" s="142"/>
      <c r="BU1047378" s="143"/>
    </row>
    <row r="1047379" customFormat="1" ht="14.25" spans="33:73">
      <c r="AG1047379" s="141"/>
      <c r="AH1047379" s="141"/>
      <c r="AI1047379" s="141"/>
      <c r="AP1047379" s="141"/>
      <c r="AQ1047379" s="141"/>
      <c r="AR1047379" s="141"/>
      <c r="AV1047379" s="141"/>
      <c r="AW1047379" s="141"/>
      <c r="AX1047379" s="141"/>
      <c r="BP1047379" s="142"/>
      <c r="BU1047379" s="143"/>
    </row>
    <row r="1047380" customFormat="1" ht="14.25" spans="33:73">
      <c r="AG1047380" s="141"/>
      <c r="AH1047380" s="141"/>
      <c r="AI1047380" s="141"/>
      <c r="AP1047380" s="141"/>
      <c r="AQ1047380" s="141"/>
      <c r="AR1047380" s="141"/>
      <c r="AV1047380" s="141"/>
      <c r="AW1047380" s="141"/>
      <c r="AX1047380" s="141"/>
      <c r="BP1047380" s="142"/>
      <c r="BU1047380" s="143"/>
    </row>
    <row r="1047381" customFormat="1" ht="14.25" spans="33:73">
      <c r="AG1047381" s="141"/>
      <c r="AH1047381" s="141"/>
      <c r="AI1047381" s="141"/>
      <c r="AP1047381" s="141"/>
      <c r="AQ1047381" s="141"/>
      <c r="AR1047381" s="141"/>
      <c r="AV1047381" s="141"/>
      <c r="AW1047381" s="141"/>
      <c r="AX1047381" s="141"/>
      <c r="BP1047381" s="142"/>
      <c r="BU1047381" s="143"/>
    </row>
    <row r="1047382" customFormat="1" ht="14.25" spans="33:73">
      <c r="AG1047382" s="141"/>
      <c r="AH1047382" s="141"/>
      <c r="AI1047382" s="141"/>
      <c r="AP1047382" s="141"/>
      <c r="AQ1047382" s="141"/>
      <c r="AR1047382" s="141"/>
      <c r="AV1047382" s="141"/>
      <c r="AW1047382" s="141"/>
      <c r="AX1047382" s="141"/>
      <c r="BP1047382" s="142"/>
      <c r="BU1047382" s="143"/>
    </row>
    <row r="1047383" customFormat="1" ht="14.25" spans="33:73">
      <c r="AG1047383" s="141"/>
      <c r="AH1047383" s="141"/>
      <c r="AI1047383" s="141"/>
      <c r="AP1047383" s="141"/>
      <c r="AQ1047383" s="141"/>
      <c r="AR1047383" s="141"/>
      <c r="AV1047383" s="141"/>
      <c r="AW1047383" s="141"/>
      <c r="AX1047383" s="141"/>
      <c r="BP1047383" s="142"/>
      <c r="BU1047383" s="143"/>
    </row>
    <row r="1047384" customFormat="1" ht="14.25" spans="33:73">
      <c r="AG1047384" s="141"/>
      <c r="AH1047384" s="141"/>
      <c r="AI1047384" s="141"/>
      <c r="AP1047384" s="141"/>
      <c r="AQ1047384" s="141"/>
      <c r="AR1047384" s="141"/>
      <c r="AV1047384" s="141"/>
      <c r="AW1047384" s="141"/>
      <c r="AX1047384" s="141"/>
      <c r="BP1047384" s="142"/>
      <c r="BU1047384" s="143"/>
    </row>
    <row r="1047385" customFormat="1" ht="14.25" spans="33:73">
      <c r="AG1047385" s="141"/>
      <c r="AH1047385" s="141"/>
      <c r="AI1047385" s="141"/>
      <c r="AP1047385" s="141"/>
      <c r="AQ1047385" s="141"/>
      <c r="AR1047385" s="141"/>
      <c r="AV1047385" s="141"/>
      <c r="AW1047385" s="141"/>
      <c r="AX1047385" s="141"/>
      <c r="BP1047385" s="142"/>
      <c r="BU1047385" s="143"/>
    </row>
    <row r="1047386" customFormat="1" ht="14.25" spans="33:73">
      <c r="AG1047386" s="141"/>
      <c r="AH1047386" s="141"/>
      <c r="AI1047386" s="141"/>
      <c r="AP1047386" s="141"/>
      <c r="AQ1047386" s="141"/>
      <c r="AR1047386" s="141"/>
      <c r="AV1047386" s="141"/>
      <c r="AW1047386" s="141"/>
      <c r="AX1047386" s="141"/>
      <c r="BP1047386" s="142"/>
      <c r="BU1047386" s="143"/>
    </row>
    <row r="1047387" customFormat="1" ht="14.25" spans="33:73">
      <c r="AG1047387" s="141"/>
      <c r="AH1047387" s="141"/>
      <c r="AI1047387" s="141"/>
      <c r="AP1047387" s="141"/>
      <c r="AQ1047387" s="141"/>
      <c r="AR1047387" s="141"/>
      <c r="AV1047387" s="141"/>
      <c r="AW1047387" s="141"/>
      <c r="AX1047387" s="141"/>
      <c r="BP1047387" s="142"/>
      <c r="BU1047387" s="143"/>
    </row>
    <row r="1047388" customFormat="1" ht="14.25" spans="33:73">
      <c r="AG1047388" s="141"/>
      <c r="AH1047388" s="141"/>
      <c r="AI1047388" s="141"/>
      <c r="AP1047388" s="141"/>
      <c r="AQ1047388" s="141"/>
      <c r="AR1047388" s="141"/>
      <c r="AV1047388" s="141"/>
      <c r="AW1047388" s="141"/>
      <c r="AX1047388" s="141"/>
      <c r="BP1047388" s="142"/>
      <c r="BU1047388" s="143"/>
    </row>
    <row r="1047389" customFormat="1" ht="14.25" spans="33:73">
      <c r="AG1047389" s="141"/>
      <c r="AH1047389" s="141"/>
      <c r="AI1047389" s="141"/>
      <c r="AP1047389" s="141"/>
      <c r="AQ1047389" s="141"/>
      <c r="AR1047389" s="141"/>
      <c r="AV1047389" s="141"/>
      <c r="AW1047389" s="141"/>
      <c r="AX1047389" s="141"/>
      <c r="BP1047389" s="142"/>
      <c r="BU1047389" s="143"/>
    </row>
    <row r="1047390" customFormat="1" ht="14.25" spans="33:73">
      <c r="AG1047390" s="141"/>
      <c r="AH1047390" s="141"/>
      <c r="AI1047390" s="141"/>
      <c r="AP1047390" s="141"/>
      <c r="AQ1047390" s="141"/>
      <c r="AR1047390" s="141"/>
      <c r="AV1047390" s="141"/>
      <c r="AW1047390" s="141"/>
      <c r="AX1047390" s="141"/>
      <c r="BP1047390" s="142"/>
      <c r="BU1047390" s="143"/>
    </row>
    <row r="1047391" customFormat="1" ht="14.25" spans="33:73">
      <c r="AG1047391" s="141"/>
      <c r="AH1047391" s="141"/>
      <c r="AI1047391" s="141"/>
      <c r="AP1047391" s="141"/>
      <c r="AQ1047391" s="141"/>
      <c r="AR1047391" s="141"/>
      <c r="AV1047391" s="141"/>
      <c r="AW1047391" s="141"/>
      <c r="AX1047391" s="141"/>
      <c r="BP1047391" s="142"/>
      <c r="BU1047391" s="143"/>
    </row>
    <row r="1047392" customFormat="1" ht="14.25" spans="33:73">
      <c r="AG1047392" s="141"/>
      <c r="AH1047392" s="141"/>
      <c r="AI1047392" s="141"/>
      <c r="AP1047392" s="141"/>
      <c r="AQ1047392" s="141"/>
      <c r="AR1047392" s="141"/>
      <c r="AV1047392" s="141"/>
      <c r="AW1047392" s="141"/>
      <c r="AX1047392" s="141"/>
      <c r="BP1047392" s="142"/>
      <c r="BU1047392" s="143"/>
    </row>
    <row r="1047393" customFormat="1" ht="14.25" spans="33:73">
      <c r="AG1047393" s="141"/>
      <c r="AH1047393" s="141"/>
      <c r="AI1047393" s="141"/>
      <c r="AP1047393" s="141"/>
      <c r="AQ1047393" s="141"/>
      <c r="AR1047393" s="141"/>
      <c r="AV1047393" s="141"/>
      <c r="AW1047393" s="141"/>
      <c r="AX1047393" s="141"/>
      <c r="BP1047393" s="142"/>
      <c r="BU1047393" s="143"/>
    </row>
    <row r="1047394" customFormat="1" ht="14.25" spans="33:73">
      <c r="AG1047394" s="141"/>
      <c r="AH1047394" s="141"/>
      <c r="AI1047394" s="141"/>
      <c r="AP1047394" s="141"/>
      <c r="AQ1047394" s="141"/>
      <c r="AR1047394" s="141"/>
      <c r="AV1047394" s="141"/>
      <c r="AW1047394" s="141"/>
      <c r="AX1047394" s="141"/>
      <c r="BP1047394" s="142"/>
      <c r="BU1047394" s="143"/>
    </row>
    <row r="1047395" customFormat="1" ht="14.25" spans="33:73">
      <c r="AG1047395" s="141"/>
      <c r="AH1047395" s="141"/>
      <c r="AI1047395" s="141"/>
      <c r="AP1047395" s="141"/>
      <c r="AQ1047395" s="141"/>
      <c r="AR1047395" s="141"/>
      <c r="AV1047395" s="141"/>
      <c r="AW1047395" s="141"/>
      <c r="AX1047395" s="141"/>
      <c r="BP1047395" s="142"/>
      <c r="BU1047395" s="143"/>
    </row>
    <row r="1047396" customFormat="1" ht="14.25" spans="33:73">
      <c r="AG1047396" s="141"/>
      <c r="AH1047396" s="141"/>
      <c r="AI1047396" s="141"/>
      <c r="AP1047396" s="141"/>
      <c r="AQ1047396" s="141"/>
      <c r="AR1047396" s="141"/>
      <c r="AV1047396" s="141"/>
      <c r="AW1047396" s="141"/>
      <c r="AX1047396" s="141"/>
      <c r="BP1047396" s="142"/>
      <c r="BU1047396" s="143"/>
    </row>
    <row r="1047397" customFormat="1" ht="14.25" spans="33:73">
      <c r="AG1047397" s="141"/>
      <c r="AH1047397" s="141"/>
      <c r="AI1047397" s="141"/>
      <c r="AP1047397" s="141"/>
      <c r="AQ1047397" s="141"/>
      <c r="AR1047397" s="141"/>
      <c r="AV1047397" s="141"/>
      <c r="AW1047397" s="141"/>
      <c r="AX1047397" s="141"/>
      <c r="BP1047397" s="142"/>
      <c r="BU1047397" s="143"/>
    </row>
    <row r="1047398" customFormat="1" ht="14.25" spans="33:73">
      <c r="AG1047398" s="141"/>
      <c r="AH1047398" s="141"/>
      <c r="AI1047398" s="141"/>
      <c r="AP1047398" s="141"/>
      <c r="AQ1047398" s="141"/>
      <c r="AR1047398" s="141"/>
      <c r="AV1047398" s="141"/>
      <c r="AW1047398" s="141"/>
      <c r="AX1047398" s="141"/>
      <c r="BP1047398" s="142"/>
      <c r="BU1047398" s="143"/>
    </row>
    <row r="1047399" customFormat="1" ht="14.25" spans="33:73">
      <c r="AG1047399" s="141"/>
      <c r="AH1047399" s="141"/>
      <c r="AI1047399" s="141"/>
      <c r="AP1047399" s="141"/>
      <c r="AQ1047399" s="141"/>
      <c r="AR1047399" s="141"/>
      <c r="AV1047399" s="141"/>
      <c r="AW1047399" s="141"/>
      <c r="AX1047399" s="141"/>
      <c r="BP1047399" s="142"/>
      <c r="BU1047399" s="143"/>
    </row>
    <row r="1047400" customFormat="1" ht="14.25" spans="33:73">
      <c r="AG1047400" s="141"/>
      <c r="AH1047400" s="141"/>
      <c r="AI1047400" s="141"/>
      <c r="AP1047400" s="141"/>
      <c r="AQ1047400" s="141"/>
      <c r="AR1047400" s="141"/>
      <c r="AV1047400" s="141"/>
      <c r="AW1047400" s="141"/>
      <c r="AX1047400" s="141"/>
      <c r="BP1047400" s="142"/>
      <c r="BU1047400" s="143"/>
    </row>
    <row r="1047401" customFormat="1" ht="14.25" spans="33:73">
      <c r="AG1047401" s="141"/>
      <c r="AH1047401" s="141"/>
      <c r="AI1047401" s="141"/>
      <c r="AP1047401" s="141"/>
      <c r="AQ1047401" s="141"/>
      <c r="AR1047401" s="141"/>
      <c r="AV1047401" s="141"/>
      <c r="AW1047401" s="141"/>
      <c r="AX1047401" s="141"/>
      <c r="BP1047401" s="142"/>
      <c r="BU1047401" s="143"/>
    </row>
    <row r="1047402" customFormat="1" ht="14.25" spans="33:73">
      <c r="AG1047402" s="141"/>
      <c r="AH1047402" s="141"/>
      <c r="AI1047402" s="141"/>
      <c r="AP1047402" s="141"/>
      <c r="AQ1047402" s="141"/>
      <c r="AR1047402" s="141"/>
      <c r="AV1047402" s="141"/>
      <c r="AW1047402" s="141"/>
      <c r="AX1047402" s="141"/>
      <c r="BP1047402" s="142"/>
      <c r="BU1047402" s="143"/>
    </row>
    <row r="1047403" customFormat="1" ht="14.25" spans="33:73">
      <c r="AG1047403" s="141"/>
      <c r="AH1047403" s="141"/>
      <c r="AI1047403" s="141"/>
      <c r="AP1047403" s="141"/>
      <c r="AQ1047403" s="141"/>
      <c r="AR1047403" s="141"/>
      <c r="AV1047403" s="141"/>
      <c r="AW1047403" s="141"/>
      <c r="AX1047403" s="141"/>
      <c r="BP1047403" s="142"/>
      <c r="BU1047403" s="143"/>
    </row>
    <row r="1047404" customFormat="1" ht="14.25" spans="33:73">
      <c r="AG1047404" s="141"/>
      <c r="AH1047404" s="141"/>
      <c r="AI1047404" s="141"/>
      <c r="AP1047404" s="141"/>
      <c r="AQ1047404" s="141"/>
      <c r="AR1047404" s="141"/>
      <c r="AV1047404" s="141"/>
      <c r="AW1047404" s="141"/>
      <c r="AX1047404" s="141"/>
      <c r="BP1047404" s="142"/>
      <c r="BU1047404" s="143"/>
    </row>
    <row r="1047405" customFormat="1" ht="14.25" spans="33:73">
      <c r="AG1047405" s="141"/>
      <c r="AH1047405" s="141"/>
      <c r="AI1047405" s="141"/>
      <c r="AP1047405" s="141"/>
      <c r="AQ1047405" s="141"/>
      <c r="AR1047405" s="141"/>
      <c r="AV1047405" s="141"/>
      <c r="AW1047405" s="141"/>
      <c r="AX1047405" s="141"/>
      <c r="BP1047405" s="142"/>
      <c r="BU1047405" s="143"/>
    </row>
    <row r="1047406" customFormat="1" ht="14.25" spans="33:73">
      <c r="AG1047406" s="141"/>
      <c r="AH1047406" s="141"/>
      <c r="AI1047406" s="141"/>
      <c r="AP1047406" s="141"/>
      <c r="AQ1047406" s="141"/>
      <c r="AR1047406" s="141"/>
      <c r="AV1047406" s="141"/>
      <c r="AW1047406" s="141"/>
      <c r="AX1047406" s="141"/>
      <c r="BP1047406" s="142"/>
      <c r="BU1047406" s="143"/>
    </row>
    <row r="1047407" customFormat="1" ht="14.25" spans="33:73">
      <c r="AG1047407" s="141"/>
      <c r="AH1047407" s="141"/>
      <c r="AI1047407" s="141"/>
      <c r="AP1047407" s="141"/>
      <c r="AQ1047407" s="141"/>
      <c r="AR1047407" s="141"/>
      <c r="AV1047407" s="141"/>
      <c r="AW1047407" s="141"/>
      <c r="AX1047407" s="141"/>
      <c r="BP1047407" s="142"/>
      <c r="BU1047407" s="143"/>
    </row>
    <row r="1047408" customFormat="1" ht="14.25" spans="33:73">
      <c r="AG1047408" s="141"/>
      <c r="AH1047408" s="141"/>
      <c r="AI1047408" s="141"/>
      <c r="AP1047408" s="141"/>
      <c r="AQ1047408" s="141"/>
      <c r="AR1047408" s="141"/>
      <c r="AV1047408" s="141"/>
      <c r="AW1047408" s="141"/>
      <c r="AX1047408" s="141"/>
      <c r="BP1047408" s="142"/>
      <c r="BU1047408" s="143"/>
    </row>
    <row r="1047409" customFormat="1" ht="14.25" spans="33:73">
      <c r="AG1047409" s="141"/>
      <c r="AH1047409" s="141"/>
      <c r="AI1047409" s="141"/>
      <c r="AP1047409" s="141"/>
      <c r="AQ1047409" s="141"/>
      <c r="AR1047409" s="141"/>
      <c r="AV1047409" s="141"/>
      <c r="AW1047409" s="141"/>
      <c r="AX1047409" s="141"/>
      <c r="BP1047409" s="142"/>
      <c r="BU1047409" s="143"/>
    </row>
    <row r="1047410" customFormat="1" ht="14.25" spans="33:73">
      <c r="AG1047410" s="141"/>
      <c r="AH1047410" s="141"/>
      <c r="AI1047410" s="141"/>
      <c r="AP1047410" s="141"/>
      <c r="AQ1047410" s="141"/>
      <c r="AR1047410" s="141"/>
      <c r="AV1047410" s="141"/>
      <c r="AW1047410" s="141"/>
      <c r="AX1047410" s="141"/>
      <c r="BP1047410" s="142"/>
      <c r="BU1047410" s="143"/>
    </row>
    <row r="1047411" customFormat="1" ht="14.25" spans="33:73">
      <c r="AG1047411" s="141"/>
      <c r="AH1047411" s="141"/>
      <c r="AI1047411" s="141"/>
      <c r="AP1047411" s="141"/>
      <c r="AQ1047411" s="141"/>
      <c r="AR1047411" s="141"/>
      <c r="AV1047411" s="141"/>
      <c r="AW1047411" s="141"/>
      <c r="AX1047411" s="141"/>
      <c r="BP1047411" s="142"/>
      <c r="BU1047411" s="143"/>
    </row>
    <row r="1047412" customFormat="1" ht="14.25" spans="33:73">
      <c r="AG1047412" s="141"/>
      <c r="AH1047412" s="141"/>
      <c r="AI1047412" s="141"/>
      <c r="AP1047412" s="141"/>
      <c r="AQ1047412" s="141"/>
      <c r="AR1047412" s="141"/>
      <c r="AV1047412" s="141"/>
      <c r="AW1047412" s="141"/>
      <c r="AX1047412" s="141"/>
      <c r="BP1047412" s="142"/>
      <c r="BU1047412" s="143"/>
    </row>
    <row r="1047413" customFormat="1" ht="14.25" spans="33:73">
      <c r="AG1047413" s="141"/>
      <c r="AH1047413" s="141"/>
      <c r="AI1047413" s="141"/>
      <c r="AP1047413" s="141"/>
      <c r="AQ1047413" s="141"/>
      <c r="AR1047413" s="141"/>
      <c r="AV1047413" s="141"/>
      <c r="AW1047413" s="141"/>
      <c r="AX1047413" s="141"/>
      <c r="BP1047413" s="142"/>
      <c r="BU1047413" s="143"/>
    </row>
    <row r="1047414" customFormat="1" ht="14.25" spans="33:73">
      <c r="AG1047414" s="141"/>
      <c r="AH1047414" s="141"/>
      <c r="AI1047414" s="141"/>
      <c r="AP1047414" s="141"/>
      <c r="AQ1047414" s="141"/>
      <c r="AR1047414" s="141"/>
      <c r="AV1047414" s="141"/>
      <c r="AW1047414" s="141"/>
      <c r="AX1047414" s="141"/>
      <c r="BP1047414" s="142"/>
      <c r="BU1047414" s="143"/>
    </row>
    <row r="1047415" customFormat="1" ht="14.25" spans="33:73">
      <c r="AG1047415" s="141"/>
      <c r="AH1047415" s="141"/>
      <c r="AI1047415" s="141"/>
      <c r="AP1047415" s="141"/>
      <c r="AQ1047415" s="141"/>
      <c r="AR1047415" s="141"/>
      <c r="AV1047415" s="141"/>
      <c r="AW1047415" s="141"/>
      <c r="AX1047415" s="141"/>
      <c r="BP1047415" s="142"/>
      <c r="BU1047415" s="143"/>
    </row>
    <row r="1047416" customFormat="1" ht="14.25" spans="33:73">
      <c r="AG1047416" s="141"/>
      <c r="AH1047416" s="141"/>
      <c r="AI1047416" s="141"/>
      <c r="AP1047416" s="141"/>
      <c r="AQ1047416" s="141"/>
      <c r="AR1047416" s="141"/>
      <c r="AV1047416" s="141"/>
      <c r="AW1047416" s="141"/>
      <c r="AX1047416" s="141"/>
      <c r="BP1047416" s="142"/>
      <c r="BU1047416" s="143"/>
    </row>
    <row r="1047417" customFormat="1" ht="14.25" spans="33:73">
      <c r="AG1047417" s="141"/>
      <c r="AH1047417" s="141"/>
      <c r="AI1047417" s="141"/>
      <c r="AP1047417" s="141"/>
      <c r="AQ1047417" s="141"/>
      <c r="AR1047417" s="141"/>
      <c r="AV1047417" s="141"/>
      <c r="AW1047417" s="141"/>
      <c r="AX1047417" s="141"/>
      <c r="BP1047417" s="142"/>
      <c r="BU1047417" s="143"/>
    </row>
    <row r="1047418" customFormat="1" ht="14.25" spans="33:73">
      <c r="AG1047418" s="141"/>
      <c r="AH1047418" s="141"/>
      <c r="AI1047418" s="141"/>
      <c r="AP1047418" s="141"/>
      <c r="AQ1047418" s="141"/>
      <c r="AR1047418" s="141"/>
      <c r="AV1047418" s="141"/>
      <c r="AW1047418" s="141"/>
      <c r="AX1047418" s="141"/>
      <c r="BP1047418" s="142"/>
      <c r="BU1047418" s="143"/>
    </row>
    <row r="1047419" customFormat="1" ht="14.25" spans="33:73">
      <c r="AG1047419" s="141"/>
      <c r="AH1047419" s="141"/>
      <c r="AI1047419" s="141"/>
      <c r="AP1047419" s="141"/>
      <c r="AQ1047419" s="141"/>
      <c r="AR1047419" s="141"/>
      <c r="AV1047419" s="141"/>
      <c r="AW1047419" s="141"/>
      <c r="AX1047419" s="141"/>
      <c r="BP1047419" s="142"/>
      <c r="BU1047419" s="143"/>
    </row>
    <row r="1047420" customFormat="1" ht="14.25" spans="33:73">
      <c r="AG1047420" s="141"/>
      <c r="AH1047420" s="141"/>
      <c r="AI1047420" s="141"/>
      <c r="AP1047420" s="141"/>
      <c r="AQ1047420" s="141"/>
      <c r="AR1047420" s="141"/>
      <c r="AV1047420" s="141"/>
      <c r="AW1047420" s="141"/>
      <c r="AX1047420" s="141"/>
      <c r="BP1047420" s="142"/>
      <c r="BU1047420" s="143"/>
    </row>
    <row r="1047421" customFormat="1" ht="14.25" spans="33:73">
      <c r="AG1047421" s="141"/>
      <c r="AH1047421" s="141"/>
      <c r="AI1047421" s="141"/>
      <c r="AP1047421" s="141"/>
      <c r="AQ1047421" s="141"/>
      <c r="AR1047421" s="141"/>
      <c r="AV1047421" s="141"/>
      <c r="AW1047421" s="141"/>
      <c r="AX1047421" s="141"/>
      <c r="BP1047421" s="142"/>
      <c r="BU1047421" s="143"/>
    </row>
    <row r="1047422" customFormat="1" ht="14.25" spans="33:73">
      <c r="AG1047422" s="141"/>
      <c r="AH1047422" s="141"/>
      <c r="AI1047422" s="141"/>
      <c r="AP1047422" s="141"/>
      <c r="AQ1047422" s="141"/>
      <c r="AR1047422" s="141"/>
      <c r="AV1047422" s="141"/>
      <c r="AW1047422" s="141"/>
      <c r="AX1047422" s="141"/>
      <c r="BP1047422" s="142"/>
      <c r="BU1047422" s="143"/>
    </row>
    <row r="1047423" customFormat="1" ht="14.25" spans="33:73">
      <c r="AG1047423" s="141"/>
      <c r="AH1047423" s="141"/>
      <c r="AI1047423" s="141"/>
      <c r="AP1047423" s="141"/>
      <c r="AQ1047423" s="141"/>
      <c r="AR1047423" s="141"/>
      <c r="AV1047423" s="141"/>
      <c r="AW1047423" s="141"/>
      <c r="AX1047423" s="141"/>
      <c r="BP1047423" s="142"/>
      <c r="BU1047423" s="143"/>
    </row>
    <row r="1047424" customFormat="1" ht="14.25" spans="33:73">
      <c r="AG1047424" s="141"/>
      <c r="AH1047424" s="141"/>
      <c r="AI1047424" s="141"/>
      <c r="AP1047424" s="141"/>
      <c r="AQ1047424" s="141"/>
      <c r="AR1047424" s="141"/>
      <c r="AV1047424" s="141"/>
      <c r="AW1047424" s="141"/>
      <c r="AX1047424" s="141"/>
      <c r="BP1047424" s="142"/>
      <c r="BU1047424" s="143"/>
    </row>
    <row r="1047425" customFormat="1" ht="14.25" spans="33:73">
      <c r="AG1047425" s="141"/>
      <c r="AH1047425" s="141"/>
      <c r="AI1047425" s="141"/>
      <c r="AP1047425" s="141"/>
      <c r="AQ1047425" s="141"/>
      <c r="AR1047425" s="141"/>
      <c r="AV1047425" s="141"/>
      <c r="AW1047425" s="141"/>
      <c r="AX1047425" s="141"/>
      <c r="BP1047425" s="142"/>
      <c r="BU1047425" s="143"/>
    </row>
    <row r="1047426" customFormat="1" ht="14.25" spans="33:73">
      <c r="AG1047426" s="141"/>
      <c r="AH1047426" s="141"/>
      <c r="AI1047426" s="141"/>
      <c r="AP1047426" s="141"/>
      <c r="AQ1047426" s="141"/>
      <c r="AR1047426" s="141"/>
      <c r="AV1047426" s="141"/>
      <c r="AW1047426" s="141"/>
      <c r="AX1047426" s="141"/>
      <c r="BP1047426" s="142"/>
      <c r="BU1047426" s="143"/>
    </row>
    <row r="1047427" customFormat="1" ht="14.25" spans="33:73">
      <c r="AG1047427" s="141"/>
      <c r="AH1047427" s="141"/>
      <c r="AI1047427" s="141"/>
      <c r="AP1047427" s="141"/>
      <c r="AQ1047427" s="141"/>
      <c r="AR1047427" s="141"/>
      <c r="AV1047427" s="141"/>
      <c r="AW1047427" s="141"/>
      <c r="AX1047427" s="141"/>
      <c r="BP1047427" s="142"/>
      <c r="BU1047427" s="143"/>
    </row>
    <row r="1047428" customFormat="1" ht="14.25" spans="33:73">
      <c r="AG1047428" s="141"/>
      <c r="AH1047428" s="141"/>
      <c r="AI1047428" s="141"/>
      <c r="AP1047428" s="141"/>
      <c r="AQ1047428" s="141"/>
      <c r="AR1047428" s="141"/>
      <c r="AV1047428" s="141"/>
      <c r="AW1047428" s="141"/>
      <c r="AX1047428" s="141"/>
      <c r="BP1047428" s="142"/>
      <c r="BU1047428" s="143"/>
    </row>
    <row r="1047429" customFormat="1" ht="14.25" spans="33:73">
      <c r="AG1047429" s="141"/>
      <c r="AH1047429" s="141"/>
      <c r="AI1047429" s="141"/>
      <c r="AP1047429" s="141"/>
      <c r="AQ1047429" s="141"/>
      <c r="AR1047429" s="141"/>
      <c r="AV1047429" s="141"/>
      <c r="AW1047429" s="141"/>
      <c r="AX1047429" s="141"/>
      <c r="BP1047429" s="142"/>
      <c r="BU1047429" s="143"/>
    </row>
    <row r="1047430" customFormat="1" ht="14.25" spans="33:73">
      <c r="AG1047430" s="141"/>
      <c r="AH1047430" s="141"/>
      <c r="AI1047430" s="141"/>
      <c r="AP1047430" s="141"/>
      <c r="AQ1047430" s="141"/>
      <c r="AR1047430" s="141"/>
      <c r="AV1047430" s="141"/>
      <c r="AW1047430" s="141"/>
      <c r="AX1047430" s="141"/>
      <c r="BP1047430" s="142"/>
      <c r="BU1047430" s="143"/>
    </row>
    <row r="1047431" customFormat="1" ht="14.25" spans="33:73">
      <c r="AG1047431" s="141"/>
      <c r="AH1047431" s="141"/>
      <c r="AI1047431" s="141"/>
      <c r="AP1047431" s="141"/>
      <c r="AQ1047431" s="141"/>
      <c r="AR1047431" s="141"/>
      <c r="AV1047431" s="141"/>
      <c r="AW1047431" s="141"/>
      <c r="AX1047431" s="141"/>
      <c r="BP1047431" s="142"/>
      <c r="BU1047431" s="143"/>
    </row>
    <row r="1047432" customFormat="1" ht="14.25" spans="33:73">
      <c r="AG1047432" s="141"/>
      <c r="AH1047432" s="141"/>
      <c r="AI1047432" s="141"/>
      <c r="AP1047432" s="141"/>
      <c r="AQ1047432" s="141"/>
      <c r="AR1047432" s="141"/>
      <c r="AV1047432" s="141"/>
      <c r="AW1047432" s="141"/>
      <c r="AX1047432" s="141"/>
      <c r="BP1047432" s="142"/>
      <c r="BU1047432" s="143"/>
    </row>
    <row r="1047433" customFormat="1" ht="14.25" spans="33:73">
      <c r="AG1047433" s="141"/>
      <c r="AH1047433" s="141"/>
      <c r="AI1047433" s="141"/>
      <c r="AP1047433" s="141"/>
      <c r="AQ1047433" s="141"/>
      <c r="AR1047433" s="141"/>
      <c r="AV1047433" s="141"/>
      <c r="AW1047433" s="141"/>
      <c r="AX1047433" s="141"/>
      <c r="BP1047433" s="142"/>
      <c r="BU1047433" s="143"/>
    </row>
    <row r="1047434" customFormat="1" ht="14.25" spans="33:73">
      <c r="AG1047434" s="141"/>
      <c r="AH1047434" s="141"/>
      <c r="AI1047434" s="141"/>
      <c r="AP1047434" s="141"/>
      <c r="AQ1047434" s="141"/>
      <c r="AR1047434" s="141"/>
      <c r="AV1047434" s="141"/>
      <c r="AW1047434" s="141"/>
      <c r="AX1047434" s="141"/>
      <c r="BP1047434" s="142"/>
      <c r="BU1047434" s="143"/>
    </row>
    <row r="1047435" customFormat="1" ht="14.25" spans="33:73">
      <c r="AG1047435" s="141"/>
      <c r="AH1047435" s="141"/>
      <c r="AI1047435" s="141"/>
      <c r="AP1047435" s="141"/>
      <c r="AQ1047435" s="141"/>
      <c r="AR1047435" s="141"/>
      <c r="AV1047435" s="141"/>
      <c r="AW1047435" s="141"/>
      <c r="AX1047435" s="141"/>
      <c r="BP1047435" s="142"/>
      <c r="BU1047435" s="143"/>
    </row>
    <row r="1047436" customFormat="1" ht="14.25" spans="33:73">
      <c r="AG1047436" s="141"/>
      <c r="AH1047436" s="141"/>
      <c r="AI1047436" s="141"/>
      <c r="AP1047436" s="141"/>
      <c r="AQ1047436" s="141"/>
      <c r="AR1047436" s="141"/>
      <c r="AV1047436" s="141"/>
      <c r="AW1047436" s="141"/>
      <c r="AX1047436" s="141"/>
      <c r="BP1047436" s="142"/>
      <c r="BU1047436" s="143"/>
    </row>
    <row r="1047437" customFormat="1" ht="14.25" spans="33:73">
      <c r="AG1047437" s="141"/>
      <c r="AH1047437" s="141"/>
      <c r="AI1047437" s="141"/>
      <c r="AP1047437" s="141"/>
      <c r="AQ1047437" s="141"/>
      <c r="AR1047437" s="141"/>
      <c r="AV1047437" s="141"/>
      <c r="AW1047437" s="141"/>
      <c r="AX1047437" s="141"/>
      <c r="BP1047437" s="142"/>
      <c r="BU1047437" s="143"/>
    </row>
    <row r="1047438" customFormat="1" ht="14.25" spans="33:73">
      <c r="AG1047438" s="141"/>
      <c r="AH1047438" s="141"/>
      <c r="AI1047438" s="141"/>
      <c r="AP1047438" s="141"/>
      <c r="AQ1047438" s="141"/>
      <c r="AR1047438" s="141"/>
      <c r="AV1047438" s="141"/>
      <c r="AW1047438" s="141"/>
      <c r="AX1047438" s="141"/>
      <c r="BP1047438" s="142"/>
      <c r="BU1047438" s="143"/>
    </row>
    <row r="1047439" customFormat="1" ht="14.25" spans="33:73">
      <c r="AG1047439" s="141"/>
      <c r="AH1047439" s="141"/>
      <c r="AI1047439" s="141"/>
      <c r="AP1047439" s="141"/>
      <c r="AQ1047439" s="141"/>
      <c r="AR1047439" s="141"/>
      <c r="AV1047439" s="141"/>
      <c r="AW1047439" s="141"/>
      <c r="AX1047439" s="141"/>
      <c r="BP1047439" s="142"/>
      <c r="BU1047439" s="143"/>
    </row>
    <row r="1047440" customFormat="1" ht="14.25" spans="33:73">
      <c r="AG1047440" s="141"/>
      <c r="AH1047440" s="141"/>
      <c r="AI1047440" s="141"/>
      <c r="AP1047440" s="141"/>
      <c r="AQ1047440" s="141"/>
      <c r="AR1047440" s="141"/>
      <c r="AV1047440" s="141"/>
      <c r="AW1047440" s="141"/>
      <c r="AX1047440" s="141"/>
      <c r="BP1047440" s="142"/>
      <c r="BU1047440" s="143"/>
    </row>
    <row r="1047441" customFormat="1" ht="14.25" spans="33:73">
      <c r="AG1047441" s="141"/>
      <c r="AH1047441" s="141"/>
      <c r="AI1047441" s="141"/>
      <c r="AP1047441" s="141"/>
      <c r="AQ1047441" s="141"/>
      <c r="AR1047441" s="141"/>
      <c r="AV1047441" s="141"/>
      <c r="AW1047441" s="141"/>
      <c r="AX1047441" s="141"/>
      <c r="BP1047441" s="142"/>
      <c r="BU1047441" s="143"/>
    </row>
    <row r="1047442" customFormat="1" ht="14.25" spans="33:73">
      <c r="AG1047442" s="141"/>
      <c r="AH1047442" s="141"/>
      <c r="AI1047442" s="141"/>
      <c r="AP1047442" s="141"/>
      <c r="AQ1047442" s="141"/>
      <c r="AR1047442" s="141"/>
      <c r="AV1047442" s="141"/>
      <c r="AW1047442" s="141"/>
      <c r="AX1047442" s="141"/>
      <c r="BP1047442" s="142"/>
      <c r="BU1047442" s="143"/>
    </row>
    <row r="1047443" customFormat="1" ht="14.25" spans="33:73">
      <c r="AG1047443" s="141"/>
      <c r="AH1047443" s="141"/>
      <c r="AI1047443" s="141"/>
      <c r="AP1047443" s="141"/>
      <c r="AQ1047443" s="141"/>
      <c r="AR1047443" s="141"/>
      <c r="AV1047443" s="141"/>
      <c r="AW1047443" s="141"/>
      <c r="AX1047443" s="141"/>
      <c r="BP1047443" s="142"/>
      <c r="BU1047443" s="143"/>
    </row>
    <row r="1047444" customFormat="1" ht="14.25" spans="33:73">
      <c r="AG1047444" s="141"/>
      <c r="AH1047444" s="141"/>
      <c r="AI1047444" s="141"/>
      <c r="AP1047444" s="141"/>
      <c r="AQ1047444" s="141"/>
      <c r="AR1047444" s="141"/>
      <c r="AV1047444" s="141"/>
      <c r="AW1047444" s="141"/>
      <c r="AX1047444" s="141"/>
      <c r="BP1047444" s="142"/>
      <c r="BU1047444" s="143"/>
    </row>
    <row r="1047445" customFormat="1" ht="14.25" spans="33:73">
      <c r="AG1047445" s="141"/>
      <c r="AH1047445" s="141"/>
      <c r="AI1047445" s="141"/>
      <c r="AP1047445" s="141"/>
      <c r="AQ1047445" s="141"/>
      <c r="AR1047445" s="141"/>
      <c r="AV1047445" s="141"/>
      <c r="AW1047445" s="141"/>
      <c r="AX1047445" s="141"/>
      <c r="BP1047445" s="142"/>
      <c r="BU1047445" s="143"/>
    </row>
    <row r="1047446" customFormat="1" ht="14.25" spans="33:73">
      <c r="AG1047446" s="141"/>
      <c r="AH1047446" s="141"/>
      <c r="AI1047446" s="141"/>
      <c r="AP1047446" s="141"/>
      <c r="AQ1047446" s="141"/>
      <c r="AR1047446" s="141"/>
      <c r="AV1047446" s="141"/>
      <c r="AW1047446" s="141"/>
      <c r="AX1047446" s="141"/>
      <c r="BP1047446" s="142"/>
      <c r="BU1047446" s="143"/>
    </row>
    <row r="1047447" customFormat="1" ht="14.25" spans="33:73">
      <c r="AG1047447" s="141"/>
      <c r="AH1047447" s="141"/>
      <c r="AI1047447" s="141"/>
      <c r="AP1047447" s="141"/>
      <c r="AQ1047447" s="141"/>
      <c r="AR1047447" s="141"/>
      <c r="AV1047447" s="141"/>
      <c r="AW1047447" s="141"/>
      <c r="AX1047447" s="141"/>
      <c r="BP1047447" s="142"/>
      <c r="BU1047447" s="143"/>
    </row>
    <row r="1047448" customFormat="1" ht="14.25" spans="33:73">
      <c r="AG1047448" s="141"/>
      <c r="AH1047448" s="141"/>
      <c r="AI1047448" s="141"/>
      <c r="AP1047448" s="141"/>
      <c r="AQ1047448" s="141"/>
      <c r="AR1047448" s="141"/>
      <c r="AV1047448" s="141"/>
      <c r="AW1047448" s="141"/>
      <c r="AX1047448" s="141"/>
      <c r="BP1047448" s="142"/>
      <c r="BU1047448" s="143"/>
    </row>
    <row r="1047449" customFormat="1" ht="14.25" spans="33:73">
      <c r="AG1047449" s="141"/>
      <c r="AH1047449" s="141"/>
      <c r="AI1047449" s="141"/>
      <c r="AP1047449" s="141"/>
      <c r="AQ1047449" s="141"/>
      <c r="AR1047449" s="141"/>
      <c r="AV1047449" s="141"/>
      <c r="AW1047449" s="141"/>
      <c r="AX1047449" s="141"/>
      <c r="BP1047449" s="142"/>
      <c r="BU1047449" s="143"/>
    </row>
    <row r="1047450" customFormat="1" ht="14.25" spans="33:73">
      <c r="AG1047450" s="141"/>
      <c r="AH1047450" s="141"/>
      <c r="AI1047450" s="141"/>
      <c r="AP1047450" s="141"/>
      <c r="AQ1047450" s="141"/>
      <c r="AR1047450" s="141"/>
      <c r="AV1047450" s="141"/>
      <c r="AW1047450" s="141"/>
      <c r="AX1047450" s="141"/>
      <c r="BP1047450" s="142"/>
      <c r="BU1047450" s="143"/>
    </row>
    <row r="1047451" customFormat="1" ht="14.25" spans="33:73">
      <c r="AG1047451" s="141"/>
      <c r="AH1047451" s="141"/>
      <c r="AI1047451" s="141"/>
      <c r="AP1047451" s="141"/>
      <c r="AQ1047451" s="141"/>
      <c r="AR1047451" s="141"/>
      <c r="AV1047451" s="141"/>
      <c r="AW1047451" s="141"/>
      <c r="AX1047451" s="141"/>
      <c r="BP1047451" s="142"/>
      <c r="BU1047451" s="143"/>
    </row>
    <row r="1047452" customFormat="1" ht="14.25" spans="33:73">
      <c r="AG1047452" s="141"/>
      <c r="AH1047452" s="141"/>
      <c r="AI1047452" s="141"/>
      <c r="AP1047452" s="141"/>
      <c r="AQ1047452" s="141"/>
      <c r="AR1047452" s="141"/>
      <c r="AV1047452" s="141"/>
      <c r="AW1047452" s="141"/>
      <c r="AX1047452" s="141"/>
      <c r="BP1047452" s="142"/>
      <c r="BU1047452" s="143"/>
    </row>
    <row r="1047453" customFormat="1" ht="14.25" spans="33:73">
      <c r="AG1047453" s="141"/>
      <c r="AH1047453" s="141"/>
      <c r="AI1047453" s="141"/>
      <c r="AP1047453" s="141"/>
      <c r="AQ1047453" s="141"/>
      <c r="AR1047453" s="141"/>
      <c r="AV1047453" s="141"/>
      <c r="AW1047453" s="141"/>
      <c r="AX1047453" s="141"/>
      <c r="BP1047453" s="142"/>
      <c r="BU1047453" s="143"/>
    </row>
    <row r="1047454" customFormat="1" ht="14.25" spans="33:73">
      <c r="AG1047454" s="141"/>
      <c r="AH1047454" s="141"/>
      <c r="AI1047454" s="141"/>
      <c r="AP1047454" s="141"/>
      <c r="AQ1047454" s="141"/>
      <c r="AR1047454" s="141"/>
      <c r="AV1047454" s="141"/>
      <c r="AW1047454" s="141"/>
      <c r="AX1047454" s="141"/>
      <c r="BP1047454" s="142"/>
      <c r="BU1047454" s="143"/>
    </row>
    <row r="1047455" customFormat="1" ht="14.25" spans="33:73">
      <c r="AG1047455" s="141"/>
      <c r="AH1047455" s="141"/>
      <c r="AI1047455" s="141"/>
      <c r="AP1047455" s="141"/>
      <c r="AQ1047455" s="141"/>
      <c r="AR1047455" s="141"/>
      <c r="AV1047455" s="141"/>
      <c r="AW1047455" s="141"/>
      <c r="AX1047455" s="141"/>
      <c r="BP1047455" s="142"/>
      <c r="BU1047455" s="143"/>
    </row>
    <row r="1047456" customFormat="1" ht="14.25" spans="33:73">
      <c r="AG1047456" s="141"/>
      <c r="AH1047456" s="141"/>
      <c r="AI1047456" s="141"/>
      <c r="AP1047456" s="141"/>
      <c r="AQ1047456" s="141"/>
      <c r="AR1047456" s="141"/>
      <c r="AV1047456" s="141"/>
      <c r="AW1047456" s="141"/>
      <c r="AX1047456" s="141"/>
      <c r="BP1047456" s="142"/>
      <c r="BU1047456" s="143"/>
    </row>
    <row r="1047457" customFormat="1" ht="14.25" spans="33:73">
      <c r="AG1047457" s="141"/>
      <c r="AH1047457" s="141"/>
      <c r="AI1047457" s="141"/>
      <c r="AP1047457" s="141"/>
      <c r="AQ1047457" s="141"/>
      <c r="AR1047457" s="141"/>
      <c r="AV1047457" s="141"/>
      <c r="AW1047457" s="141"/>
      <c r="AX1047457" s="141"/>
      <c r="BP1047457" s="142"/>
      <c r="BU1047457" s="143"/>
    </row>
    <row r="1047458" customFormat="1" ht="14.25" spans="33:73">
      <c r="AG1047458" s="141"/>
      <c r="AH1047458" s="141"/>
      <c r="AI1047458" s="141"/>
      <c r="AP1047458" s="141"/>
      <c r="AQ1047458" s="141"/>
      <c r="AR1047458" s="141"/>
      <c r="AV1047458" s="141"/>
      <c r="AW1047458" s="141"/>
      <c r="AX1047458" s="141"/>
      <c r="BP1047458" s="142"/>
      <c r="BU1047458" s="143"/>
    </row>
    <row r="1047459" customFormat="1" ht="14.25" spans="33:73">
      <c r="AG1047459" s="141"/>
      <c r="AH1047459" s="141"/>
      <c r="AI1047459" s="141"/>
      <c r="AP1047459" s="141"/>
      <c r="AQ1047459" s="141"/>
      <c r="AR1047459" s="141"/>
      <c r="AV1047459" s="141"/>
      <c r="AW1047459" s="141"/>
      <c r="AX1047459" s="141"/>
      <c r="BP1047459" s="142"/>
      <c r="BU1047459" s="143"/>
    </row>
    <row r="1047460" customFormat="1" ht="14.25" spans="33:73">
      <c r="AG1047460" s="141"/>
      <c r="AH1047460" s="141"/>
      <c r="AI1047460" s="141"/>
      <c r="AP1047460" s="141"/>
      <c r="AQ1047460" s="141"/>
      <c r="AR1047460" s="141"/>
      <c r="AV1047460" s="141"/>
      <c r="AW1047460" s="141"/>
      <c r="AX1047460" s="141"/>
      <c r="BP1047460" s="142"/>
      <c r="BU1047460" s="143"/>
    </row>
    <row r="1047461" customFormat="1" ht="14.25" spans="33:73">
      <c r="AG1047461" s="141"/>
      <c r="AH1047461" s="141"/>
      <c r="AI1047461" s="141"/>
      <c r="AP1047461" s="141"/>
      <c r="AQ1047461" s="141"/>
      <c r="AR1047461" s="141"/>
      <c r="AV1047461" s="141"/>
      <c r="AW1047461" s="141"/>
      <c r="AX1047461" s="141"/>
      <c r="BP1047461" s="142"/>
      <c r="BU1047461" s="143"/>
    </row>
    <row r="1047462" customFormat="1" ht="14.25" spans="33:73">
      <c r="AG1047462" s="141"/>
      <c r="AH1047462" s="141"/>
      <c r="AI1047462" s="141"/>
      <c r="AP1047462" s="141"/>
      <c r="AQ1047462" s="141"/>
      <c r="AR1047462" s="141"/>
      <c r="AV1047462" s="141"/>
      <c r="AW1047462" s="141"/>
      <c r="AX1047462" s="141"/>
      <c r="BP1047462" s="142"/>
      <c r="BU1047462" s="143"/>
    </row>
    <row r="1047463" customFormat="1" ht="14.25" spans="33:73">
      <c r="AG1047463" s="141"/>
      <c r="AH1047463" s="141"/>
      <c r="AI1047463" s="141"/>
      <c r="AP1047463" s="141"/>
      <c r="AQ1047463" s="141"/>
      <c r="AR1047463" s="141"/>
      <c r="AV1047463" s="141"/>
      <c r="AW1047463" s="141"/>
      <c r="AX1047463" s="141"/>
      <c r="BP1047463" s="142"/>
      <c r="BU1047463" s="143"/>
    </row>
    <row r="1047464" customFormat="1" ht="14.25" spans="33:73">
      <c r="AG1047464" s="141"/>
      <c r="AH1047464" s="141"/>
      <c r="AI1047464" s="141"/>
      <c r="AP1047464" s="141"/>
      <c r="AQ1047464" s="141"/>
      <c r="AR1047464" s="141"/>
      <c r="AV1047464" s="141"/>
      <c r="AW1047464" s="141"/>
      <c r="AX1047464" s="141"/>
      <c r="BP1047464" s="142"/>
      <c r="BU1047464" s="143"/>
    </row>
    <row r="1047465" customFormat="1" ht="14.25" spans="33:73">
      <c r="AG1047465" s="141"/>
      <c r="AH1047465" s="141"/>
      <c r="AI1047465" s="141"/>
      <c r="AP1047465" s="141"/>
      <c r="AQ1047465" s="141"/>
      <c r="AR1047465" s="141"/>
      <c r="AV1047465" s="141"/>
      <c r="AW1047465" s="141"/>
      <c r="AX1047465" s="141"/>
      <c r="BP1047465" s="142"/>
      <c r="BU1047465" s="143"/>
    </row>
    <row r="1047466" customFormat="1" ht="14.25" spans="33:73">
      <c r="AG1047466" s="141"/>
      <c r="AH1047466" s="141"/>
      <c r="AI1047466" s="141"/>
      <c r="AP1047466" s="141"/>
      <c r="AQ1047466" s="141"/>
      <c r="AR1047466" s="141"/>
      <c r="AV1047466" s="141"/>
      <c r="AW1047466" s="141"/>
      <c r="AX1047466" s="141"/>
      <c r="BP1047466" s="142"/>
      <c r="BU1047466" s="143"/>
    </row>
    <row r="1047467" customFormat="1" ht="14.25" spans="33:73">
      <c r="AG1047467" s="141"/>
      <c r="AH1047467" s="141"/>
      <c r="AI1047467" s="141"/>
      <c r="AP1047467" s="141"/>
      <c r="AQ1047467" s="141"/>
      <c r="AR1047467" s="141"/>
      <c r="AV1047467" s="141"/>
      <c r="AW1047467" s="141"/>
      <c r="AX1047467" s="141"/>
      <c r="BP1047467" s="142"/>
      <c r="BU1047467" s="143"/>
    </row>
    <row r="1047468" customFormat="1" ht="14.25" spans="33:73">
      <c r="AG1047468" s="141"/>
      <c r="AH1047468" s="141"/>
      <c r="AI1047468" s="141"/>
      <c r="AP1047468" s="141"/>
      <c r="AQ1047468" s="141"/>
      <c r="AR1047468" s="141"/>
      <c r="AV1047468" s="141"/>
      <c r="AW1047468" s="141"/>
      <c r="AX1047468" s="141"/>
      <c r="BP1047468" s="142"/>
      <c r="BU1047468" s="143"/>
    </row>
    <row r="1047469" customFormat="1" ht="14.25" spans="33:73">
      <c r="AG1047469" s="141"/>
      <c r="AH1047469" s="141"/>
      <c r="AI1047469" s="141"/>
      <c r="AP1047469" s="141"/>
      <c r="AQ1047469" s="141"/>
      <c r="AR1047469" s="141"/>
      <c r="AV1047469" s="141"/>
      <c r="AW1047469" s="141"/>
      <c r="AX1047469" s="141"/>
      <c r="BP1047469" s="142"/>
      <c r="BU1047469" s="143"/>
    </row>
    <row r="1047470" customFormat="1" ht="14.25" spans="33:73">
      <c r="AG1047470" s="141"/>
      <c r="AH1047470" s="141"/>
      <c r="AI1047470" s="141"/>
      <c r="AP1047470" s="141"/>
      <c r="AQ1047470" s="141"/>
      <c r="AR1047470" s="141"/>
      <c r="AV1047470" s="141"/>
      <c r="AW1047470" s="141"/>
      <c r="AX1047470" s="141"/>
      <c r="BP1047470" s="142"/>
      <c r="BU1047470" s="143"/>
    </row>
    <row r="1047471" customFormat="1" ht="14.25" spans="33:73">
      <c r="AG1047471" s="141"/>
      <c r="AH1047471" s="141"/>
      <c r="AI1047471" s="141"/>
      <c r="AP1047471" s="141"/>
      <c r="AQ1047471" s="141"/>
      <c r="AR1047471" s="141"/>
      <c r="AV1047471" s="141"/>
      <c r="AW1047471" s="141"/>
      <c r="AX1047471" s="141"/>
      <c r="BP1047471" s="142"/>
      <c r="BU1047471" s="143"/>
    </row>
    <row r="1047472" customFormat="1" ht="14.25" spans="33:73">
      <c r="AG1047472" s="141"/>
      <c r="AH1047472" s="141"/>
      <c r="AI1047472" s="141"/>
      <c r="AP1047472" s="141"/>
      <c r="AQ1047472" s="141"/>
      <c r="AR1047472" s="141"/>
      <c r="AV1047472" s="141"/>
      <c r="AW1047472" s="141"/>
      <c r="AX1047472" s="141"/>
      <c r="BP1047472" s="142"/>
      <c r="BU1047472" s="143"/>
    </row>
    <row r="1047473" customFormat="1" ht="14.25" spans="33:73">
      <c r="AG1047473" s="141"/>
      <c r="AH1047473" s="141"/>
      <c r="AI1047473" s="141"/>
      <c r="AP1047473" s="141"/>
      <c r="AQ1047473" s="141"/>
      <c r="AR1047473" s="141"/>
      <c r="AV1047473" s="141"/>
      <c r="AW1047473" s="141"/>
      <c r="AX1047473" s="141"/>
      <c r="BP1047473" s="142"/>
      <c r="BU1047473" s="143"/>
    </row>
    <row r="1047474" customFormat="1" ht="14.25" spans="33:73">
      <c r="AG1047474" s="141"/>
      <c r="AH1047474" s="141"/>
      <c r="AI1047474" s="141"/>
      <c r="AP1047474" s="141"/>
      <c r="AQ1047474" s="141"/>
      <c r="AR1047474" s="141"/>
      <c r="AV1047474" s="141"/>
      <c r="AW1047474" s="141"/>
      <c r="AX1047474" s="141"/>
      <c r="BP1047474" s="142"/>
      <c r="BU1047474" s="143"/>
    </row>
    <row r="1047475" customFormat="1" ht="14.25" spans="33:73">
      <c r="AG1047475" s="141"/>
      <c r="AH1047475" s="141"/>
      <c r="AI1047475" s="141"/>
      <c r="AP1047475" s="141"/>
      <c r="AQ1047475" s="141"/>
      <c r="AR1047475" s="141"/>
      <c r="AV1047475" s="141"/>
      <c r="AW1047475" s="141"/>
      <c r="AX1047475" s="141"/>
      <c r="BP1047475" s="142"/>
      <c r="BU1047475" s="143"/>
    </row>
    <row r="1047476" customFormat="1" ht="14.25" spans="33:73">
      <c r="AG1047476" s="141"/>
      <c r="AH1047476" s="141"/>
      <c r="AI1047476" s="141"/>
      <c r="AP1047476" s="141"/>
      <c r="AQ1047476" s="141"/>
      <c r="AR1047476" s="141"/>
      <c r="AV1047476" s="141"/>
      <c r="AW1047476" s="141"/>
      <c r="AX1047476" s="141"/>
      <c r="BP1047476" s="142"/>
      <c r="BU1047476" s="143"/>
    </row>
    <row r="1047477" customFormat="1" ht="14.25" spans="33:73">
      <c r="AG1047477" s="141"/>
      <c r="AH1047477" s="141"/>
      <c r="AI1047477" s="141"/>
      <c r="AP1047477" s="141"/>
      <c r="AQ1047477" s="141"/>
      <c r="AR1047477" s="141"/>
      <c r="AV1047477" s="141"/>
      <c r="AW1047477" s="141"/>
      <c r="AX1047477" s="141"/>
      <c r="BP1047477" s="142"/>
      <c r="BU1047477" s="143"/>
    </row>
    <row r="1047478" customFormat="1" ht="14.25" spans="33:73">
      <c r="AG1047478" s="141"/>
      <c r="AH1047478" s="141"/>
      <c r="AI1047478" s="141"/>
      <c r="AP1047478" s="141"/>
      <c r="AQ1047478" s="141"/>
      <c r="AR1047478" s="141"/>
      <c r="AV1047478" s="141"/>
      <c r="AW1047478" s="141"/>
      <c r="AX1047478" s="141"/>
      <c r="BP1047478" s="142"/>
      <c r="BU1047478" s="143"/>
    </row>
    <row r="1047479" customFormat="1" ht="14.25" spans="33:73">
      <c r="AG1047479" s="141"/>
      <c r="AH1047479" s="141"/>
      <c r="AI1047479" s="141"/>
      <c r="AP1047479" s="141"/>
      <c r="AQ1047479" s="141"/>
      <c r="AR1047479" s="141"/>
      <c r="AV1047479" s="141"/>
      <c r="AW1047479" s="141"/>
      <c r="AX1047479" s="141"/>
      <c r="BP1047479" s="142"/>
      <c r="BU1047479" s="143"/>
    </row>
    <row r="1047480" customFormat="1" ht="14.25" spans="33:73">
      <c r="AG1047480" s="141"/>
      <c r="AH1047480" s="141"/>
      <c r="AI1047480" s="141"/>
      <c r="AP1047480" s="141"/>
      <c r="AQ1047480" s="141"/>
      <c r="AR1047480" s="141"/>
      <c r="AV1047480" s="141"/>
      <c r="AW1047480" s="141"/>
      <c r="AX1047480" s="141"/>
      <c r="BP1047480" s="142"/>
      <c r="BU1047480" s="143"/>
    </row>
    <row r="1047481" customFormat="1" ht="14.25" spans="33:73">
      <c r="AG1047481" s="141"/>
      <c r="AH1047481" s="141"/>
      <c r="AI1047481" s="141"/>
      <c r="AP1047481" s="141"/>
      <c r="AQ1047481" s="141"/>
      <c r="AR1047481" s="141"/>
      <c r="AV1047481" s="141"/>
      <c r="AW1047481" s="141"/>
      <c r="AX1047481" s="141"/>
      <c r="BP1047481" s="142"/>
      <c r="BU1047481" s="143"/>
    </row>
    <row r="1047482" customFormat="1" ht="14.25" spans="33:73">
      <c r="AG1047482" s="141"/>
      <c r="AH1047482" s="141"/>
      <c r="AI1047482" s="141"/>
      <c r="AP1047482" s="141"/>
      <c r="AQ1047482" s="141"/>
      <c r="AR1047482" s="141"/>
      <c r="AV1047482" s="141"/>
      <c r="AW1047482" s="141"/>
      <c r="AX1047482" s="141"/>
      <c r="BP1047482" s="142"/>
      <c r="BU1047482" s="143"/>
    </row>
    <row r="1047483" customFormat="1" ht="14.25" spans="33:73">
      <c r="AG1047483" s="141"/>
      <c r="AH1047483" s="141"/>
      <c r="AI1047483" s="141"/>
      <c r="AP1047483" s="141"/>
      <c r="AQ1047483" s="141"/>
      <c r="AR1047483" s="141"/>
      <c r="AV1047483" s="141"/>
      <c r="AW1047483" s="141"/>
      <c r="AX1047483" s="141"/>
      <c r="BP1047483" s="142"/>
      <c r="BU1047483" s="143"/>
    </row>
    <row r="1047484" customFormat="1" ht="14.25" spans="33:73">
      <c r="AG1047484" s="141"/>
      <c r="AH1047484" s="141"/>
      <c r="AI1047484" s="141"/>
      <c r="AP1047484" s="141"/>
      <c r="AQ1047484" s="141"/>
      <c r="AR1047484" s="141"/>
      <c r="AV1047484" s="141"/>
      <c r="AW1047484" s="141"/>
      <c r="AX1047484" s="141"/>
      <c r="BP1047484" s="142"/>
      <c r="BU1047484" s="143"/>
    </row>
    <row r="1047485" customFormat="1" ht="14.25" spans="33:73">
      <c r="AG1047485" s="141"/>
      <c r="AH1047485" s="141"/>
      <c r="AI1047485" s="141"/>
      <c r="AP1047485" s="141"/>
      <c r="AQ1047485" s="141"/>
      <c r="AR1047485" s="141"/>
      <c r="AV1047485" s="141"/>
      <c r="AW1047485" s="141"/>
      <c r="AX1047485" s="141"/>
      <c r="BP1047485" s="142"/>
      <c r="BU1047485" s="143"/>
    </row>
    <row r="1047486" customFormat="1" ht="14.25" spans="33:73">
      <c r="AG1047486" s="141"/>
      <c r="AH1047486" s="141"/>
      <c r="AI1047486" s="141"/>
      <c r="AP1047486" s="141"/>
      <c r="AQ1047486" s="141"/>
      <c r="AR1047486" s="141"/>
      <c r="AV1047486" s="141"/>
      <c r="AW1047486" s="141"/>
      <c r="AX1047486" s="141"/>
      <c r="BP1047486" s="142"/>
      <c r="BU1047486" s="143"/>
    </row>
    <row r="1047487" customFormat="1" ht="14.25" spans="33:73">
      <c r="AG1047487" s="141"/>
      <c r="AH1047487" s="141"/>
      <c r="AI1047487" s="141"/>
      <c r="AP1047487" s="141"/>
      <c r="AQ1047487" s="141"/>
      <c r="AR1047487" s="141"/>
      <c r="AV1047487" s="141"/>
      <c r="AW1047487" s="141"/>
      <c r="AX1047487" s="141"/>
      <c r="BP1047487" s="142"/>
      <c r="BU1047487" s="143"/>
    </row>
    <row r="1047488" customFormat="1" ht="14.25" spans="33:73">
      <c r="AG1047488" s="141"/>
      <c r="AH1047488" s="141"/>
      <c r="AI1047488" s="141"/>
      <c r="AP1047488" s="141"/>
      <c r="AQ1047488" s="141"/>
      <c r="AR1047488" s="141"/>
      <c r="AV1047488" s="141"/>
      <c r="AW1047488" s="141"/>
      <c r="AX1047488" s="141"/>
      <c r="BP1047488" s="142"/>
      <c r="BU1047488" s="143"/>
    </row>
    <row r="1047489" customFormat="1" ht="14.25" spans="33:73">
      <c r="AG1047489" s="141"/>
      <c r="AH1047489" s="141"/>
      <c r="AI1047489" s="141"/>
      <c r="AP1047489" s="141"/>
      <c r="AQ1047489" s="141"/>
      <c r="AR1047489" s="141"/>
      <c r="AV1047489" s="141"/>
      <c r="AW1047489" s="141"/>
      <c r="AX1047489" s="141"/>
      <c r="BP1047489" s="142"/>
      <c r="BU1047489" s="143"/>
    </row>
    <row r="1047490" customFormat="1" ht="14.25" spans="33:73">
      <c r="AG1047490" s="141"/>
      <c r="AH1047490" s="141"/>
      <c r="AI1047490" s="141"/>
      <c r="AP1047490" s="141"/>
      <c r="AQ1047490" s="141"/>
      <c r="AR1047490" s="141"/>
      <c r="AV1047490" s="141"/>
      <c r="AW1047490" s="141"/>
      <c r="AX1047490" s="141"/>
      <c r="BP1047490" s="142"/>
      <c r="BU1047490" s="143"/>
    </row>
    <row r="1047491" customFormat="1" ht="14.25" spans="33:73">
      <c r="AG1047491" s="141"/>
      <c r="AH1047491" s="141"/>
      <c r="AI1047491" s="141"/>
      <c r="AP1047491" s="141"/>
      <c r="AQ1047491" s="141"/>
      <c r="AR1047491" s="141"/>
      <c r="AV1047491" s="141"/>
      <c r="AW1047491" s="141"/>
      <c r="AX1047491" s="141"/>
      <c r="BP1047491" s="142"/>
      <c r="BU1047491" s="143"/>
    </row>
    <row r="1047492" customFormat="1" ht="14.25" spans="33:73">
      <c r="AG1047492" s="141"/>
      <c r="AH1047492" s="141"/>
      <c r="AI1047492" s="141"/>
      <c r="AP1047492" s="141"/>
      <c r="AQ1047492" s="141"/>
      <c r="AR1047492" s="141"/>
      <c r="AV1047492" s="141"/>
      <c r="AW1047492" s="141"/>
      <c r="AX1047492" s="141"/>
      <c r="BP1047492" s="142"/>
      <c r="BU1047492" s="143"/>
    </row>
    <row r="1047493" customFormat="1" ht="14.25" spans="33:73">
      <c r="AG1047493" s="141"/>
      <c r="AH1047493" s="141"/>
      <c r="AI1047493" s="141"/>
      <c r="AP1047493" s="141"/>
      <c r="AQ1047493" s="141"/>
      <c r="AR1047493" s="141"/>
      <c r="AV1047493" s="141"/>
      <c r="AW1047493" s="141"/>
      <c r="AX1047493" s="141"/>
      <c r="BP1047493" s="142"/>
      <c r="BU1047493" s="143"/>
    </row>
    <row r="1047494" customFormat="1" ht="14.25" spans="33:73">
      <c r="AG1047494" s="141"/>
      <c r="AH1047494" s="141"/>
      <c r="AI1047494" s="141"/>
      <c r="AP1047494" s="141"/>
      <c r="AQ1047494" s="141"/>
      <c r="AR1047494" s="141"/>
      <c r="AV1047494" s="141"/>
      <c r="AW1047494" s="141"/>
      <c r="AX1047494" s="141"/>
      <c r="BP1047494" s="142"/>
      <c r="BU1047494" s="143"/>
    </row>
    <row r="1047495" customFormat="1" ht="14.25" spans="33:73">
      <c r="AG1047495" s="141"/>
      <c r="AH1047495" s="141"/>
      <c r="AI1047495" s="141"/>
      <c r="AP1047495" s="141"/>
      <c r="AQ1047495" s="141"/>
      <c r="AR1047495" s="141"/>
      <c r="AV1047495" s="141"/>
      <c r="AW1047495" s="141"/>
      <c r="AX1047495" s="141"/>
      <c r="BP1047495" s="142"/>
      <c r="BU1047495" s="143"/>
    </row>
    <row r="1047496" customFormat="1" ht="14.25" spans="33:73">
      <c r="AG1047496" s="141"/>
      <c r="AH1047496" s="141"/>
      <c r="AI1047496" s="141"/>
      <c r="AP1047496" s="141"/>
      <c r="AQ1047496" s="141"/>
      <c r="AR1047496" s="141"/>
      <c r="AV1047496" s="141"/>
      <c r="AW1047496" s="141"/>
      <c r="AX1047496" s="141"/>
      <c r="BP1047496" s="142"/>
      <c r="BU1047496" s="143"/>
    </row>
    <row r="1047497" customFormat="1" ht="14.25" spans="33:73">
      <c r="AG1047497" s="141"/>
      <c r="AH1047497" s="141"/>
      <c r="AI1047497" s="141"/>
      <c r="AP1047497" s="141"/>
      <c r="AQ1047497" s="141"/>
      <c r="AR1047497" s="141"/>
      <c r="AV1047497" s="141"/>
      <c r="AW1047497" s="141"/>
      <c r="AX1047497" s="141"/>
      <c r="BP1047497" s="142"/>
      <c r="BU1047497" s="143"/>
    </row>
    <row r="1047498" customFormat="1" ht="14.25" spans="33:73">
      <c r="AG1047498" s="141"/>
      <c r="AH1047498" s="141"/>
      <c r="AI1047498" s="141"/>
      <c r="AP1047498" s="141"/>
      <c r="AQ1047498" s="141"/>
      <c r="AR1047498" s="141"/>
      <c r="AV1047498" s="141"/>
      <c r="AW1047498" s="141"/>
      <c r="AX1047498" s="141"/>
      <c r="BP1047498" s="142"/>
      <c r="BU1047498" s="143"/>
    </row>
    <row r="1047499" customFormat="1" ht="14.25" spans="33:73">
      <c r="AG1047499" s="141"/>
      <c r="AH1047499" s="141"/>
      <c r="AI1047499" s="141"/>
      <c r="AP1047499" s="141"/>
      <c r="AQ1047499" s="141"/>
      <c r="AR1047499" s="141"/>
      <c r="AV1047499" s="141"/>
      <c r="AW1047499" s="141"/>
      <c r="AX1047499" s="141"/>
      <c r="BP1047499" s="142"/>
      <c r="BU1047499" s="143"/>
    </row>
    <row r="1047500" customFormat="1" ht="14.25" spans="33:73">
      <c r="AG1047500" s="141"/>
      <c r="AH1047500" s="141"/>
      <c r="AI1047500" s="141"/>
      <c r="AP1047500" s="141"/>
      <c r="AQ1047500" s="141"/>
      <c r="AR1047500" s="141"/>
      <c r="AV1047500" s="141"/>
      <c r="AW1047500" s="141"/>
      <c r="AX1047500" s="141"/>
      <c r="BP1047500" s="142"/>
      <c r="BU1047500" s="143"/>
    </row>
    <row r="1047501" customFormat="1" ht="14.25" spans="33:73">
      <c r="AG1047501" s="141"/>
      <c r="AH1047501" s="141"/>
      <c r="AI1047501" s="141"/>
      <c r="AP1047501" s="141"/>
      <c r="AQ1047501" s="141"/>
      <c r="AR1047501" s="141"/>
      <c r="AV1047501" s="141"/>
      <c r="AW1047501" s="141"/>
      <c r="AX1047501" s="141"/>
      <c r="BP1047501" s="142"/>
      <c r="BU1047501" s="143"/>
    </row>
    <row r="1047502" customFormat="1" ht="14.25" spans="33:73">
      <c r="AG1047502" s="141"/>
      <c r="AH1047502" s="141"/>
      <c r="AI1047502" s="141"/>
      <c r="AP1047502" s="141"/>
      <c r="AQ1047502" s="141"/>
      <c r="AR1047502" s="141"/>
      <c r="AV1047502" s="141"/>
      <c r="AW1047502" s="141"/>
      <c r="AX1047502" s="141"/>
      <c r="BP1047502" s="142"/>
      <c r="BU1047502" s="143"/>
    </row>
    <row r="1047503" customFormat="1" ht="14.25" spans="33:73">
      <c r="AG1047503" s="141"/>
      <c r="AH1047503" s="141"/>
      <c r="AI1047503" s="141"/>
      <c r="AP1047503" s="141"/>
      <c r="AQ1047503" s="141"/>
      <c r="AR1047503" s="141"/>
      <c r="AV1047503" s="141"/>
      <c r="AW1047503" s="141"/>
      <c r="AX1047503" s="141"/>
      <c r="BP1047503" s="142"/>
      <c r="BU1047503" s="143"/>
    </row>
    <row r="1047504" customFormat="1" ht="14.25" spans="33:73">
      <c r="AG1047504" s="141"/>
      <c r="AH1047504" s="141"/>
      <c r="AI1047504" s="141"/>
      <c r="AP1047504" s="141"/>
      <c r="AQ1047504" s="141"/>
      <c r="AR1047504" s="141"/>
      <c r="AV1047504" s="141"/>
      <c r="AW1047504" s="141"/>
      <c r="AX1047504" s="141"/>
      <c r="BP1047504" s="142"/>
      <c r="BU1047504" s="143"/>
    </row>
    <row r="1047505" customFormat="1" ht="14.25" spans="33:73">
      <c r="AG1047505" s="141"/>
      <c r="AH1047505" s="141"/>
      <c r="AI1047505" s="141"/>
      <c r="AP1047505" s="141"/>
      <c r="AQ1047505" s="141"/>
      <c r="AR1047505" s="141"/>
      <c r="AV1047505" s="141"/>
      <c r="AW1047505" s="141"/>
      <c r="AX1047505" s="141"/>
      <c r="BP1047505" s="142"/>
      <c r="BU1047505" s="143"/>
    </row>
    <row r="1047506" customFormat="1" ht="14.25" spans="33:73">
      <c r="AG1047506" s="141"/>
      <c r="AH1047506" s="141"/>
      <c r="AI1047506" s="141"/>
      <c r="AP1047506" s="141"/>
      <c r="AQ1047506" s="141"/>
      <c r="AR1047506" s="141"/>
      <c r="AV1047506" s="141"/>
      <c r="AW1047506" s="141"/>
      <c r="AX1047506" s="141"/>
      <c r="BP1047506" s="142"/>
      <c r="BU1047506" s="143"/>
    </row>
    <row r="1047507" customFormat="1" ht="14.25" spans="33:73">
      <c r="AG1047507" s="141"/>
      <c r="AH1047507" s="141"/>
      <c r="AI1047507" s="141"/>
      <c r="AP1047507" s="141"/>
      <c r="AQ1047507" s="141"/>
      <c r="AR1047507" s="141"/>
      <c r="AV1047507" s="141"/>
      <c r="AW1047507" s="141"/>
      <c r="AX1047507" s="141"/>
      <c r="BP1047507" s="142"/>
      <c r="BU1047507" s="143"/>
    </row>
    <row r="1047508" customFormat="1" ht="14.25" spans="33:73">
      <c r="AG1047508" s="141"/>
      <c r="AH1047508" s="141"/>
      <c r="AI1047508" s="141"/>
      <c r="AP1047508" s="141"/>
      <c r="AQ1047508" s="141"/>
      <c r="AR1047508" s="141"/>
      <c r="AV1047508" s="141"/>
      <c r="AW1047508" s="141"/>
      <c r="AX1047508" s="141"/>
      <c r="BP1047508" s="142"/>
      <c r="BU1047508" s="143"/>
    </row>
    <row r="1047509" customFormat="1" ht="14.25" spans="33:73">
      <c r="AG1047509" s="141"/>
      <c r="AH1047509" s="141"/>
      <c r="AI1047509" s="141"/>
      <c r="AP1047509" s="141"/>
      <c r="AQ1047509" s="141"/>
      <c r="AR1047509" s="141"/>
      <c r="AV1047509" s="141"/>
      <c r="AW1047509" s="141"/>
      <c r="AX1047509" s="141"/>
      <c r="BP1047509" s="142"/>
      <c r="BU1047509" s="143"/>
    </row>
    <row r="1047510" customFormat="1" ht="14.25" spans="33:73">
      <c r="AG1047510" s="141"/>
      <c r="AH1047510" s="141"/>
      <c r="AI1047510" s="141"/>
      <c r="AP1047510" s="141"/>
      <c r="AQ1047510" s="141"/>
      <c r="AR1047510" s="141"/>
      <c r="AV1047510" s="141"/>
      <c r="AW1047510" s="141"/>
      <c r="AX1047510" s="141"/>
      <c r="BP1047510" s="142"/>
      <c r="BU1047510" s="143"/>
    </row>
    <row r="1047511" customFormat="1" ht="14.25" spans="33:73">
      <c r="AG1047511" s="141"/>
      <c r="AH1047511" s="141"/>
      <c r="AI1047511" s="141"/>
      <c r="AP1047511" s="141"/>
      <c r="AQ1047511" s="141"/>
      <c r="AR1047511" s="141"/>
      <c r="AV1047511" s="141"/>
      <c r="AW1047511" s="141"/>
      <c r="AX1047511" s="141"/>
      <c r="BP1047511" s="142"/>
      <c r="BU1047511" s="143"/>
    </row>
    <row r="1047512" customFormat="1" ht="14.25" spans="33:73">
      <c r="AG1047512" s="141"/>
      <c r="AH1047512" s="141"/>
      <c r="AI1047512" s="141"/>
      <c r="AP1047512" s="141"/>
      <c r="AQ1047512" s="141"/>
      <c r="AR1047512" s="141"/>
      <c r="AV1047512" s="141"/>
      <c r="AW1047512" s="141"/>
      <c r="AX1047512" s="141"/>
      <c r="BP1047512" s="142"/>
      <c r="BU1047512" s="143"/>
    </row>
    <row r="1047513" customFormat="1" ht="14.25" spans="33:73">
      <c r="AG1047513" s="141"/>
      <c r="AH1047513" s="141"/>
      <c r="AI1047513" s="141"/>
      <c r="AP1047513" s="141"/>
      <c r="AQ1047513" s="141"/>
      <c r="AR1047513" s="141"/>
      <c r="AV1047513" s="141"/>
      <c r="AW1047513" s="141"/>
      <c r="AX1047513" s="141"/>
      <c r="BP1047513" s="142"/>
      <c r="BU1047513" s="143"/>
    </row>
    <row r="1047514" customFormat="1" ht="14.25" spans="33:73">
      <c r="AG1047514" s="141"/>
      <c r="AH1047514" s="141"/>
      <c r="AI1047514" s="141"/>
      <c r="AP1047514" s="141"/>
      <c r="AQ1047514" s="141"/>
      <c r="AR1047514" s="141"/>
      <c r="AV1047514" s="141"/>
      <c r="AW1047514" s="141"/>
      <c r="AX1047514" s="141"/>
      <c r="BP1047514" s="142"/>
      <c r="BU1047514" s="143"/>
    </row>
    <row r="1047515" customFormat="1" ht="14.25" spans="33:73">
      <c r="AG1047515" s="141"/>
      <c r="AH1047515" s="141"/>
      <c r="AI1047515" s="141"/>
      <c r="AP1047515" s="141"/>
      <c r="AQ1047515" s="141"/>
      <c r="AR1047515" s="141"/>
      <c r="AV1047515" s="141"/>
      <c r="AW1047515" s="141"/>
      <c r="AX1047515" s="141"/>
      <c r="BP1047515" s="142"/>
      <c r="BU1047515" s="143"/>
    </row>
    <row r="1047516" customFormat="1" ht="14.25" spans="33:73">
      <c r="AG1047516" s="141"/>
      <c r="AH1047516" s="141"/>
      <c r="AI1047516" s="141"/>
      <c r="AP1047516" s="141"/>
      <c r="AQ1047516" s="141"/>
      <c r="AR1047516" s="141"/>
      <c r="AV1047516" s="141"/>
      <c r="AW1047516" s="141"/>
      <c r="AX1047516" s="141"/>
      <c r="BP1047516" s="142"/>
      <c r="BU1047516" s="143"/>
    </row>
    <row r="1047517" customFormat="1" ht="14.25" spans="33:73">
      <c r="AG1047517" s="141"/>
      <c r="AH1047517" s="141"/>
      <c r="AI1047517" s="141"/>
      <c r="AP1047517" s="141"/>
      <c r="AQ1047517" s="141"/>
      <c r="AR1047517" s="141"/>
      <c r="AV1047517" s="141"/>
      <c r="AW1047517" s="141"/>
      <c r="AX1047517" s="141"/>
      <c r="BP1047517" s="142"/>
      <c r="BU1047517" s="143"/>
    </row>
    <row r="1047518" customFormat="1" ht="14.25" spans="33:73">
      <c r="AG1047518" s="141"/>
      <c r="AH1047518" s="141"/>
      <c r="AI1047518" s="141"/>
      <c r="AP1047518" s="141"/>
      <c r="AQ1047518" s="141"/>
      <c r="AR1047518" s="141"/>
      <c r="AV1047518" s="141"/>
      <c r="AW1047518" s="141"/>
      <c r="AX1047518" s="141"/>
      <c r="BP1047518" s="142"/>
      <c r="BU1047518" s="143"/>
    </row>
    <row r="1047519" customFormat="1" ht="14.25" spans="33:73">
      <c r="AG1047519" s="141"/>
      <c r="AH1047519" s="141"/>
      <c r="AI1047519" s="141"/>
      <c r="AP1047519" s="141"/>
      <c r="AQ1047519" s="141"/>
      <c r="AR1047519" s="141"/>
      <c r="AV1047519" s="141"/>
      <c r="AW1047519" s="141"/>
      <c r="AX1047519" s="141"/>
      <c r="BP1047519" s="142"/>
      <c r="BU1047519" s="143"/>
    </row>
    <row r="1047520" customFormat="1" ht="14.25" spans="33:73">
      <c r="AG1047520" s="141"/>
      <c r="AH1047520" s="141"/>
      <c r="AI1047520" s="141"/>
      <c r="AP1047520" s="141"/>
      <c r="AQ1047520" s="141"/>
      <c r="AR1047520" s="141"/>
      <c r="AV1047520" s="141"/>
      <c r="AW1047520" s="141"/>
      <c r="AX1047520" s="141"/>
      <c r="BP1047520" s="142"/>
      <c r="BU1047520" s="143"/>
    </row>
    <row r="1047521" customFormat="1" ht="14.25" spans="33:73">
      <c r="AG1047521" s="141"/>
      <c r="AH1047521" s="141"/>
      <c r="AI1047521" s="141"/>
      <c r="AP1047521" s="141"/>
      <c r="AQ1047521" s="141"/>
      <c r="AR1047521" s="141"/>
      <c r="AV1047521" s="141"/>
      <c r="AW1047521" s="141"/>
      <c r="AX1047521" s="141"/>
      <c r="BP1047521" s="142"/>
      <c r="BU1047521" s="143"/>
    </row>
    <row r="1047522" customFormat="1" ht="14.25" spans="33:73">
      <c r="AG1047522" s="141"/>
      <c r="AH1047522" s="141"/>
      <c r="AI1047522" s="141"/>
      <c r="AP1047522" s="141"/>
      <c r="AQ1047522" s="141"/>
      <c r="AR1047522" s="141"/>
      <c r="AV1047522" s="141"/>
      <c r="AW1047522" s="141"/>
      <c r="AX1047522" s="141"/>
      <c r="BP1047522" s="142"/>
      <c r="BU1047522" s="143"/>
    </row>
    <row r="1047523" customFormat="1" ht="14.25" spans="33:73">
      <c r="AG1047523" s="141"/>
      <c r="AH1047523" s="141"/>
      <c r="AI1047523" s="141"/>
      <c r="AP1047523" s="141"/>
      <c r="AQ1047523" s="141"/>
      <c r="AR1047523" s="141"/>
      <c r="AV1047523" s="141"/>
      <c r="AW1047523" s="141"/>
      <c r="AX1047523" s="141"/>
      <c r="BP1047523" s="142"/>
      <c r="BU1047523" s="143"/>
    </row>
    <row r="1047524" customFormat="1" ht="14.25" spans="33:73">
      <c r="AG1047524" s="141"/>
      <c r="AH1047524" s="141"/>
      <c r="AI1047524" s="141"/>
      <c r="AP1047524" s="141"/>
      <c r="AQ1047524" s="141"/>
      <c r="AR1047524" s="141"/>
      <c r="AV1047524" s="141"/>
      <c r="AW1047524" s="141"/>
      <c r="AX1047524" s="141"/>
      <c r="BP1047524" s="142"/>
      <c r="BU1047524" s="143"/>
    </row>
    <row r="1047525" customFormat="1" ht="14.25" spans="33:73">
      <c r="AG1047525" s="141"/>
      <c r="AH1047525" s="141"/>
      <c r="AI1047525" s="141"/>
      <c r="AP1047525" s="141"/>
      <c r="AQ1047525" s="141"/>
      <c r="AR1047525" s="141"/>
      <c r="AV1047525" s="141"/>
      <c r="AW1047525" s="141"/>
      <c r="AX1047525" s="141"/>
      <c r="BP1047525" s="142"/>
      <c r="BU1047525" s="143"/>
    </row>
    <row r="1047526" customFormat="1" ht="14.25" spans="33:73">
      <c r="AG1047526" s="141"/>
      <c r="AH1047526" s="141"/>
      <c r="AI1047526" s="141"/>
      <c r="AP1047526" s="141"/>
      <c r="AQ1047526" s="141"/>
      <c r="AR1047526" s="141"/>
      <c r="AV1047526" s="141"/>
      <c r="AW1047526" s="141"/>
      <c r="AX1047526" s="141"/>
      <c r="BP1047526" s="142"/>
      <c r="BU1047526" s="143"/>
    </row>
    <row r="1047527" customFormat="1" ht="14.25" spans="33:73">
      <c r="AG1047527" s="141"/>
      <c r="AH1047527" s="141"/>
      <c r="AI1047527" s="141"/>
      <c r="AP1047527" s="141"/>
      <c r="AQ1047527" s="141"/>
      <c r="AR1047527" s="141"/>
      <c r="AV1047527" s="141"/>
      <c r="AW1047527" s="141"/>
      <c r="AX1047527" s="141"/>
      <c r="BP1047527" s="142"/>
      <c r="BU1047527" s="143"/>
    </row>
    <row r="1047528" customFormat="1" ht="14.25" spans="33:73">
      <c r="AG1047528" s="141"/>
      <c r="AH1047528" s="141"/>
      <c r="AI1047528" s="141"/>
      <c r="AP1047528" s="141"/>
      <c r="AQ1047528" s="141"/>
      <c r="AR1047528" s="141"/>
      <c r="AV1047528" s="141"/>
      <c r="AW1047528" s="141"/>
      <c r="AX1047528" s="141"/>
      <c r="BP1047528" s="142"/>
      <c r="BU1047528" s="143"/>
    </row>
    <row r="1047529" customFormat="1" ht="14.25" spans="33:73">
      <c r="AG1047529" s="141"/>
      <c r="AH1047529" s="141"/>
      <c r="AI1047529" s="141"/>
      <c r="AP1047529" s="141"/>
      <c r="AQ1047529" s="141"/>
      <c r="AR1047529" s="141"/>
      <c r="AV1047529" s="141"/>
      <c r="AW1047529" s="141"/>
      <c r="AX1047529" s="141"/>
      <c r="BP1047529" s="142"/>
      <c r="BU1047529" s="143"/>
    </row>
    <row r="1047530" customFormat="1" ht="14.25" spans="33:73">
      <c r="AG1047530" s="141"/>
      <c r="AH1047530" s="141"/>
      <c r="AI1047530" s="141"/>
      <c r="AP1047530" s="141"/>
      <c r="AQ1047530" s="141"/>
      <c r="AR1047530" s="141"/>
      <c r="AV1047530" s="141"/>
      <c r="AW1047530" s="141"/>
      <c r="AX1047530" s="141"/>
      <c r="BP1047530" s="142"/>
      <c r="BU1047530" s="143"/>
    </row>
    <row r="1047531" customFormat="1" ht="14.25" spans="33:73">
      <c r="AG1047531" s="141"/>
      <c r="AH1047531" s="141"/>
      <c r="AI1047531" s="141"/>
      <c r="AP1047531" s="141"/>
      <c r="AQ1047531" s="141"/>
      <c r="AR1047531" s="141"/>
      <c r="AV1047531" s="141"/>
      <c r="AW1047531" s="141"/>
      <c r="AX1047531" s="141"/>
      <c r="BP1047531" s="142"/>
      <c r="BU1047531" s="143"/>
    </row>
    <row r="1047532" customFormat="1" ht="14.25" spans="33:73">
      <c r="AG1047532" s="141"/>
      <c r="AH1047532" s="141"/>
      <c r="AI1047532" s="141"/>
      <c r="AP1047532" s="141"/>
      <c r="AQ1047532" s="141"/>
      <c r="AR1047532" s="141"/>
      <c r="AV1047532" s="141"/>
      <c r="AW1047532" s="141"/>
      <c r="AX1047532" s="141"/>
      <c r="BP1047532" s="142"/>
      <c r="BU1047532" s="143"/>
    </row>
    <row r="1047533" customFormat="1" ht="14.25" spans="33:73">
      <c r="AG1047533" s="141"/>
      <c r="AH1047533" s="141"/>
      <c r="AI1047533" s="141"/>
      <c r="AP1047533" s="141"/>
      <c r="AQ1047533" s="141"/>
      <c r="AR1047533" s="141"/>
      <c r="AV1047533" s="141"/>
      <c r="AW1047533" s="141"/>
      <c r="AX1047533" s="141"/>
      <c r="BP1047533" s="142"/>
      <c r="BU1047533" s="143"/>
    </row>
    <row r="1047534" customFormat="1" ht="14.25" spans="33:73">
      <c r="AG1047534" s="141"/>
      <c r="AH1047534" s="141"/>
      <c r="AI1047534" s="141"/>
      <c r="AP1047534" s="141"/>
      <c r="AQ1047534" s="141"/>
      <c r="AR1047534" s="141"/>
      <c r="AV1047534" s="141"/>
      <c r="AW1047534" s="141"/>
      <c r="AX1047534" s="141"/>
      <c r="BP1047534" s="142"/>
      <c r="BU1047534" s="143"/>
    </row>
    <row r="1047535" customFormat="1" ht="14.25" spans="33:73">
      <c r="AG1047535" s="141"/>
      <c r="AH1047535" s="141"/>
      <c r="AI1047535" s="141"/>
      <c r="AP1047535" s="141"/>
      <c r="AQ1047535" s="141"/>
      <c r="AR1047535" s="141"/>
      <c r="AV1047535" s="141"/>
      <c r="AW1047535" s="141"/>
      <c r="AX1047535" s="141"/>
      <c r="BP1047535" s="142"/>
      <c r="BU1047535" s="143"/>
    </row>
    <row r="1047536" customFormat="1" ht="14.25" spans="33:73">
      <c r="AG1047536" s="141"/>
      <c r="AH1047536" s="141"/>
      <c r="AI1047536" s="141"/>
      <c r="AP1047536" s="141"/>
      <c r="AQ1047536" s="141"/>
      <c r="AR1047536" s="141"/>
      <c r="AV1047536" s="141"/>
      <c r="AW1047536" s="141"/>
      <c r="AX1047536" s="141"/>
      <c r="BP1047536" s="142"/>
      <c r="BU1047536" s="143"/>
    </row>
    <row r="1047537" customFormat="1" ht="14.25" spans="33:73">
      <c r="AG1047537" s="141"/>
      <c r="AH1047537" s="141"/>
      <c r="AI1047537" s="141"/>
      <c r="AP1047537" s="141"/>
      <c r="AQ1047537" s="141"/>
      <c r="AR1047537" s="141"/>
      <c r="AV1047537" s="141"/>
      <c r="AW1047537" s="141"/>
      <c r="AX1047537" s="141"/>
      <c r="BP1047537" s="142"/>
      <c r="BU1047537" s="143"/>
    </row>
    <row r="1047538" customFormat="1" ht="14.25" spans="33:73">
      <c r="AG1047538" s="141"/>
      <c r="AH1047538" s="141"/>
      <c r="AI1047538" s="141"/>
      <c r="AP1047538" s="141"/>
      <c r="AQ1047538" s="141"/>
      <c r="AR1047538" s="141"/>
      <c r="AV1047538" s="141"/>
      <c r="AW1047538" s="141"/>
      <c r="AX1047538" s="141"/>
      <c r="BP1047538" s="142"/>
      <c r="BU1047538" s="143"/>
    </row>
    <row r="1047539" customFormat="1" ht="14.25" spans="33:73">
      <c r="AG1047539" s="141"/>
      <c r="AH1047539" s="141"/>
      <c r="AI1047539" s="141"/>
      <c r="AP1047539" s="141"/>
      <c r="AQ1047539" s="141"/>
      <c r="AR1047539" s="141"/>
      <c r="AV1047539" s="141"/>
      <c r="AW1047539" s="141"/>
      <c r="AX1047539" s="141"/>
      <c r="BP1047539" s="142"/>
      <c r="BU1047539" s="143"/>
    </row>
    <row r="1047540" customFormat="1" ht="14.25" spans="33:73">
      <c r="AG1047540" s="141"/>
      <c r="AH1047540" s="141"/>
      <c r="AI1047540" s="141"/>
      <c r="AP1047540" s="141"/>
      <c r="AQ1047540" s="141"/>
      <c r="AR1047540" s="141"/>
      <c r="AV1047540" s="141"/>
      <c r="AW1047540" s="141"/>
      <c r="AX1047540" s="141"/>
      <c r="BP1047540" s="142"/>
      <c r="BU1047540" s="143"/>
    </row>
    <row r="1047541" customFormat="1" ht="14.25" spans="33:73">
      <c r="AG1047541" s="141"/>
      <c r="AH1047541" s="141"/>
      <c r="AI1047541" s="141"/>
      <c r="AP1047541" s="141"/>
      <c r="AQ1047541" s="141"/>
      <c r="AR1047541" s="141"/>
      <c r="AV1047541" s="141"/>
      <c r="AW1047541" s="141"/>
      <c r="AX1047541" s="141"/>
      <c r="BP1047541" s="142"/>
      <c r="BU1047541" s="143"/>
    </row>
    <row r="1047542" customFormat="1" ht="14.25" spans="33:73">
      <c r="AG1047542" s="141"/>
      <c r="AH1047542" s="141"/>
      <c r="AI1047542" s="141"/>
      <c r="AP1047542" s="141"/>
      <c r="AQ1047542" s="141"/>
      <c r="AR1047542" s="141"/>
      <c r="AV1047542" s="141"/>
      <c r="AW1047542" s="141"/>
      <c r="AX1047542" s="141"/>
      <c r="BP1047542" s="142"/>
      <c r="BU1047542" s="143"/>
    </row>
    <row r="1047543" customFormat="1" ht="14.25" spans="33:73">
      <c r="AG1047543" s="141"/>
      <c r="AH1047543" s="141"/>
      <c r="AI1047543" s="141"/>
      <c r="AP1047543" s="141"/>
      <c r="AQ1047543" s="141"/>
      <c r="AR1047543" s="141"/>
      <c r="AV1047543" s="141"/>
      <c r="AW1047543" s="141"/>
      <c r="AX1047543" s="141"/>
      <c r="BP1047543" s="142"/>
      <c r="BU1047543" s="143"/>
    </row>
    <row r="1047544" customFormat="1" ht="14.25" spans="33:73">
      <c r="AG1047544" s="141"/>
      <c r="AH1047544" s="141"/>
      <c r="AI1047544" s="141"/>
      <c r="AP1047544" s="141"/>
      <c r="AQ1047544" s="141"/>
      <c r="AR1047544" s="141"/>
      <c r="AV1047544" s="141"/>
      <c r="AW1047544" s="141"/>
      <c r="AX1047544" s="141"/>
      <c r="BP1047544" s="142"/>
      <c r="BU1047544" s="143"/>
    </row>
    <row r="1047545" customFormat="1" ht="14.25" spans="33:73">
      <c r="AG1047545" s="141"/>
      <c r="AH1047545" s="141"/>
      <c r="AI1047545" s="141"/>
      <c r="AP1047545" s="141"/>
      <c r="AQ1047545" s="141"/>
      <c r="AR1047545" s="141"/>
      <c r="AV1047545" s="141"/>
      <c r="AW1047545" s="141"/>
      <c r="AX1047545" s="141"/>
      <c r="BP1047545" s="142"/>
      <c r="BU1047545" s="143"/>
    </row>
    <row r="1047546" customFormat="1" ht="14.25" spans="33:73">
      <c r="AG1047546" s="141"/>
      <c r="AH1047546" s="141"/>
      <c r="AI1047546" s="141"/>
      <c r="AP1047546" s="141"/>
      <c r="AQ1047546" s="141"/>
      <c r="AR1047546" s="141"/>
      <c r="AV1047546" s="141"/>
      <c r="AW1047546" s="141"/>
      <c r="AX1047546" s="141"/>
      <c r="BP1047546" s="142"/>
      <c r="BU1047546" s="143"/>
    </row>
    <row r="1047547" customFormat="1" ht="14.25" spans="33:73">
      <c r="AG1047547" s="141"/>
      <c r="AH1047547" s="141"/>
      <c r="AI1047547" s="141"/>
      <c r="AP1047547" s="141"/>
      <c r="AQ1047547" s="141"/>
      <c r="AR1047547" s="141"/>
      <c r="AV1047547" s="141"/>
      <c r="AW1047547" s="141"/>
      <c r="AX1047547" s="141"/>
      <c r="BP1047547" s="142"/>
      <c r="BU1047547" s="143"/>
    </row>
    <row r="1047548" customFormat="1" ht="14.25" spans="33:73">
      <c r="AG1047548" s="141"/>
      <c r="AH1047548" s="141"/>
      <c r="AI1047548" s="141"/>
      <c r="AP1047548" s="141"/>
      <c r="AQ1047548" s="141"/>
      <c r="AR1047548" s="141"/>
      <c r="AV1047548" s="141"/>
      <c r="AW1047548" s="141"/>
      <c r="AX1047548" s="141"/>
      <c r="BP1047548" s="142"/>
      <c r="BU1047548" s="143"/>
    </row>
    <row r="1047549" customFormat="1" ht="14.25" spans="33:73">
      <c r="AG1047549" s="141"/>
      <c r="AH1047549" s="141"/>
      <c r="AI1047549" s="141"/>
      <c r="AP1047549" s="141"/>
      <c r="AQ1047549" s="141"/>
      <c r="AR1047549" s="141"/>
      <c r="AV1047549" s="141"/>
      <c r="AW1047549" s="141"/>
      <c r="AX1047549" s="141"/>
      <c r="BP1047549" s="142"/>
      <c r="BU1047549" s="143"/>
    </row>
    <row r="1047550" customFormat="1" ht="14.25" spans="33:73">
      <c r="AG1047550" s="141"/>
      <c r="AH1047550" s="141"/>
      <c r="AI1047550" s="141"/>
      <c r="AP1047550" s="141"/>
      <c r="AQ1047550" s="141"/>
      <c r="AR1047550" s="141"/>
      <c r="AV1047550" s="141"/>
      <c r="AW1047550" s="141"/>
      <c r="AX1047550" s="141"/>
      <c r="BP1047550" s="142"/>
      <c r="BU1047550" s="143"/>
    </row>
    <row r="1047551" customFormat="1" ht="14.25" spans="33:73">
      <c r="AG1047551" s="141"/>
      <c r="AH1047551" s="141"/>
      <c r="AI1047551" s="141"/>
      <c r="AP1047551" s="141"/>
      <c r="AQ1047551" s="141"/>
      <c r="AR1047551" s="141"/>
      <c r="AV1047551" s="141"/>
      <c r="AW1047551" s="141"/>
      <c r="AX1047551" s="141"/>
      <c r="BP1047551" s="142"/>
      <c r="BU1047551" s="143"/>
    </row>
    <row r="1047552" customFormat="1" ht="14.25" spans="33:73">
      <c r="AG1047552" s="141"/>
      <c r="AH1047552" s="141"/>
      <c r="AI1047552" s="141"/>
      <c r="AP1047552" s="141"/>
      <c r="AQ1047552" s="141"/>
      <c r="AR1047552" s="141"/>
      <c r="AV1047552" s="141"/>
      <c r="AW1047552" s="141"/>
      <c r="AX1047552" s="141"/>
      <c r="BP1047552" s="142"/>
      <c r="BU1047552" s="143"/>
    </row>
    <row r="1047553" customFormat="1" ht="14.25" spans="33:73">
      <c r="AG1047553" s="141"/>
      <c r="AH1047553" s="141"/>
      <c r="AI1047553" s="141"/>
      <c r="AP1047553" s="141"/>
      <c r="AQ1047553" s="141"/>
      <c r="AR1047553" s="141"/>
      <c r="AV1047553" s="141"/>
      <c r="AW1047553" s="141"/>
      <c r="AX1047553" s="141"/>
      <c r="BP1047553" s="142"/>
      <c r="BU1047553" s="143"/>
    </row>
    <row r="1047554" customFormat="1" ht="14.25" spans="33:73">
      <c r="AG1047554" s="141"/>
      <c r="AH1047554" s="141"/>
      <c r="AI1047554" s="141"/>
      <c r="AP1047554" s="141"/>
      <c r="AQ1047554" s="141"/>
      <c r="AR1047554" s="141"/>
      <c r="AV1047554" s="141"/>
      <c r="AW1047554" s="141"/>
      <c r="AX1047554" s="141"/>
      <c r="BP1047554" s="142"/>
      <c r="BU1047554" s="143"/>
    </row>
    <row r="1047555" customFormat="1" ht="14.25" spans="33:73">
      <c r="AG1047555" s="141"/>
      <c r="AH1047555" s="141"/>
      <c r="AI1047555" s="141"/>
      <c r="AP1047555" s="141"/>
      <c r="AQ1047555" s="141"/>
      <c r="AR1047555" s="141"/>
      <c r="AV1047555" s="141"/>
      <c r="AW1047555" s="141"/>
      <c r="AX1047555" s="141"/>
      <c r="BP1047555" s="142"/>
      <c r="BU1047555" s="143"/>
    </row>
    <row r="1047556" customFormat="1" ht="14.25" spans="33:73">
      <c r="AG1047556" s="141"/>
      <c r="AH1047556" s="141"/>
      <c r="AI1047556" s="141"/>
      <c r="AP1047556" s="141"/>
      <c r="AQ1047556" s="141"/>
      <c r="AR1047556" s="141"/>
      <c r="AV1047556" s="141"/>
      <c r="AW1047556" s="141"/>
      <c r="AX1047556" s="141"/>
      <c r="BP1047556" s="142"/>
      <c r="BU1047556" s="143"/>
    </row>
    <row r="1047557" customFormat="1" ht="14.25" spans="33:73">
      <c r="AG1047557" s="141"/>
      <c r="AH1047557" s="141"/>
      <c r="AI1047557" s="141"/>
      <c r="AP1047557" s="141"/>
      <c r="AQ1047557" s="141"/>
      <c r="AR1047557" s="141"/>
      <c r="AV1047557" s="141"/>
      <c r="AW1047557" s="141"/>
      <c r="AX1047557" s="141"/>
      <c r="BP1047557" s="142"/>
      <c r="BU1047557" s="143"/>
    </row>
    <row r="1047558" customFormat="1" ht="14.25" spans="33:73">
      <c r="AG1047558" s="141"/>
      <c r="AH1047558" s="141"/>
      <c r="AI1047558" s="141"/>
      <c r="AP1047558" s="141"/>
      <c r="AQ1047558" s="141"/>
      <c r="AR1047558" s="141"/>
      <c r="AV1047558" s="141"/>
      <c r="AW1047558" s="141"/>
      <c r="AX1047558" s="141"/>
      <c r="BP1047558" s="142"/>
      <c r="BU1047558" s="143"/>
    </row>
    <row r="1047559" customFormat="1" ht="14.25" spans="33:73">
      <c r="AG1047559" s="141"/>
      <c r="AH1047559" s="141"/>
      <c r="AI1047559" s="141"/>
      <c r="AP1047559" s="141"/>
      <c r="AQ1047559" s="141"/>
      <c r="AR1047559" s="141"/>
      <c r="AV1047559" s="141"/>
      <c r="AW1047559" s="141"/>
      <c r="AX1047559" s="141"/>
      <c r="BP1047559" s="142"/>
      <c r="BU1047559" s="143"/>
    </row>
    <row r="1047560" customFormat="1" ht="14.25" spans="33:73">
      <c r="AG1047560" s="141"/>
      <c r="AH1047560" s="141"/>
      <c r="AI1047560" s="141"/>
      <c r="AP1047560" s="141"/>
      <c r="AQ1047560" s="141"/>
      <c r="AR1047560" s="141"/>
      <c r="AV1047560" s="141"/>
      <c r="AW1047560" s="141"/>
      <c r="AX1047560" s="141"/>
      <c r="BP1047560" s="142"/>
      <c r="BU1047560" s="143"/>
    </row>
    <row r="1047561" customFormat="1" ht="14.25" spans="33:73">
      <c r="AG1047561" s="141"/>
      <c r="AH1047561" s="141"/>
      <c r="AI1047561" s="141"/>
      <c r="AP1047561" s="141"/>
      <c r="AQ1047561" s="141"/>
      <c r="AR1047561" s="141"/>
      <c r="AV1047561" s="141"/>
      <c r="AW1047561" s="141"/>
      <c r="AX1047561" s="141"/>
      <c r="BP1047561" s="142"/>
      <c r="BU1047561" s="143"/>
    </row>
    <row r="1047562" customFormat="1" ht="14.25" spans="33:73">
      <c r="AG1047562" s="141"/>
      <c r="AH1047562" s="141"/>
      <c r="AI1047562" s="141"/>
      <c r="AP1047562" s="141"/>
      <c r="AQ1047562" s="141"/>
      <c r="AR1047562" s="141"/>
      <c r="AV1047562" s="141"/>
      <c r="AW1047562" s="141"/>
      <c r="AX1047562" s="141"/>
      <c r="BP1047562" s="142"/>
      <c r="BU1047562" s="143"/>
    </row>
    <row r="1047563" customFormat="1" ht="14.25" spans="33:73">
      <c r="AG1047563" s="141"/>
      <c r="AH1047563" s="141"/>
      <c r="AI1047563" s="141"/>
      <c r="AP1047563" s="141"/>
      <c r="AQ1047563" s="141"/>
      <c r="AR1047563" s="141"/>
      <c r="AV1047563" s="141"/>
      <c r="AW1047563" s="141"/>
      <c r="AX1047563" s="141"/>
      <c r="BP1047563" s="142"/>
      <c r="BU1047563" s="143"/>
    </row>
    <row r="1047564" customFormat="1" ht="14.25" spans="33:73">
      <c r="AG1047564" s="141"/>
      <c r="AH1047564" s="141"/>
      <c r="AI1047564" s="141"/>
      <c r="AP1047564" s="141"/>
      <c r="AQ1047564" s="141"/>
      <c r="AR1047564" s="141"/>
      <c r="AV1047564" s="141"/>
      <c r="AW1047564" s="141"/>
      <c r="AX1047564" s="141"/>
      <c r="BP1047564" s="142"/>
      <c r="BU1047564" s="143"/>
    </row>
    <row r="1047565" customFormat="1" ht="14.25" spans="33:73">
      <c r="AG1047565" s="141"/>
      <c r="AH1047565" s="141"/>
      <c r="AI1047565" s="141"/>
      <c r="AP1047565" s="141"/>
      <c r="AQ1047565" s="141"/>
      <c r="AR1047565" s="141"/>
      <c r="AV1047565" s="141"/>
      <c r="AW1047565" s="141"/>
      <c r="AX1047565" s="141"/>
      <c r="BP1047565" s="142"/>
      <c r="BU1047565" s="143"/>
    </row>
    <row r="1047566" customFormat="1" ht="14.25" spans="33:73">
      <c r="AG1047566" s="141"/>
      <c r="AH1047566" s="141"/>
      <c r="AI1047566" s="141"/>
      <c r="AP1047566" s="141"/>
      <c r="AQ1047566" s="141"/>
      <c r="AR1047566" s="141"/>
      <c r="AV1047566" s="141"/>
      <c r="AW1047566" s="141"/>
      <c r="AX1047566" s="141"/>
      <c r="BP1047566" s="142"/>
      <c r="BU1047566" s="143"/>
    </row>
    <row r="1047567" customFormat="1" ht="14.25" spans="33:73">
      <c r="AG1047567" s="141"/>
      <c r="AH1047567" s="141"/>
      <c r="AI1047567" s="141"/>
      <c r="AP1047567" s="141"/>
      <c r="AQ1047567" s="141"/>
      <c r="AR1047567" s="141"/>
      <c r="AV1047567" s="141"/>
      <c r="AW1047567" s="141"/>
      <c r="AX1047567" s="141"/>
      <c r="BP1047567" s="142"/>
      <c r="BU1047567" s="143"/>
    </row>
    <row r="1047568" customFormat="1" ht="14.25" spans="33:73">
      <c r="AG1047568" s="141"/>
      <c r="AH1047568" s="141"/>
      <c r="AI1047568" s="141"/>
      <c r="AP1047568" s="141"/>
      <c r="AQ1047568" s="141"/>
      <c r="AR1047568" s="141"/>
      <c r="AV1047568" s="141"/>
      <c r="AW1047568" s="141"/>
      <c r="AX1047568" s="141"/>
      <c r="BP1047568" s="142"/>
      <c r="BU1047568" s="143"/>
    </row>
    <row r="1047569" customFormat="1" ht="14.25" spans="33:73">
      <c r="AG1047569" s="141"/>
      <c r="AH1047569" s="141"/>
      <c r="AI1047569" s="141"/>
      <c r="AP1047569" s="141"/>
      <c r="AQ1047569" s="141"/>
      <c r="AR1047569" s="141"/>
      <c r="AV1047569" s="141"/>
      <c r="AW1047569" s="141"/>
      <c r="AX1047569" s="141"/>
      <c r="BP1047569" s="142"/>
      <c r="BU1047569" s="143"/>
    </row>
    <row r="1047570" customFormat="1" ht="14.25" spans="33:73">
      <c r="AG1047570" s="141"/>
      <c r="AH1047570" s="141"/>
      <c r="AI1047570" s="141"/>
      <c r="AP1047570" s="141"/>
      <c r="AQ1047570" s="141"/>
      <c r="AR1047570" s="141"/>
      <c r="AV1047570" s="141"/>
      <c r="AW1047570" s="141"/>
      <c r="AX1047570" s="141"/>
      <c r="BP1047570" s="142"/>
      <c r="BU1047570" s="143"/>
    </row>
    <row r="1047571" customFormat="1" ht="14.25" spans="33:73">
      <c r="AG1047571" s="141"/>
      <c r="AH1047571" s="141"/>
      <c r="AI1047571" s="141"/>
      <c r="AP1047571" s="141"/>
      <c r="AQ1047571" s="141"/>
      <c r="AR1047571" s="141"/>
      <c r="AV1047571" s="141"/>
      <c r="AW1047571" s="141"/>
      <c r="AX1047571" s="141"/>
      <c r="BP1047571" s="142"/>
      <c r="BU1047571" s="143"/>
    </row>
    <row r="1047572" customFormat="1" ht="14.25" spans="33:73">
      <c r="AG1047572" s="141"/>
      <c r="AH1047572" s="141"/>
      <c r="AI1047572" s="141"/>
      <c r="AP1047572" s="141"/>
      <c r="AQ1047572" s="141"/>
      <c r="AR1047572" s="141"/>
      <c r="AV1047572" s="141"/>
      <c r="AW1047572" s="141"/>
      <c r="AX1047572" s="141"/>
      <c r="BP1047572" s="142"/>
      <c r="BU1047572" s="143"/>
    </row>
    <row r="1047573" customFormat="1" ht="14.25" spans="33:73">
      <c r="AG1047573" s="141"/>
      <c r="AH1047573" s="141"/>
      <c r="AI1047573" s="141"/>
      <c r="AP1047573" s="141"/>
      <c r="AQ1047573" s="141"/>
      <c r="AR1047573" s="141"/>
      <c r="AV1047573" s="141"/>
      <c r="AW1047573" s="141"/>
      <c r="AX1047573" s="141"/>
      <c r="BP1047573" s="142"/>
      <c r="BU1047573" s="143"/>
    </row>
    <row r="1047574" customFormat="1" ht="14.25" spans="33:73">
      <c r="AG1047574" s="141"/>
      <c r="AH1047574" s="141"/>
      <c r="AI1047574" s="141"/>
      <c r="AP1047574" s="141"/>
      <c r="AQ1047574" s="141"/>
      <c r="AR1047574" s="141"/>
      <c r="AV1047574" s="141"/>
      <c r="AW1047574" s="141"/>
      <c r="AX1047574" s="141"/>
      <c r="BP1047574" s="142"/>
      <c r="BU1047574" s="143"/>
    </row>
    <row r="1047575" customFormat="1" ht="14.25" spans="33:73">
      <c r="AG1047575" s="141"/>
      <c r="AH1047575" s="141"/>
      <c r="AI1047575" s="141"/>
      <c r="AP1047575" s="141"/>
      <c r="AQ1047575" s="141"/>
      <c r="AR1047575" s="141"/>
      <c r="AV1047575" s="141"/>
      <c r="AW1047575" s="141"/>
      <c r="AX1047575" s="141"/>
      <c r="BP1047575" s="142"/>
      <c r="BU1047575" s="143"/>
    </row>
    <row r="1047576" customFormat="1" ht="14.25" spans="33:73">
      <c r="AG1047576" s="141"/>
      <c r="AH1047576" s="141"/>
      <c r="AI1047576" s="141"/>
      <c r="AP1047576" s="141"/>
      <c r="AQ1047576" s="141"/>
      <c r="AR1047576" s="141"/>
      <c r="AV1047576" s="141"/>
      <c r="AW1047576" s="141"/>
      <c r="AX1047576" s="141"/>
      <c r="BP1047576" s="142"/>
      <c r="BU1047576" s="143"/>
    </row>
    <row r="1047577" customFormat="1" ht="14.25" spans="33:73">
      <c r="AG1047577" s="141"/>
      <c r="AH1047577" s="141"/>
      <c r="AI1047577" s="141"/>
      <c r="AP1047577" s="141"/>
      <c r="AQ1047577" s="141"/>
      <c r="AR1047577" s="141"/>
      <c r="AV1047577" s="141"/>
      <c r="AW1047577" s="141"/>
      <c r="AX1047577" s="141"/>
      <c r="BP1047577" s="142"/>
      <c r="BU1047577" s="143"/>
    </row>
    <row r="1047578" customFormat="1" ht="14.25" spans="33:73">
      <c r="AG1047578" s="141"/>
      <c r="AH1047578" s="141"/>
      <c r="AI1047578" s="141"/>
      <c r="AP1047578" s="141"/>
      <c r="AQ1047578" s="141"/>
      <c r="AR1047578" s="141"/>
      <c r="AV1047578" s="141"/>
      <c r="AW1047578" s="141"/>
      <c r="AX1047578" s="141"/>
      <c r="BP1047578" s="142"/>
      <c r="BU1047578" s="143"/>
    </row>
    <row r="1047579" customFormat="1" ht="14.25" spans="33:73">
      <c r="AG1047579" s="141"/>
      <c r="AH1047579" s="141"/>
      <c r="AI1047579" s="141"/>
      <c r="AP1047579" s="141"/>
      <c r="AQ1047579" s="141"/>
      <c r="AR1047579" s="141"/>
      <c r="AV1047579" s="141"/>
      <c r="AW1047579" s="141"/>
      <c r="AX1047579" s="141"/>
      <c r="BP1047579" s="142"/>
      <c r="BU1047579" s="143"/>
    </row>
    <row r="1047580" customFormat="1" ht="14.25" spans="33:73">
      <c r="AG1047580" s="141"/>
      <c r="AH1047580" s="141"/>
      <c r="AI1047580" s="141"/>
      <c r="AP1047580" s="141"/>
      <c r="AQ1047580" s="141"/>
      <c r="AR1047580" s="141"/>
      <c r="AV1047580" s="141"/>
      <c r="AW1047580" s="141"/>
      <c r="AX1047580" s="141"/>
      <c r="BP1047580" s="142"/>
      <c r="BU1047580" s="143"/>
    </row>
    <row r="1047581" customFormat="1" ht="14.25" spans="33:73">
      <c r="AG1047581" s="141"/>
      <c r="AH1047581" s="141"/>
      <c r="AI1047581" s="141"/>
      <c r="AP1047581" s="141"/>
      <c r="AQ1047581" s="141"/>
      <c r="AR1047581" s="141"/>
      <c r="AV1047581" s="141"/>
      <c r="AW1047581" s="141"/>
      <c r="AX1047581" s="141"/>
      <c r="BP1047581" s="142"/>
      <c r="BU1047581" s="143"/>
    </row>
    <row r="1047582" customFormat="1" ht="14.25" spans="33:73">
      <c r="AG1047582" s="141"/>
      <c r="AH1047582" s="141"/>
      <c r="AI1047582" s="141"/>
      <c r="AP1047582" s="141"/>
      <c r="AQ1047582" s="141"/>
      <c r="AR1047582" s="141"/>
      <c r="AV1047582" s="141"/>
      <c r="AW1047582" s="141"/>
      <c r="AX1047582" s="141"/>
      <c r="BP1047582" s="142"/>
      <c r="BU1047582" s="143"/>
    </row>
    <row r="1047583" customFormat="1" ht="14.25" spans="33:73">
      <c r="AG1047583" s="141"/>
      <c r="AH1047583" s="141"/>
      <c r="AI1047583" s="141"/>
      <c r="AP1047583" s="141"/>
      <c r="AQ1047583" s="141"/>
      <c r="AR1047583" s="141"/>
      <c r="AV1047583" s="141"/>
      <c r="AW1047583" s="141"/>
      <c r="AX1047583" s="141"/>
      <c r="BP1047583" s="142"/>
      <c r="BU1047583" s="143"/>
    </row>
    <row r="1047584" customFormat="1" ht="14.25" spans="33:73">
      <c r="AG1047584" s="141"/>
      <c r="AH1047584" s="141"/>
      <c r="AI1047584" s="141"/>
      <c r="AP1047584" s="141"/>
      <c r="AQ1047584" s="141"/>
      <c r="AR1047584" s="141"/>
      <c r="AV1047584" s="141"/>
      <c r="AW1047584" s="141"/>
      <c r="AX1047584" s="141"/>
      <c r="BP1047584" s="142"/>
      <c r="BU1047584" s="143"/>
    </row>
    <row r="1047585" customFormat="1" ht="14.25" spans="33:73">
      <c r="AG1047585" s="141"/>
      <c r="AH1047585" s="141"/>
      <c r="AI1047585" s="141"/>
      <c r="AP1047585" s="141"/>
      <c r="AQ1047585" s="141"/>
      <c r="AR1047585" s="141"/>
      <c r="AV1047585" s="141"/>
      <c r="AW1047585" s="141"/>
      <c r="AX1047585" s="141"/>
      <c r="BP1047585" s="142"/>
      <c r="BU1047585" s="143"/>
    </row>
    <row r="1047586" customFormat="1" ht="14.25" spans="33:73">
      <c r="AG1047586" s="141"/>
      <c r="AH1047586" s="141"/>
      <c r="AI1047586" s="141"/>
      <c r="AP1047586" s="141"/>
      <c r="AQ1047586" s="141"/>
      <c r="AR1047586" s="141"/>
      <c r="AV1047586" s="141"/>
      <c r="AW1047586" s="141"/>
      <c r="AX1047586" s="141"/>
      <c r="BP1047586" s="142"/>
      <c r="BU1047586" s="143"/>
    </row>
    <row r="1047587" customFormat="1" ht="14.25" spans="33:73">
      <c r="AG1047587" s="141"/>
      <c r="AH1047587" s="141"/>
      <c r="AI1047587" s="141"/>
      <c r="AP1047587" s="141"/>
      <c r="AQ1047587" s="141"/>
      <c r="AR1047587" s="141"/>
      <c r="AV1047587" s="141"/>
      <c r="AW1047587" s="141"/>
      <c r="AX1047587" s="141"/>
      <c r="BP1047587" s="142"/>
      <c r="BU1047587" s="143"/>
    </row>
    <row r="1047588" customFormat="1" ht="14.25" spans="33:73">
      <c r="AG1047588" s="141"/>
      <c r="AH1047588" s="141"/>
      <c r="AI1047588" s="141"/>
      <c r="AP1047588" s="141"/>
      <c r="AQ1047588" s="141"/>
      <c r="AR1047588" s="141"/>
      <c r="AV1047588" s="141"/>
      <c r="AW1047588" s="141"/>
      <c r="AX1047588" s="141"/>
      <c r="BP1047588" s="142"/>
      <c r="BU1047588" s="143"/>
    </row>
    <row r="1047589" customFormat="1" ht="14.25" spans="33:73">
      <c r="AG1047589" s="141"/>
      <c r="AH1047589" s="141"/>
      <c r="AI1047589" s="141"/>
      <c r="AP1047589" s="141"/>
      <c r="AQ1047589" s="141"/>
      <c r="AR1047589" s="141"/>
      <c r="AV1047589" s="141"/>
      <c r="AW1047589" s="141"/>
      <c r="AX1047589" s="141"/>
      <c r="BP1047589" s="142"/>
      <c r="BU1047589" s="143"/>
    </row>
    <row r="1047590" customFormat="1" ht="14.25" spans="33:73">
      <c r="AG1047590" s="141"/>
      <c r="AH1047590" s="141"/>
      <c r="AI1047590" s="141"/>
      <c r="AP1047590" s="141"/>
      <c r="AQ1047590" s="141"/>
      <c r="AR1047590" s="141"/>
      <c r="AV1047590" s="141"/>
      <c r="AW1047590" s="141"/>
      <c r="AX1047590" s="141"/>
      <c r="BP1047590" s="142"/>
      <c r="BU1047590" s="143"/>
    </row>
    <row r="1047591" customFormat="1" ht="14.25" spans="33:73">
      <c r="AG1047591" s="141"/>
      <c r="AH1047591" s="141"/>
      <c r="AI1047591" s="141"/>
      <c r="AP1047591" s="141"/>
      <c r="AQ1047591" s="141"/>
      <c r="AR1047591" s="141"/>
      <c r="AV1047591" s="141"/>
      <c r="AW1047591" s="141"/>
      <c r="AX1047591" s="141"/>
      <c r="BP1047591" s="142"/>
      <c r="BU1047591" s="143"/>
    </row>
    <row r="1047592" customFormat="1" ht="14.25" spans="33:73">
      <c r="AG1047592" s="141"/>
      <c r="AH1047592" s="141"/>
      <c r="AI1047592" s="141"/>
      <c r="AP1047592" s="141"/>
      <c r="AQ1047592" s="141"/>
      <c r="AR1047592" s="141"/>
      <c r="AV1047592" s="141"/>
      <c r="AW1047592" s="141"/>
      <c r="AX1047592" s="141"/>
      <c r="BP1047592" s="142"/>
      <c r="BU1047592" s="143"/>
    </row>
    <row r="1047593" customFormat="1" ht="14.25" spans="33:73">
      <c r="AG1047593" s="141"/>
      <c r="AH1047593" s="141"/>
      <c r="AI1047593" s="141"/>
      <c r="AP1047593" s="141"/>
      <c r="AQ1047593" s="141"/>
      <c r="AR1047593" s="141"/>
      <c r="AV1047593" s="141"/>
      <c r="AW1047593" s="141"/>
      <c r="AX1047593" s="141"/>
      <c r="BP1047593" s="142"/>
      <c r="BU1047593" s="143"/>
    </row>
    <row r="1047594" customFormat="1" ht="14.25" spans="33:73">
      <c r="AG1047594" s="141"/>
      <c r="AH1047594" s="141"/>
      <c r="AI1047594" s="141"/>
      <c r="AP1047594" s="141"/>
      <c r="AQ1047594" s="141"/>
      <c r="AR1047594" s="141"/>
      <c r="AV1047594" s="141"/>
      <c r="AW1047594" s="141"/>
      <c r="AX1047594" s="141"/>
      <c r="BP1047594" s="142"/>
      <c r="BU1047594" s="143"/>
    </row>
    <row r="1047595" customFormat="1" ht="14.25" spans="33:73">
      <c r="AG1047595" s="141"/>
      <c r="AH1047595" s="141"/>
      <c r="AI1047595" s="141"/>
      <c r="AP1047595" s="141"/>
      <c r="AQ1047595" s="141"/>
      <c r="AR1047595" s="141"/>
      <c r="AV1047595" s="141"/>
      <c r="AW1047595" s="141"/>
      <c r="AX1047595" s="141"/>
      <c r="BP1047595" s="142"/>
      <c r="BU1047595" s="143"/>
    </row>
    <row r="1047596" customFormat="1" ht="14.25" spans="33:73">
      <c r="AG1047596" s="141"/>
      <c r="AH1047596" s="141"/>
      <c r="AI1047596" s="141"/>
      <c r="AP1047596" s="141"/>
      <c r="AQ1047596" s="141"/>
      <c r="AR1047596" s="141"/>
      <c r="AV1047596" s="141"/>
      <c r="AW1047596" s="141"/>
      <c r="AX1047596" s="141"/>
      <c r="BP1047596" s="142"/>
      <c r="BU1047596" s="143"/>
    </row>
    <row r="1047597" customFormat="1" ht="14.25" spans="33:73">
      <c r="AG1047597" s="141"/>
      <c r="AH1047597" s="141"/>
      <c r="AI1047597" s="141"/>
      <c r="AP1047597" s="141"/>
      <c r="AQ1047597" s="141"/>
      <c r="AR1047597" s="141"/>
      <c r="AV1047597" s="141"/>
      <c r="AW1047597" s="141"/>
      <c r="AX1047597" s="141"/>
      <c r="BP1047597" s="142"/>
      <c r="BU1047597" s="143"/>
    </row>
    <row r="1047598" customFormat="1" ht="14.25" spans="33:73">
      <c r="AG1047598" s="141"/>
      <c r="AH1047598" s="141"/>
      <c r="AI1047598" s="141"/>
      <c r="AP1047598" s="141"/>
      <c r="AQ1047598" s="141"/>
      <c r="AR1047598" s="141"/>
      <c r="AV1047598" s="141"/>
      <c r="AW1047598" s="141"/>
      <c r="AX1047598" s="141"/>
      <c r="BP1047598" s="142"/>
      <c r="BU1047598" s="143"/>
    </row>
    <row r="1047599" customFormat="1" ht="14.25" spans="33:73">
      <c r="AG1047599" s="141"/>
      <c r="AH1047599" s="141"/>
      <c r="AI1047599" s="141"/>
      <c r="AP1047599" s="141"/>
      <c r="AQ1047599" s="141"/>
      <c r="AR1047599" s="141"/>
      <c r="AV1047599" s="141"/>
      <c r="AW1047599" s="141"/>
      <c r="AX1047599" s="141"/>
      <c r="BP1047599" s="142"/>
      <c r="BU1047599" s="143"/>
    </row>
    <row r="1047600" customFormat="1" ht="14.25" spans="33:73">
      <c r="AG1047600" s="141"/>
      <c r="AH1047600" s="141"/>
      <c r="AI1047600" s="141"/>
      <c r="AP1047600" s="141"/>
      <c r="AQ1047600" s="141"/>
      <c r="AR1047600" s="141"/>
      <c r="AV1047600" s="141"/>
      <c r="AW1047600" s="141"/>
      <c r="AX1047600" s="141"/>
      <c r="BP1047600" s="142"/>
      <c r="BU1047600" s="143"/>
    </row>
    <row r="1047601" customFormat="1" ht="14.25" spans="33:73">
      <c r="AG1047601" s="141"/>
      <c r="AH1047601" s="141"/>
      <c r="AI1047601" s="141"/>
      <c r="AP1047601" s="141"/>
      <c r="AQ1047601" s="141"/>
      <c r="AR1047601" s="141"/>
      <c r="AV1047601" s="141"/>
      <c r="AW1047601" s="141"/>
      <c r="AX1047601" s="141"/>
      <c r="BP1047601" s="142"/>
      <c r="BU1047601" s="143"/>
    </row>
    <row r="1047602" customFormat="1" ht="14.25" spans="33:73">
      <c r="AG1047602" s="141"/>
      <c r="AH1047602" s="141"/>
      <c r="AI1047602" s="141"/>
      <c r="AP1047602" s="141"/>
      <c r="AQ1047602" s="141"/>
      <c r="AR1047602" s="141"/>
      <c r="AV1047602" s="141"/>
      <c r="AW1047602" s="141"/>
      <c r="AX1047602" s="141"/>
      <c r="BP1047602" s="142"/>
      <c r="BU1047602" s="143"/>
    </row>
    <row r="1047603" customFormat="1" ht="14.25" spans="33:73">
      <c r="AG1047603" s="141"/>
      <c r="AH1047603" s="141"/>
      <c r="AI1047603" s="141"/>
      <c r="AP1047603" s="141"/>
      <c r="AQ1047603" s="141"/>
      <c r="AR1047603" s="141"/>
      <c r="AV1047603" s="141"/>
      <c r="AW1047603" s="141"/>
      <c r="AX1047603" s="141"/>
      <c r="BP1047603" s="142"/>
      <c r="BU1047603" s="143"/>
    </row>
    <row r="1047604" customFormat="1" ht="14.25" spans="33:73">
      <c r="AG1047604" s="141"/>
      <c r="AH1047604" s="141"/>
      <c r="AI1047604" s="141"/>
      <c r="AP1047604" s="141"/>
      <c r="AQ1047604" s="141"/>
      <c r="AR1047604" s="141"/>
      <c r="AV1047604" s="141"/>
      <c r="AW1047604" s="141"/>
      <c r="AX1047604" s="141"/>
      <c r="BP1047604" s="142"/>
      <c r="BU1047604" s="143"/>
    </row>
    <row r="1047605" customFormat="1" ht="14.25" spans="33:73">
      <c r="AG1047605" s="141"/>
      <c r="AH1047605" s="141"/>
      <c r="AI1047605" s="141"/>
      <c r="AP1047605" s="141"/>
      <c r="AQ1047605" s="141"/>
      <c r="AR1047605" s="141"/>
      <c r="AV1047605" s="141"/>
      <c r="AW1047605" s="141"/>
      <c r="AX1047605" s="141"/>
      <c r="BP1047605" s="142"/>
      <c r="BU1047605" s="143"/>
    </row>
    <row r="1047606" customFormat="1" ht="14.25" spans="33:73">
      <c r="AG1047606" s="141"/>
      <c r="AH1047606" s="141"/>
      <c r="AI1047606" s="141"/>
      <c r="AP1047606" s="141"/>
      <c r="AQ1047606" s="141"/>
      <c r="AR1047606" s="141"/>
      <c r="AV1047606" s="141"/>
      <c r="AW1047606" s="141"/>
      <c r="AX1047606" s="141"/>
      <c r="BP1047606" s="142"/>
      <c r="BU1047606" s="143"/>
    </row>
    <row r="1047607" customFormat="1" ht="14.25" spans="33:73">
      <c r="AG1047607" s="141"/>
      <c r="AH1047607" s="141"/>
      <c r="AI1047607" s="141"/>
      <c r="AP1047607" s="141"/>
      <c r="AQ1047607" s="141"/>
      <c r="AR1047607" s="141"/>
      <c r="AV1047607" s="141"/>
      <c r="AW1047607" s="141"/>
      <c r="AX1047607" s="141"/>
      <c r="BP1047607" s="142"/>
      <c r="BU1047607" s="143"/>
    </row>
    <row r="1047608" customFormat="1" ht="14.25" spans="33:73">
      <c r="AG1047608" s="141"/>
      <c r="AH1047608" s="141"/>
      <c r="AI1047608" s="141"/>
      <c r="AP1047608" s="141"/>
      <c r="AQ1047608" s="141"/>
      <c r="AR1047608" s="141"/>
      <c r="AV1047608" s="141"/>
      <c r="AW1047608" s="141"/>
      <c r="AX1047608" s="141"/>
      <c r="BP1047608" s="142"/>
      <c r="BU1047608" s="143"/>
    </row>
    <row r="1047609" customFormat="1" ht="14.25" spans="33:73">
      <c r="AG1047609" s="141"/>
      <c r="AH1047609" s="141"/>
      <c r="AI1047609" s="141"/>
      <c r="AP1047609" s="141"/>
      <c r="AQ1047609" s="141"/>
      <c r="AR1047609" s="141"/>
      <c r="AV1047609" s="141"/>
      <c r="AW1047609" s="141"/>
      <c r="AX1047609" s="141"/>
      <c r="BP1047609" s="142"/>
      <c r="BU1047609" s="143"/>
    </row>
    <row r="1047610" customFormat="1" ht="14.25" spans="33:73">
      <c r="AG1047610" s="141"/>
      <c r="AH1047610" s="141"/>
      <c r="AI1047610" s="141"/>
      <c r="AP1047610" s="141"/>
      <c r="AQ1047610" s="141"/>
      <c r="AR1047610" s="141"/>
      <c r="AV1047610" s="141"/>
      <c r="AW1047610" s="141"/>
      <c r="AX1047610" s="141"/>
      <c r="BP1047610" s="142"/>
      <c r="BU1047610" s="143"/>
    </row>
    <row r="1047611" customFormat="1" ht="14.25" spans="33:73">
      <c r="AG1047611" s="141"/>
      <c r="AH1047611" s="141"/>
      <c r="AI1047611" s="141"/>
      <c r="AP1047611" s="141"/>
      <c r="AQ1047611" s="141"/>
      <c r="AR1047611" s="141"/>
      <c r="AV1047611" s="141"/>
      <c r="AW1047611" s="141"/>
      <c r="AX1047611" s="141"/>
      <c r="BP1047611" s="142"/>
      <c r="BU1047611" s="143"/>
    </row>
    <row r="1047612" customFormat="1" ht="14.25" spans="33:73">
      <c r="AG1047612" s="141"/>
      <c r="AH1047612" s="141"/>
      <c r="AI1047612" s="141"/>
      <c r="AP1047612" s="141"/>
      <c r="AQ1047612" s="141"/>
      <c r="AR1047612" s="141"/>
      <c r="AV1047612" s="141"/>
      <c r="AW1047612" s="141"/>
      <c r="AX1047612" s="141"/>
      <c r="BP1047612" s="142"/>
      <c r="BU1047612" s="143"/>
    </row>
    <row r="1047613" customFormat="1" ht="14.25" spans="33:73">
      <c r="AG1047613" s="141"/>
      <c r="AH1047613" s="141"/>
      <c r="AI1047613" s="141"/>
      <c r="AP1047613" s="141"/>
      <c r="AQ1047613" s="141"/>
      <c r="AR1047613" s="141"/>
      <c r="AV1047613" s="141"/>
      <c r="AW1047613" s="141"/>
      <c r="AX1047613" s="141"/>
      <c r="BP1047613" s="142"/>
      <c r="BU1047613" s="143"/>
    </row>
    <row r="1047614" customFormat="1" ht="14.25" spans="33:73">
      <c r="AG1047614" s="141"/>
      <c r="AH1047614" s="141"/>
      <c r="AI1047614" s="141"/>
      <c r="AP1047614" s="141"/>
      <c r="AQ1047614" s="141"/>
      <c r="AR1047614" s="141"/>
      <c r="AV1047614" s="141"/>
      <c r="AW1047614" s="141"/>
      <c r="AX1047614" s="141"/>
      <c r="BP1047614" s="142"/>
      <c r="BU1047614" s="143"/>
    </row>
    <row r="1047615" customFormat="1" ht="14.25" spans="33:73">
      <c r="AG1047615" s="141"/>
      <c r="AH1047615" s="141"/>
      <c r="AI1047615" s="141"/>
      <c r="AP1047615" s="141"/>
      <c r="AQ1047615" s="141"/>
      <c r="AR1047615" s="141"/>
      <c r="AV1047615" s="141"/>
      <c r="AW1047615" s="141"/>
      <c r="AX1047615" s="141"/>
      <c r="BP1047615" s="142"/>
      <c r="BU1047615" s="143"/>
    </row>
    <row r="1047616" customFormat="1" ht="14.25" spans="33:73">
      <c r="AG1047616" s="141"/>
      <c r="AH1047616" s="141"/>
      <c r="AI1047616" s="141"/>
      <c r="AP1047616" s="141"/>
      <c r="AQ1047616" s="141"/>
      <c r="AR1047616" s="141"/>
      <c r="AV1047616" s="141"/>
      <c r="AW1047616" s="141"/>
      <c r="AX1047616" s="141"/>
      <c r="BP1047616" s="142"/>
      <c r="BU1047616" s="143"/>
    </row>
    <row r="1047617" customFormat="1" ht="14.25" spans="33:73">
      <c r="AG1047617" s="141"/>
      <c r="AH1047617" s="141"/>
      <c r="AI1047617" s="141"/>
      <c r="AP1047617" s="141"/>
      <c r="AQ1047617" s="141"/>
      <c r="AR1047617" s="141"/>
      <c r="AV1047617" s="141"/>
      <c r="AW1047617" s="141"/>
      <c r="AX1047617" s="141"/>
      <c r="BP1047617" s="142"/>
      <c r="BU1047617" s="143"/>
    </row>
    <row r="1047618" customFormat="1" ht="14.25" spans="33:73">
      <c r="AG1047618" s="141"/>
      <c r="AH1047618" s="141"/>
      <c r="AI1047618" s="141"/>
      <c r="AP1047618" s="141"/>
      <c r="AQ1047618" s="141"/>
      <c r="AR1047618" s="141"/>
      <c r="AV1047618" s="141"/>
      <c r="AW1047618" s="141"/>
      <c r="AX1047618" s="141"/>
      <c r="BP1047618" s="142"/>
      <c r="BU1047618" s="143"/>
    </row>
    <row r="1047619" customFormat="1" ht="14.25" spans="33:73">
      <c r="AG1047619" s="141"/>
      <c r="AH1047619" s="141"/>
      <c r="AI1047619" s="141"/>
      <c r="AP1047619" s="141"/>
      <c r="AQ1047619" s="141"/>
      <c r="AR1047619" s="141"/>
      <c r="AV1047619" s="141"/>
      <c r="AW1047619" s="141"/>
      <c r="AX1047619" s="141"/>
      <c r="BP1047619" s="142"/>
      <c r="BU1047619" s="143"/>
    </row>
    <row r="1047620" customFormat="1" ht="14.25" spans="33:73">
      <c r="AG1047620" s="141"/>
      <c r="AH1047620" s="141"/>
      <c r="AI1047620" s="141"/>
      <c r="AP1047620" s="141"/>
      <c r="AQ1047620" s="141"/>
      <c r="AR1047620" s="141"/>
      <c r="AV1047620" s="141"/>
      <c r="AW1047620" s="141"/>
      <c r="AX1047620" s="141"/>
      <c r="BP1047620" s="142"/>
      <c r="BU1047620" s="143"/>
    </row>
    <row r="1047621" customFormat="1" ht="14.25" spans="33:73">
      <c r="AG1047621" s="141"/>
      <c r="AH1047621" s="141"/>
      <c r="AI1047621" s="141"/>
      <c r="AP1047621" s="141"/>
      <c r="AQ1047621" s="141"/>
      <c r="AR1047621" s="141"/>
      <c r="AV1047621" s="141"/>
      <c r="AW1047621" s="141"/>
      <c r="AX1047621" s="141"/>
      <c r="BP1047621" s="142"/>
      <c r="BU1047621" s="143"/>
    </row>
    <row r="1047622" customFormat="1" ht="14.25" spans="33:73">
      <c r="AG1047622" s="141"/>
      <c r="AH1047622" s="141"/>
      <c r="AI1047622" s="141"/>
      <c r="AP1047622" s="141"/>
      <c r="AQ1047622" s="141"/>
      <c r="AR1047622" s="141"/>
      <c r="AV1047622" s="141"/>
      <c r="AW1047622" s="141"/>
      <c r="AX1047622" s="141"/>
      <c r="BP1047622" s="142"/>
      <c r="BU1047622" s="143"/>
    </row>
    <row r="1047623" customFormat="1" ht="14.25" spans="33:73">
      <c r="AG1047623" s="141"/>
      <c r="AH1047623" s="141"/>
      <c r="AI1047623" s="141"/>
      <c r="AP1047623" s="141"/>
      <c r="AQ1047623" s="141"/>
      <c r="AR1047623" s="141"/>
      <c r="AV1047623" s="141"/>
      <c r="AW1047623" s="141"/>
      <c r="AX1047623" s="141"/>
      <c r="BP1047623" s="142"/>
      <c r="BU1047623" s="143"/>
    </row>
    <row r="1047624" customFormat="1" ht="14.25" spans="33:73">
      <c r="AG1047624" s="141"/>
      <c r="AH1047624" s="141"/>
      <c r="AI1047624" s="141"/>
      <c r="AP1047624" s="141"/>
      <c r="AQ1047624" s="141"/>
      <c r="AR1047624" s="141"/>
      <c r="AV1047624" s="141"/>
      <c r="AW1047624" s="141"/>
      <c r="AX1047624" s="141"/>
      <c r="BP1047624" s="142"/>
      <c r="BU1047624" s="143"/>
    </row>
    <row r="1047625" customFormat="1" ht="14.25" spans="33:73">
      <c r="AG1047625" s="141"/>
      <c r="AH1047625" s="141"/>
      <c r="AI1047625" s="141"/>
      <c r="AP1047625" s="141"/>
      <c r="AQ1047625" s="141"/>
      <c r="AR1047625" s="141"/>
      <c r="AV1047625" s="141"/>
      <c r="AW1047625" s="141"/>
      <c r="AX1047625" s="141"/>
      <c r="BP1047625" s="142"/>
      <c r="BU1047625" s="143"/>
    </row>
    <row r="1047626" customFormat="1" ht="14.25" spans="33:73">
      <c r="AG1047626" s="141"/>
      <c r="AH1047626" s="141"/>
      <c r="AI1047626" s="141"/>
      <c r="AP1047626" s="141"/>
      <c r="AQ1047626" s="141"/>
      <c r="AR1047626" s="141"/>
      <c r="AV1047626" s="141"/>
      <c r="AW1047626" s="141"/>
      <c r="AX1047626" s="141"/>
      <c r="BP1047626" s="142"/>
      <c r="BU1047626" s="143"/>
    </row>
    <row r="1047627" customFormat="1" ht="14.25" spans="33:73">
      <c r="AG1047627" s="141"/>
      <c r="AH1047627" s="141"/>
      <c r="AI1047627" s="141"/>
      <c r="AP1047627" s="141"/>
      <c r="AQ1047627" s="141"/>
      <c r="AR1047627" s="141"/>
      <c r="AV1047627" s="141"/>
      <c r="AW1047627" s="141"/>
      <c r="AX1047627" s="141"/>
      <c r="BP1047627" s="142"/>
      <c r="BU1047627" s="143"/>
    </row>
    <row r="1047628" customFormat="1" ht="14.25" spans="33:73">
      <c r="AG1047628" s="141"/>
      <c r="AH1047628" s="141"/>
      <c r="AI1047628" s="141"/>
      <c r="AP1047628" s="141"/>
      <c r="AQ1047628" s="141"/>
      <c r="AR1047628" s="141"/>
      <c r="AV1047628" s="141"/>
      <c r="AW1047628" s="141"/>
      <c r="AX1047628" s="141"/>
      <c r="BP1047628" s="142"/>
      <c r="BU1047628" s="143"/>
    </row>
    <row r="1047629" customFormat="1" ht="14.25" spans="33:73">
      <c r="AG1047629" s="141"/>
      <c r="AH1047629" s="141"/>
      <c r="AI1047629" s="141"/>
      <c r="AP1047629" s="141"/>
      <c r="AQ1047629" s="141"/>
      <c r="AR1047629" s="141"/>
      <c r="AV1047629" s="141"/>
      <c r="AW1047629" s="141"/>
      <c r="AX1047629" s="141"/>
      <c r="BP1047629" s="142"/>
      <c r="BU1047629" s="143"/>
    </row>
    <row r="1047630" customFormat="1" ht="14.25" spans="33:73">
      <c r="AG1047630" s="141"/>
      <c r="AH1047630" s="141"/>
      <c r="AI1047630" s="141"/>
      <c r="AP1047630" s="141"/>
      <c r="AQ1047630" s="141"/>
      <c r="AR1047630" s="141"/>
      <c r="AV1047630" s="141"/>
      <c r="AW1047630" s="141"/>
      <c r="AX1047630" s="141"/>
      <c r="BP1047630" s="142"/>
      <c r="BU1047630" s="143"/>
    </row>
    <row r="1047631" customFormat="1" ht="14.25" spans="33:73">
      <c r="AG1047631" s="141"/>
      <c r="AH1047631" s="141"/>
      <c r="AI1047631" s="141"/>
      <c r="AP1047631" s="141"/>
      <c r="AQ1047631" s="141"/>
      <c r="AR1047631" s="141"/>
      <c r="AV1047631" s="141"/>
      <c r="AW1047631" s="141"/>
      <c r="AX1047631" s="141"/>
      <c r="BP1047631" s="142"/>
      <c r="BU1047631" s="143"/>
    </row>
    <row r="1047632" customFormat="1" ht="14.25" spans="33:73">
      <c r="AG1047632" s="141"/>
      <c r="AH1047632" s="141"/>
      <c r="AI1047632" s="141"/>
      <c r="AP1047632" s="141"/>
      <c r="AQ1047632" s="141"/>
      <c r="AR1047632" s="141"/>
      <c r="AV1047632" s="141"/>
      <c r="AW1047632" s="141"/>
      <c r="AX1047632" s="141"/>
      <c r="BP1047632" s="142"/>
      <c r="BU1047632" s="143"/>
    </row>
    <row r="1047633" customFormat="1" ht="14.25" spans="33:73">
      <c r="AG1047633" s="141"/>
      <c r="AH1047633" s="141"/>
      <c r="AI1047633" s="141"/>
      <c r="AP1047633" s="141"/>
      <c r="AQ1047633" s="141"/>
      <c r="AR1047633" s="141"/>
      <c r="AV1047633" s="141"/>
      <c r="AW1047633" s="141"/>
      <c r="AX1047633" s="141"/>
      <c r="BP1047633" s="142"/>
      <c r="BU1047633" s="143"/>
    </row>
    <row r="1047634" customFormat="1" ht="14.25" spans="33:73">
      <c r="AG1047634" s="141"/>
      <c r="AH1047634" s="141"/>
      <c r="AI1047634" s="141"/>
      <c r="AP1047634" s="141"/>
      <c r="AQ1047634" s="141"/>
      <c r="AR1047634" s="141"/>
      <c r="AV1047634" s="141"/>
      <c r="AW1047634" s="141"/>
      <c r="AX1047634" s="141"/>
      <c r="BP1047634" s="142"/>
      <c r="BU1047634" s="143"/>
    </row>
    <row r="1047635" customFormat="1" ht="14.25" spans="33:73">
      <c r="AG1047635" s="141"/>
      <c r="AH1047635" s="141"/>
      <c r="AI1047635" s="141"/>
      <c r="AP1047635" s="141"/>
      <c r="AQ1047635" s="141"/>
      <c r="AR1047635" s="141"/>
      <c r="AV1047635" s="141"/>
      <c r="AW1047635" s="141"/>
      <c r="AX1047635" s="141"/>
      <c r="BP1047635" s="142"/>
      <c r="BU1047635" s="143"/>
    </row>
    <row r="1047636" customFormat="1" ht="14.25" spans="33:73">
      <c r="AG1047636" s="141"/>
      <c r="AH1047636" s="141"/>
      <c r="AI1047636" s="141"/>
      <c r="AP1047636" s="141"/>
      <c r="AQ1047636" s="141"/>
      <c r="AR1047636" s="141"/>
      <c r="AV1047636" s="141"/>
      <c r="AW1047636" s="141"/>
      <c r="AX1047636" s="141"/>
      <c r="BP1047636" s="142"/>
      <c r="BU1047636" s="143"/>
    </row>
    <row r="1047637" customFormat="1" ht="14.25" spans="33:73">
      <c r="AG1047637" s="141"/>
      <c r="AH1047637" s="141"/>
      <c r="AI1047637" s="141"/>
      <c r="AP1047637" s="141"/>
      <c r="AQ1047637" s="141"/>
      <c r="AR1047637" s="141"/>
      <c r="AV1047637" s="141"/>
      <c r="AW1047637" s="141"/>
      <c r="AX1047637" s="141"/>
      <c r="BP1047637" s="142"/>
      <c r="BU1047637" s="143"/>
    </row>
    <row r="1047638" customFormat="1" ht="14.25" spans="33:73">
      <c r="AG1047638" s="141"/>
      <c r="AH1047638" s="141"/>
      <c r="AI1047638" s="141"/>
      <c r="AP1047638" s="141"/>
      <c r="AQ1047638" s="141"/>
      <c r="AR1047638" s="141"/>
      <c r="AV1047638" s="141"/>
      <c r="AW1047638" s="141"/>
      <c r="AX1047638" s="141"/>
      <c r="BP1047638" s="142"/>
      <c r="BU1047638" s="143"/>
    </row>
    <row r="1047639" customFormat="1" ht="14.25" spans="33:73">
      <c r="AG1047639" s="141"/>
      <c r="AH1047639" s="141"/>
      <c r="AI1047639" s="141"/>
      <c r="AP1047639" s="141"/>
      <c r="AQ1047639" s="141"/>
      <c r="AR1047639" s="141"/>
      <c r="AV1047639" s="141"/>
      <c r="AW1047639" s="141"/>
      <c r="AX1047639" s="141"/>
      <c r="BP1047639" s="142"/>
      <c r="BU1047639" s="143"/>
    </row>
    <row r="1047640" customFormat="1" ht="14.25" spans="33:73">
      <c r="AG1047640" s="141"/>
      <c r="AH1047640" s="141"/>
      <c r="AI1047640" s="141"/>
      <c r="AP1047640" s="141"/>
      <c r="AQ1047640" s="141"/>
      <c r="AR1047640" s="141"/>
      <c r="AV1047640" s="141"/>
      <c r="AW1047640" s="141"/>
      <c r="AX1047640" s="141"/>
      <c r="BP1047640" s="142"/>
      <c r="BU1047640" s="143"/>
    </row>
    <row r="1047641" customFormat="1" ht="14.25" spans="33:73">
      <c r="AG1047641" s="141"/>
      <c r="AH1047641" s="141"/>
      <c r="AI1047641" s="141"/>
      <c r="AP1047641" s="141"/>
      <c r="AQ1047641" s="141"/>
      <c r="AR1047641" s="141"/>
      <c r="AV1047641" s="141"/>
      <c r="AW1047641" s="141"/>
      <c r="AX1047641" s="141"/>
      <c r="BP1047641" s="142"/>
      <c r="BU1047641" s="143"/>
    </row>
    <row r="1047642" customFormat="1" ht="14.25" spans="33:73">
      <c r="AG1047642" s="141"/>
      <c r="AH1047642" s="141"/>
      <c r="AI1047642" s="141"/>
      <c r="AP1047642" s="141"/>
      <c r="AQ1047642" s="141"/>
      <c r="AR1047642" s="141"/>
      <c r="AV1047642" s="141"/>
      <c r="AW1047642" s="141"/>
      <c r="AX1047642" s="141"/>
      <c r="BP1047642" s="142"/>
      <c r="BU1047642" s="143"/>
    </row>
    <row r="1047643" customFormat="1" ht="14.25" spans="33:73">
      <c r="AG1047643" s="141"/>
      <c r="AH1047643" s="141"/>
      <c r="AI1047643" s="141"/>
      <c r="AP1047643" s="141"/>
      <c r="AQ1047643" s="141"/>
      <c r="AR1047643" s="141"/>
      <c r="AV1047643" s="141"/>
      <c r="AW1047643" s="141"/>
      <c r="AX1047643" s="141"/>
      <c r="BP1047643" s="142"/>
      <c r="BU1047643" s="143"/>
    </row>
    <row r="1047644" customFormat="1" ht="14.25" spans="33:73">
      <c r="AG1047644" s="141"/>
      <c r="AH1047644" s="141"/>
      <c r="AI1047644" s="141"/>
      <c r="AP1047644" s="141"/>
      <c r="AQ1047644" s="141"/>
      <c r="AR1047644" s="141"/>
      <c r="AV1047644" s="141"/>
      <c r="AW1047644" s="141"/>
      <c r="AX1047644" s="141"/>
      <c r="BP1047644" s="142"/>
      <c r="BU1047644" s="143"/>
    </row>
    <row r="1047645" customFormat="1" ht="14.25" spans="33:73">
      <c r="AG1047645" s="141"/>
      <c r="AH1047645" s="141"/>
      <c r="AI1047645" s="141"/>
      <c r="AP1047645" s="141"/>
      <c r="AQ1047645" s="141"/>
      <c r="AR1047645" s="141"/>
      <c r="AV1047645" s="141"/>
      <c r="AW1047645" s="141"/>
      <c r="AX1047645" s="141"/>
      <c r="BP1047645" s="142"/>
      <c r="BU1047645" s="143"/>
    </row>
    <row r="1047646" customFormat="1" ht="14.25" spans="33:73">
      <c r="AG1047646" s="141"/>
      <c r="AH1047646" s="141"/>
      <c r="AI1047646" s="141"/>
      <c r="AP1047646" s="141"/>
      <c r="AQ1047646" s="141"/>
      <c r="AR1047646" s="141"/>
      <c r="AV1047646" s="141"/>
      <c r="AW1047646" s="141"/>
      <c r="AX1047646" s="141"/>
      <c r="BP1047646" s="142"/>
      <c r="BU1047646" s="143"/>
    </row>
    <row r="1047647" customFormat="1" ht="14.25" spans="33:73">
      <c r="AG1047647" s="141"/>
      <c r="AH1047647" s="141"/>
      <c r="AI1047647" s="141"/>
      <c r="AP1047647" s="141"/>
      <c r="AQ1047647" s="141"/>
      <c r="AR1047647" s="141"/>
      <c r="AV1047647" s="141"/>
      <c r="AW1047647" s="141"/>
      <c r="AX1047647" s="141"/>
      <c r="BP1047647" s="142"/>
      <c r="BU1047647" s="143"/>
    </row>
    <row r="1047648" customFormat="1" ht="14.25" spans="33:73">
      <c r="AG1047648" s="141"/>
      <c r="AH1047648" s="141"/>
      <c r="AI1047648" s="141"/>
      <c r="AP1047648" s="141"/>
      <c r="AQ1047648" s="141"/>
      <c r="AR1047648" s="141"/>
      <c r="AV1047648" s="141"/>
      <c r="AW1047648" s="141"/>
      <c r="AX1047648" s="141"/>
      <c r="BP1047648" s="142"/>
      <c r="BU1047648" s="143"/>
    </row>
    <row r="1047649" customFormat="1" ht="14.25" spans="33:73">
      <c r="AG1047649" s="141"/>
      <c r="AH1047649" s="141"/>
      <c r="AI1047649" s="141"/>
      <c r="AP1047649" s="141"/>
      <c r="AQ1047649" s="141"/>
      <c r="AR1047649" s="141"/>
      <c r="AV1047649" s="141"/>
      <c r="AW1047649" s="141"/>
      <c r="AX1047649" s="141"/>
      <c r="BP1047649" s="142"/>
      <c r="BU1047649" s="143"/>
    </row>
    <row r="1047650" customFormat="1" ht="14.25" spans="33:73">
      <c r="AG1047650" s="141"/>
      <c r="AH1047650" s="141"/>
      <c r="AI1047650" s="141"/>
      <c r="AP1047650" s="141"/>
      <c r="AQ1047650" s="141"/>
      <c r="AR1047650" s="141"/>
      <c r="AV1047650" s="141"/>
      <c r="AW1047650" s="141"/>
      <c r="AX1047650" s="141"/>
      <c r="BP1047650" s="142"/>
      <c r="BU1047650" s="143"/>
    </row>
    <row r="1047651" customFormat="1" ht="14.25" spans="33:73">
      <c r="AG1047651" s="141"/>
      <c r="AH1047651" s="141"/>
      <c r="AI1047651" s="141"/>
      <c r="AP1047651" s="141"/>
      <c r="AQ1047651" s="141"/>
      <c r="AR1047651" s="141"/>
      <c r="AV1047651" s="141"/>
      <c r="AW1047651" s="141"/>
      <c r="AX1047651" s="141"/>
      <c r="BP1047651" s="142"/>
      <c r="BU1047651" s="143"/>
    </row>
    <row r="1047652" customFormat="1" ht="14.25" spans="33:73">
      <c r="AG1047652" s="141"/>
      <c r="AH1047652" s="141"/>
      <c r="AI1047652" s="141"/>
      <c r="AP1047652" s="141"/>
      <c r="AQ1047652" s="141"/>
      <c r="AR1047652" s="141"/>
      <c r="AV1047652" s="141"/>
      <c r="AW1047652" s="141"/>
      <c r="AX1047652" s="141"/>
      <c r="BP1047652" s="142"/>
      <c r="BU1047652" s="143"/>
    </row>
    <row r="1047653" customFormat="1" ht="14.25" spans="33:73">
      <c r="AG1047653" s="141"/>
      <c r="AH1047653" s="141"/>
      <c r="AI1047653" s="141"/>
      <c r="AP1047653" s="141"/>
      <c r="AQ1047653" s="141"/>
      <c r="AR1047653" s="141"/>
      <c r="AV1047653" s="141"/>
      <c r="AW1047653" s="141"/>
      <c r="AX1047653" s="141"/>
      <c r="BP1047653" s="142"/>
      <c r="BU1047653" s="143"/>
    </row>
    <row r="1047654" customFormat="1" ht="14.25" spans="33:73">
      <c r="AG1047654" s="141"/>
      <c r="AH1047654" s="141"/>
      <c r="AI1047654" s="141"/>
      <c r="AP1047654" s="141"/>
      <c r="AQ1047654" s="141"/>
      <c r="AR1047654" s="141"/>
      <c r="AV1047654" s="141"/>
      <c r="AW1047654" s="141"/>
      <c r="AX1047654" s="141"/>
      <c r="BP1047654" s="142"/>
      <c r="BU1047654" s="143"/>
    </row>
    <row r="1047655" customFormat="1" ht="14.25" spans="33:73">
      <c r="AG1047655" s="141"/>
      <c r="AH1047655" s="141"/>
      <c r="AI1047655" s="141"/>
      <c r="AP1047655" s="141"/>
      <c r="AQ1047655" s="141"/>
      <c r="AR1047655" s="141"/>
      <c r="AV1047655" s="141"/>
      <c r="AW1047655" s="141"/>
      <c r="AX1047655" s="141"/>
      <c r="BP1047655" s="142"/>
      <c r="BU1047655" s="143"/>
    </row>
    <row r="1047656" customFormat="1" ht="14.25" spans="33:73">
      <c r="AG1047656" s="141"/>
      <c r="AH1047656" s="141"/>
      <c r="AI1047656" s="141"/>
      <c r="AP1047656" s="141"/>
      <c r="AQ1047656" s="141"/>
      <c r="AR1047656" s="141"/>
      <c r="AV1047656" s="141"/>
      <c r="AW1047656" s="141"/>
      <c r="AX1047656" s="141"/>
      <c r="BP1047656" s="142"/>
      <c r="BU1047656" s="143"/>
    </row>
    <row r="1047657" customFormat="1" ht="14.25" spans="33:73">
      <c r="AG1047657" s="141"/>
      <c r="AH1047657" s="141"/>
      <c r="AI1047657" s="141"/>
      <c r="AP1047657" s="141"/>
      <c r="AQ1047657" s="141"/>
      <c r="AR1047657" s="141"/>
      <c r="AV1047657" s="141"/>
      <c r="AW1047657" s="141"/>
      <c r="AX1047657" s="141"/>
      <c r="BP1047657" s="142"/>
      <c r="BU1047657" s="143"/>
    </row>
    <row r="1047658" customFormat="1" ht="14.25" spans="33:73">
      <c r="AG1047658" s="141"/>
      <c r="AH1047658" s="141"/>
      <c r="AI1047658" s="141"/>
      <c r="AP1047658" s="141"/>
      <c r="AQ1047658" s="141"/>
      <c r="AR1047658" s="141"/>
      <c r="AV1047658" s="141"/>
      <c r="AW1047658" s="141"/>
      <c r="AX1047658" s="141"/>
      <c r="BP1047658" s="142"/>
      <c r="BU1047658" s="143"/>
    </row>
    <row r="1047659" customFormat="1" ht="14.25" spans="33:73">
      <c r="AG1047659" s="141"/>
      <c r="AH1047659" s="141"/>
      <c r="AI1047659" s="141"/>
      <c r="AP1047659" s="141"/>
      <c r="AQ1047659" s="141"/>
      <c r="AR1047659" s="141"/>
      <c r="AV1047659" s="141"/>
      <c r="AW1047659" s="141"/>
      <c r="AX1047659" s="141"/>
      <c r="BP1047659" s="142"/>
      <c r="BU1047659" s="143"/>
    </row>
    <row r="1047660" customFormat="1" ht="14.25" spans="33:73">
      <c r="AG1047660" s="141"/>
      <c r="AH1047660" s="141"/>
      <c r="AI1047660" s="141"/>
      <c r="AP1047660" s="141"/>
      <c r="AQ1047660" s="141"/>
      <c r="AR1047660" s="141"/>
      <c r="AV1047660" s="141"/>
      <c r="AW1047660" s="141"/>
      <c r="AX1047660" s="141"/>
      <c r="BP1047660" s="142"/>
      <c r="BU1047660" s="143"/>
    </row>
    <row r="1047661" customFormat="1" ht="14.25" spans="33:73">
      <c r="AG1047661" s="141"/>
      <c r="AH1047661" s="141"/>
      <c r="AI1047661" s="141"/>
      <c r="AP1047661" s="141"/>
      <c r="AQ1047661" s="141"/>
      <c r="AR1047661" s="141"/>
      <c r="AV1047661" s="141"/>
      <c r="AW1047661" s="141"/>
      <c r="AX1047661" s="141"/>
      <c r="BP1047661" s="142"/>
      <c r="BU1047661" s="143"/>
    </row>
    <row r="1047662" customFormat="1" ht="14.25" spans="33:73">
      <c r="AG1047662" s="141"/>
      <c r="AH1047662" s="141"/>
      <c r="AI1047662" s="141"/>
      <c r="AP1047662" s="141"/>
      <c r="AQ1047662" s="141"/>
      <c r="AR1047662" s="141"/>
      <c r="AV1047662" s="141"/>
      <c r="AW1047662" s="141"/>
      <c r="AX1047662" s="141"/>
      <c r="BP1047662" s="142"/>
      <c r="BU1047662" s="143"/>
    </row>
    <row r="1047663" customFormat="1" ht="14.25" spans="33:73">
      <c r="AG1047663" s="141"/>
      <c r="AH1047663" s="141"/>
      <c r="AI1047663" s="141"/>
      <c r="AP1047663" s="141"/>
      <c r="AQ1047663" s="141"/>
      <c r="AR1047663" s="141"/>
      <c r="AV1047663" s="141"/>
      <c r="AW1047663" s="141"/>
      <c r="AX1047663" s="141"/>
      <c r="BP1047663" s="142"/>
      <c r="BU1047663" s="143"/>
    </row>
    <row r="1047664" customFormat="1" ht="14.25" spans="33:73">
      <c r="AG1047664" s="141"/>
      <c r="AH1047664" s="141"/>
      <c r="AI1047664" s="141"/>
      <c r="AP1047664" s="141"/>
      <c r="AQ1047664" s="141"/>
      <c r="AR1047664" s="141"/>
      <c r="AV1047664" s="141"/>
      <c r="AW1047664" s="141"/>
      <c r="AX1047664" s="141"/>
      <c r="BP1047664" s="142"/>
      <c r="BU1047664" s="143"/>
    </row>
    <row r="1047665" customFormat="1" ht="14.25" spans="33:73">
      <c r="AG1047665" s="141"/>
      <c r="AH1047665" s="141"/>
      <c r="AI1047665" s="141"/>
      <c r="AP1047665" s="141"/>
      <c r="AQ1047665" s="141"/>
      <c r="AR1047665" s="141"/>
      <c r="AV1047665" s="141"/>
      <c r="AW1047665" s="141"/>
      <c r="AX1047665" s="141"/>
      <c r="BP1047665" s="142"/>
      <c r="BU1047665" s="143"/>
    </row>
    <row r="1047666" customFormat="1" ht="14.25" spans="33:73">
      <c r="AG1047666" s="141"/>
      <c r="AH1047666" s="141"/>
      <c r="AI1047666" s="141"/>
      <c r="AP1047666" s="141"/>
      <c r="AQ1047666" s="141"/>
      <c r="AR1047666" s="141"/>
      <c r="AV1047666" s="141"/>
      <c r="AW1047666" s="141"/>
      <c r="AX1047666" s="141"/>
      <c r="BP1047666" s="142"/>
      <c r="BU1047666" s="143"/>
    </row>
    <row r="1047667" customFormat="1" ht="14.25" spans="33:73">
      <c r="AG1047667" s="141"/>
      <c r="AH1047667" s="141"/>
      <c r="AI1047667" s="141"/>
      <c r="AP1047667" s="141"/>
      <c r="AQ1047667" s="141"/>
      <c r="AR1047667" s="141"/>
      <c r="AV1047667" s="141"/>
      <c r="AW1047667" s="141"/>
      <c r="AX1047667" s="141"/>
      <c r="BP1047667" s="142"/>
      <c r="BU1047667" s="143"/>
    </row>
    <row r="1047668" customFormat="1" ht="14.25" spans="33:73">
      <c r="AG1047668" s="141"/>
      <c r="AH1047668" s="141"/>
      <c r="AI1047668" s="141"/>
      <c r="AP1047668" s="141"/>
      <c r="AQ1047668" s="141"/>
      <c r="AR1047668" s="141"/>
      <c r="AV1047668" s="141"/>
      <c r="AW1047668" s="141"/>
      <c r="AX1047668" s="141"/>
      <c r="BP1047668" s="142"/>
      <c r="BU1047668" s="143"/>
    </row>
    <row r="1047669" customFormat="1" ht="14.25" spans="33:73">
      <c r="AG1047669" s="141"/>
      <c r="AH1047669" s="141"/>
      <c r="AI1047669" s="141"/>
      <c r="AP1047669" s="141"/>
      <c r="AQ1047669" s="141"/>
      <c r="AR1047669" s="141"/>
      <c r="AV1047669" s="141"/>
      <c r="AW1047669" s="141"/>
      <c r="AX1047669" s="141"/>
      <c r="BP1047669" s="142"/>
      <c r="BU1047669" s="143"/>
    </row>
    <row r="1047670" customFormat="1" ht="14.25" spans="33:73">
      <c r="AG1047670" s="141"/>
      <c r="AH1047670" s="141"/>
      <c r="AI1047670" s="141"/>
      <c r="AP1047670" s="141"/>
      <c r="AQ1047670" s="141"/>
      <c r="AR1047670" s="141"/>
      <c r="AV1047670" s="141"/>
      <c r="AW1047670" s="141"/>
      <c r="AX1047670" s="141"/>
      <c r="BP1047670" s="142"/>
      <c r="BU1047670" s="143"/>
    </row>
    <row r="1047671" customFormat="1" ht="14.25" spans="33:73">
      <c r="AG1047671" s="141"/>
      <c r="AH1047671" s="141"/>
      <c r="AI1047671" s="141"/>
      <c r="AP1047671" s="141"/>
      <c r="AQ1047671" s="141"/>
      <c r="AR1047671" s="141"/>
      <c r="AV1047671" s="141"/>
      <c r="AW1047671" s="141"/>
      <c r="AX1047671" s="141"/>
      <c r="BP1047671" s="142"/>
      <c r="BU1047671" s="143"/>
    </row>
    <row r="1047672" customFormat="1" ht="14.25" spans="33:73">
      <c r="AG1047672" s="141"/>
      <c r="AH1047672" s="141"/>
      <c r="AI1047672" s="141"/>
      <c r="AP1047672" s="141"/>
      <c r="AQ1047672" s="141"/>
      <c r="AR1047672" s="141"/>
      <c r="AV1047672" s="141"/>
      <c r="AW1047672" s="141"/>
      <c r="AX1047672" s="141"/>
      <c r="BP1047672" s="142"/>
      <c r="BU1047672" s="143"/>
    </row>
    <row r="1047673" customFormat="1" ht="14.25" spans="33:73">
      <c r="AG1047673" s="141"/>
      <c r="AH1047673" s="141"/>
      <c r="AI1047673" s="141"/>
      <c r="AP1047673" s="141"/>
      <c r="AQ1047673" s="141"/>
      <c r="AR1047673" s="141"/>
      <c r="AV1047673" s="141"/>
      <c r="AW1047673" s="141"/>
      <c r="AX1047673" s="141"/>
      <c r="BP1047673" s="142"/>
      <c r="BU1047673" s="143"/>
    </row>
    <row r="1047674" customFormat="1" ht="14.25" spans="33:73">
      <c r="AG1047674" s="141"/>
      <c r="AH1047674" s="141"/>
      <c r="AI1047674" s="141"/>
      <c r="AP1047674" s="141"/>
      <c r="AQ1047674" s="141"/>
      <c r="AR1047674" s="141"/>
      <c r="AV1047674" s="141"/>
      <c r="AW1047674" s="141"/>
      <c r="AX1047674" s="141"/>
      <c r="BP1047674" s="142"/>
      <c r="BU1047674" s="143"/>
    </row>
    <row r="1047675" customFormat="1" ht="14.25" spans="33:73">
      <c r="AG1047675" s="141"/>
      <c r="AH1047675" s="141"/>
      <c r="AI1047675" s="141"/>
      <c r="AP1047675" s="141"/>
      <c r="AQ1047675" s="141"/>
      <c r="AR1047675" s="141"/>
      <c r="AV1047675" s="141"/>
      <c r="AW1047675" s="141"/>
      <c r="AX1047675" s="141"/>
      <c r="BP1047675" s="142"/>
      <c r="BU1047675" s="143"/>
    </row>
    <row r="1047676" customFormat="1" ht="14.25" spans="33:73">
      <c r="AG1047676" s="141"/>
      <c r="AH1047676" s="141"/>
      <c r="AI1047676" s="141"/>
      <c r="AP1047676" s="141"/>
      <c r="AQ1047676" s="141"/>
      <c r="AR1047676" s="141"/>
      <c r="AV1047676" s="141"/>
      <c r="AW1047676" s="141"/>
      <c r="AX1047676" s="141"/>
      <c r="BP1047676" s="142"/>
      <c r="BU1047676" s="143"/>
    </row>
    <row r="1047677" customFormat="1" ht="14.25" spans="33:73">
      <c r="AG1047677" s="141"/>
      <c r="AH1047677" s="141"/>
      <c r="AI1047677" s="141"/>
      <c r="AP1047677" s="141"/>
      <c r="AQ1047677" s="141"/>
      <c r="AR1047677" s="141"/>
      <c r="AV1047677" s="141"/>
      <c r="AW1047677" s="141"/>
      <c r="AX1047677" s="141"/>
      <c r="BP1047677" s="142"/>
      <c r="BU1047677" s="143"/>
    </row>
    <row r="1047678" customFormat="1" ht="14.25" spans="33:73">
      <c r="AG1047678" s="141"/>
      <c r="AH1047678" s="141"/>
      <c r="AI1047678" s="141"/>
      <c r="AP1047678" s="141"/>
      <c r="AQ1047678" s="141"/>
      <c r="AR1047678" s="141"/>
      <c r="AV1047678" s="141"/>
      <c r="AW1047678" s="141"/>
      <c r="AX1047678" s="141"/>
      <c r="BP1047678" s="142"/>
      <c r="BU1047678" s="143"/>
    </row>
    <row r="1047679" customFormat="1" ht="14.25" spans="33:73">
      <c r="AG1047679" s="141"/>
      <c r="AH1047679" s="141"/>
      <c r="AI1047679" s="141"/>
      <c r="AP1047679" s="141"/>
      <c r="AQ1047679" s="141"/>
      <c r="AR1047679" s="141"/>
      <c r="AV1047679" s="141"/>
      <c r="AW1047679" s="141"/>
      <c r="AX1047679" s="141"/>
      <c r="BP1047679" s="142"/>
      <c r="BU1047679" s="143"/>
    </row>
    <row r="1047680" customFormat="1" ht="14.25" spans="33:73">
      <c r="AG1047680" s="141"/>
      <c r="AH1047680" s="141"/>
      <c r="AI1047680" s="141"/>
      <c r="AP1047680" s="141"/>
      <c r="AQ1047680" s="141"/>
      <c r="AR1047680" s="141"/>
      <c r="AV1047680" s="141"/>
      <c r="AW1047680" s="141"/>
      <c r="AX1047680" s="141"/>
      <c r="BP1047680" s="142"/>
      <c r="BU1047680" s="143"/>
    </row>
    <row r="1047681" customFormat="1" ht="14.25" spans="33:73">
      <c r="AG1047681" s="141"/>
      <c r="AH1047681" s="141"/>
      <c r="AI1047681" s="141"/>
      <c r="AP1047681" s="141"/>
      <c r="AQ1047681" s="141"/>
      <c r="AR1047681" s="141"/>
      <c r="AV1047681" s="141"/>
      <c r="AW1047681" s="141"/>
      <c r="AX1047681" s="141"/>
      <c r="BP1047681" s="142"/>
      <c r="BU1047681" s="143"/>
    </row>
    <row r="1047682" customFormat="1" ht="14.25" spans="33:73">
      <c r="AG1047682" s="141"/>
      <c r="AH1047682" s="141"/>
      <c r="AI1047682" s="141"/>
      <c r="AP1047682" s="141"/>
      <c r="AQ1047682" s="141"/>
      <c r="AR1047682" s="141"/>
      <c r="AV1047682" s="141"/>
      <c r="AW1047682" s="141"/>
      <c r="AX1047682" s="141"/>
      <c r="BP1047682" s="142"/>
      <c r="BU1047682" s="143"/>
    </row>
    <row r="1047683" customFormat="1" ht="14.25" spans="33:73">
      <c r="AG1047683" s="141"/>
      <c r="AH1047683" s="141"/>
      <c r="AI1047683" s="141"/>
      <c r="AP1047683" s="141"/>
      <c r="AQ1047683" s="141"/>
      <c r="AR1047683" s="141"/>
      <c r="AV1047683" s="141"/>
      <c r="AW1047683" s="141"/>
      <c r="AX1047683" s="141"/>
      <c r="BP1047683" s="142"/>
      <c r="BU1047683" s="143"/>
    </row>
    <row r="1047684" customFormat="1" ht="14.25" spans="33:73">
      <c r="AG1047684" s="141"/>
      <c r="AH1047684" s="141"/>
      <c r="AI1047684" s="141"/>
      <c r="AP1047684" s="141"/>
      <c r="AQ1047684" s="141"/>
      <c r="AR1047684" s="141"/>
      <c r="AV1047684" s="141"/>
      <c r="AW1047684" s="141"/>
      <c r="AX1047684" s="141"/>
      <c r="BP1047684" s="142"/>
      <c r="BU1047684" s="143"/>
    </row>
    <row r="1047685" customFormat="1" ht="14.25" spans="33:73">
      <c r="AG1047685" s="141"/>
      <c r="AH1047685" s="141"/>
      <c r="AI1047685" s="141"/>
      <c r="AP1047685" s="141"/>
      <c r="AQ1047685" s="141"/>
      <c r="AR1047685" s="141"/>
      <c r="AV1047685" s="141"/>
      <c r="AW1047685" s="141"/>
      <c r="AX1047685" s="141"/>
      <c r="BP1047685" s="142"/>
      <c r="BU1047685" s="143"/>
    </row>
    <row r="1047686" customFormat="1" ht="14.25" spans="33:73">
      <c r="AG1047686" s="141"/>
      <c r="AH1047686" s="141"/>
      <c r="AI1047686" s="141"/>
      <c r="AP1047686" s="141"/>
      <c r="AQ1047686" s="141"/>
      <c r="AR1047686" s="141"/>
      <c r="AV1047686" s="141"/>
      <c r="AW1047686" s="141"/>
      <c r="AX1047686" s="141"/>
      <c r="BP1047686" s="142"/>
      <c r="BU1047686" s="143"/>
    </row>
    <row r="1047687" customFormat="1" ht="14.25" spans="33:73">
      <c r="AG1047687" s="141"/>
      <c r="AH1047687" s="141"/>
      <c r="AI1047687" s="141"/>
      <c r="AP1047687" s="141"/>
      <c r="AQ1047687" s="141"/>
      <c r="AR1047687" s="141"/>
      <c r="AV1047687" s="141"/>
      <c r="AW1047687" s="141"/>
      <c r="AX1047687" s="141"/>
      <c r="BP1047687" s="142"/>
      <c r="BU1047687" s="143"/>
    </row>
    <row r="1047688" customFormat="1" ht="14.25" spans="33:73">
      <c r="AG1047688" s="141"/>
      <c r="AH1047688" s="141"/>
      <c r="AI1047688" s="141"/>
      <c r="AP1047688" s="141"/>
      <c r="AQ1047688" s="141"/>
      <c r="AR1047688" s="141"/>
      <c r="AV1047688" s="141"/>
      <c r="AW1047688" s="141"/>
      <c r="AX1047688" s="141"/>
      <c r="BP1047688" s="142"/>
      <c r="BU1047688" s="143"/>
    </row>
    <row r="1047689" customFormat="1" ht="14.25" spans="33:73">
      <c r="AG1047689" s="141"/>
      <c r="AH1047689" s="141"/>
      <c r="AI1047689" s="141"/>
      <c r="AP1047689" s="141"/>
      <c r="AQ1047689" s="141"/>
      <c r="AR1047689" s="141"/>
      <c r="AV1047689" s="141"/>
      <c r="AW1047689" s="141"/>
      <c r="AX1047689" s="141"/>
      <c r="BP1047689" s="142"/>
      <c r="BU1047689" s="143"/>
    </row>
    <row r="1047690" customFormat="1" ht="14.25" spans="33:73">
      <c r="AG1047690" s="141"/>
      <c r="AH1047690" s="141"/>
      <c r="AI1047690" s="141"/>
      <c r="AP1047690" s="141"/>
      <c r="AQ1047690" s="141"/>
      <c r="AR1047690" s="141"/>
      <c r="AV1047690" s="141"/>
      <c r="AW1047690" s="141"/>
      <c r="AX1047690" s="141"/>
      <c r="BP1047690" s="142"/>
      <c r="BU1047690" s="143"/>
    </row>
    <row r="1047691" customFormat="1" ht="14.25" spans="33:73">
      <c r="AG1047691" s="141"/>
      <c r="AH1047691" s="141"/>
      <c r="AI1047691" s="141"/>
      <c r="AP1047691" s="141"/>
      <c r="AQ1047691" s="141"/>
      <c r="AR1047691" s="141"/>
      <c r="AV1047691" s="141"/>
      <c r="AW1047691" s="141"/>
      <c r="AX1047691" s="141"/>
      <c r="BP1047691" s="142"/>
      <c r="BU1047691" s="143"/>
    </row>
    <row r="1047692" customFormat="1" ht="14.25" spans="33:73">
      <c r="AG1047692" s="141"/>
      <c r="AH1047692" s="141"/>
      <c r="AI1047692" s="141"/>
      <c r="AP1047692" s="141"/>
      <c r="AQ1047692" s="141"/>
      <c r="AR1047692" s="141"/>
      <c r="AV1047692" s="141"/>
      <c r="AW1047692" s="141"/>
      <c r="AX1047692" s="141"/>
      <c r="BP1047692" s="142"/>
      <c r="BU1047692" s="143"/>
    </row>
    <row r="1047693" customFormat="1" ht="14.25" spans="33:73">
      <c r="AG1047693" s="141"/>
      <c r="AH1047693" s="141"/>
      <c r="AI1047693" s="141"/>
      <c r="AP1047693" s="141"/>
      <c r="AQ1047693" s="141"/>
      <c r="AR1047693" s="141"/>
      <c r="AV1047693" s="141"/>
      <c r="AW1047693" s="141"/>
      <c r="AX1047693" s="141"/>
      <c r="BP1047693" s="142"/>
      <c r="BU1047693" s="143"/>
    </row>
    <row r="1047694" customFormat="1" ht="14.25" spans="33:73">
      <c r="AG1047694" s="141"/>
      <c r="AH1047694" s="141"/>
      <c r="AI1047694" s="141"/>
      <c r="AP1047694" s="141"/>
      <c r="AQ1047694" s="141"/>
      <c r="AR1047694" s="141"/>
      <c r="AV1047694" s="141"/>
      <c r="AW1047694" s="141"/>
      <c r="AX1047694" s="141"/>
      <c r="BP1047694" s="142"/>
      <c r="BU1047694" s="143"/>
    </row>
    <row r="1047695" customFormat="1" ht="14.25" spans="33:73">
      <c r="AG1047695" s="141"/>
      <c r="AH1047695" s="141"/>
      <c r="AI1047695" s="141"/>
      <c r="AP1047695" s="141"/>
      <c r="AQ1047695" s="141"/>
      <c r="AR1047695" s="141"/>
      <c r="AV1047695" s="141"/>
      <c r="AW1047695" s="141"/>
      <c r="AX1047695" s="141"/>
      <c r="BP1047695" s="142"/>
      <c r="BU1047695" s="143"/>
    </row>
    <row r="1047696" customFormat="1" ht="14.25" spans="33:73">
      <c r="AG1047696" s="141"/>
      <c r="AH1047696" s="141"/>
      <c r="AI1047696" s="141"/>
      <c r="AP1047696" s="141"/>
      <c r="AQ1047696" s="141"/>
      <c r="AR1047696" s="141"/>
      <c r="AV1047696" s="141"/>
      <c r="AW1047696" s="141"/>
      <c r="AX1047696" s="141"/>
      <c r="BP1047696" s="142"/>
      <c r="BU1047696" s="143"/>
    </row>
    <row r="1047697" customFormat="1" ht="14.25" spans="33:73">
      <c r="AG1047697" s="141"/>
      <c r="AH1047697" s="141"/>
      <c r="AI1047697" s="141"/>
      <c r="AP1047697" s="141"/>
      <c r="AQ1047697" s="141"/>
      <c r="AR1047697" s="141"/>
      <c r="AV1047697" s="141"/>
      <c r="AW1047697" s="141"/>
      <c r="AX1047697" s="141"/>
      <c r="BP1047697" s="142"/>
      <c r="BU1047697" s="143"/>
    </row>
    <row r="1047698" customFormat="1" ht="14.25" spans="33:73">
      <c r="AG1047698" s="141"/>
      <c r="AH1047698" s="141"/>
      <c r="AI1047698" s="141"/>
      <c r="AP1047698" s="141"/>
      <c r="AQ1047698" s="141"/>
      <c r="AR1047698" s="141"/>
      <c r="AV1047698" s="141"/>
      <c r="AW1047698" s="141"/>
      <c r="AX1047698" s="141"/>
      <c r="BP1047698" s="142"/>
      <c r="BU1047698" s="143"/>
    </row>
    <row r="1047699" customFormat="1" ht="14.25" spans="33:73">
      <c r="AG1047699" s="141"/>
      <c r="AH1047699" s="141"/>
      <c r="AI1047699" s="141"/>
      <c r="AP1047699" s="141"/>
      <c r="AQ1047699" s="141"/>
      <c r="AR1047699" s="141"/>
      <c r="AV1047699" s="141"/>
      <c r="AW1047699" s="141"/>
      <c r="AX1047699" s="141"/>
      <c r="BP1047699" s="142"/>
      <c r="BU1047699" s="143"/>
    </row>
    <row r="1047700" customFormat="1" ht="14.25" spans="33:73">
      <c r="AG1047700" s="141"/>
      <c r="AH1047700" s="141"/>
      <c r="AI1047700" s="141"/>
      <c r="AP1047700" s="141"/>
      <c r="AQ1047700" s="141"/>
      <c r="AR1047700" s="141"/>
      <c r="AV1047700" s="141"/>
      <c r="AW1047700" s="141"/>
      <c r="AX1047700" s="141"/>
      <c r="BP1047700" s="142"/>
      <c r="BU1047700" s="143"/>
    </row>
    <row r="1047701" customFormat="1" ht="14.25" spans="33:73">
      <c r="AG1047701" s="141"/>
      <c r="AH1047701" s="141"/>
      <c r="AI1047701" s="141"/>
      <c r="AP1047701" s="141"/>
      <c r="AQ1047701" s="141"/>
      <c r="AR1047701" s="141"/>
      <c r="AV1047701" s="141"/>
      <c r="AW1047701" s="141"/>
      <c r="AX1047701" s="141"/>
      <c r="BP1047701" s="142"/>
      <c r="BU1047701" s="143"/>
    </row>
    <row r="1047702" customFormat="1" ht="14.25" spans="33:73">
      <c r="AG1047702" s="141"/>
      <c r="AH1047702" s="141"/>
      <c r="AI1047702" s="141"/>
      <c r="AP1047702" s="141"/>
      <c r="AQ1047702" s="141"/>
      <c r="AR1047702" s="141"/>
      <c r="AV1047702" s="141"/>
      <c r="AW1047702" s="141"/>
      <c r="AX1047702" s="141"/>
      <c r="BP1047702" s="142"/>
      <c r="BU1047702" s="143"/>
    </row>
    <row r="1047703" customFormat="1" ht="14.25" spans="33:73">
      <c r="AG1047703" s="141"/>
      <c r="AH1047703" s="141"/>
      <c r="AI1047703" s="141"/>
      <c r="AP1047703" s="141"/>
      <c r="AQ1047703" s="141"/>
      <c r="AR1047703" s="141"/>
      <c r="AV1047703" s="141"/>
      <c r="AW1047703" s="141"/>
      <c r="AX1047703" s="141"/>
      <c r="BP1047703" s="142"/>
      <c r="BU1047703" s="143"/>
    </row>
    <row r="1047704" customFormat="1" ht="14.25" spans="33:73">
      <c r="AG1047704" s="141"/>
      <c r="AH1047704" s="141"/>
      <c r="AI1047704" s="141"/>
      <c r="AP1047704" s="141"/>
      <c r="AQ1047704" s="141"/>
      <c r="AR1047704" s="141"/>
      <c r="AV1047704" s="141"/>
      <c r="AW1047704" s="141"/>
      <c r="AX1047704" s="141"/>
      <c r="BP1047704" s="142"/>
      <c r="BU1047704" s="143"/>
    </row>
    <row r="1047705" customFormat="1" ht="14.25" spans="33:73">
      <c r="AG1047705" s="141"/>
      <c r="AH1047705" s="141"/>
      <c r="AI1047705" s="141"/>
      <c r="AP1047705" s="141"/>
      <c r="AQ1047705" s="141"/>
      <c r="AR1047705" s="141"/>
      <c r="AV1047705" s="141"/>
      <c r="AW1047705" s="141"/>
      <c r="AX1047705" s="141"/>
      <c r="BP1047705" s="142"/>
      <c r="BU1047705" s="143"/>
    </row>
    <row r="1047706" customFormat="1" ht="14.25" spans="33:73">
      <c r="AG1047706" s="141"/>
      <c r="AH1047706" s="141"/>
      <c r="AI1047706" s="141"/>
      <c r="AP1047706" s="141"/>
      <c r="AQ1047706" s="141"/>
      <c r="AR1047706" s="141"/>
      <c r="AV1047706" s="141"/>
      <c r="AW1047706" s="141"/>
      <c r="AX1047706" s="141"/>
      <c r="BP1047706" s="142"/>
      <c r="BU1047706" s="143"/>
    </row>
    <row r="1047707" customFormat="1" ht="14.25" spans="33:73">
      <c r="AG1047707" s="141"/>
      <c r="AH1047707" s="141"/>
      <c r="AI1047707" s="141"/>
      <c r="AP1047707" s="141"/>
      <c r="AQ1047707" s="141"/>
      <c r="AR1047707" s="141"/>
      <c r="AV1047707" s="141"/>
      <c r="AW1047707" s="141"/>
      <c r="AX1047707" s="141"/>
      <c r="BP1047707" s="142"/>
      <c r="BU1047707" s="143"/>
    </row>
    <row r="1047708" customFormat="1" ht="14.25" spans="33:73">
      <c r="AG1047708" s="141"/>
      <c r="AH1047708" s="141"/>
      <c r="AI1047708" s="141"/>
      <c r="AP1047708" s="141"/>
      <c r="AQ1047708" s="141"/>
      <c r="AR1047708" s="141"/>
      <c r="AV1047708" s="141"/>
      <c r="AW1047708" s="141"/>
      <c r="AX1047708" s="141"/>
      <c r="BP1047708" s="142"/>
      <c r="BU1047708" s="143"/>
    </row>
    <row r="1047709" customFormat="1" ht="14.25" spans="33:73">
      <c r="AG1047709" s="141"/>
      <c r="AH1047709" s="141"/>
      <c r="AI1047709" s="141"/>
      <c r="AP1047709" s="141"/>
      <c r="AQ1047709" s="141"/>
      <c r="AR1047709" s="141"/>
      <c r="AV1047709" s="141"/>
      <c r="AW1047709" s="141"/>
      <c r="AX1047709" s="141"/>
      <c r="BP1047709" s="142"/>
      <c r="BU1047709" s="143"/>
    </row>
    <row r="1047710" customFormat="1" ht="14.25" spans="33:73">
      <c r="AG1047710" s="141"/>
      <c r="AH1047710" s="141"/>
      <c r="AI1047710" s="141"/>
      <c r="AP1047710" s="141"/>
      <c r="AQ1047710" s="141"/>
      <c r="AR1047710" s="141"/>
      <c r="AV1047710" s="141"/>
      <c r="AW1047710" s="141"/>
      <c r="AX1047710" s="141"/>
      <c r="BP1047710" s="142"/>
      <c r="BU1047710" s="143"/>
    </row>
    <row r="1047711" customFormat="1" ht="14.25" spans="33:73">
      <c r="AG1047711" s="141"/>
      <c r="AH1047711" s="141"/>
      <c r="AI1047711" s="141"/>
      <c r="AP1047711" s="141"/>
      <c r="AQ1047711" s="141"/>
      <c r="AR1047711" s="141"/>
      <c r="AV1047711" s="141"/>
      <c r="AW1047711" s="141"/>
      <c r="AX1047711" s="141"/>
      <c r="BP1047711" s="142"/>
      <c r="BU1047711" s="143"/>
    </row>
    <row r="1047712" customFormat="1" ht="14.25" spans="33:73">
      <c r="AG1047712" s="141"/>
      <c r="AH1047712" s="141"/>
      <c r="AI1047712" s="141"/>
      <c r="AP1047712" s="141"/>
      <c r="AQ1047712" s="141"/>
      <c r="AR1047712" s="141"/>
      <c r="AV1047712" s="141"/>
      <c r="AW1047712" s="141"/>
      <c r="AX1047712" s="141"/>
      <c r="BP1047712" s="142"/>
      <c r="BU1047712" s="143"/>
    </row>
    <row r="1047713" customFormat="1" ht="14.25" spans="33:73">
      <c r="AG1047713" s="141"/>
      <c r="AH1047713" s="141"/>
      <c r="AI1047713" s="141"/>
      <c r="AP1047713" s="141"/>
      <c r="AQ1047713" s="141"/>
      <c r="AR1047713" s="141"/>
      <c r="AV1047713" s="141"/>
      <c r="AW1047713" s="141"/>
      <c r="AX1047713" s="141"/>
      <c r="BP1047713" s="142"/>
      <c r="BU1047713" s="143"/>
    </row>
    <row r="1047714" customFormat="1" ht="14.25" spans="33:73">
      <c r="AG1047714" s="141"/>
      <c r="AH1047714" s="141"/>
      <c r="AI1047714" s="141"/>
      <c r="AP1047714" s="141"/>
      <c r="AQ1047714" s="141"/>
      <c r="AR1047714" s="141"/>
      <c r="AV1047714" s="141"/>
      <c r="AW1047714" s="141"/>
      <c r="AX1047714" s="141"/>
      <c r="BP1047714" s="142"/>
      <c r="BU1047714" s="143"/>
    </row>
    <row r="1047715" customFormat="1" ht="14.25" spans="33:73">
      <c r="AG1047715" s="141"/>
      <c r="AH1047715" s="141"/>
      <c r="AI1047715" s="141"/>
      <c r="AP1047715" s="141"/>
      <c r="AQ1047715" s="141"/>
      <c r="AR1047715" s="141"/>
      <c r="AV1047715" s="141"/>
      <c r="AW1047715" s="141"/>
      <c r="AX1047715" s="141"/>
      <c r="BP1047715" s="142"/>
      <c r="BU1047715" s="143"/>
    </row>
    <row r="1047716" customFormat="1" ht="14.25" spans="33:73">
      <c r="AG1047716" s="141"/>
      <c r="AH1047716" s="141"/>
      <c r="AI1047716" s="141"/>
      <c r="AP1047716" s="141"/>
      <c r="AQ1047716" s="141"/>
      <c r="AR1047716" s="141"/>
      <c r="AV1047716" s="141"/>
      <c r="AW1047716" s="141"/>
      <c r="AX1047716" s="141"/>
      <c r="BP1047716" s="142"/>
      <c r="BU1047716" s="143"/>
    </row>
    <row r="1047717" customFormat="1" ht="14.25" spans="33:73">
      <c r="AG1047717" s="141"/>
      <c r="AH1047717" s="141"/>
      <c r="AI1047717" s="141"/>
      <c r="AP1047717" s="141"/>
      <c r="AQ1047717" s="141"/>
      <c r="AR1047717" s="141"/>
      <c r="AV1047717" s="141"/>
      <c r="AW1047717" s="141"/>
      <c r="AX1047717" s="141"/>
      <c r="BP1047717" s="142"/>
      <c r="BU1047717" s="143"/>
    </row>
    <row r="1047718" customFormat="1" ht="14.25" spans="33:73">
      <c r="AG1047718" s="141"/>
      <c r="AH1047718" s="141"/>
      <c r="AI1047718" s="141"/>
      <c r="AP1047718" s="141"/>
      <c r="AQ1047718" s="141"/>
      <c r="AR1047718" s="141"/>
      <c r="AV1047718" s="141"/>
      <c r="AW1047718" s="141"/>
      <c r="AX1047718" s="141"/>
      <c r="BP1047718" s="142"/>
      <c r="BU1047718" s="143"/>
    </row>
    <row r="1047719" customFormat="1" ht="14.25" spans="33:73">
      <c r="AG1047719" s="141"/>
      <c r="AH1047719" s="141"/>
      <c r="AI1047719" s="141"/>
      <c r="AP1047719" s="141"/>
      <c r="AQ1047719" s="141"/>
      <c r="AR1047719" s="141"/>
      <c r="AV1047719" s="141"/>
      <c r="AW1047719" s="141"/>
      <c r="AX1047719" s="141"/>
      <c r="BP1047719" s="142"/>
      <c r="BU1047719" s="143"/>
    </row>
    <row r="1047720" customFormat="1" ht="14.25" spans="33:73">
      <c r="AG1047720" s="141"/>
      <c r="AH1047720" s="141"/>
      <c r="AI1047720" s="141"/>
      <c r="AP1047720" s="141"/>
      <c r="AQ1047720" s="141"/>
      <c r="AR1047720" s="141"/>
      <c r="AV1047720" s="141"/>
      <c r="AW1047720" s="141"/>
      <c r="AX1047720" s="141"/>
      <c r="BP1047720" s="142"/>
      <c r="BU1047720" s="143"/>
    </row>
    <row r="1047721" customFormat="1" ht="14.25" spans="33:73">
      <c r="AG1047721" s="141"/>
      <c r="AH1047721" s="141"/>
      <c r="AI1047721" s="141"/>
      <c r="AP1047721" s="141"/>
      <c r="AQ1047721" s="141"/>
      <c r="AR1047721" s="141"/>
      <c r="AV1047721" s="141"/>
      <c r="AW1047721" s="141"/>
      <c r="AX1047721" s="141"/>
      <c r="BP1047721" s="142"/>
      <c r="BU1047721" s="143"/>
    </row>
    <row r="1047722" customFormat="1" ht="14.25" spans="33:73">
      <c r="AG1047722" s="141"/>
      <c r="AH1047722" s="141"/>
      <c r="AI1047722" s="141"/>
      <c r="AP1047722" s="141"/>
      <c r="AQ1047722" s="141"/>
      <c r="AR1047722" s="141"/>
      <c r="AV1047722" s="141"/>
      <c r="AW1047722" s="141"/>
      <c r="AX1047722" s="141"/>
      <c r="BP1047722" s="142"/>
      <c r="BU1047722" s="143"/>
    </row>
    <row r="1047723" customFormat="1" ht="14.25" spans="33:73">
      <c r="AG1047723" s="141"/>
      <c r="AH1047723" s="141"/>
      <c r="AI1047723" s="141"/>
      <c r="AP1047723" s="141"/>
      <c r="AQ1047723" s="141"/>
      <c r="AR1047723" s="141"/>
      <c r="AV1047723" s="141"/>
      <c r="AW1047723" s="141"/>
      <c r="AX1047723" s="141"/>
      <c r="BP1047723" s="142"/>
      <c r="BU1047723" s="143"/>
    </row>
    <row r="1047724" customFormat="1" ht="14.25" spans="33:73">
      <c r="AG1047724" s="141"/>
      <c r="AH1047724" s="141"/>
      <c r="AI1047724" s="141"/>
      <c r="AP1047724" s="141"/>
      <c r="AQ1047724" s="141"/>
      <c r="AR1047724" s="141"/>
      <c r="AV1047724" s="141"/>
      <c r="AW1047724" s="141"/>
      <c r="AX1047724" s="141"/>
      <c r="BP1047724" s="142"/>
      <c r="BU1047724" s="143"/>
    </row>
    <row r="1047725" customFormat="1" ht="14.25" spans="33:73">
      <c r="AG1047725" s="141"/>
      <c r="AH1047725" s="141"/>
      <c r="AI1047725" s="141"/>
      <c r="AP1047725" s="141"/>
      <c r="AQ1047725" s="141"/>
      <c r="AR1047725" s="141"/>
      <c r="AV1047725" s="141"/>
      <c r="AW1047725" s="141"/>
      <c r="AX1047725" s="141"/>
      <c r="BP1047725" s="142"/>
      <c r="BU1047725" s="143"/>
    </row>
    <row r="1047726" customFormat="1" ht="14.25" spans="33:73">
      <c r="AG1047726" s="141"/>
      <c r="AH1047726" s="141"/>
      <c r="AI1047726" s="141"/>
      <c r="AP1047726" s="141"/>
      <c r="AQ1047726" s="141"/>
      <c r="AR1047726" s="141"/>
      <c r="AV1047726" s="141"/>
      <c r="AW1047726" s="141"/>
      <c r="AX1047726" s="141"/>
      <c r="BP1047726" s="142"/>
      <c r="BU1047726" s="143"/>
    </row>
    <row r="1047727" customFormat="1" ht="14.25" spans="33:73">
      <c r="AG1047727" s="141"/>
      <c r="AH1047727" s="141"/>
      <c r="AI1047727" s="141"/>
      <c r="AP1047727" s="141"/>
      <c r="AQ1047727" s="141"/>
      <c r="AR1047727" s="141"/>
      <c r="AV1047727" s="141"/>
      <c r="AW1047727" s="141"/>
      <c r="AX1047727" s="141"/>
      <c r="BP1047727" s="142"/>
      <c r="BU1047727" s="143"/>
    </row>
    <row r="1047728" customFormat="1" ht="14.25" spans="33:73">
      <c r="AG1047728" s="141"/>
      <c r="AH1047728" s="141"/>
      <c r="AI1047728" s="141"/>
      <c r="AP1047728" s="141"/>
      <c r="AQ1047728" s="141"/>
      <c r="AR1047728" s="141"/>
      <c r="AV1047728" s="141"/>
      <c r="AW1047728" s="141"/>
      <c r="AX1047728" s="141"/>
      <c r="BP1047728" s="142"/>
      <c r="BU1047728" s="143"/>
    </row>
    <row r="1047729" customFormat="1" ht="14.25" spans="33:73">
      <c r="AG1047729" s="141"/>
      <c r="AH1047729" s="141"/>
      <c r="AI1047729" s="141"/>
      <c r="AP1047729" s="141"/>
      <c r="AQ1047729" s="141"/>
      <c r="AR1047729" s="141"/>
      <c r="AV1047729" s="141"/>
      <c r="AW1047729" s="141"/>
      <c r="AX1047729" s="141"/>
      <c r="BP1047729" s="142"/>
      <c r="BU1047729" s="143"/>
    </row>
    <row r="1047730" customFormat="1" ht="14.25" spans="33:73">
      <c r="AG1047730" s="141"/>
      <c r="AH1047730" s="141"/>
      <c r="AI1047730" s="141"/>
      <c r="AP1047730" s="141"/>
      <c r="AQ1047730" s="141"/>
      <c r="AR1047730" s="141"/>
      <c r="AV1047730" s="141"/>
      <c r="AW1047730" s="141"/>
      <c r="AX1047730" s="141"/>
      <c r="BP1047730" s="142"/>
      <c r="BU1047730" s="143"/>
    </row>
    <row r="1047731" customFormat="1" ht="14.25" spans="33:73">
      <c r="AG1047731" s="141"/>
      <c r="AH1047731" s="141"/>
      <c r="AI1047731" s="141"/>
      <c r="AP1047731" s="141"/>
      <c r="AQ1047731" s="141"/>
      <c r="AR1047731" s="141"/>
      <c r="AV1047731" s="141"/>
      <c r="AW1047731" s="141"/>
      <c r="AX1047731" s="141"/>
      <c r="BP1047731" s="142"/>
      <c r="BU1047731" s="143"/>
    </row>
    <row r="1047732" customFormat="1" ht="14.25" spans="33:73">
      <c r="AG1047732" s="141"/>
      <c r="AH1047732" s="141"/>
      <c r="AI1047732" s="141"/>
      <c r="AP1047732" s="141"/>
      <c r="AQ1047732" s="141"/>
      <c r="AR1047732" s="141"/>
      <c r="AV1047732" s="141"/>
      <c r="AW1047732" s="141"/>
      <c r="AX1047732" s="141"/>
      <c r="BP1047732" s="142"/>
      <c r="BU1047732" s="143"/>
    </row>
    <row r="1047733" customFormat="1" ht="14.25" spans="33:73">
      <c r="AG1047733" s="141"/>
      <c r="AH1047733" s="141"/>
      <c r="AI1047733" s="141"/>
      <c r="AP1047733" s="141"/>
      <c r="AQ1047733" s="141"/>
      <c r="AR1047733" s="141"/>
      <c r="AV1047733" s="141"/>
      <c r="AW1047733" s="141"/>
      <c r="AX1047733" s="141"/>
      <c r="BP1047733" s="142"/>
      <c r="BU1047733" s="143"/>
    </row>
    <row r="1047734" customFormat="1" ht="14.25" spans="33:73">
      <c r="AG1047734" s="141"/>
      <c r="AH1047734" s="141"/>
      <c r="AI1047734" s="141"/>
      <c r="AP1047734" s="141"/>
      <c r="AQ1047734" s="141"/>
      <c r="AR1047734" s="141"/>
      <c r="AV1047734" s="141"/>
      <c r="AW1047734" s="141"/>
      <c r="AX1047734" s="141"/>
      <c r="BP1047734" s="142"/>
      <c r="BU1047734" s="143"/>
    </row>
    <row r="1047735" customFormat="1" ht="14.25" spans="33:73">
      <c r="AG1047735" s="141"/>
      <c r="AH1047735" s="141"/>
      <c r="AI1047735" s="141"/>
      <c r="AP1047735" s="141"/>
      <c r="AQ1047735" s="141"/>
      <c r="AR1047735" s="141"/>
      <c r="AV1047735" s="141"/>
      <c r="AW1047735" s="141"/>
      <c r="AX1047735" s="141"/>
      <c r="BP1047735" s="142"/>
      <c r="BU1047735" s="143"/>
    </row>
    <row r="1047736" customFormat="1" ht="14.25" spans="33:73">
      <c r="AG1047736" s="141"/>
      <c r="AH1047736" s="141"/>
      <c r="AI1047736" s="141"/>
      <c r="AP1047736" s="141"/>
      <c r="AQ1047736" s="141"/>
      <c r="AR1047736" s="141"/>
      <c r="AV1047736" s="141"/>
      <c r="AW1047736" s="141"/>
      <c r="AX1047736" s="141"/>
      <c r="BP1047736" s="142"/>
      <c r="BU1047736" s="143"/>
    </row>
    <row r="1047737" customFormat="1" ht="14.25" spans="33:73">
      <c r="AG1047737" s="141"/>
      <c r="AH1047737" s="141"/>
      <c r="AI1047737" s="141"/>
      <c r="AP1047737" s="141"/>
      <c r="AQ1047737" s="141"/>
      <c r="AR1047737" s="141"/>
      <c r="AV1047737" s="141"/>
      <c r="AW1047737" s="141"/>
      <c r="AX1047737" s="141"/>
      <c r="BP1047737" s="142"/>
      <c r="BU1047737" s="143"/>
    </row>
    <row r="1047738" customFormat="1" ht="14.25" spans="33:73">
      <c r="AG1047738" s="141"/>
      <c r="AH1047738" s="141"/>
      <c r="AI1047738" s="141"/>
      <c r="AP1047738" s="141"/>
      <c r="AQ1047738" s="141"/>
      <c r="AR1047738" s="141"/>
      <c r="AV1047738" s="141"/>
      <c r="AW1047738" s="141"/>
      <c r="AX1047738" s="141"/>
      <c r="BP1047738" s="142"/>
      <c r="BU1047738" s="143"/>
    </row>
    <row r="1047739" customFormat="1" ht="14.25" spans="33:73">
      <c r="AG1047739" s="141"/>
      <c r="AH1047739" s="141"/>
      <c r="AI1047739" s="141"/>
      <c r="AP1047739" s="141"/>
      <c r="AQ1047739" s="141"/>
      <c r="AR1047739" s="141"/>
      <c r="AV1047739" s="141"/>
      <c r="AW1047739" s="141"/>
      <c r="AX1047739" s="141"/>
      <c r="BP1047739" s="142"/>
      <c r="BU1047739" s="143"/>
    </row>
    <row r="1047740" customFormat="1" ht="14.25" spans="33:73">
      <c r="AG1047740" s="141"/>
      <c r="AH1047740" s="141"/>
      <c r="AI1047740" s="141"/>
      <c r="AP1047740" s="141"/>
      <c r="AQ1047740" s="141"/>
      <c r="AR1047740" s="141"/>
      <c r="AV1047740" s="141"/>
      <c r="AW1047740" s="141"/>
      <c r="AX1047740" s="141"/>
      <c r="BP1047740" s="142"/>
      <c r="BU1047740" s="143"/>
    </row>
    <row r="1047741" customFormat="1" ht="14.25" spans="33:73">
      <c r="AG1047741" s="141"/>
      <c r="AH1047741" s="141"/>
      <c r="AI1047741" s="141"/>
      <c r="AP1047741" s="141"/>
      <c r="AQ1047741" s="141"/>
      <c r="AR1047741" s="141"/>
      <c r="AV1047741" s="141"/>
      <c r="AW1047741" s="141"/>
      <c r="AX1047741" s="141"/>
      <c r="BP1047741" s="142"/>
      <c r="BU1047741" s="143"/>
    </row>
    <row r="1047742" customFormat="1" ht="14.25" spans="33:73">
      <c r="AG1047742" s="141"/>
      <c r="AH1047742" s="141"/>
      <c r="AI1047742" s="141"/>
      <c r="AP1047742" s="141"/>
      <c r="AQ1047742" s="141"/>
      <c r="AR1047742" s="141"/>
      <c r="AV1047742" s="141"/>
      <c r="AW1047742" s="141"/>
      <c r="AX1047742" s="141"/>
      <c r="BP1047742" s="142"/>
      <c r="BU1047742" s="143"/>
    </row>
    <row r="1047743" customFormat="1" ht="14.25" spans="33:73">
      <c r="AG1047743" s="141"/>
      <c r="AH1047743" s="141"/>
      <c r="AI1047743" s="141"/>
      <c r="AP1047743" s="141"/>
      <c r="AQ1047743" s="141"/>
      <c r="AR1047743" s="141"/>
      <c r="AV1047743" s="141"/>
      <c r="AW1047743" s="141"/>
      <c r="AX1047743" s="141"/>
      <c r="BP1047743" s="142"/>
      <c r="BU1047743" s="143"/>
    </row>
    <row r="1047744" customFormat="1" ht="14.25" spans="33:73">
      <c r="AG1047744" s="141"/>
      <c r="AH1047744" s="141"/>
      <c r="AI1047744" s="141"/>
      <c r="AP1047744" s="141"/>
      <c r="AQ1047744" s="141"/>
      <c r="AR1047744" s="141"/>
      <c r="AV1047744" s="141"/>
      <c r="AW1047744" s="141"/>
      <c r="AX1047744" s="141"/>
      <c r="BP1047744" s="142"/>
      <c r="BU1047744" s="143"/>
    </row>
    <row r="1047745" customFormat="1" ht="14.25" spans="33:73">
      <c r="AG1047745" s="141"/>
      <c r="AH1047745" s="141"/>
      <c r="AI1047745" s="141"/>
      <c r="AP1047745" s="141"/>
      <c r="AQ1047745" s="141"/>
      <c r="AR1047745" s="141"/>
      <c r="AV1047745" s="141"/>
      <c r="AW1047745" s="141"/>
      <c r="AX1047745" s="141"/>
      <c r="BP1047745" s="142"/>
      <c r="BU1047745" s="143"/>
    </row>
    <row r="1047746" customFormat="1" ht="14.25" spans="33:73">
      <c r="AG1047746" s="141"/>
      <c r="AH1047746" s="141"/>
      <c r="AI1047746" s="141"/>
      <c r="AP1047746" s="141"/>
      <c r="AQ1047746" s="141"/>
      <c r="AR1047746" s="141"/>
      <c r="AV1047746" s="141"/>
      <c r="AW1047746" s="141"/>
      <c r="AX1047746" s="141"/>
      <c r="BP1047746" s="142"/>
      <c r="BU1047746" s="143"/>
    </row>
    <row r="1047747" customFormat="1" ht="14.25" spans="33:73">
      <c r="AG1047747" s="141"/>
      <c r="AH1047747" s="141"/>
      <c r="AI1047747" s="141"/>
      <c r="AP1047747" s="141"/>
      <c r="AQ1047747" s="141"/>
      <c r="AR1047747" s="141"/>
      <c r="AV1047747" s="141"/>
      <c r="AW1047747" s="141"/>
      <c r="AX1047747" s="141"/>
      <c r="BP1047747" s="142"/>
      <c r="BU1047747" s="143"/>
    </row>
    <row r="1047748" customFormat="1" ht="14.25" spans="33:73">
      <c r="AG1047748" s="141"/>
      <c r="AH1047748" s="141"/>
      <c r="AI1047748" s="141"/>
      <c r="AP1047748" s="141"/>
      <c r="AQ1047748" s="141"/>
      <c r="AR1047748" s="141"/>
      <c r="AV1047748" s="141"/>
      <c r="AW1047748" s="141"/>
      <c r="AX1047748" s="141"/>
      <c r="BP1047748" s="142"/>
      <c r="BU1047748" s="143"/>
    </row>
    <row r="1047749" customFormat="1" ht="14.25" spans="33:73">
      <c r="AG1047749" s="141"/>
      <c r="AH1047749" s="141"/>
      <c r="AI1047749" s="141"/>
      <c r="AP1047749" s="141"/>
      <c r="AQ1047749" s="141"/>
      <c r="AR1047749" s="141"/>
      <c r="AV1047749" s="141"/>
      <c r="AW1047749" s="141"/>
      <c r="AX1047749" s="141"/>
      <c r="BP1047749" s="142"/>
      <c r="BU1047749" s="143"/>
    </row>
    <row r="1047750" customFormat="1" ht="14.25" spans="33:73">
      <c r="AG1047750" s="141"/>
      <c r="AH1047750" s="141"/>
      <c r="AI1047750" s="141"/>
      <c r="AP1047750" s="141"/>
      <c r="AQ1047750" s="141"/>
      <c r="AR1047750" s="141"/>
      <c r="AV1047750" s="141"/>
      <c r="AW1047750" s="141"/>
      <c r="AX1047750" s="141"/>
      <c r="BP1047750" s="142"/>
      <c r="BU1047750" s="143"/>
    </row>
    <row r="1047751" customFormat="1" ht="14.25" spans="33:73">
      <c r="AG1047751" s="141"/>
      <c r="AH1047751" s="141"/>
      <c r="AI1047751" s="141"/>
      <c r="AP1047751" s="141"/>
      <c r="AQ1047751" s="141"/>
      <c r="AR1047751" s="141"/>
      <c r="AV1047751" s="141"/>
      <c r="AW1047751" s="141"/>
      <c r="AX1047751" s="141"/>
      <c r="BP1047751" s="142"/>
      <c r="BU1047751" s="143"/>
    </row>
    <row r="1047752" customFormat="1" ht="14.25" spans="33:73">
      <c r="AG1047752" s="141"/>
      <c r="AH1047752" s="141"/>
      <c r="AI1047752" s="141"/>
      <c r="AP1047752" s="141"/>
      <c r="AQ1047752" s="141"/>
      <c r="AR1047752" s="141"/>
      <c r="AV1047752" s="141"/>
      <c r="AW1047752" s="141"/>
      <c r="AX1047752" s="141"/>
      <c r="BP1047752" s="142"/>
      <c r="BU1047752" s="143"/>
    </row>
    <row r="1047753" customFormat="1" ht="14.25" spans="33:73">
      <c r="AG1047753" s="141"/>
      <c r="AH1047753" s="141"/>
      <c r="AI1047753" s="141"/>
      <c r="AP1047753" s="141"/>
      <c r="AQ1047753" s="141"/>
      <c r="AR1047753" s="141"/>
      <c r="AV1047753" s="141"/>
      <c r="AW1047753" s="141"/>
      <c r="AX1047753" s="141"/>
      <c r="BP1047753" s="142"/>
      <c r="BU1047753" s="143"/>
    </row>
    <row r="1047754" customFormat="1" ht="14.25" spans="33:73">
      <c r="AG1047754" s="141"/>
      <c r="AH1047754" s="141"/>
      <c r="AI1047754" s="141"/>
      <c r="AP1047754" s="141"/>
      <c r="AQ1047754" s="141"/>
      <c r="AR1047754" s="141"/>
      <c r="AV1047754" s="141"/>
      <c r="AW1047754" s="141"/>
      <c r="AX1047754" s="141"/>
      <c r="BP1047754" s="142"/>
      <c r="BU1047754" s="143"/>
    </row>
    <row r="1047755" customFormat="1" ht="14.25" spans="33:73">
      <c r="AG1047755" s="141"/>
      <c r="AH1047755" s="141"/>
      <c r="AI1047755" s="141"/>
      <c r="AP1047755" s="141"/>
      <c r="AQ1047755" s="141"/>
      <c r="AR1047755" s="141"/>
      <c r="AV1047755" s="141"/>
      <c r="AW1047755" s="141"/>
      <c r="AX1047755" s="141"/>
      <c r="BP1047755" s="142"/>
      <c r="BU1047755" s="143"/>
    </row>
    <row r="1047756" customFormat="1" ht="14.25" spans="33:73">
      <c r="AG1047756" s="141"/>
      <c r="AH1047756" s="141"/>
      <c r="AI1047756" s="141"/>
      <c r="AP1047756" s="141"/>
      <c r="AQ1047756" s="141"/>
      <c r="AR1047756" s="141"/>
      <c r="AV1047756" s="141"/>
      <c r="AW1047756" s="141"/>
      <c r="AX1047756" s="141"/>
      <c r="BP1047756" s="142"/>
      <c r="BU1047756" s="143"/>
    </row>
    <row r="1047757" customFormat="1" ht="14.25" spans="33:73">
      <c r="AG1047757" s="141"/>
      <c r="AH1047757" s="141"/>
      <c r="AI1047757" s="141"/>
      <c r="AP1047757" s="141"/>
      <c r="AQ1047757" s="141"/>
      <c r="AR1047757" s="141"/>
      <c r="AV1047757" s="141"/>
      <c r="AW1047757" s="141"/>
      <c r="AX1047757" s="141"/>
      <c r="BP1047757" s="142"/>
      <c r="BU1047757" s="143"/>
    </row>
    <row r="1047758" customFormat="1" ht="14.25" spans="33:73">
      <c r="AG1047758" s="141"/>
      <c r="AH1047758" s="141"/>
      <c r="AI1047758" s="141"/>
      <c r="AP1047758" s="141"/>
      <c r="AQ1047758" s="141"/>
      <c r="AR1047758" s="141"/>
      <c r="AV1047758" s="141"/>
      <c r="AW1047758" s="141"/>
      <c r="AX1047758" s="141"/>
      <c r="BP1047758" s="142"/>
      <c r="BU1047758" s="143"/>
    </row>
    <row r="1047759" customFormat="1" ht="14.25" spans="33:73">
      <c r="AG1047759" s="141"/>
      <c r="AH1047759" s="141"/>
      <c r="AI1047759" s="141"/>
      <c r="AP1047759" s="141"/>
      <c r="AQ1047759" s="141"/>
      <c r="AR1047759" s="141"/>
      <c r="AV1047759" s="141"/>
      <c r="AW1047759" s="141"/>
      <c r="AX1047759" s="141"/>
      <c r="BP1047759" s="142"/>
      <c r="BU1047759" s="143"/>
    </row>
    <row r="1047760" customFormat="1" ht="14.25" spans="33:73">
      <c r="AG1047760" s="141"/>
      <c r="AH1047760" s="141"/>
      <c r="AI1047760" s="141"/>
      <c r="AP1047760" s="141"/>
      <c r="AQ1047760" s="141"/>
      <c r="AR1047760" s="141"/>
      <c r="AV1047760" s="141"/>
      <c r="AW1047760" s="141"/>
      <c r="AX1047760" s="141"/>
      <c r="BP1047760" s="142"/>
      <c r="BU1047760" s="143"/>
    </row>
    <row r="1047761" customFormat="1" ht="14.25" spans="33:73">
      <c r="AG1047761" s="141"/>
      <c r="AH1047761" s="141"/>
      <c r="AI1047761" s="141"/>
      <c r="AP1047761" s="141"/>
      <c r="AQ1047761" s="141"/>
      <c r="AR1047761" s="141"/>
      <c r="AV1047761" s="141"/>
      <c r="AW1047761" s="141"/>
      <c r="AX1047761" s="141"/>
      <c r="BP1047761" s="142"/>
      <c r="BU1047761" s="143"/>
    </row>
    <row r="1047762" customFormat="1" ht="14.25" spans="33:73">
      <c r="AG1047762" s="141"/>
      <c r="AH1047762" s="141"/>
      <c r="AI1047762" s="141"/>
      <c r="AP1047762" s="141"/>
      <c r="AQ1047762" s="141"/>
      <c r="AR1047762" s="141"/>
      <c r="AV1047762" s="141"/>
      <c r="AW1047762" s="141"/>
      <c r="AX1047762" s="141"/>
      <c r="BP1047762" s="142"/>
      <c r="BU1047762" s="143"/>
    </row>
    <row r="1047763" customFormat="1" ht="14.25" spans="33:73">
      <c r="AG1047763" s="141"/>
      <c r="AH1047763" s="141"/>
      <c r="AI1047763" s="141"/>
      <c r="AP1047763" s="141"/>
      <c r="AQ1047763" s="141"/>
      <c r="AR1047763" s="141"/>
      <c r="AV1047763" s="141"/>
      <c r="AW1047763" s="141"/>
      <c r="AX1047763" s="141"/>
      <c r="BP1047763" s="142"/>
      <c r="BU1047763" s="143"/>
    </row>
    <row r="1047764" customFormat="1" ht="14.25" spans="33:73">
      <c r="AG1047764" s="141"/>
      <c r="AH1047764" s="141"/>
      <c r="AI1047764" s="141"/>
      <c r="AP1047764" s="141"/>
      <c r="AQ1047764" s="141"/>
      <c r="AR1047764" s="141"/>
      <c r="AV1047764" s="141"/>
      <c r="AW1047764" s="141"/>
      <c r="AX1047764" s="141"/>
      <c r="BP1047764" s="142"/>
      <c r="BU1047764" s="143"/>
    </row>
    <row r="1047765" customFormat="1" ht="14.25" spans="33:73">
      <c r="AG1047765" s="141"/>
      <c r="AH1047765" s="141"/>
      <c r="AI1047765" s="141"/>
      <c r="AP1047765" s="141"/>
      <c r="AQ1047765" s="141"/>
      <c r="AR1047765" s="141"/>
      <c r="AV1047765" s="141"/>
      <c r="AW1047765" s="141"/>
      <c r="AX1047765" s="141"/>
      <c r="BP1047765" s="142"/>
      <c r="BU1047765" s="143"/>
    </row>
    <row r="1047766" customFormat="1" ht="14.25" spans="33:73">
      <c r="AG1047766" s="141"/>
      <c r="AH1047766" s="141"/>
      <c r="AI1047766" s="141"/>
      <c r="AP1047766" s="141"/>
      <c r="AQ1047766" s="141"/>
      <c r="AR1047766" s="141"/>
      <c r="AV1047766" s="141"/>
      <c r="AW1047766" s="141"/>
      <c r="AX1047766" s="141"/>
      <c r="BP1047766" s="142"/>
      <c r="BU1047766" s="143"/>
    </row>
    <row r="1047767" customFormat="1" ht="14.25" spans="33:73">
      <c r="AG1047767" s="141"/>
      <c r="AH1047767" s="141"/>
      <c r="AI1047767" s="141"/>
      <c r="AP1047767" s="141"/>
      <c r="AQ1047767" s="141"/>
      <c r="AR1047767" s="141"/>
      <c r="AV1047767" s="141"/>
      <c r="AW1047767" s="141"/>
      <c r="AX1047767" s="141"/>
      <c r="BP1047767" s="142"/>
      <c r="BU1047767" s="143"/>
    </row>
    <row r="1047768" customFormat="1" ht="14.25" spans="33:73">
      <c r="AG1047768" s="141"/>
      <c r="AH1047768" s="141"/>
      <c r="AI1047768" s="141"/>
      <c r="AP1047768" s="141"/>
      <c r="AQ1047768" s="141"/>
      <c r="AR1047768" s="141"/>
      <c r="AV1047768" s="141"/>
      <c r="AW1047768" s="141"/>
      <c r="AX1047768" s="141"/>
      <c r="BP1047768" s="142"/>
      <c r="BU1047768" s="143"/>
    </row>
    <row r="1047769" customFormat="1" ht="14.25" spans="33:73">
      <c r="AG1047769" s="141"/>
      <c r="AH1047769" s="141"/>
      <c r="AI1047769" s="141"/>
      <c r="AP1047769" s="141"/>
      <c r="AQ1047769" s="141"/>
      <c r="AR1047769" s="141"/>
      <c r="AV1047769" s="141"/>
      <c r="AW1047769" s="141"/>
      <c r="AX1047769" s="141"/>
      <c r="BP1047769" s="142"/>
      <c r="BU1047769" s="143"/>
    </row>
    <row r="1047770" customFormat="1" ht="14.25" spans="33:73">
      <c r="AG1047770" s="141"/>
      <c r="AH1047770" s="141"/>
      <c r="AI1047770" s="141"/>
      <c r="AP1047770" s="141"/>
      <c r="AQ1047770" s="141"/>
      <c r="AR1047770" s="141"/>
      <c r="AV1047770" s="141"/>
      <c r="AW1047770" s="141"/>
      <c r="AX1047770" s="141"/>
      <c r="BP1047770" s="142"/>
      <c r="BU1047770" s="143"/>
    </row>
    <row r="1047771" customFormat="1" ht="14.25" spans="33:73">
      <c r="AG1047771" s="141"/>
      <c r="AH1047771" s="141"/>
      <c r="AI1047771" s="141"/>
      <c r="AP1047771" s="141"/>
      <c r="AQ1047771" s="141"/>
      <c r="AR1047771" s="141"/>
      <c r="AV1047771" s="141"/>
      <c r="AW1047771" s="141"/>
      <c r="AX1047771" s="141"/>
      <c r="BP1047771" s="142"/>
      <c r="BU1047771" s="143"/>
    </row>
    <row r="1047772" customFormat="1" ht="14.25" spans="33:73">
      <c r="AG1047772" s="141"/>
      <c r="AH1047772" s="141"/>
      <c r="AI1047772" s="141"/>
      <c r="AP1047772" s="141"/>
      <c r="AQ1047772" s="141"/>
      <c r="AR1047772" s="141"/>
      <c r="AV1047772" s="141"/>
      <c r="AW1047772" s="141"/>
      <c r="AX1047772" s="141"/>
      <c r="BP1047772" s="142"/>
      <c r="BU1047772" s="143"/>
    </row>
    <row r="1047773" customFormat="1" ht="14.25" spans="33:73">
      <c r="AG1047773" s="141"/>
      <c r="AH1047773" s="141"/>
      <c r="AI1047773" s="141"/>
      <c r="AP1047773" s="141"/>
      <c r="AQ1047773" s="141"/>
      <c r="AR1047773" s="141"/>
      <c r="AV1047773" s="141"/>
      <c r="AW1047773" s="141"/>
      <c r="AX1047773" s="141"/>
      <c r="BP1047773" s="142"/>
      <c r="BU1047773" s="143"/>
    </row>
    <row r="1047774" customFormat="1" ht="14.25" spans="33:73">
      <c r="AG1047774" s="141"/>
      <c r="AH1047774" s="141"/>
      <c r="AI1047774" s="141"/>
      <c r="AP1047774" s="141"/>
      <c r="AQ1047774" s="141"/>
      <c r="AR1047774" s="141"/>
      <c r="AV1047774" s="141"/>
      <c r="AW1047774" s="141"/>
      <c r="AX1047774" s="141"/>
      <c r="BP1047774" s="142"/>
      <c r="BU1047774" s="143"/>
    </row>
    <row r="1047775" customFormat="1" ht="14.25" spans="33:73">
      <c r="AG1047775" s="141"/>
      <c r="AH1047775" s="141"/>
      <c r="AI1047775" s="141"/>
      <c r="AP1047775" s="141"/>
      <c r="AQ1047775" s="141"/>
      <c r="AR1047775" s="141"/>
      <c r="AV1047775" s="141"/>
      <c r="AW1047775" s="141"/>
      <c r="AX1047775" s="141"/>
      <c r="BP1047775" s="142"/>
      <c r="BU1047775" s="143"/>
    </row>
    <row r="1047776" customFormat="1" ht="14.25" spans="33:73">
      <c r="AG1047776" s="141"/>
      <c r="AH1047776" s="141"/>
      <c r="AI1047776" s="141"/>
      <c r="AP1047776" s="141"/>
      <c r="AQ1047776" s="141"/>
      <c r="AR1047776" s="141"/>
      <c r="AV1047776" s="141"/>
      <c r="AW1047776" s="141"/>
      <c r="AX1047776" s="141"/>
      <c r="BP1047776" s="142"/>
      <c r="BU1047776" s="143"/>
    </row>
    <row r="1047777" customFormat="1" ht="14.25" spans="33:73">
      <c r="AG1047777" s="141"/>
      <c r="AH1047777" s="141"/>
      <c r="AI1047777" s="141"/>
      <c r="AP1047777" s="141"/>
      <c r="AQ1047777" s="141"/>
      <c r="AR1047777" s="141"/>
      <c r="AV1047777" s="141"/>
      <c r="AW1047777" s="141"/>
      <c r="AX1047777" s="141"/>
      <c r="BP1047777" s="142"/>
      <c r="BU1047777" s="143"/>
    </row>
    <row r="1047778" customFormat="1" ht="14.25" spans="33:73">
      <c r="AG1047778" s="141"/>
      <c r="AH1047778" s="141"/>
      <c r="AI1047778" s="141"/>
      <c r="AP1047778" s="141"/>
      <c r="AQ1047778" s="141"/>
      <c r="AR1047778" s="141"/>
      <c r="AV1047778" s="141"/>
      <c r="AW1047778" s="141"/>
      <c r="AX1047778" s="141"/>
      <c r="BP1047778" s="142"/>
      <c r="BU1047778" s="143"/>
    </row>
    <row r="1047779" customFormat="1" ht="14.25" spans="33:73">
      <c r="AG1047779" s="141"/>
      <c r="AH1047779" s="141"/>
      <c r="AI1047779" s="141"/>
      <c r="AP1047779" s="141"/>
      <c r="AQ1047779" s="141"/>
      <c r="AR1047779" s="141"/>
      <c r="AV1047779" s="141"/>
      <c r="AW1047779" s="141"/>
      <c r="AX1047779" s="141"/>
      <c r="BP1047779" s="142"/>
      <c r="BU1047779" s="143"/>
    </row>
    <row r="1047780" customFormat="1" ht="14.25" spans="33:73">
      <c r="AG1047780" s="141"/>
      <c r="AH1047780" s="141"/>
      <c r="AI1047780" s="141"/>
      <c r="AP1047780" s="141"/>
      <c r="AQ1047780" s="141"/>
      <c r="AR1047780" s="141"/>
      <c r="AV1047780" s="141"/>
      <c r="AW1047780" s="141"/>
      <c r="AX1047780" s="141"/>
      <c r="BP1047780" s="142"/>
      <c r="BU1047780" s="143"/>
    </row>
    <row r="1047781" customFormat="1" ht="14.25" spans="33:73">
      <c r="AG1047781" s="141"/>
      <c r="AH1047781" s="141"/>
      <c r="AI1047781" s="141"/>
      <c r="AP1047781" s="141"/>
      <c r="AQ1047781" s="141"/>
      <c r="AR1047781" s="141"/>
      <c r="AV1047781" s="141"/>
      <c r="AW1047781" s="141"/>
      <c r="AX1047781" s="141"/>
      <c r="BP1047781" s="142"/>
      <c r="BU1047781" s="143"/>
    </row>
    <row r="1047782" customFormat="1" ht="14.25" spans="33:73">
      <c r="AG1047782" s="141"/>
      <c r="AH1047782" s="141"/>
      <c r="AI1047782" s="141"/>
      <c r="AP1047782" s="141"/>
      <c r="AQ1047782" s="141"/>
      <c r="AR1047782" s="141"/>
      <c r="AV1047782" s="141"/>
      <c r="AW1047782" s="141"/>
      <c r="AX1047782" s="141"/>
      <c r="BP1047782" s="142"/>
      <c r="BU1047782" s="143"/>
    </row>
    <row r="1047783" customFormat="1" ht="14.25" spans="33:73">
      <c r="AG1047783" s="141"/>
      <c r="AH1047783" s="141"/>
      <c r="AI1047783" s="141"/>
      <c r="AP1047783" s="141"/>
      <c r="AQ1047783" s="141"/>
      <c r="AR1047783" s="141"/>
      <c r="AV1047783" s="141"/>
      <c r="AW1047783" s="141"/>
      <c r="AX1047783" s="141"/>
      <c r="BP1047783" s="142"/>
      <c r="BU1047783" s="143"/>
    </row>
    <row r="1047784" customFormat="1" ht="14.25" spans="33:73">
      <c r="AG1047784" s="141"/>
      <c r="AH1047784" s="141"/>
      <c r="AI1047784" s="141"/>
      <c r="AP1047784" s="141"/>
      <c r="AQ1047784" s="141"/>
      <c r="AR1047784" s="141"/>
      <c r="AV1047784" s="141"/>
      <c r="AW1047784" s="141"/>
      <c r="AX1047784" s="141"/>
      <c r="BP1047784" s="142"/>
      <c r="BU1047784" s="143"/>
    </row>
    <row r="1047785" customFormat="1" ht="14.25" spans="33:73">
      <c r="AG1047785" s="141"/>
      <c r="AH1047785" s="141"/>
      <c r="AI1047785" s="141"/>
      <c r="AP1047785" s="141"/>
      <c r="AQ1047785" s="141"/>
      <c r="AR1047785" s="141"/>
      <c r="AV1047785" s="141"/>
      <c r="AW1047785" s="141"/>
      <c r="AX1047785" s="141"/>
      <c r="BP1047785" s="142"/>
      <c r="BU1047785" s="143"/>
    </row>
    <row r="1047786" customFormat="1" ht="14.25" spans="33:73">
      <c r="AG1047786" s="141"/>
      <c r="AH1047786" s="141"/>
      <c r="AI1047786" s="141"/>
      <c r="AP1047786" s="141"/>
      <c r="AQ1047786" s="141"/>
      <c r="AR1047786" s="141"/>
      <c r="AV1047786" s="141"/>
      <c r="AW1047786" s="141"/>
      <c r="AX1047786" s="141"/>
      <c r="BP1047786" s="142"/>
      <c r="BU1047786" s="143"/>
    </row>
    <row r="1047787" customFormat="1" ht="14.25" spans="33:73">
      <c r="AG1047787" s="141"/>
      <c r="AH1047787" s="141"/>
      <c r="AI1047787" s="141"/>
      <c r="AP1047787" s="141"/>
      <c r="AQ1047787" s="141"/>
      <c r="AR1047787" s="141"/>
      <c r="AV1047787" s="141"/>
      <c r="AW1047787" s="141"/>
      <c r="AX1047787" s="141"/>
      <c r="BP1047787" s="142"/>
      <c r="BU1047787" s="143"/>
    </row>
    <row r="1047788" customFormat="1" ht="14.25" spans="33:73">
      <c r="AG1047788" s="141"/>
      <c r="AH1047788" s="141"/>
      <c r="AI1047788" s="141"/>
      <c r="AP1047788" s="141"/>
      <c r="AQ1047788" s="141"/>
      <c r="AR1047788" s="141"/>
      <c r="AV1047788" s="141"/>
      <c r="AW1047788" s="141"/>
      <c r="AX1047788" s="141"/>
      <c r="BP1047788" s="142"/>
      <c r="BU1047788" s="143"/>
    </row>
    <row r="1047789" customFormat="1" ht="14.25" spans="33:73">
      <c r="AG1047789" s="141"/>
      <c r="AH1047789" s="141"/>
      <c r="AI1047789" s="141"/>
      <c r="AP1047789" s="141"/>
      <c r="AQ1047789" s="141"/>
      <c r="AR1047789" s="141"/>
      <c r="AV1047789" s="141"/>
      <c r="AW1047789" s="141"/>
      <c r="AX1047789" s="141"/>
      <c r="BP1047789" s="142"/>
      <c r="BU1047789" s="143"/>
    </row>
    <row r="1047790" customFormat="1" ht="14.25" spans="33:73">
      <c r="AG1047790" s="141"/>
      <c r="AH1047790" s="141"/>
      <c r="AI1047790" s="141"/>
      <c r="AP1047790" s="141"/>
      <c r="AQ1047790" s="141"/>
      <c r="AR1047790" s="141"/>
      <c r="AV1047790" s="141"/>
      <c r="AW1047790" s="141"/>
      <c r="AX1047790" s="141"/>
      <c r="BP1047790" s="142"/>
      <c r="BU1047790" s="143"/>
    </row>
    <row r="1047791" customFormat="1" ht="14.25" spans="33:73">
      <c r="AG1047791" s="141"/>
      <c r="AH1047791" s="141"/>
      <c r="AI1047791" s="141"/>
      <c r="AP1047791" s="141"/>
      <c r="AQ1047791" s="141"/>
      <c r="AR1047791" s="141"/>
      <c r="AV1047791" s="141"/>
      <c r="AW1047791" s="141"/>
      <c r="AX1047791" s="141"/>
      <c r="BP1047791" s="142"/>
      <c r="BU1047791" s="143"/>
    </row>
    <row r="1047792" customFormat="1" ht="14.25" spans="33:73">
      <c r="AG1047792" s="141"/>
      <c r="AH1047792" s="141"/>
      <c r="AI1047792" s="141"/>
      <c r="AP1047792" s="141"/>
      <c r="AQ1047792" s="141"/>
      <c r="AR1047792" s="141"/>
      <c r="AV1047792" s="141"/>
      <c r="AW1047792" s="141"/>
      <c r="AX1047792" s="141"/>
      <c r="BP1047792" s="142"/>
      <c r="BU1047792" s="143"/>
    </row>
    <row r="1047793" customFormat="1" ht="14.25" spans="33:73">
      <c r="AG1047793" s="141"/>
      <c r="AH1047793" s="141"/>
      <c r="AI1047793" s="141"/>
      <c r="AP1047793" s="141"/>
      <c r="AQ1047793" s="141"/>
      <c r="AR1047793" s="141"/>
      <c r="AV1047793" s="141"/>
      <c r="AW1047793" s="141"/>
      <c r="AX1047793" s="141"/>
      <c r="BP1047793" s="142"/>
      <c r="BU1047793" s="143"/>
    </row>
    <row r="1047794" customFormat="1" ht="14.25" spans="33:73">
      <c r="AG1047794" s="141"/>
      <c r="AH1047794" s="141"/>
      <c r="AI1047794" s="141"/>
      <c r="AP1047794" s="141"/>
      <c r="AQ1047794" s="141"/>
      <c r="AR1047794" s="141"/>
      <c r="AV1047794" s="141"/>
      <c r="AW1047794" s="141"/>
      <c r="AX1047794" s="141"/>
      <c r="BP1047794" s="142"/>
      <c r="BU1047794" s="143"/>
    </row>
    <row r="1047795" customFormat="1" ht="14.25" spans="33:73">
      <c r="AG1047795" s="141"/>
      <c r="AH1047795" s="141"/>
      <c r="AI1047795" s="141"/>
      <c r="AP1047795" s="141"/>
      <c r="AQ1047795" s="141"/>
      <c r="AR1047795" s="141"/>
      <c r="AV1047795" s="141"/>
      <c r="AW1047795" s="141"/>
      <c r="AX1047795" s="141"/>
      <c r="BP1047795" s="142"/>
      <c r="BU1047795" s="143"/>
    </row>
    <row r="1047796" customFormat="1" ht="14.25" spans="33:73">
      <c r="AG1047796" s="141"/>
      <c r="AH1047796" s="141"/>
      <c r="AI1047796" s="141"/>
      <c r="AP1047796" s="141"/>
      <c r="AQ1047796" s="141"/>
      <c r="AR1047796" s="141"/>
      <c r="AV1047796" s="141"/>
      <c r="AW1047796" s="141"/>
      <c r="AX1047796" s="141"/>
      <c r="BP1047796" s="142"/>
      <c r="BU1047796" s="143"/>
    </row>
    <row r="1047797" customFormat="1" ht="14.25" spans="33:73">
      <c r="AG1047797" s="141"/>
      <c r="AH1047797" s="141"/>
      <c r="AI1047797" s="141"/>
      <c r="AP1047797" s="141"/>
      <c r="AQ1047797" s="141"/>
      <c r="AR1047797" s="141"/>
      <c r="AV1047797" s="141"/>
      <c r="AW1047797" s="141"/>
      <c r="AX1047797" s="141"/>
      <c r="BP1047797" s="142"/>
      <c r="BU1047797" s="143"/>
    </row>
    <row r="1047798" customFormat="1" ht="14.25" spans="33:73">
      <c r="AG1047798" s="141"/>
      <c r="AH1047798" s="141"/>
      <c r="AI1047798" s="141"/>
      <c r="AP1047798" s="141"/>
      <c r="AQ1047798" s="141"/>
      <c r="AR1047798" s="141"/>
      <c r="AV1047798" s="141"/>
      <c r="AW1047798" s="141"/>
      <c r="AX1047798" s="141"/>
      <c r="BP1047798" s="142"/>
      <c r="BU1047798" s="143"/>
    </row>
    <row r="1047799" customFormat="1" ht="14.25" spans="33:73">
      <c r="AG1047799" s="141"/>
      <c r="AH1047799" s="141"/>
      <c r="AI1047799" s="141"/>
      <c r="AP1047799" s="141"/>
      <c r="AQ1047799" s="141"/>
      <c r="AR1047799" s="141"/>
      <c r="AV1047799" s="141"/>
      <c r="AW1047799" s="141"/>
      <c r="AX1047799" s="141"/>
      <c r="BP1047799" s="142"/>
      <c r="BU1047799" s="143"/>
    </row>
    <row r="1047800" customFormat="1" ht="14.25" spans="33:73">
      <c r="AG1047800" s="141"/>
      <c r="AH1047800" s="141"/>
      <c r="AI1047800" s="141"/>
      <c r="AP1047800" s="141"/>
      <c r="AQ1047800" s="141"/>
      <c r="AR1047800" s="141"/>
      <c r="AV1047800" s="141"/>
      <c r="AW1047800" s="141"/>
      <c r="AX1047800" s="141"/>
      <c r="BP1047800" s="142"/>
      <c r="BU1047800" s="143"/>
    </row>
    <row r="1047801" customFormat="1" ht="14.25" spans="33:73">
      <c r="AG1047801" s="141"/>
      <c r="AH1047801" s="141"/>
      <c r="AI1047801" s="141"/>
      <c r="AP1047801" s="141"/>
      <c r="AQ1047801" s="141"/>
      <c r="AR1047801" s="141"/>
      <c r="AV1047801" s="141"/>
      <c r="AW1047801" s="141"/>
      <c r="AX1047801" s="141"/>
      <c r="BP1047801" s="142"/>
      <c r="BU1047801" s="143"/>
    </row>
    <row r="1047802" customFormat="1" ht="14.25" spans="33:73">
      <c r="AG1047802" s="141"/>
      <c r="AH1047802" s="141"/>
      <c r="AI1047802" s="141"/>
      <c r="AP1047802" s="141"/>
      <c r="AQ1047802" s="141"/>
      <c r="AR1047802" s="141"/>
      <c r="AV1047802" s="141"/>
      <c r="AW1047802" s="141"/>
      <c r="AX1047802" s="141"/>
      <c r="BP1047802" s="142"/>
      <c r="BU1047802" s="143"/>
    </row>
    <row r="1047803" customFormat="1" ht="14.25" spans="33:73">
      <c r="AG1047803" s="141"/>
      <c r="AH1047803" s="141"/>
      <c r="AI1047803" s="141"/>
      <c r="AP1047803" s="141"/>
      <c r="AQ1047803" s="141"/>
      <c r="AR1047803" s="141"/>
      <c r="AV1047803" s="141"/>
      <c r="AW1047803" s="141"/>
      <c r="AX1047803" s="141"/>
      <c r="BP1047803" s="142"/>
      <c r="BU1047803" s="143"/>
    </row>
    <row r="1047804" customFormat="1" ht="14.25" spans="33:73">
      <c r="AG1047804" s="141"/>
      <c r="AH1047804" s="141"/>
      <c r="AI1047804" s="141"/>
      <c r="AP1047804" s="141"/>
      <c r="AQ1047804" s="141"/>
      <c r="AR1047804" s="141"/>
      <c r="AV1047804" s="141"/>
      <c r="AW1047804" s="141"/>
      <c r="AX1047804" s="141"/>
      <c r="BP1047804" s="142"/>
      <c r="BU1047804" s="143"/>
    </row>
    <row r="1047805" customFormat="1" ht="14.25" spans="33:73">
      <c r="AG1047805" s="141"/>
      <c r="AH1047805" s="141"/>
      <c r="AI1047805" s="141"/>
      <c r="AP1047805" s="141"/>
      <c r="AQ1047805" s="141"/>
      <c r="AR1047805" s="141"/>
      <c r="AV1047805" s="141"/>
      <c r="AW1047805" s="141"/>
      <c r="AX1047805" s="141"/>
      <c r="BP1047805" s="142"/>
      <c r="BU1047805" s="143"/>
    </row>
    <row r="1047806" customFormat="1" ht="14.25" spans="33:73">
      <c r="AG1047806" s="141"/>
      <c r="AH1047806" s="141"/>
      <c r="AI1047806" s="141"/>
      <c r="AP1047806" s="141"/>
      <c r="AQ1047806" s="141"/>
      <c r="AR1047806" s="141"/>
      <c r="AV1047806" s="141"/>
      <c r="AW1047806" s="141"/>
      <c r="AX1047806" s="141"/>
      <c r="BP1047806" s="142"/>
      <c r="BU1047806" s="143"/>
    </row>
    <row r="1047807" customFormat="1" ht="14.25" spans="33:73">
      <c r="AG1047807" s="141"/>
      <c r="AH1047807" s="141"/>
      <c r="AI1047807" s="141"/>
      <c r="AP1047807" s="141"/>
      <c r="AQ1047807" s="141"/>
      <c r="AR1047807" s="141"/>
      <c r="AV1047807" s="141"/>
      <c r="AW1047807" s="141"/>
      <c r="AX1047807" s="141"/>
      <c r="BP1047807" s="142"/>
      <c r="BU1047807" s="143"/>
    </row>
    <row r="1047808" customFormat="1" ht="14.25" spans="33:73">
      <c r="AG1047808" s="141"/>
      <c r="AH1047808" s="141"/>
      <c r="AI1047808" s="141"/>
      <c r="AP1047808" s="141"/>
      <c r="AQ1047808" s="141"/>
      <c r="AR1047808" s="141"/>
      <c r="AV1047808" s="141"/>
      <c r="AW1047808" s="141"/>
      <c r="AX1047808" s="141"/>
      <c r="BP1047808" s="142"/>
      <c r="BU1047808" s="143"/>
    </row>
    <row r="1047809" customFormat="1" ht="14.25" spans="33:73">
      <c r="AG1047809" s="141"/>
      <c r="AH1047809" s="141"/>
      <c r="AI1047809" s="141"/>
      <c r="AP1047809" s="141"/>
      <c r="AQ1047809" s="141"/>
      <c r="AR1047809" s="141"/>
      <c r="AV1047809" s="141"/>
      <c r="AW1047809" s="141"/>
      <c r="AX1047809" s="141"/>
      <c r="BP1047809" s="142"/>
      <c r="BU1047809" s="143"/>
    </row>
    <row r="1047810" customFormat="1" ht="14.25" spans="33:73">
      <c r="AG1047810" s="141"/>
      <c r="AH1047810" s="141"/>
      <c r="AI1047810" s="141"/>
      <c r="AP1047810" s="141"/>
      <c r="AQ1047810" s="141"/>
      <c r="AR1047810" s="141"/>
      <c r="AV1047810" s="141"/>
      <c r="AW1047810" s="141"/>
      <c r="AX1047810" s="141"/>
      <c r="BP1047810" s="142"/>
      <c r="BU1047810" s="143"/>
    </row>
    <row r="1047811" customFormat="1" ht="14.25" spans="33:73">
      <c r="AG1047811" s="141"/>
      <c r="AH1047811" s="141"/>
      <c r="AI1047811" s="141"/>
      <c r="AP1047811" s="141"/>
      <c r="AQ1047811" s="141"/>
      <c r="AR1047811" s="141"/>
      <c r="AV1047811" s="141"/>
      <c r="AW1047811" s="141"/>
      <c r="AX1047811" s="141"/>
      <c r="BP1047811" s="142"/>
      <c r="BU1047811" s="143"/>
    </row>
    <row r="1047812" customFormat="1" ht="14.25" spans="33:73">
      <c r="AG1047812" s="141"/>
      <c r="AH1047812" s="141"/>
      <c r="AI1047812" s="141"/>
      <c r="AP1047812" s="141"/>
      <c r="AQ1047812" s="141"/>
      <c r="AR1047812" s="141"/>
      <c r="AV1047812" s="141"/>
      <c r="AW1047812" s="141"/>
      <c r="AX1047812" s="141"/>
      <c r="BP1047812" s="142"/>
      <c r="BU1047812" s="143"/>
    </row>
    <row r="1047813" customFormat="1" ht="14.25" spans="33:73">
      <c r="AG1047813" s="141"/>
      <c r="AH1047813" s="141"/>
      <c r="AI1047813" s="141"/>
      <c r="AP1047813" s="141"/>
      <c r="AQ1047813" s="141"/>
      <c r="AR1047813" s="141"/>
      <c r="AV1047813" s="141"/>
      <c r="AW1047813" s="141"/>
      <c r="AX1047813" s="141"/>
      <c r="BP1047813" s="142"/>
      <c r="BU1047813" s="143"/>
    </row>
    <row r="1047814" customFormat="1" ht="14.25" spans="33:73">
      <c r="AG1047814" s="141"/>
      <c r="AH1047814" s="141"/>
      <c r="AI1047814" s="141"/>
      <c r="AP1047814" s="141"/>
      <c r="AQ1047814" s="141"/>
      <c r="AR1047814" s="141"/>
      <c r="AV1047814" s="141"/>
      <c r="AW1047814" s="141"/>
      <c r="AX1047814" s="141"/>
      <c r="BP1047814" s="142"/>
      <c r="BU1047814" s="143"/>
    </row>
    <row r="1047815" customFormat="1" ht="14.25" spans="33:73">
      <c r="AG1047815" s="141"/>
      <c r="AH1047815" s="141"/>
      <c r="AI1047815" s="141"/>
      <c r="AP1047815" s="141"/>
      <c r="AQ1047815" s="141"/>
      <c r="AR1047815" s="141"/>
      <c r="AV1047815" s="141"/>
      <c r="AW1047815" s="141"/>
      <c r="AX1047815" s="141"/>
      <c r="BP1047815" s="142"/>
      <c r="BU1047815" s="143"/>
    </row>
    <row r="1047816" customFormat="1" ht="14.25" spans="33:73">
      <c r="AG1047816" s="141"/>
      <c r="AH1047816" s="141"/>
      <c r="AI1047816" s="141"/>
      <c r="AP1047816" s="141"/>
      <c r="AQ1047816" s="141"/>
      <c r="AR1047816" s="141"/>
      <c r="AV1047816" s="141"/>
      <c r="AW1047816" s="141"/>
      <c r="AX1047816" s="141"/>
      <c r="BP1047816" s="142"/>
      <c r="BU1047816" s="143"/>
    </row>
    <row r="1047817" customFormat="1" ht="14.25" spans="33:73">
      <c r="AG1047817" s="141"/>
      <c r="AH1047817" s="141"/>
      <c r="AI1047817" s="141"/>
      <c r="AP1047817" s="141"/>
      <c r="AQ1047817" s="141"/>
      <c r="AR1047817" s="141"/>
      <c r="AV1047817" s="141"/>
      <c r="AW1047817" s="141"/>
      <c r="AX1047817" s="141"/>
      <c r="BP1047817" s="142"/>
      <c r="BU1047817" s="143"/>
    </row>
    <row r="1047818" customFormat="1" ht="14.25" spans="33:73">
      <c r="AG1047818" s="141"/>
      <c r="AH1047818" s="141"/>
      <c r="AI1047818" s="141"/>
      <c r="AP1047818" s="141"/>
      <c r="AQ1047818" s="141"/>
      <c r="AR1047818" s="141"/>
      <c r="AV1047818" s="141"/>
      <c r="AW1047818" s="141"/>
      <c r="AX1047818" s="141"/>
      <c r="BP1047818" s="142"/>
      <c r="BU1047818" s="143"/>
    </row>
    <row r="1047819" customFormat="1" ht="14.25" spans="33:73">
      <c r="AG1047819" s="141"/>
      <c r="AH1047819" s="141"/>
      <c r="AI1047819" s="141"/>
      <c r="AP1047819" s="141"/>
      <c r="AQ1047819" s="141"/>
      <c r="AR1047819" s="141"/>
      <c r="AV1047819" s="141"/>
      <c r="AW1047819" s="141"/>
      <c r="AX1047819" s="141"/>
      <c r="BP1047819" s="142"/>
      <c r="BU1047819" s="143"/>
    </row>
    <row r="1047820" customFormat="1" ht="14.25" spans="33:73">
      <c r="AG1047820" s="141"/>
      <c r="AH1047820" s="141"/>
      <c r="AI1047820" s="141"/>
      <c r="AP1047820" s="141"/>
      <c r="AQ1047820" s="141"/>
      <c r="AR1047820" s="141"/>
      <c r="AV1047820" s="141"/>
      <c r="AW1047820" s="141"/>
      <c r="AX1047820" s="141"/>
      <c r="BP1047820" s="142"/>
      <c r="BU1047820" s="143"/>
    </row>
    <row r="1047821" customFormat="1" ht="14.25" spans="33:73">
      <c r="AG1047821" s="141"/>
      <c r="AH1047821" s="141"/>
      <c r="AI1047821" s="141"/>
      <c r="AP1047821" s="141"/>
      <c r="AQ1047821" s="141"/>
      <c r="AR1047821" s="141"/>
      <c r="AV1047821" s="141"/>
      <c r="AW1047821" s="141"/>
      <c r="AX1047821" s="141"/>
      <c r="BP1047821" s="142"/>
      <c r="BU1047821" s="143"/>
    </row>
    <row r="1047822" customFormat="1" ht="14.25" spans="33:73">
      <c r="AG1047822" s="141"/>
      <c r="AH1047822" s="141"/>
      <c r="AI1047822" s="141"/>
      <c r="AP1047822" s="141"/>
      <c r="AQ1047822" s="141"/>
      <c r="AR1047822" s="141"/>
      <c r="AV1047822" s="141"/>
      <c r="AW1047822" s="141"/>
      <c r="AX1047822" s="141"/>
      <c r="BP1047822" s="142"/>
      <c r="BU1047822" s="143"/>
    </row>
    <row r="1047823" customFormat="1" ht="14.25" spans="33:73">
      <c r="AG1047823" s="141"/>
      <c r="AH1047823" s="141"/>
      <c r="AI1047823" s="141"/>
      <c r="AP1047823" s="141"/>
      <c r="AQ1047823" s="141"/>
      <c r="AR1047823" s="141"/>
      <c r="AV1047823" s="141"/>
      <c r="AW1047823" s="141"/>
      <c r="AX1047823" s="141"/>
      <c r="BP1047823" s="142"/>
      <c r="BU1047823" s="143"/>
    </row>
    <row r="1047824" customFormat="1" ht="14.25" spans="33:73">
      <c r="AG1047824" s="141"/>
      <c r="AH1047824" s="141"/>
      <c r="AI1047824" s="141"/>
      <c r="AP1047824" s="141"/>
      <c r="AQ1047824" s="141"/>
      <c r="AR1047824" s="141"/>
      <c r="AV1047824" s="141"/>
      <c r="AW1047824" s="141"/>
      <c r="AX1047824" s="141"/>
      <c r="BP1047824" s="142"/>
      <c r="BU1047824" s="143"/>
    </row>
    <row r="1047825" customFormat="1" ht="14.25" spans="33:73">
      <c r="AG1047825" s="141"/>
      <c r="AH1047825" s="141"/>
      <c r="AI1047825" s="141"/>
      <c r="AP1047825" s="141"/>
      <c r="AQ1047825" s="141"/>
      <c r="AR1047825" s="141"/>
      <c r="AV1047825" s="141"/>
      <c r="AW1047825" s="141"/>
      <c r="AX1047825" s="141"/>
      <c r="BP1047825" s="142"/>
      <c r="BU1047825" s="143"/>
    </row>
    <row r="1047826" customFormat="1" ht="14.25" spans="33:73">
      <c r="AG1047826" s="141"/>
      <c r="AH1047826" s="141"/>
      <c r="AI1047826" s="141"/>
      <c r="AP1047826" s="141"/>
      <c r="AQ1047826" s="141"/>
      <c r="AR1047826" s="141"/>
      <c r="AV1047826" s="141"/>
      <c r="AW1047826" s="141"/>
      <c r="AX1047826" s="141"/>
      <c r="BP1047826" s="142"/>
      <c r="BU1047826" s="143"/>
    </row>
    <row r="1047827" customFormat="1" ht="14.25" spans="33:73">
      <c r="AG1047827" s="141"/>
      <c r="AH1047827" s="141"/>
      <c r="AI1047827" s="141"/>
      <c r="AP1047827" s="141"/>
      <c r="AQ1047827" s="141"/>
      <c r="AR1047827" s="141"/>
      <c r="AV1047827" s="141"/>
      <c r="AW1047827" s="141"/>
      <c r="AX1047827" s="141"/>
      <c r="BP1047827" s="142"/>
      <c r="BU1047827" s="143"/>
    </row>
    <row r="1047828" customFormat="1" ht="14.25" spans="33:73">
      <c r="AG1047828" s="141"/>
      <c r="AH1047828" s="141"/>
      <c r="AI1047828" s="141"/>
      <c r="AP1047828" s="141"/>
      <c r="AQ1047828" s="141"/>
      <c r="AR1047828" s="141"/>
      <c r="AV1047828" s="141"/>
      <c r="AW1047828" s="141"/>
      <c r="AX1047828" s="141"/>
      <c r="BP1047828" s="142"/>
      <c r="BU1047828" s="143"/>
    </row>
    <row r="1047829" customFormat="1" ht="14.25" spans="33:73">
      <c r="AG1047829" s="141"/>
      <c r="AH1047829" s="141"/>
      <c r="AI1047829" s="141"/>
      <c r="AP1047829" s="141"/>
      <c r="AQ1047829" s="141"/>
      <c r="AR1047829" s="141"/>
      <c r="AV1047829" s="141"/>
      <c r="AW1047829" s="141"/>
      <c r="AX1047829" s="141"/>
      <c r="BP1047829" s="142"/>
      <c r="BU1047829" s="143"/>
    </row>
    <row r="1047830" customFormat="1" ht="14.25" spans="33:73">
      <c r="AG1047830" s="141"/>
      <c r="AH1047830" s="141"/>
      <c r="AI1047830" s="141"/>
      <c r="AP1047830" s="141"/>
      <c r="AQ1047830" s="141"/>
      <c r="AR1047830" s="141"/>
      <c r="AV1047830" s="141"/>
      <c r="AW1047830" s="141"/>
      <c r="AX1047830" s="141"/>
      <c r="BP1047830" s="142"/>
      <c r="BU1047830" s="143"/>
    </row>
    <row r="1047831" customFormat="1" ht="14.25" spans="33:73">
      <c r="AG1047831" s="141"/>
      <c r="AH1047831" s="141"/>
      <c r="AI1047831" s="141"/>
      <c r="AP1047831" s="141"/>
      <c r="AQ1047831" s="141"/>
      <c r="AR1047831" s="141"/>
      <c r="AV1047831" s="141"/>
      <c r="AW1047831" s="141"/>
      <c r="AX1047831" s="141"/>
      <c r="BP1047831" s="142"/>
      <c r="BU1047831" s="143"/>
    </row>
    <row r="1047832" customFormat="1" ht="14.25" spans="33:73">
      <c r="AG1047832" s="141"/>
      <c r="AH1047832" s="141"/>
      <c r="AI1047832" s="141"/>
      <c r="AP1047832" s="141"/>
      <c r="AQ1047832" s="141"/>
      <c r="AR1047832" s="141"/>
      <c r="AV1047832" s="141"/>
      <c r="AW1047832" s="141"/>
      <c r="AX1047832" s="141"/>
      <c r="BP1047832" s="142"/>
      <c r="BU1047832" s="143"/>
    </row>
    <row r="1047833" customFormat="1" ht="14.25" spans="33:73">
      <c r="AG1047833" s="141"/>
      <c r="AH1047833" s="141"/>
      <c r="AI1047833" s="141"/>
      <c r="AP1047833" s="141"/>
      <c r="AQ1047833" s="141"/>
      <c r="AR1047833" s="141"/>
      <c r="AV1047833" s="141"/>
      <c r="AW1047833" s="141"/>
      <c r="AX1047833" s="141"/>
      <c r="BP1047833" s="142"/>
      <c r="BU1047833" s="143"/>
    </row>
    <row r="1047834" customFormat="1" ht="14.25" spans="33:73">
      <c r="AG1047834" s="141"/>
      <c r="AH1047834" s="141"/>
      <c r="AI1047834" s="141"/>
      <c r="AP1047834" s="141"/>
      <c r="AQ1047834" s="141"/>
      <c r="AR1047834" s="141"/>
      <c r="AV1047834" s="141"/>
      <c r="AW1047834" s="141"/>
      <c r="AX1047834" s="141"/>
      <c r="BP1047834" s="142"/>
      <c r="BU1047834" s="143"/>
    </row>
    <row r="1047835" customFormat="1" ht="14.25" spans="33:73">
      <c r="AG1047835" s="141"/>
      <c r="AH1047835" s="141"/>
      <c r="AI1047835" s="141"/>
      <c r="AP1047835" s="141"/>
      <c r="AQ1047835" s="141"/>
      <c r="AR1047835" s="141"/>
      <c r="AV1047835" s="141"/>
      <c r="AW1047835" s="141"/>
      <c r="AX1047835" s="141"/>
      <c r="BP1047835" s="142"/>
      <c r="BU1047835" s="143"/>
    </row>
    <row r="1047836" customFormat="1" ht="14.25" spans="33:73">
      <c r="AG1047836" s="141"/>
      <c r="AH1047836" s="141"/>
      <c r="AI1047836" s="141"/>
      <c r="AP1047836" s="141"/>
      <c r="AQ1047836" s="141"/>
      <c r="AR1047836" s="141"/>
      <c r="AV1047836" s="141"/>
      <c r="AW1047836" s="141"/>
      <c r="AX1047836" s="141"/>
      <c r="BP1047836" s="142"/>
      <c r="BU1047836" s="143"/>
    </row>
    <row r="1047837" customFormat="1" ht="14.25" spans="33:73">
      <c r="AG1047837" s="141"/>
      <c r="AH1047837" s="141"/>
      <c r="AI1047837" s="141"/>
      <c r="AP1047837" s="141"/>
      <c r="AQ1047837" s="141"/>
      <c r="AR1047837" s="141"/>
      <c r="AV1047837" s="141"/>
      <c r="AW1047837" s="141"/>
      <c r="AX1047837" s="141"/>
      <c r="BP1047837" s="142"/>
      <c r="BU1047837" s="143"/>
    </row>
    <row r="1047838" customFormat="1" ht="14.25" spans="33:73">
      <c r="AG1047838" s="141"/>
      <c r="AH1047838" s="141"/>
      <c r="AI1047838" s="141"/>
      <c r="AP1047838" s="141"/>
      <c r="AQ1047838" s="141"/>
      <c r="AR1047838" s="141"/>
      <c r="AV1047838" s="141"/>
      <c r="AW1047838" s="141"/>
      <c r="AX1047838" s="141"/>
      <c r="BP1047838" s="142"/>
      <c r="BU1047838" s="143"/>
    </row>
    <row r="1047839" customFormat="1" ht="14.25" spans="33:73">
      <c r="AG1047839" s="141"/>
      <c r="AH1047839" s="141"/>
      <c r="AI1047839" s="141"/>
      <c r="AP1047839" s="141"/>
      <c r="AQ1047839" s="141"/>
      <c r="AR1047839" s="141"/>
      <c r="AV1047839" s="141"/>
      <c r="AW1047839" s="141"/>
      <c r="AX1047839" s="141"/>
      <c r="BP1047839" s="142"/>
      <c r="BU1047839" s="143"/>
    </row>
    <row r="1047840" customFormat="1" ht="14.25" spans="33:73">
      <c r="AG1047840" s="141"/>
      <c r="AH1047840" s="141"/>
      <c r="AI1047840" s="141"/>
      <c r="AP1047840" s="141"/>
      <c r="AQ1047840" s="141"/>
      <c r="AR1047840" s="141"/>
      <c r="AV1047840" s="141"/>
      <c r="AW1047840" s="141"/>
      <c r="AX1047840" s="141"/>
      <c r="BP1047840" s="142"/>
      <c r="BU1047840" s="143"/>
    </row>
    <row r="1047841" customFormat="1" ht="14.25" spans="33:73">
      <c r="AG1047841" s="141"/>
      <c r="AH1047841" s="141"/>
      <c r="AI1047841" s="141"/>
      <c r="AP1047841" s="141"/>
      <c r="AQ1047841" s="141"/>
      <c r="AR1047841" s="141"/>
      <c r="AV1047841" s="141"/>
      <c r="AW1047841" s="141"/>
      <c r="AX1047841" s="141"/>
      <c r="BP1047841" s="142"/>
      <c r="BU1047841" s="143"/>
    </row>
    <row r="1047842" customFormat="1" ht="14.25" spans="33:73">
      <c r="AG1047842" s="141"/>
      <c r="AH1047842" s="141"/>
      <c r="AI1047842" s="141"/>
      <c r="AP1047842" s="141"/>
      <c r="AQ1047842" s="141"/>
      <c r="AR1047842" s="141"/>
      <c r="AV1047842" s="141"/>
      <c r="AW1047842" s="141"/>
      <c r="AX1047842" s="141"/>
      <c r="BP1047842" s="142"/>
      <c r="BU1047842" s="143"/>
    </row>
    <row r="1047843" customFormat="1" ht="14.25" spans="33:73">
      <c r="AG1047843" s="141"/>
      <c r="AH1047843" s="141"/>
      <c r="AI1047843" s="141"/>
      <c r="AP1047843" s="141"/>
      <c r="AQ1047843" s="141"/>
      <c r="AR1047843" s="141"/>
      <c r="AV1047843" s="141"/>
      <c r="AW1047843" s="141"/>
      <c r="AX1047843" s="141"/>
      <c r="BP1047843" s="142"/>
      <c r="BU1047843" s="143"/>
    </row>
    <row r="1047844" customFormat="1" ht="14.25" spans="33:73">
      <c r="AG1047844" s="141"/>
      <c r="AH1047844" s="141"/>
      <c r="AI1047844" s="141"/>
      <c r="AP1047844" s="141"/>
      <c r="AQ1047844" s="141"/>
      <c r="AR1047844" s="141"/>
      <c r="AV1047844" s="141"/>
      <c r="AW1047844" s="141"/>
      <c r="AX1047844" s="141"/>
      <c r="BP1047844" s="142"/>
      <c r="BU1047844" s="143"/>
    </row>
    <row r="1047845" customFormat="1" ht="14.25" spans="33:73">
      <c r="AG1047845" s="141"/>
      <c r="AH1047845" s="141"/>
      <c r="AI1047845" s="141"/>
      <c r="AP1047845" s="141"/>
      <c r="AQ1047845" s="141"/>
      <c r="AR1047845" s="141"/>
      <c r="AV1047845" s="141"/>
      <c r="AW1047845" s="141"/>
      <c r="AX1047845" s="141"/>
      <c r="BP1047845" s="142"/>
      <c r="BU1047845" s="143"/>
    </row>
    <row r="1047846" customFormat="1" ht="14.25" spans="33:73">
      <c r="AG1047846" s="141"/>
      <c r="AH1047846" s="141"/>
      <c r="AI1047846" s="141"/>
      <c r="AP1047846" s="141"/>
      <c r="AQ1047846" s="141"/>
      <c r="AR1047846" s="141"/>
      <c r="AV1047846" s="141"/>
      <c r="AW1047846" s="141"/>
      <c r="AX1047846" s="141"/>
      <c r="BP1047846" s="142"/>
      <c r="BU1047846" s="143"/>
    </row>
    <row r="1047847" customFormat="1" ht="14.25" spans="33:73">
      <c r="AG1047847" s="141"/>
      <c r="AH1047847" s="141"/>
      <c r="AI1047847" s="141"/>
      <c r="AP1047847" s="141"/>
      <c r="AQ1047847" s="141"/>
      <c r="AR1047847" s="141"/>
      <c r="AV1047847" s="141"/>
      <c r="AW1047847" s="141"/>
      <c r="AX1047847" s="141"/>
      <c r="BP1047847" s="142"/>
      <c r="BU1047847" s="143"/>
    </row>
    <row r="1047848" customFormat="1" ht="14.25" spans="33:73">
      <c r="AG1047848" s="141"/>
      <c r="AH1047848" s="141"/>
      <c r="AI1047848" s="141"/>
      <c r="AP1047848" s="141"/>
      <c r="AQ1047848" s="141"/>
      <c r="AR1047848" s="141"/>
      <c r="AV1047848" s="141"/>
      <c r="AW1047848" s="141"/>
      <c r="AX1047848" s="141"/>
      <c r="BP1047848" s="142"/>
      <c r="BU1047848" s="143"/>
    </row>
    <row r="1047849" customFormat="1" ht="14.25" spans="33:73">
      <c r="AG1047849" s="141"/>
      <c r="AH1047849" s="141"/>
      <c r="AI1047849" s="141"/>
      <c r="AP1047849" s="141"/>
      <c r="AQ1047849" s="141"/>
      <c r="AR1047849" s="141"/>
      <c r="AV1047849" s="141"/>
      <c r="AW1047849" s="141"/>
      <c r="AX1047849" s="141"/>
      <c r="BP1047849" s="142"/>
      <c r="BU1047849" s="143"/>
    </row>
    <row r="1047850" customFormat="1" ht="14.25" spans="33:73">
      <c r="AG1047850" s="141"/>
      <c r="AH1047850" s="141"/>
      <c r="AI1047850" s="141"/>
      <c r="AP1047850" s="141"/>
      <c r="AQ1047850" s="141"/>
      <c r="AR1047850" s="141"/>
      <c r="AV1047850" s="141"/>
      <c r="AW1047850" s="141"/>
      <c r="AX1047850" s="141"/>
      <c r="BP1047850" s="142"/>
      <c r="BU1047850" s="143"/>
    </row>
    <row r="1047851" customFormat="1" ht="14.25" spans="33:73">
      <c r="AG1047851" s="141"/>
      <c r="AH1047851" s="141"/>
      <c r="AI1047851" s="141"/>
      <c r="AP1047851" s="141"/>
      <c r="AQ1047851" s="141"/>
      <c r="AR1047851" s="141"/>
      <c r="AV1047851" s="141"/>
      <c r="AW1047851" s="141"/>
      <c r="AX1047851" s="141"/>
      <c r="BP1047851" s="142"/>
      <c r="BU1047851" s="143"/>
    </row>
    <row r="1047852" customFormat="1" ht="14.25" spans="33:73">
      <c r="AG1047852" s="141"/>
      <c r="AH1047852" s="141"/>
      <c r="AI1047852" s="141"/>
      <c r="AP1047852" s="141"/>
      <c r="AQ1047852" s="141"/>
      <c r="AR1047852" s="141"/>
      <c r="AV1047852" s="141"/>
      <c r="AW1047852" s="141"/>
      <c r="AX1047852" s="141"/>
      <c r="BP1047852" s="142"/>
      <c r="BU1047852" s="143"/>
    </row>
    <row r="1047853" customFormat="1" ht="14.25" spans="33:73">
      <c r="AG1047853" s="141"/>
      <c r="AH1047853" s="141"/>
      <c r="AI1047853" s="141"/>
      <c r="AP1047853" s="141"/>
      <c r="AQ1047853" s="141"/>
      <c r="AR1047853" s="141"/>
      <c r="AV1047853" s="141"/>
      <c r="AW1047853" s="141"/>
      <c r="AX1047853" s="141"/>
      <c r="BP1047853" s="142"/>
      <c r="BU1047853" s="143"/>
    </row>
    <row r="1047854" customFormat="1" ht="14.25" spans="33:73">
      <c r="AG1047854" s="141"/>
      <c r="AH1047854" s="141"/>
      <c r="AI1047854" s="141"/>
      <c r="AP1047854" s="141"/>
      <c r="AQ1047854" s="141"/>
      <c r="AR1047854" s="141"/>
      <c r="AV1047854" s="141"/>
      <c r="AW1047854" s="141"/>
      <c r="AX1047854" s="141"/>
      <c r="BP1047854" s="142"/>
      <c r="BU1047854" s="143"/>
    </row>
    <row r="1047855" customFormat="1" ht="14.25" spans="33:73">
      <c r="AG1047855" s="141"/>
      <c r="AH1047855" s="141"/>
      <c r="AI1047855" s="141"/>
      <c r="AP1047855" s="141"/>
      <c r="AQ1047855" s="141"/>
      <c r="AR1047855" s="141"/>
      <c r="AV1047855" s="141"/>
      <c r="AW1047855" s="141"/>
      <c r="AX1047855" s="141"/>
      <c r="BP1047855" s="142"/>
      <c r="BU1047855" s="143"/>
    </row>
    <row r="1047856" customFormat="1" ht="14.25" spans="33:73">
      <c r="AG1047856" s="141"/>
      <c r="AH1047856" s="141"/>
      <c r="AI1047856" s="141"/>
      <c r="AP1047856" s="141"/>
      <c r="AQ1047856" s="141"/>
      <c r="AR1047856" s="141"/>
      <c r="AV1047856" s="141"/>
      <c r="AW1047856" s="141"/>
      <c r="AX1047856" s="141"/>
      <c r="BP1047856" s="142"/>
      <c r="BU1047856" s="143"/>
    </row>
    <row r="1047857" customFormat="1" ht="14.25" spans="33:73">
      <c r="AG1047857" s="141"/>
      <c r="AH1047857" s="141"/>
      <c r="AI1047857" s="141"/>
      <c r="AP1047857" s="141"/>
      <c r="AQ1047857" s="141"/>
      <c r="AR1047857" s="141"/>
      <c r="AV1047857" s="141"/>
      <c r="AW1047857" s="141"/>
      <c r="AX1047857" s="141"/>
      <c r="BP1047857" s="142"/>
      <c r="BU1047857" s="143"/>
    </row>
    <row r="1047858" customFormat="1" ht="14.25" spans="33:73">
      <c r="AG1047858" s="141"/>
      <c r="AH1047858" s="141"/>
      <c r="AI1047858" s="141"/>
      <c r="AP1047858" s="141"/>
      <c r="AQ1047858" s="141"/>
      <c r="AR1047858" s="141"/>
      <c r="AV1047858" s="141"/>
      <c r="AW1047858" s="141"/>
      <c r="AX1047858" s="141"/>
      <c r="BP1047858" s="142"/>
      <c r="BU1047858" s="143"/>
    </row>
    <row r="1047859" customFormat="1" ht="14.25" spans="33:73">
      <c r="AG1047859" s="141"/>
      <c r="AH1047859" s="141"/>
      <c r="AI1047859" s="141"/>
      <c r="AP1047859" s="141"/>
      <c r="AQ1047859" s="141"/>
      <c r="AR1047859" s="141"/>
      <c r="AV1047859" s="141"/>
      <c r="AW1047859" s="141"/>
      <c r="AX1047859" s="141"/>
      <c r="BP1047859" s="142"/>
      <c r="BU1047859" s="143"/>
    </row>
    <row r="1047860" customFormat="1" ht="14.25" spans="33:73">
      <c r="AG1047860" s="141"/>
      <c r="AH1047860" s="141"/>
      <c r="AI1047860" s="141"/>
      <c r="AP1047860" s="141"/>
      <c r="AQ1047860" s="141"/>
      <c r="AR1047860" s="141"/>
      <c r="AV1047860" s="141"/>
      <c r="AW1047860" s="141"/>
      <c r="AX1047860" s="141"/>
      <c r="BP1047860" s="142"/>
      <c r="BU1047860" s="143"/>
    </row>
    <row r="1047861" customFormat="1" ht="14.25" spans="33:73">
      <c r="AG1047861" s="141"/>
      <c r="AH1047861" s="141"/>
      <c r="AI1047861" s="141"/>
      <c r="AP1047861" s="141"/>
      <c r="AQ1047861" s="141"/>
      <c r="AR1047861" s="141"/>
      <c r="AV1047861" s="141"/>
      <c r="AW1047861" s="141"/>
      <c r="AX1047861" s="141"/>
      <c r="BP1047861" s="142"/>
      <c r="BU1047861" s="143"/>
    </row>
    <row r="1047862" customFormat="1" ht="14.25" spans="33:73">
      <c r="AG1047862" s="141"/>
      <c r="AH1047862" s="141"/>
      <c r="AI1047862" s="141"/>
      <c r="AP1047862" s="141"/>
      <c r="AQ1047862" s="141"/>
      <c r="AR1047862" s="141"/>
      <c r="AV1047862" s="141"/>
      <c r="AW1047862" s="141"/>
      <c r="AX1047862" s="141"/>
      <c r="BP1047862" s="142"/>
      <c r="BU1047862" s="143"/>
    </row>
    <row r="1047863" customFormat="1" ht="14.25" spans="33:73">
      <c r="AG1047863" s="141"/>
      <c r="AH1047863" s="141"/>
      <c r="AI1047863" s="141"/>
      <c r="AP1047863" s="141"/>
      <c r="AQ1047863" s="141"/>
      <c r="AR1047863" s="141"/>
      <c r="AV1047863" s="141"/>
      <c r="AW1047863" s="141"/>
      <c r="AX1047863" s="141"/>
      <c r="BP1047863" s="142"/>
      <c r="BU1047863" s="143"/>
    </row>
    <row r="1047864" customFormat="1" ht="14.25" spans="33:73">
      <c r="AG1047864" s="141"/>
      <c r="AH1047864" s="141"/>
      <c r="AI1047864" s="141"/>
      <c r="AP1047864" s="141"/>
      <c r="AQ1047864" s="141"/>
      <c r="AR1047864" s="141"/>
      <c r="AV1047864" s="141"/>
      <c r="AW1047864" s="141"/>
      <c r="AX1047864" s="141"/>
      <c r="BP1047864" s="142"/>
      <c r="BU1047864" s="143"/>
    </row>
    <row r="1047865" customFormat="1" ht="14.25" spans="33:73">
      <c r="AG1047865" s="141"/>
      <c r="AH1047865" s="141"/>
      <c r="AI1047865" s="141"/>
      <c r="AP1047865" s="141"/>
      <c r="AQ1047865" s="141"/>
      <c r="AR1047865" s="141"/>
      <c r="AV1047865" s="141"/>
      <c r="AW1047865" s="141"/>
      <c r="AX1047865" s="141"/>
      <c r="BP1047865" s="142"/>
      <c r="BU1047865" s="143"/>
    </row>
    <row r="1047866" customFormat="1" ht="14.25" spans="33:73">
      <c r="AG1047866" s="141"/>
      <c r="AH1047866" s="141"/>
      <c r="AI1047866" s="141"/>
      <c r="AP1047866" s="141"/>
      <c r="AQ1047866" s="141"/>
      <c r="AR1047866" s="141"/>
      <c r="AV1047866" s="141"/>
      <c r="AW1047866" s="141"/>
      <c r="AX1047866" s="141"/>
      <c r="BP1047866" s="142"/>
      <c r="BU1047866" s="143"/>
    </row>
    <row r="1047867" customFormat="1" ht="14.25" spans="33:73">
      <c r="AG1047867" s="141"/>
      <c r="AH1047867" s="141"/>
      <c r="AI1047867" s="141"/>
      <c r="AP1047867" s="141"/>
      <c r="AQ1047867" s="141"/>
      <c r="AR1047867" s="141"/>
      <c r="AV1047867" s="141"/>
      <c r="AW1047867" s="141"/>
      <c r="AX1047867" s="141"/>
      <c r="BP1047867" s="142"/>
      <c r="BU1047867" s="143"/>
    </row>
    <row r="1047868" customFormat="1" ht="14.25" spans="33:73">
      <c r="AG1047868" s="141"/>
      <c r="AH1047868" s="141"/>
      <c r="AI1047868" s="141"/>
      <c r="AP1047868" s="141"/>
      <c r="AQ1047868" s="141"/>
      <c r="AR1047868" s="141"/>
      <c r="AV1047868" s="141"/>
      <c r="AW1047868" s="141"/>
      <c r="AX1047868" s="141"/>
      <c r="BP1047868" s="142"/>
      <c r="BU1047868" s="143"/>
    </row>
    <row r="1047869" customFormat="1" ht="14.25" spans="33:73">
      <c r="AG1047869" s="141"/>
      <c r="AH1047869" s="141"/>
      <c r="AI1047869" s="141"/>
      <c r="AP1047869" s="141"/>
      <c r="AQ1047869" s="141"/>
      <c r="AR1047869" s="141"/>
      <c r="AV1047869" s="141"/>
      <c r="AW1047869" s="141"/>
      <c r="AX1047869" s="141"/>
      <c r="BP1047869" s="142"/>
      <c r="BU1047869" s="143"/>
    </row>
    <row r="1047870" customFormat="1" ht="14.25" spans="33:73">
      <c r="AG1047870" s="141"/>
      <c r="AH1047870" s="141"/>
      <c r="AI1047870" s="141"/>
      <c r="AP1047870" s="141"/>
      <c r="AQ1047870" s="141"/>
      <c r="AR1047870" s="141"/>
      <c r="AV1047870" s="141"/>
      <c r="AW1047870" s="141"/>
      <c r="AX1047870" s="141"/>
      <c r="BP1047870" s="142"/>
      <c r="BU1047870" s="143"/>
    </row>
    <row r="1047871" customFormat="1" ht="14.25" spans="33:73">
      <c r="AG1047871" s="141"/>
      <c r="AH1047871" s="141"/>
      <c r="AI1047871" s="141"/>
      <c r="AP1047871" s="141"/>
      <c r="AQ1047871" s="141"/>
      <c r="AR1047871" s="141"/>
      <c r="AV1047871" s="141"/>
      <c r="AW1047871" s="141"/>
      <c r="AX1047871" s="141"/>
      <c r="BP1047871" s="142"/>
      <c r="BU1047871" s="143"/>
    </row>
    <row r="1047872" customFormat="1" ht="14.25" spans="33:73">
      <c r="AG1047872" s="141"/>
      <c r="AH1047872" s="141"/>
      <c r="AI1047872" s="141"/>
      <c r="AP1047872" s="141"/>
      <c r="AQ1047872" s="141"/>
      <c r="AR1047872" s="141"/>
      <c r="AV1047872" s="141"/>
      <c r="AW1047872" s="141"/>
      <c r="AX1047872" s="141"/>
      <c r="BP1047872" s="142"/>
      <c r="BU1047872" s="143"/>
    </row>
    <row r="1047873" customFormat="1" ht="14.25" spans="33:73">
      <c r="AG1047873" s="141"/>
      <c r="AH1047873" s="141"/>
      <c r="AI1047873" s="141"/>
      <c r="AP1047873" s="141"/>
      <c r="AQ1047873" s="141"/>
      <c r="AR1047873" s="141"/>
      <c r="AV1047873" s="141"/>
      <c r="AW1047873" s="141"/>
      <c r="AX1047873" s="141"/>
      <c r="BP1047873" s="142"/>
      <c r="BU1047873" s="143"/>
    </row>
    <row r="1047874" customFormat="1" ht="14.25" spans="33:73">
      <c r="AG1047874" s="141"/>
      <c r="AH1047874" s="141"/>
      <c r="AI1047874" s="141"/>
      <c r="AP1047874" s="141"/>
      <c r="AQ1047874" s="141"/>
      <c r="AR1047874" s="141"/>
      <c r="AV1047874" s="141"/>
      <c r="AW1047874" s="141"/>
      <c r="AX1047874" s="141"/>
      <c r="BP1047874" s="142"/>
      <c r="BU1047874" s="143"/>
    </row>
    <row r="1047875" customFormat="1" ht="14.25" spans="33:73">
      <c r="AG1047875" s="141"/>
      <c r="AH1047875" s="141"/>
      <c r="AI1047875" s="141"/>
      <c r="AP1047875" s="141"/>
      <c r="AQ1047875" s="141"/>
      <c r="AR1047875" s="141"/>
      <c r="AV1047875" s="141"/>
      <c r="AW1047875" s="141"/>
      <c r="AX1047875" s="141"/>
      <c r="BP1047875" s="142"/>
      <c r="BU1047875" s="143"/>
    </row>
    <row r="1047876" customFormat="1" ht="14.25" spans="33:73">
      <c r="AG1047876" s="141"/>
      <c r="AH1047876" s="141"/>
      <c r="AI1047876" s="141"/>
      <c r="AP1047876" s="141"/>
      <c r="AQ1047876" s="141"/>
      <c r="AR1047876" s="141"/>
      <c r="AV1047876" s="141"/>
      <c r="AW1047876" s="141"/>
      <c r="AX1047876" s="141"/>
      <c r="BP1047876" s="142"/>
      <c r="BU1047876" s="143"/>
    </row>
    <row r="1047877" customFormat="1" ht="14.25" spans="33:73">
      <c r="AG1047877" s="141"/>
      <c r="AH1047877" s="141"/>
      <c r="AI1047877" s="141"/>
      <c r="AP1047877" s="141"/>
      <c r="AQ1047877" s="141"/>
      <c r="AR1047877" s="141"/>
      <c r="AV1047877" s="141"/>
      <c r="AW1047877" s="141"/>
      <c r="AX1047877" s="141"/>
      <c r="BP1047877" s="142"/>
      <c r="BU1047877" s="143"/>
    </row>
    <row r="1047878" customFormat="1" ht="14.25" spans="33:73">
      <c r="AG1047878" s="141"/>
      <c r="AH1047878" s="141"/>
      <c r="AI1047878" s="141"/>
      <c r="AP1047878" s="141"/>
      <c r="AQ1047878" s="141"/>
      <c r="AR1047878" s="141"/>
      <c r="AV1047878" s="141"/>
      <c r="AW1047878" s="141"/>
      <c r="AX1047878" s="141"/>
      <c r="BP1047878" s="142"/>
      <c r="BU1047878" s="143"/>
    </row>
    <row r="1047879" customFormat="1" ht="14.25" spans="33:73">
      <c r="AG1047879" s="141"/>
      <c r="AH1047879" s="141"/>
      <c r="AI1047879" s="141"/>
      <c r="AP1047879" s="141"/>
      <c r="AQ1047879" s="141"/>
      <c r="AR1047879" s="141"/>
      <c r="AV1047879" s="141"/>
      <c r="AW1047879" s="141"/>
      <c r="AX1047879" s="141"/>
      <c r="BP1047879" s="142"/>
      <c r="BU1047879" s="143"/>
    </row>
    <row r="1047880" customFormat="1" ht="14.25" spans="33:73">
      <c r="AG1047880" s="141"/>
      <c r="AH1047880" s="141"/>
      <c r="AI1047880" s="141"/>
      <c r="AP1047880" s="141"/>
      <c r="AQ1047880" s="141"/>
      <c r="AR1047880" s="141"/>
      <c r="AV1047880" s="141"/>
      <c r="AW1047880" s="141"/>
      <c r="AX1047880" s="141"/>
      <c r="BP1047880" s="142"/>
      <c r="BU1047880" s="143"/>
    </row>
    <row r="1047881" customFormat="1" ht="14.25" spans="33:73">
      <c r="AG1047881" s="141"/>
      <c r="AH1047881" s="141"/>
      <c r="AI1047881" s="141"/>
      <c r="AP1047881" s="141"/>
      <c r="AQ1047881" s="141"/>
      <c r="AR1047881" s="141"/>
      <c r="AV1047881" s="141"/>
      <c r="AW1047881" s="141"/>
      <c r="AX1047881" s="141"/>
      <c r="BP1047881" s="142"/>
      <c r="BU1047881" s="143"/>
    </row>
    <row r="1047882" customFormat="1" ht="14.25" spans="33:73">
      <c r="AG1047882" s="141"/>
      <c r="AH1047882" s="141"/>
      <c r="AI1047882" s="141"/>
      <c r="AP1047882" s="141"/>
      <c r="AQ1047882" s="141"/>
      <c r="AR1047882" s="141"/>
      <c r="AV1047882" s="141"/>
      <c r="AW1047882" s="141"/>
      <c r="AX1047882" s="141"/>
      <c r="BP1047882" s="142"/>
      <c r="BU1047882" s="143"/>
    </row>
    <row r="1047883" customFormat="1" ht="14.25" spans="33:73">
      <c r="AG1047883" s="141"/>
      <c r="AH1047883" s="141"/>
      <c r="AI1047883" s="141"/>
      <c r="AP1047883" s="141"/>
      <c r="AQ1047883" s="141"/>
      <c r="AR1047883" s="141"/>
      <c r="AV1047883" s="141"/>
      <c r="AW1047883" s="141"/>
      <c r="AX1047883" s="141"/>
      <c r="BP1047883" s="142"/>
      <c r="BU1047883" s="143"/>
    </row>
    <row r="1047884" customFormat="1" ht="14.25" spans="33:73">
      <c r="AG1047884" s="141"/>
      <c r="AH1047884" s="141"/>
      <c r="AI1047884" s="141"/>
      <c r="AP1047884" s="141"/>
      <c r="AQ1047884" s="141"/>
      <c r="AR1047884" s="141"/>
      <c r="AV1047884" s="141"/>
      <c r="AW1047884" s="141"/>
      <c r="AX1047884" s="141"/>
      <c r="BP1047884" s="142"/>
      <c r="BU1047884" s="143"/>
    </row>
    <row r="1047885" customFormat="1" ht="14.25" spans="33:73">
      <c r="AG1047885" s="141"/>
      <c r="AH1047885" s="141"/>
      <c r="AI1047885" s="141"/>
      <c r="AP1047885" s="141"/>
      <c r="AQ1047885" s="141"/>
      <c r="AR1047885" s="141"/>
      <c r="AV1047885" s="141"/>
      <c r="AW1047885" s="141"/>
      <c r="AX1047885" s="141"/>
      <c r="BP1047885" s="142"/>
      <c r="BU1047885" s="143"/>
    </row>
    <row r="1047886" customFormat="1" ht="14.25" spans="33:73">
      <c r="AG1047886" s="141"/>
      <c r="AH1047886" s="141"/>
      <c r="AI1047886" s="141"/>
      <c r="AP1047886" s="141"/>
      <c r="AQ1047886" s="141"/>
      <c r="AR1047886" s="141"/>
      <c r="AV1047886" s="141"/>
      <c r="AW1047886" s="141"/>
      <c r="AX1047886" s="141"/>
      <c r="BP1047886" s="142"/>
      <c r="BU1047886" s="143"/>
    </row>
    <row r="1047887" customFormat="1" ht="14.25" spans="33:73">
      <c r="AG1047887" s="141"/>
      <c r="AH1047887" s="141"/>
      <c r="AI1047887" s="141"/>
      <c r="AP1047887" s="141"/>
      <c r="AQ1047887" s="141"/>
      <c r="AR1047887" s="141"/>
      <c r="AV1047887" s="141"/>
      <c r="AW1047887" s="141"/>
      <c r="AX1047887" s="141"/>
      <c r="BP1047887" s="142"/>
      <c r="BU1047887" s="143"/>
    </row>
    <row r="1047888" customFormat="1" ht="14.25" spans="33:73">
      <c r="AG1047888" s="141"/>
      <c r="AH1047888" s="141"/>
      <c r="AI1047888" s="141"/>
      <c r="AP1047888" s="141"/>
      <c r="AQ1047888" s="141"/>
      <c r="AR1047888" s="141"/>
      <c r="AV1047888" s="141"/>
      <c r="AW1047888" s="141"/>
      <c r="AX1047888" s="141"/>
      <c r="BP1047888" s="142"/>
      <c r="BU1047888" s="143"/>
    </row>
    <row r="1047889" customFormat="1" ht="14.25" spans="33:73">
      <c r="AG1047889" s="141"/>
      <c r="AH1047889" s="141"/>
      <c r="AI1047889" s="141"/>
      <c r="AP1047889" s="141"/>
      <c r="AQ1047889" s="141"/>
      <c r="AR1047889" s="141"/>
      <c r="AV1047889" s="141"/>
      <c r="AW1047889" s="141"/>
      <c r="AX1047889" s="141"/>
      <c r="BP1047889" s="142"/>
      <c r="BU1047889" s="143"/>
    </row>
    <row r="1047890" customFormat="1" ht="14.25" spans="33:73">
      <c r="AG1047890" s="141"/>
      <c r="AH1047890" s="141"/>
      <c r="AI1047890" s="141"/>
      <c r="AP1047890" s="141"/>
      <c r="AQ1047890" s="141"/>
      <c r="AR1047890" s="141"/>
      <c r="AV1047890" s="141"/>
      <c r="AW1047890" s="141"/>
      <c r="AX1047890" s="141"/>
      <c r="BP1047890" s="142"/>
      <c r="BU1047890" s="143"/>
    </row>
    <row r="1047891" customFormat="1" ht="14.25" spans="33:73">
      <c r="AG1047891" s="141"/>
      <c r="AH1047891" s="141"/>
      <c r="AI1047891" s="141"/>
      <c r="AP1047891" s="141"/>
      <c r="AQ1047891" s="141"/>
      <c r="AR1047891" s="141"/>
      <c r="AV1047891" s="141"/>
      <c r="AW1047891" s="141"/>
      <c r="AX1047891" s="141"/>
      <c r="BP1047891" s="142"/>
      <c r="BU1047891" s="143"/>
    </row>
    <row r="1047892" customFormat="1" ht="14.25" spans="33:73">
      <c r="AG1047892" s="141"/>
      <c r="AH1047892" s="141"/>
      <c r="AI1047892" s="141"/>
      <c r="AP1047892" s="141"/>
      <c r="AQ1047892" s="141"/>
      <c r="AR1047892" s="141"/>
      <c r="AV1047892" s="141"/>
      <c r="AW1047892" s="141"/>
      <c r="AX1047892" s="141"/>
      <c r="BP1047892" s="142"/>
      <c r="BU1047892" s="143"/>
    </row>
    <row r="1047893" customFormat="1" ht="14.25" spans="33:73">
      <c r="AG1047893" s="141"/>
      <c r="AH1047893" s="141"/>
      <c r="AI1047893" s="141"/>
      <c r="AP1047893" s="141"/>
      <c r="AQ1047893" s="141"/>
      <c r="AR1047893" s="141"/>
      <c r="AV1047893" s="141"/>
      <c r="AW1047893" s="141"/>
      <c r="AX1047893" s="141"/>
      <c r="BP1047893" s="142"/>
      <c r="BU1047893" s="143"/>
    </row>
    <row r="1047894" customFormat="1" ht="14.25" spans="33:73">
      <c r="AG1047894" s="141"/>
      <c r="AH1047894" s="141"/>
      <c r="AI1047894" s="141"/>
      <c r="AP1047894" s="141"/>
      <c r="AQ1047894" s="141"/>
      <c r="AR1047894" s="141"/>
      <c r="AV1047894" s="141"/>
      <c r="AW1047894" s="141"/>
      <c r="AX1047894" s="141"/>
      <c r="BP1047894" s="142"/>
      <c r="BU1047894" s="143"/>
    </row>
    <row r="1047895" customFormat="1" ht="14.25" spans="33:73">
      <c r="AG1047895" s="141"/>
      <c r="AH1047895" s="141"/>
      <c r="AI1047895" s="141"/>
      <c r="AP1047895" s="141"/>
      <c r="AQ1047895" s="141"/>
      <c r="AR1047895" s="141"/>
      <c r="AV1047895" s="141"/>
      <c r="AW1047895" s="141"/>
      <c r="AX1047895" s="141"/>
      <c r="BP1047895" s="142"/>
      <c r="BU1047895" s="143"/>
    </row>
    <row r="1047896" customFormat="1" ht="14.25" spans="33:73">
      <c r="AG1047896" s="141"/>
      <c r="AH1047896" s="141"/>
      <c r="AI1047896" s="141"/>
      <c r="AP1047896" s="141"/>
      <c r="AQ1047896" s="141"/>
      <c r="AR1047896" s="141"/>
      <c r="AV1047896" s="141"/>
      <c r="AW1047896" s="141"/>
      <c r="AX1047896" s="141"/>
      <c r="BP1047896" s="142"/>
      <c r="BU1047896" s="143"/>
    </row>
    <row r="1047897" customFormat="1" ht="14.25" spans="33:73">
      <c r="AG1047897" s="141"/>
      <c r="AH1047897" s="141"/>
      <c r="AI1047897" s="141"/>
      <c r="AP1047897" s="141"/>
      <c r="AQ1047897" s="141"/>
      <c r="AR1047897" s="141"/>
      <c r="AV1047897" s="141"/>
      <c r="AW1047897" s="141"/>
      <c r="AX1047897" s="141"/>
      <c r="BP1047897" s="142"/>
      <c r="BU1047897" s="143"/>
    </row>
    <row r="1047898" customFormat="1" ht="14.25" spans="33:73">
      <c r="AG1047898" s="141"/>
      <c r="AH1047898" s="141"/>
      <c r="AI1047898" s="141"/>
      <c r="AP1047898" s="141"/>
      <c r="AQ1047898" s="141"/>
      <c r="AR1047898" s="141"/>
      <c r="AV1047898" s="141"/>
      <c r="AW1047898" s="141"/>
      <c r="AX1047898" s="141"/>
      <c r="BP1047898" s="142"/>
      <c r="BU1047898" s="143"/>
    </row>
    <row r="1047899" customFormat="1" ht="14.25" spans="33:73">
      <c r="AG1047899" s="141"/>
      <c r="AH1047899" s="141"/>
      <c r="AI1047899" s="141"/>
      <c r="AP1047899" s="141"/>
      <c r="AQ1047899" s="141"/>
      <c r="AR1047899" s="141"/>
      <c r="AV1047899" s="141"/>
      <c r="AW1047899" s="141"/>
      <c r="AX1047899" s="141"/>
      <c r="BP1047899" s="142"/>
      <c r="BU1047899" s="143"/>
    </row>
    <row r="1047900" customFormat="1" ht="14.25" spans="33:73">
      <c r="AG1047900" s="141"/>
      <c r="AH1047900" s="141"/>
      <c r="AI1047900" s="141"/>
      <c r="AP1047900" s="141"/>
      <c r="AQ1047900" s="141"/>
      <c r="AR1047900" s="141"/>
      <c r="AV1047900" s="141"/>
      <c r="AW1047900" s="141"/>
      <c r="AX1047900" s="141"/>
      <c r="BP1047900" s="142"/>
      <c r="BU1047900" s="143"/>
    </row>
    <row r="1047901" customFormat="1" ht="14.25" spans="33:73">
      <c r="AG1047901" s="141"/>
      <c r="AH1047901" s="141"/>
      <c r="AI1047901" s="141"/>
      <c r="AP1047901" s="141"/>
      <c r="AQ1047901" s="141"/>
      <c r="AR1047901" s="141"/>
      <c r="AV1047901" s="141"/>
      <c r="AW1047901" s="141"/>
      <c r="AX1047901" s="141"/>
      <c r="BP1047901" s="142"/>
      <c r="BU1047901" s="143"/>
    </row>
    <row r="1047902" customFormat="1" ht="14.25" spans="33:73">
      <c r="AG1047902" s="141"/>
      <c r="AH1047902" s="141"/>
      <c r="AI1047902" s="141"/>
      <c r="AP1047902" s="141"/>
      <c r="AQ1047902" s="141"/>
      <c r="AR1047902" s="141"/>
      <c r="AV1047902" s="141"/>
      <c r="AW1047902" s="141"/>
      <c r="AX1047902" s="141"/>
      <c r="BP1047902" s="142"/>
      <c r="BU1047902" s="143"/>
    </row>
    <row r="1047903" customFormat="1" ht="14.25" spans="33:73">
      <c r="AG1047903" s="141"/>
      <c r="AH1047903" s="141"/>
      <c r="AI1047903" s="141"/>
      <c r="AP1047903" s="141"/>
      <c r="AQ1047903" s="141"/>
      <c r="AR1047903" s="141"/>
      <c r="AV1047903" s="141"/>
      <c r="AW1047903" s="141"/>
      <c r="AX1047903" s="141"/>
      <c r="BP1047903" s="142"/>
      <c r="BU1047903" s="143"/>
    </row>
    <row r="1047904" customFormat="1" ht="14.25" spans="33:73">
      <c r="AG1047904" s="141"/>
      <c r="AH1047904" s="141"/>
      <c r="AI1047904" s="141"/>
      <c r="AP1047904" s="141"/>
      <c r="AQ1047904" s="141"/>
      <c r="AR1047904" s="141"/>
      <c r="AV1047904" s="141"/>
      <c r="AW1047904" s="141"/>
      <c r="AX1047904" s="141"/>
      <c r="BP1047904" s="142"/>
      <c r="BU1047904" s="143"/>
    </row>
    <row r="1047905" customFormat="1" ht="14.25" spans="33:73">
      <c r="AG1047905" s="141"/>
      <c r="AH1047905" s="141"/>
      <c r="AI1047905" s="141"/>
      <c r="AP1047905" s="141"/>
      <c r="AQ1047905" s="141"/>
      <c r="AR1047905" s="141"/>
      <c r="AV1047905" s="141"/>
      <c r="AW1047905" s="141"/>
      <c r="AX1047905" s="141"/>
      <c r="BP1047905" s="142"/>
      <c r="BU1047905" s="143"/>
    </row>
    <row r="1047906" customFormat="1" ht="14.25" spans="33:73">
      <c r="AG1047906" s="141"/>
      <c r="AH1047906" s="141"/>
      <c r="AI1047906" s="141"/>
      <c r="AP1047906" s="141"/>
      <c r="AQ1047906" s="141"/>
      <c r="AR1047906" s="141"/>
      <c r="AV1047906" s="141"/>
      <c r="AW1047906" s="141"/>
      <c r="AX1047906" s="141"/>
      <c r="BP1047906" s="142"/>
      <c r="BU1047906" s="143"/>
    </row>
    <row r="1047907" customFormat="1" ht="14.25" spans="33:73">
      <c r="AG1047907" s="141"/>
      <c r="AH1047907" s="141"/>
      <c r="AI1047907" s="141"/>
      <c r="AP1047907" s="141"/>
      <c r="AQ1047907" s="141"/>
      <c r="AR1047907" s="141"/>
      <c r="AV1047907" s="141"/>
      <c r="AW1047907" s="141"/>
      <c r="AX1047907" s="141"/>
      <c r="BP1047907" s="142"/>
      <c r="BU1047907" s="143"/>
    </row>
    <row r="1047908" customFormat="1" ht="14.25" spans="33:73">
      <c r="AG1047908" s="141"/>
      <c r="AH1047908" s="141"/>
      <c r="AI1047908" s="141"/>
      <c r="AP1047908" s="141"/>
      <c r="AQ1047908" s="141"/>
      <c r="AR1047908" s="141"/>
      <c r="AV1047908" s="141"/>
      <c r="AW1047908" s="141"/>
      <c r="AX1047908" s="141"/>
      <c r="BP1047908" s="142"/>
      <c r="BU1047908" s="143"/>
    </row>
    <row r="1047909" customFormat="1" ht="14.25" spans="33:73">
      <c r="AG1047909" s="141"/>
      <c r="AH1047909" s="141"/>
      <c r="AI1047909" s="141"/>
      <c r="AP1047909" s="141"/>
      <c r="AQ1047909" s="141"/>
      <c r="AR1047909" s="141"/>
      <c r="AV1047909" s="141"/>
      <c r="AW1047909" s="141"/>
      <c r="AX1047909" s="141"/>
      <c r="BP1047909" s="142"/>
      <c r="BU1047909" s="143"/>
    </row>
    <row r="1047910" customFormat="1" ht="14.25" spans="33:73">
      <c r="AG1047910" s="141"/>
      <c r="AH1047910" s="141"/>
      <c r="AI1047910" s="141"/>
      <c r="AP1047910" s="141"/>
      <c r="AQ1047910" s="141"/>
      <c r="AR1047910" s="141"/>
      <c r="AV1047910" s="141"/>
      <c r="AW1047910" s="141"/>
      <c r="AX1047910" s="141"/>
      <c r="BP1047910" s="142"/>
      <c r="BU1047910" s="143"/>
    </row>
    <row r="1047911" customFormat="1" ht="14.25" spans="33:73">
      <c r="AG1047911" s="141"/>
      <c r="AH1047911" s="141"/>
      <c r="AI1047911" s="141"/>
      <c r="AP1047911" s="141"/>
      <c r="AQ1047911" s="141"/>
      <c r="AR1047911" s="141"/>
      <c r="AV1047911" s="141"/>
      <c r="AW1047911" s="141"/>
      <c r="AX1047911" s="141"/>
      <c r="BP1047911" s="142"/>
      <c r="BU1047911" s="143"/>
    </row>
    <row r="1047912" customFormat="1" ht="14.25" spans="33:73">
      <c r="AG1047912" s="141"/>
      <c r="AH1047912" s="141"/>
      <c r="AI1047912" s="141"/>
      <c r="AP1047912" s="141"/>
      <c r="AQ1047912" s="141"/>
      <c r="AR1047912" s="141"/>
      <c r="AV1047912" s="141"/>
      <c r="AW1047912" s="141"/>
      <c r="AX1047912" s="141"/>
      <c r="BP1047912" s="142"/>
      <c r="BU1047912" s="143"/>
    </row>
    <row r="1047913" customFormat="1" ht="14.25" spans="33:73">
      <c r="AG1047913" s="141"/>
      <c r="AH1047913" s="141"/>
      <c r="AI1047913" s="141"/>
      <c r="AP1047913" s="141"/>
      <c r="AQ1047913" s="141"/>
      <c r="AR1047913" s="141"/>
      <c r="AV1047913" s="141"/>
      <c r="AW1047913" s="141"/>
      <c r="AX1047913" s="141"/>
      <c r="BP1047913" s="142"/>
      <c r="BU1047913" s="143"/>
    </row>
    <row r="1047914" customFormat="1" ht="14.25" spans="33:73">
      <c r="AG1047914" s="141"/>
      <c r="AH1047914" s="141"/>
      <c r="AI1047914" s="141"/>
      <c r="AP1047914" s="141"/>
      <c r="AQ1047914" s="141"/>
      <c r="AR1047914" s="141"/>
      <c r="AV1047914" s="141"/>
      <c r="AW1047914" s="141"/>
      <c r="AX1047914" s="141"/>
      <c r="BP1047914" s="142"/>
      <c r="BU1047914" s="143"/>
    </row>
    <row r="1047915" customFormat="1" ht="14.25" spans="33:73">
      <c r="AG1047915" s="141"/>
      <c r="AH1047915" s="141"/>
      <c r="AI1047915" s="141"/>
      <c r="AP1047915" s="141"/>
      <c r="AQ1047915" s="141"/>
      <c r="AR1047915" s="141"/>
      <c r="AV1047915" s="141"/>
      <c r="AW1047915" s="141"/>
      <c r="AX1047915" s="141"/>
      <c r="BP1047915" s="142"/>
      <c r="BU1047915" s="143"/>
    </row>
    <row r="1047916" customFormat="1" ht="14.25" spans="33:73">
      <c r="AG1047916" s="141"/>
      <c r="AH1047916" s="141"/>
      <c r="AI1047916" s="141"/>
      <c r="AP1047916" s="141"/>
      <c r="AQ1047916" s="141"/>
      <c r="AR1047916" s="141"/>
      <c r="AV1047916" s="141"/>
      <c r="AW1047916" s="141"/>
      <c r="AX1047916" s="141"/>
      <c r="BP1047916" s="142"/>
      <c r="BU1047916" s="143"/>
    </row>
    <row r="1047917" customFormat="1" ht="14.25" spans="33:73">
      <c r="AG1047917" s="141"/>
      <c r="AH1047917" s="141"/>
      <c r="AI1047917" s="141"/>
      <c r="AP1047917" s="141"/>
      <c r="AQ1047917" s="141"/>
      <c r="AR1047917" s="141"/>
      <c r="AV1047917" s="141"/>
      <c r="AW1047917" s="141"/>
      <c r="AX1047917" s="141"/>
      <c r="BP1047917" s="142"/>
      <c r="BU1047917" s="143"/>
    </row>
    <row r="1047918" customFormat="1" ht="14.25" spans="33:73">
      <c r="AG1047918" s="141"/>
      <c r="AH1047918" s="141"/>
      <c r="AI1047918" s="141"/>
      <c r="AP1047918" s="141"/>
      <c r="AQ1047918" s="141"/>
      <c r="AR1047918" s="141"/>
      <c r="AV1047918" s="141"/>
      <c r="AW1047918" s="141"/>
      <c r="AX1047918" s="141"/>
      <c r="BP1047918" s="142"/>
      <c r="BU1047918" s="143"/>
    </row>
    <row r="1047919" customFormat="1" ht="14.25" spans="33:73">
      <c r="AG1047919" s="141"/>
      <c r="AH1047919" s="141"/>
      <c r="AI1047919" s="141"/>
      <c r="AP1047919" s="141"/>
      <c r="AQ1047919" s="141"/>
      <c r="AR1047919" s="141"/>
      <c r="AV1047919" s="141"/>
      <c r="AW1047919" s="141"/>
      <c r="AX1047919" s="141"/>
      <c r="BP1047919" s="142"/>
      <c r="BU1047919" s="143"/>
    </row>
    <row r="1047920" customFormat="1" ht="14.25" spans="33:73">
      <c r="AG1047920" s="141"/>
      <c r="AH1047920" s="141"/>
      <c r="AI1047920" s="141"/>
      <c r="AP1047920" s="141"/>
      <c r="AQ1047920" s="141"/>
      <c r="AR1047920" s="141"/>
      <c r="AV1047920" s="141"/>
      <c r="AW1047920" s="141"/>
      <c r="AX1047920" s="141"/>
      <c r="BP1047920" s="142"/>
      <c r="BU1047920" s="143"/>
    </row>
    <row r="1047921" customFormat="1" ht="14.25" spans="33:73">
      <c r="AG1047921" s="141"/>
      <c r="AH1047921" s="141"/>
      <c r="AI1047921" s="141"/>
      <c r="AP1047921" s="141"/>
      <c r="AQ1047921" s="141"/>
      <c r="AR1047921" s="141"/>
      <c r="AV1047921" s="141"/>
      <c r="AW1047921" s="141"/>
      <c r="AX1047921" s="141"/>
      <c r="BP1047921" s="142"/>
      <c r="BU1047921" s="143"/>
    </row>
    <row r="1047922" customFormat="1" ht="14.25" spans="33:73">
      <c r="AG1047922" s="141"/>
      <c r="AH1047922" s="141"/>
      <c r="AI1047922" s="141"/>
      <c r="AP1047922" s="141"/>
      <c r="AQ1047922" s="141"/>
      <c r="AR1047922" s="141"/>
      <c r="AV1047922" s="141"/>
      <c r="AW1047922" s="141"/>
      <c r="AX1047922" s="141"/>
      <c r="BP1047922" s="142"/>
      <c r="BU1047922" s="143"/>
    </row>
    <row r="1047923" customFormat="1" ht="14.25" spans="33:73">
      <c r="AG1047923" s="141"/>
      <c r="AH1047923" s="141"/>
      <c r="AI1047923" s="141"/>
      <c r="AP1047923" s="141"/>
      <c r="AQ1047923" s="141"/>
      <c r="AR1047923" s="141"/>
      <c r="AV1047923" s="141"/>
      <c r="AW1047923" s="141"/>
      <c r="AX1047923" s="141"/>
      <c r="BP1047923" s="142"/>
      <c r="BU1047923" s="143"/>
    </row>
    <row r="1047924" customFormat="1" ht="14.25" spans="33:73">
      <c r="AG1047924" s="141"/>
      <c r="AH1047924" s="141"/>
      <c r="AI1047924" s="141"/>
      <c r="AP1047924" s="141"/>
      <c r="AQ1047924" s="141"/>
      <c r="AR1047924" s="141"/>
      <c r="AV1047924" s="141"/>
      <c r="AW1047924" s="141"/>
      <c r="AX1047924" s="141"/>
      <c r="BP1047924" s="142"/>
      <c r="BU1047924" s="143"/>
    </row>
    <row r="1047925" customFormat="1" ht="14.25" spans="33:73">
      <c r="AG1047925" s="141"/>
      <c r="AH1047925" s="141"/>
      <c r="AI1047925" s="141"/>
      <c r="AP1047925" s="141"/>
      <c r="AQ1047925" s="141"/>
      <c r="AR1047925" s="141"/>
      <c r="AV1047925" s="141"/>
      <c r="AW1047925" s="141"/>
      <c r="AX1047925" s="141"/>
      <c r="BP1047925" s="142"/>
      <c r="BU1047925" s="143"/>
    </row>
    <row r="1047926" customFormat="1" ht="14.25" spans="33:73">
      <c r="AG1047926" s="141"/>
      <c r="AH1047926" s="141"/>
      <c r="AI1047926" s="141"/>
      <c r="AP1047926" s="141"/>
      <c r="AQ1047926" s="141"/>
      <c r="AR1047926" s="141"/>
      <c r="AV1047926" s="141"/>
      <c r="AW1047926" s="141"/>
      <c r="AX1047926" s="141"/>
      <c r="BP1047926" s="142"/>
      <c r="BU1047926" s="143"/>
    </row>
    <row r="1047927" customFormat="1" ht="14.25" spans="33:73">
      <c r="AG1047927" s="141"/>
      <c r="AH1047927" s="141"/>
      <c r="AI1047927" s="141"/>
      <c r="AP1047927" s="141"/>
      <c r="AQ1047927" s="141"/>
      <c r="AR1047927" s="141"/>
      <c r="AV1047927" s="141"/>
      <c r="AW1047927" s="141"/>
      <c r="AX1047927" s="141"/>
      <c r="BP1047927" s="142"/>
      <c r="BU1047927" s="143"/>
    </row>
    <row r="1047928" customFormat="1" ht="14.25" spans="33:73">
      <c r="AG1047928" s="141"/>
      <c r="AH1047928" s="141"/>
      <c r="AI1047928" s="141"/>
      <c r="AP1047928" s="141"/>
      <c r="AQ1047928" s="141"/>
      <c r="AR1047928" s="141"/>
      <c r="AV1047928" s="141"/>
      <c r="AW1047928" s="141"/>
      <c r="AX1047928" s="141"/>
      <c r="BP1047928" s="142"/>
      <c r="BU1047928" s="143"/>
    </row>
    <row r="1047929" customFormat="1" ht="14.25" spans="33:73">
      <c r="AG1047929" s="141"/>
      <c r="AH1047929" s="141"/>
      <c r="AI1047929" s="141"/>
      <c r="AP1047929" s="141"/>
      <c r="AQ1047929" s="141"/>
      <c r="AR1047929" s="141"/>
      <c r="AV1047929" s="141"/>
      <c r="AW1047929" s="141"/>
      <c r="AX1047929" s="141"/>
      <c r="BP1047929" s="142"/>
      <c r="BU1047929" s="143"/>
    </row>
    <row r="1047930" customFormat="1" ht="14.25" spans="33:73">
      <c r="AG1047930" s="141"/>
      <c r="AH1047930" s="141"/>
      <c r="AI1047930" s="141"/>
      <c r="AP1047930" s="141"/>
      <c r="AQ1047930" s="141"/>
      <c r="AR1047930" s="141"/>
      <c r="AV1047930" s="141"/>
      <c r="AW1047930" s="141"/>
      <c r="AX1047930" s="141"/>
      <c r="BP1047930" s="142"/>
      <c r="BU1047930" s="143"/>
    </row>
    <row r="1047931" customFormat="1" ht="14.25" spans="33:73">
      <c r="AG1047931" s="141"/>
      <c r="AH1047931" s="141"/>
      <c r="AI1047931" s="141"/>
      <c r="AP1047931" s="141"/>
      <c r="AQ1047931" s="141"/>
      <c r="AR1047931" s="141"/>
      <c r="AV1047931" s="141"/>
      <c r="AW1047931" s="141"/>
      <c r="AX1047931" s="141"/>
      <c r="BP1047931" s="142"/>
      <c r="BU1047931" s="143"/>
    </row>
    <row r="1047932" customFormat="1" ht="14.25" spans="33:73">
      <c r="AG1047932" s="141"/>
      <c r="AH1047932" s="141"/>
      <c r="AI1047932" s="141"/>
      <c r="AP1047932" s="141"/>
      <c r="AQ1047932" s="141"/>
      <c r="AR1047932" s="141"/>
      <c r="AV1047932" s="141"/>
      <c r="AW1047932" s="141"/>
      <c r="AX1047932" s="141"/>
      <c r="BP1047932" s="142"/>
      <c r="BU1047932" s="143"/>
    </row>
    <row r="1047933" customFormat="1" ht="14.25" spans="33:73">
      <c r="AG1047933" s="141"/>
      <c r="AH1047933" s="141"/>
      <c r="AI1047933" s="141"/>
      <c r="AP1047933" s="141"/>
      <c r="AQ1047933" s="141"/>
      <c r="AR1047933" s="141"/>
      <c r="AV1047933" s="141"/>
      <c r="AW1047933" s="141"/>
      <c r="AX1047933" s="141"/>
      <c r="BP1047933" s="142"/>
      <c r="BU1047933" s="143"/>
    </row>
    <row r="1047934" customFormat="1" ht="14.25" spans="33:73">
      <c r="AG1047934" s="141"/>
      <c r="AH1047934" s="141"/>
      <c r="AI1047934" s="141"/>
      <c r="AP1047934" s="141"/>
      <c r="AQ1047934" s="141"/>
      <c r="AR1047934" s="141"/>
      <c r="AV1047934" s="141"/>
      <c r="AW1047934" s="141"/>
      <c r="AX1047934" s="141"/>
      <c r="BP1047934" s="142"/>
      <c r="BU1047934" s="143"/>
    </row>
    <row r="1047935" customFormat="1" ht="14.25" spans="33:73">
      <c r="AG1047935" s="141"/>
      <c r="AH1047935" s="141"/>
      <c r="AI1047935" s="141"/>
      <c r="AP1047935" s="141"/>
      <c r="AQ1047935" s="141"/>
      <c r="AR1047935" s="141"/>
      <c r="AV1047935" s="141"/>
      <c r="AW1047935" s="141"/>
      <c r="AX1047935" s="141"/>
      <c r="BP1047935" s="142"/>
      <c r="BU1047935" s="143"/>
    </row>
    <row r="1047936" customFormat="1" ht="14.25" spans="33:73">
      <c r="AG1047936" s="141"/>
      <c r="AH1047936" s="141"/>
      <c r="AI1047936" s="141"/>
      <c r="AP1047936" s="141"/>
      <c r="AQ1047936" s="141"/>
      <c r="AR1047936" s="141"/>
      <c r="AV1047936" s="141"/>
      <c r="AW1047936" s="141"/>
      <c r="AX1047936" s="141"/>
      <c r="BP1047936" s="142"/>
      <c r="BU1047936" s="143"/>
    </row>
    <row r="1047937" customFormat="1" ht="14.25" spans="33:73">
      <c r="AG1047937" s="141"/>
      <c r="AH1047937" s="141"/>
      <c r="AI1047937" s="141"/>
      <c r="AP1047937" s="141"/>
      <c r="AQ1047937" s="141"/>
      <c r="AR1047937" s="141"/>
      <c r="AV1047937" s="141"/>
      <c r="AW1047937" s="141"/>
      <c r="AX1047937" s="141"/>
      <c r="BP1047937" s="142"/>
      <c r="BU1047937" s="143"/>
    </row>
    <row r="1047938" customFormat="1" ht="14.25" spans="33:73">
      <c r="AG1047938" s="141"/>
      <c r="AH1047938" s="141"/>
      <c r="AI1047938" s="141"/>
      <c r="AP1047938" s="141"/>
      <c r="AQ1047938" s="141"/>
      <c r="AR1047938" s="141"/>
      <c r="AV1047938" s="141"/>
      <c r="AW1047938" s="141"/>
      <c r="AX1047938" s="141"/>
      <c r="BP1047938" s="142"/>
      <c r="BU1047938" s="143"/>
    </row>
    <row r="1047939" customFormat="1" ht="14.25" spans="33:73">
      <c r="AG1047939" s="141"/>
      <c r="AH1047939" s="141"/>
      <c r="AI1047939" s="141"/>
      <c r="AP1047939" s="141"/>
      <c r="AQ1047939" s="141"/>
      <c r="AR1047939" s="141"/>
      <c r="AV1047939" s="141"/>
      <c r="AW1047939" s="141"/>
      <c r="AX1047939" s="141"/>
      <c r="BP1047939" s="142"/>
      <c r="BU1047939" s="143"/>
    </row>
    <row r="1047940" customFormat="1" ht="14.25" spans="33:73">
      <c r="AG1047940" s="141"/>
      <c r="AH1047940" s="141"/>
      <c r="AI1047940" s="141"/>
      <c r="AP1047940" s="141"/>
      <c r="AQ1047940" s="141"/>
      <c r="AR1047940" s="141"/>
      <c r="AV1047940" s="141"/>
      <c r="AW1047940" s="141"/>
      <c r="AX1047940" s="141"/>
      <c r="BP1047940" s="142"/>
      <c r="BU1047940" s="143"/>
    </row>
    <row r="1047941" customFormat="1" ht="14.25" spans="33:73">
      <c r="AG1047941" s="141"/>
      <c r="AH1047941" s="141"/>
      <c r="AI1047941" s="141"/>
      <c r="AP1047941" s="141"/>
      <c r="AQ1047941" s="141"/>
      <c r="AR1047941" s="141"/>
      <c r="AV1047941" s="141"/>
      <c r="AW1047941" s="141"/>
      <c r="AX1047941" s="141"/>
      <c r="BP1047941" s="142"/>
      <c r="BU1047941" s="143"/>
    </row>
    <row r="1047942" customFormat="1" ht="14.25" spans="33:73">
      <c r="AG1047942" s="141"/>
      <c r="AH1047942" s="141"/>
      <c r="AI1047942" s="141"/>
      <c r="AP1047942" s="141"/>
      <c r="AQ1047942" s="141"/>
      <c r="AR1047942" s="141"/>
      <c r="AV1047942" s="141"/>
      <c r="AW1047942" s="141"/>
      <c r="AX1047942" s="141"/>
      <c r="BP1047942" s="142"/>
      <c r="BU1047942" s="143"/>
    </row>
    <row r="1047943" customFormat="1" ht="14.25" spans="33:73">
      <c r="AG1047943" s="141"/>
      <c r="AH1047943" s="141"/>
      <c r="AI1047943" s="141"/>
      <c r="AP1047943" s="141"/>
      <c r="AQ1047943" s="141"/>
      <c r="AR1047943" s="141"/>
      <c r="AV1047943" s="141"/>
      <c r="AW1047943" s="141"/>
      <c r="AX1047943" s="141"/>
      <c r="BP1047943" s="142"/>
      <c r="BU1047943" s="143"/>
    </row>
    <row r="1047944" customFormat="1" ht="14.25" spans="33:73">
      <c r="AG1047944" s="141"/>
      <c r="AH1047944" s="141"/>
      <c r="AI1047944" s="141"/>
      <c r="AP1047944" s="141"/>
      <c r="AQ1047944" s="141"/>
      <c r="AR1047944" s="141"/>
      <c r="AV1047944" s="141"/>
      <c r="AW1047944" s="141"/>
      <c r="AX1047944" s="141"/>
      <c r="BP1047944" s="142"/>
      <c r="BU1047944" s="143"/>
    </row>
    <row r="1047945" customFormat="1" ht="14.25" spans="33:73">
      <c r="AG1047945" s="141"/>
      <c r="AH1047945" s="141"/>
      <c r="AI1047945" s="141"/>
      <c r="AP1047945" s="141"/>
      <c r="AQ1047945" s="141"/>
      <c r="AR1047945" s="141"/>
      <c r="AV1047945" s="141"/>
      <c r="AW1047945" s="141"/>
      <c r="AX1047945" s="141"/>
      <c r="BP1047945" s="142"/>
      <c r="BU1047945" s="143"/>
    </row>
    <row r="1047946" customFormat="1" ht="14.25" spans="33:73">
      <c r="AG1047946" s="141"/>
      <c r="AH1047946" s="141"/>
      <c r="AI1047946" s="141"/>
      <c r="AP1047946" s="141"/>
      <c r="AQ1047946" s="141"/>
      <c r="AR1047946" s="141"/>
      <c r="AV1047946" s="141"/>
      <c r="AW1047946" s="141"/>
      <c r="AX1047946" s="141"/>
      <c r="BP1047946" s="142"/>
      <c r="BU1047946" s="143"/>
    </row>
    <row r="1047947" customFormat="1" ht="14.25" spans="33:73">
      <c r="AG1047947" s="141"/>
      <c r="AH1047947" s="141"/>
      <c r="AI1047947" s="141"/>
      <c r="AP1047947" s="141"/>
      <c r="AQ1047947" s="141"/>
      <c r="AR1047947" s="141"/>
      <c r="AV1047947" s="141"/>
      <c r="AW1047947" s="141"/>
      <c r="AX1047947" s="141"/>
      <c r="BP1047947" s="142"/>
      <c r="BU1047947" s="143"/>
    </row>
    <row r="1047948" customFormat="1" ht="14.25" spans="33:73">
      <c r="AG1047948" s="141"/>
      <c r="AH1047948" s="141"/>
      <c r="AI1047948" s="141"/>
      <c r="AP1047948" s="141"/>
      <c r="AQ1047948" s="141"/>
      <c r="AR1047948" s="141"/>
      <c r="AV1047948" s="141"/>
      <c r="AW1047948" s="141"/>
      <c r="AX1047948" s="141"/>
      <c r="BP1047948" s="142"/>
      <c r="BU1047948" s="143"/>
    </row>
    <row r="1047949" customFormat="1" ht="14.25" spans="33:73">
      <c r="AG1047949" s="141"/>
      <c r="AH1047949" s="141"/>
      <c r="AI1047949" s="141"/>
      <c r="AP1047949" s="141"/>
      <c r="AQ1047949" s="141"/>
      <c r="AR1047949" s="141"/>
      <c r="AV1047949" s="141"/>
      <c r="AW1047949" s="141"/>
      <c r="AX1047949" s="141"/>
      <c r="BP1047949" s="142"/>
      <c r="BU1047949" s="143"/>
    </row>
    <row r="1047950" customFormat="1" ht="14.25" spans="33:73">
      <c r="AG1047950" s="141"/>
      <c r="AH1047950" s="141"/>
      <c r="AI1047950" s="141"/>
      <c r="AP1047950" s="141"/>
      <c r="AQ1047950" s="141"/>
      <c r="AR1047950" s="141"/>
      <c r="AV1047950" s="141"/>
      <c r="AW1047950" s="141"/>
      <c r="AX1047950" s="141"/>
      <c r="BP1047950" s="142"/>
      <c r="BU1047950" s="143"/>
    </row>
    <row r="1047951" customFormat="1" ht="14.25" spans="33:73">
      <c r="AG1047951" s="141"/>
      <c r="AH1047951" s="141"/>
      <c r="AI1047951" s="141"/>
      <c r="AP1047951" s="141"/>
      <c r="AQ1047951" s="141"/>
      <c r="AR1047951" s="141"/>
      <c r="AV1047951" s="141"/>
      <c r="AW1047951" s="141"/>
      <c r="AX1047951" s="141"/>
      <c r="BP1047951" s="142"/>
      <c r="BU1047951" s="143"/>
    </row>
    <row r="1047952" customFormat="1" ht="14.25" spans="33:73">
      <c r="AG1047952" s="141"/>
      <c r="AH1047952" s="141"/>
      <c r="AI1047952" s="141"/>
      <c r="AP1047952" s="141"/>
      <c r="AQ1047952" s="141"/>
      <c r="AR1047952" s="141"/>
      <c r="AV1047952" s="141"/>
      <c r="AW1047952" s="141"/>
      <c r="AX1047952" s="141"/>
      <c r="BP1047952" s="142"/>
      <c r="BU1047952" s="143"/>
    </row>
    <row r="1047953" customFormat="1" ht="14.25" spans="33:73">
      <c r="AG1047953" s="141"/>
      <c r="AH1047953" s="141"/>
      <c r="AI1047953" s="141"/>
      <c r="AP1047953" s="141"/>
      <c r="AQ1047953" s="141"/>
      <c r="AR1047953" s="141"/>
      <c r="AV1047953" s="141"/>
      <c r="AW1047953" s="141"/>
      <c r="AX1047953" s="141"/>
      <c r="BP1047953" s="142"/>
      <c r="BU1047953" s="143"/>
    </row>
    <row r="1047954" customFormat="1" ht="14.25" spans="33:73">
      <c r="AG1047954" s="141"/>
      <c r="AH1047954" s="141"/>
      <c r="AI1047954" s="141"/>
      <c r="AP1047954" s="141"/>
      <c r="AQ1047954" s="141"/>
      <c r="AR1047954" s="141"/>
      <c r="AV1047954" s="141"/>
      <c r="AW1047954" s="141"/>
      <c r="AX1047954" s="141"/>
      <c r="BP1047954" s="142"/>
      <c r="BU1047954" s="143"/>
    </row>
    <row r="1047955" customFormat="1" ht="14.25" spans="33:73">
      <c r="AG1047955" s="141"/>
      <c r="AH1047955" s="141"/>
      <c r="AI1047955" s="141"/>
      <c r="AP1047955" s="141"/>
      <c r="AQ1047955" s="141"/>
      <c r="AR1047955" s="141"/>
      <c r="AV1047955" s="141"/>
      <c r="AW1047955" s="141"/>
      <c r="AX1047955" s="141"/>
      <c r="BP1047955" s="142"/>
      <c r="BU1047955" s="143"/>
    </row>
    <row r="1047956" customFormat="1" ht="14.25" spans="33:73">
      <c r="AG1047956" s="141"/>
      <c r="AH1047956" s="141"/>
      <c r="AI1047956" s="141"/>
      <c r="AP1047956" s="141"/>
      <c r="AQ1047956" s="141"/>
      <c r="AR1047956" s="141"/>
      <c r="AV1047956" s="141"/>
      <c r="AW1047956" s="141"/>
      <c r="AX1047956" s="141"/>
      <c r="BP1047956" s="142"/>
      <c r="BU1047956" s="143"/>
    </row>
    <row r="1047957" customFormat="1" ht="14.25" spans="33:73">
      <c r="AG1047957" s="141"/>
      <c r="AH1047957" s="141"/>
      <c r="AI1047957" s="141"/>
      <c r="AP1047957" s="141"/>
      <c r="AQ1047957" s="141"/>
      <c r="AR1047957" s="141"/>
      <c r="AV1047957" s="141"/>
      <c r="AW1047957" s="141"/>
      <c r="AX1047957" s="141"/>
      <c r="BP1047957" s="142"/>
      <c r="BU1047957" s="143"/>
    </row>
    <row r="1047958" customFormat="1" ht="14.25" spans="33:73">
      <c r="AG1047958" s="141"/>
      <c r="AH1047958" s="141"/>
      <c r="AI1047958" s="141"/>
      <c r="AP1047958" s="141"/>
      <c r="AQ1047958" s="141"/>
      <c r="AR1047958" s="141"/>
      <c r="AV1047958" s="141"/>
      <c r="AW1047958" s="141"/>
      <c r="AX1047958" s="141"/>
      <c r="BP1047958" s="142"/>
      <c r="BU1047958" s="143"/>
    </row>
    <row r="1047959" customFormat="1" ht="14.25" spans="33:73">
      <c r="AG1047959" s="141"/>
      <c r="AH1047959" s="141"/>
      <c r="AI1047959" s="141"/>
      <c r="AP1047959" s="141"/>
      <c r="AQ1047959" s="141"/>
      <c r="AR1047959" s="141"/>
      <c r="AV1047959" s="141"/>
      <c r="AW1047959" s="141"/>
      <c r="AX1047959" s="141"/>
      <c r="BP1047959" s="142"/>
      <c r="BU1047959" s="143"/>
    </row>
    <row r="1047960" customFormat="1" ht="14.25" spans="33:73">
      <c r="AG1047960" s="141"/>
      <c r="AH1047960" s="141"/>
      <c r="AI1047960" s="141"/>
      <c r="AP1047960" s="141"/>
      <c r="AQ1047960" s="141"/>
      <c r="AR1047960" s="141"/>
      <c r="AV1047960" s="141"/>
      <c r="AW1047960" s="141"/>
      <c r="AX1047960" s="141"/>
      <c r="BP1047960" s="142"/>
      <c r="BU1047960" s="143"/>
    </row>
    <row r="1047961" customFormat="1" ht="14.25" spans="33:73">
      <c r="AG1047961" s="141"/>
      <c r="AH1047961" s="141"/>
      <c r="AI1047961" s="141"/>
      <c r="AP1047961" s="141"/>
      <c r="AQ1047961" s="141"/>
      <c r="AR1047961" s="141"/>
      <c r="AV1047961" s="141"/>
      <c r="AW1047961" s="141"/>
      <c r="AX1047961" s="141"/>
      <c r="BP1047961" s="142"/>
      <c r="BU1047961" s="143"/>
    </row>
    <row r="1047962" customFormat="1" ht="14.25" spans="33:73">
      <c r="AG1047962" s="141"/>
      <c r="AH1047962" s="141"/>
      <c r="AI1047962" s="141"/>
      <c r="AP1047962" s="141"/>
      <c r="AQ1047962" s="141"/>
      <c r="AR1047962" s="141"/>
      <c r="AV1047962" s="141"/>
      <c r="AW1047962" s="141"/>
      <c r="AX1047962" s="141"/>
      <c r="BP1047962" s="142"/>
      <c r="BU1047962" s="143"/>
    </row>
    <row r="1047963" customFormat="1" ht="14.25" spans="33:73">
      <c r="AG1047963" s="141"/>
      <c r="AH1047963" s="141"/>
      <c r="AI1047963" s="141"/>
      <c r="AP1047963" s="141"/>
      <c r="AQ1047963" s="141"/>
      <c r="AR1047963" s="141"/>
      <c r="AV1047963" s="141"/>
      <c r="AW1047963" s="141"/>
      <c r="AX1047963" s="141"/>
      <c r="BP1047963" s="142"/>
      <c r="BU1047963" s="143"/>
    </row>
    <row r="1047964" customFormat="1" ht="14.25" spans="33:73">
      <c r="AG1047964" s="141"/>
      <c r="AH1047964" s="141"/>
      <c r="AI1047964" s="141"/>
      <c r="AP1047964" s="141"/>
      <c r="AQ1047964" s="141"/>
      <c r="AR1047964" s="141"/>
      <c r="AV1047964" s="141"/>
      <c r="AW1047964" s="141"/>
      <c r="AX1047964" s="141"/>
      <c r="BP1047964" s="142"/>
      <c r="BU1047964" s="143"/>
    </row>
    <row r="1047965" customFormat="1" ht="14.25" spans="33:73">
      <c r="AG1047965" s="141"/>
      <c r="AH1047965" s="141"/>
      <c r="AI1047965" s="141"/>
      <c r="AP1047965" s="141"/>
      <c r="AQ1047965" s="141"/>
      <c r="AR1047965" s="141"/>
      <c r="AV1047965" s="141"/>
      <c r="AW1047965" s="141"/>
      <c r="AX1047965" s="141"/>
      <c r="BP1047965" s="142"/>
      <c r="BU1047965" s="143"/>
    </row>
    <row r="1047966" customFormat="1" ht="14.25" spans="33:73">
      <c r="AG1047966" s="141"/>
      <c r="AH1047966" s="141"/>
      <c r="AI1047966" s="141"/>
      <c r="AP1047966" s="141"/>
      <c r="AQ1047966" s="141"/>
      <c r="AR1047966" s="141"/>
      <c r="AV1047966" s="141"/>
      <c r="AW1047966" s="141"/>
      <c r="AX1047966" s="141"/>
      <c r="BP1047966" s="142"/>
      <c r="BU1047966" s="143"/>
    </row>
    <row r="1047967" customFormat="1" ht="14.25" spans="33:73">
      <c r="AG1047967" s="141"/>
      <c r="AH1047967" s="141"/>
      <c r="AI1047967" s="141"/>
      <c r="AP1047967" s="141"/>
      <c r="AQ1047967" s="141"/>
      <c r="AR1047967" s="141"/>
      <c r="AV1047967" s="141"/>
      <c r="AW1047967" s="141"/>
      <c r="AX1047967" s="141"/>
      <c r="BP1047967" s="142"/>
      <c r="BU1047967" s="143"/>
    </row>
    <row r="1047968" customFormat="1" ht="14.25" spans="33:73">
      <c r="AG1047968" s="141"/>
      <c r="AH1047968" s="141"/>
      <c r="AI1047968" s="141"/>
      <c r="AP1047968" s="141"/>
      <c r="AQ1047968" s="141"/>
      <c r="AR1047968" s="141"/>
      <c r="AV1047968" s="141"/>
      <c r="AW1047968" s="141"/>
      <c r="AX1047968" s="141"/>
      <c r="BP1047968" s="142"/>
      <c r="BU1047968" s="143"/>
    </row>
    <row r="1047969" customFormat="1" ht="14.25" spans="33:73">
      <c r="AG1047969" s="141"/>
      <c r="AH1047969" s="141"/>
      <c r="AI1047969" s="141"/>
      <c r="AP1047969" s="141"/>
      <c r="AQ1047969" s="141"/>
      <c r="AR1047969" s="141"/>
      <c r="AV1047969" s="141"/>
      <c r="AW1047969" s="141"/>
      <c r="AX1047969" s="141"/>
      <c r="BP1047969" s="142"/>
      <c r="BU1047969" s="143"/>
    </row>
    <row r="1047970" customFormat="1" ht="14.25" spans="33:73">
      <c r="AG1047970" s="141"/>
      <c r="AH1047970" s="141"/>
      <c r="AI1047970" s="141"/>
      <c r="AP1047970" s="141"/>
      <c r="AQ1047970" s="141"/>
      <c r="AR1047970" s="141"/>
      <c r="AV1047970" s="141"/>
      <c r="AW1047970" s="141"/>
      <c r="AX1047970" s="141"/>
      <c r="BP1047970" s="142"/>
      <c r="BU1047970" s="143"/>
    </row>
    <row r="1047971" customFormat="1" ht="14.25" spans="33:73">
      <c r="AG1047971" s="141"/>
      <c r="AH1047971" s="141"/>
      <c r="AI1047971" s="141"/>
      <c r="AP1047971" s="141"/>
      <c r="AQ1047971" s="141"/>
      <c r="AR1047971" s="141"/>
      <c r="AV1047971" s="141"/>
      <c r="AW1047971" s="141"/>
      <c r="AX1047971" s="141"/>
      <c r="BP1047971" s="142"/>
      <c r="BU1047971" s="143"/>
    </row>
    <row r="1047972" customFormat="1" ht="14.25" spans="33:73">
      <c r="AG1047972" s="141"/>
      <c r="AH1047972" s="141"/>
      <c r="AI1047972" s="141"/>
      <c r="AP1047972" s="141"/>
      <c r="AQ1047972" s="141"/>
      <c r="AR1047972" s="141"/>
      <c r="AV1047972" s="141"/>
      <c r="AW1047972" s="141"/>
      <c r="AX1047972" s="141"/>
      <c r="BP1047972" s="142"/>
      <c r="BU1047972" s="143"/>
    </row>
    <row r="1047973" customFormat="1" ht="14.25" spans="33:73">
      <c r="AG1047973" s="141"/>
      <c r="AH1047973" s="141"/>
      <c r="AI1047973" s="141"/>
      <c r="AP1047973" s="141"/>
      <c r="AQ1047973" s="141"/>
      <c r="AR1047973" s="141"/>
      <c r="AV1047973" s="141"/>
      <c r="AW1047973" s="141"/>
      <c r="AX1047973" s="141"/>
      <c r="BP1047973" s="142"/>
      <c r="BU1047973" s="143"/>
    </row>
    <row r="1047974" customFormat="1" ht="14.25" spans="33:73">
      <c r="AG1047974" s="141"/>
      <c r="AH1047974" s="141"/>
      <c r="AI1047974" s="141"/>
      <c r="AP1047974" s="141"/>
      <c r="AQ1047974" s="141"/>
      <c r="AR1047974" s="141"/>
      <c r="AV1047974" s="141"/>
      <c r="AW1047974" s="141"/>
      <c r="AX1047974" s="141"/>
      <c r="BP1047974" s="142"/>
      <c r="BU1047974" s="143"/>
    </row>
    <row r="1047975" customFormat="1" ht="14.25" spans="33:73">
      <c r="AG1047975" s="141"/>
      <c r="AH1047975" s="141"/>
      <c r="AI1047975" s="141"/>
      <c r="AP1047975" s="141"/>
      <c r="AQ1047975" s="141"/>
      <c r="AR1047975" s="141"/>
      <c r="AV1047975" s="141"/>
      <c r="AW1047975" s="141"/>
      <c r="AX1047975" s="141"/>
      <c r="BP1047975" s="142"/>
      <c r="BU1047975" s="143"/>
    </row>
    <row r="1047976" customFormat="1" ht="14.25" spans="33:73">
      <c r="AG1047976" s="141"/>
      <c r="AH1047976" s="141"/>
      <c r="AI1047976" s="141"/>
      <c r="AP1047976" s="141"/>
      <c r="AQ1047976" s="141"/>
      <c r="AR1047976" s="141"/>
      <c r="AV1047976" s="141"/>
      <c r="AW1047976" s="141"/>
      <c r="AX1047976" s="141"/>
      <c r="BP1047976" s="142"/>
      <c r="BU1047976" s="143"/>
    </row>
    <row r="1047977" customFormat="1" ht="14.25" spans="33:73">
      <c r="AG1047977" s="141"/>
      <c r="AH1047977" s="141"/>
      <c r="AI1047977" s="141"/>
      <c r="AP1047977" s="141"/>
      <c r="AQ1047977" s="141"/>
      <c r="AR1047977" s="141"/>
      <c r="AV1047977" s="141"/>
      <c r="AW1047977" s="141"/>
      <c r="AX1047977" s="141"/>
      <c r="BP1047977" s="142"/>
      <c r="BU1047977" s="143"/>
    </row>
    <row r="1047978" customFormat="1" ht="14.25" spans="33:73">
      <c r="AG1047978" s="141"/>
      <c r="AH1047978" s="141"/>
      <c r="AI1047978" s="141"/>
      <c r="AP1047978" s="141"/>
      <c r="AQ1047978" s="141"/>
      <c r="AR1047978" s="141"/>
      <c r="AV1047978" s="141"/>
      <c r="AW1047978" s="141"/>
      <c r="AX1047978" s="141"/>
      <c r="BP1047978" s="142"/>
      <c r="BU1047978" s="143"/>
    </row>
    <row r="1047979" customFormat="1" ht="14.25" spans="33:73">
      <c r="AG1047979" s="141"/>
      <c r="AH1047979" s="141"/>
      <c r="AI1047979" s="141"/>
      <c r="AP1047979" s="141"/>
      <c r="AQ1047979" s="141"/>
      <c r="AR1047979" s="141"/>
      <c r="AV1047979" s="141"/>
      <c r="AW1047979" s="141"/>
      <c r="AX1047979" s="141"/>
      <c r="BP1047979" s="142"/>
      <c r="BU1047979" s="143"/>
    </row>
    <row r="1047980" customFormat="1" ht="14.25" spans="33:73">
      <c r="AG1047980" s="141"/>
      <c r="AH1047980" s="141"/>
      <c r="AI1047980" s="141"/>
      <c r="AP1047980" s="141"/>
      <c r="AQ1047980" s="141"/>
      <c r="AR1047980" s="141"/>
      <c r="AV1047980" s="141"/>
      <c r="AW1047980" s="141"/>
      <c r="AX1047980" s="141"/>
      <c r="BP1047980" s="142"/>
      <c r="BU1047980" s="143"/>
    </row>
    <row r="1047981" customFormat="1" ht="14.25" spans="33:73">
      <c r="AG1047981" s="141"/>
      <c r="AH1047981" s="141"/>
      <c r="AI1047981" s="141"/>
      <c r="AP1047981" s="141"/>
      <c r="AQ1047981" s="141"/>
      <c r="AR1047981" s="141"/>
      <c r="AV1047981" s="141"/>
      <c r="AW1047981" s="141"/>
      <c r="AX1047981" s="141"/>
      <c r="BP1047981" s="142"/>
      <c r="BU1047981" s="143"/>
    </row>
    <row r="1047982" customFormat="1" ht="14.25" spans="33:73">
      <c r="AG1047982" s="141"/>
      <c r="AH1047982" s="141"/>
      <c r="AI1047982" s="141"/>
      <c r="AP1047982" s="141"/>
      <c r="AQ1047982" s="141"/>
      <c r="AR1047982" s="141"/>
      <c r="AV1047982" s="141"/>
      <c r="AW1047982" s="141"/>
      <c r="AX1047982" s="141"/>
      <c r="BP1047982" s="142"/>
      <c r="BU1047982" s="143"/>
    </row>
    <row r="1047983" customFormat="1" ht="14.25" spans="33:73">
      <c r="AG1047983" s="141"/>
      <c r="AH1047983" s="141"/>
      <c r="AI1047983" s="141"/>
      <c r="AP1047983" s="141"/>
      <c r="AQ1047983" s="141"/>
      <c r="AR1047983" s="141"/>
      <c r="AV1047983" s="141"/>
      <c r="AW1047983" s="141"/>
      <c r="AX1047983" s="141"/>
      <c r="BP1047983" s="142"/>
      <c r="BU1047983" s="143"/>
    </row>
    <row r="1047984" customFormat="1" ht="14.25" spans="33:73">
      <c r="AG1047984" s="141"/>
      <c r="AH1047984" s="141"/>
      <c r="AI1047984" s="141"/>
      <c r="AP1047984" s="141"/>
      <c r="AQ1047984" s="141"/>
      <c r="AR1047984" s="141"/>
      <c r="AV1047984" s="141"/>
      <c r="AW1047984" s="141"/>
      <c r="AX1047984" s="141"/>
      <c r="BP1047984" s="142"/>
      <c r="BU1047984" s="143"/>
    </row>
    <row r="1047985" customFormat="1" ht="14.25" spans="33:73">
      <c r="AG1047985" s="141"/>
      <c r="AH1047985" s="141"/>
      <c r="AI1047985" s="141"/>
      <c r="AP1047985" s="141"/>
      <c r="AQ1047985" s="141"/>
      <c r="AR1047985" s="141"/>
      <c r="AV1047985" s="141"/>
      <c r="AW1047985" s="141"/>
      <c r="AX1047985" s="141"/>
      <c r="BP1047985" s="142"/>
      <c r="BU1047985" s="143"/>
    </row>
    <row r="1047986" customFormat="1" ht="14.25" spans="33:73">
      <c r="AG1047986" s="141"/>
      <c r="AH1047986" s="141"/>
      <c r="AI1047986" s="141"/>
      <c r="AP1047986" s="141"/>
      <c r="AQ1047986" s="141"/>
      <c r="AR1047986" s="141"/>
      <c r="AV1047986" s="141"/>
      <c r="AW1047986" s="141"/>
      <c r="AX1047986" s="141"/>
      <c r="BP1047986" s="142"/>
      <c r="BU1047986" s="143"/>
    </row>
    <row r="1047987" customFormat="1" ht="14.25" spans="33:73">
      <c r="AG1047987" s="141"/>
      <c r="AH1047987" s="141"/>
      <c r="AI1047987" s="141"/>
      <c r="AP1047987" s="141"/>
      <c r="AQ1047987" s="141"/>
      <c r="AR1047987" s="141"/>
      <c r="AV1047987" s="141"/>
      <c r="AW1047987" s="141"/>
      <c r="AX1047987" s="141"/>
      <c r="BP1047987" s="142"/>
      <c r="BU1047987" s="143"/>
    </row>
    <row r="1047988" customFormat="1" ht="14.25" spans="33:73">
      <c r="AG1047988" s="141"/>
      <c r="AH1047988" s="141"/>
      <c r="AI1047988" s="141"/>
      <c r="AP1047988" s="141"/>
      <c r="AQ1047988" s="141"/>
      <c r="AR1047988" s="141"/>
      <c r="AV1047988" s="141"/>
      <c r="AW1047988" s="141"/>
      <c r="AX1047988" s="141"/>
      <c r="BP1047988" s="142"/>
      <c r="BU1047988" s="143"/>
    </row>
    <row r="1047989" customFormat="1" ht="14.25" spans="33:73">
      <c r="AG1047989" s="141"/>
      <c r="AH1047989" s="141"/>
      <c r="AI1047989" s="141"/>
      <c r="AP1047989" s="141"/>
      <c r="AQ1047989" s="141"/>
      <c r="AR1047989" s="141"/>
      <c r="AV1047989" s="141"/>
      <c r="AW1047989" s="141"/>
      <c r="AX1047989" s="141"/>
      <c r="BP1047989" s="142"/>
      <c r="BU1047989" s="143"/>
    </row>
    <row r="1047990" customFormat="1" ht="14.25" spans="33:73">
      <c r="AG1047990" s="141"/>
      <c r="AH1047990" s="141"/>
      <c r="AI1047990" s="141"/>
      <c r="AP1047990" s="141"/>
      <c r="AQ1047990" s="141"/>
      <c r="AR1047990" s="141"/>
      <c r="AV1047990" s="141"/>
      <c r="AW1047990" s="141"/>
      <c r="AX1047990" s="141"/>
      <c r="BP1047990" s="142"/>
      <c r="BU1047990" s="143"/>
    </row>
    <row r="1047991" customFormat="1" ht="14.25" spans="33:73">
      <c r="AG1047991" s="141"/>
      <c r="AH1047991" s="141"/>
      <c r="AI1047991" s="141"/>
      <c r="AP1047991" s="141"/>
      <c r="AQ1047991" s="141"/>
      <c r="AR1047991" s="141"/>
      <c r="AV1047991" s="141"/>
      <c r="AW1047991" s="141"/>
      <c r="AX1047991" s="141"/>
      <c r="BP1047991" s="142"/>
      <c r="BU1047991" s="143"/>
    </row>
    <row r="1047992" customFormat="1" ht="14.25" spans="33:73">
      <c r="AG1047992" s="141"/>
      <c r="AH1047992" s="141"/>
      <c r="AI1047992" s="141"/>
      <c r="AP1047992" s="141"/>
      <c r="AQ1047992" s="141"/>
      <c r="AR1047992" s="141"/>
      <c r="AV1047992" s="141"/>
      <c r="AW1047992" s="141"/>
      <c r="AX1047992" s="141"/>
      <c r="BP1047992" s="142"/>
      <c r="BU1047992" s="143"/>
    </row>
    <row r="1047993" customFormat="1" ht="14.25" spans="33:73">
      <c r="AG1047993" s="141"/>
      <c r="AH1047993" s="141"/>
      <c r="AI1047993" s="141"/>
      <c r="AP1047993" s="141"/>
      <c r="AQ1047993" s="141"/>
      <c r="AR1047993" s="141"/>
      <c r="AV1047993" s="141"/>
      <c r="AW1047993" s="141"/>
      <c r="AX1047993" s="141"/>
      <c r="BP1047993" s="142"/>
      <c r="BU1047993" s="143"/>
    </row>
    <row r="1047994" customFormat="1" ht="14.25" spans="33:73">
      <c r="AG1047994" s="141"/>
      <c r="AH1047994" s="141"/>
      <c r="AI1047994" s="141"/>
      <c r="AP1047994" s="141"/>
      <c r="AQ1047994" s="141"/>
      <c r="AR1047994" s="141"/>
      <c r="AV1047994" s="141"/>
      <c r="AW1047994" s="141"/>
      <c r="AX1047994" s="141"/>
      <c r="BP1047994" s="142"/>
      <c r="BU1047994" s="143"/>
    </row>
    <row r="1047995" customFormat="1" ht="14.25" spans="33:73">
      <c r="AG1047995" s="141"/>
      <c r="AH1047995" s="141"/>
      <c r="AI1047995" s="141"/>
      <c r="AP1047995" s="141"/>
      <c r="AQ1047995" s="141"/>
      <c r="AR1047995" s="141"/>
      <c r="AV1047995" s="141"/>
      <c r="AW1047995" s="141"/>
      <c r="AX1047995" s="141"/>
      <c r="BP1047995" s="142"/>
      <c r="BU1047995" s="143"/>
    </row>
    <row r="1047996" customFormat="1" ht="14.25" spans="33:73">
      <c r="AG1047996" s="141"/>
      <c r="AH1047996" s="141"/>
      <c r="AI1047996" s="141"/>
      <c r="AP1047996" s="141"/>
      <c r="AQ1047996" s="141"/>
      <c r="AR1047996" s="141"/>
      <c r="AV1047996" s="141"/>
      <c r="AW1047996" s="141"/>
      <c r="AX1047996" s="141"/>
      <c r="BP1047996" s="142"/>
      <c r="BU1047996" s="143"/>
    </row>
    <row r="1047997" customFormat="1" ht="14.25" spans="33:73">
      <c r="AG1047997" s="141"/>
      <c r="AH1047997" s="141"/>
      <c r="AI1047997" s="141"/>
      <c r="AP1047997" s="141"/>
      <c r="AQ1047997" s="141"/>
      <c r="AR1047997" s="141"/>
      <c r="AV1047997" s="141"/>
      <c r="AW1047997" s="141"/>
      <c r="AX1047997" s="141"/>
      <c r="BP1047997" s="142"/>
      <c r="BU1047997" s="143"/>
    </row>
    <row r="1047998" customFormat="1" ht="14.25" spans="33:73">
      <c r="AG1047998" s="141"/>
      <c r="AH1047998" s="141"/>
      <c r="AI1047998" s="141"/>
      <c r="AP1047998" s="141"/>
      <c r="AQ1047998" s="141"/>
      <c r="AR1047998" s="141"/>
      <c r="AV1047998" s="141"/>
      <c r="AW1047998" s="141"/>
      <c r="AX1047998" s="141"/>
      <c r="BP1047998" s="142"/>
      <c r="BU1047998" s="143"/>
    </row>
    <row r="1047999" customFormat="1" ht="14.25" spans="33:73">
      <c r="AG1047999" s="141"/>
      <c r="AH1047999" s="141"/>
      <c r="AI1047999" s="141"/>
      <c r="AP1047999" s="141"/>
      <c r="AQ1047999" s="141"/>
      <c r="AR1047999" s="141"/>
      <c r="AV1047999" s="141"/>
      <c r="AW1047999" s="141"/>
      <c r="AX1047999" s="141"/>
      <c r="BP1047999" s="142"/>
      <c r="BU1047999" s="143"/>
    </row>
    <row r="1048000" customFormat="1" ht="14.25" spans="33:73">
      <c r="AG1048000" s="141"/>
      <c r="AH1048000" s="141"/>
      <c r="AI1048000" s="141"/>
      <c r="AP1048000" s="141"/>
      <c r="AQ1048000" s="141"/>
      <c r="AR1048000" s="141"/>
      <c r="AV1048000" s="141"/>
      <c r="AW1048000" s="141"/>
      <c r="AX1048000" s="141"/>
      <c r="BP1048000" s="142"/>
      <c r="BU1048000" s="143"/>
    </row>
    <row r="1048001" customFormat="1" ht="14.25" spans="33:73">
      <c r="AG1048001" s="141"/>
      <c r="AH1048001" s="141"/>
      <c r="AI1048001" s="141"/>
      <c r="AP1048001" s="141"/>
      <c r="AQ1048001" s="141"/>
      <c r="AR1048001" s="141"/>
      <c r="AV1048001" s="141"/>
      <c r="AW1048001" s="141"/>
      <c r="AX1048001" s="141"/>
      <c r="BP1048001" s="142"/>
      <c r="BU1048001" s="143"/>
    </row>
    <row r="1048002" customFormat="1" ht="14.25" spans="33:73">
      <c r="AG1048002" s="141"/>
      <c r="AH1048002" s="141"/>
      <c r="AI1048002" s="141"/>
      <c r="AP1048002" s="141"/>
      <c r="AQ1048002" s="141"/>
      <c r="AR1048002" s="141"/>
      <c r="AV1048002" s="141"/>
      <c r="AW1048002" s="141"/>
      <c r="AX1048002" s="141"/>
      <c r="BP1048002" s="142"/>
      <c r="BU1048002" s="143"/>
    </row>
    <row r="1048003" customFormat="1" ht="14.25" spans="33:73">
      <c r="AG1048003" s="141"/>
      <c r="AH1048003" s="141"/>
      <c r="AI1048003" s="141"/>
      <c r="AP1048003" s="141"/>
      <c r="AQ1048003" s="141"/>
      <c r="AR1048003" s="141"/>
      <c r="AV1048003" s="141"/>
      <c r="AW1048003" s="141"/>
      <c r="AX1048003" s="141"/>
      <c r="BP1048003" s="142"/>
      <c r="BU1048003" s="143"/>
    </row>
    <row r="1048004" customFormat="1" ht="14.25" spans="33:73">
      <c r="AG1048004" s="141"/>
      <c r="AH1048004" s="141"/>
      <c r="AI1048004" s="141"/>
      <c r="AP1048004" s="141"/>
      <c r="AQ1048004" s="141"/>
      <c r="AR1048004" s="141"/>
      <c r="AV1048004" s="141"/>
      <c r="AW1048004" s="141"/>
      <c r="AX1048004" s="141"/>
      <c r="BP1048004" s="142"/>
      <c r="BU1048004" s="143"/>
    </row>
    <row r="1048005" customFormat="1" ht="14.25" spans="33:73">
      <c r="AG1048005" s="141"/>
      <c r="AH1048005" s="141"/>
      <c r="AI1048005" s="141"/>
      <c r="AP1048005" s="141"/>
      <c r="AQ1048005" s="141"/>
      <c r="AR1048005" s="141"/>
      <c r="AV1048005" s="141"/>
      <c r="AW1048005" s="141"/>
      <c r="AX1048005" s="141"/>
      <c r="BP1048005" s="142"/>
      <c r="BU1048005" s="143"/>
    </row>
    <row r="1048006" customFormat="1" ht="14.25" spans="33:73">
      <c r="AG1048006" s="141"/>
      <c r="AH1048006" s="141"/>
      <c r="AI1048006" s="141"/>
      <c r="AP1048006" s="141"/>
      <c r="AQ1048006" s="141"/>
      <c r="AR1048006" s="141"/>
      <c r="AV1048006" s="141"/>
      <c r="AW1048006" s="141"/>
      <c r="AX1048006" s="141"/>
      <c r="BP1048006" s="142"/>
      <c r="BU1048006" s="143"/>
    </row>
    <row r="1048007" customFormat="1" ht="14.25" spans="33:73">
      <c r="AG1048007" s="141"/>
      <c r="AH1048007" s="141"/>
      <c r="AI1048007" s="141"/>
      <c r="AP1048007" s="141"/>
      <c r="AQ1048007" s="141"/>
      <c r="AR1048007" s="141"/>
      <c r="AV1048007" s="141"/>
      <c r="AW1048007" s="141"/>
      <c r="AX1048007" s="141"/>
      <c r="BP1048007" s="142"/>
      <c r="BU1048007" s="143"/>
    </row>
    <row r="1048008" customFormat="1" ht="14.25" spans="33:73">
      <c r="AG1048008" s="141"/>
      <c r="AH1048008" s="141"/>
      <c r="AI1048008" s="141"/>
      <c r="AP1048008" s="141"/>
      <c r="AQ1048008" s="141"/>
      <c r="AR1048008" s="141"/>
      <c r="AV1048008" s="141"/>
      <c r="AW1048008" s="141"/>
      <c r="AX1048008" s="141"/>
      <c r="BP1048008" s="142"/>
      <c r="BU1048008" s="143"/>
    </row>
    <row r="1048009" customFormat="1" ht="14.25" spans="33:73">
      <c r="AG1048009" s="141"/>
      <c r="AH1048009" s="141"/>
      <c r="AI1048009" s="141"/>
      <c r="AP1048009" s="141"/>
      <c r="AQ1048009" s="141"/>
      <c r="AR1048009" s="141"/>
      <c r="AV1048009" s="141"/>
      <c r="AW1048009" s="141"/>
      <c r="AX1048009" s="141"/>
      <c r="BP1048009" s="142"/>
      <c r="BU1048009" s="143"/>
    </row>
    <row r="1048010" customFormat="1" ht="14.25" spans="33:73">
      <c r="AG1048010" s="141"/>
      <c r="AH1048010" s="141"/>
      <c r="AI1048010" s="141"/>
      <c r="AP1048010" s="141"/>
      <c r="AQ1048010" s="141"/>
      <c r="AR1048010" s="141"/>
      <c r="AV1048010" s="141"/>
      <c r="AW1048010" s="141"/>
      <c r="AX1048010" s="141"/>
      <c r="BP1048010" s="142"/>
      <c r="BU1048010" s="143"/>
    </row>
    <row r="1048011" customFormat="1" ht="14.25" spans="33:73">
      <c r="AG1048011" s="141"/>
      <c r="AH1048011" s="141"/>
      <c r="AI1048011" s="141"/>
      <c r="AP1048011" s="141"/>
      <c r="AQ1048011" s="141"/>
      <c r="AR1048011" s="141"/>
      <c r="AV1048011" s="141"/>
      <c r="AW1048011" s="141"/>
      <c r="AX1048011" s="141"/>
      <c r="BP1048011" s="142"/>
      <c r="BU1048011" s="143"/>
    </row>
    <row r="1048012" customFormat="1" ht="14.25" spans="33:73">
      <c r="AG1048012" s="141"/>
      <c r="AH1048012" s="141"/>
      <c r="AI1048012" s="141"/>
      <c r="AP1048012" s="141"/>
      <c r="AQ1048012" s="141"/>
      <c r="AR1048012" s="141"/>
      <c r="AV1048012" s="141"/>
      <c r="AW1048012" s="141"/>
      <c r="AX1048012" s="141"/>
      <c r="BP1048012" s="142"/>
      <c r="BU1048012" s="143"/>
    </row>
    <row r="1048013" customFormat="1" ht="14.25" spans="33:73">
      <c r="AG1048013" s="141"/>
      <c r="AH1048013" s="141"/>
      <c r="AI1048013" s="141"/>
      <c r="AP1048013" s="141"/>
      <c r="AQ1048013" s="141"/>
      <c r="AR1048013" s="141"/>
      <c r="AV1048013" s="141"/>
      <c r="AW1048013" s="141"/>
      <c r="AX1048013" s="141"/>
      <c r="BP1048013" s="142"/>
      <c r="BU1048013" s="143"/>
    </row>
    <row r="1048014" customFormat="1" ht="14.25" spans="33:73">
      <c r="AG1048014" s="141"/>
      <c r="AH1048014" s="141"/>
      <c r="AI1048014" s="141"/>
      <c r="AP1048014" s="141"/>
      <c r="AQ1048014" s="141"/>
      <c r="AR1048014" s="141"/>
      <c r="AV1048014" s="141"/>
      <c r="AW1048014" s="141"/>
      <c r="AX1048014" s="141"/>
      <c r="BP1048014" s="142"/>
      <c r="BU1048014" s="143"/>
    </row>
    <row r="1048015" customFormat="1" ht="14.25" spans="33:73">
      <c r="AG1048015" s="141"/>
      <c r="AH1048015" s="141"/>
      <c r="AI1048015" s="141"/>
      <c r="AP1048015" s="141"/>
      <c r="AQ1048015" s="141"/>
      <c r="AR1048015" s="141"/>
      <c r="AV1048015" s="141"/>
      <c r="AW1048015" s="141"/>
      <c r="AX1048015" s="141"/>
      <c r="BP1048015" s="142"/>
      <c r="BU1048015" s="143"/>
    </row>
    <row r="1048016" customFormat="1" ht="14.25" spans="33:73">
      <c r="AG1048016" s="141"/>
      <c r="AH1048016" s="141"/>
      <c r="AI1048016" s="141"/>
      <c r="AP1048016" s="141"/>
      <c r="AQ1048016" s="141"/>
      <c r="AR1048016" s="141"/>
      <c r="AV1048016" s="141"/>
      <c r="AW1048016" s="141"/>
      <c r="AX1048016" s="141"/>
      <c r="BP1048016" s="142"/>
      <c r="BU1048016" s="143"/>
    </row>
    <row r="1048017" customFormat="1" ht="14.25" spans="33:73">
      <c r="AG1048017" s="141"/>
      <c r="AH1048017" s="141"/>
      <c r="AI1048017" s="141"/>
      <c r="AP1048017" s="141"/>
      <c r="AQ1048017" s="141"/>
      <c r="AR1048017" s="141"/>
      <c r="AV1048017" s="141"/>
      <c r="AW1048017" s="141"/>
      <c r="AX1048017" s="141"/>
      <c r="BP1048017" s="142"/>
      <c r="BU1048017" s="143"/>
    </row>
    <row r="1048018" customFormat="1" ht="14.25" spans="33:73">
      <c r="AG1048018" s="141"/>
      <c r="AH1048018" s="141"/>
      <c r="AI1048018" s="141"/>
      <c r="AP1048018" s="141"/>
      <c r="AQ1048018" s="141"/>
      <c r="AR1048018" s="141"/>
      <c r="AV1048018" s="141"/>
      <c r="AW1048018" s="141"/>
      <c r="AX1048018" s="141"/>
      <c r="BP1048018" s="142"/>
      <c r="BU1048018" s="143"/>
    </row>
    <row r="1048019" customFormat="1" ht="14.25" spans="33:73">
      <c r="AG1048019" s="141"/>
      <c r="AH1048019" s="141"/>
      <c r="AI1048019" s="141"/>
      <c r="AP1048019" s="141"/>
      <c r="AQ1048019" s="141"/>
      <c r="AR1048019" s="141"/>
      <c r="AV1048019" s="141"/>
      <c r="AW1048019" s="141"/>
      <c r="AX1048019" s="141"/>
      <c r="BP1048019" s="142"/>
      <c r="BU1048019" s="143"/>
    </row>
    <row r="1048020" customFormat="1" ht="14.25" spans="33:73">
      <c r="AG1048020" s="141"/>
      <c r="AH1048020" s="141"/>
      <c r="AI1048020" s="141"/>
      <c r="AP1048020" s="141"/>
      <c r="AQ1048020" s="141"/>
      <c r="AR1048020" s="141"/>
      <c r="AV1048020" s="141"/>
      <c r="AW1048020" s="141"/>
      <c r="AX1048020" s="141"/>
      <c r="BP1048020" s="142"/>
      <c r="BU1048020" s="143"/>
    </row>
    <row r="1048021" customFormat="1" ht="14.25" spans="33:73">
      <c r="AG1048021" s="141"/>
      <c r="AH1048021" s="141"/>
      <c r="AI1048021" s="141"/>
      <c r="AP1048021" s="141"/>
      <c r="AQ1048021" s="141"/>
      <c r="AR1048021" s="141"/>
      <c r="AV1048021" s="141"/>
      <c r="AW1048021" s="141"/>
      <c r="AX1048021" s="141"/>
      <c r="BP1048021" s="142"/>
      <c r="BU1048021" s="143"/>
    </row>
    <row r="1048022" customFormat="1" ht="14.25" spans="33:73">
      <c r="AG1048022" s="141"/>
      <c r="AH1048022" s="141"/>
      <c r="AI1048022" s="141"/>
      <c r="AP1048022" s="141"/>
      <c r="AQ1048022" s="141"/>
      <c r="AR1048022" s="141"/>
      <c r="AV1048022" s="141"/>
      <c r="AW1048022" s="141"/>
      <c r="AX1048022" s="141"/>
      <c r="BP1048022" s="142"/>
      <c r="BU1048022" s="143"/>
    </row>
    <row r="1048023" customFormat="1" ht="14.25" spans="33:73">
      <c r="AG1048023" s="141"/>
      <c r="AH1048023" s="141"/>
      <c r="AI1048023" s="141"/>
      <c r="AP1048023" s="141"/>
      <c r="AQ1048023" s="141"/>
      <c r="AR1048023" s="141"/>
      <c r="AV1048023" s="141"/>
      <c r="AW1048023" s="141"/>
      <c r="AX1048023" s="141"/>
      <c r="BP1048023" s="142"/>
      <c r="BU1048023" s="143"/>
    </row>
    <row r="1048024" customFormat="1" ht="14.25" spans="33:73">
      <c r="AG1048024" s="141"/>
      <c r="AH1048024" s="141"/>
      <c r="AI1048024" s="141"/>
      <c r="AP1048024" s="141"/>
      <c r="AQ1048024" s="141"/>
      <c r="AR1048024" s="141"/>
      <c r="AV1048024" s="141"/>
      <c r="AW1048024" s="141"/>
      <c r="AX1048024" s="141"/>
      <c r="BP1048024" s="142"/>
      <c r="BU1048024" s="143"/>
    </row>
    <row r="1048025" customFormat="1" ht="14.25" spans="33:73">
      <c r="AG1048025" s="141"/>
      <c r="AH1048025" s="141"/>
      <c r="AI1048025" s="141"/>
      <c r="AP1048025" s="141"/>
      <c r="AQ1048025" s="141"/>
      <c r="AR1048025" s="141"/>
      <c r="AV1048025" s="141"/>
      <c r="AW1048025" s="141"/>
      <c r="AX1048025" s="141"/>
      <c r="BP1048025" s="142"/>
      <c r="BU1048025" s="143"/>
    </row>
    <row r="1048026" customFormat="1" ht="14.25" spans="33:73">
      <c r="AG1048026" s="141"/>
      <c r="AH1048026" s="141"/>
      <c r="AI1048026" s="141"/>
      <c r="AP1048026" s="141"/>
      <c r="AQ1048026" s="141"/>
      <c r="AR1048026" s="141"/>
      <c r="AV1048026" s="141"/>
      <c r="AW1048026" s="141"/>
      <c r="AX1048026" s="141"/>
      <c r="BP1048026" s="142"/>
      <c r="BU1048026" s="143"/>
    </row>
    <row r="1048027" customFormat="1" ht="14.25" spans="33:73">
      <c r="AG1048027" s="141"/>
      <c r="AH1048027" s="141"/>
      <c r="AI1048027" s="141"/>
      <c r="AP1048027" s="141"/>
      <c r="AQ1048027" s="141"/>
      <c r="AR1048027" s="141"/>
      <c r="AV1048027" s="141"/>
      <c r="AW1048027" s="141"/>
      <c r="AX1048027" s="141"/>
      <c r="BP1048027" s="142"/>
      <c r="BU1048027" s="143"/>
    </row>
    <row r="1048028" customFormat="1" ht="14.25" spans="33:73">
      <c r="AG1048028" s="141"/>
      <c r="AH1048028" s="141"/>
      <c r="AI1048028" s="141"/>
      <c r="AP1048028" s="141"/>
      <c r="AQ1048028" s="141"/>
      <c r="AR1048028" s="141"/>
      <c r="AV1048028" s="141"/>
      <c r="AW1048028" s="141"/>
      <c r="AX1048028" s="141"/>
      <c r="BP1048028" s="142"/>
      <c r="BU1048028" s="143"/>
    </row>
    <row r="1048029" customFormat="1" ht="14.25" spans="33:73">
      <c r="AG1048029" s="141"/>
      <c r="AH1048029" s="141"/>
      <c r="AI1048029" s="141"/>
      <c r="AP1048029" s="141"/>
      <c r="AQ1048029" s="141"/>
      <c r="AR1048029" s="141"/>
      <c r="AV1048029" s="141"/>
      <c r="AW1048029" s="141"/>
      <c r="AX1048029" s="141"/>
      <c r="BP1048029" s="142"/>
      <c r="BU1048029" s="143"/>
    </row>
    <row r="1048030" customFormat="1" ht="14.25" spans="33:73">
      <c r="AG1048030" s="141"/>
      <c r="AH1048030" s="141"/>
      <c r="AI1048030" s="141"/>
      <c r="AP1048030" s="141"/>
      <c r="AQ1048030" s="141"/>
      <c r="AR1048030" s="141"/>
      <c r="AV1048030" s="141"/>
      <c r="AW1048030" s="141"/>
      <c r="AX1048030" s="141"/>
      <c r="BP1048030" s="142"/>
      <c r="BU1048030" s="143"/>
    </row>
    <row r="1048031" customFormat="1" ht="14.25" spans="33:73">
      <c r="AG1048031" s="141"/>
      <c r="AH1048031" s="141"/>
      <c r="AI1048031" s="141"/>
      <c r="AP1048031" s="141"/>
      <c r="AQ1048031" s="141"/>
      <c r="AR1048031" s="141"/>
      <c r="AV1048031" s="141"/>
      <c r="AW1048031" s="141"/>
      <c r="AX1048031" s="141"/>
      <c r="BP1048031" s="142"/>
      <c r="BU1048031" s="143"/>
    </row>
    <row r="1048032" customFormat="1" ht="14.25" spans="33:73">
      <c r="AG1048032" s="141"/>
      <c r="AH1048032" s="141"/>
      <c r="AI1048032" s="141"/>
      <c r="AP1048032" s="141"/>
      <c r="AQ1048032" s="141"/>
      <c r="AR1048032" s="141"/>
      <c r="AV1048032" s="141"/>
      <c r="AW1048032" s="141"/>
      <c r="AX1048032" s="141"/>
      <c r="BP1048032" s="142"/>
      <c r="BU1048032" s="143"/>
    </row>
    <row r="1048033" customFormat="1" ht="14.25" spans="33:73">
      <c r="AG1048033" s="141"/>
      <c r="AH1048033" s="141"/>
      <c r="AI1048033" s="141"/>
      <c r="AP1048033" s="141"/>
      <c r="AQ1048033" s="141"/>
      <c r="AR1048033" s="141"/>
      <c r="AV1048033" s="141"/>
      <c r="AW1048033" s="141"/>
      <c r="AX1048033" s="141"/>
      <c r="BP1048033" s="142"/>
      <c r="BU1048033" s="143"/>
    </row>
    <row r="1048034" customFormat="1" ht="14.25" spans="33:73">
      <c r="AG1048034" s="141"/>
      <c r="AH1048034" s="141"/>
      <c r="AI1048034" s="141"/>
      <c r="AP1048034" s="141"/>
      <c r="AQ1048034" s="141"/>
      <c r="AR1048034" s="141"/>
      <c r="AV1048034" s="141"/>
      <c r="AW1048034" s="141"/>
      <c r="AX1048034" s="141"/>
      <c r="BP1048034" s="142"/>
      <c r="BU1048034" s="143"/>
    </row>
    <row r="1048035" customFormat="1" ht="14.25" spans="33:73">
      <c r="AG1048035" s="141"/>
      <c r="AH1048035" s="141"/>
      <c r="AI1048035" s="141"/>
      <c r="AP1048035" s="141"/>
      <c r="AQ1048035" s="141"/>
      <c r="AR1048035" s="141"/>
      <c r="AV1048035" s="141"/>
      <c r="AW1048035" s="141"/>
      <c r="AX1048035" s="141"/>
      <c r="BP1048035" s="142"/>
      <c r="BU1048035" s="143"/>
    </row>
    <row r="1048036" customFormat="1" ht="14.25" spans="33:73">
      <c r="AG1048036" s="141"/>
      <c r="AH1048036" s="141"/>
      <c r="AI1048036" s="141"/>
      <c r="AP1048036" s="141"/>
      <c r="AQ1048036" s="141"/>
      <c r="AR1048036" s="141"/>
      <c r="AV1048036" s="141"/>
      <c r="AW1048036" s="141"/>
      <c r="AX1048036" s="141"/>
      <c r="BP1048036" s="142"/>
      <c r="BU1048036" s="143"/>
    </row>
    <row r="1048037" customFormat="1" ht="14.25" spans="33:73">
      <c r="AG1048037" s="141"/>
      <c r="AH1048037" s="141"/>
      <c r="AI1048037" s="141"/>
      <c r="AP1048037" s="141"/>
      <c r="AQ1048037" s="141"/>
      <c r="AR1048037" s="141"/>
      <c r="AV1048037" s="141"/>
      <c r="AW1048037" s="141"/>
      <c r="AX1048037" s="141"/>
      <c r="BP1048037" s="142"/>
      <c r="BU1048037" s="143"/>
    </row>
    <row r="1048038" customFormat="1" ht="14.25" spans="33:73">
      <c r="AG1048038" s="141"/>
      <c r="AH1048038" s="141"/>
      <c r="AI1048038" s="141"/>
      <c r="AP1048038" s="141"/>
      <c r="AQ1048038" s="141"/>
      <c r="AR1048038" s="141"/>
      <c r="AV1048038" s="141"/>
      <c r="AW1048038" s="141"/>
      <c r="AX1048038" s="141"/>
      <c r="BP1048038" s="142"/>
      <c r="BU1048038" s="143"/>
    </row>
    <row r="1048039" customFormat="1" ht="14.25" spans="33:73">
      <c r="AG1048039" s="141"/>
      <c r="AH1048039" s="141"/>
      <c r="AI1048039" s="141"/>
      <c r="AP1048039" s="141"/>
      <c r="AQ1048039" s="141"/>
      <c r="AR1048039" s="141"/>
      <c r="AV1048039" s="141"/>
      <c r="AW1048039" s="141"/>
      <c r="AX1048039" s="141"/>
      <c r="BP1048039" s="142"/>
      <c r="BU1048039" s="143"/>
    </row>
    <row r="1048040" customFormat="1" ht="14.25" spans="33:73">
      <c r="AG1048040" s="141"/>
      <c r="AH1048040" s="141"/>
      <c r="AI1048040" s="141"/>
      <c r="AP1048040" s="141"/>
      <c r="AQ1048040" s="141"/>
      <c r="AR1048040" s="141"/>
      <c r="AV1048040" s="141"/>
      <c r="AW1048040" s="141"/>
      <c r="AX1048040" s="141"/>
      <c r="BP1048040" s="142"/>
      <c r="BU1048040" s="143"/>
    </row>
    <row r="1048041" customFormat="1" ht="14.25" spans="33:73">
      <c r="AG1048041" s="141"/>
      <c r="AH1048041" s="141"/>
      <c r="AI1048041" s="141"/>
      <c r="AP1048041" s="141"/>
      <c r="AQ1048041" s="141"/>
      <c r="AR1048041" s="141"/>
      <c r="AV1048041" s="141"/>
      <c r="AW1048041" s="141"/>
      <c r="AX1048041" s="141"/>
      <c r="BP1048041" s="142"/>
      <c r="BU1048041" s="143"/>
    </row>
    <row r="1048042" customFormat="1" ht="14.25" spans="33:73">
      <c r="AG1048042" s="141"/>
      <c r="AH1048042" s="141"/>
      <c r="AI1048042" s="141"/>
      <c r="AP1048042" s="141"/>
      <c r="AQ1048042" s="141"/>
      <c r="AR1048042" s="141"/>
      <c r="AV1048042" s="141"/>
      <c r="AW1048042" s="141"/>
      <c r="AX1048042" s="141"/>
      <c r="BP1048042" s="142"/>
      <c r="BU1048042" s="143"/>
    </row>
    <row r="1048043" customFormat="1" ht="14.25" spans="33:73">
      <c r="AG1048043" s="141"/>
      <c r="AH1048043" s="141"/>
      <c r="AI1048043" s="141"/>
      <c r="AP1048043" s="141"/>
      <c r="AQ1048043" s="141"/>
      <c r="AR1048043" s="141"/>
      <c r="AV1048043" s="141"/>
      <c r="AW1048043" s="141"/>
      <c r="AX1048043" s="141"/>
      <c r="BP1048043" s="142"/>
      <c r="BU1048043" s="143"/>
    </row>
    <row r="1048044" customFormat="1" ht="14.25" spans="33:73">
      <c r="AG1048044" s="141"/>
      <c r="AH1048044" s="141"/>
      <c r="AI1048044" s="141"/>
      <c r="AP1048044" s="141"/>
      <c r="AQ1048044" s="141"/>
      <c r="AR1048044" s="141"/>
      <c r="AV1048044" s="141"/>
      <c r="AW1048044" s="141"/>
      <c r="AX1048044" s="141"/>
      <c r="BP1048044" s="142"/>
      <c r="BU1048044" s="143"/>
    </row>
    <row r="1048045" customFormat="1" ht="14.25" spans="33:73">
      <c r="AG1048045" s="141"/>
      <c r="AH1048045" s="141"/>
      <c r="AI1048045" s="141"/>
      <c r="AP1048045" s="141"/>
      <c r="AQ1048045" s="141"/>
      <c r="AR1048045" s="141"/>
      <c r="AV1048045" s="141"/>
      <c r="AW1048045" s="141"/>
      <c r="AX1048045" s="141"/>
      <c r="BP1048045" s="142"/>
      <c r="BU1048045" s="143"/>
    </row>
    <row r="1048046" customFormat="1" ht="14.25" spans="33:73">
      <c r="AG1048046" s="141"/>
      <c r="AH1048046" s="141"/>
      <c r="AI1048046" s="141"/>
      <c r="AP1048046" s="141"/>
      <c r="AQ1048046" s="141"/>
      <c r="AR1048046" s="141"/>
      <c r="AV1048046" s="141"/>
      <c r="AW1048046" s="141"/>
      <c r="AX1048046" s="141"/>
      <c r="BP1048046" s="142"/>
      <c r="BU1048046" s="143"/>
    </row>
    <row r="1048047" customFormat="1" ht="14.25" spans="33:73">
      <c r="AG1048047" s="141"/>
      <c r="AH1048047" s="141"/>
      <c r="AI1048047" s="141"/>
      <c r="AP1048047" s="141"/>
      <c r="AQ1048047" s="141"/>
      <c r="AR1048047" s="141"/>
      <c r="AV1048047" s="141"/>
      <c r="AW1048047" s="141"/>
      <c r="AX1048047" s="141"/>
      <c r="BP1048047" s="142"/>
      <c r="BU1048047" s="143"/>
    </row>
    <row r="1048048" customFormat="1" ht="14.25" spans="33:73">
      <c r="AG1048048" s="141"/>
      <c r="AH1048048" s="141"/>
      <c r="AI1048048" s="141"/>
      <c r="AP1048048" s="141"/>
      <c r="AQ1048048" s="141"/>
      <c r="AR1048048" s="141"/>
      <c r="AV1048048" s="141"/>
      <c r="AW1048048" s="141"/>
      <c r="AX1048048" s="141"/>
      <c r="BP1048048" s="142"/>
      <c r="BU1048048" s="143"/>
    </row>
    <row r="1048049" customFormat="1" ht="14.25" spans="33:73">
      <c r="AG1048049" s="141"/>
      <c r="AH1048049" s="141"/>
      <c r="AI1048049" s="141"/>
      <c r="AP1048049" s="141"/>
      <c r="AQ1048049" s="141"/>
      <c r="AR1048049" s="141"/>
      <c r="AV1048049" s="141"/>
      <c r="AW1048049" s="141"/>
      <c r="AX1048049" s="141"/>
      <c r="BP1048049" s="142"/>
      <c r="BU1048049" s="143"/>
    </row>
    <row r="1048050" customFormat="1" ht="14.25" spans="33:73">
      <c r="AG1048050" s="141"/>
      <c r="AH1048050" s="141"/>
      <c r="AI1048050" s="141"/>
      <c r="AP1048050" s="141"/>
      <c r="AQ1048050" s="141"/>
      <c r="AR1048050" s="141"/>
      <c r="AV1048050" s="141"/>
      <c r="AW1048050" s="141"/>
      <c r="AX1048050" s="141"/>
      <c r="BP1048050" s="142"/>
      <c r="BU1048050" s="143"/>
    </row>
    <row r="1048051" customFormat="1" ht="14.25" spans="33:73">
      <c r="AG1048051" s="141"/>
      <c r="AH1048051" s="141"/>
      <c r="AI1048051" s="141"/>
      <c r="AP1048051" s="141"/>
      <c r="AQ1048051" s="141"/>
      <c r="AR1048051" s="141"/>
      <c r="AV1048051" s="141"/>
      <c r="AW1048051" s="141"/>
      <c r="AX1048051" s="141"/>
      <c r="BP1048051" s="142"/>
      <c r="BU1048051" s="143"/>
    </row>
    <row r="1048052" customFormat="1" ht="14.25" spans="33:73">
      <c r="AG1048052" s="141"/>
      <c r="AH1048052" s="141"/>
      <c r="AI1048052" s="141"/>
      <c r="AP1048052" s="141"/>
      <c r="AQ1048052" s="141"/>
      <c r="AR1048052" s="141"/>
      <c r="AV1048052" s="141"/>
      <c r="AW1048052" s="141"/>
      <c r="AX1048052" s="141"/>
      <c r="BP1048052" s="142"/>
      <c r="BU1048052" s="143"/>
    </row>
    <row r="1048053" customFormat="1" ht="14.25" spans="33:73">
      <c r="AG1048053" s="141"/>
      <c r="AH1048053" s="141"/>
      <c r="AI1048053" s="141"/>
      <c r="AP1048053" s="141"/>
      <c r="AQ1048053" s="141"/>
      <c r="AR1048053" s="141"/>
      <c r="AV1048053" s="141"/>
      <c r="AW1048053" s="141"/>
      <c r="AX1048053" s="141"/>
      <c r="BP1048053" s="142"/>
      <c r="BU1048053" s="143"/>
    </row>
    <row r="1048054" customFormat="1" ht="14.25" spans="33:73">
      <c r="AG1048054" s="141"/>
      <c r="AH1048054" s="141"/>
      <c r="AI1048054" s="141"/>
      <c r="AP1048054" s="141"/>
      <c r="AQ1048054" s="141"/>
      <c r="AR1048054" s="141"/>
      <c r="AV1048054" s="141"/>
      <c r="AW1048054" s="141"/>
      <c r="AX1048054" s="141"/>
      <c r="BP1048054" s="142"/>
      <c r="BU1048054" s="143"/>
    </row>
    <row r="1048055" customFormat="1" ht="14.25" spans="33:73">
      <c r="AG1048055" s="141"/>
      <c r="AH1048055" s="141"/>
      <c r="AI1048055" s="141"/>
      <c r="AP1048055" s="141"/>
      <c r="AQ1048055" s="141"/>
      <c r="AR1048055" s="141"/>
      <c r="AV1048055" s="141"/>
      <c r="AW1048055" s="141"/>
      <c r="AX1048055" s="141"/>
      <c r="BP1048055" s="142"/>
      <c r="BU1048055" s="143"/>
    </row>
    <row r="1048056" customFormat="1" ht="14.25" spans="33:73">
      <c r="AG1048056" s="141"/>
      <c r="AH1048056" s="141"/>
      <c r="AI1048056" s="141"/>
      <c r="AP1048056" s="141"/>
      <c r="AQ1048056" s="141"/>
      <c r="AR1048056" s="141"/>
      <c r="AV1048056" s="141"/>
      <c r="AW1048056" s="141"/>
      <c r="AX1048056" s="141"/>
      <c r="BP1048056" s="142"/>
      <c r="BU1048056" s="143"/>
    </row>
    <row r="1048057" customFormat="1" ht="14.25" spans="33:73">
      <c r="AG1048057" s="141"/>
      <c r="AH1048057" s="141"/>
      <c r="AI1048057" s="141"/>
      <c r="AP1048057" s="141"/>
      <c r="AQ1048057" s="141"/>
      <c r="AR1048057" s="141"/>
      <c r="AV1048057" s="141"/>
      <c r="AW1048057" s="141"/>
      <c r="AX1048057" s="141"/>
      <c r="BP1048057" s="142"/>
      <c r="BU1048057" s="143"/>
    </row>
    <row r="1048058" customFormat="1" ht="14.25" spans="33:73">
      <c r="AG1048058" s="141"/>
      <c r="AH1048058" s="141"/>
      <c r="AI1048058" s="141"/>
      <c r="AP1048058" s="141"/>
      <c r="AQ1048058" s="141"/>
      <c r="AR1048058" s="141"/>
      <c r="AV1048058" s="141"/>
      <c r="AW1048058" s="141"/>
      <c r="AX1048058" s="141"/>
      <c r="BP1048058" s="142"/>
      <c r="BU1048058" s="143"/>
    </row>
    <row r="1048059" customFormat="1" ht="14.25" spans="33:73">
      <c r="AG1048059" s="141"/>
      <c r="AH1048059" s="141"/>
      <c r="AI1048059" s="141"/>
      <c r="AP1048059" s="141"/>
      <c r="AQ1048059" s="141"/>
      <c r="AR1048059" s="141"/>
      <c r="AV1048059" s="141"/>
      <c r="AW1048059" s="141"/>
      <c r="AX1048059" s="141"/>
      <c r="BP1048059" s="142"/>
      <c r="BU1048059" s="143"/>
    </row>
    <row r="1048060" customFormat="1" ht="14.25" spans="33:73">
      <c r="AG1048060" s="141"/>
      <c r="AH1048060" s="141"/>
      <c r="AI1048060" s="141"/>
      <c r="AP1048060" s="141"/>
      <c r="AQ1048060" s="141"/>
      <c r="AR1048060" s="141"/>
      <c r="AV1048060" s="141"/>
      <c r="AW1048060" s="141"/>
      <c r="AX1048060" s="141"/>
      <c r="BP1048060" s="142"/>
      <c r="BU1048060" s="143"/>
    </row>
    <row r="1048061" customFormat="1" ht="14.25" spans="33:73">
      <c r="AG1048061" s="141"/>
      <c r="AH1048061" s="141"/>
      <c r="AI1048061" s="141"/>
      <c r="AP1048061" s="141"/>
      <c r="AQ1048061" s="141"/>
      <c r="AR1048061" s="141"/>
      <c r="AV1048061" s="141"/>
      <c r="AW1048061" s="141"/>
      <c r="AX1048061" s="141"/>
      <c r="BP1048061" s="142"/>
      <c r="BU1048061" s="143"/>
    </row>
    <row r="1048062" customFormat="1" ht="14.25" spans="33:73">
      <c r="AG1048062" s="141"/>
      <c r="AH1048062" s="141"/>
      <c r="AI1048062" s="141"/>
      <c r="AP1048062" s="141"/>
      <c r="AQ1048062" s="141"/>
      <c r="AR1048062" s="141"/>
      <c r="AV1048062" s="141"/>
      <c r="AW1048062" s="141"/>
      <c r="AX1048062" s="141"/>
      <c r="BP1048062" s="142"/>
      <c r="BU1048062" s="143"/>
    </row>
    <row r="1048063" customFormat="1" ht="14.25" spans="33:73">
      <c r="AG1048063" s="141"/>
      <c r="AH1048063" s="141"/>
      <c r="AI1048063" s="141"/>
      <c r="AP1048063" s="141"/>
      <c r="AQ1048063" s="141"/>
      <c r="AR1048063" s="141"/>
      <c r="AV1048063" s="141"/>
      <c r="AW1048063" s="141"/>
      <c r="AX1048063" s="141"/>
      <c r="BP1048063" s="142"/>
      <c r="BU1048063" s="143"/>
    </row>
    <row r="1048064" customFormat="1" ht="14.25" spans="33:73">
      <c r="AG1048064" s="141"/>
      <c r="AH1048064" s="141"/>
      <c r="AI1048064" s="141"/>
      <c r="AP1048064" s="141"/>
      <c r="AQ1048064" s="141"/>
      <c r="AR1048064" s="141"/>
      <c r="AV1048064" s="141"/>
      <c r="AW1048064" s="141"/>
      <c r="AX1048064" s="141"/>
      <c r="BP1048064" s="142"/>
      <c r="BU1048064" s="143"/>
    </row>
    <row r="1048065" customFormat="1" ht="14.25" spans="33:73">
      <c r="AG1048065" s="141"/>
      <c r="AH1048065" s="141"/>
      <c r="AI1048065" s="141"/>
      <c r="AP1048065" s="141"/>
      <c r="AQ1048065" s="141"/>
      <c r="AR1048065" s="141"/>
      <c r="AV1048065" s="141"/>
      <c r="AW1048065" s="141"/>
      <c r="AX1048065" s="141"/>
      <c r="BP1048065" s="142"/>
      <c r="BU1048065" s="143"/>
    </row>
    <row r="1048066" customFormat="1" ht="14.25" spans="33:73">
      <c r="AG1048066" s="141"/>
      <c r="AH1048066" s="141"/>
      <c r="AI1048066" s="141"/>
      <c r="AP1048066" s="141"/>
      <c r="AQ1048066" s="141"/>
      <c r="AR1048066" s="141"/>
      <c r="AV1048066" s="141"/>
      <c r="AW1048066" s="141"/>
      <c r="AX1048066" s="141"/>
      <c r="BP1048066" s="142"/>
      <c r="BU1048066" s="143"/>
    </row>
    <row r="1048067" customFormat="1" ht="14.25" spans="33:73">
      <c r="AG1048067" s="141"/>
      <c r="AH1048067" s="141"/>
      <c r="AI1048067" s="141"/>
      <c r="AP1048067" s="141"/>
      <c r="AQ1048067" s="141"/>
      <c r="AR1048067" s="141"/>
      <c r="AV1048067" s="141"/>
      <c r="AW1048067" s="141"/>
      <c r="AX1048067" s="141"/>
      <c r="BP1048067" s="142"/>
      <c r="BU1048067" s="143"/>
    </row>
    <row r="1048068" customFormat="1" ht="14.25" spans="33:73">
      <c r="AG1048068" s="141"/>
      <c r="AH1048068" s="141"/>
      <c r="AI1048068" s="141"/>
      <c r="AP1048068" s="141"/>
      <c r="AQ1048068" s="141"/>
      <c r="AR1048068" s="141"/>
      <c r="AV1048068" s="141"/>
      <c r="AW1048068" s="141"/>
      <c r="AX1048068" s="141"/>
      <c r="BP1048068" s="142"/>
      <c r="BU1048068" s="143"/>
    </row>
    <row r="1048069" customFormat="1" ht="14.25" spans="33:73">
      <c r="AG1048069" s="141"/>
      <c r="AH1048069" s="141"/>
      <c r="AI1048069" s="141"/>
      <c r="AP1048069" s="141"/>
      <c r="AQ1048069" s="141"/>
      <c r="AR1048069" s="141"/>
      <c r="AV1048069" s="141"/>
      <c r="AW1048069" s="141"/>
      <c r="AX1048069" s="141"/>
      <c r="BP1048069" s="142"/>
      <c r="BU1048069" s="143"/>
    </row>
    <row r="1048070" customFormat="1" ht="14.25" spans="33:73">
      <c r="AG1048070" s="141"/>
      <c r="AH1048070" s="141"/>
      <c r="AI1048070" s="141"/>
      <c r="AP1048070" s="141"/>
      <c r="AQ1048070" s="141"/>
      <c r="AR1048070" s="141"/>
      <c r="AV1048070" s="141"/>
      <c r="AW1048070" s="141"/>
      <c r="AX1048070" s="141"/>
      <c r="BP1048070" s="142"/>
      <c r="BU1048070" s="143"/>
    </row>
    <row r="1048071" customFormat="1" ht="14.25" spans="33:73">
      <c r="AG1048071" s="141"/>
      <c r="AH1048071" s="141"/>
      <c r="AI1048071" s="141"/>
      <c r="AP1048071" s="141"/>
      <c r="AQ1048071" s="141"/>
      <c r="AR1048071" s="141"/>
      <c r="AV1048071" s="141"/>
      <c r="AW1048071" s="141"/>
      <c r="AX1048071" s="141"/>
      <c r="BP1048071" s="142"/>
      <c r="BU1048071" s="143"/>
    </row>
    <row r="1048072" customFormat="1" ht="14.25" spans="33:73">
      <c r="AG1048072" s="141"/>
      <c r="AH1048072" s="141"/>
      <c r="AI1048072" s="141"/>
      <c r="AP1048072" s="141"/>
      <c r="AQ1048072" s="141"/>
      <c r="AR1048072" s="141"/>
      <c r="AV1048072" s="141"/>
      <c r="AW1048072" s="141"/>
      <c r="AX1048072" s="141"/>
      <c r="BP1048072" s="142"/>
      <c r="BU1048072" s="143"/>
    </row>
    <row r="1048073" customFormat="1" ht="14.25" spans="33:73">
      <c r="AG1048073" s="141"/>
      <c r="AH1048073" s="141"/>
      <c r="AI1048073" s="141"/>
      <c r="AP1048073" s="141"/>
      <c r="AQ1048073" s="141"/>
      <c r="AR1048073" s="141"/>
      <c r="AV1048073" s="141"/>
      <c r="AW1048073" s="141"/>
      <c r="AX1048073" s="141"/>
      <c r="BP1048073" s="142"/>
      <c r="BU1048073" s="143"/>
    </row>
    <row r="1048074" customFormat="1" ht="14.25" spans="33:73">
      <c r="AG1048074" s="141"/>
      <c r="AH1048074" s="141"/>
      <c r="AI1048074" s="141"/>
      <c r="AP1048074" s="141"/>
      <c r="AQ1048074" s="141"/>
      <c r="AR1048074" s="141"/>
      <c r="AV1048074" s="141"/>
      <c r="AW1048074" s="141"/>
      <c r="AX1048074" s="141"/>
      <c r="BP1048074" s="142"/>
      <c r="BU1048074" s="143"/>
    </row>
    <row r="1048075" customFormat="1" ht="14.25" spans="33:73">
      <c r="AG1048075" s="141"/>
      <c r="AH1048075" s="141"/>
      <c r="AI1048075" s="141"/>
      <c r="AP1048075" s="141"/>
      <c r="AQ1048075" s="141"/>
      <c r="AR1048075" s="141"/>
      <c r="AV1048075" s="141"/>
      <c r="AW1048075" s="141"/>
      <c r="AX1048075" s="141"/>
      <c r="BP1048075" s="142"/>
      <c r="BU1048075" s="143"/>
    </row>
    <row r="1048076" customFormat="1" ht="14.25" spans="33:73">
      <c r="AG1048076" s="141"/>
      <c r="AH1048076" s="141"/>
      <c r="AI1048076" s="141"/>
      <c r="AP1048076" s="141"/>
      <c r="AQ1048076" s="141"/>
      <c r="AR1048076" s="141"/>
      <c r="AV1048076" s="141"/>
      <c r="AW1048076" s="141"/>
      <c r="AX1048076" s="141"/>
      <c r="BP1048076" s="142"/>
      <c r="BU1048076" s="143"/>
    </row>
    <row r="1048077" customFormat="1" ht="14.25" spans="33:73">
      <c r="AG1048077" s="141"/>
      <c r="AH1048077" s="141"/>
      <c r="AI1048077" s="141"/>
      <c r="AP1048077" s="141"/>
      <c r="AQ1048077" s="141"/>
      <c r="AR1048077" s="141"/>
      <c r="AV1048077" s="141"/>
      <c r="AW1048077" s="141"/>
      <c r="AX1048077" s="141"/>
      <c r="BP1048077" s="142"/>
      <c r="BU1048077" s="143"/>
    </row>
    <row r="1048078" customFormat="1" ht="14.25" spans="33:73">
      <c r="AG1048078" s="141"/>
      <c r="AH1048078" s="141"/>
      <c r="AI1048078" s="141"/>
      <c r="AP1048078" s="141"/>
      <c r="AQ1048078" s="141"/>
      <c r="AR1048078" s="141"/>
      <c r="AV1048078" s="141"/>
      <c r="AW1048078" s="141"/>
      <c r="AX1048078" s="141"/>
      <c r="BP1048078" s="142"/>
      <c r="BU1048078" s="143"/>
    </row>
    <row r="1048079" customFormat="1" ht="14.25" spans="33:73">
      <c r="AG1048079" s="141"/>
      <c r="AH1048079" s="141"/>
      <c r="AI1048079" s="141"/>
      <c r="AP1048079" s="141"/>
      <c r="AQ1048079" s="141"/>
      <c r="AR1048079" s="141"/>
      <c r="AV1048079" s="141"/>
      <c r="AW1048079" s="141"/>
      <c r="AX1048079" s="141"/>
      <c r="BP1048079" s="142"/>
      <c r="BU1048079" s="143"/>
    </row>
    <row r="1048080" customFormat="1" ht="14.25" spans="33:73">
      <c r="AG1048080" s="141"/>
      <c r="AH1048080" s="141"/>
      <c r="AI1048080" s="141"/>
      <c r="AP1048080" s="141"/>
      <c r="AQ1048080" s="141"/>
      <c r="AR1048080" s="141"/>
      <c r="AV1048080" s="141"/>
      <c r="AW1048080" s="141"/>
      <c r="AX1048080" s="141"/>
      <c r="BP1048080" s="142"/>
      <c r="BU1048080" s="143"/>
    </row>
    <row r="1048081" customFormat="1" ht="14.25" spans="33:73">
      <c r="AG1048081" s="141"/>
      <c r="AH1048081" s="141"/>
      <c r="AI1048081" s="141"/>
      <c r="AP1048081" s="141"/>
      <c r="AQ1048081" s="141"/>
      <c r="AR1048081" s="141"/>
      <c r="AV1048081" s="141"/>
      <c r="AW1048081" s="141"/>
      <c r="AX1048081" s="141"/>
      <c r="BP1048081" s="142"/>
      <c r="BU1048081" s="143"/>
    </row>
    <row r="1048082" customFormat="1" ht="14.25" spans="33:73">
      <c r="AG1048082" s="141"/>
      <c r="AH1048082" s="141"/>
      <c r="AI1048082" s="141"/>
      <c r="AP1048082" s="141"/>
      <c r="AQ1048082" s="141"/>
      <c r="AR1048082" s="141"/>
      <c r="AV1048082" s="141"/>
      <c r="AW1048082" s="141"/>
      <c r="AX1048082" s="141"/>
      <c r="BP1048082" s="142"/>
      <c r="BU1048082" s="143"/>
    </row>
    <row r="1048083" customFormat="1" ht="14.25" spans="33:73">
      <c r="AG1048083" s="141"/>
      <c r="AH1048083" s="141"/>
      <c r="AI1048083" s="141"/>
      <c r="AP1048083" s="141"/>
      <c r="AQ1048083" s="141"/>
      <c r="AR1048083" s="141"/>
      <c r="AV1048083" s="141"/>
      <c r="AW1048083" s="141"/>
      <c r="AX1048083" s="141"/>
      <c r="BP1048083" s="142"/>
      <c r="BU1048083" s="143"/>
    </row>
    <row r="1048084" customFormat="1" ht="14.25" spans="33:73">
      <c r="AG1048084" s="141"/>
      <c r="AH1048084" s="141"/>
      <c r="AI1048084" s="141"/>
      <c r="AP1048084" s="141"/>
      <c r="AQ1048084" s="141"/>
      <c r="AR1048084" s="141"/>
      <c r="AV1048084" s="141"/>
      <c r="AW1048084" s="141"/>
      <c r="AX1048084" s="141"/>
      <c r="BP1048084" s="142"/>
      <c r="BU1048084" s="143"/>
    </row>
    <row r="1048085" customFormat="1" ht="14.25" spans="33:73">
      <c r="AG1048085" s="141"/>
      <c r="AH1048085" s="141"/>
      <c r="AI1048085" s="141"/>
      <c r="AP1048085" s="141"/>
      <c r="AQ1048085" s="141"/>
      <c r="AR1048085" s="141"/>
      <c r="AV1048085" s="141"/>
      <c r="AW1048085" s="141"/>
      <c r="AX1048085" s="141"/>
      <c r="BP1048085" s="142"/>
      <c r="BU1048085" s="143"/>
    </row>
    <row r="1048086" customFormat="1" ht="14.25" spans="33:73">
      <c r="AG1048086" s="141"/>
      <c r="AH1048086" s="141"/>
      <c r="AI1048086" s="141"/>
      <c r="AP1048086" s="141"/>
      <c r="AQ1048086" s="141"/>
      <c r="AR1048086" s="141"/>
      <c r="AV1048086" s="141"/>
      <c r="AW1048086" s="141"/>
      <c r="AX1048086" s="141"/>
      <c r="BP1048086" s="142"/>
      <c r="BU1048086" s="143"/>
    </row>
    <row r="1048087" customFormat="1" ht="14.25" spans="33:73">
      <c r="AG1048087" s="141"/>
      <c r="AH1048087" s="141"/>
      <c r="AI1048087" s="141"/>
      <c r="AP1048087" s="141"/>
      <c r="AQ1048087" s="141"/>
      <c r="AR1048087" s="141"/>
      <c r="AV1048087" s="141"/>
      <c r="AW1048087" s="141"/>
      <c r="AX1048087" s="141"/>
      <c r="BP1048087" s="142"/>
      <c r="BU1048087" s="143"/>
    </row>
    <row r="1048088" customFormat="1" ht="14.25" spans="33:73">
      <c r="AG1048088" s="141"/>
      <c r="AH1048088" s="141"/>
      <c r="AI1048088" s="141"/>
      <c r="AP1048088" s="141"/>
      <c r="AQ1048088" s="141"/>
      <c r="AR1048088" s="141"/>
      <c r="AV1048088" s="141"/>
      <c r="AW1048088" s="141"/>
      <c r="AX1048088" s="141"/>
      <c r="BP1048088" s="142"/>
      <c r="BU1048088" s="143"/>
    </row>
    <row r="1048089" customFormat="1" ht="14.25" spans="33:73">
      <c r="AG1048089" s="141"/>
      <c r="AH1048089" s="141"/>
      <c r="AI1048089" s="141"/>
      <c r="AP1048089" s="141"/>
      <c r="AQ1048089" s="141"/>
      <c r="AR1048089" s="141"/>
      <c r="AV1048089" s="141"/>
      <c r="AW1048089" s="141"/>
      <c r="AX1048089" s="141"/>
      <c r="BP1048089" s="142"/>
      <c r="BU1048089" s="143"/>
    </row>
    <row r="1048090" customFormat="1" ht="14.25" spans="33:73">
      <c r="AG1048090" s="141"/>
      <c r="AH1048090" s="141"/>
      <c r="AI1048090" s="141"/>
      <c r="AP1048090" s="141"/>
      <c r="AQ1048090" s="141"/>
      <c r="AR1048090" s="141"/>
      <c r="AV1048090" s="141"/>
      <c r="AW1048090" s="141"/>
      <c r="AX1048090" s="141"/>
      <c r="BP1048090" s="142"/>
      <c r="BU1048090" s="143"/>
    </row>
    <row r="1048091" customFormat="1" ht="14.25" spans="33:73">
      <c r="AG1048091" s="141"/>
      <c r="AH1048091" s="141"/>
      <c r="AI1048091" s="141"/>
      <c r="AP1048091" s="141"/>
      <c r="AQ1048091" s="141"/>
      <c r="AR1048091" s="141"/>
      <c r="AV1048091" s="141"/>
      <c r="AW1048091" s="141"/>
      <c r="AX1048091" s="141"/>
      <c r="BP1048091" s="142"/>
      <c r="BU1048091" s="143"/>
    </row>
    <row r="1048092" customFormat="1" ht="14.25" spans="33:73">
      <c r="AG1048092" s="141"/>
      <c r="AH1048092" s="141"/>
      <c r="AI1048092" s="141"/>
      <c r="AP1048092" s="141"/>
      <c r="AQ1048092" s="141"/>
      <c r="AR1048092" s="141"/>
      <c r="AV1048092" s="141"/>
      <c r="AW1048092" s="141"/>
      <c r="AX1048092" s="141"/>
      <c r="BP1048092" s="142"/>
      <c r="BU1048092" s="143"/>
    </row>
    <row r="1048093" customFormat="1" ht="14.25" spans="33:73">
      <c r="AG1048093" s="141"/>
      <c r="AH1048093" s="141"/>
      <c r="AI1048093" s="141"/>
      <c r="AP1048093" s="141"/>
      <c r="AQ1048093" s="141"/>
      <c r="AR1048093" s="141"/>
      <c r="AV1048093" s="141"/>
      <c r="AW1048093" s="141"/>
      <c r="AX1048093" s="141"/>
      <c r="BP1048093" s="142"/>
      <c r="BU1048093" s="143"/>
    </row>
    <row r="1048094" customFormat="1" ht="14.25" spans="33:73">
      <c r="AG1048094" s="141"/>
      <c r="AH1048094" s="141"/>
      <c r="AI1048094" s="141"/>
      <c r="AP1048094" s="141"/>
      <c r="AQ1048094" s="141"/>
      <c r="AR1048094" s="141"/>
      <c r="AV1048094" s="141"/>
      <c r="AW1048094" s="141"/>
      <c r="AX1048094" s="141"/>
      <c r="BP1048094" s="142"/>
      <c r="BU1048094" s="143"/>
    </row>
    <row r="1048095" customFormat="1" ht="14.25" spans="33:73">
      <c r="AG1048095" s="141"/>
      <c r="AH1048095" s="141"/>
      <c r="AI1048095" s="141"/>
      <c r="AP1048095" s="141"/>
      <c r="AQ1048095" s="141"/>
      <c r="AR1048095" s="141"/>
      <c r="AV1048095" s="141"/>
      <c r="AW1048095" s="141"/>
      <c r="AX1048095" s="141"/>
      <c r="BP1048095" s="142"/>
      <c r="BU1048095" s="143"/>
    </row>
    <row r="1048096" customFormat="1" ht="14.25" spans="33:73">
      <c r="AG1048096" s="141"/>
      <c r="AH1048096" s="141"/>
      <c r="AI1048096" s="141"/>
      <c r="AP1048096" s="141"/>
      <c r="AQ1048096" s="141"/>
      <c r="AR1048096" s="141"/>
      <c r="AV1048096" s="141"/>
      <c r="AW1048096" s="141"/>
      <c r="AX1048096" s="141"/>
      <c r="BP1048096" s="142"/>
      <c r="BU1048096" s="143"/>
    </row>
    <row r="1048097" customFormat="1" ht="14.25" spans="33:73">
      <c r="AG1048097" s="141"/>
      <c r="AH1048097" s="141"/>
      <c r="AI1048097" s="141"/>
      <c r="AP1048097" s="141"/>
      <c r="AQ1048097" s="141"/>
      <c r="AR1048097" s="141"/>
      <c r="AV1048097" s="141"/>
      <c r="AW1048097" s="141"/>
      <c r="AX1048097" s="141"/>
      <c r="BP1048097" s="142"/>
      <c r="BU1048097" s="143"/>
    </row>
    <row r="1048098" customFormat="1" ht="14.25" spans="33:73">
      <c r="AG1048098" s="141"/>
      <c r="AH1048098" s="141"/>
      <c r="AI1048098" s="141"/>
      <c r="AP1048098" s="141"/>
      <c r="AQ1048098" s="141"/>
      <c r="AR1048098" s="141"/>
      <c r="AV1048098" s="141"/>
      <c r="AW1048098" s="141"/>
      <c r="AX1048098" s="141"/>
      <c r="BP1048098" s="142"/>
      <c r="BU1048098" s="143"/>
    </row>
    <row r="1048099" customFormat="1" ht="14.25" spans="33:73">
      <c r="AG1048099" s="141"/>
      <c r="AH1048099" s="141"/>
      <c r="AI1048099" s="141"/>
      <c r="AP1048099" s="141"/>
      <c r="AQ1048099" s="141"/>
      <c r="AR1048099" s="141"/>
      <c r="AV1048099" s="141"/>
      <c r="AW1048099" s="141"/>
      <c r="AX1048099" s="141"/>
      <c r="BP1048099" s="142"/>
      <c r="BU1048099" s="143"/>
    </row>
    <row r="1048100" customFormat="1" ht="14.25" spans="33:73">
      <c r="AG1048100" s="141"/>
      <c r="AH1048100" s="141"/>
      <c r="AI1048100" s="141"/>
      <c r="AP1048100" s="141"/>
      <c r="AQ1048100" s="141"/>
      <c r="AR1048100" s="141"/>
      <c r="AV1048100" s="141"/>
      <c r="AW1048100" s="141"/>
      <c r="AX1048100" s="141"/>
      <c r="BP1048100" s="142"/>
      <c r="BU1048100" s="143"/>
    </row>
    <row r="1048101" customFormat="1" ht="14.25" spans="33:73">
      <c r="AG1048101" s="141"/>
      <c r="AH1048101" s="141"/>
      <c r="AI1048101" s="141"/>
      <c r="AP1048101" s="141"/>
      <c r="AQ1048101" s="141"/>
      <c r="AR1048101" s="141"/>
      <c r="AV1048101" s="141"/>
      <c r="AW1048101" s="141"/>
      <c r="AX1048101" s="141"/>
      <c r="BP1048101" s="142"/>
      <c r="BU1048101" s="143"/>
    </row>
    <row r="1048102" customFormat="1" ht="14.25" spans="33:73">
      <c r="AG1048102" s="141"/>
      <c r="AH1048102" s="141"/>
      <c r="AI1048102" s="141"/>
      <c r="AP1048102" s="141"/>
      <c r="AQ1048102" s="141"/>
      <c r="AR1048102" s="141"/>
      <c r="AV1048102" s="141"/>
      <c r="AW1048102" s="141"/>
      <c r="AX1048102" s="141"/>
      <c r="BP1048102" s="142"/>
      <c r="BU1048102" s="143"/>
    </row>
    <row r="1048103" customFormat="1" ht="14.25" spans="33:73">
      <c r="AG1048103" s="141"/>
      <c r="AH1048103" s="141"/>
      <c r="AI1048103" s="141"/>
      <c r="AP1048103" s="141"/>
      <c r="AQ1048103" s="141"/>
      <c r="AR1048103" s="141"/>
      <c r="AV1048103" s="141"/>
      <c r="AW1048103" s="141"/>
      <c r="AX1048103" s="141"/>
      <c r="BP1048103" s="142"/>
      <c r="BU1048103" s="143"/>
    </row>
    <row r="1048104" customFormat="1" ht="14.25" spans="33:73">
      <c r="AG1048104" s="141"/>
      <c r="AH1048104" s="141"/>
      <c r="AI1048104" s="141"/>
      <c r="AP1048104" s="141"/>
      <c r="AQ1048104" s="141"/>
      <c r="AR1048104" s="141"/>
      <c r="AV1048104" s="141"/>
      <c r="AW1048104" s="141"/>
      <c r="AX1048104" s="141"/>
      <c r="BP1048104" s="142"/>
      <c r="BU1048104" s="143"/>
    </row>
    <row r="1048105" customFormat="1" ht="14.25" spans="33:73">
      <c r="AG1048105" s="141"/>
      <c r="AH1048105" s="141"/>
      <c r="AI1048105" s="141"/>
      <c r="AP1048105" s="141"/>
      <c r="AQ1048105" s="141"/>
      <c r="AR1048105" s="141"/>
      <c r="AV1048105" s="141"/>
      <c r="AW1048105" s="141"/>
      <c r="AX1048105" s="141"/>
      <c r="BP1048105" s="142"/>
      <c r="BU1048105" s="143"/>
    </row>
    <row r="1048106" customFormat="1" ht="14.25" spans="33:73">
      <c r="AG1048106" s="141"/>
      <c r="AH1048106" s="141"/>
      <c r="AI1048106" s="141"/>
      <c r="AP1048106" s="141"/>
      <c r="AQ1048106" s="141"/>
      <c r="AR1048106" s="141"/>
      <c r="AV1048106" s="141"/>
      <c r="AW1048106" s="141"/>
      <c r="AX1048106" s="141"/>
      <c r="BP1048106" s="142"/>
      <c r="BU1048106" s="143"/>
    </row>
    <row r="1048107" customFormat="1" ht="14.25" spans="33:73">
      <c r="AG1048107" s="141"/>
      <c r="AH1048107" s="141"/>
      <c r="AI1048107" s="141"/>
      <c r="AP1048107" s="141"/>
      <c r="AQ1048107" s="141"/>
      <c r="AR1048107" s="141"/>
      <c r="AV1048107" s="141"/>
      <c r="AW1048107" s="141"/>
      <c r="AX1048107" s="141"/>
      <c r="BP1048107" s="142"/>
      <c r="BU1048107" s="143"/>
    </row>
    <row r="1048108" customFormat="1" ht="14.25" spans="33:73">
      <c r="AG1048108" s="141"/>
      <c r="AH1048108" s="141"/>
      <c r="AI1048108" s="141"/>
      <c r="AP1048108" s="141"/>
      <c r="AQ1048108" s="141"/>
      <c r="AR1048108" s="141"/>
      <c r="AV1048108" s="141"/>
      <c r="AW1048108" s="141"/>
      <c r="AX1048108" s="141"/>
      <c r="BP1048108" s="142"/>
      <c r="BU1048108" s="143"/>
    </row>
    <row r="1048109" customFormat="1" ht="14.25" spans="33:73">
      <c r="AG1048109" s="141"/>
      <c r="AH1048109" s="141"/>
      <c r="AI1048109" s="141"/>
      <c r="AP1048109" s="141"/>
      <c r="AQ1048109" s="141"/>
      <c r="AR1048109" s="141"/>
      <c r="AV1048109" s="141"/>
      <c r="AW1048109" s="141"/>
      <c r="AX1048109" s="141"/>
      <c r="BP1048109" s="142"/>
      <c r="BU1048109" s="143"/>
    </row>
    <row r="1048110" customFormat="1" ht="14.25" spans="33:73">
      <c r="AG1048110" s="141"/>
      <c r="AH1048110" s="141"/>
      <c r="AI1048110" s="141"/>
      <c r="AP1048110" s="141"/>
      <c r="AQ1048110" s="141"/>
      <c r="AR1048110" s="141"/>
      <c r="AV1048110" s="141"/>
      <c r="AW1048110" s="141"/>
      <c r="AX1048110" s="141"/>
      <c r="BP1048110" s="142"/>
      <c r="BU1048110" s="143"/>
    </row>
    <row r="1048111" customFormat="1" ht="14.25" spans="33:73">
      <c r="AG1048111" s="141"/>
      <c r="AH1048111" s="141"/>
      <c r="AI1048111" s="141"/>
      <c r="AP1048111" s="141"/>
      <c r="AQ1048111" s="141"/>
      <c r="AR1048111" s="141"/>
      <c r="AV1048111" s="141"/>
      <c r="AW1048111" s="141"/>
      <c r="AX1048111" s="141"/>
      <c r="BP1048111" s="142"/>
      <c r="BU1048111" s="143"/>
    </row>
    <row r="1048112" customFormat="1" ht="14.25" spans="33:73">
      <c r="AG1048112" s="141"/>
      <c r="AH1048112" s="141"/>
      <c r="AI1048112" s="141"/>
      <c r="AP1048112" s="141"/>
      <c r="AQ1048112" s="141"/>
      <c r="AR1048112" s="141"/>
      <c r="AV1048112" s="141"/>
      <c r="AW1048112" s="141"/>
      <c r="AX1048112" s="141"/>
      <c r="BP1048112" s="142"/>
      <c r="BU1048112" s="143"/>
    </row>
    <row r="1048113" customFormat="1" ht="14.25" spans="33:73">
      <c r="AG1048113" s="141"/>
      <c r="AH1048113" s="141"/>
      <c r="AI1048113" s="141"/>
      <c r="AP1048113" s="141"/>
      <c r="AQ1048113" s="141"/>
      <c r="AR1048113" s="141"/>
      <c r="AV1048113" s="141"/>
      <c r="AW1048113" s="141"/>
      <c r="AX1048113" s="141"/>
      <c r="BP1048113" s="142"/>
      <c r="BU1048113" s="143"/>
    </row>
    <row r="1048114" customFormat="1" ht="14.25" spans="33:73">
      <c r="AG1048114" s="141"/>
      <c r="AH1048114" s="141"/>
      <c r="AI1048114" s="141"/>
      <c r="AP1048114" s="141"/>
      <c r="AQ1048114" s="141"/>
      <c r="AR1048114" s="141"/>
      <c r="AV1048114" s="141"/>
      <c r="AW1048114" s="141"/>
      <c r="AX1048114" s="141"/>
      <c r="BP1048114" s="142"/>
      <c r="BU1048114" s="143"/>
    </row>
    <row r="1048115" customFormat="1" ht="14.25" spans="33:73">
      <c r="AG1048115" s="141"/>
      <c r="AH1048115" s="141"/>
      <c r="AI1048115" s="141"/>
      <c r="AP1048115" s="141"/>
      <c r="AQ1048115" s="141"/>
      <c r="AR1048115" s="141"/>
      <c r="AV1048115" s="141"/>
      <c r="AW1048115" s="141"/>
      <c r="AX1048115" s="141"/>
      <c r="BP1048115" s="142"/>
      <c r="BU1048115" s="143"/>
    </row>
    <row r="1048116" customFormat="1" ht="14.25" spans="33:73">
      <c r="AG1048116" s="141"/>
      <c r="AH1048116" s="141"/>
      <c r="AI1048116" s="141"/>
      <c r="AP1048116" s="141"/>
      <c r="AQ1048116" s="141"/>
      <c r="AR1048116" s="141"/>
      <c r="AV1048116" s="141"/>
      <c r="AW1048116" s="141"/>
      <c r="AX1048116" s="141"/>
      <c r="BP1048116" s="142"/>
      <c r="BU1048116" s="143"/>
    </row>
    <row r="1048117" customFormat="1" ht="14.25" spans="33:73">
      <c r="AG1048117" s="141"/>
      <c r="AH1048117" s="141"/>
      <c r="AI1048117" s="141"/>
      <c r="AP1048117" s="141"/>
      <c r="AQ1048117" s="141"/>
      <c r="AR1048117" s="141"/>
      <c r="AV1048117" s="141"/>
      <c r="AW1048117" s="141"/>
      <c r="AX1048117" s="141"/>
      <c r="BP1048117" s="142"/>
      <c r="BU1048117" s="143"/>
    </row>
    <row r="1048118" customFormat="1" ht="14.25" spans="33:73">
      <c r="AG1048118" s="141"/>
      <c r="AH1048118" s="141"/>
      <c r="AI1048118" s="141"/>
      <c r="AP1048118" s="141"/>
      <c r="AQ1048118" s="141"/>
      <c r="AR1048118" s="141"/>
      <c r="AV1048118" s="141"/>
      <c r="AW1048118" s="141"/>
      <c r="AX1048118" s="141"/>
      <c r="BP1048118" s="142"/>
      <c r="BU1048118" s="143"/>
    </row>
    <row r="1048119" customFormat="1" ht="14.25" spans="33:73">
      <c r="AG1048119" s="141"/>
      <c r="AH1048119" s="141"/>
      <c r="AI1048119" s="141"/>
      <c r="AP1048119" s="141"/>
      <c r="AQ1048119" s="141"/>
      <c r="AR1048119" s="141"/>
      <c r="AV1048119" s="141"/>
      <c r="AW1048119" s="141"/>
      <c r="AX1048119" s="141"/>
      <c r="BP1048119" s="142"/>
      <c r="BU1048119" s="143"/>
    </row>
    <row r="1048120" customFormat="1" ht="14.25" spans="33:73">
      <c r="AG1048120" s="141"/>
      <c r="AH1048120" s="141"/>
      <c r="AI1048120" s="141"/>
      <c r="AP1048120" s="141"/>
      <c r="AQ1048120" s="141"/>
      <c r="AR1048120" s="141"/>
      <c r="AV1048120" s="141"/>
      <c r="AW1048120" s="141"/>
      <c r="AX1048120" s="141"/>
      <c r="BP1048120" s="142"/>
      <c r="BU1048120" s="143"/>
    </row>
    <row r="1048121" customFormat="1" ht="14.25" spans="33:73">
      <c r="AG1048121" s="141"/>
      <c r="AH1048121" s="141"/>
      <c r="AI1048121" s="141"/>
      <c r="AP1048121" s="141"/>
      <c r="AQ1048121" s="141"/>
      <c r="AR1048121" s="141"/>
      <c r="AV1048121" s="141"/>
      <c r="AW1048121" s="141"/>
      <c r="AX1048121" s="141"/>
      <c r="BP1048121" s="142"/>
      <c r="BU1048121" s="143"/>
    </row>
    <row r="1048122" customFormat="1" ht="14.25" spans="33:73">
      <c r="AG1048122" s="141"/>
      <c r="AH1048122" s="141"/>
      <c r="AI1048122" s="141"/>
      <c r="AP1048122" s="141"/>
      <c r="AQ1048122" s="141"/>
      <c r="AR1048122" s="141"/>
      <c r="AV1048122" s="141"/>
      <c r="AW1048122" s="141"/>
      <c r="AX1048122" s="141"/>
      <c r="BP1048122" s="142"/>
      <c r="BU1048122" s="143"/>
    </row>
    <row r="1048123" customFormat="1" ht="14.25" spans="33:73">
      <c r="AG1048123" s="141"/>
      <c r="AH1048123" s="141"/>
      <c r="AI1048123" s="141"/>
      <c r="AP1048123" s="141"/>
      <c r="AQ1048123" s="141"/>
      <c r="AR1048123" s="141"/>
      <c r="AV1048123" s="141"/>
      <c r="AW1048123" s="141"/>
      <c r="AX1048123" s="141"/>
      <c r="BP1048123" s="142"/>
      <c r="BU1048123" s="143"/>
    </row>
    <row r="1048124" customFormat="1" ht="14.25" spans="33:73">
      <c r="AG1048124" s="141"/>
      <c r="AH1048124" s="141"/>
      <c r="AI1048124" s="141"/>
      <c r="AP1048124" s="141"/>
      <c r="AQ1048124" s="141"/>
      <c r="AR1048124" s="141"/>
      <c r="AV1048124" s="141"/>
      <c r="AW1048124" s="141"/>
      <c r="AX1048124" s="141"/>
      <c r="BP1048124" s="142"/>
      <c r="BU1048124" s="143"/>
    </row>
    <row r="1048125" customFormat="1" ht="14.25" spans="33:73">
      <c r="AG1048125" s="141"/>
      <c r="AH1048125" s="141"/>
      <c r="AI1048125" s="141"/>
      <c r="AP1048125" s="141"/>
      <c r="AQ1048125" s="141"/>
      <c r="AR1048125" s="141"/>
      <c r="AV1048125" s="141"/>
      <c r="AW1048125" s="141"/>
      <c r="AX1048125" s="141"/>
      <c r="BP1048125" s="142"/>
      <c r="BU1048125" s="143"/>
    </row>
    <row r="1048126" customFormat="1" ht="14.25" spans="33:73">
      <c r="AG1048126" s="141"/>
      <c r="AH1048126" s="141"/>
      <c r="AI1048126" s="141"/>
      <c r="AP1048126" s="141"/>
      <c r="AQ1048126" s="141"/>
      <c r="AR1048126" s="141"/>
      <c r="AV1048126" s="141"/>
      <c r="AW1048126" s="141"/>
      <c r="AX1048126" s="141"/>
      <c r="BP1048126" s="142"/>
      <c r="BU1048126" s="143"/>
    </row>
    <row r="1048127" customFormat="1" ht="14.25" spans="33:73">
      <c r="AG1048127" s="141"/>
      <c r="AH1048127" s="141"/>
      <c r="AI1048127" s="141"/>
      <c r="AP1048127" s="141"/>
      <c r="AQ1048127" s="141"/>
      <c r="AR1048127" s="141"/>
      <c r="AV1048127" s="141"/>
      <c r="AW1048127" s="141"/>
      <c r="AX1048127" s="141"/>
      <c r="BP1048127" s="142"/>
      <c r="BU1048127" s="143"/>
    </row>
    <row r="1048128" customFormat="1" ht="14.25" spans="33:73">
      <c r="AG1048128" s="141"/>
      <c r="AH1048128" s="141"/>
      <c r="AI1048128" s="141"/>
      <c r="AP1048128" s="141"/>
      <c r="AQ1048128" s="141"/>
      <c r="AR1048128" s="141"/>
      <c r="AV1048128" s="141"/>
      <c r="AW1048128" s="141"/>
      <c r="AX1048128" s="141"/>
      <c r="BP1048128" s="142"/>
      <c r="BU1048128" s="143"/>
    </row>
    <row r="1048129" customFormat="1" ht="14.25" spans="33:73">
      <c r="AG1048129" s="141"/>
      <c r="AH1048129" s="141"/>
      <c r="AI1048129" s="141"/>
      <c r="AP1048129" s="141"/>
      <c r="AQ1048129" s="141"/>
      <c r="AR1048129" s="141"/>
      <c r="AV1048129" s="141"/>
      <c r="AW1048129" s="141"/>
      <c r="AX1048129" s="141"/>
      <c r="BP1048129" s="142"/>
      <c r="BU1048129" s="143"/>
    </row>
    <row r="1048130" customFormat="1" ht="14.25" spans="33:73">
      <c r="AG1048130" s="141"/>
      <c r="AH1048130" s="141"/>
      <c r="AI1048130" s="141"/>
      <c r="AP1048130" s="141"/>
      <c r="AQ1048130" s="141"/>
      <c r="AR1048130" s="141"/>
      <c r="AV1048130" s="141"/>
      <c r="AW1048130" s="141"/>
      <c r="AX1048130" s="141"/>
      <c r="BP1048130" s="142"/>
      <c r="BU1048130" s="143"/>
    </row>
    <row r="1048131" customFormat="1" ht="14.25" spans="33:73">
      <c r="AG1048131" s="141"/>
      <c r="AH1048131" s="141"/>
      <c r="AI1048131" s="141"/>
      <c r="AP1048131" s="141"/>
      <c r="AQ1048131" s="141"/>
      <c r="AR1048131" s="141"/>
      <c r="AV1048131" s="141"/>
      <c r="AW1048131" s="141"/>
      <c r="AX1048131" s="141"/>
      <c r="BP1048131" s="142"/>
      <c r="BU1048131" s="143"/>
    </row>
    <row r="1048132" customFormat="1" ht="14.25" spans="33:73">
      <c r="AG1048132" s="141"/>
      <c r="AH1048132" s="141"/>
      <c r="AI1048132" s="141"/>
      <c r="AP1048132" s="141"/>
      <c r="AQ1048132" s="141"/>
      <c r="AR1048132" s="141"/>
      <c r="AV1048132" s="141"/>
      <c r="AW1048132" s="141"/>
      <c r="AX1048132" s="141"/>
      <c r="BP1048132" s="142"/>
      <c r="BU1048132" s="143"/>
    </row>
    <row r="1048133" customFormat="1" ht="14.25" spans="33:73">
      <c r="AG1048133" s="141"/>
      <c r="AH1048133" s="141"/>
      <c r="AI1048133" s="141"/>
      <c r="AP1048133" s="141"/>
      <c r="AQ1048133" s="141"/>
      <c r="AR1048133" s="141"/>
      <c r="AV1048133" s="141"/>
      <c r="AW1048133" s="141"/>
      <c r="AX1048133" s="141"/>
      <c r="BP1048133" s="142"/>
      <c r="BU1048133" s="143"/>
    </row>
    <row r="1048134" customFormat="1" ht="14.25" spans="33:73">
      <c r="AG1048134" s="141"/>
      <c r="AH1048134" s="141"/>
      <c r="AI1048134" s="141"/>
      <c r="AP1048134" s="141"/>
      <c r="AQ1048134" s="141"/>
      <c r="AR1048134" s="141"/>
      <c r="AV1048134" s="141"/>
      <c r="AW1048134" s="141"/>
      <c r="AX1048134" s="141"/>
      <c r="BP1048134" s="142"/>
      <c r="BU1048134" s="143"/>
    </row>
    <row r="1048135" customFormat="1" ht="14.25" spans="33:73">
      <c r="AG1048135" s="141"/>
      <c r="AH1048135" s="141"/>
      <c r="AI1048135" s="141"/>
      <c r="AP1048135" s="141"/>
      <c r="AQ1048135" s="141"/>
      <c r="AR1048135" s="141"/>
      <c r="AV1048135" s="141"/>
      <c r="AW1048135" s="141"/>
      <c r="AX1048135" s="141"/>
      <c r="BP1048135" s="142"/>
      <c r="BU1048135" s="143"/>
    </row>
    <row r="1048136" customFormat="1" ht="14.25" spans="33:73">
      <c r="AG1048136" s="141"/>
      <c r="AH1048136" s="141"/>
      <c r="AI1048136" s="141"/>
      <c r="AP1048136" s="141"/>
      <c r="AQ1048136" s="141"/>
      <c r="AR1048136" s="141"/>
      <c r="AV1048136" s="141"/>
      <c r="AW1048136" s="141"/>
      <c r="AX1048136" s="141"/>
      <c r="BP1048136" s="142"/>
      <c r="BU1048136" s="143"/>
    </row>
    <row r="1048137" customFormat="1" ht="14.25" spans="33:73">
      <c r="AG1048137" s="141"/>
      <c r="AH1048137" s="141"/>
      <c r="AI1048137" s="141"/>
      <c r="AP1048137" s="141"/>
      <c r="AQ1048137" s="141"/>
      <c r="AR1048137" s="141"/>
      <c r="AV1048137" s="141"/>
      <c r="AW1048137" s="141"/>
      <c r="AX1048137" s="141"/>
      <c r="BP1048137" s="142"/>
      <c r="BU1048137" s="143"/>
    </row>
    <row r="1048138" customFormat="1" ht="14.25" spans="33:73">
      <c r="AG1048138" s="141"/>
      <c r="AH1048138" s="141"/>
      <c r="AI1048138" s="141"/>
      <c r="AP1048138" s="141"/>
      <c r="AQ1048138" s="141"/>
      <c r="AR1048138" s="141"/>
      <c r="AV1048138" s="141"/>
      <c r="AW1048138" s="141"/>
      <c r="AX1048138" s="141"/>
      <c r="BP1048138" s="142"/>
      <c r="BU1048138" s="143"/>
    </row>
    <row r="1048139" customFormat="1" ht="14.25" spans="33:73">
      <c r="AG1048139" s="141"/>
      <c r="AH1048139" s="141"/>
      <c r="AI1048139" s="141"/>
      <c r="AP1048139" s="141"/>
      <c r="AQ1048139" s="141"/>
      <c r="AR1048139" s="141"/>
      <c r="AV1048139" s="141"/>
      <c r="AW1048139" s="141"/>
      <c r="AX1048139" s="141"/>
      <c r="BP1048139" s="142"/>
      <c r="BU1048139" s="143"/>
    </row>
    <row r="1048140" customFormat="1" ht="14.25" spans="33:73">
      <c r="AG1048140" s="141"/>
      <c r="AH1048140" s="141"/>
      <c r="AI1048140" s="141"/>
      <c r="AP1048140" s="141"/>
      <c r="AQ1048140" s="141"/>
      <c r="AR1048140" s="141"/>
      <c r="AV1048140" s="141"/>
      <c r="AW1048140" s="141"/>
      <c r="AX1048140" s="141"/>
      <c r="BP1048140" s="142"/>
      <c r="BU1048140" s="143"/>
    </row>
    <row r="1048141" customFormat="1" ht="14.25" spans="33:73">
      <c r="AG1048141" s="141"/>
      <c r="AH1048141" s="141"/>
      <c r="AI1048141" s="141"/>
      <c r="AP1048141" s="141"/>
      <c r="AQ1048141" s="141"/>
      <c r="AR1048141" s="141"/>
      <c r="AV1048141" s="141"/>
      <c r="AW1048141" s="141"/>
      <c r="AX1048141" s="141"/>
      <c r="BP1048141" s="142"/>
      <c r="BU1048141" s="143"/>
    </row>
    <row r="1048142" customFormat="1" ht="14.25" spans="33:73">
      <c r="AG1048142" s="141"/>
      <c r="AH1048142" s="141"/>
      <c r="AI1048142" s="141"/>
      <c r="AP1048142" s="141"/>
      <c r="AQ1048142" s="141"/>
      <c r="AR1048142" s="141"/>
      <c r="AV1048142" s="141"/>
      <c r="AW1048142" s="141"/>
      <c r="AX1048142" s="141"/>
      <c r="BP1048142" s="142"/>
      <c r="BU1048142" s="143"/>
    </row>
    <row r="1048143" customFormat="1" ht="14.25" spans="33:73">
      <c r="AG1048143" s="141"/>
      <c r="AH1048143" s="141"/>
      <c r="AI1048143" s="141"/>
      <c r="AP1048143" s="141"/>
      <c r="AQ1048143" s="141"/>
      <c r="AR1048143" s="141"/>
      <c r="AV1048143" s="141"/>
      <c r="AW1048143" s="141"/>
      <c r="AX1048143" s="141"/>
      <c r="BP1048143" s="142"/>
      <c r="BU1048143" s="143"/>
    </row>
    <row r="1048144" customFormat="1" ht="14.25" spans="33:73">
      <c r="AG1048144" s="141"/>
      <c r="AH1048144" s="141"/>
      <c r="AI1048144" s="141"/>
      <c r="AP1048144" s="141"/>
      <c r="AQ1048144" s="141"/>
      <c r="AR1048144" s="141"/>
      <c r="AV1048144" s="141"/>
      <c r="AW1048144" s="141"/>
      <c r="AX1048144" s="141"/>
      <c r="BP1048144" s="142"/>
      <c r="BU1048144" s="143"/>
    </row>
    <row r="1048145" customFormat="1" ht="14.25" spans="33:73">
      <c r="AG1048145" s="141"/>
      <c r="AH1048145" s="141"/>
      <c r="AI1048145" s="141"/>
      <c r="AP1048145" s="141"/>
      <c r="AQ1048145" s="141"/>
      <c r="AR1048145" s="141"/>
      <c r="AV1048145" s="141"/>
      <c r="AW1048145" s="141"/>
      <c r="AX1048145" s="141"/>
      <c r="BP1048145" s="142"/>
      <c r="BU1048145" s="143"/>
    </row>
    <row r="1048146" customFormat="1" ht="14.25" spans="33:73">
      <c r="AG1048146" s="141"/>
      <c r="AH1048146" s="141"/>
      <c r="AI1048146" s="141"/>
      <c r="AP1048146" s="141"/>
      <c r="AQ1048146" s="141"/>
      <c r="AR1048146" s="141"/>
      <c r="AV1048146" s="141"/>
      <c r="AW1048146" s="141"/>
      <c r="AX1048146" s="141"/>
      <c r="BP1048146" s="142"/>
      <c r="BU1048146" s="143"/>
    </row>
    <row r="1048147" customFormat="1" ht="14.25" spans="33:73">
      <c r="AG1048147" s="141"/>
      <c r="AH1048147" s="141"/>
      <c r="AI1048147" s="141"/>
      <c r="AP1048147" s="141"/>
      <c r="AQ1048147" s="141"/>
      <c r="AR1048147" s="141"/>
      <c r="AV1048147" s="141"/>
      <c r="AW1048147" s="141"/>
      <c r="AX1048147" s="141"/>
      <c r="BP1048147" s="142"/>
      <c r="BU1048147" s="143"/>
    </row>
    <row r="1048148" customFormat="1" ht="14.25" spans="33:73">
      <c r="AG1048148" s="141"/>
      <c r="AH1048148" s="141"/>
      <c r="AI1048148" s="141"/>
      <c r="AP1048148" s="141"/>
      <c r="AQ1048148" s="141"/>
      <c r="AR1048148" s="141"/>
      <c r="AV1048148" s="141"/>
      <c r="AW1048148" s="141"/>
      <c r="AX1048148" s="141"/>
      <c r="BP1048148" s="142"/>
      <c r="BU1048148" s="143"/>
    </row>
    <row r="1048149" customFormat="1" ht="14.25" spans="33:73">
      <c r="AG1048149" s="141"/>
      <c r="AH1048149" s="141"/>
      <c r="AI1048149" s="141"/>
      <c r="AP1048149" s="141"/>
      <c r="AQ1048149" s="141"/>
      <c r="AR1048149" s="141"/>
      <c r="AV1048149" s="141"/>
      <c r="AW1048149" s="141"/>
      <c r="AX1048149" s="141"/>
      <c r="BP1048149" s="142"/>
      <c r="BU1048149" s="143"/>
    </row>
    <row r="1048150" customFormat="1" ht="14.25" spans="33:73">
      <c r="AG1048150" s="141"/>
      <c r="AH1048150" s="141"/>
      <c r="AI1048150" s="141"/>
      <c r="AP1048150" s="141"/>
      <c r="AQ1048150" s="141"/>
      <c r="AR1048150" s="141"/>
      <c r="AV1048150" s="141"/>
      <c r="AW1048150" s="141"/>
      <c r="AX1048150" s="141"/>
      <c r="BP1048150" s="142"/>
      <c r="BU1048150" s="143"/>
    </row>
    <row r="1048151" customFormat="1" ht="14.25" spans="33:73">
      <c r="AG1048151" s="141"/>
      <c r="AH1048151" s="141"/>
      <c r="AI1048151" s="141"/>
      <c r="AP1048151" s="141"/>
      <c r="AQ1048151" s="141"/>
      <c r="AR1048151" s="141"/>
      <c r="AV1048151" s="141"/>
      <c r="AW1048151" s="141"/>
      <c r="AX1048151" s="141"/>
      <c r="BP1048151" s="142"/>
      <c r="BU1048151" s="143"/>
    </row>
    <row r="1048152" customFormat="1" ht="14.25" spans="33:73">
      <c r="AG1048152" s="141"/>
      <c r="AH1048152" s="141"/>
      <c r="AI1048152" s="141"/>
      <c r="AP1048152" s="141"/>
      <c r="AQ1048152" s="141"/>
      <c r="AR1048152" s="141"/>
      <c r="AV1048152" s="141"/>
      <c r="AW1048152" s="141"/>
      <c r="AX1048152" s="141"/>
      <c r="BP1048152" s="142"/>
      <c r="BU1048152" s="143"/>
    </row>
    <row r="1048153" customFormat="1" ht="14.25" spans="33:73">
      <c r="AG1048153" s="141"/>
      <c r="AH1048153" s="141"/>
      <c r="AI1048153" s="141"/>
      <c r="AP1048153" s="141"/>
      <c r="AQ1048153" s="141"/>
      <c r="AR1048153" s="141"/>
      <c r="AV1048153" s="141"/>
      <c r="AW1048153" s="141"/>
      <c r="AX1048153" s="141"/>
      <c r="BP1048153" s="142"/>
      <c r="BU1048153" s="143"/>
    </row>
    <row r="1048154" customFormat="1" ht="14.25" spans="33:73">
      <c r="AG1048154" s="141"/>
      <c r="AH1048154" s="141"/>
      <c r="AI1048154" s="141"/>
      <c r="AP1048154" s="141"/>
      <c r="AQ1048154" s="141"/>
      <c r="AR1048154" s="141"/>
      <c r="AV1048154" s="141"/>
      <c r="AW1048154" s="141"/>
      <c r="AX1048154" s="141"/>
      <c r="BP1048154" s="142"/>
      <c r="BU1048154" s="143"/>
    </row>
    <row r="1048155" customFormat="1" ht="14.25" spans="33:73">
      <c r="AG1048155" s="141"/>
      <c r="AH1048155" s="141"/>
      <c r="AI1048155" s="141"/>
      <c r="AP1048155" s="141"/>
      <c r="AQ1048155" s="141"/>
      <c r="AR1048155" s="141"/>
      <c r="AV1048155" s="141"/>
      <c r="AW1048155" s="141"/>
      <c r="AX1048155" s="141"/>
      <c r="BP1048155" s="142"/>
      <c r="BU1048155" s="143"/>
    </row>
    <row r="1048156" customFormat="1" ht="14.25" spans="33:73">
      <c r="AG1048156" s="141"/>
      <c r="AH1048156" s="141"/>
      <c r="AI1048156" s="141"/>
      <c r="AP1048156" s="141"/>
      <c r="AQ1048156" s="141"/>
      <c r="AR1048156" s="141"/>
      <c r="AV1048156" s="141"/>
      <c r="AW1048156" s="141"/>
      <c r="AX1048156" s="141"/>
      <c r="BP1048156" s="142"/>
      <c r="BU1048156" s="143"/>
    </row>
    <row r="1048157" customFormat="1" ht="14.25" spans="33:73">
      <c r="AG1048157" s="141"/>
      <c r="AH1048157" s="141"/>
      <c r="AI1048157" s="141"/>
      <c r="AP1048157" s="141"/>
      <c r="AQ1048157" s="141"/>
      <c r="AR1048157" s="141"/>
      <c r="AV1048157" s="141"/>
      <c r="AW1048157" s="141"/>
      <c r="AX1048157" s="141"/>
      <c r="BP1048157" s="142"/>
      <c r="BU1048157" s="143"/>
    </row>
    <row r="1048158" customFormat="1" ht="14.25" spans="33:73">
      <c r="AG1048158" s="141"/>
      <c r="AH1048158" s="141"/>
      <c r="AI1048158" s="141"/>
      <c r="AP1048158" s="141"/>
      <c r="AQ1048158" s="141"/>
      <c r="AR1048158" s="141"/>
      <c r="AV1048158" s="141"/>
      <c r="AW1048158" s="141"/>
      <c r="AX1048158" s="141"/>
      <c r="BP1048158" s="142"/>
      <c r="BU1048158" s="143"/>
    </row>
    <row r="1048159" customFormat="1" ht="14.25" spans="33:73">
      <c r="AG1048159" s="141"/>
      <c r="AH1048159" s="141"/>
      <c r="AI1048159" s="141"/>
      <c r="AP1048159" s="141"/>
      <c r="AQ1048159" s="141"/>
      <c r="AR1048159" s="141"/>
      <c r="AV1048159" s="141"/>
      <c r="AW1048159" s="141"/>
      <c r="AX1048159" s="141"/>
      <c r="BP1048159" s="142"/>
      <c r="BU1048159" s="143"/>
    </row>
    <row r="1048160" customFormat="1" ht="14.25" spans="33:73">
      <c r="AG1048160" s="141"/>
      <c r="AH1048160" s="141"/>
      <c r="AI1048160" s="141"/>
      <c r="AP1048160" s="141"/>
      <c r="AQ1048160" s="141"/>
      <c r="AR1048160" s="141"/>
      <c r="AV1048160" s="141"/>
      <c r="AW1048160" s="141"/>
      <c r="AX1048160" s="141"/>
      <c r="BP1048160" s="142"/>
      <c r="BU1048160" s="143"/>
    </row>
    <row r="1048161" customFormat="1" ht="14.25" spans="33:73">
      <c r="AG1048161" s="141"/>
      <c r="AH1048161" s="141"/>
      <c r="AI1048161" s="141"/>
      <c r="AP1048161" s="141"/>
      <c r="AQ1048161" s="141"/>
      <c r="AR1048161" s="141"/>
      <c r="AV1048161" s="141"/>
      <c r="AW1048161" s="141"/>
      <c r="AX1048161" s="141"/>
      <c r="BP1048161" s="142"/>
      <c r="BU1048161" s="143"/>
    </row>
    <row r="1048162" customFormat="1" ht="14.25" spans="33:73">
      <c r="AG1048162" s="141"/>
      <c r="AH1048162" s="141"/>
      <c r="AI1048162" s="141"/>
      <c r="AP1048162" s="141"/>
      <c r="AQ1048162" s="141"/>
      <c r="AR1048162" s="141"/>
      <c r="AV1048162" s="141"/>
      <c r="AW1048162" s="141"/>
      <c r="AX1048162" s="141"/>
      <c r="BP1048162" s="142"/>
      <c r="BU1048162" s="143"/>
    </row>
    <row r="1048163" customFormat="1" ht="14.25" spans="33:73">
      <c r="AG1048163" s="141"/>
      <c r="AH1048163" s="141"/>
      <c r="AI1048163" s="141"/>
      <c r="AP1048163" s="141"/>
      <c r="AQ1048163" s="141"/>
      <c r="AR1048163" s="141"/>
      <c r="AV1048163" s="141"/>
      <c r="AW1048163" s="141"/>
      <c r="AX1048163" s="141"/>
      <c r="BP1048163" s="142"/>
      <c r="BU1048163" s="143"/>
    </row>
    <row r="1048164" customFormat="1" ht="14.25" spans="33:73">
      <c r="AG1048164" s="141"/>
      <c r="AH1048164" s="141"/>
      <c r="AI1048164" s="141"/>
      <c r="AP1048164" s="141"/>
      <c r="AQ1048164" s="141"/>
      <c r="AR1048164" s="141"/>
      <c r="AV1048164" s="141"/>
      <c r="AW1048164" s="141"/>
      <c r="AX1048164" s="141"/>
      <c r="BP1048164" s="142"/>
      <c r="BU1048164" s="143"/>
    </row>
    <row r="1048165" customFormat="1" ht="14.25" spans="33:73">
      <c r="AG1048165" s="141"/>
      <c r="AH1048165" s="141"/>
      <c r="AI1048165" s="141"/>
      <c r="AP1048165" s="141"/>
      <c r="AQ1048165" s="141"/>
      <c r="AR1048165" s="141"/>
      <c r="AV1048165" s="141"/>
      <c r="AW1048165" s="141"/>
      <c r="AX1048165" s="141"/>
      <c r="BP1048165" s="142"/>
      <c r="BU1048165" s="143"/>
    </row>
    <row r="1048166" customFormat="1" ht="14.25" spans="33:73">
      <c r="AG1048166" s="141"/>
      <c r="AH1048166" s="141"/>
      <c r="AI1048166" s="141"/>
      <c r="AP1048166" s="141"/>
      <c r="AQ1048166" s="141"/>
      <c r="AR1048166" s="141"/>
      <c r="AV1048166" s="141"/>
      <c r="AW1048166" s="141"/>
      <c r="AX1048166" s="141"/>
      <c r="BP1048166" s="142"/>
      <c r="BU1048166" s="143"/>
    </row>
    <row r="1048167" customFormat="1" ht="14.25" spans="33:73">
      <c r="AG1048167" s="141"/>
      <c r="AH1048167" s="141"/>
      <c r="AI1048167" s="141"/>
      <c r="AP1048167" s="141"/>
      <c r="AQ1048167" s="141"/>
      <c r="AR1048167" s="141"/>
      <c r="AV1048167" s="141"/>
      <c r="AW1048167" s="141"/>
      <c r="AX1048167" s="141"/>
      <c r="BP1048167" s="142"/>
      <c r="BU1048167" s="143"/>
    </row>
    <row r="1048168" customFormat="1" ht="14.25" spans="33:73">
      <c r="AG1048168" s="141"/>
      <c r="AH1048168" s="141"/>
      <c r="AI1048168" s="141"/>
      <c r="AP1048168" s="141"/>
      <c r="AQ1048168" s="141"/>
      <c r="AR1048168" s="141"/>
      <c r="AV1048168" s="141"/>
      <c r="AW1048168" s="141"/>
      <c r="AX1048168" s="141"/>
      <c r="BP1048168" s="142"/>
      <c r="BU1048168" s="143"/>
    </row>
    <row r="1048169" customFormat="1" ht="14.25" spans="33:73">
      <c r="AG1048169" s="141"/>
      <c r="AH1048169" s="141"/>
      <c r="AI1048169" s="141"/>
      <c r="AP1048169" s="141"/>
      <c r="AQ1048169" s="141"/>
      <c r="AR1048169" s="141"/>
      <c r="AV1048169" s="141"/>
      <c r="AW1048169" s="141"/>
      <c r="AX1048169" s="141"/>
      <c r="BP1048169" s="142"/>
      <c r="BU1048169" s="143"/>
    </row>
    <row r="1048170" customFormat="1" ht="14.25" spans="33:73">
      <c r="AG1048170" s="141"/>
      <c r="AH1048170" s="141"/>
      <c r="AI1048170" s="141"/>
      <c r="AP1048170" s="141"/>
      <c r="AQ1048170" s="141"/>
      <c r="AR1048170" s="141"/>
      <c r="AV1048170" s="141"/>
      <c r="AW1048170" s="141"/>
      <c r="AX1048170" s="141"/>
      <c r="BP1048170" s="142"/>
      <c r="BU1048170" s="143"/>
    </row>
    <row r="1048171" customFormat="1" ht="14.25" spans="33:73">
      <c r="AG1048171" s="141"/>
      <c r="AH1048171" s="141"/>
      <c r="AI1048171" s="141"/>
      <c r="AP1048171" s="141"/>
      <c r="AQ1048171" s="141"/>
      <c r="AR1048171" s="141"/>
      <c r="AV1048171" s="141"/>
      <c r="AW1048171" s="141"/>
      <c r="AX1048171" s="141"/>
      <c r="BP1048171" s="142"/>
      <c r="BU1048171" s="143"/>
    </row>
    <row r="1048172" customFormat="1" ht="14.25" spans="33:73">
      <c r="AG1048172" s="141"/>
      <c r="AH1048172" s="141"/>
      <c r="AI1048172" s="141"/>
      <c r="AP1048172" s="141"/>
      <c r="AQ1048172" s="141"/>
      <c r="AR1048172" s="141"/>
      <c r="AV1048172" s="141"/>
      <c r="AW1048172" s="141"/>
      <c r="AX1048172" s="141"/>
      <c r="BP1048172" s="142"/>
      <c r="BU1048172" s="143"/>
    </row>
    <row r="1048173" customFormat="1" ht="14.25" spans="33:73">
      <c r="AG1048173" s="141"/>
      <c r="AH1048173" s="141"/>
      <c r="AI1048173" s="141"/>
      <c r="AP1048173" s="141"/>
      <c r="AQ1048173" s="141"/>
      <c r="AR1048173" s="141"/>
      <c r="AV1048173" s="141"/>
      <c r="AW1048173" s="141"/>
      <c r="AX1048173" s="141"/>
      <c r="BP1048173" s="142"/>
      <c r="BU1048173" s="143"/>
    </row>
    <row r="1048174" customFormat="1" ht="14.25" spans="33:73">
      <c r="AG1048174" s="141"/>
      <c r="AH1048174" s="141"/>
      <c r="AI1048174" s="141"/>
      <c r="AP1048174" s="141"/>
      <c r="AQ1048174" s="141"/>
      <c r="AR1048174" s="141"/>
      <c r="AV1048174" s="141"/>
      <c r="AW1048174" s="141"/>
      <c r="AX1048174" s="141"/>
      <c r="BP1048174" s="142"/>
      <c r="BU1048174" s="143"/>
    </row>
    <row r="1048175" customFormat="1" ht="14.25" spans="33:73">
      <c r="AG1048175" s="141"/>
      <c r="AH1048175" s="141"/>
      <c r="AI1048175" s="141"/>
      <c r="AP1048175" s="141"/>
      <c r="AQ1048175" s="141"/>
      <c r="AR1048175" s="141"/>
      <c r="AV1048175" s="141"/>
      <c r="AW1048175" s="141"/>
      <c r="AX1048175" s="141"/>
      <c r="BP1048175" s="142"/>
      <c r="BU1048175" s="143"/>
    </row>
    <row r="1048176" customFormat="1" ht="14.25" spans="33:73">
      <c r="AG1048176" s="141"/>
      <c r="AH1048176" s="141"/>
      <c r="AI1048176" s="141"/>
      <c r="AP1048176" s="141"/>
      <c r="AQ1048176" s="141"/>
      <c r="AR1048176" s="141"/>
      <c r="AV1048176" s="141"/>
      <c r="AW1048176" s="141"/>
      <c r="AX1048176" s="141"/>
      <c r="BP1048176" s="142"/>
      <c r="BU1048176" s="143"/>
    </row>
    <row r="1048177" customFormat="1" ht="14.25" spans="33:73">
      <c r="AG1048177" s="141"/>
      <c r="AH1048177" s="141"/>
      <c r="AI1048177" s="141"/>
      <c r="AP1048177" s="141"/>
      <c r="AQ1048177" s="141"/>
      <c r="AR1048177" s="141"/>
      <c r="AV1048177" s="141"/>
      <c r="AW1048177" s="141"/>
      <c r="AX1048177" s="141"/>
      <c r="BP1048177" s="142"/>
      <c r="BU1048177" s="143"/>
    </row>
    <row r="1048178" customFormat="1" ht="14.25" spans="33:73">
      <c r="AG1048178" s="141"/>
      <c r="AH1048178" s="141"/>
      <c r="AI1048178" s="141"/>
      <c r="AP1048178" s="141"/>
      <c r="AQ1048178" s="141"/>
      <c r="AR1048178" s="141"/>
      <c r="AV1048178" s="141"/>
      <c r="AW1048178" s="141"/>
      <c r="AX1048178" s="141"/>
      <c r="BP1048178" s="142"/>
      <c r="BU1048178" s="143"/>
    </row>
    <row r="1048179" customFormat="1" ht="14.25" spans="33:73">
      <c r="AG1048179" s="141"/>
      <c r="AH1048179" s="141"/>
      <c r="AI1048179" s="141"/>
      <c r="AP1048179" s="141"/>
      <c r="AQ1048179" s="141"/>
      <c r="AR1048179" s="141"/>
      <c r="AV1048179" s="141"/>
      <c r="AW1048179" s="141"/>
      <c r="AX1048179" s="141"/>
      <c r="BP1048179" s="142"/>
      <c r="BU1048179" s="143"/>
    </row>
    <row r="1048180" customFormat="1" ht="14.25" spans="33:73">
      <c r="AG1048180" s="141"/>
      <c r="AH1048180" s="141"/>
      <c r="AI1048180" s="141"/>
      <c r="AP1048180" s="141"/>
      <c r="AQ1048180" s="141"/>
      <c r="AR1048180" s="141"/>
      <c r="AV1048180" s="141"/>
      <c r="AW1048180" s="141"/>
      <c r="AX1048180" s="141"/>
      <c r="BP1048180" s="142"/>
      <c r="BU1048180" s="143"/>
    </row>
    <row r="1048181" customFormat="1" ht="14.25" spans="33:73">
      <c r="AG1048181" s="141"/>
      <c r="AH1048181" s="141"/>
      <c r="AI1048181" s="141"/>
      <c r="AP1048181" s="141"/>
      <c r="AQ1048181" s="141"/>
      <c r="AR1048181" s="141"/>
      <c r="AV1048181" s="141"/>
      <c r="AW1048181" s="141"/>
      <c r="AX1048181" s="141"/>
      <c r="BP1048181" s="142"/>
      <c r="BU1048181" s="143"/>
    </row>
    <row r="1048182" customFormat="1" ht="14.25" spans="33:73">
      <c r="AG1048182" s="141"/>
      <c r="AH1048182" s="141"/>
      <c r="AI1048182" s="141"/>
      <c r="AP1048182" s="141"/>
      <c r="AQ1048182" s="141"/>
      <c r="AR1048182" s="141"/>
      <c r="AV1048182" s="141"/>
      <c r="AW1048182" s="141"/>
      <c r="AX1048182" s="141"/>
      <c r="BP1048182" s="142"/>
      <c r="BU1048182" s="143"/>
    </row>
    <row r="1048183" customFormat="1" ht="14.25" spans="33:73">
      <c r="AG1048183" s="141"/>
      <c r="AH1048183" s="141"/>
      <c r="AI1048183" s="141"/>
      <c r="AP1048183" s="141"/>
      <c r="AQ1048183" s="141"/>
      <c r="AR1048183" s="141"/>
      <c r="AV1048183" s="141"/>
      <c r="AW1048183" s="141"/>
      <c r="AX1048183" s="141"/>
      <c r="BP1048183" s="142"/>
      <c r="BU1048183" s="143"/>
    </row>
    <row r="1048184" customFormat="1" ht="14.25" spans="33:73">
      <c r="AG1048184" s="141"/>
      <c r="AH1048184" s="141"/>
      <c r="AI1048184" s="141"/>
      <c r="AP1048184" s="141"/>
      <c r="AQ1048184" s="141"/>
      <c r="AR1048184" s="141"/>
      <c r="AV1048184" s="141"/>
      <c r="AW1048184" s="141"/>
      <c r="AX1048184" s="141"/>
      <c r="BP1048184" s="142"/>
      <c r="BU1048184" s="143"/>
    </row>
    <row r="1048185" customFormat="1" ht="14.25" spans="33:73">
      <c r="AG1048185" s="141"/>
      <c r="AH1048185" s="141"/>
      <c r="AI1048185" s="141"/>
      <c r="AP1048185" s="141"/>
      <c r="AQ1048185" s="141"/>
      <c r="AR1048185" s="141"/>
      <c r="AV1048185" s="141"/>
      <c r="AW1048185" s="141"/>
      <c r="AX1048185" s="141"/>
      <c r="BP1048185" s="142"/>
      <c r="BU1048185" s="143"/>
    </row>
    <row r="1048186" customFormat="1" ht="14.25" spans="33:73">
      <c r="AG1048186" s="141"/>
      <c r="AH1048186" s="141"/>
      <c r="AI1048186" s="141"/>
      <c r="AP1048186" s="141"/>
      <c r="AQ1048186" s="141"/>
      <c r="AR1048186" s="141"/>
      <c r="AV1048186" s="141"/>
      <c r="AW1048186" s="141"/>
      <c r="AX1048186" s="141"/>
      <c r="BP1048186" s="142"/>
      <c r="BU1048186" s="143"/>
    </row>
    <row r="1048187" customFormat="1" ht="14.25" spans="33:73">
      <c r="AG1048187" s="141"/>
      <c r="AH1048187" s="141"/>
      <c r="AI1048187" s="141"/>
      <c r="AP1048187" s="141"/>
      <c r="AQ1048187" s="141"/>
      <c r="AR1048187" s="141"/>
      <c r="AV1048187" s="141"/>
      <c r="AW1048187" s="141"/>
      <c r="AX1048187" s="141"/>
      <c r="BP1048187" s="142"/>
      <c r="BU1048187" s="143"/>
    </row>
    <row r="1048188" customFormat="1" ht="14.25" spans="33:73">
      <c r="AG1048188" s="141"/>
      <c r="AH1048188" s="141"/>
      <c r="AI1048188" s="141"/>
      <c r="AP1048188" s="141"/>
      <c r="AQ1048188" s="141"/>
      <c r="AR1048188" s="141"/>
      <c r="AV1048188" s="141"/>
      <c r="AW1048188" s="141"/>
      <c r="AX1048188" s="141"/>
      <c r="BP1048188" s="142"/>
      <c r="BU1048188" s="143"/>
    </row>
    <row r="1048189" customFormat="1" ht="14.25" spans="33:73">
      <c r="AG1048189" s="141"/>
      <c r="AH1048189" s="141"/>
      <c r="AI1048189" s="141"/>
      <c r="AP1048189" s="141"/>
      <c r="AQ1048189" s="141"/>
      <c r="AR1048189" s="141"/>
      <c r="AV1048189" s="141"/>
      <c r="AW1048189" s="141"/>
      <c r="AX1048189" s="141"/>
      <c r="BP1048189" s="142"/>
      <c r="BU1048189" s="143"/>
    </row>
    <row r="1048190" customFormat="1" ht="14.25" spans="33:73">
      <c r="AG1048190" s="141"/>
      <c r="AH1048190" s="141"/>
      <c r="AI1048190" s="141"/>
      <c r="AP1048190" s="141"/>
      <c r="AQ1048190" s="141"/>
      <c r="AR1048190" s="141"/>
      <c r="AV1048190" s="141"/>
      <c r="AW1048190" s="141"/>
      <c r="AX1048190" s="141"/>
      <c r="BP1048190" s="142"/>
      <c r="BU1048190" s="143"/>
    </row>
    <row r="1048191" customFormat="1" ht="14.25" spans="33:73">
      <c r="AG1048191" s="141"/>
      <c r="AH1048191" s="141"/>
      <c r="AI1048191" s="141"/>
      <c r="AP1048191" s="141"/>
      <c r="AQ1048191" s="141"/>
      <c r="AR1048191" s="141"/>
      <c r="AV1048191" s="141"/>
      <c r="AW1048191" s="141"/>
      <c r="AX1048191" s="141"/>
      <c r="BP1048191" s="142"/>
      <c r="BU1048191" s="143"/>
    </row>
    <row r="1048192" customFormat="1" ht="14.25" spans="33:73">
      <c r="AG1048192" s="141"/>
      <c r="AH1048192" s="141"/>
      <c r="AI1048192" s="141"/>
      <c r="AP1048192" s="141"/>
      <c r="AQ1048192" s="141"/>
      <c r="AR1048192" s="141"/>
      <c r="AV1048192" s="141"/>
      <c r="AW1048192" s="141"/>
      <c r="AX1048192" s="141"/>
      <c r="BP1048192" s="142"/>
      <c r="BU1048192" s="143"/>
    </row>
    <row r="1048193" customFormat="1" ht="14.25" spans="33:73">
      <c r="AG1048193" s="141"/>
      <c r="AH1048193" s="141"/>
      <c r="AI1048193" s="141"/>
      <c r="AP1048193" s="141"/>
      <c r="AQ1048193" s="141"/>
      <c r="AR1048193" s="141"/>
      <c r="AV1048193" s="141"/>
      <c r="AW1048193" s="141"/>
      <c r="AX1048193" s="141"/>
      <c r="BP1048193" s="142"/>
      <c r="BU1048193" s="143"/>
    </row>
    <row r="1048194" customFormat="1" ht="14.25" spans="33:73">
      <c r="AG1048194" s="141"/>
      <c r="AH1048194" s="141"/>
      <c r="AI1048194" s="141"/>
      <c r="AP1048194" s="141"/>
      <c r="AQ1048194" s="141"/>
      <c r="AR1048194" s="141"/>
      <c r="AV1048194" s="141"/>
      <c r="AW1048194" s="141"/>
      <c r="AX1048194" s="141"/>
      <c r="BP1048194" s="142"/>
      <c r="BU1048194" s="143"/>
    </row>
    <row r="1048195" customFormat="1" ht="14.25" spans="33:73">
      <c r="AG1048195" s="141"/>
      <c r="AH1048195" s="141"/>
      <c r="AI1048195" s="141"/>
      <c r="AP1048195" s="141"/>
      <c r="AQ1048195" s="141"/>
      <c r="AR1048195" s="141"/>
      <c r="AV1048195" s="141"/>
      <c r="AW1048195" s="141"/>
      <c r="AX1048195" s="141"/>
      <c r="BP1048195" s="142"/>
      <c r="BU1048195" s="143"/>
    </row>
    <row r="1048196" customFormat="1" ht="14.25" spans="33:73">
      <c r="AG1048196" s="141"/>
      <c r="AH1048196" s="141"/>
      <c r="AI1048196" s="141"/>
      <c r="AP1048196" s="141"/>
      <c r="AQ1048196" s="141"/>
      <c r="AR1048196" s="141"/>
      <c r="AV1048196" s="141"/>
      <c r="AW1048196" s="141"/>
      <c r="AX1048196" s="141"/>
      <c r="BP1048196" s="142"/>
      <c r="BU1048196" s="143"/>
    </row>
    <row r="1048197" customFormat="1" ht="14.25" spans="33:73">
      <c r="AG1048197" s="141"/>
      <c r="AH1048197" s="141"/>
      <c r="AI1048197" s="141"/>
      <c r="AP1048197" s="141"/>
      <c r="AQ1048197" s="141"/>
      <c r="AR1048197" s="141"/>
      <c r="AV1048197" s="141"/>
      <c r="AW1048197" s="141"/>
      <c r="AX1048197" s="141"/>
      <c r="BP1048197" s="142"/>
      <c r="BU1048197" s="143"/>
    </row>
    <row r="1048198" customFormat="1" ht="14.25" spans="33:73">
      <c r="AG1048198" s="141"/>
      <c r="AH1048198" s="141"/>
      <c r="AI1048198" s="141"/>
      <c r="AP1048198" s="141"/>
      <c r="AQ1048198" s="141"/>
      <c r="AR1048198" s="141"/>
      <c r="AV1048198" s="141"/>
      <c r="AW1048198" s="141"/>
      <c r="AX1048198" s="141"/>
      <c r="BP1048198" s="142"/>
      <c r="BU1048198" s="143"/>
    </row>
    <row r="1048199" customFormat="1" ht="14.25" spans="33:73">
      <c r="AG1048199" s="141"/>
      <c r="AH1048199" s="141"/>
      <c r="AI1048199" s="141"/>
      <c r="AP1048199" s="141"/>
      <c r="AQ1048199" s="141"/>
      <c r="AR1048199" s="141"/>
      <c r="AV1048199" s="141"/>
      <c r="AW1048199" s="141"/>
      <c r="AX1048199" s="141"/>
      <c r="BP1048199" s="142"/>
      <c r="BU1048199" s="143"/>
    </row>
    <row r="1048200" customFormat="1" ht="14.25" spans="33:73">
      <c r="AG1048200" s="141"/>
      <c r="AH1048200" s="141"/>
      <c r="AI1048200" s="141"/>
      <c r="AP1048200" s="141"/>
      <c r="AQ1048200" s="141"/>
      <c r="AR1048200" s="141"/>
      <c r="AV1048200" s="141"/>
      <c r="AW1048200" s="141"/>
      <c r="AX1048200" s="141"/>
      <c r="BP1048200" s="142"/>
      <c r="BU1048200" s="143"/>
    </row>
    <row r="1048201" customFormat="1" ht="14.25" spans="33:73">
      <c r="AG1048201" s="141"/>
      <c r="AH1048201" s="141"/>
      <c r="AI1048201" s="141"/>
      <c r="AP1048201" s="141"/>
      <c r="AQ1048201" s="141"/>
      <c r="AR1048201" s="141"/>
      <c r="AV1048201" s="141"/>
      <c r="AW1048201" s="141"/>
      <c r="AX1048201" s="141"/>
      <c r="BP1048201" s="142"/>
      <c r="BU1048201" s="143"/>
    </row>
    <row r="1048202" customFormat="1" ht="14.25" spans="33:73">
      <c r="AG1048202" s="141"/>
      <c r="AH1048202" s="141"/>
      <c r="AI1048202" s="141"/>
      <c r="AP1048202" s="141"/>
      <c r="AQ1048202" s="141"/>
      <c r="AR1048202" s="141"/>
      <c r="AV1048202" s="141"/>
      <c r="AW1048202" s="141"/>
      <c r="AX1048202" s="141"/>
      <c r="BP1048202" s="142"/>
      <c r="BU1048202" s="143"/>
    </row>
    <row r="1048203" customFormat="1" ht="14.25" spans="33:73">
      <c r="AG1048203" s="141"/>
      <c r="AH1048203" s="141"/>
      <c r="AI1048203" s="141"/>
      <c r="AP1048203" s="141"/>
      <c r="AQ1048203" s="141"/>
      <c r="AR1048203" s="141"/>
      <c r="AV1048203" s="141"/>
      <c r="AW1048203" s="141"/>
      <c r="AX1048203" s="141"/>
      <c r="BP1048203" s="142"/>
      <c r="BU1048203" s="143"/>
    </row>
    <row r="1048204" customFormat="1" ht="14.25" spans="33:73">
      <c r="AG1048204" s="141"/>
      <c r="AH1048204" s="141"/>
      <c r="AI1048204" s="141"/>
      <c r="AP1048204" s="141"/>
      <c r="AQ1048204" s="141"/>
      <c r="AR1048204" s="141"/>
      <c r="AV1048204" s="141"/>
      <c r="AW1048204" s="141"/>
      <c r="AX1048204" s="141"/>
      <c r="BP1048204" s="142"/>
      <c r="BU1048204" s="143"/>
    </row>
    <row r="1048205" customFormat="1" ht="14.25" spans="33:73">
      <c r="AG1048205" s="141"/>
      <c r="AH1048205" s="141"/>
      <c r="AI1048205" s="141"/>
      <c r="AP1048205" s="141"/>
      <c r="AQ1048205" s="141"/>
      <c r="AR1048205" s="141"/>
      <c r="AV1048205" s="141"/>
      <c r="AW1048205" s="141"/>
      <c r="AX1048205" s="141"/>
      <c r="BP1048205" s="142"/>
      <c r="BU1048205" s="143"/>
    </row>
    <row r="1048206" customFormat="1" ht="14.25" spans="33:73">
      <c r="AG1048206" s="141"/>
      <c r="AH1048206" s="141"/>
      <c r="AI1048206" s="141"/>
      <c r="AP1048206" s="141"/>
      <c r="AQ1048206" s="141"/>
      <c r="AR1048206" s="141"/>
      <c r="AV1048206" s="141"/>
      <c r="AW1048206" s="141"/>
      <c r="AX1048206" s="141"/>
      <c r="BP1048206" s="142"/>
      <c r="BU1048206" s="143"/>
    </row>
    <row r="1048207" customFormat="1" ht="14.25" spans="33:73">
      <c r="AG1048207" s="141"/>
      <c r="AH1048207" s="141"/>
      <c r="AI1048207" s="141"/>
      <c r="AP1048207" s="141"/>
      <c r="AQ1048207" s="141"/>
      <c r="AR1048207" s="141"/>
      <c r="AV1048207" s="141"/>
      <c r="AW1048207" s="141"/>
      <c r="AX1048207" s="141"/>
      <c r="BP1048207" s="142"/>
      <c r="BU1048207" s="143"/>
    </row>
    <row r="1048208" customFormat="1" ht="14.25" spans="33:73">
      <c r="AG1048208" s="141"/>
      <c r="AH1048208" s="141"/>
      <c r="AI1048208" s="141"/>
      <c r="AP1048208" s="141"/>
      <c r="AQ1048208" s="141"/>
      <c r="AR1048208" s="141"/>
      <c r="AV1048208" s="141"/>
      <c r="AW1048208" s="141"/>
      <c r="AX1048208" s="141"/>
      <c r="BP1048208" s="142"/>
      <c r="BU1048208" s="143"/>
    </row>
    <row r="1048209" customFormat="1" ht="14.25" spans="33:73">
      <c r="AG1048209" s="141"/>
      <c r="AH1048209" s="141"/>
      <c r="AI1048209" s="141"/>
      <c r="AP1048209" s="141"/>
      <c r="AQ1048209" s="141"/>
      <c r="AR1048209" s="141"/>
      <c r="AV1048209" s="141"/>
      <c r="AW1048209" s="141"/>
      <c r="AX1048209" s="141"/>
      <c r="BP1048209" s="142"/>
      <c r="BU1048209" s="143"/>
    </row>
    <row r="1048210" customFormat="1" ht="14.25" spans="33:73">
      <c r="AG1048210" s="141"/>
      <c r="AH1048210" s="141"/>
      <c r="AI1048210" s="141"/>
      <c r="AP1048210" s="141"/>
      <c r="AQ1048210" s="141"/>
      <c r="AR1048210" s="141"/>
      <c r="AV1048210" s="141"/>
      <c r="AW1048210" s="141"/>
      <c r="AX1048210" s="141"/>
      <c r="BP1048210" s="142"/>
      <c r="BU1048210" s="143"/>
    </row>
    <row r="1048211" customFormat="1" ht="14.25" spans="33:73">
      <c r="AG1048211" s="141"/>
      <c r="AH1048211" s="141"/>
      <c r="AI1048211" s="141"/>
      <c r="AP1048211" s="141"/>
      <c r="AQ1048211" s="141"/>
      <c r="AR1048211" s="141"/>
      <c r="AV1048211" s="141"/>
      <c r="AW1048211" s="141"/>
      <c r="AX1048211" s="141"/>
      <c r="BP1048211" s="142"/>
      <c r="BU1048211" s="143"/>
    </row>
    <row r="1048212" customFormat="1" ht="14.25" spans="33:73">
      <c r="AG1048212" s="141"/>
      <c r="AH1048212" s="141"/>
      <c r="AI1048212" s="141"/>
      <c r="AP1048212" s="141"/>
      <c r="AQ1048212" s="141"/>
      <c r="AR1048212" s="141"/>
      <c r="AV1048212" s="141"/>
      <c r="AW1048212" s="141"/>
      <c r="AX1048212" s="141"/>
      <c r="BP1048212" s="142"/>
      <c r="BU1048212" s="143"/>
    </row>
    <row r="1048213" customFormat="1" ht="14.25" spans="33:73">
      <c r="AG1048213" s="141"/>
      <c r="AH1048213" s="141"/>
      <c r="AI1048213" s="141"/>
      <c r="AP1048213" s="141"/>
      <c r="AQ1048213" s="141"/>
      <c r="AR1048213" s="141"/>
      <c r="AV1048213" s="141"/>
      <c r="AW1048213" s="141"/>
      <c r="AX1048213" s="141"/>
      <c r="BP1048213" s="142"/>
      <c r="BU1048213" s="143"/>
    </row>
    <row r="1048214" customFormat="1" ht="14.25" spans="33:73">
      <c r="AG1048214" s="141"/>
      <c r="AH1048214" s="141"/>
      <c r="AI1048214" s="141"/>
      <c r="AP1048214" s="141"/>
      <c r="AQ1048214" s="141"/>
      <c r="AR1048214" s="141"/>
      <c r="AV1048214" s="141"/>
      <c r="AW1048214" s="141"/>
      <c r="AX1048214" s="141"/>
      <c r="BP1048214" s="142"/>
      <c r="BU1048214" s="143"/>
    </row>
    <row r="1048215" customFormat="1" ht="14.25" spans="33:73">
      <c r="AG1048215" s="141"/>
      <c r="AH1048215" s="141"/>
      <c r="AI1048215" s="141"/>
      <c r="AP1048215" s="141"/>
      <c r="AQ1048215" s="141"/>
      <c r="AR1048215" s="141"/>
      <c r="AV1048215" s="141"/>
      <c r="AW1048215" s="141"/>
      <c r="AX1048215" s="141"/>
      <c r="BP1048215" s="142"/>
      <c r="BU1048215" s="143"/>
    </row>
    <row r="1048216" customFormat="1" ht="14.25" spans="33:73">
      <c r="AG1048216" s="141"/>
      <c r="AH1048216" s="141"/>
      <c r="AI1048216" s="141"/>
      <c r="AP1048216" s="141"/>
      <c r="AQ1048216" s="141"/>
      <c r="AR1048216" s="141"/>
      <c r="AV1048216" s="141"/>
      <c r="AW1048216" s="141"/>
      <c r="AX1048216" s="141"/>
      <c r="BP1048216" s="142"/>
      <c r="BU1048216" s="143"/>
    </row>
    <row r="1048217" customFormat="1" ht="14.25" spans="33:73">
      <c r="AG1048217" s="141"/>
      <c r="AH1048217" s="141"/>
      <c r="AI1048217" s="141"/>
      <c r="AP1048217" s="141"/>
      <c r="AQ1048217" s="141"/>
      <c r="AR1048217" s="141"/>
      <c r="AV1048217" s="141"/>
      <c r="AW1048217" s="141"/>
      <c r="AX1048217" s="141"/>
      <c r="BP1048217" s="142"/>
      <c r="BU1048217" s="143"/>
    </row>
    <row r="1048218" customFormat="1" ht="14.25" spans="33:73">
      <c r="AG1048218" s="141"/>
      <c r="AH1048218" s="141"/>
      <c r="AI1048218" s="141"/>
      <c r="AP1048218" s="141"/>
      <c r="AQ1048218" s="141"/>
      <c r="AR1048218" s="141"/>
      <c r="AV1048218" s="141"/>
      <c r="AW1048218" s="141"/>
      <c r="AX1048218" s="141"/>
      <c r="BP1048218" s="142"/>
      <c r="BU1048218" s="143"/>
    </row>
    <row r="1048219" customFormat="1" ht="14.25" spans="33:73">
      <c r="AG1048219" s="141"/>
      <c r="AH1048219" s="141"/>
      <c r="AI1048219" s="141"/>
      <c r="AP1048219" s="141"/>
      <c r="AQ1048219" s="141"/>
      <c r="AR1048219" s="141"/>
      <c r="AV1048219" s="141"/>
      <c r="AW1048219" s="141"/>
      <c r="AX1048219" s="141"/>
      <c r="BP1048219" s="142"/>
      <c r="BU1048219" s="143"/>
    </row>
    <row r="1048220" customFormat="1" ht="14.25" spans="33:73">
      <c r="AG1048220" s="141"/>
      <c r="AH1048220" s="141"/>
      <c r="AI1048220" s="141"/>
      <c r="AP1048220" s="141"/>
      <c r="AQ1048220" s="141"/>
      <c r="AR1048220" s="141"/>
      <c r="AV1048220" s="141"/>
      <c r="AW1048220" s="141"/>
      <c r="AX1048220" s="141"/>
      <c r="BP1048220" s="142"/>
      <c r="BU1048220" s="143"/>
    </row>
    <row r="1048221" customFormat="1" ht="14.25" spans="33:73">
      <c r="AG1048221" s="141"/>
      <c r="AH1048221" s="141"/>
      <c r="AI1048221" s="141"/>
      <c r="AP1048221" s="141"/>
      <c r="AQ1048221" s="141"/>
      <c r="AR1048221" s="141"/>
      <c r="AV1048221" s="141"/>
      <c r="AW1048221" s="141"/>
      <c r="AX1048221" s="141"/>
      <c r="BP1048221" s="142"/>
      <c r="BU1048221" s="143"/>
    </row>
    <row r="1048222" customFormat="1" ht="14.25" spans="33:73">
      <c r="AG1048222" s="141"/>
      <c r="AH1048222" s="141"/>
      <c r="AI1048222" s="141"/>
      <c r="AP1048222" s="141"/>
      <c r="AQ1048222" s="141"/>
      <c r="AR1048222" s="141"/>
      <c r="AV1048222" s="141"/>
      <c r="AW1048222" s="141"/>
      <c r="AX1048222" s="141"/>
      <c r="BP1048222" s="142"/>
      <c r="BU1048222" s="143"/>
    </row>
    <row r="1048223" customFormat="1" ht="14.25" spans="33:73">
      <c r="AG1048223" s="141"/>
      <c r="AH1048223" s="141"/>
      <c r="AI1048223" s="141"/>
      <c r="AP1048223" s="141"/>
      <c r="AQ1048223" s="141"/>
      <c r="AR1048223" s="141"/>
      <c r="AV1048223" s="141"/>
      <c r="AW1048223" s="141"/>
      <c r="AX1048223" s="141"/>
      <c r="BP1048223" s="142"/>
      <c r="BU1048223" s="143"/>
    </row>
    <row r="1048224" customFormat="1" ht="14.25" spans="33:73">
      <c r="AG1048224" s="141"/>
      <c r="AH1048224" s="141"/>
      <c r="AI1048224" s="141"/>
      <c r="AP1048224" s="141"/>
      <c r="AQ1048224" s="141"/>
      <c r="AR1048224" s="141"/>
      <c r="AV1048224" s="141"/>
      <c r="AW1048224" s="141"/>
      <c r="AX1048224" s="141"/>
      <c r="BP1048224" s="142"/>
      <c r="BU1048224" s="143"/>
    </row>
    <row r="1048225" customFormat="1" ht="14.25" spans="33:73">
      <c r="AG1048225" s="141"/>
      <c r="AH1048225" s="141"/>
      <c r="AI1048225" s="141"/>
      <c r="AP1048225" s="141"/>
      <c r="AQ1048225" s="141"/>
      <c r="AR1048225" s="141"/>
      <c r="AV1048225" s="141"/>
      <c r="AW1048225" s="141"/>
      <c r="AX1048225" s="141"/>
      <c r="BP1048225" s="142"/>
      <c r="BU1048225" s="143"/>
    </row>
    <row r="1048226" customFormat="1" ht="14.25" spans="33:73">
      <c r="AG1048226" s="141"/>
      <c r="AH1048226" s="141"/>
      <c r="AI1048226" s="141"/>
      <c r="AP1048226" s="141"/>
      <c r="AQ1048226" s="141"/>
      <c r="AR1048226" s="141"/>
      <c r="AV1048226" s="141"/>
      <c r="AW1048226" s="141"/>
      <c r="AX1048226" s="141"/>
      <c r="BP1048226" s="142"/>
      <c r="BU1048226" s="143"/>
    </row>
    <row r="1048227" customFormat="1" ht="14.25" spans="33:73">
      <c r="AG1048227" s="141"/>
      <c r="AH1048227" s="141"/>
      <c r="AI1048227" s="141"/>
      <c r="AP1048227" s="141"/>
      <c r="AQ1048227" s="141"/>
      <c r="AR1048227" s="141"/>
      <c r="AV1048227" s="141"/>
      <c r="AW1048227" s="141"/>
      <c r="AX1048227" s="141"/>
      <c r="BP1048227" s="142"/>
      <c r="BU1048227" s="143"/>
    </row>
    <row r="1048228" customFormat="1" ht="14.25" spans="33:73">
      <c r="AG1048228" s="141"/>
      <c r="AH1048228" s="141"/>
      <c r="AI1048228" s="141"/>
      <c r="AP1048228" s="141"/>
      <c r="AQ1048228" s="141"/>
      <c r="AR1048228" s="141"/>
      <c r="AV1048228" s="141"/>
      <c r="AW1048228" s="141"/>
      <c r="AX1048228" s="141"/>
      <c r="BP1048228" s="142"/>
      <c r="BU1048228" s="143"/>
    </row>
    <row r="1048229" customFormat="1" ht="14.25" spans="33:73">
      <c r="AG1048229" s="141"/>
      <c r="AH1048229" s="141"/>
      <c r="AI1048229" s="141"/>
      <c r="AP1048229" s="141"/>
      <c r="AQ1048229" s="141"/>
      <c r="AR1048229" s="141"/>
      <c r="AV1048229" s="141"/>
      <c r="AW1048229" s="141"/>
      <c r="AX1048229" s="141"/>
      <c r="BP1048229" s="142"/>
      <c r="BU1048229" s="143"/>
    </row>
    <row r="1048230" customFormat="1" ht="14.25" spans="33:73">
      <c r="AG1048230" s="141"/>
      <c r="AH1048230" s="141"/>
      <c r="AI1048230" s="141"/>
      <c r="AP1048230" s="141"/>
      <c r="AQ1048230" s="141"/>
      <c r="AR1048230" s="141"/>
      <c r="AV1048230" s="141"/>
      <c r="AW1048230" s="141"/>
      <c r="AX1048230" s="141"/>
      <c r="BP1048230" s="142"/>
      <c r="BU1048230" s="143"/>
    </row>
    <row r="1048231" customFormat="1" ht="14.25" spans="33:73">
      <c r="AG1048231" s="141"/>
      <c r="AH1048231" s="141"/>
      <c r="AI1048231" s="141"/>
      <c r="AP1048231" s="141"/>
      <c r="AQ1048231" s="141"/>
      <c r="AR1048231" s="141"/>
      <c r="AV1048231" s="141"/>
      <c r="AW1048231" s="141"/>
      <c r="AX1048231" s="141"/>
      <c r="BP1048231" s="142"/>
      <c r="BU1048231" s="143"/>
    </row>
    <row r="1048232" customFormat="1" ht="14.25" spans="33:73">
      <c r="AG1048232" s="141"/>
      <c r="AH1048232" s="141"/>
      <c r="AI1048232" s="141"/>
      <c r="AP1048232" s="141"/>
      <c r="AQ1048232" s="141"/>
      <c r="AR1048232" s="141"/>
      <c r="AV1048232" s="141"/>
      <c r="AW1048232" s="141"/>
      <c r="AX1048232" s="141"/>
      <c r="BP1048232" s="142"/>
      <c r="BU1048232" s="143"/>
    </row>
    <row r="1048233" customFormat="1" ht="14.25" spans="33:73">
      <c r="AG1048233" s="141"/>
      <c r="AH1048233" s="141"/>
      <c r="AI1048233" s="141"/>
      <c r="AP1048233" s="141"/>
      <c r="AQ1048233" s="141"/>
      <c r="AR1048233" s="141"/>
      <c r="AV1048233" s="141"/>
      <c r="AW1048233" s="141"/>
      <c r="AX1048233" s="141"/>
      <c r="BP1048233" s="142"/>
      <c r="BU1048233" s="143"/>
    </row>
    <row r="1048234" customFormat="1" ht="14.25" spans="33:73">
      <c r="AG1048234" s="141"/>
      <c r="AH1048234" s="141"/>
      <c r="AI1048234" s="141"/>
      <c r="AP1048234" s="141"/>
      <c r="AQ1048234" s="141"/>
      <c r="AR1048234" s="141"/>
      <c r="AV1048234" s="141"/>
      <c r="AW1048234" s="141"/>
      <c r="AX1048234" s="141"/>
      <c r="BP1048234" s="142"/>
      <c r="BU1048234" s="143"/>
    </row>
    <row r="1048235" customFormat="1" ht="14.25" spans="33:73">
      <c r="AG1048235" s="141"/>
      <c r="AH1048235" s="141"/>
      <c r="AI1048235" s="141"/>
      <c r="AP1048235" s="141"/>
      <c r="AQ1048235" s="141"/>
      <c r="AR1048235" s="141"/>
      <c r="AV1048235" s="141"/>
      <c r="AW1048235" s="141"/>
      <c r="AX1048235" s="141"/>
      <c r="BP1048235" s="142"/>
      <c r="BU1048235" s="143"/>
    </row>
    <row r="1048236" customFormat="1" ht="14.25" spans="33:73">
      <c r="AG1048236" s="141"/>
      <c r="AH1048236" s="141"/>
      <c r="AI1048236" s="141"/>
      <c r="AP1048236" s="141"/>
      <c r="AQ1048236" s="141"/>
      <c r="AR1048236" s="141"/>
      <c r="AV1048236" s="141"/>
      <c r="AW1048236" s="141"/>
      <c r="AX1048236" s="141"/>
      <c r="BP1048236" s="142"/>
      <c r="BU1048236" s="143"/>
    </row>
    <row r="1048237" customFormat="1" ht="14.25" spans="33:73">
      <c r="AG1048237" s="141"/>
      <c r="AH1048237" s="141"/>
      <c r="AI1048237" s="141"/>
      <c r="AP1048237" s="141"/>
      <c r="AQ1048237" s="141"/>
      <c r="AR1048237" s="141"/>
      <c r="AV1048237" s="141"/>
      <c r="AW1048237" s="141"/>
      <c r="AX1048237" s="141"/>
      <c r="BP1048237" s="142"/>
      <c r="BU1048237" s="143"/>
    </row>
    <row r="1048238" customFormat="1" ht="14.25" spans="33:73">
      <c r="AG1048238" s="141"/>
      <c r="AH1048238" s="141"/>
      <c r="AI1048238" s="141"/>
      <c r="AP1048238" s="141"/>
      <c r="AQ1048238" s="141"/>
      <c r="AR1048238" s="141"/>
      <c r="AV1048238" s="141"/>
      <c r="AW1048238" s="141"/>
      <c r="AX1048238" s="141"/>
      <c r="BP1048238" s="142"/>
      <c r="BU1048238" s="143"/>
    </row>
    <row r="1048239" customFormat="1" ht="14.25" spans="33:73">
      <c r="AG1048239" s="141"/>
      <c r="AH1048239" s="141"/>
      <c r="AI1048239" s="141"/>
      <c r="AP1048239" s="141"/>
      <c r="AQ1048239" s="141"/>
      <c r="AR1048239" s="141"/>
      <c r="AV1048239" s="141"/>
      <c r="AW1048239" s="141"/>
      <c r="AX1048239" s="141"/>
      <c r="BP1048239" s="142"/>
      <c r="BU1048239" s="143"/>
    </row>
    <row r="1048240" customFormat="1" ht="14.25" spans="33:73">
      <c r="AG1048240" s="141"/>
      <c r="AH1048240" s="141"/>
      <c r="AI1048240" s="141"/>
      <c r="AP1048240" s="141"/>
      <c r="AQ1048240" s="141"/>
      <c r="AR1048240" s="141"/>
      <c r="AV1048240" s="141"/>
      <c r="AW1048240" s="141"/>
      <c r="AX1048240" s="141"/>
      <c r="BP1048240" s="142"/>
      <c r="BU1048240" s="143"/>
    </row>
    <row r="1048241" customFormat="1" ht="14.25" spans="33:73">
      <c r="AG1048241" s="141"/>
      <c r="AH1048241" s="141"/>
      <c r="AI1048241" s="141"/>
      <c r="AP1048241" s="141"/>
      <c r="AQ1048241" s="141"/>
      <c r="AR1048241" s="141"/>
      <c r="AV1048241" s="141"/>
      <c r="AW1048241" s="141"/>
      <c r="AX1048241" s="141"/>
      <c r="BP1048241" s="142"/>
      <c r="BU1048241" s="143"/>
    </row>
    <row r="1048242" customFormat="1" ht="14.25" spans="33:73">
      <c r="AG1048242" s="141"/>
      <c r="AH1048242" s="141"/>
      <c r="AI1048242" s="141"/>
      <c r="AP1048242" s="141"/>
      <c r="AQ1048242" s="141"/>
      <c r="AR1048242" s="141"/>
      <c r="AV1048242" s="141"/>
      <c r="AW1048242" s="141"/>
      <c r="AX1048242" s="141"/>
      <c r="BP1048242" s="142"/>
      <c r="BU1048242" s="143"/>
    </row>
    <row r="1048243" customFormat="1" ht="14.25" spans="33:73">
      <c r="AG1048243" s="141"/>
      <c r="AH1048243" s="141"/>
      <c r="AI1048243" s="141"/>
      <c r="AP1048243" s="141"/>
      <c r="AQ1048243" s="141"/>
      <c r="AR1048243" s="141"/>
      <c r="AV1048243" s="141"/>
      <c r="AW1048243" s="141"/>
      <c r="AX1048243" s="141"/>
      <c r="BP1048243" s="142"/>
      <c r="BU1048243" s="143"/>
    </row>
    <row r="1048244" customFormat="1" ht="14.25" spans="33:73">
      <c r="AG1048244" s="141"/>
      <c r="AH1048244" s="141"/>
      <c r="AI1048244" s="141"/>
      <c r="AP1048244" s="141"/>
      <c r="AQ1048244" s="141"/>
      <c r="AR1048244" s="141"/>
      <c r="AV1048244" s="141"/>
      <c r="AW1048244" s="141"/>
      <c r="AX1048244" s="141"/>
      <c r="BP1048244" s="142"/>
      <c r="BU1048244" s="143"/>
    </row>
    <row r="1048245" customFormat="1" ht="14.25" spans="33:73">
      <c r="AG1048245" s="141"/>
      <c r="AH1048245" s="141"/>
      <c r="AI1048245" s="141"/>
      <c r="AP1048245" s="141"/>
      <c r="AQ1048245" s="141"/>
      <c r="AR1048245" s="141"/>
      <c r="AV1048245" s="141"/>
      <c r="AW1048245" s="141"/>
      <c r="AX1048245" s="141"/>
      <c r="BP1048245" s="142"/>
      <c r="BU1048245" s="143"/>
    </row>
    <row r="1048246" customFormat="1" ht="14.25" spans="33:73">
      <c r="AG1048246" s="141"/>
      <c r="AH1048246" s="141"/>
      <c r="AI1048246" s="141"/>
      <c r="AP1048246" s="141"/>
      <c r="AQ1048246" s="141"/>
      <c r="AR1048246" s="141"/>
      <c r="AV1048246" s="141"/>
      <c r="AW1048246" s="141"/>
      <c r="AX1048246" s="141"/>
      <c r="BP1048246" s="142"/>
      <c r="BU1048246" s="143"/>
    </row>
    <row r="1048247" customFormat="1" ht="14.25" spans="33:73">
      <c r="AG1048247" s="141"/>
      <c r="AH1048247" s="141"/>
      <c r="AI1048247" s="141"/>
      <c r="AP1048247" s="141"/>
      <c r="AQ1048247" s="141"/>
      <c r="AR1048247" s="141"/>
      <c r="AV1048247" s="141"/>
      <c r="AW1048247" s="141"/>
      <c r="AX1048247" s="141"/>
      <c r="BP1048247" s="142"/>
      <c r="BU1048247" s="143"/>
    </row>
    <row r="1048248" customFormat="1" ht="14.25" spans="33:73">
      <c r="AG1048248" s="141"/>
      <c r="AH1048248" s="141"/>
      <c r="AI1048248" s="141"/>
      <c r="AP1048248" s="141"/>
      <c r="AQ1048248" s="141"/>
      <c r="AR1048248" s="141"/>
      <c r="AV1048248" s="141"/>
      <c r="AW1048248" s="141"/>
      <c r="AX1048248" s="141"/>
      <c r="BP1048248" s="142"/>
      <c r="BU1048248" s="143"/>
    </row>
    <row r="1048249" customFormat="1" ht="14.25" spans="33:73">
      <c r="AG1048249" s="141"/>
      <c r="AH1048249" s="141"/>
      <c r="AI1048249" s="141"/>
      <c r="AP1048249" s="141"/>
      <c r="AQ1048249" s="141"/>
      <c r="AR1048249" s="141"/>
      <c r="AV1048249" s="141"/>
      <c r="AW1048249" s="141"/>
      <c r="AX1048249" s="141"/>
      <c r="BP1048249" s="142"/>
      <c r="BU1048249" s="143"/>
    </row>
    <row r="1048250" customFormat="1" ht="14.25" spans="33:73">
      <c r="AG1048250" s="141"/>
      <c r="AH1048250" s="141"/>
      <c r="AI1048250" s="141"/>
      <c r="AP1048250" s="141"/>
      <c r="AQ1048250" s="141"/>
      <c r="AR1048250" s="141"/>
      <c r="AV1048250" s="141"/>
      <c r="AW1048250" s="141"/>
      <c r="AX1048250" s="141"/>
      <c r="BP1048250" s="142"/>
      <c r="BU1048250" s="143"/>
    </row>
    <row r="1048251" customFormat="1" ht="14.25" spans="33:73">
      <c r="AG1048251" s="141"/>
      <c r="AH1048251" s="141"/>
      <c r="AI1048251" s="141"/>
      <c r="AP1048251" s="141"/>
      <c r="AQ1048251" s="141"/>
      <c r="AR1048251" s="141"/>
      <c r="AV1048251" s="141"/>
      <c r="AW1048251" s="141"/>
      <c r="AX1048251" s="141"/>
      <c r="BP1048251" s="142"/>
      <c r="BU1048251" s="143"/>
    </row>
    <row r="1048252" customFormat="1" ht="14.25" spans="33:73">
      <c r="AG1048252" s="141"/>
      <c r="AH1048252" s="141"/>
      <c r="AI1048252" s="141"/>
      <c r="AP1048252" s="141"/>
      <c r="AQ1048252" s="141"/>
      <c r="AR1048252" s="141"/>
      <c r="AV1048252" s="141"/>
      <c r="AW1048252" s="141"/>
      <c r="AX1048252" s="141"/>
      <c r="BP1048252" s="142"/>
      <c r="BU1048252" s="143"/>
    </row>
    <row r="1048253" customFormat="1" ht="14.25" spans="33:73">
      <c r="AG1048253" s="141"/>
      <c r="AH1048253" s="141"/>
      <c r="AI1048253" s="141"/>
      <c r="AP1048253" s="141"/>
      <c r="AQ1048253" s="141"/>
      <c r="AR1048253" s="141"/>
      <c r="AV1048253" s="141"/>
      <c r="AW1048253" s="141"/>
      <c r="AX1048253" s="141"/>
      <c r="BP1048253" s="142"/>
      <c r="BU1048253" s="143"/>
    </row>
    <row r="1048254" customFormat="1" ht="14.25" spans="33:73">
      <c r="AG1048254" s="141"/>
      <c r="AH1048254" s="141"/>
      <c r="AI1048254" s="141"/>
      <c r="AP1048254" s="141"/>
      <c r="AQ1048254" s="141"/>
      <c r="AR1048254" s="141"/>
      <c r="AV1048254" s="141"/>
      <c r="AW1048254" s="141"/>
      <c r="AX1048254" s="141"/>
      <c r="BP1048254" s="142"/>
      <c r="BU1048254" s="143"/>
    </row>
    <row r="1048255" customFormat="1" ht="14.25" spans="33:73">
      <c r="AG1048255" s="141"/>
      <c r="AH1048255" s="141"/>
      <c r="AI1048255" s="141"/>
      <c r="AP1048255" s="141"/>
      <c r="AQ1048255" s="141"/>
      <c r="AR1048255" s="141"/>
      <c r="AV1048255" s="141"/>
      <c r="AW1048255" s="141"/>
      <c r="AX1048255" s="141"/>
      <c r="BP1048255" s="142"/>
      <c r="BU1048255" s="143"/>
    </row>
    <row r="1048256" customFormat="1" ht="14.25" spans="33:73">
      <c r="AG1048256" s="141"/>
      <c r="AH1048256" s="141"/>
      <c r="AI1048256" s="141"/>
      <c r="AP1048256" s="141"/>
      <c r="AQ1048256" s="141"/>
      <c r="AR1048256" s="141"/>
      <c r="AV1048256" s="141"/>
      <c r="AW1048256" s="141"/>
      <c r="AX1048256" s="141"/>
      <c r="BP1048256" s="142"/>
      <c r="BU1048256" s="143"/>
    </row>
    <row r="1048257" customFormat="1" ht="14.25" spans="33:73">
      <c r="AG1048257" s="141"/>
      <c r="AH1048257" s="141"/>
      <c r="AI1048257" s="141"/>
      <c r="AP1048257" s="141"/>
      <c r="AQ1048257" s="141"/>
      <c r="AR1048257" s="141"/>
      <c r="AV1048257" s="141"/>
      <c r="AW1048257" s="141"/>
      <c r="AX1048257" s="141"/>
      <c r="BP1048257" s="142"/>
      <c r="BU1048257" s="143"/>
    </row>
    <row r="1048258" customFormat="1" ht="14.25" spans="33:73">
      <c r="AG1048258" s="141"/>
      <c r="AH1048258" s="141"/>
      <c r="AI1048258" s="141"/>
      <c r="AP1048258" s="141"/>
      <c r="AQ1048258" s="141"/>
      <c r="AR1048258" s="141"/>
      <c r="AV1048258" s="141"/>
      <c r="AW1048258" s="141"/>
      <c r="AX1048258" s="141"/>
      <c r="BP1048258" s="142"/>
      <c r="BU1048258" s="143"/>
    </row>
    <row r="1048259" customFormat="1" ht="14.25" spans="33:73">
      <c r="AG1048259" s="141"/>
      <c r="AH1048259" s="141"/>
      <c r="AI1048259" s="141"/>
      <c r="AP1048259" s="141"/>
      <c r="AQ1048259" s="141"/>
      <c r="AR1048259" s="141"/>
      <c r="AV1048259" s="141"/>
      <c r="AW1048259" s="141"/>
      <c r="AX1048259" s="141"/>
      <c r="BP1048259" s="142"/>
      <c r="BU1048259" s="143"/>
    </row>
    <row r="1048260" customFormat="1" ht="14.25" spans="33:73">
      <c r="AG1048260" s="141"/>
      <c r="AH1048260" s="141"/>
      <c r="AI1048260" s="141"/>
      <c r="AP1048260" s="141"/>
      <c r="AQ1048260" s="141"/>
      <c r="AR1048260" s="141"/>
      <c r="AV1048260" s="141"/>
      <c r="AW1048260" s="141"/>
      <c r="AX1048260" s="141"/>
      <c r="BP1048260" s="142"/>
      <c r="BU1048260" s="143"/>
    </row>
    <row r="1048261" customFormat="1" ht="14.25" spans="33:73">
      <c r="AG1048261" s="141"/>
      <c r="AH1048261" s="141"/>
      <c r="AI1048261" s="141"/>
      <c r="AP1048261" s="141"/>
      <c r="AQ1048261" s="141"/>
      <c r="AR1048261" s="141"/>
      <c r="AV1048261" s="141"/>
      <c r="AW1048261" s="141"/>
      <c r="AX1048261" s="141"/>
      <c r="BP1048261" s="142"/>
      <c r="BU1048261" s="143"/>
    </row>
    <row r="1048262" customFormat="1" ht="14.25" spans="33:73">
      <c r="AG1048262" s="141"/>
      <c r="AH1048262" s="141"/>
      <c r="AI1048262" s="141"/>
      <c r="AP1048262" s="141"/>
      <c r="AQ1048262" s="141"/>
      <c r="AR1048262" s="141"/>
      <c r="AV1048262" s="141"/>
      <c r="AW1048262" s="141"/>
      <c r="AX1048262" s="141"/>
      <c r="BP1048262" s="142"/>
      <c r="BU1048262" s="143"/>
    </row>
    <row r="1048263" customFormat="1" ht="14.25" spans="33:73">
      <c r="AG1048263" s="141"/>
      <c r="AH1048263" s="141"/>
      <c r="AI1048263" s="141"/>
      <c r="AP1048263" s="141"/>
      <c r="AQ1048263" s="141"/>
      <c r="AR1048263" s="141"/>
      <c r="AV1048263" s="141"/>
      <c r="AW1048263" s="141"/>
      <c r="AX1048263" s="141"/>
      <c r="BP1048263" s="142"/>
      <c r="BU1048263" s="143"/>
    </row>
    <row r="1048264" customFormat="1" ht="14.25" spans="33:73">
      <c r="AG1048264" s="141"/>
      <c r="AH1048264" s="141"/>
      <c r="AI1048264" s="141"/>
      <c r="AP1048264" s="141"/>
      <c r="AQ1048264" s="141"/>
      <c r="AR1048264" s="141"/>
      <c r="AV1048264" s="141"/>
      <c r="AW1048264" s="141"/>
      <c r="AX1048264" s="141"/>
      <c r="BP1048264" s="142"/>
      <c r="BU1048264" s="143"/>
    </row>
    <row r="1048265" customFormat="1" ht="14.25" spans="33:73">
      <c r="AG1048265" s="141"/>
      <c r="AH1048265" s="141"/>
      <c r="AI1048265" s="141"/>
      <c r="AP1048265" s="141"/>
      <c r="AQ1048265" s="141"/>
      <c r="AR1048265" s="141"/>
      <c r="AV1048265" s="141"/>
      <c r="AW1048265" s="141"/>
      <c r="AX1048265" s="141"/>
      <c r="BP1048265" s="142"/>
      <c r="BU1048265" s="143"/>
    </row>
    <row r="1048266" customFormat="1" ht="14.25" spans="33:73">
      <c r="AG1048266" s="141"/>
      <c r="AH1048266" s="141"/>
      <c r="AI1048266" s="141"/>
      <c r="AP1048266" s="141"/>
      <c r="AQ1048266" s="141"/>
      <c r="AR1048266" s="141"/>
      <c r="AV1048266" s="141"/>
      <c r="AW1048266" s="141"/>
      <c r="AX1048266" s="141"/>
      <c r="BP1048266" s="142"/>
      <c r="BU1048266" s="143"/>
    </row>
    <row r="1048267" customFormat="1" ht="14.25" spans="33:73">
      <c r="AG1048267" s="141"/>
      <c r="AH1048267" s="141"/>
      <c r="AI1048267" s="141"/>
      <c r="AP1048267" s="141"/>
      <c r="AQ1048267" s="141"/>
      <c r="AR1048267" s="141"/>
      <c r="AV1048267" s="141"/>
      <c r="AW1048267" s="141"/>
      <c r="AX1048267" s="141"/>
      <c r="BP1048267" s="142"/>
      <c r="BU1048267" s="143"/>
    </row>
    <row r="1048268" customFormat="1" ht="14.25" spans="33:73">
      <c r="AG1048268" s="141"/>
      <c r="AH1048268" s="141"/>
      <c r="AI1048268" s="141"/>
      <c r="AP1048268" s="141"/>
      <c r="AQ1048268" s="141"/>
      <c r="AR1048268" s="141"/>
      <c r="AV1048268" s="141"/>
      <c r="AW1048268" s="141"/>
      <c r="AX1048268" s="141"/>
      <c r="BP1048268" s="142"/>
      <c r="BU1048268" s="143"/>
    </row>
    <row r="1048269" customFormat="1" ht="14.25" spans="33:73">
      <c r="AG1048269" s="141"/>
      <c r="AH1048269" s="141"/>
      <c r="AI1048269" s="141"/>
      <c r="AP1048269" s="141"/>
      <c r="AQ1048269" s="141"/>
      <c r="AR1048269" s="141"/>
      <c r="AV1048269" s="141"/>
      <c r="AW1048269" s="141"/>
      <c r="AX1048269" s="141"/>
      <c r="BP1048269" s="142"/>
      <c r="BU1048269" s="143"/>
    </row>
    <row r="1048270" customFormat="1" ht="14.25" spans="33:73">
      <c r="AG1048270" s="141"/>
      <c r="AH1048270" s="141"/>
      <c r="AI1048270" s="141"/>
      <c r="AP1048270" s="141"/>
      <c r="AQ1048270" s="141"/>
      <c r="AR1048270" s="141"/>
      <c r="AV1048270" s="141"/>
      <c r="AW1048270" s="141"/>
      <c r="AX1048270" s="141"/>
      <c r="BP1048270" s="142"/>
      <c r="BU1048270" s="143"/>
    </row>
    <row r="1048271" customFormat="1" ht="14.25" spans="33:73">
      <c r="AG1048271" s="141"/>
      <c r="AH1048271" s="141"/>
      <c r="AI1048271" s="141"/>
      <c r="AP1048271" s="141"/>
      <c r="AQ1048271" s="141"/>
      <c r="AR1048271" s="141"/>
      <c r="AV1048271" s="141"/>
      <c r="AW1048271" s="141"/>
      <c r="AX1048271" s="141"/>
      <c r="BP1048271" s="142"/>
      <c r="BU1048271" s="143"/>
    </row>
    <row r="1048272" customFormat="1" ht="14.25" spans="33:73">
      <c r="AG1048272" s="141"/>
      <c r="AH1048272" s="141"/>
      <c r="AI1048272" s="141"/>
      <c r="AP1048272" s="141"/>
      <c r="AQ1048272" s="141"/>
      <c r="AR1048272" s="141"/>
      <c r="AV1048272" s="141"/>
      <c r="AW1048272" s="141"/>
      <c r="AX1048272" s="141"/>
      <c r="BP1048272" s="142"/>
      <c r="BU1048272" s="143"/>
    </row>
    <row r="1048273" customFormat="1" ht="14.25" spans="33:73">
      <c r="AG1048273" s="141"/>
      <c r="AH1048273" s="141"/>
      <c r="AI1048273" s="141"/>
      <c r="AP1048273" s="141"/>
      <c r="AQ1048273" s="141"/>
      <c r="AR1048273" s="141"/>
      <c r="AV1048273" s="141"/>
      <c r="AW1048273" s="141"/>
      <c r="AX1048273" s="141"/>
      <c r="BP1048273" s="142"/>
      <c r="BU1048273" s="143"/>
    </row>
    <row r="1048274" customFormat="1" ht="14.25" spans="33:73">
      <c r="AG1048274" s="141"/>
      <c r="AH1048274" s="141"/>
      <c r="AI1048274" s="141"/>
      <c r="AP1048274" s="141"/>
      <c r="AQ1048274" s="141"/>
      <c r="AR1048274" s="141"/>
      <c r="AV1048274" s="141"/>
      <c r="AW1048274" s="141"/>
      <c r="AX1048274" s="141"/>
      <c r="BP1048274" s="142"/>
      <c r="BU1048274" s="143"/>
    </row>
    <row r="1048275" customFormat="1" ht="14.25" spans="33:73">
      <c r="AG1048275" s="141"/>
      <c r="AH1048275" s="141"/>
      <c r="AI1048275" s="141"/>
      <c r="AP1048275" s="141"/>
      <c r="AQ1048275" s="141"/>
      <c r="AR1048275" s="141"/>
      <c r="AV1048275" s="141"/>
      <c r="AW1048275" s="141"/>
      <c r="AX1048275" s="141"/>
      <c r="BP1048275" s="142"/>
      <c r="BU1048275" s="143"/>
    </row>
    <row r="1048276" customFormat="1" ht="14.25" spans="33:73">
      <c r="AG1048276" s="141"/>
      <c r="AH1048276" s="141"/>
      <c r="AI1048276" s="141"/>
      <c r="AP1048276" s="141"/>
      <c r="AQ1048276" s="141"/>
      <c r="AR1048276" s="141"/>
      <c r="AV1048276" s="141"/>
      <c r="AW1048276" s="141"/>
      <c r="AX1048276" s="141"/>
      <c r="BP1048276" s="142"/>
      <c r="BU1048276" s="143"/>
    </row>
    <row r="1048277" customFormat="1" ht="14.25" spans="33:73">
      <c r="AG1048277" s="141"/>
      <c r="AH1048277" s="141"/>
      <c r="AI1048277" s="141"/>
      <c r="AP1048277" s="141"/>
      <c r="AQ1048277" s="141"/>
      <c r="AR1048277" s="141"/>
      <c r="AV1048277" s="141"/>
      <c r="AW1048277" s="141"/>
      <c r="AX1048277" s="141"/>
      <c r="BP1048277" s="142"/>
      <c r="BU1048277" s="143"/>
    </row>
    <row r="1048278" customFormat="1" ht="14.25" spans="33:73">
      <c r="AG1048278" s="141"/>
      <c r="AH1048278" s="141"/>
      <c r="AI1048278" s="141"/>
      <c r="AP1048278" s="141"/>
      <c r="AQ1048278" s="141"/>
      <c r="AR1048278" s="141"/>
      <c r="AV1048278" s="141"/>
      <c r="AW1048278" s="141"/>
      <c r="AX1048278" s="141"/>
      <c r="BP1048278" s="142"/>
      <c r="BU1048278" s="143"/>
    </row>
    <row r="1048279" customFormat="1" ht="14.25" spans="33:73">
      <c r="AG1048279" s="141"/>
      <c r="AH1048279" s="141"/>
      <c r="AI1048279" s="141"/>
      <c r="AP1048279" s="141"/>
      <c r="AQ1048279" s="141"/>
      <c r="AR1048279" s="141"/>
      <c r="AV1048279" s="141"/>
      <c r="AW1048279" s="141"/>
      <c r="AX1048279" s="141"/>
      <c r="BP1048279" s="142"/>
      <c r="BU1048279" s="143"/>
    </row>
    <row r="1048280" customFormat="1" ht="14.25" spans="33:73">
      <c r="AG1048280" s="141"/>
      <c r="AH1048280" s="141"/>
      <c r="AI1048280" s="141"/>
      <c r="AP1048280" s="141"/>
      <c r="AQ1048280" s="141"/>
      <c r="AR1048280" s="141"/>
      <c r="AV1048280" s="141"/>
      <c r="AW1048280" s="141"/>
      <c r="AX1048280" s="141"/>
      <c r="BP1048280" s="142"/>
      <c r="BU1048280" s="143"/>
    </row>
    <row r="1048281" customFormat="1" ht="14.25" spans="33:73">
      <c r="AG1048281" s="141"/>
      <c r="AH1048281" s="141"/>
      <c r="AI1048281" s="141"/>
      <c r="AP1048281" s="141"/>
      <c r="AQ1048281" s="141"/>
      <c r="AR1048281" s="141"/>
      <c r="AV1048281" s="141"/>
      <c r="AW1048281" s="141"/>
      <c r="AX1048281" s="141"/>
      <c r="BP1048281" s="142"/>
      <c r="BU1048281" s="143"/>
    </row>
    <row r="1048282" customFormat="1" ht="14.25" spans="33:73">
      <c r="AG1048282" s="141"/>
      <c r="AH1048282" s="141"/>
      <c r="AI1048282" s="141"/>
      <c r="AP1048282" s="141"/>
      <c r="AQ1048282" s="141"/>
      <c r="AR1048282" s="141"/>
      <c r="AV1048282" s="141"/>
      <c r="AW1048282" s="141"/>
      <c r="AX1048282" s="141"/>
      <c r="BP1048282" s="142"/>
      <c r="BU1048282" s="143"/>
    </row>
    <row r="1048283" customFormat="1" ht="14.25" spans="33:73">
      <c r="AG1048283" s="141"/>
      <c r="AH1048283" s="141"/>
      <c r="AI1048283" s="141"/>
      <c r="AP1048283" s="141"/>
      <c r="AQ1048283" s="141"/>
      <c r="AR1048283" s="141"/>
      <c r="AV1048283" s="141"/>
      <c r="AW1048283" s="141"/>
      <c r="AX1048283" s="141"/>
      <c r="BP1048283" s="142"/>
      <c r="BU1048283" s="143"/>
    </row>
    <row r="1048284" customFormat="1" ht="14.25" spans="33:73">
      <c r="AG1048284" s="141"/>
      <c r="AH1048284" s="141"/>
      <c r="AI1048284" s="141"/>
      <c r="AP1048284" s="141"/>
      <c r="AQ1048284" s="141"/>
      <c r="AR1048284" s="141"/>
      <c r="AV1048284" s="141"/>
      <c r="AW1048284" s="141"/>
      <c r="AX1048284" s="141"/>
      <c r="BP1048284" s="142"/>
      <c r="BU1048284" s="143"/>
    </row>
    <row r="1048285" customFormat="1" ht="14.25" spans="33:73">
      <c r="AG1048285" s="141"/>
      <c r="AH1048285" s="141"/>
      <c r="AI1048285" s="141"/>
      <c r="AP1048285" s="141"/>
      <c r="AQ1048285" s="141"/>
      <c r="AR1048285" s="141"/>
      <c r="AV1048285" s="141"/>
      <c r="AW1048285" s="141"/>
      <c r="AX1048285" s="141"/>
      <c r="BP1048285" s="142"/>
      <c r="BU1048285" s="143"/>
    </row>
    <row r="1048286" customFormat="1" ht="14.25" spans="33:73">
      <c r="AG1048286" s="141"/>
      <c r="AH1048286" s="141"/>
      <c r="AI1048286" s="141"/>
      <c r="AP1048286" s="141"/>
      <c r="AQ1048286" s="141"/>
      <c r="AR1048286" s="141"/>
      <c r="AV1048286" s="141"/>
      <c r="AW1048286" s="141"/>
      <c r="AX1048286" s="141"/>
      <c r="BP1048286" s="142"/>
      <c r="BU1048286" s="143"/>
    </row>
    <row r="1048287" customFormat="1" ht="14.25" spans="33:73">
      <c r="AG1048287" s="141"/>
      <c r="AH1048287" s="141"/>
      <c r="AI1048287" s="141"/>
      <c r="AP1048287" s="141"/>
      <c r="AQ1048287" s="141"/>
      <c r="AR1048287" s="141"/>
      <c r="AV1048287" s="141"/>
      <c r="AW1048287" s="141"/>
      <c r="AX1048287" s="141"/>
      <c r="BP1048287" s="142"/>
      <c r="BU1048287" s="143"/>
    </row>
    <row r="1048288" customFormat="1" ht="14.25" spans="33:73">
      <c r="AG1048288" s="141"/>
      <c r="AH1048288" s="141"/>
      <c r="AI1048288" s="141"/>
      <c r="AP1048288" s="141"/>
      <c r="AQ1048288" s="141"/>
      <c r="AR1048288" s="141"/>
      <c r="AV1048288" s="141"/>
      <c r="AW1048288" s="141"/>
      <c r="AX1048288" s="141"/>
      <c r="BP1048288" s="142"/>
      <c r="BU1048288" s="143"/>
    </row>
    <row r="1048289" customFormat="1" ht="14.25" spans="33:73">
      <c r="AG1048289" s="141"/>
      <c r="AH1048289" s="141"/>
      <c r="AI1048289" s="141"/>
      <c r="AP1048289" s="141"/>
      <c r="AQ1048289" s="141"/>
      <c r="AR1048289" s="141"/>
      <c r="AV1048289" s="141"/>
      <c r="AW1048289" s="141"/>
      <c r="AX1048289" s="141"/>
      <c r="BP1048289" s="142"/>
      <c r="BU1048289" s="143"/>
    </row>
    <row r="1048290" customFormat="1" ht="14.25" spans="33:73">
      <c r="AG1048290" s="141"/>
      <c r="AH1048290" s="141"/>
      <c r="AI1048290" s="141"/>
      <c r="AP1048290" s="141"/>
      <c r="AQ1048290" s="141"/>
      <c r="AR1048290" s="141"/>
      <c r="AV1048290" s="141"/>
      <c r="AW1048290" s="141"/>
      <c r="AX1048290" s="141"/>
      <c r="BP1048290" s="142"/>
      <c r="BU1048290" s="143"/>
    </row>
    <row r="1048291" customFormat="1" ht="14.25" spans="33:73">
      <c r="AG1048291" s="141"/>
      <c r="AH1048291" s="141"/>
      <c r="AI1048291" s="141"/>
      <c r="AP1048291" s="141"/>
      <c r="AQ1048291" s="141"/>
      <c r="AR1048291" s="141"/>
      <c r="AV1048291" s="141"/>
      <c r="AW1048291" s="141"/>
      <c r="AX1048291" s="141"/>
      <c r="BP1048291" s="142"/>
      <c r="BU1048291" s="143"/>
    </row>
    <row r="1048292" customFormat="1" ht="14.25" spans="33:73">
      <c r="AG1048292" s="141"/>
      <c r="AH1048292" s="141"/>
      <c r="AI1048292" s="141"/>
      <c r="AP1048292" s="141"/>
      <c r="AQ1048292" s="141"/>
      <c r="AR1048292" s="141"/>
      <c r="AV1048292" s="141"/>
      <c r="AW1048292" s="141"/>
      <c r="AX1048292" s="141"/>
      <c r="BP1048292" s="142"/>
      <c r="BU1048292" s="143"/>
    </row>
    <row r="1048293" customFormat="1" ht="14.25" spans="33:73">
      <c r="AG1048293" s="141"/>
      <c r="AH1048293" s="141"/>
      <c r="AI1048293" s="141"/>
      <c r="AP1048293" s="141"/>
      <c r="AQ1048293" s="141"/>
      <c r="AR1048293" s="141"/>
      <c r="AV1048293" s="141"/>
      <c r="AW1048293" s="141"/>
      <c r="AX1048293" s="141"/>
      <c r="BP1048293" s="142"/>
      <c r="BU1048293" s="143"/>
    </row>
    <row r="1048294" customFormat="1" ht="14.25" spans="33:73">
      <c r="AG1048294" s="141"/>
      <c r="AH1048294" s="141"/>
      <c r="AI1048294" s="141"/>
      <c r="AP1048294" s="141"/>
      <c r="AQ1048294" s="141"/>
      <c r="AR1048294" s="141"/>
      <c r="AV1048294" s="141"/>
      <c r="AW1048294" s="141"/>
      <c r="AX1048294" s="141"/>
      <c r="BP1048294" s="142"/>
      <c r="BU1048294" s="143"/>
    </row>
    <row r="1048295" customFormat="1" ht="14.25" spans="33:73">
      <c r="AG1048295" s="141"/>
      <c r="AH1048295" s="141"/>
      <c r="AI1048295" s="141"/>
      <c r="AP1048295" s="141"/>
      <c r="AQ1048295" s="141"/>
      <c r="AR1048295" s="141"/>
      <c r="AV1048295" s="141"/>
      <c r="AW1048295" s="141"/>
      <c r="AX1048295" s="141"/>
      <c r="BP1048295" s="142"/>
      <c r="BU1048295" s="143"/>
    </row>
    <row r="1048296" customFormat="1" ht="14.25" spans="33:73">
      <c r="AG1048296" s="141"/>
      <c r="AH1048296" s="141"/>
      <c r="AI1048296" s="141"/>
      <c r="AP1048296" s="141"/>
      <c r="AQ1048296" s="141"/>
      <c r="AR1048296" s="141"/>
      <c r="AV1048296" s="141"/>
      <c r="AW1048296" s="141"/>
      <c r="AX1048296" s="141"/>
      <c r="BP1048296" s="142"/>
      <c r="BU1048296" s="143"/>
    </row>
    <row r="1048297" customFormat="1" ht="14.25" spans="33:73">
      <c r="AG1048297" s="141"/>
      <c r="AH1048297" s="141"/>
      <c r="AI1048297" s="141"/>
      <c r="AP1048297" s="141"/>
      <c r="AQ1048297" s="141"/>
      <c r="AR1048297" s="141"/>
      <c r="AV1048297" s="141"/>
      <c r="AW1048297" s="141"/>
      <c r="AX1048297" s="141"/>
      <c r="BP1048297" s="142"/>
      <c r="BU1048297" s="143"/>
    </row>
    <row r="1048298" customFormat="1" ht="14.25" spans="33:73">
      <c r="AG1048298" s="141"/>
      <c r="AH1048298" s="141"/>
      <c r="AI1048298" s="141"/>
      <c r="AP1048298" s="141"/>
      <c r="AQ1048298" s="141"/>
      <c r="AR1048298" s="141"/>
      <c r="AV1048298" s="141"/>
      <c r="AW1048298" s="141"/>
      <c r="AX1048298" s="141"/>
      <c r="BP1048298" s="142"/>
      <c r="BU1048298" s="143"/>
    </row>
    <row r="1048299" customFormat="1" ht="14.25" spans="33:73">
      <c r="AG1048299" s="141"/>
      <c r="AH1048299" s="141"/>
      <c r="AI1048299" s="141"/>
      <c r="AP1048299" s="141"/>
      <c r="AQ1048299" s="141"/>
      <c r="AR1048299" s="141"/>
      <c r="AV1048299" s="141"/>
      <c r="AW1048299" s="141"/>
      <c r="AX1048299" s="141"/>
      <c r="BP1048299" s="142"/>
      <c r="BU1048299" s="143"/>
    </row>
    <row r="1048300" customFormat="1" ht="14.25" spans="33:73">
      <c r="AG1048300" s="141"/>
      <c r="AH1048300" s="141"/>
      <c r="AI1048300" s="141"/>
      <c r="AP1048300" s="141"/>
      <c r="AQ1048300" s="141"/>
      <c r="AR1048300" s="141"/>
      <c r="AV1048300" s="141"/>
      <c r="AW1048300" s="141"/>
      <c r="AX1048300" s="141"/>
      <c r="BP1048300" s="142"/>
      <c r="BU1048300" s="143"/>
    </row>
    <row r="1048301" customFormat="1" ht="14.25" spans="33:73">
      <c r="AG1048301" s="141"/>
      <c r="AH1048301" s="141"/>
      <c r="AI1048301" s="141"/>
      <c r="AP1048301" s="141"/>
      <c r="AQ1048301" s="141"/>
      <c r="AR1048301" s="141"/>
      <c r="AV1048301" s="141"/>
      <c r="AW1048301" s="141"/>
      <c r="AX1048301" s="141"/>
      <c r="BP1048301" s="142"/>
      <c r="BU1048301" s="143"/>
    </row>
    <row r="1048302" customFormat="1" ht="14.25" spans="33:73">
      <c r="AG1048302" s="141"/>
      <c r="AH1048302" s="141"/>
      <c r="AI1048302" s="141"/>
      <c r="AP1048302" s="141"/>
      <c r="AQ1048302" s="141"/>
      <c r="AR1048302" s="141"/>
      <c r="AV1048302" s="141"/>
      <c r="AW1048302" s="141"/>
      <c r="AX1048302" s="141"/>
      <c r="BP1048302" s="142"/>
      <c r="BU1048302" s="143"/>
    </row>
    <row r="1048303" customFormat="1" ht="14.25" spans="33:73">
      <c r="AG1048303" s="141"/>
      <c r="AH1048303" s="141"/>
      <c r="AI1048303" s="141"/>
      <c r="AP1048303" s="141"/>
      <c r="AQ1048303" s="141"/>
      <c r="AR1048303" s="141"/>
      <c r="AV1048303" s="141"/>
      <c r="AW1048303" s="141"/>
      <c r="AX1048303" s="141"/>
      <c r="BP1048303" s="142"/>
      <c r="BU1048303" s="143"/>
    </row>
    <row r="1048304" customFormat="1" ht="14.25" spans="33:73">
      <c r="AG1048304" s="141"/>
      <c r="AH1048304" s="141"/>
      <c r="AI1048304" s="141"/>
      <c r="AP1048304" s="141"/>
      <c r="AQ1048304" s="141"/>
      <c r="AR1048304" s="141"/>
      <c r="AV1048304" s="141"/>
      <c r="AW1048304" s="141"/>
      <c r="AX1048304" s="141"/>
      <c r="BP1048304" s="142"/>
      <c r="BU1048304" s="143"/>
    </row>
    <row r="1048305" customFormat="1" ht="14.25" spans="33:73">
      <c r="AG1048305" s="141"/>
      <c r="AH1048305" s="141"/>
      <c r="AI1048305" s="141"/>
      <c r="AP1048305" s="141"/>
      <c r="AQ1048305" s="141"/>
      <c r="AR1048305" s="141"/>
      <c r="AV1048305" s="141"/>
      <c r="AW1048305" s="141"/>
      <c r="AX1048305" s="141"/>
      <c r="BP1048305" s="142"/>
      <c r="BU1048305" s="143"/>
    </row>
    <row r="1048306" customFormat="1" ht="14.25" spans="33:73">
      <c r="AG1048306" s="141"/>
      <c r="AH1048306" s="141"/>
      <c r="AI1048306" s="141"/>
      <c r="AP1048306" s="141"/>
      <c r="AQ1048306" s="141"/>
      <c r="AR1048306" s="141"/>
      <c r="AV1048306" s="141"/>
      <c r="AW1048306" s="141"/>
      <c r="AX1048306" s="141"/>
      <c r="BP1048306" s="142"/>
      <c r="BU1048306" s="143"/>
    </row>
    <row r="1048307" customFormat="1" ht="14.25" spans="33:73">
      <c r="AG1048307" s="141"/>
      <c r="AH1048307" s="141"/>
      <c r="AI1048307" s="141"/>
      <c r="AP1048307" s="141"/>
      <c r="AQ1048307" s="141"/>
      <c r="AR1048307" s="141"/>
      <c r="AV1048307" s="141"/>
      <c r="AW1048307" s="141"/>
      <c r="AX1048307" s="141"/>
      <c r="BP1048307" s="142"/>
      <c r="BU1048307" s="143"/>
    </row>
    <row r="1048308" customFormat="1" ht="14.25" spans="33:73">
      <c r="AG1048308" s="141"/>
      <c r="AH1048308" s="141"/>
      <c r="AI1048308" s="141"/>
      <c r="AP1048308" s="141"/>
      <c r="AQ1048308" s="141"/>
      <c r="AR1048308" s="141"/>
      <c r="AV1048308" s="141"/>
      <c r="AW1048308" s="141"/>
      <c r="AX1048308" s="141"/>
      <c r="BP1048308" s="142"/>
      <c r="BU1048308" s="143"/>
    </row>
    <row r="1048309" customFormat="1" ht="14.25" spans="33:73">
      <c r="AG1048309" s="141"/>
      <c r="AH1048309" s="141"/>
      <c r="AI1048309" s="141"/>
      <c r="AP1048309" s="141"/>
      <c r="AQ1048309" s="141"/>
      <c r="AR1048309" s="141"/>
      <c r="AV1048309" s="141"/>
      <c r="AW1048309" s="141"/>
      <c r="AX1048309" s="141"/>
      <c r="BP1048309" s="142"/>
      <c r="BU1048309" s="143"/>
    </row>
    <row r="1048310" customFormat="1" ht="14.25" spans="33:73">
      <c r="AG1048310" s="141"/>
      <c r="AH1048310" s="141"/>
      <c r="AI1048310" s="141"/>
      <c r="AP1048310" s="141"/>
      <c r="AQ1048310" s="141"/>
      <c r="AR1048310" s="141"/>
      <c r="AV1048310" s="141"/>
      <c r="AW1048310" s="141"/>
      <c r="AX1048310" s="141"/>
      <c r="BP1048310" s="142"/>
      <c r="BU1048310" s="143"/>
    </row>
    <row r="1048311" customFormat="1" ht="14.25" spans="33:73">
      <c r="AG1048311" s="141"/>
      <c r="AH1048311" s="141"/>
      <c r="AI1048311" s="141"/>
      <c r="AP1048311" s="141"/>
      <c r="AQ1048311" s="141"/>
      <c r="AR1048311" s="141"/>
      <c r="AV1048311" s="141"/>
      <c r="AW1048311" s="141"/>
      <c r="AX1048311" s="141"/>
      <c r="BP1048311" s="142"/>
      <c r="BU1048311" s="143"/>
    </row>
    <row r="1048312" customFormat="1" ht="14.25" spans="33:73">
      <c r="AG1048312" s="141"/>
      <c r="AH1048312" s="141"/>
      <c r="AI1048312" s="141"/>
      <c r="AP1048312" s="141"/>
      <c r="AQ1048312" s="141"/>
      <c r="AR1048312" s="141"/>
      <c r="AV1048312" s="141"/>
      <c r="AW1048312" s="141"/>
      <c r="AX1048312" s="141"/>
      <c r="BP1048312" s="142"/>
      <c r="BU1048312" s="143"/>
    </row>
    <row r="1048313" customFormat="1" ht="14.25" spans="33:73">
      <c r="AG1048313" s="141"/>
      <c r="AH1048313" s="141"/>
      <c r="AI1048313" s="141"/>
      <c r="AP1048313" s="141"/>
      <c r="AQ1048313" s="141"/>
      <c r="AR1048313" s="141"/>
      <c r="AV1048313" s="141"/>
      <c r="AW1048313" s="141"/>
      <c r="AX1048313" s="141"/>
      <c r="BP1048313" s="142"/>
      <c r="BU1048313" s="143"/>
    </row>
    <row r="1048314" customFormat="1" ht="14.25" spans="33:73">
      <c r="AG1048314" s="141"/>
      <c r="AH1048314" s="141"/>
      <c r="AI1048314" s="141"/>
      <c r="AP1048314" s="141"/>
      <c r="AQ1048314" s="141"/>
      <c r="AR1048314" s="141"/>
      <c r="AV1048314" s="141"/>
      <c r="AW1048314" s="141"/>
      <c r="AX1048314" s="141"/>
      <c r="BP1048314" s="142"/>
      <c r="BU1048314" s="143"/>
    </row>
    <row r="1048315" customFormat="1" ht="14.25" spans="33:73">
      <c r="AG1048315" s="141"/>
      <c r="AH1048315" s="141"/>
      <c r="AI1048315" s="141"/>
      <c r="AP1048315" s="141"/>
      <c r="AQ1048315" s="141"/>
      <c r="AR1048315" s="141"/>
      <c r="AV1048315" s="141"/>
      <c r="AW1048315" s="141"/>
      <c r="AX1048315" s="141"/>
      <c r="BP1048315" s="142"/>
      <c r="BU1048315" s="143"/>
    </row>
    <row r="1048316" customFormat="1" ht="14.25" spans="33:73">
      <c r="AG1048316" s="141"/>
      <c r="AH1048316" s="141"/>
      <c r="AI1048316" s="141"/>
      <c r="AP1048316" s="141"/>
      <c r="AQ1048316" s="141"/>
      <c r="AR1048316" s="141"/>
      <c r="AV1048316" s="141"/>
      <c r="AW1048316" s="141"/>
      <c r="AX1048316" s="141"/>
      <c r="BP1048316" s="142"/>
      <c r="BU1048316" s="143"/>
    </row>
    <row r="1048317" customFormat="1" ht="14.25" spans="33:73">
      <c r="AG1048317" s="141"/>
      <c r="AH1048317" s="141"/>
      <c r="AI1048317" s="141"/>
      <c r="AP1048317" s="141"/>
      <c r="AQ1048317" s="141"/>
      <c r="AR1048317" s="141"/>
      <c r="AV1048317" s="141"/>
      <c r="AW1048317" s="141"/>
      <c r="AX1048317" s="141"/>
      <c r="BP1048317" s="142"/>
      <c r="BU1048317" s="143"/>
    </row>
    <row r="1048318" customFormat="1" ht="14.25" spans="33:73">
      <c r="AG1048318" s="141"/>
      <c r="AH1048318" s="141"/>
      <c r="AI1048318" s="141"/>
      <c r="AP1048318" s="141"/>
      <c r="AQ1048318" s="141"/>
      <c r="AR1048318" s="141"/>
      <c r="AV1048318" s="141"/>
      <c r="AW1048318" s="141"/>
      <c r="AX1048318" s="141"/>
      <c r="BP1048318" s="142"/>
      <c r="BU1048318" s="143"/>
    </row>
    <row r="1048319" customFormat="1" ht="14.25" spans="33:73">
      <c r="AG1048319" s="141"/>
      <c r="AH1048319" s="141"/>
      <c r="AI1048319" s="141"/>
      <c r="AP1048319" s="141"/>
      <c r="AQ1048319" s="141"/>
      <c r="AR1048319" s="141"/>
      <c r="AV1048319" s="141"/>
      <c r="AW1048319" s="141"/>
      <c r="AX1048319" s="141"/>
      <c r="BP1048319" s="142"/>
      <c r="BU1048319" s="143"/>
    </row>
    <row r="1048320" customFormat="1" ht="14.25" spans="33:73">
      <c r="AG1048320" s="141"/>
      <c r="AH1048320" s="141"/>
      <c r="AI1048320" s="141"/>
      <c r="AP1048320" s="141"/>
      <c r="AQ1048320" s="141"/>
      <c r="AR1048320" s="141"/>
      <c r="AV1048320" s="141"/>
      <c r="AW1048320" s="141"/>
      <c r="AX1048320" s="141"/>
      <c r="BP1048320" s="142"/>
      <c r="BU1048320" s="143"/>
    </row>
    <row r="1048321" customFormat="1" ht="14.25" spans="33:73">
      <c r="AG1048321" s="141"/>
      <c r="AH1048321" s="141"/>
      <c r="AI1048321" s="141"/>
      <c r="AP1048321" s="141"/>
      <c r="AQ1048321" s="141"/>
      <c r="AR1048321" s="141"/>
      <c r="AV1048321" s="141"/>
      <c r="AW1048321" s="141"/>
      <c r="AX1048321" s="141"/>
      <c r="BP1048321" s="142"/>
      <c r="BU1048321" s="143"/>
    </row>
    <row r="1048322" customFormat="1" ht="14.25" spans="33:73">
      <c r="AG1048322" s="141"/>
      <c r="AH1048322" s="141"/>
      <c r="AI1048322" s="141"/>
      <c r="AP1048322" s="141"/>
      <c r="AQ1048322" s="141"/>
      <c r="AR1048322" s="141"/>
      <c r="AV1048322" s="141"/>
      <c r="AW1048322" s="141"/>
      <c r="AX1048322" s="141"/>
      <c r="BP1048322" s="142"/>
      <c r="BU1048322" s="143"/>
    </row>
    <row r="1048323" customFormat="1" ht="14.25" spans="33:73">
      <c r="AG1048323" s="141"/>
      <c r="AH1048323" s="141"/>
      <c r="AI1048323" s="141"/>
      <c r="AP1048323" s="141"/>
      <c r="AQ1048323" s="141"/>
      <c r="AR1048323" s="141"/>
      <c r="AV1048323" s="141"/>
      <c r="AW1048323" s="141"/>
      <c r="AX1048323" s="141"/>
      <c r="BP1048323" s="142"/>
      <c r="BU1048323" s="143"/>
    </row>
    <row r="1048324" customFormat="1" ht="14.25" spans="33:73">
      <c r="AG1048324" s="141"/>
      <c r="AH1048324" s="141"/>
      <c r="AI1048324" s="141"/>
      <c r="AP1048324" s="141"/>
      <c r="AQ1048324" s="141"/>
      <c r="AR1048324" s="141"/>
      <c r="AV1048324" s="141"/>
      <c r="AW1048324" s="141"/>
      <c r="AX1048324" s="141"/>
      <c r="BP1048324" s="142"/>
      <c r="BU1048324" s="143"/>
    </row>
    <row r="1048325" customFormat="1" ht="14.25" spans="33:73">
      <c r="AG1048325" s="141"/>
      <c r="AH1048325" s="141"/>
      <c r="AI1048325" s="141"/>
      <c r="AP1048325" s="141"/>
      <c r="AQ1048325" s="141"/>
      <c r="AR1048325" s="141"/>
      <c r="AV1048325" s="141"/>
      <c r="AW1048325" s="141"/>
      <c r="AX1048325" s="141"/>
      <c r="BP1048325" s="142"/>
      <c r="BU1048325" s="143"/>
    </row>
    <row r="1048326" customFormat="1" ht="14.25" spans="33:73">
      <c r="AG1048326" s="141"/>
      <c r="AH1048326" s="141"/>
      <c r="AI1048326" s="141"/>
      <c r="AP1048326" s="141"/>
      <c r="AQ1048326" s="141"/>
      <c r="AR1048326" s="141"/>
      <c r="AV1048326" s="141"/>
      <c r="AW1048326" s="141"/>
      <c r="AX1048326" s="141"/>
      <c r="BP1048326" s="142"/>
      <c r="BU1048326" s="143"/>
    </row>
    <row r="1048327" customFormat="1" ht="14.25" spans="33:73">
      <c r="AG1048327" s="141"/>
      <c r="AH1048327" s="141"/>
      <c r="AI1048327" s="141"/>
      <c r="AP1048327" s="141"/>
      <c r="AQ1048327" s="141"/>
      <c r="AR1048327" s="141"/>
      <c r="AV1048327" s="141"/>
      <c r="AW1048327" s="141"/>
      <c r="AX1048327" s="141"/>
      <c r="BP1048327" s="142"/>
      <c r="BU1048327" s="143"/>
    </row>
    <row r="1048328" customFormat="1" ht="14.25" spans="33:73">
      <c r="AG1048328" s="141"/>
      <c r="AH1048328" s="141"/>
      <c r="AI1048328" s="141"/>
      <c r="AP1048328" s="141"/>
      <c r="AQ1048328" s="141"/>
      <c r="AR1048328" s="141"/>
      <c r="AV1048328" s="141"/>
      <c r="AW1048328" s="141"/>
      <c r="AX1048328" s="141"/>
      <c r="BP1048328" s="142"/>
      <c r="BU1048328" s="143"/>
    </row>
    <row r="1048329" customFormat="1" ht="14.25" spans="33:73">
      <c r="AG1048329" s="141"/>
      <c r="AH1048329" s="141"/>
      <c r="AI1048329" s="141"/>
      <c r="AP1048329" s="141"/>
      <c r="AQ1048329" s="141"/>
      <c r="AR1048329" s="141"/>
      <c r="AV1048329" s="141"/>
      <c r="AW1048329" s="141"/>
      <c r="AX1048329" s="141"/>
      <c r="BP1048329" s="142"/>
      <c r="BU1048329" s="143"/>
    </row>
    <row r="1048330" customFormat="1" ht="14.25" spans="33:73">
      <c r="AG1048330" s="141"/>
      <c r="AH1048330" s="141"/>
      <c r="AI1048330" s="141"/>
      <c r="AP1048330" s="141"/>
      <c r="AQ1048330" s="141"/>
      <c r="AR1048330" s="141"/>
      <c r="AV1048330" s="141"/>
      <c r="AW1048330" s="141"/>
      <c r="AX1048330" s="141"/>
      <c r="BP1048330" s="142"/>
      <c r="BU1048330" s="143"/>
    </row>
    <row r="1048331" customFormat="1" ht="14.25" spans="33:73">
      <c r="AG1048331" s="141"/>
      <c r="AH1048331" s="141"/>
      <c r="AI1048331" s="141"/>
      <c r="AP1048331" s="141"/>
      <c r="AQ1048331" s="141"/>
      <c r="AR1048331" s="141"/>
      <c r="AV1048331" s="141"/>
      <c r="AW1048331" s="141"/>
      <c r="AX1048331" s="141"/>
      <c r="BP1048331" s="142"/>
      <c r="BU1048331" s="143"/>
    </row>
    <row r="1048332" customFormat="1" ht="14.25" spans="33:73">
      <c r="AG1048332" s="141"/>
      <c r="AH1048332" s="141"/>
      <c r="AI1048332" s="141"/>
      <c r="AP1048332" s="141"/>
      <c r="AQ1048332" s="141"/>
      <c r="AR1048332" s="141"/>
      <c r="AV1048332" s="141"/>
      <c r="AW1048332" s="141"/>
      <c r="AX1048332" s="141"/>
      <c r="BP1048332" s="142"/>
      <c r="BU1048332" s="143"/>
    </row>
    <row r="1048333" customFormat="1" ht="14.25" spans="33:73">
      <c r="AG1048333" s="141"/>
      <c r="AH1048333" s="141"/>
      <c r="AI1048333" s="141"/>
      <c r="AP1048333" s="141"/>
      <c r="AQ1048333" s="141"/>
      <c r="AR1048333" s="141"/>
      <c r="AV1048333" s="141"/>
      <c r="AW1048333" s="141"/>
      <c r="AX1048333" s="141"/>
      <c r="BP1048333" s="142"/>
      <c r="BU1048333" s="143"/>
    </row>
    <row r="1048334" customFormat="1" ht="14.25" spans="33:73">
      <c r="AG1048334" s="141"/>
      <c r="AH1048334" s="141"/>
      <c r="AI1048334" s="141"/>
      <c r="AP1048334" s="141"/>
      <c r="AQ1048334" s="141"/>
      <c r="AR1048334" s="141"/>
      <c r="AV1048334" s="141"/>
      <c r="AW1048334" s="141"/>
      <c r="AX1048334" s="141"/>
      <c r="BP1048334" s="142"/>
      <c r="BU1048334" s="143"/>
    </row>
    <row r="1048335" customFormat="1" ht="14.25" spans="33:73">
      <c r="AG1048335" s="141"/>
      <c r="AH1048335" s="141"/>
      <c r="AI1048335" s="141"/>
      <c r="AP1048335" s="141"/>
      <c r="AQ1048335" s="141"/>
      <c r="AR1048335" s="141"/>
      <c r="AV1048335" s="141"/>
      <c r="AW1048335" s="141"/>
      <c r="AX1048335" s="141"/>
      <c r="BP1048335" s="142"/>
      <c r="BU1048335" s="143"/>
    </row>
    <row r="1048336" customFormat="1" ht="14.25" spans="33:73">
      <c r="AG1048336" s="141"/>
      <c r="AH1048336" s="141"/>
      <c r="AI1048336" s="141"/>
      <c r="AP1048336" s="141"/>
      <c r="AQ1048336" s="141"/>
      <c r="AR1048336" s="141"/>
      <c r="AV1048336" s="141"/>
      <c r="AW1048336" s="141"/>
      <c r="AX1048336" s="141"/>
      <c r="BP1048336" s="142"/>
      <c r="BU1048336" s="143"/>
    </row>
    <row r="1048337" customFormat="1" ht="14.25" spans="33:73">
      <c r="AG1048337" s="141"/>
      <c r="AH1048337" s="141"/>
      <c r="AI1048337" s="141"/>
      <c r="AP1048337" s="141"/>
      <c r="AQ1048337" s="141"/>
      <c r="AR1048337" s="141"/>
      <c r="AV1048337" s="141"/>
      <c r="AW1048337" s="141"/>
      <c r="AX1048337" s="141"/>
      <c r="BP1048337" s="142"/>
      <c r="BU1048337" s="143"/>
    </row>
    <row r="1048338" customFormat="1" ht="14.25" spans="33:73">
      <c r="AG1048338" s="141"/>
      <c r="AH1048338" s="141"/>
      <c r="AI1048338" s="141"/>
      <c r="AP1048338" s="141"/>
      <c r="AQ1048338" s="141"/>
      <c r="AR1048338" s="141"/>
      <c r="AV1048338" s="141"/>
      <c r="AW1048338" s="141"/>
      <c r="AX1048338" s="141"/>
      <c r="BP1048338" s="142"/>
      <c r="BU1048338" s="143"/>
    </row>
    <row r="1048339" customFormat="1" ht="14.25" spans="33:73">
      <c r="AG1048339" s="141"/>
      <c r="AH1048339" s="141"/>
      <c r="AI1048339" s="141"/>
      <c r="AP1048339" s="141"/>
      <c r="AQ1048339" s="141"/>
      <c r="AR1048339" s="141"/>
      <c r="AV1048339" s="141"/>
      <c r="AW1048339" s="141"/>
      <c r="AX1048339" s="141"/>
      <c r="BP1048339" s="142"/>
      <c r="BU1048339" s="143"/>
    </row>
    <row r="1048340" customFormat="1" ht="14.25" spans="33:73">
      <c r="AG1048340" s="141"/>
      <c r="AH1048340" s="141"/>
      <c r="AI1048340" s="141"/>
      <c r="AP1048340" s="141"/>
      <c r="AQ1048340" s="141"/>
      <c r="AR1048340" s="141"/>
      <c r="AV1048340" s="141"/>
      <c r="AW1048340" s="141"/>
      <c r="AX1048340" s="141"/>
      <c r="BP1048340" s="142"/>
      <c r="BU1048340" s="143"/>
    </row>
    <row r="1048341" customFormat="1" ht="14.25" spans="33:73">
      <c r="AG1048341" s="141"/>
      <c r="AH1048341" s="141"/>
      <c r="AI1048341" s="141"/>
      <c r="AP1048341" s="141"/>
      <c r="AQ1048341" s="141"/>
      <c r="AR1048341" s="141"/>
      <c r="AV1048341" s="141"/>
      <c r="AW1048341" s="141"/>
      <c r="AX1048341" s="141"/>
      <c r="BP1048341" s="142"/>
      <c r="BU1048341" s="143"/>
    </row>
    <row r="1048342" customFormat="1" ht="14.25" spans="33:73">
      <c r="AG1048342" s="141"/>
      <c r="AH1048342" s="141"/>
      <c r="AI1048342" s="141"/>
      <c r="AP1048342" s="141"/>
      <c r="AQ1048342" s="141"/>
      <c r="AR1048342" s="141"/>
      <c r="AV1048342" s="141"/>
      <c r="AW1048342" s="141"/>
      <c r="AX1048342" s="141"/>
      <c r="BP1048342" s="142"/>
      <c r="BU1048342" s="143"/>
    </row>
    <row r="1048343" customFormat="1" ht="14.25" spans="33:73">
      <c r="AG1048343" s="141"/>
      <c r="AH1048343" s="141"/>
      <c r="AI1048343" s="141"/>
      <c r="AP1048343" s="141"/>
      <c r="AQ1048343" s="141"/>
      <c r="AR1048343" s="141"/>
      <c r="AV1048343" s="141"/>
      <c r="AW1048343" s="141"/>
      <c r="AX1048343" s="141"/>
      <c r="BP1048343" s="142"/>
      <c r="BU1048343" s="143"/>
    </row>
    <row r="1048344" customFormat="1" ht="14.25" spans="33:73">
      <c r="AG1048344" s="141"/>
      <c r="AH1048344" s="141"/>
      <c r="AI1048344" s="141"/>
      <c r="AP1048344" s="141"/>
      <c r="AQ1048344" s="141"/>
      <c r="AR1048344" s="141"/>
      <c r="AV1048344" s="141"/>
      <c r="AW1048344" s="141"/>
      <c r="AX1048344" s="141"/>
      <c r="BP1048344" s="142"/>
      <c r="BU1048344" s="143"/>
    </row>
    <row r="1048345" customFormat="1" ht="14.25" spans="33:73">
      <c r="AG1048345" s="141"/>
      <c r="AH1048345" s="141"/>
      <c r="AI1048345" s="141"/>
      <c r="AP1048345" s="141"/>
      <c r="AQ1048345" s="141"/>
      <c r="AR1048345" s="141"/>
      <c r="AV1048345" s="141"/>
      <c r="AW1048345" s="141"/>
      <c r="AX1048345" s="141"/>
      <c r="BP1048345" s="142"/>
      <c r="BU1048345" s="143"/>
    </row>
    <row r="1048346" customFormat="1" ht="14.25" spans="33:73">
      <c r="AG1048346" s="141"/>
      <c r="AH1048346" s="141"/>
      <c r="AI1048346" s="141"/>
      <c r="AP1048346" s="141"/>
      <c r="AQ1048346" s="141"/>
      <c r="AR1048346" s="141"/>
      <c r="AV1048346" s="141"/>
      <c r="AW1048346" s="141"/>
      <c r="AX1048346" s="141"/>
      <c r="BP1048346" s="142"/>
      <c r="BU1048346" s="143"/>
    </row>
    <row r="1048347" customFormat="1" ht="14.25" spans="33:73">
      <c r="AG1048347" s="141"/>
      <c r="AH1048347" s="141"/>
      <c r="AI1048347" s="141"/>
      <c r="AP1048347" s="141"/>
      <c r="AQ1048347" s="141"/>
      <c r="AR1048347" s="141"/>
      <c r="AV1048347" s="141"/>
      <c r="AW1048347" s="141"/>
      <c r="AX1048347" s="141"/>
      <c r="BP1048347" s="142"/>
      <c r="BU1048347" s="143"/>
    </row>
    <row r="1048348" customFormat="1" ht="14.25" spans="33:73">
      <c r="AG1048348" s="141"/>
      <c r="AH1048348" s="141"/>
      <c r="AI1048348" s="141"/>
      <c r="AP1048348" s="141"/>
      <c r="AQ1048348" s="141"/>
      <c r="AR1048348" s="141"/>
      <c r="AV1048348" s="141"/>
      <c r="AW1048348" s="141"/>
      <c r="AX1048348" s="141"/>
      <c r="BP1048348" s="142"/>
      <c r="BU1048348" s="143"/>
    </row>
    <row r="1048349" customFormat="1" ht="14.25" spans="33:73">
      <c r="AG1048349" s="141"/>
      <c r="AH1048349" s="141"/>
      <c r="AI1048349" s="141"/>
      <c r="AP1048349" s="141"/>
      <c r="AQ1048349" s="141"/>
      <c r="AR1048349" s="141"/>
      <c r="AV1048349" s="141"/>
      <c r="AW1048349" s="141"/>
      <c r="AX1048349" s="141"/>
      <c r="BP1048349" s="142"/>
      <c r="BU1048349" s="143"/>
    </row>
    <row r="1048350" customFormat="1" ht="14.25" spans="33:73">
      <c r="AG1048350" s="141"/>
      <c r="AH1048350" s="141"/>
      <c r="AI1048350" s="141"/>
      <c r="AP1048350" s="141"/>
      <c r="AQ1048350" s="141"/>
      <c r="AR1048350" s="141"/>
      <c r="AV1048350" s="141"/>
      <c r="AW1048350" s="141"/>
      <c r="AX1048350" s="141"/>
      <c r="BP1048350" s="142"/>
      <c r="BU1048350" s="143"/>
    </row>
    <row r="1048351" customFormat="1" ht="14.25" spans="33:73">
      <c r="AG1048351" s="141"/>
      <c r="AH1048351" s="141"/>
      <c r="AI1048351" s="141"/>
      <c r="AP1048351" s="141"/>
      <c r="AQ1048351" s="141"/>
      <c r="AR1048351" s="141"/>
      <c r="AV1048351" s="141"/>
      <c r="AW1048351" s="141"/>
      <c r="AX1048351" s="141"/>
      <c r="BP1048351" s="142"/>
      <c r="BU1048351" s="143"/>
    </row>
    <row r="1048352" customFormat="1" ht="14.25" spans="33:73">
      <c r="AG1048352" s="141"/>
      <c r="AH1048352" s="141"/>
      <c r="AI1048352" s="141"/>
      <c r="AP1048352" s="141"/>
      <c r="AQ1048352" s="141"/>
      <c r="AR1048352" s="141"/>
      <c r="AV1048352" s="141"/>
      <c r="AW1048352" s="141"/>
      <c r="AX1048352" s="141"/>
      <c r="BP1048352" s="142"/>
      <c r="BU1048352" s="143"/>
    </row>
    <row r="1048353" customFormat="1" ht="14.25" spans="33:73">
      <c r="AG1048353" s="141"/>
      <c r="AH1048353" s="141"/>
      <c r="AI1048353" s="141"/>
      <c r="AP1048353" s="141"/>
      <c r="AQ1048353" s="141"/>
      <c r="AR1048353" s="141"/>
      <c r="AV1048353" s="141"/>
      <c r="AW1048353" s="141"/>
      <c r="AX1048353" s="141"/>
      <c r="BP1048353" s="142"/>
      <c r="BU1048353" s="143"/>
    </row>
    <row r="1048354" customFormat="1" ht="14.25" spans="33:73">
      <c r="AG1048354" s="141"/>
      <c r="AH1048354" s="141"/>
      <c r="AI1048354" s="141"/>
      <c r="AP1048354" s="141"/>
      <c r="AQ1048354" s="141"/>
      <c r="AR1048354" s="141"/>
      <c r="AV1048354" s="141"/>
      <c r="AW1048354" s="141"/>
      <c r="AX1048354" s="141"/>
      <c r="BP1048354" s="142"/>
      <c r="BU1048354" s="143"/>
    </row>
    <row r="1048355" customFormat="1" ht="14.25" spans="33:73">
      <c r="AG1048355" s="141"/>
      <c r="AH1048355" s="141"/>
      <c r="AI1048355" s="141"/>
      <c r="AP1048355" s="141"/>
      <c r="AQ1048355" s="141"/>
      <c r="AR1048355" s="141"/>
      <c r="AV1048355" s="141"/>
      <c r="AW1048355" s="141"/>
      <c r="AX1048355" s="141"/>
      <c r="BP1048355" s="142"/>
      <c r="BU1048355" s="143"/>
    </row>
    <row r="1048356" customFormat="1" ht="14.25" spans="33:73">
      <c r="AG1048356" s="141"/>
      <c r="AH1048356" s="141"/>
      <c r="AI1048356" s="141"/>
      <c r="AP1048356" s="141"/>
      <c r="AQ1048356" s="141"/>
      <c r="AR1048356" s="141"/>
      <c r="AV1048356" s="141"/>
      <c r="AW1048356" s="141"/>
      <c r="AX1048356" s="141"/>
      <c r="BP1048356" s="142"/>
      <c r="BU1048356" s="143"/>
    </row>
    <row r="1048357" customFormat="1" ht="14.25" spans="33:73">
      <c r="AG1048357" s="141"/>
      <c r="AH1048357" s="141"/>
      <c r="AI1048357" s="141"/>
      <c r="AP1048357" s="141"/>
      <c r="AQ1048357" s="141"/>
      <c r="AR1048357" s="141"/>
      <c r="AV1048357" s="141"/>
      <c r="AW1048357" s="141"/>
      <c r="AX1048357" s="141"/>
      <c r="BP1048357" s="142"/>
      <c r="BU1048357" s="143"/>
    </row>
    <row r="1048358" customFormat="1" ht="14.25" spans="33:73">
      <c r="AG1048358" s="141"/>
      <c r="AH1048358" s="141"/>
      <c r="AI1048358" s="141"/>
      <c r="AP1048358" s="141"/>
      <c r="AQ1048358" s="141"/>
      <c r="AR1048358" s="141"/>
      <c r="AV1048358" s="141"/>
      <c r="AW1048358" s="141"/>
      <c r="AX1048358" s="141"/>
      <c r="BP1048358" s="142"/>
      <c r="BU1048358" s="143"/>
    </row>
    <row r="1048359" customFormat="1" ht="14.25" spans="33:73">
      <c r="AG1048359" s="141"/>
      <c r="AH1048359" s="141"/>
      <c r="AI1048359" s="141"/>
      <c r="AP1048359" s="141"/>
      <c r="AQ1048359" s="141"/>
      <c r="AR1048359" s="141"/>
      <c r="AV1048359" s="141"/>
      <c r="AW1048359" s="141"/>
      <c r="AX1048359" s="141"/>
      <c r="BP1048359" s="142"/>
      <c r="BU1048359" s="143"/>
    </row>
    <row r="1048360" customFormat="1" ht="14.25" spans="33:73">
      <c r="AG1048360" s="141"/>
      <c r="AH1048360" s="141"/>
      <c r="AI1048360" s="141"/>
      <c r="AP1048360" s="141"/>
      <c r="AQ1048360" s="141"/>
      <c r="AR1048360" s="141"/>
      <c r="AV1048360" s="141"/>
      <c r="AW1048360" s="141"/>
      <c r="AX1048360" s="141"/>
      <c r="BP1048360" s="142"/>
      <c r="BU1048360" s="143"/>
    </row>
    <row r="1048361" customFormat="1" ht="14.25" spans="33:73">
      <c r="AG1048361" s="141"/>
      <c r="AH1048361" s="141"/>
      <c r="AI1048361" s="141"/>
      <c r="AP1048361" s="141"/>
      <c r="AQ1048361" s="141"/>
      <c r="AR1048361" s="141"/>
      <c r="AV1048361" s="141"/>
      <c r="AW1048361" s="141"/>
      <c r="AX1048361" s="141"/>
      <c r="BP1048361" s="142"/>
      <c r="BU1048361" s="143"/>
    </row>
    <row r="1048362" customFormat="1" ht="14.25" spans="33:73">
      <c r="AG1048362" s="141"/>
      <c r="AH1048362" s="141"/>
      <c r="AI1048362" s="141"/>
      <c r="AP1048362" s="141"/>
      <c r="AQ1048362" s="141"/>
      <c r="AR1048362" s="141"/>
      <c r="AV1048362" s="141"/>
      <c r="AW1048362" s="141"/>
      <c r="AX1048362" s="141"/>
      <c r="BP1048362" s="142"/>
      <c r="BU1048362" s="143"/>
    </row>
    <row r="1048363" customFormat="1" ht="14.25" spans="33:73">
      <c r="AG1048363" s="141"/>
      <c r="AH1048363" s="141"/>
      <c r="AI1048363" s="141"/>
      <c r="AP1048363" s="141"/>
      <c r="AQ1048363" s="141"/>
      <c r="AR1048363" s="141"/>
      <c r="AV1048363" s="141"/>
      <c r="AW1048363" s="141"/>
      <c r="AX1048363" s="141"/>
      <c r="BP1048363" s="142"/>
      <c r="BU1048363" s="143"/>
    </row>
    <row r="1048364" customFormat="1" ht="14.25" spans="33:73">
      <c r="AG1048364" s="141"/>
      <c r="AH1048364" s="141"/>
      <c r="AI1048364" s="141"/>
      <c r="AP1048364" s="141"/>
      <c r="AQ1048364" s="141"/>
      <c r="AR1048364" s="141"/>
      <c r="AV1048364" s="141"/>
      <c r="AW1048364" s="141"/>
      <c r="AX1048364" s="141"/>
      <c r="BP1048364" s="142"/>
      <c r="BU1048364" s="143"/>
    </row>
    <row r="1048365" customFormat="1" ht="14.25" spans="33:73">
      <c r="AG1048365" s="141"/>
      <c r="AH1048365" s="141"/>
      <c r="AI1048365" s="141"/>
      <c r="AP1048365" s="141"/>
      <c r="AQ1048365" s="141"/>
      <c r="AR1048365" s="141"/>
      <c r="AV1048365" s="141"/>
      <c r="AW1048365" s="141"/>
      <c r="AX1048365" s="141"/>
      <c r="BP1048365" s="142"/>
      <c r="BU1048365" s="143"/>
    </row>
    <row r="1048366" customFormat="1" ht="14.25" spans="33:73">
      <c r="AG1048366" s="141"/>
      <c r="AH1048366" s="141"/>
      <c r="AI1048366" s="141"/>
      <c r="AP1048366" s="141"/>
      <c r="AQ1048366" s="141"/>
      <c r="AR1048366" s="141"/>
      <c r="AV1048366" s="141"/>
      <c r="AW1048366" s="141"/>
      <c r="AX1048366" s="141"/>
      <c r="BP1048366" s="142"/>
      <c r="BU1048366" s="143"/>
    </row>
    <row r="1048367" customFormat="1" ht="14.25" spans="33:73">
      <c r="AG1048367" s="141"/>
      <c r="AH1048367" s="141"/>
      <c r="AI1048367" s="141"/>
      <c r="AP1048367" s="141"/>
      <c r="AQ1048367" s="141"/>
      <c r="AR1048367" s="141"/>
      <c r="AV1048367" s="141"/>
      <c r="AW1048367" s="141"/>
      <c r="AX1048367" s="141"/>
      <c r="BP1048367" s="142"/>
      <c r="BU1048367" s="143"/>
    </row>
    <row r="1048368" customFormat="1" ht="14.25" spans="33:73">
      <c r="AG1048368" s="141"/>
      <c r="AH1048368" s="141"/>
      <c r="AI1048368" s="141"/>
      <c r="AP1048368" s="141"/>
      <c r="AQ1048368" s="141"/>
      <c r="AR1048368" s="141"/>
      <c r="AV1048368" s="141"/>
      <c r="AW1048368" s="141"/>
      <c r="AX1048368" s="141"/>
      <c r="BP1048368" s="142"/>
      <c r="BU1048368" s="143"/>
    </row>
    <row r="1048369" customFormat="1" ht="14.25" spans="33:73">
      <c r="AG1048369" s="141"/>
      <c r="AH1048369" s="141"/>
      <c r="AI1048369" s="141"/>
      <c r="AP1048369" s="141"/>
      <c r="AQ1048369" s="141"/>
      <c r="AR1048369" s="141"/>
      <c r="AV1048369" s="141"/>
      <c r="AW1048369" s="141"/>
      <c r="AX1048369" s="141"/>
      <c r="BP1048369" s="142"/>
      <c r="BU1048369" s="143"/>
    </row>
    <row r="1048370" customFormat="1" ht="14.25" spans="33:73">
      <c r="AG1048370" s="141"/>
      <c r="AH1048370" s="141"/>
      <c r="AI1048370" s="141"/>
      <c r="AP1048370" s="141"/>
      <c r="AQ1048370" s="141"/>
      <c r="AR1048370" s="141"/>
      <c r="AV1048370" s="141"/>
      <c r="AW1048370" s="141"/>
      <c r="AX1048370" s="141"/>
      <c r="BP1048370" s="142"/>
      <c r="BU1048370" s="143"/>
    </row>
    <row r="1048371" customFormat="1" ht="14.25" spans="33:73">
      <c r="AG1048371" s="141"/>
      <c r="AH1048371" s="141"/>
      <c r="AI1048371" s="141"/>
      <c r="AP1048371" s="141"/>
      <c r="AQ1048371" s="141"/>
      <c r="AR1048371" s="141"/>
      <c r="AV1048371" s="141"/>
      <c r="AW1048371" s="141"/>
      <c r="AX1048371" s="141"/>
      <c r="BP1048371" s="142"/>
      <c r="BU1048371" s="143"/>
    </row>
    <row r="1048372" customFormat="1" ht="14.25" spans="33:73">
      <c r="AG1048372" s="141"/>
      <c r="AH1048372" s="141"/>
      <c r="AI1048372" s="141"/>
      <c r="AP1048372" s="141"/>
      <c r="AQ1048372" s="141"/>
      <c r="AR1048372" s="141"/>
      <c r="AV1048372" s="141"/>
      <c r="AW1048372" s="141"/>
      <c r="AX1048372" s="141"/>
      <c r="BP1048372" s="142"/>
      <c r="BU1048372" s="143"/>
    </row>
    <row r="1048373" customFormat="1" ht="14.25" spans="33:73">
      <c r="AG1048373" s="141"/>
      <c r="AH1048373" s="141"/>
      <c r="AI1048373" s="141"/>
      <c r="AP1048373" s="141"/>
      <c r="AQ1048373" s="141"/>
      <c r="AR1048373" s="141"/>
      <c r="AV1048373" s="141"/>
      <c r="AW1048373" s="141"/>
      <c r="AX1048373" s="141"/>
      <c r="BP1048373" s="142"/>
      <c r="BU1048373" s="143"/>
    </row>
    <row r="1048374" customFormat="1" ht="14.25" spans="33:73">
      <c r="AG1048374" s="141"/>
      <c r="AH1048374" s="141"/>
      <c r="AI1048374" s="141"/>
      <c r="AP1048374" s="141"/>
      <c r="AQ1048374" s="141"/>
      <c r="AR1048374" s="141"/>
      <c r="AV1048374" s="141"/>
      <c r="AW1048374" s="141"/>
      <c r="AX1048374" s="141"/>
      <c r="BP1048374" s="142"/>
      <c r="BU1048374" s="143"/>
    </row>
    <row r="1048375" customFormat="1" ht="14.25" spans="33:73">
      <c r="AG1048375" s="141"/>
      <c r="AH1048375" s="141"/>
      <c r="AI1048375" s="141"/>
      <c r="AP1048375" s="141"/>
      <c r="AQ1048375" s="141"/>
      <c r="AR1048375" s="141"/>
      <c r="AV1048375" s="141"/>
      <c r="AW1048375" s="141"/>
      <c r="AX1048375" s="141"/>
      <c r="BP1048375" s="142"/>
      <c r="BU1048375" s="143"/>
    </row>
    <row r="1048376" customFormat="1" ht="14.25" spans="33:73">
      <c r="AG1048376" s="141"/>
      <c r="AH1048376" s="141"/>
      <c r="AI1048376" s="141"/>
      <c r="AP1048376" s="141"/>
      <c r="AQ1048376" s="141"/>
      <c r="AR1048376" s="141"/>
      <c r="AV1048376" s="141"/>
      <c r="AW1048376" s="141"/>
      <c r="AX1048376" s="141"/>
      <c r="BP1048376" s="142"/>
      <c r="BU1048376" s="143"/>
    </row>
    <row r="1048377" customFormat="1" ht="14.25" spans="33:73">
      <c r="AG1048377" s="141"/>
      <c r="AH1048377" s="141"/>
      <c r="AI1048377" s="141"/>
      <c r="AP1048377" s="141"/>
      <c r="AQ1048377" s="141"/>
      <c r="AR1048377" s="141"/>
      <c r="AV1048377" s="141"/>
      <c r="AW1048377" s="141"/>
      <c r="AX1048377" s="141"/>
      <c r="BP1048377" s="142"/>
      <c r="BU1048377" s="143"/>
    </row>
    <row r="1048378" customFormat="1" ht="14.25" spans="33:73">
      <c r="AG1048378" s="141"/>
      <c r="AH1048378" s="141"/>
      <c r="AI1048378" s="141"/>
      <c r="AP1048378" s="141"/>
      <c r="AQ1048378" s="141"/>
      <c r="AR1048378" s="141"/>
      <c r="AV1048378" s="141"/>
      <c r="AW1048378" s="141"/>
      <c r="AX1048378" s="141"/>
      <c r="BP1048378" s="142"/>
      <c r="BU1048378" s="143"/>
    </row>
    <row r="1048379" customFormat="1" ht="14.25" spans="33:73">
      <c r="AG1048379" s="141"/>
      <c r="AH1048379" s="141"/>
      <c r="AI1048379" s="141"/>
      <c r="AP1048379" s="141"/>
      <c r="AQ1048379" s="141"/>
      <c r="AR1048379" s="141"/>
      <c r="AV1048379" s="141"/>
      <c r="AW1048379" s="141"/>
      <c r="AX1048379" s="141"/>
      <c r="BP1048379" s="142"/>
      <c r="BU1048379" s="143"/>
    </row>
    <row r="1048380" customFormat="1" ht="14.25" spans="33:73">
      <c r="AG1048380" s="141"/>
      <c r="AH1048380" s="141"/>
      <c r="AI1048380" s="141"/>
      <c r="AP1048380" s="141"/>
      <c r="AQ1048380" s="141"/>
      <c r="AR1048380" s="141"/>
      <c r="AV1048380" s="141"/>
      <c r="AW1048380" s="141"/>
      <c r="AX1048380" s="141"/>
      <c r="BP1048380" s="142"/>
      <c r="BU1048380" s="143"/>
    </row>
    <row r="1048381" customFormat="1" ht="14.25" spans="33:73">
      <c r="AG1048381" s="141"/>
      <c r="AH1048381" s="141"/>
      <c r="AI1048381" s="141"/>
      <c r="AP1048381" s="141"/>
      <c r="AQ1048381" s="141"/>
      <c r="AR1048381" s="141"/>
      <c r="AV1048381" s="141"/>
      <c r="AW1048381" s="141"/>
      <c r="AX1048381" s="141"/>
      <c r="BP1048381" s="142"/>
      <c r="BU1048381" s="143"/>
    </row>
    <row r="1048382" customFormat="1" ht="14.25" spans="33:73">
      <c r="AG1048382" s="141"/>
      <c r="AH1048382" s="141"/>
      <c r="AI1048382" s="141"/>
      <c r="AP1048382" s="141"/>
      <c r="AQ1048382" s="141"/>
      <c r="AR1048382" s="141"/>
      <c r="AV1048382" s="141"/>
      <c r="AW1048382" s="141"/>
      <c r="AX1048382" s="141"/>
      <c r="BP1048382" s="142"/>
      <c r="BU1048382" s="143"/>
    </row>
    <row r="1048383" customFormat="1" ht="14.25" spans="33:73">
      <c r="AG1048383" s="141"/>
      <c r="AH1048383" s="141"/>
      <c r="AI1048383" s="141"/>
      <c r="AP1048383" s="141"/>
      <c r="AQ1048383" s="141"/>
      <c r="AR1048383" s="141"/>
      <c r="AV1048383" s="141"/>
      <c r="AW1048383" s="141"/>
      <c r="AX1048383" s="141"/>
      <c r="BP1048383" s="142"/>
      <c r="BU1048383" s="143"/>
    </row>
    <row r="1048384" customFormat="1" ht="14.25" spans="33:73">
      <c r="AG1048384" s="141"/>
      <c r="AH1048384" s="141"/>
      <c r="AI1048384" s="141"/>
      <c r="AP1048384" s="141"/>
      <c r="AQ1048384" s="141"/>
      <c r="AR1048384" s="141"/>
      <c r="AV1048384" s="141"/>
      <c r="AW1048384" s="141"/>
      <c r="AX1048384" s="141"/>
      <c r="BP1048384" s="142"/>
      <c r="BU1048384" s="143"/>
    </row>
    <row r="1048385" customFormat="1" ht="14.25" spans="33:73">
      <c r="AG1048385" s="141"/>
      <c r="AH1048385" s="141"/>
      <c r="AI1048385" s="141"/>
      <c r="AP1048385" s="141"/>
      <c r="AQ1048385" s="141"/>
      <c r="AR1048385" s="141"/>
      <c r="AV1048385" s="141"/>
      <c r="AW1048385" s="141"/>
      <c r="AX1048385" s="141"/>
      <c r="BP1048385" s="142"/>
      <c r="BU1048385" s="143"/>
    </row>
    <row r="1048386" customFormat="1" ht="14.25" spans="33:73">
      <c r="AG1048386" s="141"/>
      <c r="AH1048386" s="141"/>
      <c r="AI1048386" s="141"/>
      <c r="AP1048386" s="141"/>
      <c r="AQ1048386" s="141"/>
      <c r="AR1048386" s="141"/>
      <c r="AV1048386" s="141"/>
      <c r="AW1048386" s="141"/>
      <c r="AX1048386" s="141"/>
      <c r="BP1048386" s="142"/>
      <c r="BU1048386" s="143"/>
    </row>
    <row r="1048387" customFormat="1" ht="14.25" spans="33:73">
      <c r="AG1048387" s="141"/>
      <c r="AH1048387" s="141"/>
      <c r="AI1048387" s="141"/>
      <c r="AP1048387" s="141"/>
      <c r="AQ1048387" s="141"/>
      <c r="AR1048387" s="141"/>
      <c r="AV1048387" s="141"/>
      <c r="AW1048387" s="141"/>
      <c r="AX1048387" s="141"/>
      <c r="BP1048387" s="142"/>
      <c r="BU1048387" s="143"/>
    </row>
    <row r="1048388" customFormat="1" ht="14.25" spans="33:73">
      <c r="AG1048388" s="141"/>
      <c r="AH1048388" s="141"/>
      <c r="AI1048388" s="141"/>
      <c r="AP1048388" s="141"/>
      <c r="AQ1048388" s="141"/>
      <c r="AR1048388" s="141"/>
      <c r="AV1048388" s="141"/>
      <c r="AW1048388" s="141"/>
      <c r="AX1048388" s="141"/>
      <c r="BP1048388" s="142"/>
      <c r="BU1048388" s="143"/>
    </row>
    <row r="1048389" customFormat="1" ht="14.25" spans="33:73">
      <c r="AG1048389" s="141"/>
      <c r="AH1048389" s="141"/>
      <c r="AI1048389" s="141"/>
      <c r="AP1048389" s="141"/>
      <c r="AQ1048389" s="141"/>
      <c r="AR1048389" s="141"/>
      <c r="AV1048389" s="141"/>
      <c r="AW1048389" s="141"/>
      <c r="AX1048389" s="141"/>
      <c r="BP1048389" s="142"/>
      <c r="BU1048389" s="143"/>
    </row>
    <row r="1048390" customFormat="1" ht="14.25" spans="33:73">
      <c r="AG1048390" s="141"/>
      <c r="AH1048390" s="141"/>
      <c r="AI1048390" s="141"/>
      <c r="AP1048390" s="141"/>
      <c r="AQ1048390" s="141"/>
      <c r="AR1048390" s="141"/>
      <c r="AV1048390" s="141"/>
      <c r="AW1048390" s="141"/>
      <c r="AX1048390" s="141"/>
      <c r="BP1048390" s="142"/>
      <c r="BU1048390" s="143"/>
    </row>
    <row r="1048391" customFormat="1" ht="14.25" spans="33:73">
      <c r="AG1048391" s="141"/>
      <c r="AH1048391" s="141"/>
      <c r="AI1048391" s="141"/>
      <c r="AP1048391" s="141"/>
      <c r="AQ1048391" s="141"/>
      <c r="AR1048391" s="141"/>
      <c r="AV1048391" s="141"/>
      <c r="AW1048391" s="141"/>
      <c r="AX1048391" s="141"/>
      <c r="BP1048391" s="142"/>
      <c r="BU1048391" s="143"/>
    </row>
    <row r="1048392" customFormat="1" ht="14.25" spans="33:73">
      <c r="AG1048392" s="141"/>
      <c r="AH1048392" s="141"/>
      <c r="AI1048392" s="141"/>
      <c r="AP1048392" s="141"/>
      <c r="AQ1048392" s="141"/>
      <c r="AR1048392" s="141"/>
      <c r="AV1048392" s="141"/>
      <c r="AW1048392" s="141"/>
      <c r="AX1048392" s="141"/>
      <c r="BP1048392" s="142"/>
      <c r="BU1048392" s="143"/>
    </row>
    <row r="1048393" customFormat="1" ht="14.25" spans="33:73">
      <c r="AG1048393" s="141"/>
      <c r="AH1048393" s="141"/>
      <c r="AI1048393" s="141"/>
      <c r="AP1048393" s="141"/>
      <c r="AQ1048393" s="141"/>
      <c r="AR1048393" s="141"/>
      <c r="AV1048393" s="141"/>
      <c r="AW1048393" s="141"/>
      <c r="AX1048393" s="141"/>
      <c r="BP1048393" s="142"/>
      <c r="BU1048393" s="143"/>
    </row>
    <row r="1048394" customFormat="1" ht="14.25" spans="33:73">
      <c r="AG1048394" s="141"/>
      <c r="AH1048394" s="141"/>
      <c r="AI1048394" s="141"/>
      <c r="AP1048394" s="141"/>
      <c r="AQ1048394" s="141"/>
      <c r="AR1048394" s="141"/>
      <c r="AV1048394" s="141"/>
      <c r="AW1048394" s="141"/>
      <c r="AX1048394" s="141"/>
      <c r="BP1048394" s="142"/>
      <c r="BU1048394" s="143"/>
    </row>
    <row r="1048395" customFormat="1" ht="14.25" spans="33:73">
      <c r="AG1048395" s="141"/>
      <c r="AH1048395" s="141"/>
      <c r="AI1048395" s="141"/>
      <c r="AP1048395" s="141"/>
      <c r="AQ1048395" s="141"/>
      <c r="AR1048395" s="141"/>
      <c r="AV1048395" s="141"/>
      <c r="AW1048395" s="141"/>
      <c r="AX1048395" s="141"/>
      <c r="BP1048395" s="142"/>
      <c r="BU1048395" s="143"/>
    </row>
    <row r="1048396" customFormat="1" ht="14.25" spans="33:73">
      <c r="AG1048396" s="141"/>
      <c r="AH1048396" s="141"/>
      <c r="AI1048396" s="141"/>
      <c r="AP1048396" s="141"/>
      <c r="AQ1048396" s="141"/>
      <c r="AR1048396" s="141"/>
      <c r="AV1048396" s="141"/>
      <c r="AW1048396" s="141"/>
      <c r="AX1048396" s="141"/>
      <c r="BP1048396" s="142"/>
      <c r="BU1048396" s="143"/>
    </row>
    <row r="1048397" customFormat="1" ht="14.25" spans="33:73">
      <c r="AG1048397" s="141"/>
      <c r="AH1048397" s="141"/>
      <c r="AI1048397" s="141"/>
      <c r="AP1048397" s="141"/>
      <c r="AQ1048397" s="141"/>
      <c r="AR1048397" s="141"/>
      <c r="AV1048397" s="141"/>
      <c r="AW1048397" s="141"/>
      <c r="AX1048397" s="141"/>
      <c r="BP1048397" s="142"/>
      <c r="BU1048397" s="143"/>
    </row>
    <row r="1048398" customFormat="1" ht="14.25" spans="33:73">
      <c r="AG1048398" s="141"/>
      <c r="AH1048398" s="141"/>
      <c r="AI1048398" s="141"/>
      <c r="AP1048398" s="141"/>
      <c r="AQ1048398" s="141"/>
      <c r="AR1048398" s="141"/>
      <c r="AV1048398" s="141"/>
      <c r="AW1048398" s="141"/>
      <c r="AX1048398" s="141"/>
      <c r="BP1048398" s="142"/>
      <c r="BU1048398" s="143"/>
    </row>
    <row r="1048399" customFormat="1" ht="14.25" spans="33:73">
      <c r="AG1048399" s="141"/>
      <c r="AH1048399" s="141"/>
      <c r="AI1048399" s="141"/>
      <c r="AP1048399" s="141"/>
      <c r="AQ1048399" s="141"/>
      <c r="AR1048399" s="141"/>
      <c r="AV1048399" s="141"/>
      <c r="AW1048399" s="141"/>
      <c r="AX1048399" s="141"/>
      <c r="BP1048399" s="142"/>
      <c r="BU1048399" s="143"/>
    </row>
    <row r="1048400" customFormat="1" ht="14.25" spans="33:73">
      <c r="AG1048400" s="141"/>
      <c r="AH1048400" s="141"/>
      <c r="AI1048400" s="141"/>
      <c r="AP1048400" s="141"/>
      <c r="AQ1048400" s="141"/>
      <c r="AR1048400" s="141"/>
      <c r="AV1048400" s="141"/>
      <c r="AW1048400" s="141"/>
      <c r="AX1048400" s="141"/>
      <c r="BP1048400" s="142"/>
      <c r="BU1048400" s="143"/>
    </row>
    <row r="1048401" customFormat="1" ht="14.25" spans="33:73">
      <c r="AG1048401" s="141"/>
      <c r="AH1048401" s="141"/>
      <c r="AI1048401" s="141"/>
      <c r="AP1048401" s="141"/>
      <c r="AQ1048401" s="141"/>
      <c r="AR1048401" s="141"/>
      <c r="AV1048401" s="141"/>
      <c r="AW1048401" s="141"/>
      <c r="AX1048401" s="141"/>
      <c r="BP1048401" s="142"/>
      <c r="BU1048401" s="143"/>
    </row>
    <row r="1048402" customFormat="1" ht="14.25" spans="33:73">
      <c r="AG1048402" s="141"/>
      <c r="AH1048402" s="141"/>
      <c r="AI1048402" s="141"/>
      <c r="AP1048402" s="141"/>
      <c r="AQ1048402" s="141"/>
      <c r="AR1048402" s="141"/>
      <c r="AV1048402" s="141"/>
      <c r="AW1048402" s="141"/>
      <c r="AX1048402" s="141"/>
      <c r="BP1048402" s="142"/>
      <c r="BU1048402" s="143"/>
    </row>
    <row r="1048403" customFormat="1" ht="14.25" spans="33:73">
      <c r="AG1048403" s="141"/>
      <c r="AH1048403" s="141"/>
      <c r="AI1048403" s="141"/>
      <c r="AP1048403" s="141"/>
      <c r="AQ1048403" s="141"/>
      <c r="AR1048403" s="141"/>
      <c r="AV1048403" s="141"/>
      <c r="AW1048403" s="141"/>
      <c r="AX1048403" s="141"/>
      <c r="BP1048403" s="142"/>
      <c r="BU1048403" s="143"/>
    </row>
    <row r="1048404" customFormat="1" ht="14.25" spans="33:73">
      <c r="AG1048404" s="141"/>
      <c r="AH1048404" s="141"/>
      <c r="AI1048404" s="141"/>
      <c r="AP1048404" s="141"/>
      <c r="AQ1048404" s="141"/>
      <c r="AR1048404" s="141"/>
      <c r="AV1048404" s="141"/>
      <c r="AW1048404" s="141"/>
      <c r="AX1048404" s="141"/>
      <c r="BP1048404" s="142"/>
      <c r="BU1048404" s="143"/>
    </row>
    <row r="1048405" customFormat="1" ht="14.25" spans="33:73">
      <c r="AG1048405" s="141"/>
      <c r="AH1048405" s="141"/>
      <c r="AI1048405" s="141"/>
      <c r="AP1048405" s="141"/>
      <c r="AQ1048405" s="141"/>
      <c r="AR1048405" s="141"/>
      <c r="AV1048405" s="141"/>
      <c r="AW1048405" s="141"/>
      <c r="AX1048405" s="141"/>
      <c r="BP1048405" s="142"/>
      <c r="BU1048405" s="143"/>
    </row>
    <row r="1048406" customFormat="1" ht="14.25" spans="33:73">
      <c r="AG1048406" s="141"/>
      <c r="AH1048406" s="141"/>
      <c r="AI1048406" s="141"/>
      <c r="AP1048406" s="141"/>
      <c r="AQ1048406" s="141"/>
      <c r="AR1048406" s="141"/>
      <c r="AV1048406" s="141"/>
      <c r="AW1048406" s="141"/>
      <c r="AX1048406" s="141"/>
      <c r="BP1048406" s="142"/>
      <c r="BU1048406" s="143"/>
    </row>
    <row r="1048407" customFormat="1" ht="14.25" spans="33:73">
      <c r="AG1048407" s="141"/>
      <c r="AH1048407" s="141"/>
      <c r="AI1048407" s="141"/>
      <c r="AP1048407" s="141"/>
      <c r="AQ1048407" s="141"/>
      <c r="AR1048407" s="141"/>
      <c r="AV1048407" s="141"/>
      <c r="AW1048407" s="141"/>
      <c r="AX1048407" s="141"/>
      <c r="BP1048407" s="142"/>
      <c r="BU1048407" s="143"/>
    </row>
    <row r="1048408" customFormat="1" ht="14.25" spans="33:73">
      <c r="AG1048408" s="141"/>
      <c r="AH1048408" s="141"/>
      <c r="AI1048408" s="141"/>
      <c r="AP1048408" s="141"/>
      <c r="AQ1048408" s="141"/>
      <c r="AR1048408" s="141"/>
      <c r="AV1048408" s="141"/>
      <c r="AW1048408" s="141"/>
      <c r="AX1048408" s="141"/>
      <c r="BP1048408" s="142"/>
      <c r="BU1048408" s="143"/>
    </row>
    <row r="1048409" customFormat="1" ht="14.25" spans="33:73">
      <c r="AG1048409" s="141"/>
      <c r="AH1048409" s="141"/>
      <c r="AI1048409" s="141"/>
      <c r="AP1048409" s="141"/>
      <c r="AQ1048409" s="141"/>
      <c r="AR1048409" s="141"/>
      <c r="AV1048409" s="141"/>
      <c r="AW1048409" s="141"/>
      <c r="AX1048409" s="141"/>
      <c r="BP1048409" s="142"/>
      <c r="BU1048409" s="143"/>
    </row>
    <row r="1048410" customFormat="1" ht="14.25" spans="33:73">
      <c r="AG1048410" s="141"/>
      <c r="AH1048410" s="141"/>
      <c r="AI1048410" s="141"/>
      <c r="AP1048410" s="141"/>
      <c r="AQ1048410" s="141"/>
      <c r="AR1048410" s="141"/>
      <c r="AV1048410" s="141"/>
      <c r="AW1048410" s="141"/>
      <c r="AX1048410" s="141"/>
      <c r="BP1048410" s="142"/>
      <c r="BU1048410" s="143"/>
    </row>
    <row r="1048411" customFormat="1" ht="14.25" spans="33:73">
      <c r="AG1048411" s="141"/>
      <c r="AH1048411" s="141"/>
      <c r="AI1048411" s="141"/>
      <c r="AP1048411" s="141"/>
      <c r="AQ1048411" s="141"/>
      <c r="AR1048411" s="141"/>
      <c r="AV1048411" s="141"/>
      <c r="AW1048411" s="141"/>
      <c r="AX1048411" s="141"/>
      <c r="BP1048411" s="142"/>
      <c r="BU1048411" s="143"/>
    </row>
    <row r="1048412" customFormat="1" ht="14.25" spans="33:73">
      <c r="AG1048412" s="141"/>
      <c r="AH1048412" s="141"/>
      <c r="AI1048412" s="141"/>
      <c r="AP1048412" s="141"/>
      <c r="AQ1048412" s="141"/>
      <c r="AR1048412" s="141"/>
      <c r="AV1048412" s="141"/>
      <c r="AW1048412" s="141"/>
      <c r="AX1048412" s="141"/>
      <c r="BP1048412" s="142"/>
      <c r="BU1048412" s="143"/>
    </row>
    <row r="1048413" customFormat="1" ht="14.25" spans="33:73">
      <c r="AG1048413" s="141"/>
      <c r="AH1048413" s="141"/>
      <c r="AI1048413" s="141"/>
      <c r="AP1048413" s="141"/>
      <c r="AQ1048413" s="141"/>
      <c r="AR1048413" s="141"/>
      <c r="AV1048413" s="141"/>
      <c r="AW1048413" s="141"/>
      <c r="AX1048413" s="141"/>
      <c r="BP1048413" s="142"/>
      <c r="BU1048413" s="143"/>
    </row>
    <row r="1048414" customFormat="1" ht="14.25" spans="33:73">
      <c r="AG1048414" s="141"/>
      <c r="AH1048414" s="141"/>
      <c r="AI1048414" s="141"/>
      <c r="AP1048414" s="141"/>
      <c r="AQ1048414" s="141"/>
      <c r="AR1048414" s="141"/>
      <c r="AV1048414" s="141"/>
      <c r="AW1048414" s="141"/>
      <c r="AX1048414" s="141"/>
      <c r="BP1048414" s="142"/>
      <c r="BU1048414" s="143"/>
    </row>
    <row r="1048415" customFormat="1" ht="14.25" spans="33:73">
      <c r="AG1048415" s="141"/>
      <c r="AH1048415" s="141"/>
      <c r="AI1048415" s="141"/>
      <c r="AP1048415" s="141"/>
      <c r="AQ1048415" s="141"/>
      <c r="AR1048415" s="141"/>
      <c r="AV1048415" s="141"/>
      <c r="AW1048415" s="141"/>
      <c r="AX1048415" s="141"/>
      <c r="BP1048415" s="142"/>
      <c r="BU1048415" s="143"/>
    </row>
    <row r="1048416" customFormat="1" ht="14.25" spans="33:73">
      <c r="AG1048416" s="141"/>
      <c r="AH1048416" s="141"/>
      <c r="AI1048416" s="141"/>
      <c r="AP1048416" s="141"/>
      <c r="AQ1048416" s="141"/>
      <c r="AR1048416" s="141"/>
      <c r="AV1048416" s="141"/>
      <c r="AW1048416" s="141"/>
      <c r="AX1048416" s="141"/>
      <c r="BP1048416" s="142"/>
      <c r="BU1048416" s="143"/>
    </row>
    <row r="1048417" customFormat="1" ht="14.25" spans="33:73">
      <c r="AG1048417" s="141"/>
      <c r="AH1048417" s="141"/>
      <c r="AI1048417" s="141"/>
      <c r="AP1048417" s="141"/>
      <c r="AQ1048417" s="141"/>
      <c r="AR1048417" s="141"/>
      <c r="AV1048417" s="141"/>
      <c r="AW1048417" s="141"/>
      <c r="AX1048417" s="141"/>
      <c r="BP1048417" s="142"/>
      <c r="BU1048417" s="143"/>
    </row>
    <row r="1048418" customFormat="1" ht="14.25" spans="33:73">
      <c r="AG1048418" s="141"/>
      <c r="AH1048418" s="141"/>
      <c r="AI1048418" s="141"/>
      <c r="AP1048418" s="141"/>
      <c r="AQ1048418" s="141"/>
      <c r="AR1048418" s="141"/>
      <c r="AV1048418" s="141"/>
      <c r="AW1048418" s="141"/>
      <c r="AX1048418" s="141"/>
      <c r="BP1048418" s="142"/>
      <c r="BU1048418" s="143"/>
    </row>
    <row r="1048419" customFormat="1" ht="14.25" spans="33:73">
      <c r="AG1048419" s="141"/>
      <c r="AH1048419" s="141"/>
      <c r="AI1048419" s="141"/>
      <c r="AP1048419" s="141"/>
      <c r="AQ1048419" s="141"/>
      <c r="AR1048419" s="141"/>
      <c r="AV1048419" s="141"/>
      <c r="AW1048419" s="141"/>
      <c r="AX1048419" s="141"/>
      <c r="BP1048419" s="142"/>
      <c r="BU1048419" s="143"/>
    </row>
    <row r="1048420" customFormat="1" ht="14.25" spans="33:73">
      <c r="AG1048420" s="141"/>
      <c r="AH1048420" s="141"/>
      <c r="AI1048420" s="141"/>
      <c r="AP1048420" s="141"/>
      <c r="AQ1048420" s="141"/>
      <c r="AR1048420" s="141"/>
      <c r="AV1048420" s="141"/>
      <c r="AW1048420" s="141"/>
      <c r="AX1048420" s="141"/>
      <c r="BP1048420" s="142"/>
      <c r="BU1048420" s="143"/>
    </row>
    <row r="1048421" customFormat="1" ht="14.25" spans="33:73">
      <c r="AG1048421" s="141"/>
      <c r="AH1048421" s="141"/>
      <c r="AI1048421" s="141"/>
      <c r="AP1048421" s="141"/>
      <c r="AQ1048421" s="141"/>
      <c r="AR1048421" s="141"/>
      <c r="AV1048421" s="141"/>
      <c r="AW1048421" s="141"/>
      <c r="AX1048421" s="141"/>
      <c r="BP1048421" s="142"/>
      <c r="BU1048421" s="143"/>
    </row>
    <row r="1048422" customFormat="1" ht="14.25" spans="33:73">
      <c r="AG1048422" s="141"/>
      <c r="AH1048422" s="141"/>
      <c r="AI1048422" s="141"/>
      <c r="AP1048422" s="141"/>
      <c r="AQ1048422" s="141"/>
      <c r="AR1048422" s="141"/>
      <c r="AV1048422" s="141"/>
      <c r="AW1048422" s="141"/>
      <c r="AX1048422" s="141"/>
      <c r="BP1048422" s="142"/>
      <c r="BU1048422" s="143"/>
    </row>
    <row r="1048423" customFormat="1" ht="14.25" spans="33:73">
      <c r="AG1048423" s="141"/>
      <c r="AH1048423" s="141"/>
      <c r="AI1048423" s="141"/>
      <c r="AP1048423" s="141"/>
      <c r="AQ1048423" s="141"/>
      <c r="AR1048423" s="141"/>
      <c r="AV1048423" s="141"/>
      <c r="AW1048423" s="141"/>
      <c r="AX1048423" s="141"/>
      <c r="BP1048423" s="142"/>
      <c r="BU1048423" s="143"/>
    </row>
    <row r="1048424" customFormat="1" ht="14.25" spans="33:73">
      <c r="AG1048424" s="141"/>
      <c r="AH1048424" s="141"/>
      <c r="AI1048424" s="141"/>
      <c r="AP1048424" s="141"/>
      <c r="AQ1048424" s="141"/>
      <c r="AR1048424" s="141"/>
      <c r="AV1048424" s="141"/>
      <c r="AW1048424" s="141"/>
      <c r="AX1048424" s="141"/>
      <c r="BP1048424" s="142"/>
      <c r="BU1048424" s="143"/>
    </row>
    <row r="1048425" customFormat="1" ht="14.25" spans="33:73">
      <c r="AG1048425" s="141"/>
      <c r="AH1048425" s="141"/>
      <c r="AI1048425" s="141"/>
      <c r="AP1048425" s="141"/>
      <c r="AQ1048425" s="141"/>
      <c r="AR1048425" s="141"/>
      <c r="AV1048425" s="141"/>
      <c r="AW1048425" s="141"/>
      <c r="AX1048425" s="141"/>
      <c r="BP1048425" s="142"/>
      <c r="BU1048425" s="143"/>
    </row>
    <row r="1048426" customFormat="1" ht="14.25" spans="33:73">
      <c r="AG1048426" s="141"/>
      <c r="AH1048426" s="141"/>
      <c r="AI1048426" s="141"/>
      <c r="AP1048426" s="141"/>
      <c r="AQ1048426" s="141"/>
      <c r="AR1048426" s="141"/>
      <c r="AV1048426" s="141"/>
      <c r="AW1048426" s="141"/>
      <c r="AX1048426" s="141"/>
      <c r="BP1048426" s="142"/>
      <c r="BU1048426" s="143"/>
    </row>
    <row r="1048427" customFormat="1" ht="14.25" spans="33:73">
      <c r="AG1048427" s="141"/>
      <c r="AH1048427" s="141"/>
      <c r="AI1048427" s="141"/>
      <c r="AP1048427" s="141"/>
      <c r="AQ1048427" s="141"/>
      <c r="AR1048427" s="141"/>
      <c r="AV1048427" s="141"/>
      <c r="AW1048427" s="141"/>
      <c r="AX1048427" s="141"/>
      <c r="BP1048427" s="142"/>
      <c r="BU1048427" s="143"/>
    </row>
    <row r="1048428" customFormat="1" ht="14.25" spans="33:73">
      <c r="AG1048428" s="141"/>
      <c r="AH1048428" s="141"/>
      <c r="AI1048428" s="141"/>
      <c r="AP1048428" s="141"/>
      <c r="AQ1048428" s="141"/>
      <c r="AR1048428" s="141"/>
      <c r="AV1048428" s="141"/>
      <c r="AW1048428" s="141"/>
      <c r="AX1048428" s="141"/>
      <c r="BP1048428" s="142"/>
      <c r="BU1048428" s="143"/>
    </row>
    <row r="1048429" customFormat="1" ht="14.25" spans="33:73">
      <c r="AG1048429" s="141"/>
      <c r="AH1048429" s="141"/>
      <c r="AI1048429" s="141"/>
      <c r="AP1048429" s="141"/>
      <c r="AQ1048429" s="141"/>
      <c r="AR1048429" s="141"/>
      <c r="AV1048429" s="141"/>
      <c r="AW1048429" s="141"/>
      <c r="AX1048429" s="141"/>
      <c r="BP1048429" s="142"/>
      <c r="BU1048429" s="143"/>
    </row>
    <row r="1048430" customFormat="1" ht="14.25" spans="33:73">
      <c r="AG1048430" s="141"/>
      <c r="AH1048430" s="141"/>
      <c r="AI1048430" s="141"/>
      <c r="AP1048430" s="141"/>
      <c r="AQ1048430" s="141"/>
      <c r="AR1048430" s="141"/>
      <c r="AV1048430" s="141"/>
      <c r="AW1048430" s="141"/>
      <c r="AX1048430" s="141"/>
      <c r="BP1048430" s="142"/>
      <c r="BU1048430" s="143"/>
    </row>
    <row r="1048431" customFormat="1" ht="14.25" spans="33:73">
      <c r="AG1048431" s="141"/>
      <c r="AH1048431" s="141"/>
      <c r="AI1048431" s="141"/>
      <c r="AP1048431" s="141"/>
      <c r="AQ1048431" s="141"/>
      <c r="AR1048431" s="141"/>
      <c r="AV1048431" s="141"/>
      <c r="AW1048431" s="141"/>
      <c r="AX1048431" s="141"/>
      <c r="BP1048431" s="142"/>
      <c r="BU1048431" s="143"/>
    </row>
    <row r="1048432" customFormat="1" ht="14.25" spans="33:73">
      <c r="AG1048432" s="141"/>
      <c r="AH1048432" s="141"/>
      <c r="AI1048432" s="141"/>
      <c r="AP1048432" s="141"/>
      <c r="AQ1048432" s="141"/>
      <c r="AR1048432" s="141"/>
      <c r="AV1048432" s="141"/>
      <c r="AW1048432" s="141"/>
      <c r="AX1048432" s="141"/>
      <c r="BP1048432" s="142"/>
      <c r="BU1048432" s="143"/>
    </row>
    <row r="1048433" customFormat="1" ht="14.25" spans="33:73">
      <c r="AG1048433" s="141"/>
      <c r="AH1048433" s="141"/>
      <c r="AI1048433" s="141"/>
      <c r="AP1048433" s="141"/>
      <c r="AQ1048433" s="141"/>
      <c r="AR1048433" s="141"/>
      <c r="AV1048433" s="141"/>
      <c r="AW1048433" s="141"/>
      <c r="AX1048433" s="141"/>
      <c r="BP1048433" s="142"/>
      <c r="BU1048433" s="143"/>
    </row>
    <row r="1048434" customFormat="1" ht="14.25" spans="33:73">
      <c r="AG1048434" s="141"/>
      <c r="AH1048434" s="141"/>
      <c r="AI1048434" s="141"/>
      <c r="AP1048434" s="141"/>
      <c r="AQ1048434" s="141"/>
      <c r="AR1048434" s="141"/>
      <c r="AV1048434" s="141"/>
      <c r="AW1048434" s="141"/>
      <c r="AX1048434" s="141"/>
      <c r="BP1048434" s="142"/>
      <c r="BU1048434" s="143"/>
    </row>
    <row r="1048435" customFormat="1" ht="14.25" spans="33:73">
      <c r="AG1048435" s="141"/>
      <c r="AH1048435" s="141"/>
      <c r="AI1048435" s="141"/>
      <c r="AP1048435" s="141"/>
      <c r="AQ1048435" s="141"/>
      <c r="AR1048435" s="141"/>
      <c r="AV1048435" s="141"/>
      <c r="AW1048435" s="141"/>
      <c r="AX1048435" s="141"/>
      <c r="BP1048435" s="142"/>
      <c r="BU1048435" s="143"/>
    </row>
    <row r="1048436" customFormat="1" ht="14.25" spans="33:73">
      <c r="AG1048436" s="141"/>
      <c r="AH1048436" s="141"/>
      <c r="AI1048436" s="141"/>
      <c r="AP1048436" s="141"/>
      <c r="AQ1048436" s="141"/>
      <c r="AR1048436" s="141"/>
      <c r="AV1048436" s="141"/>
      <c r="AW1048436" s="141"/>
      <c r="AX1048436" s="141"/>
      <c r="BP1048436" s="142"/>
      <c r="BU1048436" s="143"/>
    </row>
    <row r="1048437" customFormat="1" ht="14.25" spans="33:73">
      <c r="AG1048437" s="141"/>
      <c r="AH1048437" s="141"/>
      <c r="AI1048437" s="141"/>
      <c r="AP1048437" s="141"/>
      <c r="AQ1048437" s="141"/>
      <c r="AR1048437" s="141"/>
      <c r="AV1048437" s="141"/>
      <c r="AW1048437" s="141"/>
      <c r="AX1048437" s="141"/>
      <c r="BP1048437" s="142"/>
      <c r="BU1048437" s="143"/>
    </row>
    <row r="1048438" customFormat="1" ht="14.25" spans="33:73">
      <c r="AG1048438" s="141"/>
      <c r="AH1048438" s="141"/>
      <c r="AI1048438" s="141"/>
      <c r="AP1048438" s="141"/>
      <c r="AQ1048438" s="141"/>
      <c r="AR1048438" s="141"/>
      <c r="AV1048438" s="141"/>
      <c r="AW1048438" s="141"/>
      <c r="AX1048438" s="141"/>
      <c r="BP1048438" s="142"/>
      <c r="BU1048438" s="143"/>
    </row>
    <row r="1048439" customFormat="1" ht="14.25" spans="33:73">
      <c r="AG1048439" s="141"/>
      <c r="AH1048439" s="141"/>
      <c r="AI1048439" s="141"/>
      <c r="AP1048439" s="141"/>
      <c r="AQ1048439" s="141"/>
      <c r="AR1048439" s="141"/>
      <c r="AV1048439" s="141"/>
      <c r="AW1048439" s="141"/>
      <c r="AX1048439" s="141"/>
      <c r="BP1048439" s="142"/>
      <c r="BU1048439" s="143"/>
    </row>
    <row r="1048440" customFormat="1" ht="14.25" spans="33:73">
      <c r="AG1048440" s="141"/>
      <c r="AH1048440" s="141"/>
      <c r="AI1048440" s="141"/>
      <c r="AP1048440" s="141"/>
      <c r="AQ1048440" s="141"/>
      <c r="AR1048440" s="141"/>
      <c r="AV1048440" s="141"/>
      <c r="AW1048440" s="141"/>
      <c r="AX1048440" s="141"/>
      <c r="BP1048440" s="142"/>
      <c r="BU1048440" s="143"/>
    </row>
    <row r="1048441" customFormat="1" ht="14.25" spans="33:73">
      <c r="AG1048441" s="141"/>
      <c r="AH1048441" s="141"/>
      <c r="AI1048441" s="141"/>
      <c r="AP1048441" s="141"/>
      <c r="AQ1048441" s="141"/>
      <c r="AR1048441" s="141"/>
      <c r="AV1048441" s="141"/>
      <c r="AW1048441" s="141"/>
      <c r="AX1048441" s="141"/>
      <c r="BP1048441" s="142"/>
      <c r="BU1048441" s="143"/>
    </row>
    <row r="1048442" customFormat="1" ht="14.25" spans="33:73">
      <c r="AG1048442" s="141"/>
      <c r="AH1048442" s="141"/>
      <c r="AI1048442" s="141"/>
      <c r="AP1048442" s="141"/>
      <c r="AQ1048442" s="141"/>
      <c r="AR1048442" s="141"/>
      <c r="AV1048442" s="141"/>
      <c r="AW1048442" s="141"/>
      <c r="AX1048442" s="141"/>
      <c r="BP1048442" s="142"/>
      <c r="BU1048442" s="143"/>
    </row>
    <row r="1048443" customFormat="1" ht="14.25" spans="33:73">
      <c r="AG1048443" s="141"/>
      <c r="AH1048443" s="141"/>
      <c r="AI1048443" s="141"/>
      <c r="AP1048443" s="141"/>
      <c r="AQ1048443" s="141"/>
      <c r="AR1048443" s="141"/>
      <c r="AV1048443" s="141"/>
      <c r="AW1048443" s="141"/>
      <c r="AX1048443" s="141"/>
      <c r="BP1048443" s="142"/>
      <c r="BU1048443" s="143"/>
    </row>
    <row r="1048444" customFormat="1" ht="14.25" spans="33:73">
      <c r="AG1048444" s="141"/>
      <c r="AH1048444" s="141"/>
      <c r="AI1048444" s="141"/>
      <c r="AP1048444" s="141"/>
      <c r="AQ1048444" s="141"/>
      <c r="AR1048444" s="141"/>
      <c r="AV1048444" s="141"/>
      <c r="AW1048444" s="141"/>
      <c r="AX1048444" s="141"/>
      <c r="BP1048444" s="142"/>
      <c r="BU1048444" s="143"/>
    </row>
    <row r="1048445" customFormat="1" ht="14.25" spans="33:73">
      <c r="AG1048445" s="141"/>
      <c r="AH1048445" s="141"/>
      <c r="AI1048445" s="141"/>
      <c r="AP1048445" s="141"/>
      <c r="AQ1048445" s="141"/>
      <c r="AR1048445" s="141"/>
      <c r="AV1048445" s="141"/>
      <c r="AW1048445" s="141"/>
      <c r="AX1048445" s="141"/>
      <c r="BP1048445" s="142"/>
      <c r="BU1048445" s="143"/>
    </row>
    <row r="1048446" customFormat="1" ht="14.25" spans="33:73">
      <c r="AG1048446" s="141"/>
      <c r="AH1048446" s="141"/>
      <c r="AI1048446" s="141"/>
      <c r="AP1048446" s="141"/>
      <c r="AQ1048446" s="141"/>
      <c r="AR1048446" s="141"/>
      <c r="AV1048446" s="141"/>
      <c r="AW1048446" s="141"/>
      <c r="AX1048446" s="141"/>
      <c r="BP1048446" s="142"/>
      <c r="BU1048446" s="143"/>
    </row>
    <row r="1048447" customFormat="1" ht="14.25" spans="33:73">
      <c r="AG1048447" s="141"/>
      <c r="AH1048447" s="141"/>
      <c r="AI1048447" s="141"/>
      <c r="AP1048447" s="141"/>
      <c r="AQ1048447" s="141"/>
      <c r="AR1048447" s="141"/>
      <c r="AV1048447" s="141"/>
      <c r="AW1048447" s="141"/>
      <c r="AX1048447" s="141"/>
      <c r="BP1048447" s="142"/>
      <c r="BU1048447" s="143"/>
    </row>
    <row r="1048448" customFormat="1" ht="14.25" spans="33:73">
      <c r="AG1048448" s="141"/>
      <c r="AH1048448" s="141"/>
      <c r="AI1048448" s="141"/>
      <c r="AP1048448" s="141"/>
      <c r="AQ1048448" s="141"/>
      <c r="AR1048448" s="141"/>
      <c r="AV1048448" s="141"/>
      <c r="AW1048448" s="141"/>
      <c r="AX1048448" s="141"/>
      <c r="BP1048448" s="142"/>
      <c r="BU1048448" s="143"/>
    </row>
    <row r="1048449" customFormat="1" ht="14.25" spans="33:73">
      <c r="AG1048449" s="141"/>
      <c r="AH1048449" s="141"/>
      <c r="AI1048449" s="141"/>
      <c r="AP1048449" s="141"/>
      <c r="AQ1048449" s="141"/>
      <c r="AR1048449" s="141"/>
      <c r="AV1048449" s="141"/>
      <c r="AW1048449" s="141"/>
      <c r="AX1048449" s="141"/>
      <c r="BP1048449" s="142"/>
      <c r="BU1048449" s="143"/>
    </row>
    <row r="1048450" customFormat="1" ht="14.25" spans="33:73">
      <c r="AG1048450" s="141"/>
      <c r="AH1048450" s="141"/>
      <c r="AI1048450" s="141"/>
      <c r="AP1048450" s="141"/>
      <c r="AQ1048450" s="141"/>
      <c r="AR1048450" s="141"/>
      <c r="AV1048450" s="141"/>
      <c r="AW1048450" s="141"/>
      <c r="AX1048450" s="141"/>
      <c r="BP1048450" s="142"/>
      <c r="BU1048450" s="143"/>
    </row>
    <row r="1048451" customFormat="1" ht="14.25" spans="33:73">
      <c r="AG1048451" s="141"/>
      <c r="AH1048451" s="141"/>
      <c r="AI1048451" s="141"/>
      <c r="AP1048451" s="141"/>
      <c r="AQ1048451" s="141"/>
      <c r="AR1048451" s="141"/>
      <c r="AV1048451" s="141"/>
      <c r="AW1048451" s="141"/>
      <c r="AX1048451" s="141"/>
      <c r="BP1048451" s="142"/>
      <c r="BU1048451" s="143"/>
    </row>
    <row r="1048452" customFormat="1" ht="14.25" spans="33:73">
      <c r="AG1048452" s="141"/>
      <c r="AH1048452" s="141"/>
      <c r="AI1048452" s="141"/>
      <c r="AP1048452" s="141"/>
      <c r="AQ1048452" s="141"/>
      <c r="AR1048452" s="141"/>
      <c r="AV1048452" s="141"/>
      <c r="AW1048452" s="141"/>
      <c r="AX1048452" s="141"/>
      <c r="BP1048452" s="142"/>
      <c r="BU1048452" s="143"/>
    </row>
    <row r="1048453" customFormat="1" ht="14.25" spans="33:73">
      <c r="AG1048453" s="141"/>
      <c r="AH1048453" s="141"/>
      <c r="AI1048453" s="141"/>
      <c r="AP1048453" s="141"/>
      <c r="AQ1048453" s="141"/>
      <c r="AR1048453" s="141"/>
      <c r="AV1048453" s="141"/>
      <c r="AW1048453" s="141"/>
      <c r="AX1048453" s="141"/>
      <c r="BP1048453" s="142"/>
      <c r="BU1048453" s="143"/>
    </row>
    <row r="1048454" customFormat="1" ht="14.25" spans="33:73">
      <c r="AG1048454" s="141"/>
      <c r="AH1048454" s="141"/>
      <c r="AI1048454" s="141"/>
      <c r="AP1048454" s="141"/>
      <c r="AQ1048454" s="141"/>
      <c r="AR1048454" s="141"/>
      <c r="AV1048454" s="141"/>
      <c r="AW1048454" s="141"/>
      <c r="AX1048454" s="141"/>
      <c r="BP1048454" s="142"/>
      <c r="BU1048454" s="143"/>
    </row>
    <row r="1048455" customFormat="1" ht="14.25" spans="33:73">
      <c r="AG1048455" s="141"/>
      <c r="AH1048455" s="141"/>
      <c r="AI1048455" s="141"/>
      <c r="AP1048455" s="141"/>
      <c r="AQ1048455" s="141"/>
      <c r="AR1048455" s="141"/>
      <c r="AV1048455" s="141"/>
      <c r="AW1048455" s="141"/>
      <c r="AX1048455" s="141"/>
      <c r="BP1048455" s="142"/>
      <c r="BU1048455" s="143"/>
    </row>
    <row r="1048456" customFormat="1" ht="14.25" spans="33:73">
      <c r="AG1048456" s="141"/>
      <c r="AH1048456" s="141"/>
      <c r="AI1048456" s="141"/>
      <c r="AP1048456" s="141"/>
      <c r="AQ1048456" s="141"/>
      <c r="AR1048456" s="141"/>
      <c r="AV1048456" s="141"/>
      <c r="AW1048456" s="141"/>
      <c r="AX1048456" s="141"/>
      <c r="BP1048456" s="142"/>
      <c r="BU1048456" s="143"/>
    </row>
    <row r="1048457" customFormat="1" ht="14.25" spans="33:73">
      <c r="AG1048457" s="141"/>
      <c r="AH1048457" s="141"/>
      <c r="AI1048457" s="141"/>
      <c r="AP1048457" s="141"/>
      <c r="AQ1048457" s="141"/>
      <c r="AR1048457" s="141"/>
      <c r="AV1048457" s="141"/>
      <c r="AW1048457" s="141"/>
      <c r="AX1048457" s="141"/>
      <c r="BP1048457" s="142"/>
      <c r="BU1048457" s="143"/>
    </row>
    <row r="1048458" customFormat="1" ht="14.25" spans="33:73">
      <c r="AG1048458" s="141"/>
      <c r="AH1048458" s="141"/>
      <c r="AI1048458" s="141"/>
      <c r="AP1048458" s="141"/>
      <c r="AQ1048458" s="141"/>
      <c r="AR1048458" s="141"/>
      <c r="AV1048458" s="141"/>
      <c r="AW1048458" s="141"/>
      <c r="AX1048458" s="141"/>
      <c r="BP1048458" s="142"/>
      <c r="BU1048458" s="143"/>
    </row>
    <row r="1048459" customFormat="1" ht="14.25" spans="33:73">
      <c r="AG1048459" s="141"/>
      <c r="AH1048459" s="141"/>
      <c r="AI1048459" s="141"/>
      <c r="AP1048459" s="141"/>
      <c r="AQ1048459" s="141"/>
      <c r="AR1048459" s="141"/>
      <c r="AV1048459" s="141"/>
      <c r="AW1048459" s="141"/>
      <c r="AX1048459" s="141"/>
      <c r="BP1048459" s="142"/>
      <c r="BU1048459" s="143"/>
    </row>
    <row r="1048460" customFormat="1" ht="14.25" spans="33:73">
      <c r="AG1048460" s="141"/>
      <c r="AH1048460" s="141"/>
      <c r="AI1048460" s="141"/>
      <c r="AP1048460" s="141"/>
      <c r="AQ1048460" s="141"/>
      <c r="AR1048460" s="141"/>
      <c r="AV1048460" s="141"/>
      <c r="AW1048460" s="141"/>
      <c r="AX1048460" s="141"/>
      <c r="BP1048460" s="142"/>
      <c r="BU1048460" s="143"/>
    </row>
    <row r="1048461" customFormat="1" ht="14.25" spans="33:73">
      <c r="AG1048461" s="141"/>
      <c r="AH1048461" s="141"/>
      <c r="AI1048461" s="141"/>
      <c r="AP1048461" s="141"/>
      <c r="AQ1048461" s="141"/>
      <c r="AR1048461" s="141"/>
      <c r="AV1048461" s="141"/>
      <c r="AW1048461" s="141"/>
      <c r="AX1048461" s="141"/>
      <c r="BP1048461" s="142"/>
      <c r="BU1048461" s="143"/>
    </row>
    <row r="1048462" customFormat="1" ht="14.25" spans="33:73">
      <c r="AG1048462" s="141"/>
      <c r="AH1048462" s="141"/>
      <c r="AI1048462" s="141"/>
      <c r="AP1048462" s="141"/>
      <c r="AQ1048462" s="141"/>
      <c r="AR1048462" s="141"/>
      <c r="AV1048462" s="141"/>
      <c r="AW1048462" s="141"/>
      <c r="AX1048462" s="141"/>
      <c r="BP1048462" s="142"/>
      <c r="BU1048462" s="143"/>
    </row>
    <row r="1048463" customFormat="1" ht="14.25" spans="33:73">
      <c r="AG1048463" s="141"/>
      <c r="AH1048463" s="141"/>
      <c r="AI1048463" s="141"/>
      <c r="AP1048463" s="141"/>
      <c r="AQ1048463" s="141"/>
      <c r="AR1048463" s="141"/>
      <c r="AV1048463" s="141"/>
      <c r="AW1048463" s="141"/>
      <c r="AX1048463" s="141"/>
      <c r="BP1048463" s="142"/>
      <c r="BU1048463" s="143"/>
    </row>
    <row r="1048464" customFormat="1" ht="14.25" spans="33:73">
      <c r="AG1048464" s="141"/>
      <c r="AH1048464" s="141"/>
      <c r="AI1048464" s="141"/>
      <c r="AP1048464" s="141"/>
      <c r="AQ1048464" s="141"/>
      <c r="AR1048464" s="141"/>
      <c r="AV1048464" s="141"/>
      <c r="AW1048464" s="141"/>
      <c r="AX1048464" s="141"/>
      <c r="BP1048464" s="142"/>
      <c r="BU1048464" s="143"/>
    </row>
    <row r="1048465" customFormat="1" ht="14.25" spans="33:73">
      <c r="AG1048465" s="141"/>
      <c r="AH1048465" s="141"/>
      <c r="AI1048465" s="141"/>
      <c r="AP1048465" s="141"/>
      <c r="AQ1048465" s="141"/>
      <c r="AR1048465" s="141"/>
      <c r="AV1048465" s="141"/>
      <c r="AW1048465" s="141"/>
      <c r="AX1048465" s="141"/>
      <c r="BP1048465" s="142"/>
      <c r="BU1048465" s="143"/>
    </row>
    <row r="1048466" customFormat="1" ht="14.25" spans="33:73">
      <c r="AG1048466" s="141"/>
      <c r="AH1048466" s="141"/>
      <c r="AI1048466" s="141"/>
      <c r="AP1048466" s="141"/>
      <c r="AQ1048466" s="141"/>
      <c r="AR1048466" s="141"/>
      <c r="AV1048466" s="141"/>
      <c r="AW1048466" s="141"/>
      <c r="AX1048466" s="141"/>
      <c r="BP1048466" s="142"/>
      <c r="BU1048466" s="143"/>
    </row>
    <row r="1048467" customFormat="1" ht="14.25" spans="33:73">
      <c r="AG1048467" s="141"/>
      <c r="AH1048467" s="141"/>
      <c r="AI1048467" s="141"/>
      <c r="AP1048467" s="141"/>
      <c r="AQ1048467" s="141"/>
      <c r="AR1048467" s="141"/>
      <c r="AV1048467" s="141"/>
      <c r="AW1048467" s="141"/>
      <c r="AX1048467" s="141"/>
      <c r="BP1048467" s="142"/>
      <c r="BU1048467" s="143"/>
    </row>
    <row r="1048468" customFormat="1" ht="14.25" spans="33:73">
      <c r="AG1048468" s="141"/>
      <c r="AH1048468" s="141"/>
      <c r="AI1048468" s="141"/>
      <c r="AP1048468" s="141"/>
      <c r="AQ1048468" s="141"/>
      <c r="AR1048468" s="141"/>
      <c r="AV1048468" s="141"/>
      <c r="AW1048468" s="141"/>
      <c r="AX1048468" s="141"/>
      <c r="BP1048468" s="142"/>
      <c r="BU1048468" s="143"/>
    </row>
    <row r="1048469" customFormat="1" ht="14.25" spans="33:73">
      <c r="AG1048469" s="141"/>
      <c r="AH1048469" s="141"/>
      <c r="AI1048469" s="141"/>
      <c r="AP1048469" s="141"/>
      <c r="AQ1048469" s="141"/>
      <c r="AR1048469" s="141"/>
      <c r="AV1048469" s="141"/>
      <c r="AW1048469" s="141"/>
      <c r="AX1048469" s="141"/>
      <c r="BP1048469" s="142"/>
      <c r="BU1048469" s="143"/>
    </row>
    <row r="1048470" customFormat="1" ht="14.25" spans="33:73">
      <c r="AG1048470" s="141"/>
      <c r="AH1048470" s="141"/>
      <c r="AI1048470" s="141"/>
      <c r="AP1048470" s="141"/>
      <c r="AQ1048470" s="141"/>
      <c r="AR1048470" s="141"/>
      <c r="AV1048470" s="141"/>
      <c r="AW1048470" s="141"/>
      <c r="AX1048470" s="141"/>
      <c r="BP1048470" s="142"/>
      <c r="BU1048470" s="143"/>
    </row>
    <row r="1048471" customFormat="1" ht="14.25" spans="33:73">
      <c r="AG1048471" s="141"/>
      <c r="AH1048471" s="141"/>
      <c r="AI1048471" s="141"/>
      <c r="AP1048471" s="141"/>
      <c r="AQ1048471" s="141"/>
      <c r="AR1048471" s="141"/>
      <c r="AV1048471" s="141"/>
      <c r="AW1048471" s="141"/>
      <c r="AX1048471" s="141"/>
      <c r="BP1048471" s="142"/>
      <c r="BU1048471" s="143"/>
    </row>
    <row r="1048472" customFormat="1" ht="14.25" spans="33:73">
      <c r="AG1048472" s="141"/>
      <c r="AH1048472" s="141"/>
      <c r="AI1048472" s="141"/>
      <c r="AP1048472" s="141"/>
      <c r="AQ1048472" s="141"/>
      <c r="AR1048472" s="141"/>
      <c r="AV1048472" s="141"/>
      <c r="AW1048472" s="141"/>
      <c r="AX1048472" s="141"/>
      <c r="BP1048472" s="142"/>
      <c r="BU1048472" s="143"/>
    </row>
    <row r="1048473" customFormat="1" ht="14.25" spans="33:73">
      <c r="AG1048473" s="141"/>
      <c r="AH1048473" s="141"/>
      <c r="AI1048473" s="141"/>
      <c r="AP1048473" s="141"/>
      <c r="AQ1048473" s="141"/>
      <c r="AR1048473" s="141"/>
      <c r="AV1048473" s="141"/>
      <c r="AW1048473" s="141"/>
      <c r="AX1048473" s="141"/>
      <c r="BP1048473" s="142"/>
      <c r="BU1048473" s="143"/>
    </row>
    <row r="1048474" customFormat="1" ht="14.25" spans="33:73">
      <c r="AG1048474" s="141"/>
      <c r="AH1048474" s="141"/>
      <c r="AI1048474" s="141"/>
      <c r="AP1048474" s="141"/>
      <c r="AQ1048474" s="141"/>
      <c r="AR1048474" s="141"/>
      <c r="AV1048474" s="141"/>
      <c r="AW1048474" s="141"/>
      <c r="AX1048474" s="141"/>
      <c r="BP1048474" s="142"/>
      <c r="BU1048474" s="143"/>
    </row>
    <row r="1048475" customFormat="1" ht="14.25" spans="33:73">
      <c r="AG1048475" s="141"/>
      <c r="AH1048475" s="141"/>
      <c r="AI1048475" s="141"/>
      <c r="AP1048475" s="141"/>
      <c r="AQ1048475" s="141"/>
      <c r="AR1048475" s="141"/>
      <c r="AV1048475" s="141"/>
      <c r="AW1048475" s="141"/>
      <c r="AX1048475" s="141"/>
      <c r="BP1048475" s="142"/>
      <c r="BU1048475" s="143"/>
    </row>
    <row r="1048476" customFormat="1" ht="14.25" spans="33:73">
      <c r="AG1048476" s="141"/>
      <c r="AH1048476" s="141"/>
      <c r="AI1048476" s="141"/>
      <c r="AP1048476" s="141"/>
      <c r="AQ1048476" s="141"/>
      <c r="AR1048476" s="141"/>
      <c r="AV1048476" s="141"/>
      <c r="AW1048476" s="141"/>
      <c r="AX1048476" s="141"/>
      <c r="BP1048476" s="142"/>
      <c r="BU1048476" s="143"/>
    </row>
    <row r="1048477" customFormat="1" ht="14.25" spans="33:73">
      <c r="AG1048477" s="141"/>
      <c r="AH1048477" s="141"/>
      <c r="AI1048477" s="141"/>
      <c r="AP1048477" s="141"/>
      <c r="AQ1048477" s="141"/>
      <c r="AR1048477" s="141"/>
      <c r="AV1048477" s="141"/>
      <c r="AW1048477" s="141"/>
      <c r="AX1048477" s="141"/>
      <c r="BP1048477" s="142"/>
      <c r="BU1048477" s="143"/>
    </row>
    <row r="1048478" customFormat="1" ht="14.25" spans="33:73">
      <c r="AG1048478" s="141"/>
      <c r="AH1048478" s="141"/>
      <c r="AI1048478" s="141"/>
      <c r="AP1048478" s="141"/>
      <c r="AQ1048478" s="141"/>
      <c r="AR1048478" s="141"/>
      <c r="AV1048478" s="141"/>
      <c r="AW1048478" s="141"/>
      <c r="AX1048478" s="141"/>
      <c r="BP1048478" s="142"/>
      <c r="BU1048478" s="143"/>
    </row>
    <row r="1048479" customFormat="1" ht="14.25" spans="33:73">
      <c r="AG1048479" s="141"/>
      <c r="AH1048479" s="141"/>
      <c r="AI1048479" s="141"/>
      <c r="AP1048479" s="141"/>
      <c r="AQ1048479" s="141"/>
      <c r="AR1048479" s="141"/>
      <c r="AV1048479" s="141"/>
      <c r="AW1048479" s="141"/>
      <c r="AX1048479" s="141"/>
      <c r="BP1048479" s="142"/>
      <c r="BU1048479" s="143"/>
    </row>
    <row r="1048480" customFormat="1" ht="14.25" spans="33:73">
      <c r="AG1048480" s="141"/>
      <c r="AH1048480" s="141"/>
      <c r="AI1048480" s="141"/>
      <c r="AP1048480" s="141"/>
      <c r="AQ1048480" s="141"/>
      <c r="AR1048480" s="141"/>
      <c r="AV1048480" s="141"/>
      <c r="AW1048480" s="141"/>
      <c r="AX1048480" s="141"/>
      <c r="BP1048480" s="142"/>
      <c r="BU1048480" s="143"/>
    </row>
    <row r="1048481" customFormat="1" ht="14.25" spans="33:73">
      <c r="AG1048481" s="141"/>
      <c r="AH1048481" s="141"/>
      <c r="AI1048481" s="141"/>
      <c r="AP1048481" s="141"/>
      <c r="AQ1048481" s="141"/>
      <c r="AR1048481" s="141"/>
      <c r="AV1048481" s="141"/>
      <c r="AW1048481" s="141"/>
      <c r="AX1048481" s="141"/>
      <c r="BP1048481" s="142"/>
      <c r="BU1048481" s="143"/>
    </row>
    <row r="1048482" customFormat="1" ht="14.25" spans="33:73">
      <c r="AG1048482" s="141"/>
      <c r="AH1048482" s="141"/>
      <c r="AI1048482" s="141"/>
      <c r="AP1048482" s="141"/>
      <c r="AQ1048482" s="141"/>
      <c r="AR1048482" s="141"/>
      <c r="AV1048482" s="141"/>
      <c r="AW1048482" s="141"/>
      <c r="AX1048482" s="141"/>
      <c r="BP1048482" s="142"/>
      <c r="BU1048482" s="143"/>
    </row>
    <row r="1048483" customFormat="1" ht="14.25" spans="33:73">
      <c r="AG1048483" s="141"/>
      <c r="AH1048483" s="141"/>
      <c r="AI1048483" s="141"/>
      <c r="AP1048483" s="141"/>
      <c r="AQ1048483" s="141"/>
      <c r="AR1048483" s="141"/>
      <c r="AV1048483" s="141"/>
      <c r="AW1048483" s="141"/>
      <c r="AX1048483" s="141"/>
      <c r="BP1048483" s="142"/>
      <c r="BU1048483" s="143"/>
    </row>
    <row r="1048484" customFormat="1" ht="14.25" spans="33:73">
      <c r="AG1048484" s="141"/>
      <c r="AH1048484" s="141"/>
      <c r="AI1048484" s="141"/>
      <c r="AP1048484" s="141"/>
      <c r="AQ1048484" s="141"/>
      <c r="AR1048484" s="141"/>
      <c r="AV1048484" s="141"/>
      <c r="AW1048484" s="141"/>
      <c r="AX1048484" s="141"/>
      <c r="BP1048484" s="142"/>
      <c r="BU1048484" s="143"/>
    </row>
    <row r="1048485" customFormat="1" ht="14.25" spans="33:73">
      <c r="AG1048485" s="141"/>
      <c r="AH1048485" s="141"/>
      <c r="AI1048485" s="141"/>
      <c r="AP1048485" s="141"/>
      <c r="AQ1048485" s="141"/>
      <c r="AR1048485" s="141"/>
      <c r="AV1048485" s="141"/>
      <c r="AW1048485" s="141"/>
      <c r="AX1048485" s="141"/>
      <c r="BP1048485" s="142"/>
      <c r="BU1048485" s="143"/>
    </row>
    <row r="1048486" customFormat="1" ht="14.25" spans="33:73">
      <c r="AG1048486" s="141"/>
      <c r="AH1048486" s="141"/>
      <c r="AI1048486" s="141"/>
      <c r="AP1048486" s="141"/>
      <c r="AQ1048486" s="141"/>
      <c r="AR1048486" s="141"/>
      <c r="AV1048486" s="141"/>
      <c r="AW1048486" s="141"/>
      <c r="AX1048486" s="141"/>
      <c r="BP1048486" s="142"/>
      <c r="BU1048486" s="143"/>
    </row>
    <row r="1048487" customFormat="1" ht="14.25" spans="33:73">
      <c r="AG1048487" s="141"/>
      <c r="AH1048487" s="141"/>
      <c r="AI1048487" s="141"/>
      <c r="AP1048487" s="141"/>
      <c r="AQ1048487" s="141"/>
      <c r="AR1048487" s="141"/>
      <c r="AV1048487" s="141"/>
      <c r="AW1048487" s="141"/>
      <c r="AX1048487" s="141"/>
      <c r="BP1048487" s="142"/>
      <c r="BU1048487" s="143"/>
    </row>
    <row r="1048488" customFormat="1" ht="14.25" spans="33:73">
      <c r="AG1048488" s="141"/>
      <c r="AH1048488" s="141"/>
      <c r="AI1048488" s="141"/>
      <c r="AP1048488" s="141"/>
      <c r="AQ1048488" s="141"/>
      <c r="AR1048488" s="141"/>
      <c r="AV1048488" s="141"/>
      <c r="AW1048488" s="141"/>
      <c r="AX1048488" s="141"/>
      <c r="BP1048488" s="142"/>
      <c r="BU1048488" s="143"/>
    </row>
    <row r="1048489" customFormat="1" ht="14.25" spans="33:73">
      <c r="AG1048489" s="141"/>
      <c r="AH1048489" s="141"/>
      <c r="AI1048489" s="141"/>
      <c r="AP1048489" s="141"/>
      <c r="AQ1048489" s="141"/>
      <c r="AR1048489" s="141"/>
      <c r="AV1048489" s="141"/>
      <c r="AW1048489" s="141"/>
      <c r="AX1048489" s="141"/>
      <c r="BP1048489" s="142"/>
      <c r="BU1048489" s="143"/>
    </row>
    <row r="1048490" customFormat="1" ht="14.25" spans="33:73">
      <c r="AG1048490" s="141"/>
      <c r="AH1048490" s="141"/>
      <c r="AI1048490" s="141"/>
      <c r="AP1048490" s="141"/>
      <c r="AQ1048490" s="141"/>
      <c r="AR1048490" s="141"/>
      <c r="AV1048490" s="141"/>
      <c r="AW1048490" s="141"/>
      <c r="AX1048490" s="141"/>
      <c r="BP1048490" s="142"/>
      <c r="BU1048490" s="143"/>
    </row>
    <row r="1048491" customFormat="1" ht="14.25" spans="33:73">
      <c r="AG1048491" s="141"/>
      <c r="AH1048491" s="141"/>
      <c r="AI1048491" s="141"/>
      <c r="AP1048491" s="141"/>
      <c r="AQ1048491" s="141"/>
      <c r="AR1048491" s="141"/>
      <c r="AV1048491" s="141"/>
      <c r="AW1048491" s="141"/>
      <c r="AX1048491" s="141"/>
      <c r="BP1048491" s="142"/>
      <c r="BU1048491" s="143"/>
    </row>
    <row r="1048492" customFormat="1" ht="14.25" spans="33:73">
      <c r="AG1048492" s="141"/>
      <c r="AH1048492" s="141"/>
      <c r="AI1048492" s="141"/>
      <c r="AP1048492" s="141"/>
      <c r="AQ1048492" s="141"/>
      <c r="AR1048492" s="141"/>
      <c r="AV1048492" s="141"/>
      <c r="AW1048492" s="141"/>
      <c r="AX1048492" s="141"/>
      <c r="BP1048492" s="142"/>
      <c r="BU1048492" s="143"/>
    </row>
    <row r="1048493" customFormat="1" ht="14.25" spans="33:73">
      <c r="AG1048493" s="141"/>
      <c r="AH1048493" s="141"/>
      <c r="AI1048493" s="141"/>
      <c r="AP1048493" s="141"/>
      <c r="AQ1048493" s="141"/>
      <c r="AR1048493" s="141"/>
      <c r="AV1048493" s="141"/>
      <c r="AW1048493" s="141"/>
      <c r="AX1048493" s="141"/>
      <c r="BP1048493" s="142"/>
      <c r="BU1048493" s="143"/>
    </row>
    <row r="1048494" customFormat="1" ht="14.25" spans="33:73">
      <c r="AG1048494" s="141"/>
      <c r="AH1048494" s="141"/>
      <c r="AI1048494" s="141"/>
      <c r="AP1048494" s="141"/>
      <c r="AQ1048494" s="141"/>
      <c r="AR1048494" s="141"/>
      <c r="AV1048494" s="141"/>
      <c r="AW1048494" s="141"/>
      <c r="AX1048494" s="141"/>
      <c r="BP1048494" s="142"/>
      <c r="BU1048494" s="143"/>
    </row>
    <row r="1048495" customFormat="1" ht="14.25" spans="33:73">
      <c r="AG1048495" s="141"/>
      <c r="AH1048495" s="141"/>
      <c r="AI1048495" s="141"/>
      <c r="AP1048495" s="141"/>
      <c r="AQ1048495" s="141"/>
      <c r="AR1048495" s="141"/>
      <c r="AV1048495" s="141"/>
      <c r="AW1048495" s="141"/>
      <c r="AX1048495" s="141"/>
      <c r="BP1048495" s="142"/>
      <c r="BU1048495" s="143"/>
    </row>
    <row r="1048496" customFormat="1" ht="14.25" spans="33:73">
      <c r="AG1048496" s="141"/>
      <c r="AH1048496" s="141"/>
      <c r="AI1048496" s="141"/>
      <c r="AP1048496" s="141"/>
      <c r="AQ1048496" s="141"/>
      <c r="AR1048496" s="141"/>
      <c r="AV1048496" s="141"/>
      <c r="AW1048496" s="141"/>
      <c r="AX1048496" s="141"/>
      <c r="BP1048496" s="142"/>
      <c r="BU1048496" s="143"/>
    </row>
    <row r="1048497" customFormat="1" ht="14.25" spans="33:73">
      <c r="AG1048497" s="141"/>
      <c r="AH1048497" s="141"/>
      <c r="AI1048497" s="141"/>
      <c r="AP1048497" s="141"/>
      <c r="AQ1048497" s="141"/>
      <c r="AR1048497" s="141"/>
      <c r="AV1048497" s="141"/>
      <c r="AW1048497" s="141"/>
      <c r="AX1048497" s="141"/>
      <c r="BP1048497" s="142"/>
      <c r="BU1048497" s="143"/>
    </row>
    <row r="1048498" customFormat="1" ht="14.25" spans="33:73">
      <c r="AG1048498" s="141"/>
      <c r="AH1048498" s="141"/>
      <c r="AI1048498" s="141"/>
      <c r="AP1048498" s="141"/>
      <c r="AQ1048498" s="141"/>
      <c r="AR1048498" s="141"/>
      <c r="AV1048498" s="141"/>
      <c r="AW1048498" s="141"/>
      <c r="AX1048498" s="141"/>
      <c r="BP1048498" s="142"/>
      <c r="BU1048498" s="143"/>
    </row>
    <row r="1048499" customFormat="1" ht="14.25" spans="33:73">
      <c r="AG1048499" s="141"/>
      <c r="AH1048499" s="141"/>
      <c r="AI1048499" s="141"/>
      <c r="AP1048499" s="141"/>
      <c r="AQ1048499" s="141"/>
      <c r="AR1048499" s="141"/>
      <c r="AV1048499" s="141"/>
      <c r="AW1048499" s="141"/>
      <c r="AX1048499" s="141"/>
      <c r="BP1048499" s="142"/>
      <c r="BU1048499" s="143"/>
    </row>
    <row r="1048500" customFormat="1" ht="14.25" spans="33:73">
      <c r="AG1048500" s="141"/>
      <c r="AH1048500" s="141"/>
      <c r="AI1048500" s="141"/>
      <c r="AP1048500" s="141"/>
      <c r="AQ1048500" s="141"/>
      <c r="AR1048500" s="141"/>
      <c r="AV1048500" s="141"/>
      <c r="AW1048500" s="141"/>
      <c r="AX1048500" s="141"/>
      <c r="BP1048500" s="142"/>
      <c r="BU1048500" s="143"/>
    </row>
    <row r="1048501" customFormat="1" ht="14.25" spans="33:73">
      <c r="AG1048501" s="141"/>
      <c r="AH1048501" s="141"/>
      <c r="AI1048501" s="141"/>
      <c r="AP1048501" s="141"/>
      <c r="AQ1048501" s="141"/>
      <c r="AR1048501" s="141"/>
      <c r="AV1048501" s="141"/>
      <c r="AW1048501" s="141"/>
      <c r="AX1048501" s="141"/>
      <c r="BP1048501" s="142"/>
      <c r="BU1048501" s="143"/>
    </row>
    <row r="1048502" customFormat="1" ht="14.25" spans="33:73">
      <c r="AG1048502" s="141"/>
      <c r="AH1048502" s="141"/>
      <c r="AI1048502" s="141"/>
      <c r="AP1048502" s="141"/>
      <c r="AQ1048502" s="141"/>
      <c r="AR1048502" s="141"/>
      <c r="AV1048502" s="141"/>
      <c r="AW1048502" s="141"/>
      <c r="AX1048502" s="141"/>
      <c r="BP1048502" s="142"/>
      <c r="BU1048502" s="143"/>
    </row>
    <row r="1048503" customFormat="1" ht="14.25" spans="33:73">
      <c r="AG1048503" s="141"/>
      <c r="AH1048503" s="141"/>
      <c r="AI1048503" s="141"/>
      <c r="AP1048503" s="141"/>
      <c r="AQ1048503" s="141"/>
      <c r="AR1048503" s="141"/>
      <c r="AV1048503" s="141"/>
      <c r="AW1048503" s="141"/>
      <c r="AX1048503" s="141"/>
      <c r="BP1048503" s="142"/>
      <c r="BU1048503" s="143"/>
    </row>
    <row r="1048504" customFormat="1" ht="14.25" spans="33:73">
      <c r="AG1048504" s="141"/>
      <c r="AH1048504" s="141"/>
      <c r="AI1048504" s="141"/>
      <c r="AP1048504" s="141"/>
      <c r="AQ1048504" s="141"/>
      <c r="AR1048504" s="141"/>
      <c r="AV1048504" s="141"/>
      <c r="AW1048504" s="141"/>
      <c r="AX1048504" s="141"/>
      <c r="BP1048504" s="142"/>
      <c r="BU1048504" s="143"/>
    </row>
    <row r="1048505" customFormat="1" ht="14.25" spans="33:73">
      <c r="AG1048505" s="141"/>
      <c r="AH1048505" s="141"/>
      <c r="AI1048505" s="141"/>
      <c r="AP1048505" s="141"/>
      <c r="AQ1048505" s="141"/>
      <c r="AR1048505" s="141"/>
      <c r="AV1048505" s="141"/>
      <c r="AW1048505" s="141"/>
      <c r="AX1048505" s="141"/>
      <c r="BP1048505" s="142"/>
      <c r="BU1048505" s="143"/>
    </row>
    <row r="1048506" customFormat="1" ht="14.25" spans="33:73">
      <c r="AG1048506" s="141"/>
      <c r="AH1048506" s="141"/>
      <c r="AI1048506" s="141"/>
      <c r="AP1048506" s="141"/>
      <c r="AQ1048506" s="141"/>
      <c r="AR1048506" s="141"/>
      <c r="AV1048506" s="141"/>
      <c r="AW1048506" s="141"/>
      <c r="AX1048506" s="141"/>
      <c r="BP1048506" s="142"/>
      <c r="BU1048506" s="143"/>
    </row>
    <row r="1048507" customFormat="1" ht="14.25" spans="33:73">
      <c r="AG1048507" s="141"/>
      <c r="AH1048507" s="141"/>
      <c r="AI1048507" s="141"/>
      <c r="AP1048507" s="141"/>
      <c r="AQ1048507" s="141"/>
      <c r="AR1048507" s="141"/>
      <c r="AV1048507" s="141"/>
      <c r="AW1048507" s="141"/>
      <c r="AX1048507" s="141"/>
      <c r="BP1048507" s="142"/>
      <c r="BU1048507" s="143"/>
    </row>
    <row r="1048508" customFormat="1" ht="14.25" spans="33:73">
      <c r="AG1048508" s="141"/>
      <c r="AH1048508" s="141"/>
      <c r="AI1048508" s="141"/>
      <c r="AP1048508" s="141"/>
      <c r="AQ1048508" s="141"/>
      <c r="AR1048508" s="141"/>
      <c r="AV1048508" s="141"/>
      <c r="AW1048508" s="141"/>
      <c r="AX1048508" s="141"/>
      <c r="BP1048508" s="142"/>
      <c r="BU1048508" s="143"/>
    </row>
    <row r="1048509" customFormat="1" ht="14.25" spans="33:73">
      <c r="AG1048509" s="141"/>
      <c r="AH1048509" s="141"/>
      <c r="AI1048509" s="141"/>
      <c r="AP1048509" s="141"/>
      <c r="AQ1048509" s="141"/>
      <c r="AR1048509" s="141"/>
      <c r="AV1048509" s="141"/>
      <c r="AW1048509" s="141"/>
      <c r="AX1048509" s="141"/>
      <c r="BP1048509" s="142"/>
      <c r="BU1048509" s="143"/>
    </row>
    <row r="1048510" customFormat="1" ht="14.25" spans="33:73">
      <c r="AG1048510" s="141"/>
      <c r="AH1048510" s="141"/>
      <c r="AI1048510" s="141"/>
      <c r="AP1048510" s="141"/>
      <c r="AQ1048510" s="141"/>
      <c r="AR1048510" s="141"/>
      <c r="AV1048510" s="141"/>
      <c r="AW1048510" s="141"/>
      <c r="AX1048510" s="141"/>
      <c r="BP1048510" s="142"/>
      <c r="BU1048510" s="143"/>
    </row>
    <row r="1048511" customFormat="1" ht="14.25" spans="33:73">
      <c r="AG1048511" s="141"/>
      <c r="AH1048511" s="141"/>
      <c r="AI1048511" s="141"/>
      <c r="AP1048511" s="141"/>
      <c r="AQ1048511" s="141"/>
      <c r="AR1048511" s="141"/>
      <c r="AV1048511" s="141"/>
      <c r="AW1048511" s="141"/>
      <c r="AX1048511" s="141"/>
      <c r="BP1048511" s="142"/>
      <c r="BU1048511" s="143"/>
    </row>
    <row r="1048512" customFormat="1" ht="14.25" spans="33:73">
      <c r="AG1048512" s="141"/>
      <c r="AH1048512" s="141"/>
      <c r="AI1048512" s="141"/>
      <c r="AP1048512" s="141"/>
      <c r="AQ1048512" s="141"/>
      <c r="AR1048512" s="141"/>
      <c r="AV1048512" s="141"/>
      <c r="AW1048512" s="141"/>
      <c r="AX1048512" s="141"/>
      <c r="BP1048512" s="142"/>
      <c r="BU1048512" s="143"/>
    </row>
    <row r="1048513" customFormat="1" ht="14.25" spans="33:73">
      <c r="AG1048513" s="141"/>
      <c r="AH1048513" s="141"/>
      <c r="AI1048513" s="141"/>
      <c r="AP1048513" s="141"/>
      <c r="AQ1048513" s="141"/>
      <c r="AR1048513" s="141"/>
      <c r="AV1048513" s="141"/>
      <c r="AW1048513" s="141"/>
      <c r="AX1048513" s="141"/>
      <c r="BP1048513" s="142"/>
      <c r="BU1048513" s="143"/>
    </row>
    <row r="1048514" customFormat="1" ht="14.25" spans="33:73">
      <c r="AG1048514" s="141"/>
      <c r="AH1048514" s="141"/>
      <c r="AI1048514" s="141"/>
      <c r="AP1048514" s="141"/>
      <c r="AQ1048514" s="141"/>
      <c r="AR1048514" s="141"/>
      <c r="AV1048514" s="141"/>
      <c r="AW1048514" s="141"/>
      <c r="AX1048514" s="141"/>
      <c r="BP1048514" s="142"/>
      <c r="BU1048514" s="143"/>
    </row>
    <row r="1048515" customFormat="1" ht="14.25" spans="33:73">
      <c r="AG1048515" s="141"/>
      <c r="AH1048515" s="141"/>
      <c r="AI1048515" s="141"/>
      <c r="AP1048515" s="141"/>
      <c r="AQ1048515" s="141"/>
      <c r="AR1048515" s="141"/>
      <c r="AV1048515" s="141"/>
      <c r="AW1048515" s="141"/>
      <c r="AX1048515" s="141"/>
      <c r="BP1048515" s="142"/>
      <c r="BU1048515" s="143"/>
    </row>
    <row r="1048516" customFormat="1" ht="14.25" spans="33:73">
      <c r="AG1048516" s="141"/>
      <c r="AH1048516" s="141"/>
      <c r="AI1048516" s="141"/>
      <c r="AP1048516" s="141"/>
      <c r="AQ1048516" s="141"/>
      <c r="AR1048516" s="141"/>
      <c r="AV1048516" s="141"/>
      <c r="AW1048516" s="141"/>
      <c r="AX1048516" s="141"/>
      <c r="BP1048516" s="142"/>
      <c r="BU1048516" s="143"/>
    </row>
    <row r="1048517" customFormat="1" ht="14.25" spans="33:73">
      <c r="AG1048517" s="141"/>
      <c r="AH1048517" s="141"/>
      <c r="AI1048517" s="141"/>
      <c r="AP1048517" s="141"/>
      <c r="AQ1048517" s="141"/>
      <c r="AR1048517" s="141"/>
      <c r="AV1048517" s="141"/>
      <c r="AW1048517" s="141"/>
      <c r="AX1048517" s="141"/>
      <c r="BP1048517" s="142"/>
      <c r="BU1048517" s="143"/>
    </row>
    <row r="1048518" customFormat="1" ht="14.25" spans="33:73">
      <c r="AG1048518" s="141"/>
      <c r="AH1048518" s="141"/>
      <c r="AI1048518" s="141"/>
      <c r="AP1048518" s="141"/>
      <c r="AQ1048518" s="141"/>
      <c r="AR1048518" s="141"/>
      <c r="AV1048518" s="141"/>
      <c r="AW1048518" s="141"/>
      <c r="AX1048518" s="141"/>
      <c r="BP1048518" s="142"/>
      <c r="BU1048518" s="143"/>
    </row>
    <row r="1048519" customFormat="1" ht="14.25" spans="33:73">
      <c r="AG1048519" s="141"/>
      <c r="AH1048519" s="141"/>
      <c r="AI1048519" s="141"/>
      <c r="AP1048519" s="141"/>
      <c r="AQ1048519" s="141"/>
      <c r="AR1048519" s="141"/>
      <c r="AV1048519" s="141"/>
      <c r="AW1048519" s="141"/>
      <c r="AX1048519" s="141"/>
      <c r="BP1048519" s="142"/>
      <c r="BU1048519" s="143"/>
    </row>
  </sheetData>
  <autoFilter xmlns:etc="http://www.wps.cn/officeDocument/2017/etCustomData" ref="A4:BW4" etc:filterBottomFollowUsedRange="0">
    <extLst/>
  </autoFilter>
  <mergeCells count="17">
    <mergeCell ref="A1:Z1"/>
    <mergeCell ref="AG2:AY2"/>
    <mergeCell ref="AZ2:BU2"/>
    <mergeCell ref="A3:Y3"/>
    <mergeCell ref="Z3:AE3"/>
    <mergeCell ref="AG3:AI3"/>
    <mergeCell ref="AJ3:AL3"/>
    <mergeCell ref="AM3:AO3"/>
    <mergeCell ref="AP3:AR3"/>
    <mergeCell ref="AS3:AU3"/>
    <mergeCell ref="AV3:AX3"/>
    <mergeCell ref="AZ3:BH3"/>
    <mergeCell ref="BI3:BJ3"/>
    <mergeCell ref="BK3:BQ3"/>
    <mergeCell ref="BR3:BT3"/>
    <mergeCell ref="BU3:BU4"/>
    <mergeCell ref="BV2:BV4"/>
  </mergeCells>
  <conditionalFormatting sqref="A1:A4 B4:C4 B1:C2">
    <cfRule type="duplicateValues" dxfId="0" priority="1"/>
  </conditionalFormatting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29"/>
  <sheetViews>
    <sheetView tabSelected="1" zoomScale="85" zoomScaleNormal="85" workbookViewId="0">
      <pane xSplit="4" ySplit="5" topLeftCell="E93" activePane="bottomRight" state="frozen"/>
      <selection/>
      <selection pane="topRight"/>
      <selection pane="bottomLeft"/>
      <selection pane="bottomRight" activeCell="AM9" sqref="AM9"/>
    </sheetView>
  </sheetViews>
  <sheetFormatPr defaultColWidth="8.8" defaultRowHeight="14.25"/>
  <cols>
    <col min="3" max="3" width="8.8" hidden="1" outlineLevel="1"/>
    <col min="4" max="4" width="14.125" customWidth="1" collapsed="1"/>
    <col min="5" max="5" width="8.8" hidden="1" outlineLevel="1"/>
    <col min="6" max="6" width="21.175" customWidth="1" collapsed="1"/>
    <col min="7" max="7" width="14.275" customWidth="1"/>
    <col min="9" max="9" width="14.3416666666667" customWidth="1"/>
    <col min="13" max="15" width="8.8" hidden="1" outlineLevel="1"/>
    <col min="16" max="16" width="12.6916666666667" hidden="1" outlineLevel="1"/>
    <col min="17" max="20" width="8.8" hidden="1" outlineLevel="1"/>
    <col min="21" max="21" width="12.6916666666667" hidden="1" outlineLevel="1"/>
    <col min="22" max="26" width="8.8" hidden="1" outlineLevel="1"/>
    <col min="27" max="27" width="8.8" collapsed="1"/>
    <col min="30" max="30" width="9.71666666666667" customWidth="1"/>
    <col min="32" max="32" width="5.89166666666667" customWidth="1"/>
    <col min="33" max="33" width="6.475" customWidth="1"/>
    <col min="34" max="34" width="8.39166666666667" customWidth="1"/>
    <col min="36" max="36" width="8.8" style="7"/>
    <col min="38" max="40" width="8.9"/>
    <col min="42" max="42" width="10.5"/>
  </cols>
  <sheetData>
    <row r="1" ht="15" spans="1:43">
      <c r="A1" s="8"/>
      <c r="B1" s="9"/>
      <c r="C1" s="8"/>
      <c r="D1" s="8"/>
      <c r="E1" s="8"/>
      <c r="F1" s="8"/>
      <c r="G1" s="8"/>
      <c r="H1" s="10"/>
      <c r="I1" s="27"/>
      <c r="J1" s="27"/>
      <c r="K1" s="2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47"/>
      <c r="AK1" s="8"/>
      <c r="AL1" s="8"/>
      <c r="AM1" s="8"/>
      <c r="AN1" s="8"/>
      <c r="AO1" s="8"/>
      <c r="AP1" s="58">
        <f>SUM(AP6:AP36)</f>
        <v>0</v>
      </c>
      <c r="AQ1" s="8"/>
    </row>
    <row r="2" spans="1:43">
      <c r="A2" s="11" t="s">
        <v>134</v>
      </c>
      <c r="B2" s="12"/>
      <c r="C2" s="11" t="s">
        <v>135</v>
      </c>
      <c r="D2" s="13"/>
      <c r="E2" s="13"/>
      <c r="F2" s="13"/>
      <c r="G2" s="13"/>
      <c r="H2" s="13"/>
      <c r="I2" s="28" t="s">
        <v>136</v>
      </c>
      <c r="J2" s="29"/>
      <c r="K2" s="29"/>
      <c r="L2" s="13"/>
      <c r="M2" s="13"/>
      <c r="N2" s="13"/>
      <c r="O2" s="13"/>
      <c r="P2" s="13"/>
      <c r="Q2" s="40" t="s">
        <v>137</v>
      </c>
      <c r="R2" s="40"/>
      <c r="S2" s="40"/>
      <c r="T2" s="40"/>
      <c r="U2" s="40"/>
      <c r="V2" s="40" t="s">
        <v>138</v>
      </c>
      <c r="W2" s="40"/>
      <c r="X2" s="40"/>
      <c r="Y2" s="40"/>
      <c r="Z2" s="40"/>
      <c r="AA2" s="11" t="s">
        <v>139</v>
      </c>
      <c r="AB2" s="13"/>
      <c r="AC2" s="13"/>
      <c r="AD2" s="13"/>
      <c r="AE2" s="11" t="s">
        <v>140</v>
      </c>
      <c r="AF2" s="11"/>
      <c r="AG2" s="13"/>
      <c r="AH2" s="13"/>
      <c r="AI2" s="13"/>
      <c r="AJ2" s="48" t="s">
        <v>141</v>
      </c>
      <c r="AK2" s="13"/>
      <c r="AL2" s="13"/>
      <c r="AM2" s="13"/>
      <c r="AN2" s="13"/>
      <c r="AO2" s="13"/>
      <c r="AP2" s="13"/>
      <c r="AQ2" s="40" t="s">
        <v>142</v>
      </c>
    </row>
    <row r="3" ht="25.5" spans="1:43">
      <c r="A3" s="14" t="s">
        <v>86</v>
      </c>
      <c r="B3" s="15" t="s">
        <v>143</v>
      </c>
      <c r="C3" s="14" t="s">
        <v>144</v>
      </c>
      <c r="D3" s="14" t="s">
        <v>145</v>
      </c>
      <c r="E3" s="16" t="s">
        <v>146</v>
      </c>
      <c r="F3" s="14" t="s">
        <v>147</v>
      </c>
      <c r="G3" s="16" t="s">
        <v>148</v>
      </c>
      <c r="H3" s="17" t="s">
        <v>149</v>
      </c>
      <c r="I3" s="30" t="s">
        <v>150</v>
      </c>
      <c r="J3" s="30" t="s">
        <v>151</v>
      </c>
      <c r="K3" s="30" t="s">
        <v>152</v>
      </c>
      <c r="L3" s="14" t="s">
        <v>153</v>
      </c>
      <c r="M3" s="14" t="s">
        <v>154</v>
      </c>
      <c r="N3" s="14" t="s">
        <v>155</v>
      </c>
      <c r="O3" s="14" t="s">
        <v>156</v>
      </c>
      <c r="P3" s="31" t="s">
        <v>157</v>
      </c>
      <c r="Q3" s="16" t="s">
        <v>158</v>
      </c>
      <c r="R3" s="14" t="s">
        <v>154</v>
      </c>
      <c r="S3" s="14" t="s">
        <v>155</v>
      </c>
      <c r="T3" s="14" t="s">
        <v>156</v>
      </c>
      <c r="U3" s="16" t="s">
        <v>159</v>
      </c>
      <c r="V3" s="16" t="s">
        <v>160</v>
      </c>
      <c r="W3" s="14" t="s">
        <v>154</v>
      </c>
      <c r="X3" s="14" t="s">
        <v>155</v>
      </c>
      <c r="Y3" s="14" t="s">
        <v>156</v>
      </c>
      <c r="Z3" s="16" t="s">
        <v>161</v>
      </c>
      <c r="AA3" s="14" t="s">
        <v>162</v>
      </c>
      <c r="AB3" s="14" t="s">
        <v>48</v>
      </c>
      <c r="AC3" s="41" t="s">
        <v>163</v>
      </c>
      <c r="AD3" s="16" t="s">
        <v>40</v>
      </c>
      <c r="AE3" s="14" t="s">
        <v>164</v>
      </c>
      <c r="AF3" s="14" t="s">
        <v>165</v>
      </c>
      <c r="AG3" s="11" t="s">
        <v>166</v>
      </c>
      <c r="AH3" s="14" t="s">
        <v>167</v>
      </c>
      <c r="AI3" s="49" t="s">
        <v>168</v>
      </c>
      <c r="AJ3" s="50" t="s">
        <v>169</v>
      </c>
      <c r="AK3" s="14" t="s">
        <v>170</v>
      </c>
      <c r="AL3" s="14" t="s">
        <v>171</v>
      </c>
      <c r="AM3" s="14" t="s">
        <v>172</v>
      </c>
      <c r="AN3" s="14" t="s">
        <v>173</v>
      </c>
      <c r="AO3" s="14" t="s">
        <v>174</v>
      </c>
      <c r="AP3" s="59" t="s">
        <v>175</v>
      </c>
      <c r="AQ3" s="13"/>
    </row>
    <row r="4" ht="25.5" spans="1:43">
      <c r="A4" s="18" t="s">
        <v>176</v>
      </c>
      <c r="B4" s="19" t="s">
        <v>176</v>
      </c>
      <c r="C4" s="18" t="s">
        <v>176</v>
      </c>
      <c r="D4" s="18" t="s">
        <v>176</v>
      </c>
      <c r="E4" s="18" t="s">
        <v>176</v>
      </c>
      <c r="F4" s="18" t="s">
        <v>176</v>
      </c>
      <c r="G4" s="18" t="s">
        <v>176</v>
      </c>
      <c r="H4" s="20" t="s">
        <v>176</v>
      </c>
      <c r="I4" s="32" t="s">
        <v>176</v>
      </c>
      <c r="J4" s="32" t="s">
        <v>176</v>
      </c>
      <c r="K4" s="32" t="s">
        <v>176</v>
      </c>
      <c r="L4" s="18"/>
      <c r="M4" s="18" t="s">
        <v>177</v>
      </c>
      <c r="N4" s="18" t="s">
        <v>177</v>
      </c>
      <c r="O4" s="18" t="s">
        <v>177</v>
      </c>
      <c r="P4" s="33" t="s">
        <v>178</v>
      </c>
      <c r="Q4" s="18" t="s">
        <v>179</v>
      </c>
      <c r="R4" s="18" t="s">
        <v>177</v>
      </c>
      <c r="S4" s="18" t="s">
        <v>177</v>
      </c>
      <c r="T4" s="18" t="s">
        <v>177</v>
      </c>
      <c r="U4" s="18" t="s">
        <v>178</v>
      </c>
      <c r="V4" s="18" t="s">
        <v>180</v>
      </c>
      <c r="W4" s="18" t="s">
        <v>177</v>
      </c>
      <c r="X4" s="18" t="s">
        <v>177</v>
      </c>
      <c r="Y4" s="18" t="s">
        <v>177</v>
      </c>
      <c r="Z4" s="18" t="s">
        <v>178</v>
      </c>
      <c r="AA4" s="14" t="s">
        <v>181</v>
      </c>
      <c r="AB4" s="16" t="s">
        <v>182</v>
      </c>
      <c r="AC4" s="41" t="s">
        <v>183</v>
      </c>
      <c r="AD4" s="18"/>
      <c r="AE4" s="14" t="s">
        <v>183</v>
      </c>
      <c r="AF4" s="14" t="s">
        <v>183</v>
      </c>
      <c r="AG4" s="14" t="s">
        <v>183</v>
      </c>
      <c r="AH4" s="14" t="s">
        <v>183</v>
      </c>
      <c r="AI4" s="51" t="s">
        <v>184</v>
      </c>
      <c r="AJ4" s="52" t="s">
        <v>178</v>
      </c>
      <c r="AK4" s="18" t="s">
        <v>178</v>
      </c>
      <c r="AL4" s="14" t="s">
        <v>185</v>
      </c>
      <c r="AM4" s="14" t="s">
        <v>185</v>
      </c>
      <c r="AN4" s="18" t="s">
        <v>176</v>
      </c>
      <c r="AO4" s="18" t="s">
        <v>186</v>
      </c>
      <c r="AP4" s="60" t="s">
        <v>186</v>
      </c>
      <c r="AQ4" s="13"/>
    </row>
    <row r="5" ht="38.25" spans="1:43">
      <c r="A5" s="18" t="s">
        <v>187</v>
      </c>
      <c r="B5" s="19" t="s">
        <v>188</v>
      </c>
      <c r="C5" s="18" t="s">
        <v>189</v>
      </c>
      <c r="D5" s="18" t="s">
        <v>190</v>
      </c>
      <c r="E5" s="18" t="s">
        <v>191</v>
      </c>
      <c r="F5" s="18" t="s">
        <v>192</v>
      </c>
      <c r="G5" s="18" t="s">
        <v>193</v>
      </c>
      <c r="H5" s="20" t="s">
        <v>194</v>
      </c>
      <c r="I5" s="34" t="s">
        <v>195</v>
      </c>
      <c r="J5" s="32" t="s">
        <v>196</v>
      </c>
      <c r="K5" s="32" t="s">
        <v>197</v>
      </c>
      <c r="L5" s="18" t="s">
        <v>198</v>
      </c>
      <c r="M5" s="18" t="s">
        <v>199</v>
      </c>
      <c r="N5" s="18" t="s">
        <v>200</v>
      </c>
      <c r="O5" s="18" t="s">
        <v>201</v>
      </c>
      <c r="P5" s="33" t="s">
        <v>202</v>
      </c>
      <c r="Q5" s="18" t="s">
        <v>203</v>
      </c>
      <c r="R5" s="18" t="s">
        <v>199</v>
      </c>
      <c r="S5" s="18" t="s">
        <v>200</v>
      </c>
      <c r="T5" s="18" t="s">
        <v>201</v>
      </c>
      <c r="U5" s="18" t="s">
        <v>204</v>
      </c>
      <c r="V5" s="18" t="s">
        <v>205</v>
      </c>
      <c r="W5" s="18" t="s">
        <v>199</v>
      </c>
      <c r="X5" s="18" t="s">
        <v>200</v>
      </c>
      <c r="Y5" s="18" t="s">
        <v>201</v>
      </c>
      <c r="Z5" s="18" t="s">
        <v>206</v>
      </c>
      <c r="AA5" s="18" t="s">
        <v>207</v>
      </c>
      <c r="AB5" s="18" t="s">
        <v>208</v>
      </c>
      <c r="AC5" s="42" t="s">
        <v>209</v>
      </c>
      <c r="AD5" s="18" t="s">
        <v>210</v>
      </c>
      <c r="AE5" s="18" t="s">
        <v>211</v>
      </c>
      <c r="AF5" s="18" t="s">
        <v>212</v>
      </c>
      <c r="AG5" s="18" t="s">
        <v>213</v>
      </c>
      <c r="AH5" s="18" t="s">
        <v>214</v>
      </c>
      <c r="AI5" s="51" t="s">
        <v>215</v>
      </c>
      <c r="AJ5" s="52" t="s">
        <v>216</v>
      </c>
      <c r="AK5" s="18" t="s">
        <v>217</v>
      </c>
      <c r="AL5" s="18" t="s">
        <v>218</v>
      </c>
      <c r="AM5" s="18" t="s">
        <v>219</v>
      </c>
      <c r="AN5" s="18" t="s">
        <v>220</v>
      </c>
      <c r="AO5" s="18" t="s">
        <v>221</v>
      </c>
      <c r="AP5" s="60" t="s">
        <v>222</v>
      </c>
      <c r="AQ5" s="13" t="s">
        <v>223</v>
      </c>
    </row>
    <row r="6" spans="1:43">
      <c r="A6" s="21">
        <v>202508</v>
      </c>
      <c r="B6" s="22">
        <v>45870</v>
      </c>
      <c r="C6" s="21" t="s">
        <v>224</v>
      </c>
      <c r="D6" s="23" t="s">
        <v>62</v>
      </c>
      <c r="E6" s="23" t="s">
        <v>58</v>
      </c>
      <c r="F6" s="23" t="s">
        <v>54</v>
      </c>
      <c r="G6" s="23" t="s">
        <v>59</v>
      </c>
      <c r="H6" s="24">
        <v>45889</v>
      </c>
      <c r="I6" s="23" t="s">
        <v>61</v>
      </c>
      <c r="J6" s="23"/>
      <c r="K6" s="35" t="str">
        <f>VLOOKUP(I6,物品明细!A:B,2,0)</f>
        <v>金属储物柜71英寸银色</v>
      </c>
      <c r="L6" s="21"/>
      <c r="M6" s="36">
        <f>VLOOKUP(I6,物品明细!A:E,5,0)</f>
        <v>188</v>
      </c>
      <c r="N6" s="36">
        <f>VLOOKUP(I6,物品明细!A:F,6,0)</f>
        <v>49</v>
      </c>
      <c r="O6" s="36">
        <f>VLOOKUP(I6,物品明细!A:G,7,0)</f>
        <v>14</v>
      </c>
      <c r="P6" s="21">
        <f t="shared" ref="P6:P69" si="0">M6*N6*O6/1000000</f>
        <v>0.128968</v>
      </c>
      <c r="Q6" s="21"/>
      <c r="R6" s="36">
        <f>VLOOKUP(I6,物品明细!A:E,5,0)</f>
        <v>188</v>
      </c>
      <c r="S6" s="36">
        <f>VLOOKUP(I6,物品明细!A:F,6,0)</f>
        <v>49</v>
      </c>
      <c r="T6" s="36">
        <f>VLOOKUP(I6,物品明细!A:G,7,0)</f>
        <v>14</v>
      </c>
      <c r="U6" s="21">
        <f t="shared" ref="U6:U69" si="1">R6*S6*T6/1000000</f>
        <v>0.128968</v>
      </c>
      <c r="V6" s="21"/>
      <c r="W6" s="21"/>
      <c r="X6" s="21"/>
      <c r="Y6" s="21"/>
      <c r="Z6" s="21"/>
      <c r="AA6" s="43">
        <v>21</v>
      </c>
      <c r="AB6" s="43">
        <v>247</v>
      </c>
      <c r="AC6" s="43">
        <v>247</v>
      </c>
      <c r="AD6" s="21">
        <v>0</v>
      </c>
      <c r="AE6" s="44">
        <v>0</v>
      </c>
      <c r="AF6" s="45"/>
      <c r="AG6" s="53"/>
      <c r="AH6" s="54">
        <f t="shared" ref="AH6:AH69" si="2">AE6+AF6-AG6</f>
        <v>0</v>
      </c>
      <c r="AI6" s="21" t="s">
        <v>179</v>
      </c>
      <c r="AJ6" s="55">
        <f t="shared" ref="AJ6:AJ30" si="3">AH6*P6</f>
        <v>0</v>
      </c>
      <c r="AK6" s="55">
        <f t="shared" ref="AK6:AK30" si="4">AJ6</f>
        <v>0</v>
      </c>
      <c r="AL6" s="21">
        <f>B6-H6+1</f>
        <v>-18</v>
      </c>
      <c r="AM6" s="21" t="str">
        <f t="shared" ref="AM6:AM25" si="5">IF(AL6&lt;=30,"30天内",IF(AL6&lt;=90,"31-90天","91天以上"))</f>
        <v>30天内</v>
      </c>
      <c r="AN6" s="56">
        <v>0</v>
      </c>
      <c r="AO6" s="21" t="s">
        <v>186</v>
      </c>
      <c r="AP6" s="61">
        <f t="shared" ref="AP6:AP22" si="6">AK6*AN6</f>
        <v>0</v>
      </c>
      <c r="AQ6" s="13"/>
    </row>
    <row r="7" spans="1:43">
      <c r="A7" s="21">
        <v>202508</v>
      </c>
      <c r="B7" s="25">
        <v>45871</v>
      </c>
      <c r="C7" s="21" t="s">
        <v>224</v>
      </c>
      <c r="D7" s="2" t="str">
        <f t="shared" ref="D7:I7" si="7">D6</f>
        <v>M » N2 - 1</v>
      </c>
      <c r="E7" s="21" t="str">
        <f t="shared" si="7"/>
        <v>YCD-EX:HUPPER TEK</v>
      </c>
      <c r="F7" s="21" t="str">
        <f t="shared" si="7"/>
        <v>MI202508130012</v>
      </c>
      <c r="G7" s="21" t="str">
        <f t="shared" si="7"/>
        <v>DE2508031-G7-MIC</v>
      </c>
      <c r="H7" s="26">
        <f t="shared" si="7"/>
        <v>45889</v>
      </c>
      <c r="I7" s="37" t="str">
        <f t="shared" si="7"/>
        <v>B07BK8W5MF</v>
      </c>
      <c r="J7" s="21"/>
      <c r="K7" s="38" t="str">
        <f t="shared" ref="K7:O7" si="8">K6</f>
        <v>金属储物柜71英寸银色</v>
      </c>
      <c r="L7" s="21"/>
      <c r="M7" s="36">
        <f t="shared" si="8"/>
        <v>188</v>
      </c>
      <c r="N7" s="36">
        <f t="shared" si="8"/>
        <v>49</v>
      </c>
      <c r="O7" s="36">
        <f t="shared" si="8"/>
        <v>14</v>
      </c>
      <c r="P7" s="21">
        <f t="shared" si="0"/>
        <v>0.128968</v>
      </c>
      <c r="Q7" s="21"/>
      <c r="R7" s="36">
        <f t="shared" ref="R7:T7" si="9">R6</f>
        <v>188</v>
      </c>
      <c r="S7" s="36">
        <f t="shared" si="9"/>
        <v>49</v>
      </c>
      <c r="T7" s="36">
        <f t="shared" si="9"/>
        <v>14</v>
      </c>
      <c r="U7" s="21">
        <f t="shared" si="1"/>
        <v>0.128968</v>
      </c>
      <c r="V7" s="21"/>
      <c r="W7" s="21"/>
      <c r="X7" s="21"/>
      <c r="Y7" s="21"/>
      <c r="Z7" s="21"/>
      <c r="AA7" s="21">
        <f t="shared" ref="AA7:AC7" si="10">AA6</f>
        <v>21</v>
      </c>
      <c r="AB7" s="21">
        <f t="shared" si="10"/>
        <v>247</v>
      </c>
      <c r="AC7" s="21">
        <f t="shared" si="10"/>
        <v>247</v>
      </c>
      <c r="AD7" s="21">
        <v>0</v>
      </c>
      <c r="AE7" s="45">
        <f t="shared" ref="AE7:AE36" si="11">AH6</f>
        <v>0</v>
      </c>
      <c r="AF7" s="45"/>
      <c r="AG7" s="53"/>
      <c r="AH7" s="54">
        <f t="shared" si="2"/>
        <v>0</v>
      </c>
      <c r="AI7" s="21" t="s">
        <v>179</v>
      </c>
      <c r="AJ7" s="55">
        <f t="shared" si="3"/>
        <v>0</v>
      </c>
      <c r="AK7" s="55">
        <f t="shared" si="4"/>
        <v>0</v>
      </c>
      <c r="AL7" s="21">
        <f t="shared" ref="AL6:AL32" si="12">B7-H7+1</f>
        <v>-17</v>
      </c>
      <c r="AM7" s="21" t="str">
        <f t="shared" si="5"/>
        <v>30天内</v>
      </c>
      <c r="AN7" s="56">
        <v>0</v>
      </c>
      <c r="AO7" s="21" t="s">
        <v>186</v>
      </c>
      <c r="AP7" s="61">
        <f t="shared" si="6"/>
        <v>0</v>
      </c>
      <c r="AQ7" s="13"/>
    </row>
    <row r="8" spans="1:43">
      <c r="A8" s="21">
        <v>202508</v>
      </c>
      <c r="B8" s="25">
        <v>45872</v>
      </c>
      <c r="C8" s="21" t="s">
        <v>224</v>
      </c>
      <c r="D8" s="21" t="str">
        <f t="shared" ref="D8:I8" si="13">D7</f>
        <v>M » N2 - 1</v>
      </c>
      <c r="E8" s="21" t="str">
        <f t="shared" ref="E8:E36" si="14">E7</f>
        <v>YCD-EX:HUPPER TEK</v>
      </c>
      <c r="F8" s="21" t="str">
        <f t="shared" si="13"/>
        <v>MI202508130012</v>
      </c>
      <c r="G8" s="21" t="str">
        <f t="shared" si="13"/>
        <v>DE2508031-G7-MIC</v>
      </c>
      <c r="H8" s="26">
        <f t="shared" si="13"/>
        <v>45889</v>
      </c>
      <c r="I8" s="37" t="str">
        <f t="shared" si="13"/>
        <v>B07BK8W5MF</v>
      </c>
      <c r="J8" s="21"/>
      <c r="K8" s="38" t="str">
        <f t="shared" ref="K8:O8" si="15">K7</f>
        <v>金属储物柜71英寸银色</v>
      </c>
      <c r="L8" s="21"/>
      <c r="M8" s="36">
        <f t="shared" si="15"/>
        <v>188</v>
      </c>
      <c r="N8" s="36">
        <f t="shared" si="15"/>
        <v>49</v>
      </c>
      <c r="O8" s="36">
        <f t="shared" si="15"/>
        <v>14</v>
      </c>
      <c r="P8" s="21">
        <f t="shared" si="0"/>
        <v>0.128968</v>
      </c>
      <c r="Q8" s="21"/>
      <c r="R8" s="36">
        <f t="shared" ref="R8:T8" si="16">R7</f>
        <v>188</v>
      </c>
      <c r="S8" s="36">
        <f t="shared" si="16"/>
        <v>49</v>
      </c>
      <c r="T8" s="36">
        <f t="shared" si="16"/>
        <v>14</v>
      </c>
      <c r="U8" s="21">
        <f t="shared" si="1"/>
        <v>0.128968</v>
      </c>
      <c r="V8" s="21"/>
      <c r="W8" s="21"/>
      <c r="X8" s="21"/>
      <c r="Y8" s="21"/>
      <c r="Z8" s="21"/>
      <c r="AA8" s="21">
        <f t="shared" ref="AA8:AC8" si="17">AA7</f>
        <v>21</v>
      </c>
      <c r="AB8" s="21">
        <f t="shared" si="17"/>
        <v>247</v>
      </c>
      <c r="AC8" s="21">
        <f t="shared" si="17"/>
        <v>247</v>
      </c>
      <c r="AD8" s="21">
        <v>0</v>
      </c>
      <c r="AE8" s="45">
        <f t="shared" si="11"/>
        <v>0</v>
      </c>
      <c r="AF8" s="45"/>
      <c r="AG8" s="53"/>
      <c r="AH8" s="54">
        <f t="shared" si="2"/>
        <v>0</v>
      </c>
      <c r="AI8" s="21" t="s">
        <v>179</v>
      </c>
      <c r="AJ8" s="55">
        <f t="shared" si="3"/>
        <v>0</v>
      </c>
      <c r="AK8" s="55">
        <f t="shared" si="4"/>
        <v>0</v>
      </c>
      <c r="AL8" s="21">
        <f t="shared" si="12"/>
        <v>-16</v>
      </c>
      <c r="AM8" s="21" t="str">
        <f t="shared" si="5"/>
        <v>30天内</v>
      </c>
      <c r="AN8" s="56">
        <v>0</v>
      </c>
      <c r="AO8" s="21" t="s">
        <v>186</v>
      </c>
      <c r="AP8" s="61">
        <f t="shared" si="6"/>
        <v>0</v>
      </c>
      <c r="AQ8" s="13"/>
    </row>
    <row r="9" spans="1:43">
      <c r="A9" s="21">
        <v>202508</v>
      </c>
      <c r="B9" s="25">
        <v>45873</v>
      </c>
      <c r="C9" s="21" t="s">
        <v>224</v>
      </c>
      <c r="D9" s="21" t="str">
        <f t="shared" ref="D9:I9" si="18">D8</f>
        <v>M » N2 - 1</v>
      </c>
      <c r="E9" s="21" t="str">
        <f t="shared" si="14"/>
        <v>YCD-EX:HUPPER TEK</v>
      </c>
      <c r="F9" s="21" t="str">
        <f t="shared" si="18"/>
        <v>MI202508130012</v>
      </c>
      <c r="G9" s="21" t="str">
        <f t="shared" si="18"/>
        <v>DE2508031-G7-MIC</v>
      </c>
      <c r="H9" s="26">
        <f t="shared" si="18"/>
        <v>45889</v>
      </c>
      <c r="I9" s="37" t="str">
        <f t="shared" si="18"/>
        <v>B07BK8W5MF</v>
      </c>
      <c r="J9" s="21"/>
      <c r="K9" s="38" t="str">
        <f t="shared" ref="K9:O9" si="19">K8</f>
        <v>金属储物柜71英寸银色</v>
      </c>
      <c r="L9" s="21"/>
      <c r="M9" s="36">
        <f t="shared" si="19"/>
        <v>188</v>
      </c>
      <c r="N9" s="36">
        <f t="shared" si="19"/>
        <v>49</v>
      </c>
      <c r="O9" s="36">
        <f t="shared" si="19"/>
        <v>14</v>
      </c>
      <c r="P9" s="21">
        <f t="shared" si="0"/>
        <v>0.128968</v>
      </c>
      <c r="Q9" s="21"/>
      <c r="R9" s="36">
        <f t="shared" ref="R9:T9" si="20">R8</f>
        <v>188</v>
      </c>
      <c r="S9" s="36">
        <f t="shared" si="20"/>
        <v>49</v>
      </c>
      <c r="T9" s="36">
        <f t="shared" si="20"/>
        <v>14</v>
      </c>
      <c r="U9" s="21">
        <f t="shared" si="1"/>
        <v>0.128968</v>
      </c>
      <c r="V9" s="21"/>
      <c r="W9" s="21"/>
      <c r="X9" s="21"/>
      <c r="Y9" s="21"/>
      <c r="Z9" s="21"/>
      <c r="AA9" s="21">
        <f t="shared" ref="AA9:AC9" si="21">AA8</f>
        <v>21</v>
      </c>
      <c r="AB9" s="21">
        <f t="shared" si="21"/>
        <v>247</v>
      </c>
      <c r="AC9" s="21">
        <f t="shared" si="21"/>
        <v>247</v>
      </c>
      <c r="AD9" s="21">
        <v>0</v>
      </c>
      <c r="AE9" s="45">
        <f t="shared" si="11"/>
        <v>0</v>
      </c>
      <c r="AF9" s="45"/>
      <c r="AG9" s="53"/>
      <c r="AH9" s="54">
        <f t="shared" si="2"/>
        <v>0</v>
      </c>
      <c r="AI9" s="21" t="s">
        <v>179</v>
      </c>
      <c r="AJ9" s="55">
        <f t="shared" si="3"/>
        <v>0</v>
      </c>
      <c r="AK9" s="55">
        <f t="shared" si="4"/>
        <v>0</v>
      </c>
      <c r="AL9" s="21">
        <f t="shared" si="12"/>
        <v>-15</v>
      </c>
      <c r="AM9" s="21" t="str">
        <f t="shared" si="5"/>
        <v>30天内</v>
      </c>
      <c r="AN9" s="56">
        <v>0</v>
      </c>
      <c r="AO9" s="21" t="s">
        <v>186</v>
      </c>
      <c r="AP9" s="61">
        <f t="shared" si="6"/>
        <v>0</v>
      </c>
      <c r="AQ9" s="13"/>
    </row>
    <row r="10" spans="1:43">
      <c r="A10" s="21">
        <v>202508</v>
      </c>
      <c r="B10" s="25">
        <v>45874</v>
      </c>
      <c r="C10" s="21" t="s">
        <v>224</v>
      </c>
      <c r="D10" s="21" t="str">
        <f t="shared" ref="D10:I10" si="22">D9</f>
        <v>M » N2 - 1</v>
      </c>
      <c r="E10" s="21" t="str">
        <f t="shared" si="14"/>
        <v>YCD-EX:HUPPER TEK</v>
      </c>
      <c r="F10" s="21" t="str">
        <f t="shared" si="22"/>
        <v>MI202508130012</v>
      </c>
      <c r="G10" s="21" t="str">
        <f t="shared" si="22"/>
        <v>DE2508031-G7-MIC</v>
      </c>
      <c r="H10" s="26">
        <f t="shared" si="22"/>
        <v>45889</v>
      </c>
      <c r="I10" s="37" t="str">
        <f t="shared" si="22"/>
        <v>B07BK8W5MF</v>
      </c>
      <c r="J10" s="39"/>
      <c r="K10" s="38" t="str">
        <f t="shared" ref="K10:O10" si="23">K9</f>
        <v>金属储物柜71英寸银色</v>
      </c>
      <c r="L10" s="21"/>
      <c r="M10" s="36">
        <f t="shared" si="23"/>
        <v>188</v>
      </c>
      <c r="N10" s="36">
        <f t="shared" si="23"/>
        <v>49</v>
      </c>
      <c r="O10" s="36">
        <f t="shared" si="23"/>
        <v>14</v>
      </c>
      <c r="P10" s="21">
        <f t="shared" si="0"/>
        <v>0.128968</v>
      </c>
      <c r="Q10" s="21"/>
      <c r="R10" s="36">
        <f t="shared" ref="R10:T10" si="24">R9</f>
        <v>188</v>
      </c>
      <c r="S10" s="36">
        <f t="shared" si="24"/>
        <v>49</v>
      </c>
      <c r="T10" s="36">
        <f t="shared" si="24"/>
        <v>14</v>
      </c>
      <c r="U10" s="21">
        <f t="shared" si="1"/>
        <v>0.128968</v>
      </c>
      <c r="V10" s="21"/>
      <c r="W10" s="21"/>
      <c r="X10" s="21"/>
      <c r="Y10" s="21"/>
      <c r="Z10" s="21"/>
      <c r="AA10" s="21">
        <f t="shared" ref="AA10:AC10" si="25">AA9</f>
        <v>21</v>
      </c>
      <c r="AB10" s="21">
        <f t="shared" si="25"/>
        <v>247</v>
      </c>
      <c r="AC10" s="21">
        <f t="shared" si="25"/>
        <v>247</v>
      </c>
      <c r="AD10" s="21">
        <v>0</v>
      </c>
      <c r="AE10" s="45">
        <f t="shared" si="11"/>
        <v>0</v>
      </c>
      <c r="AF10" s="45"/>
      <c r="AG10" s="53"/>
      <c r="AH10" s="54">
        <f t="shared" si="2"/>
        <v>0</v>
      </c>
      <c r="AI10" s="21" t="s">
        <v>179</v>
      </c>
      <c r="AJ10" s="55">
        <f t="shared" si="3"/>
        <v>0</v>
      </c>
      <c r="AK10" s="55">
        <f t="shared" si="4"/>
        <v>0</v>
      </c>
      <c r="AL10" s="21">
        <f t="shared" si="12"/>
        <v>-14</v>
      </c>
      <c r="AM10" s="21" t="str">
        <f t="shared" si="5"/>
        <v>30天内</v>
      </c>
      <c r="AN10" s="56">
        <v>0</v>
      </c>
      <c r="AO10" s="21" t="s">
        <v>186</v>
      </c>
      <c r="AP10" s="61">
        <f t="shared" si="6"/>
        <v>0</v>
      </c>
      <c r="AQ10" s="13"/>
    </row>
    <row r="11" spans="1:43">
      <c r="A11" s="21">
        <v>202508</v>
      </c>
      <c r="B11" s="25">
        <v>45875</v>
      </c>
      <c r="C11" s="21" t="s">
        <v>224</v>
      </c>
      <c r="D11" s="21" t="str">
        <f t="shared" ref="D11:I11" si="26">D10</f>
        <v>M » N2 - 1</v>
      </c>
      <c r="E11" s="21" t="str">
        <f t="shared" si="14"/>
        <v>YCD-EX:HUPPER TEK</v>
      </c>
      <c r="F11" s="21" t="str">
        <f t="shared" si="26"/>
        <v>MI202508130012</v>
      </c>
      <c r="G11" s="21" t="str">
        <f t="shared" si="26"/>
        <v>DE2508031-G7-MIC</v>
      </c>
      <c r="H11" s="26">
        <f t="shared" si="26"/>
        <v>45889</v>
      </c>
      <c r="I11" s="37" t="str">
        <f t="shared" si="26"/>
        <v>B07BK8W5MF</v>
      </c>
      <c r="J11" s="21"/>
      <c r="K11" s="38" t="str">
        <f t="shared" ref="K11:O11" si="27">K10</f>
        <v>金属储物柜71英寸银色</v>
      </c>
      <c r="L11" s="21"/>
      <c r="M11" s="36">
        <f t="shared" si="27"/>
        <v>188</v>
      </c>
      <c r="N11" s="36">
        <f t="shared" si="27"/>
        <v>49</v>
      </c>
      <c r="O11" s="36">
        <f t="shared" si="27"/>
        <v>14</v>
      </c>
      <c r="P11" s="21">
        <f t="shared" si="0"/>
        <v>0.128968</v>
      </c>
      <c r="Q11" s="21"/>
      <c r="R11" s="36">
        <f t="shared" ref="R11:T11" si="28">R10</f>
        <v>188</v>
      </c>
      <c r="S11" s="36">
        <f t="shared" si="28"/>
        <v>49</v>
      </c>
      <c r="T11" s="36">
        <f t="shared" si="28"/>
        <v>14</v>
      </c>
      <c r="U11" s="21">
        <f t="shared" si="1"/>
        <v>0.128968</v>
      </c>
      <c r="V11" s="21"/>
      <c r="W11" s="21"/>
      <c r="X11" s="21"/>
      <c r="Y11" s="21"/>
      <c r="Z11" s="21"/>
      <c r="AA11" s="21">
        <f t="shared" ref="AA11:AC11" si="29">AA10</f>
        <v>21</v>
      </c>
      <c r="AB11" s="21">
        <f t="shared" si="29"/>
        <v>247</v>
      </c>
      <c r="AC11" s="21">
        <f t="shared" si="29"/>
        <v>247</v>
      </c>
      <c r="AD11" s="21">
        <v>0</v>
      </c>
      <c r="AE11" s="45">
        <f t="shared" si="11"/>
        <v>0</v>
      </c>
      <c r="AF11" s="45"/>
      <c r="AG11" s="53"/>
      <c r="AH11" s="54">
        <f t="shared" si="2"/>
        <v>0</v>
      </c>
      <c r="AI11" s="21" t="s">
        <v>179</v>
      </c>
      <c r="AJ11" s="55">
        <f t="shared" si="3"/>
        <v>0</v>
      </c>
      <c r="AK11" s="55">
        <f t="shared" si="4"/>
        <v>0</v>
      </c>
      <c r="AL11" s="21">
        <f t="shared" si="12"/>
        <v>-13</v>
      </c>
      <c r="AM11" s="21" t="str">
        <f t="shared" si="5"/>
        <v>30天内</v>
      </c>
      <c r="AN11" s="56">
        <v>0</v>
      </c>
      <c r="AO11" s="21" t="s">
        <v>186</v>
      </c>
      <c r="AP11" s="61">
        <f t="shared" si="6"/>
        <v>0</v>
      </c>
      <c r="AQ11" s="13"/>
    </row>
    <row r="12" spans="1:43">
      <c r="A12" s="21">
        <v>202508</v>
      </c>
      <c r="B12" s="25">
        <v>45876</v>
      </c>
      <c r="C12" s="21" t="s">
        <v>224</v>
      </c>
      <c r="D12" s="21" t="str">
        <f t="shared" ref="D12:I12" si="30">D11</f>
        <v>M » N2 - 1</v>
      </c>
      <c r="E12" s="21" t="str">
        <f t="shared" si="14"/>
        <v>YCD-EX:HUPPER TEK</v>
      </c>
      <c r="F12" s="21" t="str">
        <f t="shared" si="30"/>
        <v>MI202508130012</v>
      </c>
      <c r="G12" s="21" t="str">
        <f t="shared" si="30"/>
        <v>DE2508031-G7-MIC</v>
      </c>
      <c r="H12" s="26">
        <f t="shared" si="30"/>
        <v>45889</v>
      </c>
      <c r="I12" s="37" t="str">
        <f t="shared" si="30"/>
        <v>B07BK8W5MF</v>
      </c>
      <c r="J12" s="21"/>
      <c r="K12" s="38" t="str">
        <f t="shared" ref="K12:O12" si="31">K11</f>
        <v>金属储物柜71英寸银色</v>
      </c>
      <c r="L12" s="21"/>
      <c r="M12" s="36">
        <f t="shared" si="31"/>
        <v>188</v>
      </c>
      <c r="N12" s="36">
        <f t="shared" si="31"/>
        <v>49</v>
      </c>
      <c r="O12" s="36">
        <f t="shared" si="31"/>
        <v>14</v>
      </c>
      <c r="P12" s="21">
        <f t="shared" si="0"/>
        <v>0.128968</v>
      </c>
      <c r="Q12" s="21"/>
      <c r="R12" s="36">
        <f t="shared" ref="R12:T12" si="32">R11</f>
        <v>188</v>
      </c>
      <c r="S12" s="36">
        <f t="shared" si="32"/>
        <v>49</v>
      </c>
      <c r="T12" s="36">
        <f t="shared" si="32"/>
        <v>14</v>
      </c>
      <c r="U12" s="21">
        <f t="shared" si="1"/>
        <v>0.128968</v>
      </c>
      <c r="V12" s="21"/>
      <c r="W12" s="21"/>
      <c r="X12" s="21"/>
      <c r="Y12" s="21"/>
      <c r="Z12" s="21"/>
      <c r="AA12" s="21">
        <f t="shared" ref="AA12:AC12" si="33">AA11</f>
        <v>21</v>
      </c>
      <c r="AB12" s="21">
        <f t="shared" si="33"/>
        <v>247</v>
      </c>
      <c r="AC12" s="21">
        <f t="shared" si="33"/>
        <v>247</v>
      </c>
      <c r="AD12" s="21">
        <v>0</v>
      </c>
      <c r="AE12" s="45">
        <f t="shared" si="11"/>
        <v>0</v>
      </c>
      <c r="AF12" s="45"/>
      <c r="AG12" s="53"/>
      <c r="AH12" s="54">
        <f t="shared" si="2"/>
        <v>0</v>
      </c>
      <c r="AI12" s="21" t="s">
        <v>179</v>
      </c>
      <c r="AJ12" s="55">
        <f t="shared" si="3"/>
        <v>0</v>
      </c>
      <c r="AK12" s="55">
        <f t="shared" si="4"/>
        <v>0</v>
      </c>
      <c r="AL12" s="21">
        <f t="shared" si="12"/>
        <v>-12</v>
      </c>
      <c r="AM12" s="21" t="str">
        <f t="shared" si="5"/>
        <v>30天内</v>
      </c>
      <c r="AN12" s="56">
        <v>0</v>
      </c>
      <c r="AO12" s="21" t="s">
        <v>186</v>
      </c>
      <c r="AP12" s="61">
        <f t="shared" si="6"/>
        <v>0</v>
      </c>
      <c r="AQ12" s="13"/>
    </row>
    <row r="13" spans="1:43">
      <c r="A13" s="21">
        <v>202508</v>
      </c>
      <c r="B13" s="25">
        <v>45877</v>
      </c>
      <c r="C13" s="21" t="s">
        <v>224</v>
      </c>
      <c r="D13" s="21" t="str">
        <f t="shared" ref="D13:I13" si="34">D12</f>
        <v>M » N2 - 1</v>
      </c>
      <c r="E13" s="21" t="str">
        <f t="shared" si="14"/>
        <v>YCD-EX:HUPPER TEK</v>
      </c>
      <c r="F13" s="21" t="str">
        <f t="shared" si="34"/>
        <v>MI202508130012</v>
      </c>
      <c r="G13" s="21" t="str">
        <f t="shared" si="34"/>
        <v>DE2508031-G7-MIC</v>
      </c>
      <c r="H13" s="26">
        <f t="shared" si="34"/>
        <v>45889</v>
      </c>
      <c r="I13" s="37" t="str">
        <f t="shared" si="34"/>
        <v>B07BK8W5MF</v>
      </c>
      <c r="J13" s="21"/>
      <c r="K13" s="38" t="str">
        <f t="shared" ref="K13:O13" si="35">K12</f>
        <v>金属储物柜71英寸银色</v>
      </c>
      <c r="L13" s="21"/>
      <c r="M13" s="36">
        <f t="shared" si="35"/>
        <v>188</v>
      </c>
      <c r="N13" s="36">
        <f t="shared" si="35"/>
        <v>49</v>
      </c>
      <c r="O13" s="36">
        <f t="shared" si="35"/>
        <v>14</v>
      </c>
      <c r="P13" s="21">
        <f t="shared" si="0"/>
        <v>0.128968</v>
      </c>
      <c r="Q13" s="21"/>
      <c r="R13" s="36">
        <f t="shared" ref="R13:T13" si="36">R12</f>
        <v>188</v>
      </c>
      <c r="S13" s="36">
        <f t="shared" si="36"/>
        <v>49</v>
      </c>
      <c r="T13" s="36">
        <f t="shared" si="36"/>
        <v>14</v>
      </c>
      <c r="U13" s="21">
        <f t="shared" si="1"/>
        <v>0.128968</v>
      </c>
      <c r="V13" s="21"/>
      <c r="W13" s="21"/>
      <c r="X13" s="21"/>
      <c r="Y13" s="21"/>
      <c r="Z13" s="21"/>
      <c r="AA13" s="21">
        <f t="shared" ref="AA13:AC13" si="37">AA12</f>
        <v>21</v>
      </c>
      <c r="AB13" s="21">
        <f t="shared" si="37"/>
        <v>247</v>
      </c>
      <c r="AC13" s="21">
        <f t="shared" si="37"/>
        <v>247</v>
      </c>
      <c r="AD13" s="21">
        <v>0</v>
      </c>
      <c r="AE13" s="45">
        <f t="shared" si="11"/>
        <v>0</v>
      </c>
      <c r="AF13" s="45"/>
      <c r="AG13" s="53"/>
      <c r="AH13" s="54">
        <f t="shared" si="2"/>
        <v>0</v>
      </c>
      <c r="AI13" s="21" t="s">
        <v>179</v>
      </c>
      <c r="AJ13" s="55">
        <f t="shared" si="3"/>
        <v>0</v>
      </c>
      <c r="AK13" s="55">
        <f t="shared" si="4"/>
        <v>0</v>
      </c>
      <c r="AL13" s="21">
        <f t="shared" si="12"/>
        <v>-11</v>
      </c>
      <c r="AM13" s="21" t="str">
        <f t="shared" si="5"/>
        <v>30天内</v>
      </c>
      <c r="AN13" s="56">
        <v>0</v>
      </c>
      <c r="AO13" s="21" t="s">
        <v>186</v>
      </c>
      <c r="AP13" s="61">
        <f t="shared" si="6"/>
        <v>0</v>
      </c>
      <c r="AQ13" s="13"/>
    </row>
    <row r="14" spans="1:43">
      <c r="A14" s="21">
        <v>202508</v>
      </c>
      <c r="B14" s="25">
        <v>45878</v>
      </c>
      <c r="C14" s="21" t="s">
        <v>224</v>
      </c>
      <c r="D14" s="21" t="str">
        <f t="shared" ref="D14:I14" si="38">D13</f>
        <v>M » N2 - 1</v>
      </c>
      <c r="E14" s="21" t="str">
        <f t="shared" si="14"/>
        <v>YCD-EX:HUPPER TEK</v>
      </c>
      <c r="F14" s="21" t="str">
        <f t="shared" si="38"/>
        <v>MI202508130012</v>
      </c>
      <c r="G14" s="21" t="str">
        <f t="shared" si="38"/>
        <v>DE2508031-G7-MIC</v>
      </c>
      <c r="H14" s="26">
        <f t="shared" si="38"/>
        <v>45889</v>
      </c>
      <c r="I14" s="37" t="str">
        <f t="shared" si="38"/>
        <v>B07BK8W5MF</v>
      </c>
      <c r="J14" s="21"/>
      <c r="K14" s="38" t="str">
        <f t="shared" ref="K14:O14" si="39">K13</f>
        <v>金属储物柜71英寸银色</v>
      </c>
      <c r="L14" s="21"/>
      <c r="M14" s="36">
        <f t="shared" si="39"/>
        <v>188</v>
      </c>
      <c r="N14" s="36">
        <f t="shared" si="39"/>
        <v>49</v>
      </c>
      <c r="O14" s="36">
        <f t="shared" si="39"/>
        <v>14</v>
      </c>
      <c r="P14" s="21">
        <f t="shared" si="0"/>
        <v>0.128968</v>
      </c>
      <c r="Q14" s="21"/>
      <c r="R14" s="36">
        <f t="shared" ref="R14:T14" si="40">R13</f>
        <v>188</v>
      </c>
      <c r="S14" s="36">
        <f t="shared" si="40"/>
        <v>49</v>
      </c>
      <c r="T14" s="36">
        <f t="shared" si="40"/>
        <v>14</v>
      </c>
      <c r="U14" s="21">
        <f t="shared" si="1"/>
        <v>0.128968</v>
      </c>
      <c r="V14" s="21"/>
      <c r="W14" s="21"/>
      <c r="X14" s="21"/>
      <c r="Y14" s="21"/>
      <c r="Z14" s="21"/>
      <c r="AA14" s="21">
        <f t="shared" ref="AA14:AC14" si="41">AA13</f>
        <v>21</v>
      </c>
      <c r="AB14" s="21">
        <f t="shared" si="41"/>
        <v>247</v>
      </c>
      <c r="AC14" s="21">
        <f t="shared" si="41"/>
        <v>247</v>
      </c>
      <c r="AD14" s="21">
        <v>0</v>
      </c>
      <c r="AE14" s="45">
        <f t="shared" si="11"/>
        <v>0</v>
      </c>
      <c r="AF14" s="45"/>
      <c r="AG14" s="53"/>
      <c r="AH14" s="54">
        <f t="shared" si="2"/>
        <v>0</v>
      </c>
      <c r="AI14" s="21" t="s">
        <v>179</v>
      </c>
      <c r="AJ14" s="55">
        <f t="shared" si="3"/>
        <v>0</v>
      </c>
      <c r="AK14" s="55">
        <f t="shared" si="4"/>
        <v>0</v>
      </c>
      <c r="AL14" s="21">
        <f t="shared" si="12"/>
        <v>-10</v>
      </c>
      <c r="AM14" s="21" t="str">
        <f t="shared" si="5"/>
        <v>30天内</v>
      </c>
      <c r="AN14" s="56">
        <v>0</v>
      </c>
      <c r="AO14" s="21" t="s">
        <v>186</v>
      </c>
      <c r="AP14" s="61">
        <f t="shared" si="6"/>
        <v>0</v>
      </c>
      <c r="AQ14" s="13"/>
    </row>
    <row r="15" spans="1:43">
      <c r="A15" s="21">
        <v>202508</v>
      </c>
      <c r="B15" s="25">
        <v>45879</v>
      </c>
      <c r="C15" s="21" t="s">
        <v>224</v>
      </c>
      <c r="D15" s="21" t="str">
        <f t="shared" ref="D15:I15" si="42">D14</f>
        <v>M » N2 - 1</v>
      </c>
      <c r="E15" s="21" t="str">
        <f t="shared" si="14"/>
        <v>YCD-EX:HUPPER TEK</v>
      </c>
      <c r="F15" s="21" t="str">
        <f t="shared" si="42"/>
        <v>MI202508130012</v>
      </c>
      <c r="G15" s="21" t="str">
        <f t="shared" si="42"/>
        <v>DE2508031-G7-MIC</v>
      </c>
      <c r="H15" s="26">
        <f t="shared" si="42"/>
        <v>45889</v>
      </c>
      <c r="I15" s="37" t="str">
        <f t="shared" si="42"/>
        <v>B07BK8W5MF</v>
      </c>
      <c r="J15" s="21"/>
      <c r="K15" s="38" t="str">
        <f t="shared" ref="K15:O15" si="43">K14</f>
        <v>金属储物柜71英寸银色</v>
      </c>
      <c r="L15" s="21"/>
      <c r="M15" s="36">
        <f t="shared" si="43"/>
        <v>188</v>
      </c>
      <c r="N15" s="36">
        <f t="shared" si="43"/>
        <v>49</v>
      </c>
      <c r="O15" s="36">
        <f t="shared" si="43"/>
        <v>14</v>
      </c>
      <c r="P15" s="21">
        <f t="shared" si="0"/>
        <v>0.128968</v>
      </c>
      <c r="Q15" s="21"/>
      <c r="R15" s="36">
        <f t="shared" ref="R15:T15" si="44">R14</f>
        <v>188</v>
      </c>
      <c r="S15" s="36">
        <f t="shared" si="44"/>
        <v>49</v>
      </c>
      <c r="T15" s="36">
        <f t="shared" si="44"/>
        <v>14</v>
      </c>
      <c r="U15" s="21">
        <f t="shared" si="1"/>
        <v>0.128968</v>
      </c>
      <c r="V15" s="21"/>
      <c r="W15" s="21"/>
      <c r="X15" s="21"/>
      <c r="Y15" s="21"/>
      <c r="Z15" s="21"/>
      <c r="AA15" s="21">
        <f t="shared" ref="AA15:AC15" si="45">AA14</f>
        <v>21</v>
      </c>
      <c r="AB15" s="21">
        <f t="shared" si="45"/>
        <v>247</v>
      </c>
      <c r="AC15" s="21">
        <f t="shared" si="45"/>
        <v>247</v>
      </c>
      <c r="AD15" s="21">
        <v>0</v>
      </c>
      <c r="AE15" s="45">
        <f t="shared" si="11"/>
        <v>0</v>
      </c>
      <c r="AF15" s="45"/>
      <c r="AG15" s="53"/>
      <c r="AH15" s="54">
        <f t="shared" si="2"/>
        <v>0</v>
      </c>
      <c r="AI15" s="21" t="s">
        <v>179</v>
      </c>
      <c r="AJ15" s="55">
        <f t="shared" si="3"/>
        <v>0</v>
      </c>
      <c r="AK15" s="55">
        <f t="shared" si="4"/>
        <v>0</v>
      </c>
      <c r="AL15" s="21">
        <f t="shared" si="12"/>
        <v>-9</v>
      </c>
      <c r="AM15" s="21" t="str">
        <f t="shared" si="5"/>
        <v>30天内</v>
      </c>
      <c r="AN15" s="56">
        <v>0</v>
      </c>
      <c r="AO15" s="21" t="s">
        <v>186</v>
      </c>
      <c r="AP15" s="61">
        <f t="shared" si="6"/>
        <v>0</v>
      </c>
      <c r="AQ15" s="13"/>
    </row>
    <row r="16" spans="1:43">
      <c r="A16" s="21">
        <v>202508</v>
      </c>
      <c r="B16" s="25">
        <v>45880</v>
      </c>
      <c r="C16" s="21" t="s">
        <v>224</v>
      </c>
      <c r="D16" s="21" t="str">
        <f t="shared" ref="D16:I16" si="46">D15</f>
        <v>M » N2 - 1</v>
      </c>
      <c r="E16" s="21" t="str">
        <f t="shared" si="14"/>
        <v>YCD-EX:HUPPER TEK</v>
      </c>
      <c r="F16" s="21" t="str">
        <f t="shared" si="46"/>
        <v>MI202508130012</v>
      </c>
      <c r="G16" s="21" t="str">
        <f t="shared" si="46"/>
        <v>DE2508031-G7-MIC</v>
      </c>
      <c r="H16" s="26">
        <f t="shared" si="46"/>
        <v>45889</v>
      </c>
      <c r="I16" s="37" t="str">
        <f t="shared" si="46"/>
        <v>B07BK8W5MF</v>
      </c>
      <c r="J16" s="21"/>
      <c r="K16" s="38" t="str">
        <f t="shared" ref="K16:O16" si="47">K15</f>
        <v>金属储物柜71英寸银色</v>
      </c>
      <c r="L16" s="21"/>
      <c r="M16" s="36">
        <f t="shared" si="47"/>
        <v>188</v>
      </c>
      <c r="N16" s="36">
        <f t="shared" si="47"/>
        <v>49</v>
      </c>
      <c r="O16" s="36">
        <f t="shared" si="47"/>
        <v>14</v>
      </c>
      <c r="P16" s="21">
        <f t="shared" si="0"/>
        <v>0.128968</v>
      </c>
      <c r="Q16" s="21"/>
      <c r="R16" s="36">
        <f t="shared" ref="R16:T16" si="48">R15</f>
        <v>188</v>
      </c>
      <c r="S16" s="36">
        <f t="shared" si="48"/>
        <v>49</v>
      </c>
      <c r="T16" s="36">
        <f t="shared" si="48"/>
        <v>14</v>
      </c>
      <c r="U16" s="21">
        <f t="shared" si="1"/>
        <v>0.128968</v>
      </c>
      <c r="V16" s="21"/>
      <c r="W16" s="21"/>
      <c r="X16" s="21"/>
      <c r="Y16" s="21"/>
      <c r="Z16" s="21"/>
      <c r="AA16" s="21">
        <f t="shared" ref="AA16:AC16" si="49">AA15</f>
        <v>21</v>
      </c>
      <c r="AB16" s="21">
        <f t="shared" si="49"/>
        <v>247</v>
      </c>
      <c r="AC16" s="21">
        <f t="shared" si="49"/>
        <v>247</v>
      </c>
      <c r="AD16" s="21">
        <v>0</v>
      </c>
      <c r="AE16" s="45">
        <f t="shared" si="11"/>
        <v>0</v>
      </c>
      <c r="AF16" s="45"/>
      <c r="AG16" s="53"/>
      <c r="AH16" s="54">
        <f t="shared" si="2"/>
        <v>0</v>
      </c>
      <c r="AI16" s="21" t="s">
        <v>179</v>
      </c>
      <c r="AJ16" s="55">
        <f t="shared" si="3"/>
        <v>0</v>
      </c>
      <c r="AK16" s="55">
        <f t="shared" si="4"/>
        <v>0</v>
      </c>
      <c r="AL16" s="21">
        <f t="shared" si="12"/>
        <v>-8</v>
      </c>
      <c r="AM16" s="21" t="str">
        <f t="shared" si="5"/>
        <v>30天内</v>
      </c>
      <c r="AN16" s="56">
        <v>0</v>
      </c>
      <c r="AO16" s="21" t="s">
        <v>186</v>
      </c>
      <c r="AP16" s="61">
        <f t="shared" si="6"/>
        <v>0</v>
      </c>
      <c r="AQ16" s="13"/>
    </row>
    <row r="17" spans="1:43">
      <c r="A17" s="21">
        <v>202508</v>
      </c>
      <c r="B17" s="25">
        <v>45881</v>
      </c>
      <c r="C17" s="21" t="s">
        <v>224</v>
      </c>
      <c r="D17" s="21" t="str">
        <f t="shared" ref="D17:I17" si="50">D16</f>
        <v>M » N2 - 1</v>
      </c>
      <c r="E17" s="21" t="str">
        <f t="shared" si="14"/>
        <v>YCD-EX:HUPPER TEK</v>
      </c>
      <c r="F17" s="21" t="str">
        <f t="shared" si="50"/>
        <v>MI202508130012</v>
      </c>
      <c r="G17" s="21" t="str">
        <f t="shared" si="50"/>
        <v>DE2508031-G7-MIC</v>
      </c>
      <c r="H17" s="26">
        <f t="shared" si="50"/>
        <v>45889</v>
      </c>
      <c r="I17" s="37" t="str">
        <f t="shared" si="50"/>
        <v>B07BK8W5MF</v>
      </c>
      <c r="J17" s="21"/>
      <c r="K17" s="38" t="str">
        <f t="shared" ref="K17:O17" si="51">K16</f>
        <v>金属储物柜71英寸银色</v>
      </c>
      <c r="L17" s="21"/>
      <c r="M17" s="36">
        <f t="shared" si="51"/>
        <v>188</v>
      </c>
      <c r="N17" s="36">
        <f t="shared" si="51"/>
        <v>49</v>
      </c>
      <c r="O17" s="36">
        <f t="shared" si="51"/>
        <v>14</v>
      </c>
      <c r="P17" s="21">
        <f t="shared" si="0"/>
        <v>0.128968</v>
      </c>
      <c r="Q17" s="21"/>
      <c r="R17" s="36">
        <f t="shared" ref="R17:T17" si="52">R16</f>
        <v>188</v>
      </c>
      <c r="S17" s="36">
        <f t="shared" si="52"/>
        <v>49</v>
      </c>
      <c r="T17" s="36">
        <f t="shared" si="52"/>
        <v>14</v>
      </c>
      <c r="U17" s="21">
        <f t="shared" si="1"/>
        <v>0.128968</v>
      </c>
      <c r="V17" s="21"/>
      <c r="W17" s="21"/>
      <c r="X17" s="21"/>
      <c r="Y17" s="21"/>
      <c r="Z17" s="21"/>
      <c r="AA17" s="21">
        <f t="shared" ref="AA17:AC17" si="53">AA16</f>
        <v>21</v>
      </c>
      <c r="AB17" s="21">
        <f t="shared" si="53"/>
        <v>247</v>
      </c>
      <c r="AC17" s="21">
        <f t="shared" si="53"/>
        <v>247</v>
      </c>
      <c r="AD17" s="21">
        <v>0</v>
      </c>
      <c r="AE17" s="45">
        <f t="shared" si="11"/>
        <v>0</v>
      </c>
      <c r="AF17" s="45"/>
      <c r="AG17" s="53"/>
      <c r="AH17" s="54">
        <f t="shared" si="2"/>
        <v>0</v>
      </c>
      <c r="AI17" s="21" t="s">
        <v>179</v>
      </c>
      <c r="AJ17" s="55">
        <f t="shared" si="3"/>
        <v>0</v>
      </c>
      <c r="AK17" s="55">
        <f t="shared" si="4"/>
        <v>0</v>
      </c>
      <c r="AL17" s="21">
        <f t="shared" si="12"/>
        <v>-7</v>
      </c>
      <c r="AM17" s="21" t="str">
        <f t="shared" si="5"/>
        <v>30天内</v>
      </c>
      <c r="AN17" s="56">
        <v>0</v>
      </c>
      <c r="AO17" s="21" t="s">
        <v>186</v>
      </c>
      <c r="AP17" s="61">
        <f t="shared" si="6"/>
        <v>0</v>
      </c>
      <c r="AQ17" s="13"/>
    </row>
    <row r="18" spans="1:43">
      <c r="A18" s="21">
        <v>202508</v>
      </c>
      <c r="B18" s="25">
        <v>45882</v>
      </c>
      <c r="C18" s="21" t="s">
        <v>224</v>
      </c>
      <c r="D18" s="21" t="str">
        <f t="shared" ref="D18:I18" si="54">D17</f>
        <v>M » N2 - 1</v>
      </c>
      <c r="E18" s="21" t="str">
        <f t="shared" si="14"/>
        <v>YCD-EX:HUPPER TEK</v>
      </c>
      <c r="F18" s="21" t="str">
        <f t="shared" si="54"/>
        <v>MI202508130012</v>
      </c>
      <c r="G18" s="21" t="str">
        <f t="shared" si="54"/>
        <v>DE2508031-G7-MIC</v>
      </c>
      <c r="H18" s="26">
        <f t="shared" si="54"/>
        <v>45889</v>
      </c>
      <c r="I18" s="37" t="str">
        <f t="shared" si="54"/>
        <v>B07BK8W5MF</v>
      </c>
      <c r="J18" s="21"/>
      <c r="K18" s="38" t="str">
        <f t="shared" ref="K18:O18" si="55">K17</f>
        <v>金属储物柜71英寸银色</v>
      </c>
      <c r="L18" s="21"/>
      <c r="M18" s="36">
        <f t="shared" si="55"/>
        <v>188</v>
      </c>
      <c r="N18" s="36">
        <f t="shared" si="55"/>
        <v>49</v>
      </c>
      <c r="O18" s="36">
        <f t="shared" si="55"/>
        <v>14</v>
      </c>
      <c r="P18" s="21">
        <f t="shared" si="0"/>
        <v>0.128968</v>
      </c>
      <c r="Q18" s="21"/>
      <c r="R18" s="36">
        <f t="shared" ref="R18:T18" si="56">R17</f>
        <v>188</v>
      </c>
      <c r="S18" s="36">
        <f t="shared" si="56"/>
        <v>49</v>
      </c>
      <c r="T18" s="36">
        <f t="shared" si="56"/>
        <v>14</v>
      </c>
      <c r="U18" s="21">
        <f t="shared" si="1"/>
        <v>0.128968</v>
      </c>
      <c r="V18" s="21"/>
      <c r="W18" s="21"/>
      <c r="X18" s="21"/>
      <c r="Y18" s="21"/>
      <c r="Z18" s="21"/>
      <c r="AA18" s="21">
        <f t="shared" ref="AA18:AC18" si="57">AA17</f>
        <v>21</v>
      </c>
      <c r="AB18" s="21">
        <f t="shared" si="57"/>
        <v>247</v>
      </c>
      <c r="AC18" s="21">
        <f t="shared" si="57"/>
        <v>247</v>
      </c>
      <c r="AD18" s="21">
        <v>0</v>
      </c>
      <c r="AE18" s="45">
        <f t="shared" si="11"/>
        <v>0</v>
      </c>
      <c r="AF18" s="45"/>
      <c r="AG18" s="53"/>
      <c r="AH18" s="54">
        <f t="shared" si="2"/>
        <v>0</v>
      </c>
      <c r="AI18" s="21" t="s">
        <v>179</v>
      </c>
      <c r="AJ18" s="55">
        <f t="shared" si="3"/>
        <v>0</v>
      </c>
      <c r="AK18" s="55">
        <f t="shared" si="4"/>
        <v>0</v>
      </c>
      <c r="AL18" s="21">
        <f t="shared" si="12"/>
        <v>-6</v>
      </c>
      <c r="AM18" s="21" t="str">
        <f t="shared" si="5"/>
        <v>30天内</v>
      </c>
      <c r="AN18" s="56">
        <v>0</v>
      </c>
      <c r="AO18" s="21" t="s">
        <v>186</v>
      </c>
      <c r="AP18" s="61">
        <f t="shared" si="6"/>
        <v>0</v>
      </c>
      <c r="AQ18" s="13"/>
    </row>
    <row r="19" spans="1:43">
      <c r="A19" s="21">
        <v>202508</v>
      </c>
      <c r="B19" s="25">
        <v>45883</v>
      </c>
      <c r="C19" s="21" t="s">
        <v>224</v>
      </c>
      <c r="D19" s="21" t="str">
        <f t="shared" ref="D19:I19" si="58">D18</f>
        <v>M » N2 - 1</v>
      </c>
      <c r="E19" s="21" t="str">
        <f t="shared" si="14"/>
        <v>YCD-EX:HUPPER TEK</v>
      </c>
      <c r="F19" s="21" t="str">
        <f t="shared" si="58"/>
        <v>MI202508130012</v>
      </c>
      <c r="G19" s="21" t="str">
        <f t="shared" si="58"/>
        <v>DE2508031-G7-MIC</v>
      </c>
      <c r="H19" s="26">
        <f t="shared" si="58"/>
        <v>45889</v>
      </c>
      <c r="I19" s="37" t="str">
        <f t="shared" si="58"/>
        <v>B07BK8W5MF</v>
      </c>
      <c r="J19" s="21"/>
      <c r="K19" s="38" t="str">
        <f t="shared" ref="K19:O19" si="59">K18</f>
        <v>金属储物柜71英寸银色</v>
      </c>
      <c r="L19" s="21"/>
      <c r="M19" s="36">
        <f t="shared" si="59"/>
        <v>188</v>
      </c>
      <c r="N19" s="36">
        <f t="shared" si="59"/>
        <v>49</v>
      </c>
      <c r="O19" s="36">
        <f t="shared" si="59"/>
        <v>14</v>
      </c>
      <c r="P19" s="21">
        <f t="shared" si="0"/>
        <v>0.128968</v>
      </c>
      <c r="Q19" s="21"/>
      <c r="R19" s="36">
        <f t="shared" ref="R19:T19" si="60">R18</f>
        <v>188</v>
      </c>
      <c r="S19" s="36">
        <f t="shared" si="60"/>
        <v>49</v>
      </c>
      <c r="T19" s="36">
        <f t="shared" si="60"/>
        <v>14</v>
      </c>
      <c r="U19" s="21">
        <f t="shared" si="1"/>
        <v>0.128968</v>
      </c>
      <c r="V19" s="21"/>
      <c r="W19" s="21"/>
      <c r="X19" s="21"/>
      <c r="Y19" s="21"/>
      <c r="Z19" s="21"/>
      <c r="AA19" s="21">
        <f t="shared" ref="AA19:AC19" si="61">AA18</f>
        <v>21</v>
      </c>
      <c r="AB19" s="21">
        <f t="shared" si="61"/>
        <v>247</v>
      </c>
      <c r="AC19" s="21">
        <f t="shared" si="61"/>
        <v>247</v>
      </c>
      <c r="AD19" s="21">
        <v>0</v>
      </c>
      <c r="AE19" s="45">
        <f t="shared" si="11"/>
        <v>0</v>
      </c>
      <c r="AF19" s="45"/>
      <c r="AG19" s="53"/>
      <c r="AH19" s="54">
        <f t="shared" si="2"/>
        <v>0</v>
      </c>
      <c r="AI19" s="21" t="s">
        <v>179</v>
      </c>
      <c r="AJ19" s="55">
        <f t="shared" si="3"/>
        <v>0</v>
      </c>
      <c r="AK19" s="55">
        <f t="shared" si="4"/>
        <v>0</v>
      </c>
      <c r="AL19" s="21">
        <f t="shared" si="12"/>
        <v>-5</v>
      </c>
      <c r="AM19" s="21" t="str">
        <f t="shared" si="5"/>
        <v>30天内</v>
      </c>
      <c r="AN19" s="56">
        <v>0</v>
      </c>
      <c r="AO19" s="21" t="s">
        <v>186</v>
      </c>
      <c r="AP19" s="61">
        <f t="shared" si="6"/>
        <v>0</v>
      </c>
      <c r="AQ19" s="13"/>
    </row>
    <row r="20" spans="1:43">
      <c r="A20" s="21">
        <v>202508</v>
      </c>
      <c r="B20" s="25">
        <v>45884</v>
      </c>
      <c r="C20" s="21" t="s">
        <v>224</v>
      </c>
      <c r="D20" s="21" t="str">
        <f t="shared" ref="D20:I20" si="62">D19</f>
        <v>M » N2 - 1</v>
      </c>
      <c r="E20" s="21" t="str">
        <f t="shared" si="14"/>
        <v>YCD-EX:HUPPER TEK</v>
      </c>
      <c r="F20" s="21" t="str">
        <f t="shared" si="62"/>
        <v>MI202508130012</v>
      </c>
      <c r="G20" s="21" t="str">
        <f t="shared" si="62"/>
        <v>DE2508031-G7-MIC</v>
      </c>
      <c r="H20" s="26">
        <f t="shared" si="62"/>
        <v>45889</v>
      </c>
      <c r="I20" s="37" t="str">
        <f t="shared" si="62"/>
        <v>B07BK8W5MF</v>
      </c>
      <c r="J20" s="21"/>
      <c r="K20" s="38" t="str">
        <f t="shared" ref="K20:O20" si="63">K19</f>
        <v>金属储物柜71英寸银色</v>
      </c>
      <c r="L20" s="21"/>
      <c r="M20" s="36">
        <f t="shared" si="63"/>
        <v>188</v>
      </c>
      <c r="N20" s="36">
        <f t="shared" si="63"/>
        <v>49</v>
      </c>
      <c r="O20" s="36">
        <f t="shared" si="63"/>
        <v>14</v>
      </c>
      <c r="P20" s="21">
        <f t="shared" si="0"/>
        <v>0.128968</v>
      </c>
      <c r="Q20" s="21"/>
      <c r="R20" s="36">
        <f t="shared" ref="R20:T20" si="64">R19</f>
        <v>188</v>
      </c>
      <c r="S20" s="36">
        <f t="shared" si="64"/>
        <v>49</v>
      </c>
      <c r="T20" s="36">
        <f t="shared" si="64"/>
        <v>14</v>
      </c>
      <c r="U20" s="21">
        <f t="shared" si="1"/>
        <v>0.128968</v>
      </c>
      <c r="V20" s="21"/>
      <c r="W20" s="21"/>
      <c r="X20" s="21"/>
      <c r="Y20" s="21"/>
      <c r="Z20" s="21"/>
      <c r="AA20" s="21">
        <f t="shared" ref="AA20:AC20" si="65">AA19</f>
        <v>21</v>
      </c>
      <c r="AB20" s="21">
        <f t="shared" si="65"/>
        <v>247</v>
      </c>
      <c r="AC20" s="21">
        <f t="shared" si="65"/>
        <v>247</v>
      </c>
      <c r="AD20" s="21">
        <v>0</v>
      </c>
      <c r="AE20" s="45">
        <f t="shared" si="11"/>
        <v>0</v>
      </c>
      <c r="AF20" s="45"/>
      <c r="AG20" s="53"/>
      <c r="AH20" s="54">
        <f t="shared" si="2"/>
        <v>0</v>
      </c>
      <c r="AI20" s="21" t="s">
        <v>179</v>
      </c>
      <c r="AJ20" s="55">
        <f t="shared" si="3"/>
        <v>0</v>
      </c>
      <c r="AK20" s="55">
        <f t="shared" si="4"/>
        <v>0</v>
      </c>
      <c r="AL20" s="21">
        <f t="shared" si="12"/>
        <v>-4</v>
      </c>
      <c r="AM20" s="21" t="str">
        <f t="shared" si="5"/>
        <v>30天内</v>
      </c>
      <c r="AN20" s="56">
        <v>0</v>
      </c>
      <c r="AO20" s="21" t="s">
        <v>186</v>
      </c>
      <c r="AP20" s="61">
        <f t="shared" si="6"/>
        <v>0</v>
      </c>
      <c r="AQ20" s="13"/>
    </row>
    <row r="21" spans="1:43">
      <c r="A21" s="21">
        <v>202508</v>
      </c>
      <c r="B21" s="25">
        <v>45885</v>
      </c>
      <c r="C21" s="21" t="s">
        <v>224</v>
      </c>
      <c r="D21" s="21" t="str">
        <f t="shared" ref="D21:I21" si="66">D20</f>
        <v>M » N2 - 1</v>
      </c>
      <c r="E21" s="21" t="str">
        <f t="shared" si="14"/>
        <v>YCD-EX:HUPPER TEK</v>
      </c>
      <c r="F21" s="21" t="str">
        <f t="shared" si="66"/>
        <v>MI202508130012</v>
      </c>
      <c r="G21" s="21" t="str">
        <f t="shared" si="66"/>
        <v>DE2508031-G7-MIC</v>
      </c>
      <c r="H21" s="26">
        <f t="shared" si="66"/>
        <v>45889</v>
      </c>
      <c r="I21" s="37" t="str">
        <f t="shared" si="66"/>
        <v>B07BK8W5MF</v>
      </c>
      <c r="J21" s="21"/>
      <c r="K21" s="38" t="str">
        <f t="shared" ref="K21:O21" si="67">K20</f>
        <v>金属储物柜71英寸银色</v>
      </c>
      <c r="L21" s="21"/>
      <c r="M21" s="36">
        <f t="shared" si="67"/>
        <v>188</v>
      </c>
      <c r="N21" s="36">
        <f t="shared" si="67"/>
        <v>49</v>
      </c>
      <c r="O21" s="36">
        <f t="shared" si="67"/>
        <v>14</v>
      </c>
      <c r="P21" s="21">
        <f t="shared" si="0"/>
        <v>0.128968</v>
      </c>
      <c r="Q21" s="21"/>
      <c r="R21" s="36">
        <f t="shared" ref="R21:T21" si="68">R20</f>
        <v>188</v>
      </c>
      <c r="S21" s="36">
        <f t="shared" si="68"/>
        <v>49</v>
      </c>
      <c r="T21" s="36">
        <f t="shared" si="68"/>
        <v>14</v>
      </c>
      <c r="U21" s="21">
        <f t="shared" si="1"/>
        <v>0.128968</v>
      </c>
      <c r="V21" s="21"/>
      <c r="W21" s="21"/>
      <c r="X21" s="21"/>
      <c r="Y21" s="21"/>
      <c r="Z21" s="21"/>
      <c r="AA21" s="21">
        <f t="shared" ref="AA21:AC21" si="69">AA20</f>
        <v>21</v>
      </c>
      <c r="AB21" s="21">
        <f t="shared" si="69"/>
        <v>247</v>
      </c>
      <c r="AC21" s="21">
        <f t="shared" si="69"/>
        <v>247</v>
      </c>
      <c r="AD21" s="21">
        <v>0</v>
      </c>
      <c r="AE21" s="45">
        <f t="shared" si="11"/>
        <v>0</v>
      </c>
      <c r="AF21" s="45"/>
      <c r="AG21" s="53"/>
      <c r="AH21" s="54">
        <f t="shared" si="2"/>
        <v>0</v>
      </c>
      <c r="AI21" s="21" t="s">
        <v>179</v>
      </c>
      <c r="AJ21" s="55">
        <f t="shared" si="3"/>
        <v>0</v>
      </c>
      <c r="AK21" s="55">
        <f t="shared" si="4"/>
        <v>0</v>
      </c>
      <c r="AL21" s="21">
        <f t="shared" si="12"/>
        <v>-3</v>
      </c>
      <c r="AM21" s="21" t="str">
        <f t="shared" si="5"/>
        <v>30天内</v>
      </c>
      <c r="AN21" s="56">
        <v>0</v>
      </c>
      <c r="AO21" s="21" t="s">
        <v>186</v>
      </c>
      <c r="AP21" s="61">
        <f t="shared" si="6"/>
        <v>0</v>
      </c>
      <c r="AQ21" s="13"/>
    </row>
    <row r="22" spans="1:43">
      <c r="A22" s="21">
        <v>202508</v>
      </c>
      <c r="B22" s="25">
        <v>45886</v>
      </c>
      <c r="C22" s="21" t="s">
        <v>224</v>
      </c>
      <c r="D22" s="21" t="str">
        <f t="shared" ref="D22:I22" si="70">D21</f>
        <v>M » N2 - 1</v>
      </c>
      <c r="E22" s="21" t="str">
        <f t="shared" si="14"/>
        <v>YCD-EX:HUPPER TEK</v>
      </c>
      <c r="F22" s="21" t="str">
        <f t="shared" si="70"/>
        <v>MI202508130012</v>
      </c>
      <c r="G22" s="21" t="str">
        <f t="shared" si="70"/>
        <v>DE2508031-G7-MIC</v>
      </c>
      <c r="H22" s="26">
        <f t="shared" si="70"/>
        <v>45889</v>
      </c>
      <c r="I22" s="37" t="str">
        <f t="shared" si="70"/>
        <v>B07BK8W5MF</v>
      </c>
      <c r="J22" s="21"/>
      <c r="K22" s="38" t="str">
        <f t="shared" ref="K22:O22" si="71">K21</f>
        <v>金属储物柜71英寸银色</v>
      </c>
      <c r="L22" s="21"/>
      <c r="M22" s="36">
        <f t="shared" si="71"/>
        <v>188</v>
      </c>
      <c r="N22" s="36">
        <f t="shared" si="71"/>
        <v>49</v>
      </c>
      <c r="O22" s="36">
        <f t="shared" si="71"/>
        <v>14</v>
      </c>
      <c r="P22" s="21">
        <f t="shared" si="0"/>
        <v>0.128968</v>
      </c>
      <c r="Q22" s="21"/>
      <c r="R22" s="36">
        <f t="shared" ref="R22:T22" si="72">R21</f>
        <v>188</v>
      </c>
      <c r="S22" s="36">
        <f t="shared" si="72"/>
        <v>49</v>
      </c>
      <c r="T22" s="36">
        <f t="shared" si="72"/>
        <v>14</v>
      </c>
      <c r="U22" s="21">
        <f t="shared" si="1"/>
        <v>0.128968</v>
      </c>
      <c r="V22" s="21"/>
      <c r="W22" s="21"/>
      <c r="X22" s="21"/>
      <c r="Y22" s="21"/>
      <c r="Z22" s="21"/>
      <c r="AA22" s="21">
        <f t="shared" ref="AA22:AC22" si="73">AA21</f>
        <v>21</v>
      </c>
      <c r="AB22" s="21">
        <f t="shared" si="73"/>
        <v>247</v>
      </c>
      <c r="AC22" s="21">
        <f t="shared" si="73"/>
        <v>247</v>
      </c>
      <c r="AD22" s="21">
        <v>0</v>
      </c>
      <c r="AE22" s="45">
        <f t="shared" si="11"/>
        <v>0</v>
      </c>
      <c r="AF22" s="45"/>
      <c r="AG22" s="53"/>
      <c r="AH22" s="54">
        <f t="shared" si="2"/>
        <v>0</v>
      </c>
      <c r="AI22" s="21" t="s">
        <v>179</v>
      </c>
      <c r="AJ22" s="55">
        <f t="shared" si="3"/>
        <v>0</v>
      </c>
      <c r="AK22" s="55">
        <f t="shared" si="4"/>
        <v>0</v>
      </c>
      <c r="AL22" s="21">
        <f t="shared" si="12"/>
        <v>-2</v>
      </c>
      <c r="AM22" s="21" t="str">
        <f t="shared" si="5"/>
        <v>30天内</v>
      </c>
      <c r="AN22" s="56">
        <v>0</v>
      </c>
      <c r="AO22" s="21" t="s">
        <v>186</v>
      </c>
      <c r="AP22" s="61">
        <f t="shared" si="6"/>
        <v>0</v>
      </c>
      <c r="AQ22" s="13"/>
    </row>
    <row r="23" spans="1:43">
      <c r="A23" s="21">
        <v>202508</v>
      </c>
      <c r="B23" s="25">
        <v>45887</v>
      </c>
      <c r="C23" s="21" t="s">
        <v>224</v>
      </c>
      <c r="D23" s="21" t="str">
        <f t="shared" ref="D23:I23" si="74">D22</f>
        <v>M » N2 - 1</v>
      </c>
      <c r="E23" s="21" t="str">
        <f t="shared" si="14"/>
        <v>YCD-EX:HUPPER TEK</v>
      </c>
      <c r="F23" s="21" t="str">
        <f t="shared" si="74"/>
        <v>MI202508130012</v>
      </c>
      <c r="G23" s="21" t="str">
        <f t="shared" si="74"/>
        <v>DE2508031-G7-MIC</v>
      </c>
      <c r="H23" s="26">
        <f t="shared" si="74"/>
        <v>45889</v>
      </c>
      <c r="I23" s="37" t="str">
        <f t="shared" si="74"/>
        <v>B07BK8W5MF</v>
      </c>
      <c r="J23" s="21"/>
      <c r="K23" s="38" t="str">
        <f t="shared" ref="K23:O23" si="75">K22</f>
        <v>金属储物柜71英寸银色</v>
      </c>
      <c r="L23" s="21"/>
      <c r="M23" s="36">
        <f t="shared" si="75"/>
        <v>188</v>
      </c>
      <c r="N23" s="36">
        <f t="shared" si="75"/>
        <v>49</v>
      </c>
      <c r="O23" s="36">
        <f t="shared" si="75"/>
        <v>14</v>
      </c>
      <c r="P23" s="21">
        <f t="shared" si="0"/>
        <v>0.128968</v>
      </c>
      <c r="Q23" s="21"/>
      <c r="R23" s="36">
        <f t="shared" ref="R23:T23" si="76">R22</f>
        <v>188</v>
      </c>
      <c r="S23" s="36">
        <f t="shared" si="76"/>
        <v>49</v>
      </c>
      <c r="T23" s="36">
        <f t="shared" si="76"/>
        <v>14</v>
      </c>
      <c r="U23" s="21">
        <f t="shared" si="1"/>
        <v>0.128968</v>
      </c>
      <c r="V23" s="21"/>
      <c r="W23" s="21"/>
      <c r="X23" s="21"/>
      <c r="Y23" s="21"/>
      <c r="Z23" s="21"/>
      <c r="AA23" s="21">
        <f t="shared" ref="AA23:AC23" si="77">AA22</f>
        <v>21</v>
      </c>
      <c r="AB23" s="21">
        <f t="shared" si="77"/>
        <v>247</v>
      </c>
      <c r="AC23" s="21">
        <f t="shared" si="77"/>
        <v>247</v>
      </c>
      <c r="AD23" s="21">
        <v>0</v>
      </c>
      <c r="AE23" s="45">
        <f t="shared" si="11"/>
        <v>0</v>
      </c>
      <c r="AF23" s="45"/>
      <c r="AG23" s="53"/>
      <c r="AH23" s="54">
        <f t="shared" si="2"/>
        <v>0</v>
      </c>
      <c r="AI23" s="21" t="s">
        <v>179</v>
      </c>
      <c r="AJ23" s="55">
        <f t="shared" si="3"/>
        <v>0</v>
      </c>
      <c r="AK23" s="55">
        <f t="shared" si="4"/>
        <v>0</v>
      </c>
      <c r="AL23" s="21">
        <f t="shared" si="12"/>
        <v>-1</v>
      </c>
      <c r="AM23" s="21" t="str">
        <f t="shared" si="5"/>
        <v>30天内</v>
      </c>
      <c r="AN23" s="56">
        <v>0</v>
      </c>
      <c r="AO23" s="21" t="s">
        <v>186</v>
      </c>
      <c r="AP23" s="61">
        <f t="shared" ref="AP23:AP86" si="78">AK23*AN23</f>
        <v>0</v>
      </c>
      <c r="AQ23" s="13"/>
    </row>
    <row r="24" spans="1:43">
      <c r="A24" s="21">
        <v>202508</v>
      </c>
      <c r="B24" s="25">
        <v>45888</v>
      </c>
      <c r="C24" s="21" t="s">
        <v>224</v>
      </c>
      <c r="D24" s="21" t="str">
        <f t="shared" ref="D24:I24" si="79">D23</f>
        <v>M » N2 - 1</v>
      </c>
      <c r="E24" s="21" t="str">
        <f t="shared" si="14"/>
        <v>YCD-EX:HUPPER TEK</v>
      </c>
      <c r="F24" s="21" t="str">
        <f t="shared" si="79"/>
        <v>MI202508130012</v>
      </c>
      <c r="G24" s="21" t="str">
        <f t="shared" si="79"/>
        <v>DE2508031-G7-MIC</v>
      </c>
      <c r="H24" s="26">
        <f t="shared" si="79"/>
        <v>45889</v>
      </c>
      <c r="I24" s="37" t="str">
        <f t="shared" si="79"/>
        <v>B07BK8W5MF</v>
      </c>
      <c r="J24" s="21"/>
      <c r="K24" s="38" t="str">
        <f t="shared" ref="K24:O24" si="80">K23</f>
        <v>金属储物柜71英寸银色</v>
      </c>
      <c r="L24" s="21"/>
      <c r="M24" s="36">
        <f t="shared" si="80"/>
        <v>188</v>
      </c>
      <c r="N24" s="36">
        <f t="shared" si="80"/>
        <v>49</v>
      </c>
      <c r="O24" s="36">
        <f t="shared" si="80"/>
        <v>14</v>
      </c>
      <c r="P24" s="21">
        <f t="shared" si="0"/>
        <v>0.128968</v>
      </c>
      <c r="Q24" s="21"/>
      <c r="R24" s="36">
        <f t="shared" ref="R24:T24" si="81">R23</f>
        <v>188</v>
      </c>
      <c r="S24" s="36">
        <f t="shared" si="81"/>
        <v>49</v>
      </c>
      <c r="T24" s="36">
        <f t="shared" si="81"/>
        <v>14</v>
      </c>
      <c r="U24" s="21">
        <f t="shared" si="1"/>
        <v>0.128968</v>
      </c>
      <c r="V24" s="21"/>
      <c r="W24" s="21"/>
      <c r="X24" s="21"/>
      <c r="Y24" s="21"/>
      <c r="Z24" s="21"/>
      <c r="AA24" s="21">
        <f t="shared" ref="AA24:AC24" si="82">AA23</f>
        <v>21</v>
      </c>
      <c r="AB24" s="21">
        <f t="shared" si="82"/>
        <v>247</v>
      </c>
      <c r="AC24" s="21">
        <f t="shared" si="82"/>
        <v>247</v>
      </c>
      <c r="AD24" s="21">
        <v>0</v>
      </c>
      <c r="AE24" s="45">
        <f t="shared" si="11"/>
        <v>0</v>
      </c>
      <c r="AF24" s="45"/>
      <c r="AG24" s="53"/>
      <c r="AH24" s="54">
        <f t="shared" si="2"/>
        <v>0</v>
      </c>
      <c r="AI24" s="21" t="s">
        <v>179</v>
      </c>
      <c r="AJ24" s="55">
        <f t="shared" si="3"/>
        <v>0</v>
      </c>
      <c r="AK24" s="55">
        <f t="shared" si="4"/>
        <v>0</v>
      </c>
      <c r="AL24" s="21">
        <f t="shared" si="12"/>
        <v>0</v>
      </c>
      <c r="AM24" s="21" t="str">
        <f t="shared" si="5"/>
        <v>30天内</v>
      </c>
      <c r="AN24" s="56">
        <v>0</v>
      </c>
      <c r="AO24" s="21" t="s">
        <v>186</v>
      </c>
      <c r="AP24" s="61">
        <f t="shared" si="78"/>
        <v>0</v>
      </c>
      <c r="AQ24" s="13"/>
    </row>
    <row r="25" spans="1:43">
      <c r="A25" s="21">
        <v>202508</v>
      </c>
      <c r="B25" s="25">
        <v>45889</v>
      </c>
      <c r="C25" s="21" t="s">
        <v>224</v>
      </c>
      <c r="D25" s="21" t="str">
        <f t="shared" ref="D25:I25" si="83">D24</f>
        <v>M » N2 - 1</v>
      </c>
      <c r="E25" s="21" t="str">
        <f t="shared" si="14"/>
        <v>YCD-EX:HUPPER TEK</v>
      </c>
      <c r="F25" s="21" t="str">
        <f t="shared" si="83"/>
        <v>MI202508130012</v>
      </c>
      <c r="G25" s="21" t="str">
        <f t="shared" si="83"/>
        <v>DE2508031-G7-MIC</v>
      </c>
      <c r="H25" s="26">
        <f t="shared" si="83"/>
        <v>45889</v>
      </c>
      <c r="I25" s="37" t="str">
        <f t="shared" si="83"/>
        <v>B07BK8W5MF</v>
      </c>
      <c r="J25" s="21"/>
      <c r="K25" s="38" t="str">
        <f t="shared" ref="K25:O25" si="84">K24</f>
        <v>金属储物柜71英寸银色</v>
      </c>
      <c r="L25" s="21"/>
      <c r="M25" s="36">
        <f t="shared" si="84"/>
        <v>188</v>
      </c>
      <c r="N25" s="36">
        <f t="shared" si="84"/>
        <v>49</v>
      </c>
      <c r="O25" s="36">
        <f t="shared" si="84"/>
        <v>14</v>
      </c>
      <c r="P25" s="21">
        <f t="shared" si="0"/>
        <v>0.128968</v>
      </c>
      <c r="Q25" s="21"/>
      <c r="R25" s="36">
        <f t="shared" ref="R25:T25" si="85">R24</f>
        <v>188</v>
      </c>
      <c r="S25" s="36">
        <f t="shared" si="85"/>
        <v>49</v>
      </c>
      <c r="T25" s="36">
        <f t="shared" si="85"/>
        <v>14</v>
      </c>
      <c r="U25" s="21">
        <f t="shared" si="1"/>
        <v>0.128968</v>
      </c>
      <c r="V25" s="21"/>
      <c r="W25" s="21"/>
      <c r="X25" s="21"/>
      <c r="Y25" s="21"/>
      <c r="Z25" s="21"/>
      <c r="AA25" s="21">
        <f t="shared" ref="AA25:AC25" si="86">AA24</f>
        <v>21</v>
      </c>
      <c r="AB25" s="21">
        <f t="shared" si="86"/>
        <v>247</v>
      </c>
      <c r="AC25" s="21">
        <f t="shared" si="86"/>
        <v>247</v>
      </c>
      <c r="AD25" s="21">
        <v>0</v>
      </c>
      <c r="AE25" s="45">
        <f t="shared" si="11"/>
        <v>0</v>
      </c>
      <c r="AF25" s="45">
        <v>247</v>
      </c>
      <c r="AG25" s="53"/>
      <c r="AH25" s="54">
        <f t="shared" si="2"/>
        <v>247</v>
      </c>
      <c r="AI25" s="21" t="s">
        <v>179</v>
      </c>
      <c r="AJ25" s="55">
        <f t="shared" si="3"/>
        <v>31.855096</v>
      </c>
      <c r="AK25" s="55">
        <f t="shared" si="4"/>
        <v>31.855096</v>
      </c>
      <c r="AL25" s="21">
        <f t="shared" si="12"/>
        <v>1</v>
      </c>
      <c r="AM25" s="21" t="str">
        <f t="shared" si="5"/>
        <v>30天内</v>
      </c>
      <c r="AN25" s="56">
        <v>0</v>
      </c>
      <c r="AO25" s="21" t="s">
        <v>186</v>
      </c>
      <c r="AP25" s="61">
        <f t="shared" si="78"/>
        <v>0</v>
      </c>
      <c r="AQ25" s="13"/>
    </row>
    <row r="26" spans="1:43">
      <c r="A26" s="21">
        <v>202508</v>
      </c>
      <c r="B26" s="25">
        <v>45890</v>
      </c>
      <c r="C26" s="21" t="s">
        <v>224</v>
      </c>
      <c r="D26" s="21" t="str">
        <f t="shared" ref="D26:I26" si="87">D25</f>
        <v>M » N2 - 1</v>
      </c>
      <c r="E26" s="21" t="str">
        <f t="shared" si="14"/>
        <v>YCD-EX:HUPPER TEK</v>
      </c>
      <c r="F26" s="21" t="str">
        <f t="shared" si="87"/>
        <v>MI202508130012</v>
      </c>
      <c r="G26" s="21" t="str">
        <f t="shared" si="87"/>
        <v>DE2508031-G7-MIC</v>
      </c>
      <c r="H26" s="26">
        <f t="shared" si="87"/>
        <v>45889</v>
      </c>
      <c r="I26" s="37" t="str">
        <f t="shared" si="87"/>
        <v>B07BK8W5MF</v>
      </c>
      <c r="J26" s="21"/>
      <c r="K26" s="38" t="str">
        <f t="shared" ref="K26:O26" si="88">K25</f>
        <v>金属储物柜71英寸银色</v>
      </c>
      <c r="L26" s="21"/>
      <c r="M26" s="36">
        <f t="shared" si="88"/>
        <v>188</v>
      </c>
      <c r="N26" s="36">
        <f t="shared" si="88"/>
        <v>49</v>
      </c>
      <c r="O26" s="36">
        <f t="shared" si="88"/>
        <v>14</v>
      </c>
      <c r="P26" s="21">
        <f t="shared" si="0"/>
        <v>0.128968</v>
      </c>
      <c r="Q26" s="21"/>
      <c r="R26" s="36">
        <f t="shared" ref="R26:T26" si="89">R25</f>
        <v>188</v>
      </c>
      <c r="S26" s="36">
        <f t="shared" si="89"/>
        <v>49</v>
      </c>
      <c r="T26" s="36">
        <f t="shared" si="89"/>
        <v>14</v>
      </c>
      <c r="U26" s="21">
        <f t="shared" si="1"/>
        <v>0.128968</v>
      </c>
      <c r="V26" s="21"/>
      <c r="W26" s="21"/>
      <c r="X26" s="21"/>
      <c r="Y26" s="21"/>
      <c r="Z26" s="21"/>
      <c r="AA26" s="21">
        <f t="shared" ref="AA26:AC26" si="90">AA25</f>
        <v>21</v>
      </c>
      <c r="AB26" s="21">
        <f t="shared" si="90"/>
        <v>247</v>
      </c>
      <c r="AC26" s="21">
        <f t="shared" si="90"/>
        <v>247</v>
      </c>
      <c r="AD26" s="21">
        <v>0</v>
      </c>
      <c r="AE26" s="45">
        <f t="shared" si="11"/>
        <v>247</v>
      </c>
      <c r="AF26" s="45"/>
      <c r="AG26" s="53"/>
      <c r="AH26" s="54">
        <f t="shared" si="2"/>
        <v>247</v>
      </c>
      <c r="AI26" s="21" t="s">
        <v>179</v>
      </c>
      <c r="AJ26" s="55">
        <f t="shared" si="3"/>
        <v>31.855096</v>
      </c>
      <c r="AK26" s="55">
        <f t="shared" si="4"/>
        <v>31.855096</v>
      </c>
      <c r="AL26" s="21">
        <f t="shared" si="12"/>
        <v>2</v>
      </c>
      <c r="AM26" s="21" t="str">
        <f t="shared" ref="AM26:AM89" si="91">IF(AL26&lt;=30,"30天内",IF(AL26&lt;=90,"31-90天","91天以上"))</f>
        <v>30天内</v>
      </c>
      <c r="AN26" s="56">
        <v>0</v>
      </c>
      <c r="AO26" s="21" t="s">
        <v>186</v>
      </c>
      <c r="AP26" s="61">
        <f t="shared" si="78"/>
        <v>0</v>
      </c>
      <c r="AQ26" s="13"/>
    </row>
    <row r="27" spans="1:43">
      <c r="A27" s="21">
        <v>202508</v>
      </c>
      <c r="B27" s="25">
        <v>45891</v>
      </c>
      <c r="C27" s="21" t="s">
        <v>224</v>
      </c>
      <c r="D27" s="21" t="str">
        <f t="shared" ref="D27:I27" si="92">D26</f>
        <v>M » N2 - 1</v>
      </c>
      <c r="E27" s="21" t="str">
        <f t="shared" si="14"/>
        <v>YCD-EX:HUPPER TEK</v>
      </c>
      <c r="F27" s="21" t="str">
        <f t="shared" si="92"/>
        <v>MI202508130012</v>
      </c>
      <c r="G27" s="21" t="str">
        <f t="shared" si="92"/>
        <v>DE2508031-G7-MIC</v>
      </c>
      <c r="H27" s="26">
        <f t="shared" si="92"/>
        <v>45889</v>
      </c>
      <c r="I27" s="37" t="str">
        <f t="shared" si="92"/>
        <v>B07BK8W5MF</v>
      </c>
      <c r="J27" s="21"/>
      <c r="K27" s="38" t="str">
        <f t="shared" ref="K27:O27" si="93">K26</f>
        <v>金属储物柜71英寸银色</v>
      </c>
      <c r="L27" s="21"/>
      <c r="M27" s="36">
        <f t="shared" si="93"/>
        <v>188</v>
      </c>
      <c r="N27" s="36">
        <f t="shared" si="93"/>
        <v>49</v>
      </c>
      <c r="O27" s="36">
        <f t="shared" si="93"/>
        <v>14</v>
      </c>
      <c r="P27" s="21">
        <f t="shared" si="0"/>
        <v>0.128968</v>
      </c>
      <c r="Q27" s="21"/>
      <c r="R27" s="36">
        <f t="shared" ref="R27:T27" si="94">R26</f>
        <v>188</v>
      </c>
      <c r="S27" s="36">
        <f t="shared" si="94"/>
        <v>49</v>
      </c>
      <c r="T27" s="36">
        <f t="shared" si="94"/>
        <v>14</v>
      </c>
      <c r="U27" s="21">
        <f t="shared" si="1"/>
        <v>0.128968</v>
      </c>
      <c r="V27" s="21"/>
      <c r="W27" s="21"/>
      <c r="X27" s="21"/>
      <c r="Y27" s="21"/>
      <c r="Z27" s="21"/>
      <c r="AA27" s="21">
        <f t="shared" ref="AA27:AC27" si="95">AA26</f>
        <v>21</v>
      </c>
      <c r="AB27" s="21">
        <f t="shared" si="95"/>
        <v>247</v>
      </c>
      <c r="AC27" s="21">
        <f t="shared" si="95"/>
        <v>247</v>
      </c>
      <c r="AD27" s="21">
        <v>0</v>
      </c>
      <c r="AE27" s="45">
        <f t="shared" si="11"/>
        <v>247</v>
      </c>
      <c r="AF27" s="45"/>
      <c r="AG27" s="53"/>
      <c r="AH27" s="54">
        <f t="shared" si="2"/>
        <v>247</v>
      </c>
      <c r="AI27" s="21" t="s">
        <v>179</v>
      </c>
      <c r="AJ27" s="55">
        <f t="shared" si="3"/>
        <v>31.855096</v>
      </c>
      <c r="AK27" s="55">
        <f t="shared" si="4"/>
        <v>31.855096</v>
      </c>
      <c r="AL27" s="21">
        <f t="shared" si="12"/>
        <v>3</v>
      </c>
      <c r="AM27" s="21" t="str">
        <f t="shared" si="91"/>
        <v>30天内</v>
      </c>
      <c r="AN27" s="56">
        <v>0</v>
      </c>
      <c r="AO27" s="21" t="s">
        <v>186</v>
      </c>
      <c r="AP27" s="61">
        <f t="shared" si="78"/>
        <v>0</v>
      </c>
      <c r="AQ27" s="13"/>
    </row>
    <row r="28" spans="1:43">
      <c r="A28" s="21">
        <v>202508</v>
      </c>
      <c r="B28" s="25">
        <v>45892</v>
      </c>
      <c r="C28" s="21" t="s">
        <v>224</v>
      </c>
      <c r="D28" s="21" t="str">
        <f t="shared" ref="D28:I28" si="96">D27</f>
        <v>M » N2 - 1</v>
      </c>
      <c r="E28" s="21" t="str">
        <f t="shared" si="14"/>
        <v>YCD-EX:HUPPER TEK</v>
      </c>
      <c r="F28" s="21" t="str">
        <f t="shared" si="96"/>
        <v>MI202508130012</v>
      </c>
      <c r="G28" s="21" t="str">
        <f t="shared" si="96"/>
        <v>DE2508031-G7-MIC</v>
      </c>
      <c r="H28" s="26">
        <f t="shared" si="96"/>
        <v>45889</v>
      </c>
      <c r="I28" s="37" t="str">
        <f t="shared" si="96"/>
        <v>B07BK8W5MF</v>
      </c>
      <c r="J28" s="21"/>
      <c r="K28" s="38" t="str">
        <f t="shared" ref="K28:O28" si="97">K27</f>
        <v>金属储物柜71英寸银色</v>
      </c>
      <c r="L28" s="21"/>
      <c r="M28" s="36">
        <f t="shared" si="97"/>
        <v>188</v>
      </c>
      <c r="N28" s="36">
        <f t="shared" si="97"/>
        <v>49</v>
      </c>
      <c r="O28" s="36">
        <f t="shared" si="97"/>
        <v>14</v>
      </c>
      <c r="P28" s="21">
        <f t="shared" si="0"/>
        <v>0.128968</v>
      </c>
      <c r="Q28" s="21"/>
      <c r="R28" s="36">
        <f t="shared" ref="R28:T28" si="98">R27</f>
        <v>188</v>
      </c>
      <c r="S28" s="36">
        <f t="shared" si="98"/>
        <v>49</v>
      </c>
      <c r="T28" s="36">
        <f t="shared" si="98"/>
        <v>14</v>
      </c>
      <c r="U28" s="21">
        <f t="shared" si="1"/>
        <v>0.128968</v>
      </c>
      <c r="V28" s="21"/>
      <c r="W28" s="21"/>
      <c r="X28" s="21"/>
      <c r="Y28" s="21"/>
      <c r="Z28" s="21"/>
      <c r="AA28" s="21">
        <f t="shared" ref="AA28:AC28" si="99">AA27</f>
        <v>21</v>
      </c>
      <c r="AB28" s="21">
        <f t="shared" si="99"/>
        <v>247</v>
      </c>
      <c r="AC28" s="21">
        <f t="shared" si="99"/>
        <v>247</v>
      </c>
      <c r="AD28" s="21">
        <v>0</v>
      </c>
      <c r="AE28" s="45">
        <f t="shared" si="11"/>
        <v>247</v>
      </c>
      <c r="AF28" s="45"/>
      <c r="AG28" s="53"/>
      <c r="AH28" s="54">
        <f t="shared" si="2"/>
        <v>247</v>
      </c>
      <c r="AI28" s="21" t="s">
        <v>179</v>
      </c>
      <c r="AJ28" s="55">
        <f t="shared" si="3"/>
        <v>31.855096</v>
      </c>
      <c r="AK28" s="55">
        <f t="shared" si="4"/>
        <v>31.855096</v>
      </c>
      <c r="AL28" s="21">
        <f t="shared" si="12"/>
        <v>4</v>
      </c>
      <c r="AM28" s="21" t="str">
        <f t="shared" si="91"/>
        <v>30天内</v>
      </c>
      <c r="AN28" s="56">
        <v>0</v>
      </c>
      <c r="AO28" s="21" t="s">
        <v>186</v>
      </c>
      <c r="AP28" s="61">
        <f t="shared" si="78"/>
        <v>0</v>
      </c>
      <c r="AQ28" s="13"/>
    </row>
    <row r="29" spans="1:43">
      <c r="A29" s="21">
        <v>202508</v>
      </c>
      <c r="B29" s="25">
        <v>45893</v>
      </c>
      <c r="C29" s="21" t="s">
        <v>224</v>
      </c>
      <c r="D29" s="21" t="str">
        <f t="shared" ref="D29:I29" si="100">D28</f>
        <v>M » N2 - 1</v>
      </c>
      <c r="E29" s="21" t="str">
        <f t="shared" si="14"/>
        <v>YCD-EX:HUPPER TEK</v>
      </c>
      <c r="F29" s="21" t="str">
        <f t="shared" si="100"/>
        <v>MI202508130012</v>
      </c>
      <c r="G29" s="21" t="str">
        <f t="shared" si="100"/>
        <v>DE2508031-G7-MIC</v>
      </c>
      <c r="H29" s="26">
        <f t="shared" si="100"/>
        <v>45889</v>
      </c>
      <c r="I29" s="37" t="str">
        <f t="shared" si="100"/>
        <v>B07BK8W5MF</v>
      </c>
      <c r="J29" s="21"/>
      <c r="K29" s="38" t="str">
        <f t="shared" ref="K29:O29" si="101">K28</f>
        <v>金属储物柜71英寸银色</v>
      </c>
      <c r="L29" s="21"/>
      <c r="M29" s="36">
        <f t="shared" si="101"/>
        <v>188</v>
      </c>
      <c r="N29" s="36">
        <f t="shared" si="101"/>
        <v>49</v>
      </c>
      <c r="O29" s="36">
        <f t="shared" si="101"/>
        <v>14</v>
      </c>
      <c r="P29" s="21">
        <f t="shared" si="0"/>
        <v>0.128968</v>
      </c>
      <c r="Q29" s="21"/>
      <c r="R29" s="36">
        <f t="shared" ref="R29:T29" si="102">R28</f>
        <v>188</v>
      </c>
      <c r="S29" s="36">
        <f t="shared" si="102"/>
        <v>49</v>
      </c>
      <c r="T29" s="36">
        <f t="shared" si="102"/>
        <v>14</v>
      </c>
      <c r="U29" s="21">
        <f t="shared" si="1"/>
        <v>0.128968</v>
      </c>
      <c r="V29" s="21"/>
      <c r="W29" s="21"/>
      <c r="X29" s="21"/>
      <c r="Y29" s="21"/>
      <c r="Z29" s="21"/>
      <c r="AA29" s="21">
        <f t="shared" ref="AA29:AC29" si="103">AA28</f>
        <v>21</v>
      </c>
      <c r="AB29" s="21">
        <f t="shared" si="103"/>
        <v>247</v>
      </c>
      <c r="AC29" s="21">
        <f t="shared" si="103"/>
        <v>247</v>
      </c>
      <c r="AD29" s="21">
        <v>0</v>
      </c>
      <c r="AE29" s="45">
        <f t="shared" si="11"/>
        <v>247</v>
      </c>
      <c r="AF29" s="45"/>
      <c r="AG29" s="53"/>
      <c r="AH29" s="54">
        <f t="shared" si="2"/>
        <v>247</v>
      </c>
      <c r="AI29" s="21" t="s">
        <v>179</v>
      </c>
      <c r="AJ29" s="55">
        <f t="shared" si="3"/>
        <v>31.855096</v>
      </c>
      <c r="AK29" s="55">
        <f t="shared" si="4"/>
        <v>31.855096</v>
      </c>
      <c r="AL29" s="21">
        <f t="shared" si="12"/>
        <v>5</v>
      </c>
      <c r="AM29" s="21" t="str">
        <f t="shared" si="91"/>
        <v>30天内</v>
      </c>
      <c r="AN29" s="56">
        <v>0</v>
      </c>
      <c r="AO29" s="21" t="s">
        <v>186</v>
      </c>
      <c r="AP29" s="61">
        <f t="shared" si="78"/>
        <v>0</v>
      </c>
      <c r="AQ29" s="13"/>
    </row>
    <row r="30" spans="1:43">
      <c r="A30" s="21">
        <v>202508</v>
      </c>
      <c r="B30" s="25">
        <v>45894</v>
      </c>
      <c r="C30" s="21" t="s">
        <v>224</v>
      </c>
      <c r="D30" s="21" t="str">
        <f t="shared" ref="D30:I30" si="104">D29</f>
        <v>M » N2 - 1</v>
      </c>
      <c r="E30" s="21" t="str">
        <f t="shared" si="14"/>
        <v>YCD-EX:HUPPER TEK</v>
      </c>
      <c r="F30" s="21" t="str">
        <f t="shared" si="104"/>
        <v>MI202508130012</v>
      </c>
      <c r="G30" s="21" t="str">
        <f t="shared" si="104"/>
        <v>DE2508031-G7-MIC</v>
      </c>
      <c r="H30" s="26">
        <f t="shared" si="104"/>
        <v>45889</v>
      </c>
      <c r="I30" s="37" t="str">
        <f t="shared" si="104"/>
        <v>B07BK8W5MF</v>
      </c>
      <c r="J30" s="21"/>
      <c r="K30" s="38" t="str">
        <f t="shared" ref="K30:O30" si="105">K29</f>
        <v>金属储物柜71英寸银色</v>
      </c>
      <c r="L30" s="21"/>
      <c r="M30" s="36">
        <f t="shared" si="105"/>
        <v>188</v>
      </c>
      <c r="N30" s="36">
        <f t="shared" si="105"/>
        <v>49</v>
      </c>
      <c r="O30" s="36">
        <f t="shared" si="105"/>
        <v>14</v>
      </c>
      <c r="P30" s="21">
        <f t="shared" si="0"/>
        <v>0.128968</v>
      </c>
      <c r="Q30" s="21"/>
      <c r="R30" s="36">
        <f t="shared" ref="R30:T30" si="106">R29</f>
        <v>188</v>
      </c>
      <c r="S30" s="36">
        <f t="shared" si="106"/>
        <v>49</v>
      </c>
      <c r="T30" s="36">
        <f t="shared" si="106"/>
        <v>14</v>
      </c>
      <c r="U30" s="21">
        <f t="shared" si="1"/>
        <v>0.128968</v>
      </c>
      <c r="V30" s="21"/>
      <c r="W30" s="21"/>
      <c r="X30" s="21"/>
      <c r="Y30" s="21"/>
      <c r="Z30" s="21"/>
      <c r="AA30" s="21">
        <f t="shared" ref="AA30:AC30" si="107">AA29</f>
        <v>21</v>
      </c>
      <c r="AB30" s="21">
        <f t="shared" si="107"/>
        <v>247</v>
      </c>
      <c r="AC30" s="21">
        <f t="shared" si="107"/>
        <v>247</v>
      </c>
      <c r="AD30" s="21">
        <v>0</v>
      </c>
      <c r="AE30" s="45">
        <f t="shared" si="11"/>
        <v>247</v>
      </c>
      <c r="AF30" s="46"/>
      <c r="AG30" s="53"/>
      <c r="AH30" s="54">
        <f t="shared" si="2"/>
        <v>247</v>
      </c>
      <c r="AI30" s="21" t="s">
        <v>179</v>
      </c>
      <c r="AJ30" s="55">
        <f t="shared" si="3"/>
        <v>31.855096</v>
      </c>
      <c r="AK30" s="55">
        <f t="shared" si="4"/>
        <v>31.855096</v>
      </c>
      <c r="AL30" s="21">
        <f t="shared" si="12"/>
        <v>6</v>
      </c>
      <c r="AM30" s="21" t="str">
        <f t="shared" si="91"/>
        <v>30天内</v>
      </c>
      <c r="AN30" s="56">
        <v>0</v>
      </c>
      <c r="AO30" s="21" t="s">
        <v>186</v>
      </c>
      <c r="AP30" s="61">
        <f t="shared" si="78"/>
        <v>0</v>
      </c>
      <c r="AQ30" s="13"/>
    </row>
    <row r="31" spans="1:43">
      <c r="A31" s="21">
        <v>202508</v>
      </c>
      <c r="B31" s="25">
        <v>45895</v>
      </c>
      <c r="C31" s="21" t="s">
        <v>224</v>
      </c>
      <c r="D31" s="21" t="str">
        <f t="shared" ref="D31:I31" si="108">D30</f>
        <v>M » N2 - 1</v>
      </c>
      <c r="E31" s="21" t="str">
        <f t="shared" si="14"/>
        <v>YCD-EX:HUPPER TEK</v>
      </c>
      <c r="F31" s="21" t="str">
        <f t="shared" si="108"/>
        <v>MI202508130012</v>
      </c>
      <c r="G31" s="21" t="str">
        <f t="shared" si="108"/>
        <v>DE2508031-G7-MIC</v>
      </c>
      <c r="H31" s="26">
        <f t="shared" si="108"/>
        <v>45889</v>
      </c>
      <c r="I31" s="37" t="str">
        <f t="shared" si="108"/>
        <v>B07BK8W5MF</v>
      </c>
      <c r="J31" s="21"/>
      <c r="K31" s="38" t="str">
        <f t="shared" ref="K31:O31" si="109">K30</f>
        <v>金属储物柜71英寸银色</v>
      </c>
      <c r="L31" s="21"/>
      <c r="M31" s="36">
        <f t="shared" si="109"/>
        <v>188</v>
      </c>
      <c r="N31" s="36">
        <f t="shared" si="109"/>
        <v>49</v>
      </c>
      <c r="O31" s="36">
        <f t="shared" si="109"/>
        <v>14</v>
      </c>
      <c r="P31" s="21">
        <f t="shared" si="0"/>
        <v>0.128968</v>
      </c>
      <c r="Q31" s="21"/>
      <c r="R31" s="36">
        <f t="shared" ref="R31:T31" si="110">R30</f>
        <v>188</v>
      </c>
      <c r="S31" s="36">
        <f t="shared" si="110"/>
        <v>49</v>
      </c>
      <c r="T31" s="36">
        <f t="shared" si="110"/>
        <v>14</v>
      </c>
      <c r="U31" s="21">
        <f t="shared" si="1"/>
        <v>0.128968</v>
      </c>
      <c r="V31" s="21"/>
      <c r="W31" s="21"/>
      <c r="X31" s="21"/>
      <c r="Y31" s="21"/>
      <c r="Z31" s="21"/>
      <c r="AA31" s="21">
        <f t="shared" ref="AA31:AC31" si="111">AA30</f>
        <v>21</v>
      </c>
      <c r="AB31" s="21">
        <f t="shared" si="111"/>
        <v>247</v>
      </c>
      <c r="AC31" s="21">
        <f t="shared" si="111"/>
        <v>247</v>
      </c>
      <c r="AD31" s="21">
        <v>0</v>
      </c>
      <c r="AE31" s="45">
        <f t="shared" si="11"/>
        <v>247</v>
      </c>
      <c r="AF31" s="46"/>
      <c r="AG31" s="53"/>
      <c r="AH31" s="54">
        <f t="shared" si="2"/>
        <v>247</v>
      </c>
      <c r="AI31" s="21" t="s">
        <v>179</v>
      </c>
      <c r="AJ31" s="55">
        <f t="shared" ref="AJ31:AJ94" si="112">AH31*P31</f>
        <v>31.855096</v>
      </c>
      <c r="AK31" s="55">
        <f t="shared" ref="AK31:AK94" si="113">AJ31</f>
        <v>31.855096</v>
      </c>
      <c r="AL31" s="21">
        <f t="shared" si="12"/>
        <v>7</v>
      </c>
      <c r="AM31" s="21" t="str">
        <f t="shared" si="91"/>
        <v>30天内</v>
      </c>
      <c r="AN31" s="56">
        <v>0</v>
      </c>
      <c r="AO31" s="21" t="s">
        <v>186</v>
      </c>
      <c r="AP31" s="61">
        <f t="shared" si="78"/>
        <v>0</v>
      </c>
      <c r="AQ31" s="13"/>
    </row>
    <row r="32" spans="1:43">
      <c r="A32" s="21">
        <v>202508</v>
      </c>
      <c r="B32" s="25">
        <v>45896</v>
      </c>
      <c r="C32" s="21" t="s">
        <v>224</v>
      </c>
      <c r="D32" s="21" t="str">
        <f t="shared" ref="D32:I32" si="114">D31</f>
        <v>M » N2 - 1</v>
      </c>
      <c r="E32" s="21" t="str">
        <f t="shared" si="14"/>
        <v>YCD-EX:HUPPER TEK</v>
      </c>
      <c r="F32" s="21" t="str">
        <f t="shared" si="114"/>
        <v>MI202508130012</v>
      </c>
      <c r="G32" s="21" t="str">
        <f t="shared" si="114"/>
        <v>DE2508031-G7-MIC</v>
      </c>
      <c r="H32" s="26">
        <f t="shared" si="114"/>
        <v>45889</v>
      </c>
      <c r="I32" s="37" t="str">
        <f t="shared" si="114"/>
        <v>B07BK8W5MF</v>
      </c>
      <c r="J32" s="21"/>
      <c r="K32" s="38" t="str">
        <f t="shared" ref="K32:O32" si="115">K31</f>
        <v>金属储物柜71英寸银色</v>
      </c>
      <c r="L32" s="21"/>
      <c r="M32" s="36">
        <f t="shared" si="115"/>
        <v>188</v>
      </c>
      <c r="N32" s="36">
        <f t="shared" si="115"/>
        <v>49</v>
      </c>
      <c r="O32" s="36">
        <f t="shared" si="115"/>
        <v>14</v>
      </c>
      <c r="P32" s="21">
        <f t="shared" si="0"/>
        <v>0.128968</v>
      </c>
      <c r="Q32" s="21"/>
      <c r="R32" s="36">
        <f t="shared" ref="R32:T32" si="116">R31</f>
        <v>188</v>
      </c>
      <c r="S32" s="36">
        <f t="shared" si="116"/>
        <v>49</v>
      </c>
      <c r="T32" s="36">
        <f t="shared" si="116"/>
        <v>14</v>
      </c>
      <c r="U32" s="21">
        <f t="shared" si="1"/>
        <v>0.128968</v>
      </c>
      <c r="V32" s="21"/>
      <c r="W32" s="21"/>
      <c r="X32" s="21"/>
      <c r="Y32" s="21"/>
      <c r="Z32" s="21"/>
      <c r="AA32" s="21">
        <f t="shared" ref="AA32:AC32" si="117">AA31</f>
        <v>21</v>
      </c>
      <c r="AB32" s="21">
        <f t="shared" si="117"/>
        <v>247</v>
      </c>
      <c r="AC32" s="21">
        <f t="shared" si="117"/>
        <v>247</v>
      </c>
      <c r="AD32" s="21">
        <v>0</v>
      </c>
      <c r="AE32" s="45">
        <f t="shared" si="11"/>
        <v>247</v>
      </c>
      <c r="AF32" s="45"/>
      <c r="AG32" s="53"/>
      <c r="AH32" s="54">
        <f t="shared" si="2"/>
        <v>247</v>
      </c>
      <c r="AI32" s="21" t="s">
        <v>179</v>
      </c>
      <c r="AJ32" s="55">
        <f t="shared" si="112"/>
        <v>31.855096</v>
      </c>
      <c r="AK32" s="55">
        <f t="shared" si="113"/>
        <v>31.855096</v>
      </c>
      <c r="AL32" s="21">
        <f t="shared" si="12"/>
        <v>8</v>
      </c>
      <c r="AM32" s="21" t="str">
        <f t="shared" si="91"/>
        <v>30天内</v>
      </c>
      <c r="AN32" s="56">
        <v>0</v>
      </c>
      <c r="AO32" s="21" t="s">
        <v>186</v>
      </c>
      <c r="AP32" s="61">
        <f t="shared" si="78"/>
        <v>0</v>
      </c>
      <c r="AQ32" s="13"/>
    </row>
    <row r="33" spans="1:43">
      <c r="A33" s="21">
        <v>202508</v>
      </c>
      <c r="B33" s="25">
        <v>45897</v>
      </c>
      <c r="C33" s="21" t="s">
        <v>224</v>
      </c>
      <c r="D33" s="21" t="str">
        <f t="shared" ref="D33:I33" si="118">D32</f>
        <v>M » N2 - 1</v>
      </c>
      <c r="E33" s="21" t="str">
        <f t="shared" si="14"/>
        <v>YCD-EX:HUPPER TEK</v>
      </c>
      <c r="F33" s="21" t="str">
        <f t="shared" si="118"/>
        <v>MI202508130012</v>
      </c>
      <c r="G33" s="21" t="str">
        <f t="shared" si="118"/>
        <v>DE2508031-G7-MIC</v>
      </c>
      <c r="H33" s="26">
        <f t="shared" si="118"/>
        <v>45889</v>
      </c>
      <c r="I33" s="37" t="str">
        <f t="shared" si="118"/>
        <v>B07BK8W5MF</v>
      </c>
      <c r="J33" s="21"/>
      <c r="K33" s="38" t="str">
        <f t="shared" ref="K33:O33" si="119">K32</f>
        <v>金属储物柜71英寸银色</v>
      </c>
      <c r="L33" s="21"/>
      <c r="M33" s="36">
        <f t="shared" si="119"/>
        <v>188</v>
      </c>
      <c r="N33" s="36">
        <f t="shared" si="119"/>
        <v>49</v>
      </c>
      <c r="O33" s="36">
        <f t="shared" si="119"/>
        <v>14</v>
      </c>
      <c r="P33" s="21">
        <f t="shared" si="0"/>
        <v>0.128968</v>
      </c>
      <c r="Q33" s="21"/>
      <c r="R33" s="36">
        <f t="shared" ref="R33:T33" si="120">R32</f>
        <v>188</v>
      </c>
      <c r="S33" s="36">
        <f t="shared" si="120"/>
        <v>49</v>
      </c>
      <c r="T33" s="36">
        <f t="shared" si="120"/>
        <v>14</v>
      </c>
      <c r="U33" s="21">
        <f t="shared" si="1"/>
        <v>0.128968</v>
      </c>
      <c r="V33" s="21"/>
      <c r="W33" s="21"/>
      <c r="X33" s="21"/>
      <c r="Y33" s="21"/>
      <c r="Z33" s="21"/>
      <c r="AA33" s="21">
        <f t="shared" ref="AA33:AC33" si="121">AA32</f>
        <v>21</v>
      </c>
      <c r="AB33" s="21">
        <f t="shared" si="121"/>
        <v>247</v>
      </c>
      <c r="AC33" s="21">
        <f t="shared" si="121"/>
        <v>247</v>
      </c>
      <c r="AD33" s="21">
        <v>0</v>
      </c>
      <c r="AE33" s="45">
        <f t="shared" si="11"/>
        <v>247</v>
      </c>
      <c r="AF33" s="45"/>
      <c r="AG33" s="53"/>
      <c r="AH33" s="54">
        <f t="shared" si="2"/>
        <v>247</v>
      </c>
      <c r="AI33" s="21" t="s">
        <v>179</v>
      </c>
      <c r="AJ33" s="55">
        <f t="shared" si="112"/>
        <v>31.855096</v>
      </c>
      <c r="AK33" s="55">
        <f t="shared" si="113"/>
        <v>31.855096</v>
      </c>
      <c r="AL33" s="21">
        <f t="shared" ref="AL33:AL96" si="122">B33-H33+1</f>
        <v>9</v>
      </c>
      <c r="AM33" s="21" t="str">
        <f t="shared" si="91"/>
        <v>30天内</v>
      </c>
      <c r="AN33" s="56">
        <v>0</v>
      </c>
      <c r="AO33" s="21" t="s">
        <v>186</v>
      </c>
      <c r="AP33" s="61">
        <f t="shared" si="78"/>
        <v>0</v>
      </c>
      <c r="AQ33" s="13"/>
    </row>
    <row r="34" spans="1:43">
      <c r="A34" s="21">
        <v>202508</v>
      </c>
      <c r="B34" s="25">
        <v>45898</v>
      </c>
      <c r="C34" s="21" t="s">
        <v>224</v>
      </c>
      <c r="D34" s="21" t="str">
        <f t="shared" ref="D34:I34" si="123">D33</f>
        <v>M » N2 - 1</v>
      </c>
      <c r="E34" s="21" t="str">
        <f t="shared" si="14"/>
        <v>YCD-EX:HUPPER TEK</v>
      </c>
      <c r="F34" s="21" t="str">
        <f t="shared" si="123"/>
        <v>MI202508130012</v>
      </c>
      <c r="G34" s="21" t="str">
        <f t="shared" si="123"/>
        <v>DE2508031-G7-MIC</v>
      </c>
      <c r="H34" s="26">
        <f t="shared" si="123"/>
        <v>45889</v>
      </c>
      <c r="I34" s="37" t="str">
        <f t="shared" si="123"/>
        <v>B07BK8W5MF</v>
      </c>
      <c r="J34" s="21"/>
      <c r="K34" s="38" t="str">
        <f t="shared" ref="K34:O34" si="124">K33</f>
        <v>金属储物柜71英寸银色</v>
      </c>
      <c r="L34" s="21"/>
      <c r="M34" s="36">
        <f t="shared" si="124"/>
        <v>188</v>
      </c>
      <c r="N34" s="36">
        <f t="shared" si="124"/>
        <v>49</v>
      </c>
      <c r="O34" s="36">
        <f t="shared" si="124"/>
        <v>14</v>
      </c>
      <c r="P34" s="21">
        <f t="shared" si="0"/>
        <v>0.128968</v>
      </c>
      <c r="Q34" s="21"/>
      <c r="R34" s="36">
        <f t="shared" ref="R34:T34" si="125">R33</f>
        <v>188</v>
      </c>
      <c r="S34" s="36">
        <f t="shared" si="125"/>
        <v>49</v>
      </c>
      <c r="T34" s="36">
        <f t="shared" si="125"/>
        <v>14</v>
      </c>
      <c r="U34" s="21">
        <f t="shared" si="1"/>
        <v>0.128968</v>
      </c>
      <c r="V34" s="21"/>
      <c r="W34" s="21"/>
      <c r="X34" s="21"/>
      <c r="Y34" s="21"/>
      <c r="Z34" s="21"/>
      <c r="AA34" s="21">
        <f t="shared" ref="AA34:AC34" si="126">AA33</f>
        <v>21</v>
      </c>
      <c r="AB34" s="21">
        <f t="shared" si="126"/>
        <v>247</v>
      </c>
      <c r="AC34" s="21">
        <f t="shared" si="126"/>
        <v>247</v>
      </c>
      <c r="AD34" s="21">
        <v>0</v>
      </c>
      <c r="AE34" s="45">
        <f t="shared" si="11"/>
        <v>247</v>
      </c>
      <c r="AF34" s="45"/>
      <c r="AG34" s="53"/>
      <c r="AH34" s="54">
        <f t="shared" si="2"/>
        <v>247</v>
      </c>
      <c r="AI34" s="21" t="s">
        <v>179</v>
      </c>
      <c r="AJ34" s="55">
        <f t="shared" si="112"/>
        <v>31.855096</v>
      </c>
      <c r="AK34" s="55">
        <f t="shared" si="113"/>
        <v>31.855096</v>
      </c>
      <c r="AL34" s="21">
        <f t="shared" si="122"/>
        <v>10</v>
      </c>
      <c r="AM34" s="21" t="str">
        <f t="shared" si="91"/>
        <v>30天内</v>
      </c>
      <c r="AN34" s="56">
        <v>0</v>
      </c>
      <c r="AO34" s="21" t="s">
        <v>186</v>
      </c>
      <c r="AP34" s="61">
        <f t="shared" si="78"/>
        <v>0</v>
      </c>
      <c r="AQ34" s="13"/>
    </row>
    <row r="35" spans="1:43">
      <c r="A35" s="21">
        <v>202508</v>
      </c>
      <c r="B35" s="25">
        <v>45899</v>
      </c>
      <c r="C35" s="21" t="s">
        <v>224</v>
      </c>
      <c r="D35" s="21" t="str">
        <f t="shared" ref="D35:I35" si="127">D34</f>
        <v>M » N2 - 1</v>
      </c>
      <c r="E35" s="21" t="str">
        <f t="shared" si="14"/>
        <v>YCD-EX:HUPPER TEK</v>
      </c>
      <c r="F35" s="21" t="str">
        <f t="shared" si="127"/>
        <v>MI202508130012</v>
      </c>
      <c r="G35" s="21" t="str">
        <f t="shared" si="127"/>
        <v>DE2508031-G7-MIC</v>
      </c>
      <c r="H35" s="26">
        <f t="shared" si="127"/>
        <v>45889</v>
      </c>
      <c r="I35" s="37" t="str">
        <f t="shared" si="127"/>
        <v>B07BK8W5MF</v>
      </c>
      <c r="J35" s="21"/>
      <c r="K35" s="38" t="str">
        <f t="shared" ref="K35:O35" si="128">K34</f>
        <v>金属储物柜71英寸银色</v>
      </c>
      <c r="L35" s="21"/>
      <c r="M35" s="36">
        <f t="shared" si="128"/>
        <v>188</v>
      </c>
      <c r="N35" s="36">
        <f t="shared" si="128"/>
        <v>49</v>
      </c>
      <c r="O35" s="36">
        <f t="shared" si="128"/>
        <v>14</v>
      </c>
      <c r="P35" s="21">
        <f t="shared" si="0"/>
        <v>0.128968</v>
      </c>
      <c r="Q35" s="21"/>
      <c r="R35" s="36">
        <f t="shared" ref="R35:T35" si="129">R34</f>
        <v>188</v>
      </c>
      <c r="S35" s="36">
        <f t="shared" si="129"/>
        <v>49</v>
      </c>
      <c r="T35" s="36">
        <f t="shared" si="129"/>
        <v>14</v>
      </c>
      <c r="U35" s="21">
        <f t="shared" si="1"/>
        <v>0.128968</v>
      </c>
      <c r="V35" s="21"/>
      <c r="W35" s="21"/>
      <c r="X35" s="21"/>
      <c r="Y35" s="21"/>
      <c r="Z35" s="21"/>
      <c r="AA35" s="21">
        <f t="shared" ref="AA35:AC35" si="130">AA34</f>
        <v>21</v>
      </c>
      <c r="AB35" s="21">
        <f t="shared" si="130"/>
        <v>247</v>
      </c>
      <c r="AC35" s="21">
        <f t="shared" si="130"/>
        <v>247</v>
      </c>
      <c r="AD35" s="21">
        <v>0</v>
      </c>
      <c r="AE35" s="45">
        <f t="shared" si="11"/>
        <v>247</v>
      </c>
      <c r="AF35" s="45"/>
      <c r="AG35" s="53"/>
      <c r="AH35" s="54">
        <f t="shared" si="2"/>
        <v>247</v>
      </c>
      <c r="AI35" s="21" t="s">
        <v>179</v>
      </c>
      <c r="AJ35" s="55">
        <f t="shared" si="112"/>
        <v>31.855096</v>
      </c>
      <c r="AK35" s="55">
        <f t="shared" si="113"/>
        <v>31.855096</v>
      </c>
      <c r="AL35" s="21">
        <f t="shared" si="122"/>
        <v>11</v>
      </c>
      <c r="AM35" s="21" t="str">
        <f t="shared" si="91"/>
        <v>30天内</v>
      </c>
      <c r="AN35" s="56">
        <v>0</v>
      </c>
      <c r="AO35" s="21" t="s">
        <v>186</v>
      </c>
      <c r="AP35" s="61">
        <f t="shared" si="78"/>
        <v>0</v>
      </c>
      <c r="AQ35" s="13"/>
    </row>
    <row r="36" spans="1:43">
      <c r="A36" s="21">
        <v>202508</v>
      </c>
      <c r="B36" s="25">
        <v>45900</v>
      </c>
      <c r="C36" s="21" t="s">
        <v>224</v>
      </c>
      <c r="D36" s="21" t="str">
        <f t="shared" ref="D36:I36" si="131">D35</f>
        <v>M » N2 - 1</v>
      </c>
      <c r="E36" s="21" t="str">
        <f t="shared" si="14"/>
        <v>YCD-EX:HUPPER TEK</v>
      </c>
      <c r="F36" s="21" t="str">
        <f t="shared" si="131"/>
        <v>MI202508130012</v>
      </c>
      <c r="G36" s="21" t="str">
        <f t="shared" si="131"/>
        <v>DE2508031-G7-MIC</v>
      </c>
      <c r="H36" s="26">
        <f t="shared" si="131"/>
        <v>45889</v>
      </c>
      <c r="I36" s="37" t="str">
        <f t="shared" si="131"/>
        <v>B07BK8W5MF</v>
      </c>
      <c r="J36" s="21"/>
      <c r="K36" s="38" t="str">
        <f t="shared" ref="K36:O36" si="132">K35</f>
        <v>金属储物柜71英寸银色</v>
      </c>
      <c r="L36" s="21"/>
      <c r="M36" s="36">
        <f t="shared" si="132"/>
        <v>188</v>
      </c>
      <c r="N36" s="36">
        <f t="shared" si="132"/>
        <v>49</v>
      </c>
      <c r="O36" s="36">
        <f t="shared" si="132"/>
        <v>14</v>
      </c>
      <c r="P36" s="21">
        <f t="shared" si="0"/>
        <v>0.128968</v>
      </c>
      <c r="Q36" s="21"/>
      <c r="R36" s="36">
        <f t="shared" ref="R36:T36" si="133">R35</f>
        <v>188</v>
      </c>
      <c r="S36" s="36">
        <f t="shared" si="133"/>
        <v>49</v>
      </c>
      <c r="T36" s="36">
        <f t="shared" si="133"/>
        <v>14</v>
      </c>
      <c r="U36" s="21">
        <f t="shared" si="1"/>
        <v>0.128968</v>
      </c>
      <c r="V36" s="21"/>
      <c r="W36" s="21"/>
      <c r="X36" s="21"/>
      <c r="Y36" s="21"/>
      <c r="Z36" s="21"/>
      <c r="AA36" s="21">
        <f t="shared" ref="AA36:AC36" si="134">AA35</f>
        <v>21</v>
      </c>
      <c r="AB36" s="21">
        <f t="shared" si="134"/>
        <v>247</v>
      </c>
      <c r="AC36" s="21">
        <f t="shared" si="134"/>
        <v>247</v>
      </c>
      <c r="AD36" s="21">
        <v>0</v>
      </c>
      <c r="AE36" s="45">
        <f t="shared" si="11"/>
        <v>247</v>
      </c>
      <c r="AF36" s="46"/>
      <c r="AG36" s="53"/>
      <c r="AH36" s="57">
        <f t="shared" si="2"/>
        <v>247</v>
      </c>
      <c r="AI36" s="21" t="s">
        <v>179</v>
      </c>
      <c r="AJ36" s="55">
        <f t="shared" si="112"/>
        <v>31.855096</v>
      </c>
      <c r="AK36" s="55">
        <f t="shared" si="113"/>
        <v>31.855096</v>
      </c>
      <c r="AL36" s="21">
        <f t="shared" si="122"/>
        <v>12</v>
      </c>
      <c r="AM36" s="21" t="str">
        <f t="shared" si="91"/>
        <v>30天内</v>
      </c>
      <c r="AN36" s="56">
        <v>0</v>
      </c>
      <c r="AO36" s="21" t="s">
        <v>186</v>
      </c>
      <c r="AP36" s="61">
        <f t="shared" si="78"/>
        <v>0</v>
      </c>
      <c r="AQ36" s="13"/>
    </row>
    <row r="37" spans="1:43">
      <c r="A37" s="21">
        <v>202508</v>
      </c>
      <c r="B37" s="22">
        <v>45870</v>
      </c>
      <c r="C37" s="21" t="s">
        <v>224</v>
      </c>
      <c r="D37" s="23" t="s">
        <v>62</v>
      </c>
      <c r="E37" s="23" t="s">
        <v>58</v>
      </c>
      <c r="F37" s="23" t="s">
        <v>54</v>
      </c>
      <c r="G37" s="23" t="s">
        <v>59</v>
      </c>
      <c r="H37" s="24">
        <v>45889</v>
      </c>
      <c r="I37" s="23" t="s">
        <v>63</v>
      </c>
      <c r="J37" s="23"/>
      <c r="K37" s="35" t="str">
        <f>VLOOKUP(I37,物品明细!A:B,2,0)</f>
        <v>金属储物柜71英寸灰色</v>
      </c>
      <c r="L37" s="21"/>
      <c r="M37" s="36">
        <f>VLOOKUP(I37,物品明细!A:E,5,0)</f>
        <v>188</v>
      </c>
      <c r="N37" s="36">
        <f>VLOOKUP(I37,物品明细!A:F,6,0)</f>
        <v>49</v>
      </c>
      <c r="O37" s="36">
        <f>VLOOKUP(I37,物品明细!A:G,7,0)</f>
        <v>14</v>
      </c>
      <c r="P37" s="21">
        <f t="shared" si="0"/>
        <v>0.128968</v>
      </c>
      <c r="Q37" s="21"/>
      <c r="R37" s="36">
        <f>VLOOKUP(I37,物品明细!A:E,5,0)</f>
        <v>188</v>
      </c>
      <c r="S37" s="36">
        <f>VLOOKUP(I37,物品明细!A:F,6,0)</f>
        <v>49</v>
      </c>
      <c r="T37" s="36">
        <f>VLOOKUP(I37,物品明细!A:G,7,0)</f>
        <v>14</v>
      </c>
      <c r="U37" s="21">
        <f t="shared" si="1"/>
        <v>0.128968</v>
      </c>
      <c r="V37" s="21"/>
      <c r="W37" s="21"/>
      <c r="X37" s="21"/>
      <c r="Y37" s="21"/>
      <c r="Z37" s="21"/>
      <c r="AA37" s="43">
        <v>19</v>
      </c>
      <c r="AB37" s="43">
        <v>223</v>
      </c>
      <c r="AC37" s="43">
        <v>223</v>
      </c>
      <c r="AD37" s="21">
        <v>0</v>
      </c>
      <c r="AE37" s="44">
        <v>0</v>
      </c>
      <c r="AF37" s="45"/>
      <c r="AG37" s="53"/>
      <c r="AH37" s="54">
        <f t="shared" si="2"/>
        <v>0</v>
      </c>
      <c r="AI37" s="21" t="s">
        <v>179</v>
      </c>
      <c r="AJ37" s="55">
        <f t="shared" si="112"/>
        <v>0</v>
      </c>
      <c r="AK37" s="55">
        <f t="shared" si="113"/>
        <v>0</v>
      </c>
      <c r="AL37" s="21">
        <f t="shared" si="122"/>
        <v>-18</v>
      </c>
      <c r="AM37" s="21" t="str">
        <f t="shared" si="91"/>
        <v>30天内</v>
      </c>
      <c r="AN37" s="56">
        <v>0</v>
      </c>
      <c r="AO37" s="21" t="s">
        <v>186</v>
      </c>
      <c r="AP37" s="61">
        <f t="shared" si="78"/>
        <v>0</v>
      </c>
      <c r="AQ37" s="13"/>
    </row>
    <row r="38" spans="1:43">
      <c r="A38" s="21">
        <v>202508</v>
      </c>
      <c r="B38" s="25">
        <v>45871</v>
      </c>
      <c r="C38" s="21" t="s">
        <v>224</v>
      </c>
      <c r="D38" s="2" t="str">
        <f t="shared" ref="D38:I38" si="135">D37</f>
        <v>M » N2 - 1</v>
      </c>
      <c r="E38" s="21" t="str">
        <f t="shared" si="135"/>
        <v>YCD-EX:HUPPER TEK</v>
      </c>
      <c r="F38" s="21" t="str">
        <f t="shared" si="135"/>
        <v>MI202508130012</v>
      </c>
      <c r="G38" s="21" t="str">
        <f t="shared" si="135"/>
        <v>DE2508031-G7-MIC</v>
      </c>
      <c r="H38" s="26">
        <f t="shared" si="135"/>
        <v>45889</v>
      </c>
      <c r="I38" s="37" t="str">
        <f t="shared" si="135"/>
        <v>B076THQBHX</v>
      </c>
      <c r="J38" s="21"/>
      <c r="K38" s="38" t="str">
        <f t="shared" ref="K38:O38" si="136">K37</f>
        <v>金属储物柜71英寸灰色</v>
      </c>
      <c r="L38" s="21"/>
      <c r="M38" s="36">
        <f t="shared" si="136"/>
        <v>188</v>
      </c>
      <c r="N38" s="36">
        <f t="shared" si="136"/>
        <v>49</v>
      </c>
      <c r="O38" s="36">
        <f t="shared" si="136"/>
        <v>14</v>
      </c>
      <c r="P38" s="21">
        <f t="shared" si="0"/>
        <v>0.128968</v>
      </c>
      <c r="Q38" s="21"/>
      <c r="R38" s="36">
        <f t="shared" ref="R38:T38" si="137">R37</f>
        <v>188</v>
      </c>
      <c r="S38" s="36">
        <f t="shared" si="137"/>
        <v>49</v>
      </c>
      <c r="T38" s="36">
        <f t="shared" si="137"/>
        <v>14</v>
      </c>
      <c r="U38" s="21">
        <f t="shared" si="1"/>
        <v>0.128968</v>
      </c>
      <c r="V38" s="21"/>
      <c r="W38" s="21"/>
      <c r="X38" s="21"/>
      <c r="Y38" s="21"/>
      <c r="Z38" s="21"/>
      <c r="AA38" s="21">
        <f t="shared" ref="AA38:AC38" si="138">AA37</f>
        <v>19</v>
      </c>
      <c r="AB38" s="21">
        <f t="shared" si="138"/>
        <v>223</v>
      </c>
      <c r="AC38" s="21">
        <f t="shared" si="138"/>
        <v>223</v>
      </c>
      <c r="AD38" s="21">
        <v>0</v>
      </c>
      <c r="AE38" s="45">
        <f t="shared" ref="AE38:AE67" si="139">AH37</f>
        <v>0</v>
      </c>
      <c r="AF38" s="45"/>
      <c r="AG38" s="53"/>
      <c r="AH38" s="54">
        <f t="shared" si="2"/>
        <v>0</v>
      </c>
      <c r="AI38" s="21" t="s">
        <v>179</v>
      </c>
      <c r="AJ38" s="55">
        <f t="shared" si="112"/>
        <v>0</v>
      </c>
      <c r="AK38" s="55">
        <f t="shared" si="113"/>
        <v>0</v>
      </c>
      <c r="AL38" s="21">
        <f t="shared" si="122"/>
        <v>-17</v>
      </c>
      <c r="AM38" s="21" t="str">
        <f t="shared" si="91"/>
        <v>30天内</v>
      </c>
      <c r="AN38" s="56">
        <v>0</v>
      </c>
      <c r="AO38" s="21" t="s">
        <v>186</v>
      </c>
      <c r="AP38" s="61">
        <f t="shared" si="78"/>
        <v>0</v>
      </c>
      <c r="AQ38" s="13"/>
    </row>
    <row r="39" spans="1:43">
      <c r="A39" s="21">
        <v>202508</v>
      </c>
      <c r="B39" s="25">
        <v>45872</v>
      </c>
      <c r="C39" s="21" t="s">
        <v>224</v>
      </c>
      <c r="D39" s="21" t="str">
        <f t="shared" ref="D39:I39" si="140">D38</f>
        <v>M » N2 - 1</v>
      </c>
      <c r="E39" s="21" t="str">
        <f t="shared" si="140"/>
        <v>YCD-EX:HUPPER TEK</v>
      </c>
      <c r="F39" s="21" t="str">
        <f t="shared" si="140"/>
        <v>MI202508130012</v>
      </c>
      <c r="G39" s="21" t="str">
        <f t="shared" si="140"/>
        <v>DE2508031-G7-MIC</v>
      </c>
      <c r="H39" s="26">
        <f t="shared" si="140"/>
        <v>45889</v>
      </c>
      <c r="I39" s="37" t="str">
        <f t="shared" si="140"/>
        <v>B076THQBHX</v>
      </c>
      <c r="J39" s="21"/>
      <c r="K39" s="38" t="str">
        <f t="shared" ref="K39:O39" si="141">K38</f>
        <v>金属储物柜71英寸灰色</v>
      </c>
      <c r="L39" s="21"/>
      <c r="M39" s="36">
        <f t="shared" si="141"/>
        <v>188</v>
      </c>
      <c r="N39" s="36">
        <f t="shared" si="141"/>
        <v>49</v>
      </c>
      <c r="O39" s="36">
        <f t="shared" si="141"/>
        <v>14</v>
      </c>
      <c r="P39" s="21">
        <f t="shared" si="0"/>
        <v>0.128968</v>
      </c>
      <c r="Q39" s="21"/>
      <c r="R39" s="36">
        <f t="shared" ref="R39:T39" si="142">R38</f>
        <v>188</v>
      </c>
      <c r="S39" s="36">
        <f t="shared" si="142"/>
        <v>49</v>
      </c>
      <c r="T39" s="36">
        <f t="shared" si="142"/>
        <v>14</v>
      </c>
      <c r="U39" s="21">
        <f t="shared" si="1"/>
        <v>0.128968</v>
      </c>
      <c r="V39" s="21"/>
      <c r="W39" s="21"/>
      <c r="X39" s="21"/>
      <c r="Y39" s="21"/>
      <c r="Z39" s="21"/>
      <c r="AA39" s="21">
        <f t="shared" ref="AA39:AC39" si="143">AA38</f>
        <v>19</v>
      </c>
      <c r="AB39" s="21">
        <f t="shared" si="143"/>
        <v>223</v>
      </c>
      <c r="AC39" s="21">
        <f t="shared" si="143"/>
        <v>223</v>
      </c>
      <c r="AD39" s="21">
        <v>0</v>
      </c>
      <c r="AE39" s="45">
        <f t="shared" si="139"/>
        <v>0</v>
      </c>
      <c r="AF39" s="45"/>
      <c r="AG39" s="53"/>
      <c r="AH39" s="54">
        <f t="shared" si="2"/>
        <v>0</v>
      </c>
      <c r="AI39" s="21" t="s">
        <v>179</v>
      </c>
      <c r="AJ39" s="55">
        <f t="shared" si="112"/>
        <v>0</v>
      </c>
      <c r="AK39" s="55">
        <f t="shared" si="113"/>
        <v>0</v>
      </c>
      <c r="AL39" s="21">
        <f t="shared" si="122"/>
        <v>-16</v>
      </c>
      <c r="AM39" s="21" t="str">
        <f t="shared" si="91"/>
        <v>30天内</v>
      </c>
      <c r="AN39" s="56">
        <v>0</v>
      </c>
      <c r="AO39" s="21" t="s">
        <v>186</v>
      </c>
      <c r="AP39" s="61">
        <f t="shared" si="78"/>
        <v>0</v>
      </c>
      <c r="AQ39" s="13"/>
    </row>
    <row r="40" spans="1:43">
      <c r="A40" s="21">
        <v>202508</v>
      </c>
      <c r="B40" s="25">
        <v>45873</v>
      </c>
      <c r="C40" s="21" t="s">
        <v>224</v>
      </c>
      <c r="D40" s="21" t="str">
        <f t="shared" ref="D40:I40" si="144">D39</f>
        <v>M » N2 - 1</v>
      </c>
      <c r="E40" s="21" t="str">
        <f t="shared" si="144"/>
        <v>YCD-EX:HUPPER TEK</v>
      </c>
      <c r="F40" s="21" t="str">
        <f t="shared" si="144"/>
        <v>MI202508130012</v>
      </c>
      <c r="G40" s="21" t="str">
        <f t="shared" si="144"/>
        <v>DE2508031-G7-MIC</v>
      </c>
      <c r="H40" s="26">
        <f t="shared" si="144"/>
        <v>45889</v>
      </c>
      <c r="I40" s="37" t="str">
        <f t="shared" si="144"/>
        <v>B076THQBHX</v>
      </c>
      <c r="J40" s="21"/>
      <c r="K40" s="38" t="str">
        <f t="shared" ref="K40:O40" si="145">K39</f>
        <v>金属储物柜71英寸灰色</v>
      </c>
      <c r="L40" s="21"/>
      <c r="M40" s="36">
        <f t="shared" si="145"/>
        <v>188</v>
      </c>
      <c r="N40" s="36">
        <f t="shared" si="145"/>
        <v>49</v>
      </c>
      <c r="O40" s="36">
        <f t="shared" si="145"/>
        <v>14</v>
      </c>
      <c r="P40" s="21">
        <f t="shared" si="0"/>
        <v>0.128968</v>
      </c>
      <c r="Q40" s="21"/>
      <c r="R40" s="36">
        <f t="shared" ref="R40:T40" si="146">R39</f>
        <v>188</v>
      </c>
      <c r="S40" s="36">
        <f t="shared" si="146"/>
        <v>49</v>
      </c>
      <c r="T40" s="36">
        <f t="shared" si="146"/>
        <v>14</v>
      </c>
      <c r="U40" s="21">
        <f t="shared" si="1"/>
        <v>0.128968</v>
      </c>
      <c r="V40" s="21"/>
      <c r="W40" s="21"/>
      <c r="X40" s="21"/>
      <c r="Y40" s="21"/>
      <c r="Z40" s="21"/>
      <c r="AA40" s="21">
        <f t="shared" ref="AA40:AC40" si="147">AA39</f>
        <v>19</v>
      </c>
      <c r="AB40" s="21">
        <f t="shared" si="147"/>
        <v>223</v>
      </c>
      <c r="AC40" s="21">
        <f t="shared" si="147"/>
        <v>223</v>
      </c>
      <c r="AD40" s="21">
        <v>0</v>
      </c>
      <c r="AE40" s="45">
        <f t="shared" si="139"/>
        <v>0</v>
      </c>
      <c r="AF40" s="45"/>
      <c r="AG40" s="53"/>
      <c r="AH40" s="54">
        <f t="shared" si="2"/>
        <v>0</v>
      </c>
      <c r="AI40" s="21" t="s">
        <v>179</v>
      </c>
      <c r="AJ40" s="55">
        <f t="shared" si="112"/>
        <v>0</v>
      </c>
      <c r="AK40" s="55">
        <f t="shared" si="113"/>
        <v>0</v>
      </c>
      <c r="AL40" s="21">
        <f t="shared" si="122"/>
        <v>-15</v>
      </c>
      <c r="AM40" s="21" t="str">
        <f t="shared" si="91"/>
        <v>30天内</v>
      </c>
      <c r="AN40" s="56">
        <v>0</v>
      </c>
      <c r="AO40" s="21" t="s">
        <v>186</v>
      </c>
      <c r="AP40" s="61">
        <f t="shared" si="78"/>
        <v>0</v>
      </c>
      <c r="AQ40" s="13"/>
    </row>
    <row r="41" spans="1:43">
      <c r="A41" s="21">
        <v>202508</v>
      </c>
      <c r="B41" s="25">
        <v>45874</v>
      </c>
      <c r="C41" s="21" t="s">
        <v>224</v>
      </c>
      <c r="D41" s="21" t="str">
        <f t="shared" ref="D41:I41" si="148">D40</f>
        <v>M » N2 - 1</v>
      </c>
      <c r="E41" s="21" t="str">
        <f t="shared" si="148"/>
        <v>YCD-EX:HUPPER TEK</v>
      </c>
      <c r="F41" s="21" t="str">
        <f t="shared" si="148"/>
        <v>MI202508130012</v>
      </c>
      <c r="G41" s="21" t="str">
        <f t="shared" si="148"/>
        <v>DE2508031-G7-MIC</v>
      </c>
      <c r="H41" s="26">
        <f t="shared" si="148"/>
        <v>45889</v>
      </c>
      <c r="I41" s="37" t="str">
        <f t="shared" si="148"/>
        <v>B076THQBHX</v>
      </c>
      <c r="J41" s="39"/>
      <c r="K41" s="38" t="str">
        <f t="shared" ref="K41:O41" si="149">K40</f>
        <v>金属储物柜71英寸灰色</v>
      </c>
      <c r="L41" s="21"/>
      <c r="M41" s="36">
        <f t="shared" si="149"/>
        <v>188</v>
      </c>
      <c r="N41" s="36">
        <f t="shared" si="149"/>
        <v>49</v>
      </c>
      <c r="O41" s="36">
        <f t="shared" si="149"/>
        <v>14</v>
      </c>
      <c r="P41" s="21">
        <f t="shared" si="0"/>
        <v>0.128968</v>
      </c>
      <c r="Q41" s="21"/>
      <c r="R41" s="36">
        <f t="shared" ref="R41:T41" si="150">R40</f>
        <v>188</v>
      </c>
      <c r="S41" s="36">
        <f t="shared" si="150"/>
        <v>49</v>
      </c>
      <c r="T41" s="36">
        <f t="shared" si="150"/>
        <v>14</v>
      </c>
      <c r="U41" s="21">
        <f t="shared" si="1"/>
        <v>0.128968</v>
      </c>
      <c r="V41" s="21"/>
      <c r="W41" s="21"/>
      <c r="X41" s="21"/>
      <c r="Y41" s="21"/>
      <c r="Z41" s="21"/>
      <c r="AA41" s="21">
        <f t="shared" ref="AA41:AC41" si="151">AA40</f>
        <v>19</v>
      </c>
      <c r="AB41" s="21">
        <f t="shared" si="151"/>
        <v>223</v>
      </c>
      <c r="AC41" s="21">
        <f t="shared" si="151"/>
        <v>223</v>
      </c>
      <c r="AD41" s="21">
        <v>0</v>
      </c>
      <c r="AE41" s="45">
        <f t="shared" si="139"/>
        <v>0</v>
      </c>
      <c r="AF41" s="45"/>
      <c r="AG41" s="53"/>
      <c r="AH41" s="54">
        <f t="shared" si="2"/>
        <v>0</v>
      </c>
      <c r="AI41" s="21" t="s">
        <v>179</v>
      </c>
      <c r="AJ41" s="55">
        <f t="shared" si="112"/>
        <v>0</v>
      </c>
      <c r="AK41" s="55">
        <f t="shared" si="113"/>
        <v>0</v>
      </c>
      <c r="AL41" s="21">
        <f t="shared" si="122"/>
        <v>-14</v>
      </c>
      <c r="AM41" s="21" t="str">
        <f t="shared" si="91"/>
        <v>30天内</v>
      </c>
      <c r="AN41" s="56">
        <v>0</v>
      </c>
      <c r="AO41" s="21" t="s">
        <v>186</v>
      </c>
      <c r="AP41" s="61">
        <f t="shared" si="78"/>
        <v>0</v>
      </c>
      <c r="AQ41" s="13"/>
    </row>
    <row r="42" spans="1:43">
      <c r="A42" s="21">
        <v>202508</v>
      </c>
      <c r="B42" s="25">
        <v>45875</v>
      </c>
      <c r="C42" s="21" t="s">
        <v>224</v>
      </c>
      <c r="D42" s="21" t="str">
        <f t="shared" ref="D42:I42" si="152">D41</f>
        <v>M » N2 - 1</v>
      </c>
      <c r="E42" s="21" t="str">
        <f t="shared" si="152"/>
        <v>YCD-EX:HUPPER TEK</v>
      </c>
      <c r="F42" s="21" t="str">
        <f t="shared" si="152"/>
        <v>MI202508130012</v>
      </c>
      <c r="G42" s="21" t="str">
        <f t="shared" si="152"/>
        <v>DE2508031-G7-MIC</v>
      </c>
      <c r="H42" s="26">
        <f t="shared" si="152"/>
        <v>45889</v>
      </c>
      <c r="I42" s="37" t="str">
        <f t="shared" si="152"/>
        <v>B076THQBHX</v>
      </c>
      <c r="J42" s="21"/>
      <c r="K42" s="38" t="str">
        <f t="shared" ref="K42:O42" si="153">K41</f>
        <v>金属储物柜71英寸灰色</v>
      </c>
      <c r="L42" s="21"/>
      <c r="M42" s="36">
        <f t="shared" si="153"/>
        <v>188</v>
      </c>
      <c r="N42" s="36">
        <f t="shared" si="153"/>
        <v>49</v>
      </c>
      <c r="O42" s="36">
        <f t="shared" si="153"/>
        <v>14</v>
      </c>
      <c r="P42" s="21">
        <f t="shared" si="0"/>
        <v>0.128968</v>
      </c>
      <c r="Q42" s="21"/>
      <c r="R42" s="36">
        <f t="shared" ref="R42:T42" si="154">R41</f>
        <v>188</v>
      </c>
      <c r="S42" s="36">
        <f t="shared" si="154"/>
        <v>49</v>
      </c>
      <c r="T42" s="36">
        <f t="shared" si="154"/>
        <v>14</v>
      </c>
      <c r="U42" s="21">
        <f t="shared" si="1"/>
        <v>0.128968</v>
      </c>
      <c r="V42" s="21"/>
      <c r="W42" s="21"/>
      <c r="X42" s="21"/>
      <c r="Y42" s="21"/>
      <c r="Z42" s="21"/>
      <c r="AA42" s="21">
        <f t="shared" ref="AA42:AC42" si="155">AA41</f>
        <v>19</v>
      </c>
      <c r="AB42" s="21">
        <f t="shared" si="155"/>
        <v>223</v>
      </c>
      <c r="AC42" s="21">
        <f t="shared" si="155"/>
        <v>223</v>
      </c>
      <c r="AD42" s="21">
        <v>0</v>
      </c>
      <c r="AE42" s="45">
        <f t="shared" si="139"/>
        <v>0</v>
      </c>
      <c r="AF42" s="45"/>
      <c r="AG42" s="53"/>
      <c r="AH42" s="54">
        <f t="shared" si="2"/>
        <v>0</v>
      </c>
      <c r="AI42" s="21" t="s">
        <v>179</v>
      </c>
      <c r="AJ42" s="55">
        <f t="shared" si="112"/>
        <v>0</v>
      </c>
      <c r="AK42" s="55">
        <f t="shared" si="113"/>
        <v>0</v>
      </c>
      <c r="AL42" s="21">
        <f t="shared" si="122"/>
        <v>-13</v>
      </c>
      <c r="AM42" s="21" t="str">
        <f t="shared" si="91"/>
        <v>30天内</v>
      </c>
      <c r="AN42" s="56">
        <v>0</v>
      </c>
      <c r="AO42" s="21" t="s">
        <v>186</v>
      </c>
      <c r="AP42" s="61">
        <f t="shared" si="78"/>
        <v>0</v>
      </c>
      <c r="AQ42" s="13"/>
    </row>
    <row r="43" spans="1:43">
      <c r="A43" s="21">
        <v>202508</v>
      </c>
      <c r="B43" s="25">
        <v>45876</v>
      </c>
      <c r="C43" s="21" t="s">
        <v>224</v>
      </c>
      <c r="D43" s="21" t="str">
        <f t="shared" ref="D43:I43" si="156">D42</f>
        <v>M » N2 - 1</v>
      </c>
      <c r="E43" s="21" t="str">
        <f t="shared" si="156"/>
        <v>YCD-EX:HUPPER TEK</v>
      </c>
      <c r="F43" s="21" t="str">
        <f t="shared" si="156"/>
        <v>MI202508130012</v>
      </c>
      <c r="G43" s="21" t="str">
        <f t="shared" si="156"/>
        <v>DE2508031-G7-MIC</v>
      </c>
      <c r="H43" s="26">
        <f t="shared" si="156"/>
        <v>45889</v>
      </c>
      <c r="I43" s="37" t="str">
        <f t="shared" si="156"/>
        <v>B076THQBHX</v>
      </c>
      <c r="J43" s="21"/>
      <c r="K43" s="38" t="str">
        <f t="shared" ref="K43:O43" si="157">K42</f>
        <v>金属储物柜71英寸灰色</v>
      </c>
      <c r="L43" s="21"/>
      <c r="M43" s="36">
        <f t="shared" si="157"/>
        <v>188</v>
      </c>
      <c r="N43" s="36">
        <f t="shared" si="157"/>
        <v>49</v>
      </c>
      <c r="O43" s="36">
        <f t="shared" si="157"/>
        <v>14</v>
      </c>
      <c r="P43" s="21">
        <f t="shared" si="0"/>
        <v>0.128968</v>
      </c>
      <c r="Q43" s="21"/>
      <c r="R43" s="36">
        <f t="shared" ref="R43:T43" si="158">R42</f>
        <v>188</v>
      </c>
      <c r="S43" s="36">
        <f t="shared" si="158"/>
        <v>49</v>
      </c>
      <c r="T43" s="36">
        <f t="shared" si="158"/>
        <v>14</v>
      </c>
      <c r="U43" s="21">
        <f t="shared" si="1"/>
        <v>0.128968</v>
      </c>
      <c r="V43" s="21"/>
      <c r="W43" s="21"/>
      <c r="X43" s="21"/>
      <c r="Y43" s="21"/>
      <c r="Z43" s="21"/>
      <c r="AA43" s="21">
        <f t="shared" ref="AA43:AC43" si="159">AA42</f>
        <v>19</v>
      </c>
      <c r="AB43" s="21">
        <f t="shared" si="159"/>
        <v>223</v>
      </c>
      <c r="AC43" s="21">
        <f t="shared" si="159"/>
        <v>223</v>
      </c>
      <c r="AD43" s="21">
        <v>0</v>
      </c>
      <c r="AE43" s="45">
        <f t="shared" si="139"/>
        <v>0</v>
      </c>
      <c r="AF43" s="45"/>
      <c r="AG43" s="53"/>
      <c r="AH43" s="54">
        <f t="shared" si="2"/>
        <v>0</v>
      </c>
      <c r="AI43" s="21" t="s">
        <v>179</v>
      </c>
      <c r="AJ43" s="55">
        <f t="shared" si="112"/>
        <v>0</v>
      </c>
      <c r="AK43" s="55">
        <f t="shared" si="113"/>
        <v>0</v>
      </c>
      <c r="AL43" s="21">
        <f t="shared" si="122"/>
        <v>-12</v>
      </c>
      <c r="AM43" s="21" t="str">
        <f t="shared" si="91"/>
        <v>30天内</v>
      </c>
      <c r="AN43" s="56">
        <v>0</v>
      </c>
      <c r="AO43" s="21" t="s">
        <v>186</v>
      </c>
      <c r="AP43" s="61">
        <f t="shared" si="78"/>
        <v>0</v>
      </c>
      <c r="AQ43" s="13"/>
    </row>
    <row r="44" spans="1:43">
      <c r="A44" s="21">
        <v>202508</v>
      </c>
      <c r="B44" s="25">
        <v>45877</v>
      </c>
      <c r="C44" s="21" t="s">
        <v>224</v>
      </c>
      <c r="D44" s="21" t="str">
        <f t="shared" ref="D44:I44" si="160">D43</f>
        <v>M » N2 - 1</v>
      </c>
      <c r="E44" s="21" t="str">
        <f t="shared" si="160"/>
        <v>YCD-EX:HUPPER TEK</v>
      </c>
      <c r="F44" s="21" t="str">
        <f t="shared" si="160"/>
        <v>MI202508130012</v>
      </c>
      <c r="G44" s="21" t="str">
        <f t="shared" si="160"/>
        <v>DE2508031-G7-MIC</v>
      </c>
      <c r="H44" s="26">
        <f t="shared" si="160"/>
        <v>45889</v>
      </c>
      <c r="I44" s="37" t="str">
        <f t="shared" si="160"/>
        <v>B076THQBHX</v>
      </c>
      <c r="J44" s="21"/>
      <c r="K44" s="38" t="str">
        <f t="shared" ref="K44:O44" si="161">K43</f>
        <v>金属储物柜71英寸灰色</v>
      </c>
      <c r="L44" s="21"/>
      <c r="M44" s="36">
        <f t="shared" si="161"/>
        <v>188</v>
      </c>
      <c r="N44" s="36">
        <f t="shared" si="161"/>
        <v>49</v>
      </c>
      <c r="O44" s="36">
        <f t="shared" si="161"/>
        <v>14</v>
      </c>
      <c r="P44" s="21">
        <f t="shared" si="0"/>
        <v>0.128968</v>
      </c>
      <c r="Q44" s="21"/>
      <c r="R44" s="36">
        <f t="shared" ref="R44:T44" si="162">R43</f>
        <v>188</v>
      </c>
      <c r="S44" s="36">
        <f t="shared" si="162"/>
        <v>49</v>
      </c>
      <c r="T44" s="36">
        <f t="shared" si="162"/>
        <v>14</v>
      </c>
      <c r="U44" s="21">
        <f t="shared" si="1"/>
        <v>0.128968</v>
      </c>
      <c r="V44" s="21"/>
      <c r="W44" s="21"/>
      <c r="X44" s="21"/>
      <c r="Y44" s="21"/>
      <c r="Z44" s="21"/>
      <c r="AA44" s="21">
        <f t="shared" ref="AA44:AC44" si="163">AA43</f>
        <v>19</v>
      </c>
      <c r="AB44" s="21">
        <f t="shared" si="163"/>
        <v>223</v>
      </c>
      <c r="AC44" s="21">
        <f t="shared" si="163"/>
        <v>223</v>
      </c>
      <c r="AD44" s="21">
        <v>0</v>
      </c>
      <c r="AE44" s="45">
        <f t="shared" si="139"/>
        <v>0</v>
      </c>
      <c r="AF44" s="45"/>
      <c r="AG44" s="53"/>
      <c r="AH44" s="54">
        <f t="shared" si="2"/>
        <v>0</v>
      </c>
      <c r="AI44" s="21" t="s">
        <v>179</v>
      </c>
      <c r="AJ44" s="55">
        <f t="shared" si="112"/>
        <v>0</v>
      </c>
      <c r="AK44" s="55">
        <f t="shared" si="113"/>
        <v>0</v>
      </c>
      <c r="AL44" s="21">
        <f t="shared" si="122"/>
        <v>-11</v>
      </c>
      <c r="AM44" s="21" t="str">
        <f t="shared" si="91"/>
        <v>30天内</v>
      </c>
      <c r="AN44" s="56">
        <v>0</v>
      </c>
      <c r="AO44" s="21" t="s">
        <v>186</v>
      </c>
      <c r="AP44" s="61">
        <f t="shared" si="78"/>
        <v>0</v>
      </c>
      <c r="AQ44" s="13"/>
    </row>
    <row r="45" spans="1:43">
      <c r="A45" s="21">
        <v>202508</v>
      </c>
      <c r="B45" s="25">
        <v>45878</v>
      </c>
      <c r="C45" s="21" t="s">
        <v>224</v>
      </c>
      <c r="D45" s="21" t="str">
        <f t="shared" ref="D45:I45" si="164">D44</f>
        <v>M » N2 - 1</v>
      </c>
      <c r="E45" s="21" t="str">
        <f t="shared" si="164"/>
        <v>YCD-EX:HUPPER TEK</v>
      </c>
      <c r="F45" s="21" t="str">
        <f t="shared" si="164"/>
        <v>MI202508130012</v>
      </c>
      <c r="G45" s="21" t="str">
        <f t="shared" si="164"/>
        <v>DE2508031-G7-MIC</v>
      </c>
      <c r="H45" s="26">
        <f t="shared" si="164"/>
        <v>45889</v>
      </c>
      <c r="I45" s="37" t="str">
        <f t="shared" si="164"/>
        <v>B076THQBHX</v>
      </c>
      <c r="J45" s="21"/>
      <c r="K45" s="38" t="str">
        <f t="shared" ref="K45:O45" si="165">K44</f>
        <v>金属储物柜71英寸灰色</v>
      </c>
      <c r="L45" s="21"/>
      <c r="M45" s="36">
        <f t="shared" si="165"/>
        <v>188</v>
      </c>
      <c r="N45" s="36">
        <f t="shared" si="165"/>
        <v>49</v>
      </c>
      <c r="O45" s="36">
        <f t="shared" si="165"/>
        <v>14</v>
      </c>
      <c r="P45" s="21">
        <f t="shared" si="0"/>
        <v>0.128968</v>
      </c>
      <c r="Q45" s="21"/>
      <c r="R45" s="36">
        <f t="shared" ref="R45:T45" si="166">R44</f>
        <v>188</v>
      </c>
      <c r="S45" s="36">
        <f t="shared" si="166"/>
        <v>49</v>
      </c>
      <c r="T45" s="36">
        <f t="shared" si="166"/>
        <v>14</v>
      </c>
      <c r="U45" s="21">
        <f t="shared" si="1"/>
        <v>0.128968</v>
      </c>
      <c r="V45" s="21"/>
      <c r="W45" s="21"/>
      <c r="X45" s="21"/>
      <c r="Y45" s="21"/>
      <c r="Z45" s="21"/>
      <c r="AA45" s="21">
        <f t="shared" ref="AA45:AC45" si="167">AA44</f>
        <v>19</v>
      </c>
      <c r="AB45" s="21">
        <f t="shared" si="167"/>
        <v>223</v>
      </c>
      <c r="AC45" s="21">
        <f t="shared" si="167"/>
        <v>223</v>
      </c>
      <c r="AD45" s="21">
        <v>0</v>
      </c>
      <c r="AE45" s="45">
        <f t="shared" si="139"/>
        <v>0</v>
      </c>
      <c r="AF45" s="45"/>
      <c r="AG45" s="53"/>
      <c r="AH45" s="54">
        <f t="shared" si="2"/>
        <v>0</v>
      </c>
      <c r="AI45" s="21" t="s">
        <v>179</v>
      </c>
      <c r="AJ45" s="55">
        <f t="shared" si="112"/>
        <v>0</v>
      </c>
      <c r="AK45" s="55">
        <f t="shared" si="113"/>
        <v>0</v>
      </c>
      <c r="AL45" s="21">
        <f t="shared" si="122"/>
        <v>-10</v>
      </c>
      <c r="AM45" s="21" t="str">
        <f t="shared" si="91"/>
        <v>30天内</v>
      </c>
      <c r="AN45" s="56">
        <v>0</v>
      </c>
      <c r="AO45" s="21" t="s">
        <v>186</v>
      </c>
      <c r="AP45" s="61">
        <f t="shared" si="78"/>
        <v>0</v>
      </c>
      <c r="AQ45" s="13"/>
    </row>
    <row r="46" spans="1:43">
      <c r="A46" s="21">
        <v>202508</v>
      </c>
      <c r="B46" s="25">
        <v>45879</v>
      </c>
      <c r="C46" s="21" t="s">
        <v>224</v>
      </c>
      <c r="D46" s="21" t="str">
        <f t="shared" ref="D46:I46" si="168">D45</f>
        <v>M » N2 - 1</v>
      </c>
      <c r="E46" s="21" t="str">
        <f t="shared" si="168"/>
        <v>YCD-EX:HUPPER TEK</v>
      </c>
      <c r="F46" s="21" t="str">
        <f t="shared" si="168"/>
        <v>MI202508130012</v>
      </c>
      <c r="G46" s="21" t="str">
        <f t="shared" si="168"/>
        <v>DE2508031-G7-MIC</v>
      </c>
      <c r="H46" s="26">
        <f t="shared" si="168"/>
        <v>45889</v>
      </c>
      <c r="I46" s="37" t="str">
        <f t="shared" si="168"/>
        <v>B076THQBHX</v>
      </c>
      <c r="J46" s="21"/>
      <c r="K46" s="38" t="str">
        <f t="shared" ref="K46:O46" si="169">K45</f>
        <v>金属储物柜71英寸灰色</v>
      </c>
      <c r="L46" s="21"/>
      <c r="M46" s="36">
        <f t="shared" si="169"/>
        <v>188</v>
      </c>
      <c r="N46" s="36">
        <f t="shared" si="169"/>
        <v>49</v>
      </c>
      <c r="O46" s="36">
        <f t="shared" si="169"/>
        <v>14</v>
      </c>
      <c r="P46" s="21">
        <f t="shared" si="0"/>
        <v>0.128968</v>
      </c>
      <c r="Q46" s="21"/>
      <c r="R46" s="36">
        <f t="shared" ref="R46:T46" si="170">R45</f>
        <v>188</v>
      </c>
      <c r="S46" s="36">
        <f t="shared" si="170"/>
        <v>49</v>
      </c>
      <c r="T46" s="36">
        <f t="shared" si="170"/>
        <v>14</v>
      </c>
      <c r="U46" s="21">
        <f t="shared" si="1"/>
        <v>0.128968</v>
      </c>
      <c r="V46" s="21"/>
      <c r="W46" s="21"/>
      <c r="X46" s="21"/>
      <c r="Y46" s="21"/>
      <c r="Z46" s="21"/>
      <c r="AA46" s="21">
        <f t="shared" ref="AA46:AC46" si="171">AA45</f>
        <v>19</v>
      </c>
      <c r="AB46" s="21">
        <f t="shared" si="171"/>
        <v>223</v>
      </c>
      <c r="AC46" s="21">
        <f t="shared" si="171"/>
        <v>223</v>
      </c>
      <c r="AD46" s="21">
        <v>0</v>
      </c>
      <c r="AE46" s="45">
        <f t="shared" si="139"/>
        <v>0</v>
      </c>
      <c r="AF46" s="45"/>
      <c r="AG46" s="53"/>
      <c r="AH46" s="54">
        <f t="shared" si="2"/>
        <v>0</v>
      </c>
      <c r="AI46" s="21" t="s">
        <v>179</v>
      </c>
      <c r="AJ46" s="55">
        <f t="shared" si="112"/>
        <v>0</v>
      </c>
      <c r="AK46" s="55">
        <f t="shared" si="113"/>
        <v>0</v>
      </c>
      <c r="AL46" s="21">
        <f t="shared" si="122"/>
        <v>-9</v>
      </c>
      <c r="AM46" s="21" t="str">
        <f t="shared" si="91"/>
        <v>30天内</v>
      </c>
      <c r="AN46" s="56">
        <v>0</v>
      </c>
      <c r="AO46" s="21" t="s">
        <v>186</v>
      </c>
      <c r="AP46" s="61">
        <f t="shared" si="78"/>
        <v>0</v>
      </c>
      <c r="AQ46" s="13"/>
    </row>
    <row r="47" spans="1:43">
      <c r="A47" s="21">
        <v>202508</v>
      </c>
      <c r="B47" s="25">
        <v>45880</v>
      </c>
      <c r="C47" s="21" t="s">
        <v>224</v>
      </c>
      <c r="D47" s="21" t="str">
        <f t="shared" ref="D47:I47" si="172">D46</f>
        <v>M » N2 - 1</v>
      </c>
      <c r="E47" s="21" t="str">
        <f t="shared" si="172"/>
        <v>YCD-EX:HUPPER TEK</v>
      </c>
      <c r="F47" s="21" t="str">
        <f t="shared" si="172"/>
        <v>MI202508130012</v>
      </c>
      <c r="G47" s="21" t="str">
        <f t="shared" si="172"/>
        <v>DE2508031-G7-MIC</v>
      </c>
      <c r="H47" s="26">
        <f t="shared" si="172"/>
        <v>45889</v>
      </c>
      <c r="I47" s="37" t="str">
        <f t="shared" si="172"/>
        <v>B076THQBHX</v>
      </c>
      <c r="J47" s="21"/>
      <c r="K47" s="38" t="str">
        <f t="shared" ref="K47:O47" si="173">K46</f>
        <v>金属储物柜71英寸灰色</v>
      </c>
      <c r="L47" s="21"/>
      <c r="M47" s="36">
        <f t="shared" si="173"/>
        <v>188</v>
      </c>
      <c r="N47" s="36">
        <f t="shared" si="173"/>
        <v>49</v>
      </c>
      <c r="O47" s="36">
        <f t="shared" si="173"/>
        <v>14</v>
      </c>
      <c r="P47" s="21">
        <f t="shared" si="0"/>
        <v>0.128968</v>
      </c>
      <c r="Q47" s="21"/>
      <c r="R47" s="36">
        <f t="shared" ref="R47:T47" si="174">R46</f>
        <v>188</v>
      </c>
      <c r="S47" s="36">
        <f t="shared" si="174"/>
        <v>49</v>
      </c>
      <c r="T47" s="36">
        <f t="shared" si="174"/>
        <v>14</v>
      </c>
      <c r="U47" s="21">
        <f t="shared" si="1"/>
        <v>0.128968</v>
      </c>
      <c r="V47" s="21"/>
      <c r="W47" s="21"/>
      <c r="X47" s="21"/>
      <c r="Y47" s="21"/>
      <c r="Z47" s="21"/>
      <c r="AA47" s="21">
        <f t="shared" ref="AA47:AC47" si="175">AA46</f>
        <v>19</v>
      </c>
      <c r="AB47" s="21">
        <f t="shared" si="175"/>
        <v>223</v>
      </c>
      <c r="AC47" s="21">
        <f t="shared" si="175"/>
        <v>223</v>
      </c>
      <c r="AD47" s="21">
        <v>0</v>
      </c>
      <c r="AE47" s="45">
        <f t="shared" si="139"/>
        <v>0</v>
      </c>
      <c r="AF47" s="45"/>
      <c r="AG47" s="53"/>
      <c r="AH47" s="54">
        <f t="shared" si="2"/>
        <v>0</v>
      </c>
      <c r="AI47" s="21" t="s">
        <v>179</v>
      </c>
      <c r="AJ47" s="55">
        <f t="shared" si="112"/>
        <v>0</v>
      </c>
      <c r="AK47" s="55">
        <f t="shared" si="113"/>
        <v>0</v>
      </c>
      <c r="AL47" s="21">
        <f t="shared" si="122"/>
        <v>-8</v>
      </c>
      <c r="AM47" s="21" t="str">
        <f t="shared" si="91"/>
        <v>30天内</v>
      </c>
      <c r="AN47" s="56">
        <v>0</v>
      </c>
      <c r="AO47" s="21" t="s">
        <v>186</v>
      </c>
      <c r="AP47" s="61">
        <f t="shared" si="78"/>
        <v>0</v>
      </c>
      <c r="AQ47" s="13"/>
    </row>
    <row r="48" spans="1:43">
      <c r="A48" s="21">
        <v>202508</v>
      </c>
      <c r="B48" s="25">
        <v>45881</v>
      </c>
      <c r="C48" s="21" t="s">
        <v>224</v>
      </c>
      <c r="D48" s="21" t="str">
        <f t="shared" ref="D48:I48" si="176">D47</f>
        <v>M » N2 - 1</v>
      </c>
      <c r="E48" s="21" t="str">
        <f t="shared" si="176"/>
        <v>YCD-EX:HUPPER TEK</v>
      </c>
      <c r="F48" s="21" t="str">
        <f t="shared" si="176"/>
        <v>MI202508130012</v>
      </c>
      <c r="G48" s="21" t="str">
        <f t="shared" si="176"/>
        <v>DE2508031-G7-MIC</v>
      </c>
      <c r="H48" s="26">
        <f t="shared" si="176"/>
        <v>45889</v>
      </c>
      <c r="I48" s="37" t="str">
        <f t="shared" si="176"/>
        <v>B076THQBHX</v>
      </c>
      <c r="J48" s="21"/>
      <c r="K48" s="38" t="str">
        <f t="shared" ref="K48:O48" si="177">K47</f>
        <v>金属储物柜71英寸灰色</v>
      </c>
      <c r="L48" s="21"/>
      <c r="M48" s="36">
        <f t="shared" si="177"/>
        <v>188</v>
      </c>
      <c r="N48" s="36">
        <f t="shared" si="177"/>
        <v>49</v>
      </c>
      <c r="O48" s="36">
        <f t="shared" si="177"/>
        <v>14</v>
      </c>
      <c r="P48" s="21">
        <f t="shared" si="0"/>
        <v>0.128968</v>
      </c>
      <c r="Q48" s="21"/>
      <c r="R48" s="36">
        <f t="shared" ref="R48:T48" si="178">R47</f>
        <v>188</v>
      </c>
      <c r="S48" s="36">
        <f t="shared" si="178"/>
        <v>49</v>
      </c>
      <c r="T48" s="36">
        <f t="shared" si="178"/>
        <v>14</v>
      </c>
      <c r="U48" s="21">
        <f t="shared" si="1"/>
        <v>0.128968</v>
      </c>
      <c r="V48" s="21"/>
      <c r="W48" s="21"/>
      <c r="X48" s="21"/>
      <c r="Y48" s="21"/>
      <c r="Z48" s="21"/>
      <c r="AA48" s="21">
        <f t="shared" ref="AA48:AC48" si="179">AA47</f>
        <v>19</v>
      </c>
      <c r="AB48" s="21">
        <f t="shared" si="179"/>
        <v>223</v>
      </c>
      <c r="AC48" s="21">
        <f t="shared" si="179"/>
        <v>223</v>
      </c>
      <c r="AD48" s="21">
        <v>0</v>
      </c>
      <c r="AE48" s="45">
        <f t="shared" si="139"/>
        <v>0</v>
      </c>
      <c r="AF48" s="45"/>
      <c r="AG48" s="53"/>
      <c r="AH48" s="54">
        <f t="shared" si="2"/>
        <v>0</v>
      </c>
      <c r="AI48" s="21" t="s">
        <v>179</v>
      </c>
      <c r="AJ48" s="55">
        <f t="shared" si="112"/>
        <v>0</v>
      </c>
      <c r="AK48" s="55">
        <f t="shared" si="113"/>
        <v>0</v>
      </c>
      <c r="AL48" s="21">
        <f t="shared" si="122"/>
        <v>-7</v>
      </c>
      <c r="AM48" s="21" t="str">
        <f t="shared" si="91"/>
        <v>30天内</v>
      </c>
      <c r="AN48" s="56">
        <v>0</v>
      </c>
      <c r="AO48" s="21" t="s">
        <v>186</v>
      </c>
      <c r="AP48" s="61">
        <f t="shared" si="78"/>
        <v>0</v>
      </c>
      <c r="AQ48" s="13"/>
    </row>
    <row r="49" spans="1:43">
      <c r="A49" s="21">
        <v>202508</v>
      </c>
      <c r="B49" s="25">
        <v>45882</v>
      </c>
      <c r="C49" s="21" t="s">
        <v>224</v>
      </c>
      <c r="D49" s="21" t="str">
        <f t="shared" ref="D49:I49" si="180">D48</f>
        <v>M » N2 - 1</v>
      </c>
      <c r="E49" s="21" t="str">
        <f t="shared" si="180"/>
        <v>YCD-EX:HUPPER TEK</v>
      </c>
      <c r="F49" s="21" t="str">
        <f t="shared" si="180"/>
        <v>MI202508130012</v>
      </c>
      <c r="G49" s="21" t="str">
        <f t="shared" si="180"/>
        <v>DE2508031-G7-MIC</v>
      </c>
      <c r="H49" s="26">
        <f t="shared" si="180"/>
        <v>45889</v>
      </c>
      <c r="I49" s="37" t="str">
        <f t="shared" si="180"/>
        <v>B076THQBHX</v>
      </c>
      <c r="J49" s="21"/>
      <c r="K49" s="38" t="str">
        <f t="shared" ref="K49:O49" si="181">K48</f>
        <v>金属储物柜71英寸灰色</v>
      </c>
      <c r="L49" s="21"/>
      <c r="M49" s="36">
        <f t="shared" si="181"/>
        <v>188</v>
      </c>
      <c r="N49" s="36">
        <f t="shared" si="181"/>
        <v>49</v>
      </c>
      <c r="O49" s="36">
        <f t="shared" si="181"/>
        <v>14</v>
      </c>
      <c r="P49" s="21">
        <f t="shared" si="0"/>
        <v>0.128968</v>
      </c>
      <c r="Q49" s="21"/>
      <c r="R49" s="36">
        <f t="shared" ref="R49:T49" si="182">R48</f>
        <v>188</v>
      </c>
      <c r="S49" s="36">
        <f t="shared" si="182"/>
        <v>49</v>
      </c>
      <c r="T49" s="36">
        <f t="shared" si="182"/>
        <v>14</v>
      </c>
      <c r="U49" s="21">
        <f t="shared" si="1"/>
        <v>0.128968</v>
      </c>
      <c r="V49" s="21"/>
      <c r="W49" s="21"/>
      <c r="X49" s="21"/>
      <c r="Y49" s="21"/>
      <c r="Z49" s="21"/>
      <c r="AA49" s="21">
        <f t="shared" ref="AA49:AC49" si="183">AA48</f>
        <v>19</v>
      </c>
      <c r="AB49" s="21">
        <f t="shared" si="183"/>
        <v>223</v>
      </c>
      <c r="AC49" s="21">
        <f t="shared" si="183"/>
        <v>223</v>
      </c>
      <c r="AD49" s="21">
        <v>0</v>
      </c>
      <c r="AE49" s="45">
        <f t="shared" si="139"/>
        <v>0</v>
      </c>
      <c r="AF49" s="45"/>
      <c r="AG49" s="53"/>
      <c r="AH49" s="54">
        <f t="shared" si="2"/>
        <v>0</v>
      </c>
      <c r="AI49" s="21" t="s">
        <v>179</v>
      </c>
      <c r="AJ49" s="55">
        <f t="shared" si="112"/>
        <v>0</v>
      </c>
      <c r="AK49" s="55">
        <f t="shared" si="113"/>
        <v>0</v>
      </c>
      <c r="AL49" s="21">
        <f t="shared" si="122"/>
        <v>-6</v>
      </c>
      <c r="AM49" s="21" t="str">
        <f t="shared" si="91"/>
        <v>30天内</v>
      </c>
      <c r="AN49" s="56">
        <v>0</v>
      </c>
      <c r="AO49" s="21" t="s">
        <v>186</v>
      </c>
      <c r="AP49" s="61">
        <f t="shared" si="78"/>
        <v>0</v>
      </c>
      <c r="AQ49" s="13"/>
    </row>
    <row r="50" spans="1:43">
      <c r="A50" s="21">
        <v>202508</v>
      </c>
      <c r="B50" s="25">
        <v>45883</v>
      </c>
      <c r="C50" s="21" t="s">
        <v>224</v>
      </c>
      <c r="D50" s="21" t="str">
        <f t="shared" ref="D50:I50" si="184">D49</f>
        <v>M » N2 - 1</v>
      </c>
      <c r="E50" s="21" t="str">
        <f t="shared" si="184"/>
        <v>YCD-EX:HUPPER TEK</v>
      </c>
      <c r="F50" s="21" t="str">
        <f t="shared" si="184"/>
        <v>MI202508130012</v>
      </c>
      <c r="G50" s="21" t="str">
        <f t="shared" si="184"/>
        <v>DE2508031-G7-MIC</v>
      </c>
      <c r="H50" s="26">
        <f t="shared" si="184"/>
        <v>45889</v>
      </c>
      <c r="I50" s="37" t="str">
        <f t="shared" si="184"/>
        <v>B076THQBHX</v>
      </c>
      <c r="J50" s="21"/>
      <c r="K50" s="38" t="str">
        <f t="shared" ref="K50:O50" si="185">K49</f>
        <v>金属储物柜71英寸灰色</v>
      </c>
      <c r="L50" s="21"/>
      <c r="M50" s="36">
        <f t="shared" si="185"/>
        <v>188</v>
      </c>
      <c r="N50" s="36">
        <f t="shared" si="185"/>
        <v>49</v>
      </c>
      <c r="O50" s="36">
        <f t="shared" si="185"/>
        <v>14</v>
      </c>
      <c r="P50" s="21">
        <f t="shared" si="0"/>
        <v>0.128968</v>
      </c>
      <c r="Q50" s="21"/>
      <c r="R50" s="36">
        <f t="shared" ref="R50:T50" si="186">R49</f>
        <v>188</v>
      </c>
      <c r="S50" s="36">
        <f t="shared" si="186"/>
        <v>49</v>
      </c>
      <c r="T50" s="36">
        <f t="shared" si="186"/>
        <v>14</v>
      </c>
      <c r="U50" s="21">
        <f t="shared" si="1"/>
        <v>0.128968</v>
      </c>
      <c r="V50" s="21"/>
      <c r="W50" s="21"/>
      <c r="X50" s="21"/>
      <c r="Y50" s="21"/>
      <c r="Z50" s="21"/>
      <c r="AA50" s="21">
        <f t="shared" ref="AA50:AC50" si="187">AA49</f>
        <v>19</v>
      </c>
      <c r="AB50" s="21">
        <f t="shared" si="187"/>
        <v>223</v>
      </c>
      <c r="AC50" s="21">
        <f t="shared" si="187"/>
        <v>223</v>
      </c>
      <c r="AD50" s="21">
        <v>0</v>
      </c>
      <c r="AE50" s="45">
        <f t="shared" si="139"/>
        <v>0</v>
      </c>
      <c r="AF50" s="45"/>
      <c r="AG50" s="53"/>
      <c r="AH50" s="54">
        <f t="shared" si="2"/>
        <v>0</v>
      </c>
      <c r="AI50" s="21" t="s">
        <v>179</v>
      </c>
      <c r="AJ50" s="55">
        <f t="shared" si="112"/>
        <v>0</v>
      </c>
      <c r="AK50" s="55">
        <f t="shared" si="113"/>
        <v>0</v>
      </c>
      <c r="AL50" s="21">
        <f t="shared" si="122"/>
        <v>-5</v>
      </c>
      <c r="AM50" s="21" t="str">
        <f t="shared" si="91"/>
        <v>30天内</v>
      </c>
      <c r="AN50" s="56">
        <v>0</v>
      </c>
      <c r="AO50" s="21" t="s">
        <v>186</v>
      </c>
      <c r="AP50" s="61">
        <f t="shared" si="78"/>
        <v>0</v>
      </c>
      <c r="AQ50" s="13"/>
    </row>
    <row r="51" spans="1:43">
      <c r="A51" s="21">
        <v>202508</v>
      </c>
      <c r="B51" s="25">
        <v>45884</v>
      </c>
      <c r="C51" s="21" t="s">
        <v>224</v>
      </c>
      <c r="D51" s="21" t="str">
        <f t="shared" ref="D51:I51" si="188">D50</f>
        <v>M » N2 - 1</v>
      </c>
      <c r="E51" s="21" t="str">
        <f t="shared" si="188"/>
        <v>YCD-EX:HUPPER TEK</v>
      </c>
      <c r="F51" s="21" t="str">
        <f t="shared" si="188"/>
        <v>MI202508130012</v>
      </c>
      <c r="G51" s="21" t="str">
        <f t="shared" si="188"/>
        <v>DE2508031-G7-MIC</v>
      </c>
      <c r="H51" s="26">
        <f t="shared" si="188"/>
        <v>45889</v>
      </c>
      <c r="I51" s="37" t="str">
        <f t="shared" si="188"/>
        <v>B076THQBHX</v>
      </c>
      <c r="J51" s="21"/>
      <c r="K51" s="38" t="str">
        <f t="shared" ref="K51:O51" si="189">K50</f>
        <v>金属储物柜71英寸灰色</v>
      </c>
      <c r="L51" s="21"/>
      <c r="M51" s="36">
        <f t="shared" si="189"/>
        <v>188</v>
      </c>
      <c r="N51" s="36">
        <f t="shared" si="189"/>
        <v>49</v>
      </c>
      <c r="O51" s="36">
        <f t="shared" si="189"/>
        <v>14</v>
      </c>
      <c r="P51" s="21">
        <f t="shared" si="0"/>
        <v>0.128968</v>
      </c>
      <c r="Q51" s="21"/>
      <c r="R51" s="36">
        <f t="shared" ref="R51:T51" si="190">R50</f>
        <v>188</v>
      </c>
      <c r="S51" s="36">
        <f t="shared" si="190"/>
        <v>49</v>
      </c>
      <c r="T51" s="36">
        <f t="shared" si="190"/>
        <v>14</v>
      </c>
      <c r="U51" s="21">
        <f t="shared" si="1"/>
        <v>0.128968</v>
      </c>
      <c r="V51" s="21"/>
      <c r="W51" s="21"/>
      <c r="X51" s="21"/>
      <c r="Y51" s="21"/>
      <c r="Z51" s="21"/>
      <c r="AA51" s="21">
        <f t="shared" ref="AA51:AC51" si="191">AA50</f>
        <v>19</v>
      </c>
      <c r="AB51" s="21">
        <f t="shared" si="191"/>
        <v>223</v>
      </c>
      <c r="AC51" s="21">
        <f t="shared" si="191"/>
        <v>223</v>
      </c>
      <c r="AD51" s="21">
        <v>0</v>
      </c>
      <c r="AE51" s="45">
        <f t="shared" si="139"/>
        <v>0</v>
      </c>
      <c r="AF51" s="45"/>
      <c r="AG51" s="53"/>
      <c r="AH51" s="54">
        <f t="shared" si="2"/>
        <v>0</v>
      </c>
      <c r="AI51" s="21" t="s">
        <v>179</v>
      </c>
      <c r="AJ51" s="55">
        <f t="shared" si="112"/>
        <v>0</v>
      </c>
      <c r="AK51" s="55">
        <f t="shared" si="113"/>
        <v>0</v>
      </c>
      <c r="AL51" s="21">
        <f t="shared" si="122"/>
        <v>-4</v>
      </c>
      <c r="AM51" s="21" t="str">
        <f t="shared" si="91"/>
        <v>30天内</v>
      </c>
      <c r="AN51" s="56">
        <v>0</v>
      </c>
      <c r="AO51" s="21" t="s">
        <v>186</v>
      </c>
      <c r="AP51" s="61">
        <f t="shared" si="78"/>
        <v>0</v>
      </c>
      <c r="AQ51" s="13"/>
    </row>
    <row r="52" spans="1:43">
      <c r="A52" s="21">
        <v>202508</v>
      </c>
      <c r="B52" s="25">
        <v>45885</v>
      </c>
      <c r="C52" s="21" t="s">
        <v>224</v>
      </c>
      <c r="D52" s="21" t="str">
        <f t="shared" ref="D52:I52" si="192">D51</f>
        <v>M » N2 - 1</v>
      </c>
      <c r="E52" s="21" t="str">
        <f t="shared" si="192"/>
        <v>YCD-EX:HUPPER TEK</v>
      </c>
      <c r="F52" s="21" t="str">
        <f t="shared" si="192"/>
        <v>MI202508130012</v>
      </c>
      <c r="G52" s="21" t="str">
        <f t="shared" si="192"/>
        <v>DE2508031-G7-MIC</v>
      </c>
      <c r="H52" s="26">
        <f t="shared" si="192"/>
        <v>45889</v>
      </c>
      <c r="I52" s="37" t="str">
        <f t="shared" si="192"/>
        <v>B076THQBHX</v>
      </c>
      <c r="J52" s="21"/>
      <c r="K52" s="38" t="str">
        <f t="shared" ref="K52:O52" si="193">K51</f>
        <v>金属储物柜71英寸灰色</v>
      </c>
      <c r="L52" s="21"/>
      <c r="M52" s="36">
        <f t="shared" si="193"/>
        <v>188</v>
      </c>
      <c r="N52" s="36">
        <f t="shared" si="193"/>
        <v>49</v>
      </c>
      <c r="O52" s="36">
        <f t="shared" si="193"/>
        <v>14</v>
      </c>
      <c r="P52" s="21">
        <f t="shared" si="0"/>
        <v>0.128968</v>
      </c>
      <c r="Q52" s="21"/>
      <c r="R52" s="36">
        <f t="shared" ref="R52:T52" si="194">R51</f>
        <v>188</v>
      </c>
      <c r="S52" s="36">
        <f t="shared" si="194"/>
        <v>49</v>
      </c>
      <c r="T52" s="36">
        <f t="shared" si="194"/>
        <v>14</v>
      </c>
      <c r="U52" s="21">
        <f t="shared" si="1"/>
        <v>0.128968</v>
      </c>
      <c r="V52" s="21"/>
      <c r="W52" s="21"/>
      <c r="X52" s="21"/>
      <c r="Y52" s="21"/>
      <c r="Z52" s="21"/>
      <c r="AA52" s="21">
        <f t="shared" ref="AA52:AC52" si="195">AA51</f>
        <v>19</v>
      </c>
      <c r="AB52" s="21">
        <f t="shared" si="195"/>
        <v>223</v>
      </c>
      <c r="AC52" s="21">
        <f t="shared" si="195"/>
        <v>223</v>
      </c>
      <c r="AD52" s="21">
        <v>0</v>
      </c>
      <c r="AE52" s="45">
        <f t="shared" si="139"/>
        <v>0</v>
      </c>
      <c r="AF52" s="45"/>
      <c r="AG52" s="53"/>
      <c r="AH52" s="54">
        <f t="shared" si="2"/>
        <v>0</v>
      </c>
      <c r="AI52" s="21" t="s">
        <v>179</v>
      </c>
      <c r="AJ52" s="55">
        <f t="shared" si="112"/>
        <v>0</v>
      </c>
      <c r="AK52" s="55">
        <f t="shared" si="113"/>
        <v>0</v>
      </c>
      <c r="AL52" s="21">
        <f t="shared" si="122"/>
        <v>-3</v>
      </c>
      <c r="AM52" s="21" t="str">
        <f t="shared" si="91"/>
        <v>30天内</v>
      </c>
      <c r="AN52" s="56">
        <v>0</v>
      </c>
      <c r="AO52" s="21" t="s">
        <v>186</v>
      </c>
      <c r="AP52" s="61">
        <f t="shared" si="78"/>
        <v>0</v>
      </c>
      <c r="AQ52" s="13"/>
    </row>
    <row r="53" spans="1:43">
      <c r="A53" s="21">
        <v>202508</v>
      </c>
      <c r="B53" s="25">
        <v>45886</v>
      </c>
      <c r="C53" s="21" t="s">
        <v>224</v>
      </c>
      <c r="D53" s="21" t="str">
        <f t="shared" ref="D53:I53" si="196">D52</f>
        <v>M » N2 - 1</v>
      </c>
      <c r="E53" s="21" t="str">
        <f t="shared" si="196"/>
        <v>YCD-EX:HUPPER TEK</v>
      </c>
      <c r="F53" s="21" t="str">
        <f t="shared" si="196"/>
        <v>MI202508130012</v>
      </c>
      <c r="G53" s="21" t="str">
        <f t="shared" si="196"/>
        <v>DE2508031-G7-MIC</v>
      </c>
      <c r="H53" s="26">
        <f t="shared" si="196"/>
        <v>45889</v>
      </c>
      <c r="I53" s="37" t="str">
        <f t="shared" si="196"/>
        <v>B076THQBHX</v>
      </c>
      <c r="J53" s="21"/>
      <c r="K53" s="38" t="str">
        <f t="shared" ref="K53:O53" si="197">K52</f>
        <v>金属储物柜71英寸灰色</v>
      </c>
      <c r="L53" s="21"/>
      <c r="M53" s="36">
        <f t="shared" si="197"/>
        <v>188</v>
      </c>
      <c r="N53" s="36">
        <f t="shared" si="197"/>
        <v>49</v>
      </c>
      <c r="O53" s="36">
        <f t="shared" si="197"/>
        <v>14</v>
      </c>
      <c r="P53" s="21">
        <f t="shared" si="0"/>
        <v>0.128968</v>
      </c>
      <c r="Q53" s="21"/>
      <c r="R53" s="36">
        <f t="shared" ref="R53:T53" si="198">R52</f>
        <v>188</v>
      </c>
      <c r="S53" s="36">
        <f t="shared" si="198"/>
        <v>49</v>
      </c>
      <c r="T53" s="36">
        <f t="shared" si="198"/>
        <v>14</v>
      </c>
      <c r="U53" s="21">
        <f t="shared" si="1"/>
        <v>0.128968</v>
      </c>
      <c r="V53" s="21"/>
      <c r="W53" s="21"/>
      <c r="X53" s="21"/>
      <c r="Y53" s="21"/>
      <c r="Z53" s="21"/>
      <c r="AA53" s="21">
        <f t="shared" ref="AA53:AC53" si="199">AA52</f>
        <v>19</v>
      </c>
      <c r="AB53" s="21">
        <f t="shared" si="199"/>
        <v>223</v>
      </c>
      <c r="AC53" s="21">
        <f t="shared" si="199"/>
        <v>223</v>
      </c>
      <c r="AD53" s="21">
        <v>0</v>
      </c>
      <c r="AE53" s="45">
        <f t="shared" si="139"/>
        <v>0</v>
      </c>
      <c r="AF53" s="45"/>
      <c r="AG53" s="53"/>
      <c r="AH53" s="54">
        <f t="shared" si="2"/>
        <v>0</v>
      </c>
      <c r="AI53" s="21" t="s">
        <v>179</v>
      </c>
      <c r="AJ53" s="55">
        <f t="shared" si="112"/>
        <v>0</v>
      </c>
      <c r="AK53" s="55">
        <f t="shared" si="113"/>
        <v>0</v>
      </c>
      <c r="AL53" s="21">
        <f t="shared" si="122"/>
        <v>-2</v>
      </c>
      <c r="AM53" s="21" t="str">
        <f t="shared" si="91"/>
        <v>30天内</v>
      </c>
      <c r="AN53" s="56">
        <v>0</v>
      </c>
      <c r="AO53" s="21" t="s">
        <v>186</v>
      </c>
      <c r="AP53" s="61">
        <f t="shared" si="78"/>
        <v>0</v>
      </c>
      <c r="AQ53" s="13"/>
    </row>
    <row r="54" spans="1:43">
      <c r="A54" s="21">
        <v>202508</v>
      </c>
      <c r="B54" s="25">
        <v>45887</v>
      </c>
      <c r="C54" s="21" t="s">
        <v>224</v>
      </c>
      <c r="D54" s="21" t="str">
        <f t="shared" ref="D54:I54" si="200">D53</f>
        <v>M » N2 - 1</v>
      </c>
      <c r="E54" s="21" t="str">
        <f t="shared" si="200"/>
        <v>YCD-EX:HUPPER TEK</v>
      </c>
      <c r="F54" s="21" t="str">
        <f t="shared" si="200"/>
        <v>MI202508130012</v>
      </c>
      <c r="G54" s="21" t="str">
        <f t="shared" si="200"/>
        <v>DE2508031-G7-MIC</v>
      </c>
      <c r="H54" s="26">
        <f t="shared" si="200"/>
        <v>45889</v>
      </c>
      <c r="I54" s="37" t="str">
        <f t="shared" si="200"/>
        <v>B076THQBHX</v>
      </c>
      <c r="J54" s="21"/>
      <c r="K54" s="38" t="str">
        <f t="shared" ref="K54:O54" si="201">K53</f>
        <v>金属储物柜71英寸灰色</v>
      </c>
      <c r="L54" s="21"/>
      <c r="M54" s="36">
        <f t="shared" si="201"/>
        <v>188</v>
      </c>
      <c r="N54" s="36">
        <f t="shared" si="201"/>
        <v>49</v>
      </c>
      <c r="O54" s="36">
        <f t="shared" si="201"/>
        <v>14</v>
      </c>
      <c r="P54" s="21">
        <f t="shared" si="0"/>
        <v>0.128968</v>
      </c>
      <c r="Q54" s="21"/>
      <c r="R54" s="36">
        <f t="shared" ref="R54:T54" si="202">R53</f>
        <v>188</v>
      </c>
      <c r="S54" s="36">
        <f t="shared" si="202"/>
        <v>49</v>
      </c>
      <c r="T54" s="36">
        <f t="shared" si="202"/>
        <v>14</v>
      </c>
      <c r="U54" s="21">
        <f t="shared" si="1"/>
        <v>0.128968</v>
      </c>
      <c r="V54" s="21"/>
      <c r="W54" s="21"/>
      <c r="X54" s="21"/>
      <c r="Y54" s="21"/>
      <c r="Z54" s="21"/>
      <c r="AA54" s="21">
        <f t="shared" ref="AA54:AC54" si="203">AA53</f>
        <v>19</v>
      </c>
      <c r="AB54" s="21">
        <f t="shared" si="203"/>
        <v>223</v>
      </c>
      <c r="AC54" s="21">
        <f t="shared" si="203"/>
        <v>223</v>
      </c>
      <c r="AD54" s="21">
        <v>0</v>
      </c>
      <c r="AE54" s="45">
        <f t="shared" si="139"/>
        <v>0</v>
      </c>
      <c r="AF54" s="45"/>
      <c r="AG54" s="53"/>
      <c r="AH54" s="54">
        <f t="shared" si="2"/>
        <v>0</v>
      </c>
      <c r="AI54" s="21" t="s">
        <v>179</v>
      </c>
      <c r="AJ54" s="55">
        <f t="shared" si="112"/>
        <v>0</v>
      </c>
      <c r="AK54" s="55">
        <f t="shared" si="113"/>
        <v>0</v>
      </c>
      <c r="AL54" s="21">
        <f t="shared" si="122"/>
        <v>-1</v>
      </c>
      <c r="AM54" s="21" t="str">
        <f t="shared" si="91"/>
        <v>30天内</v>
      </c>
      <c r="AN54" s="56">
        <v>0</v>
      </c>
      <c r="AO54" s="21" t="s">
        <v>186</v>
      </c>
      <c r="AP54" s="61">
        <f t="shared" si="78"/>
        <v>0</v>
      </c>
      <c r="AQ54" s="13"/>
    </row>
    <row r="55" spans="1:43">
      <c r="A55" s="21">
        <v>202508</v>
      </c>
      <c r="B55" s="25">
        <v>45888</v>
      </c>
      <c r="C55" s="21" t="s">
        <v>224</v>
      </c>
      <c r="D55" s="21" t="str">
        <f t="shared" ref="D55:I55" si="204">D54</f>
        <v>M » N2 - 1</v>
      </c>
      <c r="E55" s="21" t="str">
        <f t="shared" si="204"/>
        <v>YCD-EX:HUPPER TEK</v>
      </c>
      <c r="F55" s="21" t="str">
        <f t="shared" si="204"/>
        <v>MI202508130012</v>
      </c>
      <c r="G55" s="21" t="str">
        <f t="shared" si="204"/>
        <v>DE2508031-G7-MIC</v>
      </c>
      <c r="H55" s="26">
        <f t="shared" si="204"/>
        <v>45889</v>
      </c>
      <c r="I55" s="37" t="str">
        <f t="shared" si="204"/>
        <v>B076THQBHX</v>
      </c>
      <c r="J55" s="21"/>
      <c r="K55" s="38" t="str">
        <f t="shared" ref="K55:O55" si="205">K54</f>
        <v>金属储物柜71英寸灰色</v>
      </c>
      <c r="L55" s="21"/>
      <c r="M55" s="36">
        <f t="shared" si="205"/>
        <v>188</v>
      </c>
      <c r="N55" s="36">
        <f t="shared" si="205"/>
        <v>49</v>
      </c>
      <c r="O55" s="36">
        <f t="shared" si="205"/>
        <v>14</v>
      </c>
      <c r="P55" s="21">
        <f t="shared" si="0"/>
        <v>0.128968</v>
      </c>
      <c r="Q55" s="21"/>
      <c r="R55" s="36">
        <f t="shared" ref="R55:T55" si="206">R54</f>
        <v>188</v>
      </c>
      <c r="S55" s="36">
        <f t="shared" si="206"/>
        <v>49</v>
      </c>
      <c r="T55" s="36">
        <f t="shared" si="206"/>
        <v>14</v>
      </c>
      <c r="U55" s="21">
        <f t="shared" si="1"/>
        <v>0.128968</v>
      </c>
      <c r="V55" s="21"/>
      <c r="W55" s="21"/>
      <c r="X55" s="21"/>
      <c r="Y55" s="21"/>
      <c r="Z55" s="21"/>
      <c r="AA55" s="21">
        <f t="shared" ref="AA55:AC55" si="207">AA54</f>
        <v>19</v>
      </c>
      <c r="AB55" s="21">
        <f t="shared" si="207"/>
        <v>223</v>
      </c>
      <c r="AC55" s="21">
        <f t="shared" si="207"/>
        <v>223</v>
      </c>
      <c r="AD55" s="21">
        <v>0</v>
      </c>
      <c r="AE55" s="45">
        <f t="shared" si="139"/>
        <v>0</v>
      </c>
      <c r="AF55" s="45"/>
      <c r="AG55" s="53"/>
      <c r="AH55" s="54">
        <f t="shared" si="2"/>
        <v>0</v>
      </c>
      <c r="AI55" s="21" t="s">
        <v>179</v>
      </c>
      <c r="AJ55" s="55">
        <f t="shared" si="112"/>
        <v>0</v>
      </c>
      <c r="AK55" s="55">
        <f t="shared" si="113"/>
        <v>0</v>
      </c>
      <c r="AL55" s="21">
        <f t="shared" si="122"/>
        <v>0</v>
      </c>
      <c r="AM55" s="21" t="str">
        <f t="shared" si="91"/>
        <v>30天内</v>
      </c>
      <c r="AN55" s="56">
        <v>0</v>
      </c>
      <c r="AO55" s="21" t="s">
        <v>186</v>
      </c>
      <c r="AP55" s="61">
        <f t="shared" si="78"/>
        <v>0</v>
      </c>
      <c r="AQ55" s="13"/>
    </row>
    <row r="56" spans="1:43">
      <c r="A56" s="21">
        <v>202508</v>
      </c>
      <c r="B56" s="25">
        <v>45889</v>
      </c>
      <c r="C56" s="21" t="s">
        <v>224</v>
      </c>
      <c r="D56" s="21" t="str">
        <f t="shared" ref="D56:I56" si="208">D55</f>
        <v>M » N2 - 1</v>
      </c>
      <c r="E56" s="21" t="str">
        <f t="shared" si="208"/>
        <v>YCD-EX:HUPPER TEK</v>
      </c>
      <c r="F56" s="21" t="str">
        <f t="shared" si="208"/>
        <v>MI202508130012</v>
      </c>
      <c r="G56" s="21" t="str">
        <f t="shared" si="208"/>
        <v>DE2508031-G7-MIC</v>
      </c>
      <c r="H56" s="26">
        <f t="shared" si="208"/>
        <v>45889</v>
      </c>
      <c r="I56" s="37" t="str">
        <f t="shared" si="208"/>
        <v>B076THQBHX</v>
      </c>
      <c r="J56" s="21"/>
      <c r="K56" s="38" t="str">
        <f t="shared" ref="K56:O56" si="209">K55</f>
        <v>金属储物柜71英寸灰色</v>
      </c>
      <c r="L56" s="21"/>
      <c r="M56" s="36">
        <f t="shared" si="209"/>
        <v>188</v>
      </c>
      <c r="N56" s="36">
        <f t="shared" si="209"/>
        <v>49</v>
      </c>
      <c r="O56" s="36">
        <f t="shared" si="209"/>
        <v>14</v>
      </c>
      <c r="P56" s="21">
        <f t="shared" si="0"/>
        <v>0.128968</v>
      </c>
      <c r="Q56" s="21"/>
      <c r="R56" s="36">
        <f t="shared" ref="R56:T56" si="210">R55</f>
        <v>188</v>
      </c>
      <c r="S56" s="36">
        <f t="shared" si="210"/>
        <v>49</v>
      </c>
      <c r="T56" s="36">
        <f t="shared" si="210"/>
        <v>14</v>
      </c>
      <c r="U56" s="21">
        <f t="shared" si="1"/>
        <v>0.128968</v>
      </c>
      <c r="V56" s="21"/>
      <c r="W56" s="21"/>
      <c r="X56" s="21"/>
      <c r="Y56" s="21"/>
      <c r="Z56" s="21"/>
      <c r="AA56" s="21">
        <f t="shared" ref="AA56:AC56" si="211">AA55</f>
        <v>19</v>
      </c>
      <c r="AB56" s="21">
        <f t="shared" si="211"/>
        <v>223</v>
      </c>
      <c r="AC56" s="21">
        <f t="shared" si="211"/>
        <v>223</v>
      </c>
      <c r="AD56" s="21">
        <v>0</v>
      </c>
      <c r="AE56" s="45">
        <f t="shared" si="139"/>
        <v>0</v>
      </c>
      <c r="AF56" s="45">
        <v>223</v>
      </c>
      <c r="AG56" s="53"/>
      <c r="AH56" s="54">
        <f t="shared" si="2"/>
        <v>223</v>
      </c>
      <c r="AI56" s="21" t="s">
        <v>179</v>
      </c>
      <c r="AJ56" s="55">
        <f t="shared" si="112"/>
        <v>28.759864</v>
      </c>
      <c r="AK56" s="55">
        <f t="shared" si="113"/>
        <v>28.759864</v>
      </c>
      <c r="AL56" s="21">
        <f t="shared" si="122"/>
        <v>1</v>
      </c>
      <c r="AM56" s="21" t="str">
        <f t="shared" si="91"/>
        <v>30天内</v>
      </c>
      <c r="AN56" s="56">
        <v>0</v>
      </c>
      <c r="AO56" s="21" t="s">
        <v>186</v>
      </c>
      <c r="AP56" s="61">
        <f t="shared" si="78"/>
        <v>0</v>
      </c>
      <c r="AQ56" s="13"/>
    </row>
    <row r="57" spans="1:43">
      <c r="A57" s="21">
        <v>202508</v>
      </c>
      <c r="B57" s="25">
        <v>45890</v>
      </c>
      <c r="C57" s="21" t="s">
        <v>224</v>
      </c>
      <c r="D57" s="21" t="str">
        <f t="shared" ref="D57:I57" si="212">D56</f>
        <v>M » N2 - 1</v>
      </c>
      <c r="E57" s="21" t="str">
        <f t="shared" si="212"/>
        <v>YCD-EX:HUPPER TEK</v>
      </c>
      <c r="F57" s="21" t="str">
        <f t="shared" si="212"/>
        <v>MI202508130012</v>
      </c>
      <c r="G57" s="21" t="str">
        <f t="shared" si="212"/>
        <v>DE2508031-G7-MIC</v>
      </c>
      <c r="H57" s="26">
        <f t="shared" si="212"/>
        <v>45889</v>
      </c>
      <c r="I57" s="37" t="str">
        <f t="shared" si="212"/>
        <v>B076THQBHX</v>
      </c>
      <c r="J57" s="21"/>
      <c r="K57" s="38" t="str">
        <f t="shared" ref="K57:O57" si="213">K56</f>
        <v>金属储物柜71英寸灰色</v>
      </c>
      <c r="L57" s="21"/>
      <c r="M57" s="36">
        <f t="shared" si="213"/>
        <v>188</v>
      </c>
      <c r="N57" s="36">
        <f t="shared" si="213"/>
        <v>49</v>
      </c>
      <c r="O57" s="36">
        <f t="shared" si="213"/>
        <v>14</v>
      </c>
      <c r="P57" s="21">
        <f t="shared" si="0"/>
        <v>0.128968</v>
      </c>
      <c r="Q57" s="21"/>
      <c r="R57" s="36">
        <f t="shared" ref="R57:T57" si="214">R56</f>
        <v>188</v>
      </c>
      <c r="S57" s="36">
        <f t="shared" si="214"/>
        <v>49</v>
      </c>
      <c r="T57" s="36">
        <f t="shared" si="214"/>
        <v>14</v>
      </c>
      <c r="U57" s="21">
        <f t="shared" si="1"/>
        <v>0.128968</v>
      </c>
      <c r="V57" s="21"/>
      <c r="W57" s="21"/>
      <c r="X57" s="21"/>
      <c r="Y57" s="21"/>
      <c r="Z57" s="21"/>
      <c r="AA57" s="21">
        <f t="shared" ref="AA57:AC57" si="215">AA56</f>
        <v>19</v>
      </c>
      <c r="AB57" s="21">
        <f t="shared" si="215"/>
        <v>223</v>
      </c>
      <c r="AC57" s="21">
        <f t="shared" si="215"/>
        <v>223</v>
      </c>
      <c r="AD57" s="21">
        <v>0</v>
      </c>
      <c r="AE57" s="45">
        <f t="shared" si="139"/>
        <v>223</v>
      </c>
      <c r="AF57" s="45"/>
      <c r="AG57" s="53"/>
      <c r="AH57" s="54">
        <f t="shared" si="2"/>
        <v>223</v>
      </c>
      <c r="AI57" s="21" t="s">
        <v>179</v>
      </c>
      <c r="AJ57" s="55">
        <f t="shared" si="112"/>
        <v>28.759864</v>
      </c>
      <c r="AK57" s="55">
        <f t="shared" si="113"/>
        <v>28.759864</v>
      </c>
      <c r="AL57" s="21">
        <f t="shared" si="122"/>
        <v>2</v>
      </c>
      <c r="AM57" s="21" t="str">
        <f t="shared" si="91"/>
        <v>30天内</v>
      </c>
      <c r="AN57" s="56">
        <v>0</v>
      </c>
      <c r="AO57" s="21" t="s">
        <v>186</v>
      </c>
      <c r="AP57" s="61">
        <f t="shared" si="78"/>
        <v>0</v>
      </c>
      <c r="AQ57" s="13"/>
    </row>
    <row r="58" spans="1:43">
      <c r="A58" s="21">
        <v>202508</v>
      </c>
      <c r="B58" s="25">
        <v>45891</v>
      </c>
      <c r="C58" s="21" t="s">
        <v>224</v>
      </c>
      <c r="D58" s="21" t="str">
        <f t="shared" ref="D58:I58" si="216">D57</f>
        <v>M » N2 - 1</v>
      </c>
      <c r="E58" s="21" t="str">
        <f t="shared" si="216"/>
        <v>YCD-EX:HUPPER TEK</v>
      </c>
      <c r="F58" s="21" t="str">
        <f t="shared" si="216"/>
        <v>MI202508130012</v>
      </c>
      <c r="G58" s="21" t="str">
        <f t="shared" si="216"/>
        <v>DE2508031-G7-MIC</v>
      </c>
      <c r="H58" s="26">
        <f t="shared" si="216"/>
        <v>45889</v>
      </c>
      <c r="I58" s="37" t="str">
        <f t="shared" si="216"/>
        <v>B076THQBHX</v>
      </c>
      <c r="J58" s="21"/>
      <c r="K58" s="38" t="str">
        <f t="shared" ref="K58:O58" si="217">K57</f>
        <v>金属储物柜71英寸灰色</v>
      </c>
      <c r="L58" s="21"/>
      <c r="M58" s="36">
        <f t="shared" si="217"/>
        <v>188</v>
      </c>
      <c r="N58" s="36">
        <f t="shared" si="217"/>
        <v>49</v>
      </c>
      <c r="O58" s="36">
        <f t="shared" si="217"/>
        <v>14</v>
      </c>
      <c r="P58" s="21">
        <f t="shared" si="0"/>
        <v>0.128968</v>
      </c>
      <c r="Q58" s="21"/>
      <c r="R58" s="36">
        <f t="shared" ref="R58:T58" si="218">R57</f>
        <v>188</v>
      </c>
      <c r="S58" s="36">
        <f t="shared" si="218"/>
        <v>49</v>
      </c>
      <c r="T58" s="36">
        <f t="shared" si="218"/>
        <v>14</v>
      </c>
      <c r="U58" s="21">
        <f t="shared" si="1"/>
        <v>0.128968</v>
      </c>
      <c r="V58" s="21"/>
      <c r="W58" s="21"/>
      <c r="X58" s="21"/>
      <c r="Y58" s="21"/>
      <c r="Z58" s="21"/>
      <c r="AA58" s="21">
        <f t="shared" ref="AA58:AC58" si="219">AA57</f>
        <v>19</v>
      </c>
      <c r="AB58" s="21">
        <f t="shared" si="219"/>
        <v>223</v>
      </c>
      <c r="AC58" s="21">
        <f t="shared" si="219"/>
        <v>223</v>
      </c>
      <c r="AD58" s="21">
        <v>0</v>
      </c>
      <c r="AE58" s="45">
        <f t="shared" si="139"/>
        <v>223</v>
      </c>
      <c r="AF58" s="45"/>
      <c r="AG58" s="53"/>
      <c r="AH58" s="54">
        <f t="shared" si="2"/>
        <v>223</v>
      </c>
      <c r="AI58" s="21" t="s">
        <v>179</v>
      </c>
      <c r="AJ58" s="55">
        <f t="shared" si="112"/>
        <v>28.759864</v>
      </c>
      <c r="AK58" s="55">
        <f t="shared" si="113"/>
        <v>28.759864</v>
      </c>
      <c r="AL58" s="21">
        <f t="shared" si="122"/>
        <v>3</v>
      </c>
      <c r="AM58" s="21" t="str">
        <f t="shared" si="91"/>
        <v>30天内</v>
      </c>
      <c r="AN58" s="56">
        <v>0</v>
      </c>
      <c r="AO58" s="21" t="s">
        <v>186</v>
      </c>
      <c r="AP58" s="61">
        <f t="shared" si="78"/>
        <v>0</v>
      </c>
      <c r="AQ58" s="13"/>
    </row>
    <row r="59" spans="1:43">
      <c r="A59" s="21">
        <v>202508</v>
      </c>
      <c r="B59" s="25">
        <v>45892</v>
      </c>
      <c r="C59" s="21" t="s">
        <v>224</v>
      </c>
      <c r="D59" s="21" t="str">
        <f t="shared" ref="D59:I59" si="220">D58</f>
        <v>M » N2 - 1</v>
      </c>
      <c r="E59" s="21" t="str">
        <f t="shared" si="220"/>
        <v>YCD-EX:HUPPER TEK</v>
      </c>
      <c r="F59" s="21" t="str">
        <f t="shared" si="220"/>
        <v>MI202508130012</v>
      </c>
      <c r="G59" s="21" t="str">
        <f t="shared" si="220"/>
        <v>DE2508031-G7-MIC</v>
      </c>
      <c r="H59" s="26">
        <f t="shared" si="220"/>
        <v>45889</v>
      </c>
      <c r="I59" s="37" t="str">
        <f t="shared" si="220"/>
        <v>B076THQBHX</v>
      </c>
      <c r="J59" s="21"/>
      <c r="K59" s="38" t="str">
        <f t="shared" ref="K59:O59" si="221">K58</f>
        <v>金属储物柜71英寸灰色</v>
      </c>
      <c r="L59" s="21"/>
      <c r="M59" s="36">
        <f t="shared" si="221"/>
        <v>188</v>
      </c>
      <c r="N59" s="36">
        <f t="shared" si="221"/>
        <v>49</v>
      </c>
      <c r="O59" s="36">
        <f t="shared" si="221"/>
        <v>14</v>
      </c>
      <c r="P59" s="21">
        <f t="shared" si="0"/>
        <v>0.128968</v>
      </c>
      <c r="Q59" s="21"/>
      <c r="R59" s="36">
        <f t="shared" ref="R59:T59" si="222">R58</f>
        <v>188</v>
      </c>
      <c r="S59" s="36">
        <f t="shared" si="222"/>
        <v>49</v>
      </c>
      <c r="T59" s="36">
        <f t="shared" si="222"/>
        <v>14</v>
      </c>
      <c r="U59" s="21">
        <f t="shared" si="1"/>
        <v>0.128968</v>
      </c>
      <c r="V59" s="21"/>
      <c r="W59" s="21"/>
      <c r="X59" s="21"/>
      <c r="Y59" s="21"/>
      <c r="Z59" s="21"/>
      <c r="AA59" s="21">
        <f t="shared" ref="AA59:AC59" si="223">AA58</f>
        <v>19</v>
      </c>
      <c r="AB59" s="21">
        <f t="shared" si="223"/>
        <v>223</v>
      </c>
      <c r="AC59" s="21">
        <f t="shared" si="223"/>
        <v>223</v>
      </c>
      <c r="AD59" s="21">
        <v>0</v>
      </c>
      <c r="AE59" s="45">
        <f t="shared" si="139"/>
        <v>223</v>
      </c>
      <c r="AF59" s="45"/>
      <c r="AG59" s="53"/>
      <c r="AH59" s="54">
        <f t="shared" si="2"/>
        <v>223</v>
      </c>
      <c r="AI59" s="21" t="s">
        <v>179</v>
      </c>
      <c r="AJ59" s="55">
        <f t="shared" si="112"/>
        <v>28.759864</v>
      </c>
      <c r="AK59" s="55">
        <f t="shared" si="113"/>
        <v>28.759864</v>
      </c>
      <c r="AL59" s="21">
        <f t="shared" si="122"/>
        <v>4</v>
      </c>
      <c r="AM59" s="21" t="str">
        <f t="shared" si="91"/>
        <v>30天内</v>
      </c>
      <c r="AN59" s="56">
        <v>0</v>
      </c>
      <c r="AO59" s="21" t="s">
        <v>186</v>
      </c>
      <c r="AP59" s="61">
        <f t="shared" si="78"/>
        <v>0</v>
      </c>
      <c r="AQ59" s="13"/>
    </row>
    <row r="60" spans="1:43">
      <c r="A60" s="21">
        <v>202508</v>
      </c>
      <c r="B60" s="25">
        <v>45893</v>
      </c>
      <c r="C60" s="21" t="s">
        <v>224</v>
      </c>
      <c r="D60" s="21" t="str">
        <f t="shared" ref="D60:I60" si="224">D59</f>
        <v>M » N2 - 1</v>
      </c>
      <c r="E60" s="21" t="str">
        <f t="shared" si="224"/>
        <v>YCD-EX:HUPPER TEK</v>
      </c>
      <c r="F60" s="21" t="str">
        <f t="shared" si="224"/>
        <v>MI202508130012</v>
      </c>
      <c r="G60" s="21" t="str">
        <f t="shared" si="224"/>
        <v>DE2508031-G7-MIC</v>
      </c>
      <c r="H60" s="26">
        <f t="shared" si="224"/>
        <v>45889</v>
      </c>
      <c r="I60" s="37" t="str">
        <f t="shared" si="224"/>
        <v>B076THQBHX</v>
      </c>
      <c r="J60" s="21"/>
      <c r="K60" s="38" t="str">
        <f t="shared" ref="K60:O60" si="225">K59</f>
        <v>金属储物柜71英寸灰色</v>
      </c>
      <c r="L60" s="21"/>
      <c r="M60" s="36">
        <f t="shared" si="225"/>
        <v>188</v>
      </c>
      <c r="N60" s="36">
        <f t="shared" si="225"/>
        <v>49</v>
      </c>
      <c r="O60" s="36">
        <f t="shared" si="225"/>
        <v>14</v>
      </c>
      <c r="P60" s="21">
        <f t="shared" si="0"/>
        <v>0.128968</v>
      </c>
      <c r="Q60" s="21"/>
      <c r="R60" s="36">
        <f t="shared" ref="R60:T60" si="226">R59</f>
        <v>188</v>
      </c>
      <c r="S60" s="36">
        <f t="shared" si="226"/>
        <v>49</v>
      </c>
      <c r="T60" s="36">
        <f t="shared" si="226"/>
        <v>14</v>
      </c>
      <c r="U60" s="21">
        <f t="shared" si="1"/>
        <v>0.128968</v>
      </c>
      <c r="V60" s="21"/>
      <c r="W60" s="21"/>
      <c r="X60" s="21"/>
      <c r="Y60" s="21"/>
      <c r="Z60" s="21"/>
      <c r="AA60" s="21">
        <f t="shared" ref="AA60:AC60" si="227">AA59</f>
        <v>19</v>
      </c>
      <c r="AB60" s="21">
        <f t="shared" si="227"/>
        <v>223</v>
      </c>
      <c r="AC60" s="21">
        <f t="shared" si="227"/>
        <v>223</v>
      </c>
      <c r="AD60" s="21">
        <v>0</v>
      </c>
      <c r="AE60" s="45">
        <f t="shared" si="139"/>
        <v>223</v>
      </c>
      <c r="AF60" s="45"/>
      <c r="AG60" s="53"/>
      <c r="AH60" s="54">
        <f t="shared" si="2"/>
        <v>223</v>
      </c>
      <c r="AI60" s="21" t="s">
        <v>179</v>
      </c>
      <c r="AJ60" s="55">
        <f t="shared" si="112"/>
        <v>28.759864</v>
      </c>
      <c r="AK60" s="55">
        <f t="shared" si="113"/>
        <v>28.759864</v>
      </c>
      <c r="AL60" s="21">
        <f t="shared" si="122"/>
        <v>5</v>
      </c>
      <c r="AM60" s="21" t="str">
        <f t="shared" si="91"/>
        <v>30天内</v>
      </c>
      <c r="AN60" s="56">
        <v>0</v>
      </c>
      <c r="AO60" s="21" t="s">
        <v>186</v>
      </c>
      <c r="AP60" s="61">
        <f t="shared" si="78"/>
        <v>0</v>
      </c>
      <c r="AQ60" s="13"/>
    </row>
    <row r="61" spans="1:43">
      <c r="A61" s="21">
        <v>202508</v>
      </c>
      <c r="B61" s="25">
        <v>45894</v>
      </c>
      <c r="C61" s="21" t="s">
        <v>224</v>
      </c>
      <c r="D61" s="21" t="str">
        <f t="shared" ref="D61:I61" si="228">D60</f>
        <v>M » N2 - 1</v>
      </c>
      <c r="E61" s="21" t="str">
        <f t="shared" si="228"/>
        <v>YCD-EX:HUPPER TEK</v>
      </c>
      <c r="F61" s="21" t="str">
        <f t="shared" si="228"/>
        <v>MI202508130012</v>
      </c>
      <c r="G61" s="21" t="str">
        <f t="shared" si="228"/>
        <v>DE2508031-G7-MIC</v>
      </c>
      <c r="H61" s="26">
        <f t="shared" si="228"/>
        <v>45889</v>
      </c>
      <c r="I61" s="37" t="str">
        <f t="shared" si="228"/>
        <v>B076THQBHX</v>
      </c>
      <c r="J61" s="21"/>
      <c r="K61" s="38" t="str">
        <f t="shared" ref="K61:O61" si="229">K60</f>
        <v>金属储物柜71英寸灰色</v>
      </c>
      <c r="L61" s="21"/>
      <c r="M61" s="36">
        <f t="shared" si="229"/>
        <v>188</v>
      </c>
      <c r="N61" s="36">
        <f t="shared" si="229"/>
        <v>49</v>
      </c>
      <c r="O61" s="36">
        <f t="shared" si="229"/>
        <v>14</v>
      </c>
      <c r="P61" s="21">
        <f t="shared" si="0"/>
        <v>0.128968</v>
      </c>
      <c r="Q61" s="21"/>
      <c r="R61" s="36">
        <f t="shared" ref="R61:T61" si="230">R60</f>
        <v>188</v>
      </c>
      <c r="S61" s="36">
        <f t="shared" si="230"/>
        <v>49</v>
      </c>
      <c r="T61" s="36">
        <f t="shared" si="230"/>
        <v>14</v>
      </c>
      <c r="U61" s="21">
        <f t="shared" si="1"/>
        <v>0.128968</v>
      </c>
      <c r="V61" s="21"/>
      <c r="W61" s="21"/>
      <c r="X61" s="21"/>
      <c r="Y61" s="21"/>
      <c r="Z61" s="21"/>
      <c r="AA61" s="21">
        <f t="shared" ref="AA61:AC61" si="231">AA60</f>
        <v>19</v>
      </c>
      <c r="AB61" s="21">
        <f t="shared" si="231"/>
        <v>223</v>
      </c>
      <c r="AC61" s="21">
        <f t="shared" si="231"/>
        <v>223</v>
      </c>
      <c r="AD61" s="21">
        <v>0</v>
      </c>
      <c r="AE61" s="45">
        <f t="shared" si="139"/>
        <v>223</v>
      </c>
      <c r="AF61" s="46"/>
      <c r="AG61" s="53"/>
      <c r="AH61" s="54">
        <f t="shared" si="2"/>
        <v>223</v>
      </c>
      <c r="AI61" s="21" t="s">
        <v>179</v>
      </c>
      <c r="AJ61" s="55">
        <f t="shared" si="112"/>
        <v>28.759864</v>
      </c>
      <c r="AK61" s="55">
        <f t="shared" si="113"/>
        <v>28.759864</v>
      </c>
      <c r="AL61" s="21">
        <f t="shared" si="122"/>
        <v>6</v>
      </c>
      <c r="AM61" s="21" t="str">
        <f t="shared" si="91"/>
        <v>30天内</v>
      </c>
      <c r="AN61" s="56">
        <v>0</v>
      </c>
      <c r="AO61" s="21" t="s">
        <v>186</v>
      </c>
      <c r="AP61" s="61">
        <f t="shared" si="78"/>
        <v>0</v>
      </c>
      <c r="AQ61" s="13"/>
    </row>
    <row r="62" spans="1:43">
      <c r="A62" s="21">
        <v>202508</v>
      </c>
      <c r="B62" s="25">
        <v>45895</v>
      </c>
      <c r="C62" s="21" t="s">
        <v>224</v>
      </c>
      <c r="D62" s="21" t="str">
        <f t="shared" ref="D62:I62" si="232">D61</f>
        <v>M » N2 - 1</v>
      </c>
      <c r="E62" s="21" t="str">
        <f t="shared" si="232"/>
        <v>YCD-EX:HUPPER TEK</v>
      </c>
      <c r="F62" s="21" t="str">
        <f t="shared" si="232"/>
        <v>MI202508130012</v>
      </c>
      <c r="G62" s="21" t="str">
        <f t="shared" si="232"/>
        <v>DE2508031-G7-MIC</v>
      </c>
      <c r="H62" s="26">
        <f t="shared" si="232"/>
        <v>45889</v>
      </c>
      <c r="I62" s="37" t="str">
        <f t="shared" si="232"/>
        <v>B076THQBHX</v>
      </c>
      <c r="J62" s="21"/>
      <c r="K62" s="38" t="str">
        <f t="shared" ref="K62:O62" si="233">K61</f>
        <v>金属储物柜71英寸灰色</v>
      </c>
      <c r="L62" s="21"/>
      <c r="M62" s="36">
        <f t="shared" si="233"/>
        <v>188</v>
      </c>
      <c r="N62" s="36">
        <f t="shared" si="233"/>
        <v>49</v>
      </c>
      <c r="O62" s="36">
        <f t="shared" si="233"/>
        <v>14</v>
      </c>
      <c r="P62" s="21">
        <f t="shared" si="0"/>
        <v>0.128968</v>
      </c>
      <c r="Q62" s="21"/>
      <c r="R62" s="36">
        <f t="shared" ref="R62:T62" si="234">R61</f>
        <v>188</v>
      </c>
      <c r="S62" s="36">
        <f t="shared" si="234"/>
        <v>49</v>
      </c>
      <c r="T62" s="36">
        <f t="shared" si="234"/>
        <v>14</v>
      </c>
      <c r="U62" s="21">
        <f t="shared" si="1"/>
        <v>0.128968</v>
      </c>
      <c r="V62" s="21"/>
      <c r="W62" s="21"/>
      <c r="X62" s="21"/>
      <c r="Y62" s="21"/>
      <c r="Z62" s="21"/>
      <c r="AA62" s="21">
        <f t="shared" ref="AA62:AC62" si="235">AA61</f>
        <v>19</v>
      </c>
      <c r="AB62" s="21">
        <f t="shared" si="235"/>
        <v>223</v>
      </c>
      <c r="AC62" s="21">
        <f t="shared" si="235"/>
        <v>223</v>
      </c>
      <c r="AD62" s="21">
        <v>0</v>
      </c>
      <c r="AE62" s="45">
        <f t="shared" si="139"/>
        <v>223</v>
      </c>
      <c r="AF62" s="46"/>
      <c r="AG62" s="53"/>
      <c r="AH62" s="54">
        <f t="shared" si="2"/>
        <v>223</v>
      </c>
      <c r="AI62" s="21" t="s">
        <v>179</v>
      </c>
      <c r="AJ62" s="55">
        <f t="shared" si="112"/>
        <v>28.759864</v>
      </c>
      <c r="AK62" s="55">
        <f t="shared" si="113"/>
        <v>28.759864</v>
      </c>
      <c r="AL62" s="21">
        <f t="shared" si="122"/>
        <v>7</v>
      </c>
      <c r="AM62" s="21" t="str">
        <f t="shared" si="91"/>
        <v>30天内</v>
      </c>
      <c r="AN62" s="56">
        <v>0</v>
      </c>
      <c r="AO62" s="21" t="s">
        <v>186</v>
      </c>
      <c r="AP62" s="61">
        <f t="shared" si="78"/>
        <v>0</v>
      </c>
      <c r="AQ62" s="13"/>
    </row>
    <row r="63" spans="1:43">
      <c r="A63" s="21">
        <v>202508</v>
      </c>
      <c r="B63" s="25">
        <v>45896</v>
      </c>
      <c r="C63" s="21" t="s">
        <v>224</v>
      </c>
      <c r="D63" s="21" t="str">
        <f t="shared" ref="D63:I63" si="236">D62</f>
        <v>M » N2 - 1</v>
      </c>
      <c r="E63" s="21" t="str">
        <f t="shared" si="236"/>
        <v>YCD-EX:HUPPER TEK</v>
      </c>
      <c r="F63" s="21" t="str">
        <f t="shared" si="236"/>
        <v>MI202508130012</v>
      </c>
      <c r="G63" s="21" t="str">
        <f t="shared" si="236"/>
        <v>DE2508031-G7-MIC</v>
      </c>
      <c r="H63" s="26">
        <f t="shared" si="236"/>
        <v>45889</v>
      </c>
      <c r="I63" s="37" t="str">
        <f t="shared" si="236"/>
        <v>B076THQBHX</v>
      </c>
      <c r="J63" s="21"/>
      <c r="K63" s="38" t="str">
        <f t="shared" ref="K63:O63" si="237">K62</f>
        <v>金属储物柜71英寸灰色</v>
      </c>
      <c r="L63" s="21"/>
      <c r="M63" s="36">
        <f t="shared" si="237"/>
        <v>188</v>
      </c>
      <c r="N63" s="36">
        <f t="shared" si="237"/>
        <v>49</v>
      </c>
      <c r="O63" s="36">
        <f t="shared" si="237"/>
        <v>14</v>
      </c>
      <c r="P63" s="21">
        <f t="shared" si="0"/>
        <v>0.128968</v>
      </c>
      <c r="Q63" s="21"/>
      <c r="R63" s="36">
        <f t="shared" ref="R63:T63" si="238">R62</f>
        <v>188</v>
      </c>
      <c r="S63" s="36">
        <f t="shared" si="238"/>
        <v>49</v>
      </c>
      <c r="T63" s="36">
        <f t="shared" si="238"/>
        <v>14</v>
      </c>
      <c r="U63" s="21">
        <f t="shared" si="1"/>
        <v>0.128968</v>
      </c>
      <c r="V63" s="21"/>
      <c r="W63" s="21"/>
      <c r="X63" s="21"/>
      <c r="Y63" s="21"/>
      <c r="Z63" s="21"/>
      <c r="AA63" s="21">
        <f t="shared" ref="AA63:AC63" si="239">AA62</f>
        <v>19</v>
      </c>
      <c r="AB63" s="21">
        <f t="shared" si="239"/>
        <v>223</v>
      </c>
      <c r="AC63" s="21">
        <f t="shared" si="239"/>
        <v>223</v>
      </c>
      <c r="AD63" s="21">
        <v>0</v>
      </c>
      <c r="AE63" s="45">
        <f t="shared" si="139"/>
        <v>223</v>
      </c>
      <c r="AF63" s="45"/>
      <c r="AG63" s="53"/>
      <c r="AH63" s="54">
        <f t="shared" si="2"/>
        <v>223</v>
      </c>
      <c r="AI63" s="21" t="s">
        <v>179</v>
      </c>
      <c r="AJ63" s="55">
        <f t="shared" si="112"/>
        <v>28.759864</v>
      </c>
      <c r="AK63" s="55">
        <f t="shared" si="113"/>
        <v>28.759864</v>
      </c>
      <c r="AL63" s="21">
        <f t="shared" si="122"/>
        <v>8</v>
      </c>
      <c r="AM63" s="21" t="str">
        <f t="shared" si="91"/>
        <v>30天内</v>
      </c>
      <c r="AN63" s="56">
        <v>0</v>
      </c>
      <c r="AO63" s="21" t="s">
        <v>186</v>
      </c>
      <c r="AP63" s="61">
        <f t="shared" si="78"/>
        <v>0</v>
      </c>
      <c r="AQ63" s="13"/>
    </row>
    <row r="64" spans="1:43">
      <c r="A64" s="21">
        <v>202508</v>
      </c>
      <c r="B64" s="25">
        <v>45897</v>
      </c>
      <c r="C64" s="21" t="s">
        <v>224</v>
      </c>
      <c r="D64" s="21" t="str">
        <f t="shared" ref="D64:I64" si="240">D63</f>
        <v>M » N2 - 1</v>
      </c>
      <c r="E64" s="21" t="str">
        <f t="shared" si="240"/>
        <v>YCD-EX:HUPPER TEK</v>
      </c>
      <c r="F64" s="21" t="str">
        <f t="shared" si="240"/>
        <v>MI202508130012</v>
      </c>
      <c r="G64" s="21" t="str">
        <f t="shared" si="240"/>
        <v>DE2508031-G7-MIC</v>
      </c>
      <c r="H64" s="26">
        <f t="shared" si="240"/>
        <v>45889</v>
      </c>
      <c r="I64" s="37" t="str">
        <f t="shared" si="240"/>
        <v>B076THQBHX</v>
      </c>
      <c r="J64" s="21"/>
      <c r="K64" s="38" t="str">
        <f t="shared" ref="K64:O64" si="241">K63</f>
        <v>金属储物柜71英寸灰色</v>
      </c>
      <c r="L64" s="21"/>
      <c r="M64" s="36">
        <f t="shared" si="241"/>
        <v>188</v>
      </c>
      <c r="N64" s="36">
        <f t="shared" si="241"/>
        <v>49</v>
      </c>
      <c r="O64" s="36">
        <f t="shared" si="241"/>
        <v>14</v>
      </c>
      <c r="P64" s="21">
        <f t="shared" si="0"/>
        <v>0.128968</v>
      </c>
      <c r="Q64" s="21"/>
      <c r="R64" s="36">
        <f t="shared" ref="R64:T64" si="242">R63</f>
        <v>188</v>
      </c>
      <c r="S64" s="36">
        <f t="shared" si="242"/>
        <v>49</v>
      </c>
      <c r="T64" s="36">
        <f t="shared" si="242"/>
        <v>14</v>
      </c>
      <c r="U64" s="21">
        <f t="shared" si="1"/>
        <v>0.128968</v>
      </c>
      <c r="V64" s="21"/>
      <c r="W64" s="21"/>
      <c r="X64" s="21"/>
      <c r="Y64" s="21"/>
      <c r="Z64" s="21"/>
      <c r="AA64" s="21">
        <f t="shared" ref="AA64:AC64" si="243">AA63</f>
        <v>19</v>
      </c>
      <c r="AB64" s="21">
        <f t="shared" si="243"/>
        <v>223</v>
      </c>
      <c r="AC64" s="21">
        <f t="shared" si="243"/>
        <v>223</v>
      </c>
      <c r="AD64" s="21">
        <v>0</v>
      </c>
      <c r="AE64" s="45">
        <f t="shared" si="139"/>
        <v>223</v>
      </c>
      <c r="AF64" s="45"/>
      <c r="AG64" s="53"/>
      <c r="AH64" s="54">
        <f t="shared" si="2"/>
        <v>223</v>
      </c>
      <c r="AI64" s="21" t="s">
        <v>179</v>
      </c>
      <c r="AJ64" s="55">
        <f t="shared" si="112"/>
        <v>28.759864</v>
      </c>
      <c r="AK64" s="55">
        <f t="shared" si="113"/>
        <v>28.759864</v>
      </c>
      <c r="AL64" s="21">
        <f t="shared" si="122"/>
        <v>9</v>
      </c>
      <c r="AM64" s="21" t="str">
        <f t="shared" si="91"/>
        <v>30天内</v>
      </c>
      <c r="AN64" s="56">
        <v>0</v>
      </c>
      <c r="AO64" s="21" t="s">
        <v>186</v>
      </c>
      <c r="AP64" s="61">
        <f t="shared" si="78"/>
        <v>0</v>
      </c>
      <c r="AQ64" s="13"/>
    </row>
    <row r="65" spans="1:43">
      <c r="A65" s="21">
        <v>202508</v>
      </c>
      <c r="B65" s="25">
        <v>45898</v>
      </c>
      <c r="C65" s="21" t="s">
        <v>224</v>
      </c>
      <c r="D65" s="21" t="str">
        <f t="shared" ref="D65:I65" si="244">D64</f>
        <v>M » N2 - 1</v>
      </c>
      <c r="E65" s="21" t="str">
        <f t="shared" si="244"/>
        <v>YCD-EX:HUPPER TEK</v>
      </c>
      <c r="F65" s="21" t="str">
        <f t="shared" si="244"/>
        <v>MI202508130012</v>
      </c>
      <c r="G65" s="21" t="str">
        <f t="shared" si="244"/>
        <v>DE2508031-G7-MIC</v>
      </c>
      <c r="H65" s="26">
        <f t="shared" si="244"/>
        <v>45889</v>
      </c>
      <c r="I65" s="37" t="str">
        <f t="shared" si="244"/>
        <v>B076THQBHX</v>
      </c>
      <c r="J65" s="21"/>
      <c r="K65" s="38" t="str">
        <f t="shared" ref="K65:O65" si="245">K64</f>
        <v>金属储物柜71英寸灰色</v>
      </c>
      <c r="L65" s="21"/>
      <c r="M65" s="36">
        <f t="shared" si="245"/>
        <v>188</v>
      </c>
      <c r="N65" s="36">
        <f t="shared" si="245"/>
        <v>49</v>
      </c>
      <c r="O65" s="36">
        <f t="shared" si="245"/>
        <v>14</v>
      </c>
      <c r="P65" s="21">
        <f t="shared" si="0"/>
        <v>0.128968</v>
      </c>
      <c r="Q65" s="21"/>
      <c r="R65" s="36">
        <f t="shared" ref="R65:T65" si="246">R64</f>
        <v>188</v>
      </c>
      <c r="S65" s="36">
        <f t="shared" si="246"/>
        <v>49</v>
      </c>
      <c r="T65" s="36">
        <f t="shared" si="246"/>
        <v>14</v>
      </c>
      <c r="U65" s="21">
        <f t="shared" si="1"/>
        <v>0.128968</v>
      </c>
      <c r="V65" s="21"/>
      <c r="W65" s="21"/>
      <c r="X65" s="21"/>
      <c r="Y65" s="21"/>
      <c r="Z65" s="21"/>
      <c r="AA65" s="21">
        <f t="shared" ref="AA65:AC65" si="247">AA64</f>
        <v>19</v>
      </c>
      <c r="AB65" s="21">
        <f t="shared" si="247"/>
        <v>223</v>
      </c>
      <c r="AC65" s="21">
        <f t="shared" si="247"/>
        <v>223</v>
      </c>
      <c r="AD65" s="21">
        <v>0</v>
      </c>
      <c r="AE65" s="45">
        <f t="shared" si="139"/>
        <v>223</v>
      </c>
      <c r="AF65" s="45"/>
      <c r="AG65" s="53"/>
      <c r="AH65" s="54">
        <f t="shared" si="2"/>
        <v>223</v>
      </c>
      <c r="AI65" s="21" t="s">
        <v>179</v>
      </c>
      <c r="AJ65" s="55">
        <f t="shared" si="112"/>
        <v>28.759864</v>
      </c>
      <c r="AK65" s="55">
        <f t="shared" si="113"/>
        <v>28.759864</v>
      </c>
      <c r="AL65" s="21">
        <f t="shared" si="122"/>
        <v>10</v>
      </c>
      <c r="AM65" s="21" t="str">
        <f t="shared" si="91"/>
        <v>30天内</v>
      </c>
      <c r="AN65" s="56">
        <v>0</v>
      </c>
      <c r="AO65" s="21" t="s">
        <v>186</v>
      </c>
      <c r="AP65" s="61">
        <f t="shared" si="78"/>
        <v>0</v>
      </c>
      <c r="AQ65" s="13"/>
    </row>
    <row r="66" spans="1:43">
      <c r="A66" s="21">
        <v>202508</v>
      </c>
      <c r="B66" s="25">
        <v>45899</v>
      </c>
      <c r="C66" s="21" t="s">
        <v>224</v>
      </c>
      <c r="D66" s="21" t="str">
        <f t="shared" ref="D66:I66" si="248">D65</f>
        <v>M » N2 - 1</v>
      </c>
      <c r="E66" s="21" t="str">
        <f t="shared" si="248"/>
        <v>YCD-EX:HUPPER TEK</v>
      </c>
      <c r="F66" s="21" t="str">
        <f t="shared" si="248"/>
        <v>MI202508130012</v>
      </c>
      <c r="G66" s="21" t="str">
        <f t="shared" si="248"/>
        <v>DE2508031-G7-MIC</v>
      </c>
      <c r="H66" s="26">
        <f t="shared" si="248"/>
        <v>45889</v>
      </c>
      <c r="I66" s="37" t="str">
        <f t="shared" si="248"/>
        <v>B076THQBHX</v>
      </c>
      <c r="J66" s="21"/>
      <c r="K66" s="38" t="str">
        <f t="shared" ref="K66:O66" si="249">K65</f>
        <v>金属储物柜71英寸灰色</v>
      </c>
      <c r="L66" s="21"/>
      <c r="M66" s="36">
        <f t="shared" si="249"/>
        <v>188</v>
      </c>
      <c r="N66" s="36">
        <f t="shared" si="249"/>
        <v>49</v>
      </c>
      <c r="O66" s="36">
        <f t="shared" si="249"/>
        <v>14</v>
      </c>
      <c r="P66" s="21">
        <f t="shared" si="0"/>
        <v>0.128968</v>
      </c>
      <c r="Q66" s="21"/>
      <c r="R66" s="36">
        <f t="shared" ref="R66:T66" si="250">R65</f>
        <v>188</v>
      </c>
      <c r="S66" s="36">
        <f t="shared" si="250"/>
        <v>49</v>
      </c>
      <c r="T66" s="36">
        <f t="shared" si="250"/>
        <v>14</v>
      </c>
      <c r="U66" s="21">
        <f t="shared" si="1"/>
        <v>0.128968</v>
      </c>
      <c r="V66" s="21"/>
      <c r="W66" s="21"/>
      <c r="X66" s="21"/>
      <c r="Y66" s="21"/>
      <c r="Z66" s="21"/>
      <c r="AA66" s="21">
        <f t="shared" ref="AA66:AC66" si="251">AA65</f>
        <v>19</v>
      </c>
      <c r="AB66" s="21">
        <f t="shared" si="251"/>
        <v>223</v>
      </c>
      <c r="AC66" s="21">
        <f t="shared" si="251"/>
        <v>223</v>
      </c>
      <c r="AD66" s="21">
        <v>0</v>
      </c>
      <c r="AE66" s="45">
        <f t="shared" si="139"/>
        <v>223</v>
      </c>
      <c r="AF66" s="45"/>
      <c r="AG66" s="53"/>
      <c r="AH66" s="54">
        <f t="shared" si="2"/>
        <v>223</v>
      </c>
      <c r="AI66" s="21" t="s">
        <v>179</v>
      </c>
      <c r="AJ66" s="55">
        <f t="shared" si="112"/>
        <v>28.759864</v>
      </c>
      <c r="AK66" s="55">
        <f t="shared" si="113"/>
        <v>28.759864</v>
      </c>
      <c r="AL66" s="21">
        <f t="shared" si="122"/>
        <v>11</v>
      </c>
      <c r="AM66" s="21" t="str">
        <f t="shared" si="91"/>
        <v>30天内</v>
      </c>
      <c r="AN66" s="56">
        <v>0</v>
      </c>
      <c r="AO66" s="21" t="s">
        <v>186</v>
      </c>
      <c r="AP66" s="61">
        <f t="shared" si="78"/>
        <v>0</v>
      </c>
      <c r="AQ66" s="13"/>
    </row>
    <row r="67" spans="1:43">
      <c r="A67" s="21">
        <v>202508</v>
      </c>
      <c r="B67" s="25">
        <v>45900</v>
      </c>
      <c r="C67" s="21" t="s">
        <v>224</v>
      </c>
      <c r="D67" s="21" t="str">
        <f t="shared" ref="D67:I67" si="252">D66</f>
        <v>M » N2 - 1</v>
      </c>
      <c r="E67" s="21" t="str">
        <f t="shared" si="252"/>
        <v>YCD-EX:HUPPER TEK</v>
      </c>
      <c r="F67" s="21" t="str">
        <f t="shared" si="252"/>
        <v>MI202508130012</v>
      </c>
      <c r="G67" s="21" t="str">
        <f t="shared" si="252"/>
        <v>DE2508031-G7-MIC</v>
      </c>
      <c r="H67" s="26">
        <f t="shared" si="252"/>
        <v>45889</v>
      </c>
      <c r="I67" s="37" t="str">
        <f t="shared" si="252"/>
        <v>B076THQBHX</v>
      </c>
      <c r="J67" s="21"/>
      <c r="K67" s="38" t="str">
        <f t="shared" ref="K67:O67" si="253">K66</f>
        <v>金属储物柜71英寸灰色</v>
      </c>
      <c r="L67" s="21"/>
      <c r="M67" s="36">
        <f t="shared" si="253"/>
        <v>188</v>
      </c>
      <c r="N67" s="36">
        <f t="shared" si="253"/>
        <v>49</v>
      </c>
      <c r="O67" s="36">
        <f t="shared" si="253"/>
        <v>14</v>
      </c>
      <c r="P67" s="21">
        <f t="shared" si="0"/>
        <v>0.128968</v>
      </c>
      <c r="Q67" s="21"/>
      <c r="R67" s="36">
        <f t="shared" ref="R67:T67" si="254">R66</f>
        <v>188</v>
      </c>
      <c r="S67" s="36">
        <f t="shared" si="254"/>
        <v>49</v>
      </c>
      <c r="T67" s="36">
        <f t="shared" si="254"/>
        <v>14</v>
      </c>
      <c r="U67" s="21">
        <f t="shared" si="1"/>
        <v>0.128968</v>
      </c>
      <c r="V67" s="21"/>
      <c r="W67" s="21"/>
      <c r="X67" s="21"/>
      <c r="Y67" s="21"/>
      <c r="Z67" s="21"/>
      <c r="AA67" s="21">
        <f t="shared" ref="AA67:AC67" si="255">AA66</f>
        <v>19</v>
      </c>
      <c r="AB67" s="21">
        <f t="shared" si="255"/>
        <v>223</v>
      </c>
      <c r="AC67" s="21">
        <f t="shared" si="255"/>
        <v>223</v>
      </c>
      <c r="AD67" s="21">
        <v>0</v>
      </c>
      <c r="AE67" s="45">
        <f t="shared" si="139"/>
        <v>223</v>
      </c>
      <c r="AF67" s="46"/>
      <c r="AG67" s="53"/>
      <c r="AH67" s="57">
        <f t="shared" si="2"/>
        <v>223</v>
      </c>
      <c r="AI67" s="21" t="s">
        <v>179</v>
      </c>
      <c r="AJ67" s="55">
        <f t="shared" si="112"/>
        <v>28.759864</v>
      </c>
      <c r="AK67" s="55">
        <f t="shared" si="113"/>
        <v>28.759864</v>
      </c>
      <c r="AL67" s="21">
        <f t="shared" si="122"/>
        <v>12</v>
      </c>
      <c r="AM67" s="21" t="str">
        <f t="shared" si="91"/>
        <v>30天内</v>
      </c>
      <c r="AN67" s="56">
        <v>0</v>
      </c>
      <c r="AO67" s="21" t="s">
        <v>186</v>
      </c>
      <c r="AP67" s="61">
        <f t="shared" si="78"/>
        <v>0</v>
      </c>
      <c r="AQ67" s="13"/>
    </row>
    <row r="68" spans="1:43">
      <c r="A68" s="21">
        <v>202508</v>
      </c>
      <c r="B68" s="22">
        <v>45870</v>
      </c>
      <c r="C68" s="21" t="s">
        <v>224</v>
      </c>
      <c r="D68" s="23" t="s">
        <v>62</v>
      </c>
      <c r="E68" s="23" t="s">
        <v>58</v>
      </c>
      <c r="F68" s="23" t="s">
        <v>54</v>
      </c>
      <c r="G68" s="23" t="s">
        <v>59</v>
      </c>
      <c r="H68" s="24">
        <v>45889</v>
      </c>
      <c r="I68" s="23" t="s">
        <v>64</v>
      </c>
      <c r="J68" s="23"/>
      <c r="K68" s="35" t="str">
        <f>VLOOKUP(I68,物品明细!A:B,2,0)</f>
        <v>金属储物柜71英寸高</v>
      </c>
      <c r="L68" s="21"/>
      <c r="M68" s="36">
        <f>VLOOKUP(I68,物品明细!A:E,5,0)</f>
        <v>188</v>
      </c>
      <c r="N68" s="36">
        <f>VLOOKUP(I68,物品明细!A:F,6,0)</f>
        <v>49</v>
      </c>
      <c r="O68" s="36">
        <f>VLOOKUP(I68,物品明细!A:G,7,0)</f>
        <v>14</v>
      </c>
      <c r="P68" s="21">
        <f t="shared" si="0"/>
        <v>0.128968</v>
      </c>
      <c r="Q68" s="21"/>
      <c r="R68" s="36">
        <f>VLOOKUP(I68,物品明细!A:E,5,0)</f>
        <v>188</v>
      </c>
      <c r="S68" s="36">
        <f>VLOOKUP(I68,物品明细!A:F,6,0)</f>
        <v>49</v>
      </c>
      <c r="T68" s="36">
        <f>VLOOKUP(I68,物品明细!A:G,7,0)</f>
        <v>14</v>
      </c>
      <c r="U68" s="21">
        <f t="shared" si="1"/>
        <v>0.128968</v>
      </c>
      <c r="V68" s="21"/>
      <c r="W68" s="21"/>
      <c r="X68" s="21"/>
      <c r="Y68" s="21"/>
      <c r="Z68" s="21"/>
      <c r="AA68" s="43">
        <v>13</v>
      </c>
      <c r="AB68" s="43">
        <v>151</v>
      </c>
      <c r="AC68" s="43">
        <v>151</v>
      </c>
      <c r="AD68" s="21">
        <v>0</v>
      </c>
      <c r="AE68" s="44">
        <v>0</v>
      </c>
      <c r="AF68" s="45"/>
      <c r="AG68" s="53"/>
      <c r="AH68" s="54">
        <f t="shared" si="2"/>
        <v>0</v>
      </c>
      <c r="AI68" s="21" t="s">
        <v>179</v>
      </c>
      <c r="AJ68" s="55">
        <f t="shared" si="112"/>
        <v>0</v>
      </c>
      <c r="AK68" s="55">
        <f t="shared" si="113"/>
        <v>0</v>
      </c>
      <c r="AL68" s="21">
        <f t="shared" si="122"/>
        <v>-18</v>
      </c>
      <c r="AM68" s="21" t="str">
        <f t="shared" si="91"/>
        <v>30天内</v>
      </c>
      <c r="AN68" s="56">
        <v>0</v>
      </c>
      <c r="AO68" s="21" t="s">
        <v>186</v>
      </c>
      <c r="AP68" s="61">
        <f t="shared" si="78"/>
        <v>0</v>
      </c>
      <c r="AQ68" s="13"/>
    </row>
    <row r="69" spans="1:43">
      <c r="A69" s="21">
        <v>202508</v>
      </c>
      <c r="B69" s="25">
        <v>45871</v>
      </c>
      <c r="C69" s="21" t="s">
        <v>224</v>
      </c>
      <c r="D69" s="2" t="str">
        <f t="shared" ref="D69:I69" si="256">D68</f>
        <v>M » N2 - 1</v>
      </c>
      <c r="E69" s="21" t="str">
        <f t="shared" si="256"/>
        <v>YCD-EX:HUPPER TEK</v>
      </c>
      <c r="F69" s="21" t="str">
        <f t="shared" si="256"/>
        <v>MI202508130012</v>
      </c>
      <c r="G69" s="21" t="str">
        <f t="shared" si="256"/>
        <v>DE2508031-G7-MIC</v>
      </c>
      <c r="H69" s="26">
        <f t="shared" si="256"/>
        <v>45889</v>
      </c>
      <c r="I69" s="37" t="str">
        <f t="shared" si="256"/>
        <v>B07Q3SQT6C</v>
      </c>
      <c r="J69" s="21"/>
      <c r="K69" s="38" t="str">
        <f t="shared" ref="K69:O69" si="257">K68</f>
        <v>金属储物柜71英寸高</v>
      </c>
      <c r="L69" s="21"/>
      <c r="M69" s="36">
        <f t="shared" si="257"/>
        <v>188</v>
      </c>
      <c r="N69" s="36">
        <f t="shared" si="257"/>
        <v>49</v>
      </c>
      <c r="O69" s="36">
        <f t="shared" si="257"/>
        <v>14</v>
      </c>
      <c r="P69" s="21">
        <f t="shared" si="0"/>
        <v>0.128968</v>
      </c>
      <c r="Q69" s="21"/>
      <c r="R69" s="36">
        <f t="shared" ref="R69:T69" si="258">R68</f>
        <v>188</v>
      </c>
      <c r="S69" s="36">
        <f t="shared" si="258"/>
        <v>49</v>
      </c>
      <c r="T69" s="36">
        <f t="shared" si="258"/>
        <v>14</v>
      </c>
      <c r="U69" s="21">
        <f t="shared" si="1"/>
        <v>0.128968</v>
      </c>
      <c r="V69" s="21"/>
      <c r="W69" s="21"/>
      <c r="X69" s="21"/>
      <c r="Y69" s="21"/>
      <c r="Z69" s="21"/>
      <c r="AA69" s="21">
        <f t="shared" ref="AA69:AC69" si="259">AA68</f>
        <v>13</v>
      </c>
      <c r="AB69" s="21">
        <f t="shared" si="259"/>
        <v>151</v>
      </c>
      <c r="AC69" s="21">
        <f t="shared" si="259"/>
        <v>151</v>
      </c>
      <c r="AD69" s="21">
        <v>0</v>
      </c>
      <c r="AE69" s="45">
        <f t="shared" ref="AE69:AE98" si="260">AH68</f>
        <v>0</v>
      </c>
      <c r="AF69" s="45"/>
      <c r="AG69" s="53"/>
      <c r="AH69" s="54">
        <f t="shared" si="2"/>
        <v>0</v>
      </c>
      <c r="AI69" s="21" t="s">
        <v>179</v>
      </c>
      <c r="AJ69" s="55">
        <f t="shared" si="112"/>
        <v>0</v>
      </c>
      <c r="AK69" s="55">
        <f t="shared" si="113"/>
        <v>0</v>
      </c>
      <c r="AL69" s="21">
        <f t="shared" si="122"/>
        <v>-17</v>
      </c>
      <c r="AM69" s="21" t="str">
        <f t="shared" si="91"/>
        <v>30天内</v>
      </c>
      <c r="AN69" s="56">
        <v>0</v>
      </c>
      <c r="AO69" s="21" t="s">
        <v>186</v>
      </c>
      <c r="AP69" s="61">
        <f t="shared" si="78"/>
        <v>0</v>
      </c>
      <c r="AQ69" s="13"/>
    </row>
    <row r="70" spans="1:43">
      <c r="A70" s="21">
        <v>202508</v>
      </c>
      <c r="B70" s="25">
        <v>45872</v>
      </c>
      <c r="C70" s="21" t="s">
        <v>224</v>
      </c>
      <c r="D70" s="21" t="str">
        <f t="shared" ref="D70:I70" si="261">D69</f>
        <v>M » N2 - 1</v>
      </c>
      <c r="E70" s="21" t="str">
        <f t="shared" si="261"/>
        <v>YCD-EX:HUPPER TEK</v>
      </c>
      <c r="F70" s="21" t="str">
        <f t="shared" si="261"/>
        <v>MI202508130012</v>
      </c>
      <c r="G70" s="21" t="str">
        <f t="shared" si="261"/>
        <v>DE2508031-G7-MIC</v>
      </c>
      <c r="H70" s="26">
        <f t="shared" si="261"/>
        <v>45889</v>
      </c>
      <c r="I70" s="37" t="str">
        <f t="shared" si="261"/>
        <v>B07Q3SQT6C</v>
      </c>
      <c r="J70" s="21"/>
      <c r="K70" s="38" t="str">
        <f t="shared" ref="K70:O70" si="262">K69</f>
        <v>金属储物柜71英寸高</v>
      </c>
      <c r="L70" s="21"/>
      <c r="M70" s="36">
        <f t="shared" si="262"/>
        <v>188</v>
      </c>
      <c r="N70" s="36">
        <f t="shared" si="262"/>
        <v>49</v>
      </c>
      <c r="O70" s="36">
        <f t="shared" si="262"/>
        <v>14</v>
      </c>
      <c r="P70" s="21">
        <f t="shared" ref="P70:P129" si="263">M70*N70*O70/1000000</f>
        <v>0.128968</v>
      </c>
      <c r="Q70" s="21"/>
      <c r="R70" s="36">
        <f t="shared" ref="R70:T70" si="264">R69</f>
        <v>188</v>
      </c>
      <c r="S70" s="36">
        <f t="shared" si="264"/>
        <v>49</v>
      </c>
      <c r="T70" s="36">
        <f t="shared" si="264"/>
        <v>14</v>
      </c>
      <c r="U70" s="21">
        <f t="shared" ref="U70:U129" si="265">R70*S70*T70/1000000</f>
        <v>0.128968</v>
      </c>
      <c r="V70" s="21"/>
      <c r="W70" s="21"/>
      <c r="X70" s="21"/>
      <c r="Y70" s="21"/>
      <c r="Z70" s="21"/>
      <c r="AA70" s="21">
        <f t="shared" ref="AA70:AC70" si="266">AA69</f>
        <v>13</v>
      </c>
      <c r="AB70" s="21">
        <f t="shared" si="266"/>
        <v>151</v>
      </c>
      <c r="AC70" s="21">
        <f t="shared" si="266"/>
        <v>151</v>
      </c>
      <c r="AD70" s="21">
        <v>0</v>
      </c>
      <c r="AE70" s="45">
        <f t="shared" si="260"/>
        <v>0</v>
      </c>
      <c r="AF70" s="45"/>
      <c r="AG70" s="53"/>
      <c r="AH70" s="54">
        <f t="shared" ref="AH70:AH129" si="267">AE70+AF70-AG70</f>
        <v>0</v>
      </c>
      <c r="AI70" s="21" t="s">
        <v>179</v>
      </c>
      <c r="AJ70" s="55">
        <f t="shared" si="112"/>
        <v>0</v>
      </c>
      <c r="AK70" s="55">
        <f t="shared" si="113"/>
        <v>0</v>
      </c>
      <c r="AL70" s="21">
        <f t="shared" si="122"/>
        <v>-16</v>
      </c>
      <c r="AM70" s="21" t="str">
        <f t="shared" si="91"/>
        <v>30天内</v>
      </c>
      <c r="AN70" s="56">
        <v>0</v>
      </c>
      <c r="AO70" s="21" t="s">
        <v>186</v>
      </c>
      <c r="AP70" s="61">
        <f t="shared" si="78"/>
        <v>0</v>
      </c>
      <c r="AQ70" s="13"/>
    </row>
    <row r="71" spans="1:43">
      <c r="A71" s="21">
        <v>202508</v>
      </c>
      <c r="B71" s="25">
        <v>45873</v>
      </c>
      <c r="C71" s="21" t="s">
        <v>224</v>
      </c>
      <c r="D71" s="21" t="str">
        <f t="shared" ref="D71:I71" si="268">D70</f>
        <v>M » N2 - 1</v>
      </c>
      <c r="E71" s="21" t="str">
        <f t="shared" si="268"/>
        <v>YCD-EX:HUPPER TEK</v>
      </c>
      <c r="F71" s="21" t="str">
        <f t="shared" si="268"/>
        <v>MI202508130012</v>
      </c>
      <c r="G71" s="21" t="str">
        <f t="shared" si="268"/>
        <v>DE2508031-G7-MIC</v>
      </c>
      <c r="H71" s="26">
        <f t="shared" si="268"/>
        <v>45889</v>
      </c>
      <c r="I71" s="37" t="str">
        <f t="shared" si="268"/>
        <v>B07Q3SQT6C</v>
      </c>
      <c r="J71" s="21"/>
      <c r="K71" s="38" t="str">
        <f t="shared" ref="K71:O71" si="269">K70</f>
        <v>金属储物柜71英寸高</v>
      </c>
      <c r="L71" s="21"/>
      <c r="M71" s="36">
        <f t="shared" si="269"/>
        <v>188</v>
      </c>
      <c r="N71" s="36">
        <f t="shared" si="269"/>
        <v>49</v>
      </c>
      <c r="O71" s="36">
        <f t="shared" si="269"/>
        <v>14</v>
      </c>
      <c r="P71" s="21">
        <f t="shared" si="263"/>
        <v>0.128968</v>
      </c>
      <c r="Q71" s="21"/>
      <c r="R71" s="36">
        <f t="shared" ref="R71:T71" si="270">R70</f>
        <v>188</v>
      </c>
      <c r="S71" s="36">
        <f t="shared" si="270"/>
        <v>49</v>
      </c>
      <c r="T71" s="36">
        <f t="shared" si="270"/>
        <v>14</v>
      </c>
      <c r="U71" s="21">
        <f t="shared" si="265"/>
        <v>0.128968</v>
      </c>
      <c r="V71" s="21"/>
      <c r="W71" s="21"/>
      <c r="X71" s="21"/>
      <c r="Y71" s="21"/>
      <c r="Z71" s="21"/>
      <c r="AA71" s="21">
        <f t="shared" ref="AA71:AC71" si="271">AA70</f>
        <v>13</v>
      </c>
      <c r="AB71" s="21">
        <f t="shared" si="271"/>
        <v>151</v>
      </c>
      <c r="AC71" s="21">
        <f t="shared" si="271"/>
        <v>151</v>
      </c>
      <c r="AD71" s="21">
        <v>0</v>
      </c>
      <c r="AE71" s="45">
        <f t="shared" si="260"/>
        <v>0</v>
      </c>
      <c r="AF71" s="45"/>
      <c r="AG71" s="53"/>
      <c r="AH71" s="54">
        <f t="shared" si="267"/>
        <v>0</v>
      </c>
      <c r="AI71" s="21" t="s">
        <v>179</v>
      </c>
      <c r="AJ71" s="55">
        <f t="shared" si="112"/>
        <v>0</v>
      </c>
      <c r="AK71" s="55">
        <f t="shared" si="113"/>
        <v>0</v>
      </c>
      <c r="AL71" s="21">
        <f t="shared" si="122"/>
        <v>-15</v>
      </c>
      <c r="AM71" s="21" t="str">
        <f t="shared" si="91"/>
        <v>30天内</v>
      </c>
      <c r="AN71" s="56">
        <v>0</v>
      </c>
      <c r="AO71" s="21" t="s">
        <v>186</v>
      </c>
      <c r="AP71" s="61">
        <f t="shared" si="78"/>
        <v>0</v>
      </c>
      <c r="AQ71" s="13"/>
    </row>
    <row r="72" spans="1:43">
      <c r="A72" s="21">
        <v>202508</v>
      </c>
      <c r="B72" s="25">
        <v>45874</v>
      </c>
      <c r="C72" s="21" t="s">
        <v>224</v>
      </c>
      <c r="D72" s="21" t="str">
        <f t="shared" ref="D72:I72" si="272">D71</f>
        <v>M » N2 - 1</v>
      </c>
      <c r="E72" s="21" t="str">
        <f t="shared" si="272"/>
        <v>YCD-EX:HUPPER TEK</v>
      </c>
      <c r="F72" s="21" t="str">
        <f t="shared" si="272"/>
        <v>MI202508130012</v>
      </c>
      <c r="G72" s="21" t="str">
        <f t="shared" si="272"/>
        <v>DE2508031-G7-MIC</v>
      </c>
      <c r="H72" s="26">
        <f t="shared" si="272"/>
        <v>45889</v>
      </c>
      <c r="I72" s="37" t="str">
        <f t="shared" si="272"/>
        <v>B07Q3SQT6C</v>
      </c>
      <c r="J72" s="39"/>
      <c r="K72" s="38" t="str">
        <f t="shared" ref="K72:O72" si="273">K71</f>
        <v>金属储物柜71英寸高</v>
      </c>
      <c r="L72" s="21"/>
      <c r="M72" s="36">
        <f t="shared" si="273"/>
        <v>188</v>
      </c>
      <c r="N72" s="36">
        <f t="shared" si="273"/>
        <v>49</v>
      </c>
      <c r="O72" s="36">
        <f t="shared" si="273"/>
        <v>14</v>
      </c>
      <c r="P72" s="21">
        <f t="shared" si="263"/>
        <v>0.128968</v>
      </c>
      <c r="Q72" s="21"/>
      <c r="R72" s="36">
        <f t="shared" ref="R72:T72" si="274">R71</f>
        <v>188</v>
      </c>
      <c r="S72" s="36">
        <f t="shared" si="274"/>
        <v>49</v>
      </c>
      <c r="T72" s="36">
        <f t="shared" si="274"/>
        <v>14</v>
      </c>
      <c r="U72" s="21">
        <f t="shared" si="265"/>
        <v>0.128968</v>
      </c>
      <c r="V72" s="21"/>
      <c r="W72" s="21"/>
      <c r="X72" s="21"/>
      <c r="Y72" s="21"/>
      <c r="Z72" s="21"/>
      <c r="AA72" s="21">
        <f t="shared" ref="AA72:AC72" si="275">AA71</f>
        <v>13</v>
      </c>
      <c r="AB72" s="21">
        <f t="shared" si="275"/>
        <v>151</v>
      </c>
      <c r="AC72" s="21">
        <f t="shared" si="275"/>
        <v>151</v>
      </c>
      <c r="AD72" s="21">
        <v>0</v>
      </c>
      <c r="AE72" s="45">
        <f t="shared" si="260"/>
        <v>0</v>
      </c>
      <c r="AF72" s="45"/>
      <c r="AG72" s="53"/>
      <c r="AH72" s="54">
        <f t="shared" si="267"/>
        <v>0</v>
      </c>
      <c r="AI72" s="21" t="s">
        <v>179</v>
      </c>
      <c r="AJ72" s="55">
        <f t="shared" si="112"/>
        <v>0</v>
      </c>
      <c r="AK72" s="55">
        <f t="shared" si="113"/>
        <v>0</v>
      </c>
      <c r="AL72" s="21">
        <f t="shared" si="122"/>
        <v>-14</v>
      </c>
      <c r="AM72" s="21" t="str">
        <f t="shared" si="91"/>
        <v>30天内</v>
      </c>
      <c r="AN72" s="56">
        <v>0</v>
      </c>
      <c r="AO72" s="21" t="s">
        <v>186</v>
      </c>
      <c r="AP72" s="61">
        <f t="shared" si="78"/>
        <v>0</v>
      </c>
      <c r="AQ72" s="13"/>
    </row>
    <row r="73" spans="1:43">
      <c r="A73" s="21">
        <v>202508</v>
      </c>
      <c r="B73" s="25">
        <v>45875</v>
      </c>
      <c r="C73" s="21" t="s">
        <v>224</v>
      </c>
      <c r="D73" s="21" t="str">
        <f t="shared" ref="D73:I73" si="276">D72</f>
        <v>M » N2 - 1</v>
      </c>
      <c r="E73" s="21" t="str">
        <f t="shared" si="276"/>
        <v>YCD-EX:HUPPER TEK</v>
      </c>
      <c r="F73" s="21" t="str">
        <f t="shared" si="276"/>
        <v>MI202508130012</v>
      </c>
      <c r="G73" s="21" t="str">
        <f t="shared" si="276"/>
        <v>DE2508031-G7-MIC</v>
      </c>
      <c r="H73" s="26">
        <f t="shared" si="276"/>
        <v>45889</v>
      </c>
      <c r="I73" s="37" t="str">
        <f t="shared" si="276"/>
        <v>B07Q3SQT6C</v>
      </c>
      <c r="J73" s="21"/>
      <c r="K73" s="38" t="str">
        <f t="shared" ref="K73:O73" si="277">K72</f>
        <v>金属储物柜71英寸高</v>
      </c>
      <c r="L73" s="21"/>
      <c r="M73" s="36">
        <f t="shared" si="277"/>
        <v>188</v>
      </c>
      <c r="N73" s="36">
        <f t="shared" si="277"/>
        <v>49</v>
      </c>
      <c r="O73" s="36">
        <f t="shared" si="277"/>
        <v>14</v>
      </c>
      <c r="P73" s="21">
        <f t="shared" si="263"/>
        <v>0.128968</v>
      </c>
      <c r="Q73" s="21"/>
      <c r="R73" s="36">
        <f t="shared" ref="R73:T73" si="278">R72</f>
        <v>188</v>
      </c>
      <c r="S73" s="36">
        <f t="shared" si="278"/>
        <v>49</v>
      </c>
      <c r="T73" s="36">
        <f t="shared" si="278"/>
        <v>14</v>
      </c>
      <c r="U73" s="21">
        <f t="shared" si="265"/>
        <v>0.128968</v>
      </c>
      <c r="V73" s="21"/>
      <c r="W73" s="21"/>
      <c r="X73" s="21"/>
      <c r="Y73" s="21"/>
      <c r="Z73" s="21"/>
      <c r="AA73" s="21">
        <f t="shared" ref="AA73:AC73" si="279">AA72</f>
        <v>13</v>
      </c>
      <c r="AB73" s="21">
        <f t="shared" si="279"/>
        <v>151</v>
      </c>
      <c r="AC73" s="21">
        <f t="shared" si="279"/>
        <v>151</v>
      </c>
      <c r="AD73" s="21">
        <v>0</v>
      </c>
      <c r="AE73" s="45">
        <f t="shared" si="260"/>
        <v>0</v>
      </c>
      <c r="AF73" s="45"/>
      <c r="AG73" s="53"/>
      <c r="AH73" s="54">
        <f t="shared" si="267"/>
        <v>0</v>
      </c>
      <c r="AI73" s="21" t="s">
        <v>179</v>
      </c>
      <c r="AJ73" s="55">
        <f t="shared" si="112"/>
        <v>0</v>
      </c>
      <c r="AK73" s="55">
        <f t="shared" si="113"/>
        <v>0</v>
      </c>
      <c r="AL73" s="21">
        <f t="shared" si="122"/>
        <v>-13</v>
      </c>
      <c r="AM73" s="21" t="str">
        <f t="shared" si="91"/>
        <v>30天内</v>
      </c>
      <c r="AN73" s="56">
        <v>0</v>
      </c>
      <c r="AO73" s="21" t="s">
        <v>186</v>
      </c>
      <c r="AP73" s="61">
        <f t="shared" si="78"/>
        <v>0</v>
      </c>
      <c r="AQ73" s="13"/>
    </row>
    <row r="74" spans="1:43">
      <c r="A74" s="21">
        <v>202508</v>
      </c>
      <c r="B74" s="25">
        <v>45876</v>
      </c>
      <c r="C74" s="21" t="s">
        <v>224</v>
      </c>
      <c r="D74" s="21" t="str">
        <f t="shared" ref="D74:I74" si="280">D73</f>
        <v>M » N2 - 1</v>
      </c>
      <c r="E74" s="21" t="str">
        <f t="shared" si="280"/>
        <v>YCD-EX:HUPPER TEK</v>
      </c>
      <c r="F74" s="21" t="str">
        <f t="shared" si="280"/>
        <v>MI202508130012</v>
      </c>
      <c r="G74" s="21" t="str">
        <f t="shared" si="280"/>
        <v>DE2508031-G7-MIC</v>
      </c>
      <c r="H74" s="26">
        <f t="shared" si="280"/>
        <v>45889</v>
      </c>
      <c r="I74" s="37" t="str">
        <f t="shared" si="280"/>
        <v>B07Q3SQT6C</v>
      </c>
      <c r="J74" s="21"/>
      <c r="K74" s="38" t="str">
        <f t="shared" ref="K74:O74" si="281">K73</f>
        <v>金属储物柜71英寸高</v>
      </c>
      <c r="L74" s="21"/>
      <c r="M74" s="36">
        <f t="shared" si="281"/>
        <v>188</v>
      </c>
      <c r="N74" s="36">
        <f t="shared" si="281"/>
        <v>49</v>
      </c>
      <c r="O74" s="36">
        <f t="shared" si="281"/>
        <v>14</v>
      </c>
      <c r="P74" s="21">
        <f t="shared" si="263"/>
        <v>0.128968</v>
      </c>
      <c r="Q74" s="21"/>
      <c r="R74" s="36">
        <f t="shared" ref="R74:T74" si="282">R73</f>
        <v>188</v>
      </c>
      <c r="S74" s="36">
        <f t="shared" si="282"/>
        <v>49</v>
      </c>
      <c r="T74" s="36">
        <f t="shared" si="282"/>
        <v>14</v>
      </c>
      <c r="U74" s="21">
        <f t="shared" si="265"/>
        <v>0.128968</v>
      </c>
      <c r="V74" s="21"/>
      <c r="W74" s="21"/>
      <c r="X74" s="21"/>
      <c r="Y74" s="21"/>
      <c r="Z74" s="21"/>
      <c r="AA74" s="21">
        <f t="shared" ref="AA74:AC74" si="283">AA73</f>
        <v>13</v>
      </c>
      <c r="AB74" s="21">
        <f t="shared" si="283"/>
        <v>151</v>
      </c>
      <c r="AC74" s="21">
        <f t="shared" si="283"/>
        <v>151</v>
      </c>
      <c r="AD74" s="21">
        <v>0</v>
      </c>
      <c r="AE74" s="45">
        <f t="shared" si="260"/>
        <v>0</v>
      </c>
      <c r="AF74" s="45"/>
      <c r="AG74" s="53"/>
      <c r="AH74" s="54">
        <f t="shared" si="267"/>
        <v>0</v>
      </c>
      <c r="AI74" s="21" t="s">
        <v>179</v>
      </c>
      <c r="AJ74" s="55">
        <f t="shared" si="112"/>
        <v>0</v>
      </c>
      <c r="AK74" s="55">
        <f t="shared" si="113"/>
        <v>0</v>
      </c>
      <c r="AL74" s="21">
        <f t="shared" si="122"/>
        <v>-12</v>
      </c>
      <c r="AM74" s="21" t="str">
        <f t="shared" si="91"/>
        <v>30天内</v>
      </c>
      <c r="AN74" s="56">
        <v>0</v>
      </c>
      <c r="AO74" s="21" t="s">
        <v>186</v>
      </c>
      <c r="AP74" s="61">
        <f t="shared" si="78"/>
        <v>0</v>
      </c>
      <c r="AQ74" s="13"/>
    </row>
    <row r="75" spans="1:43">
      <c r="A75" s="21">
        <v>202508</v>
      </c>
      <c r="B75" s="25">
        <v>45877</v>
      </c>
      <c r="C75" s="21" t="s">
        <v>224</v>
      </c>
      <c r="D75" s="21" t="str">
        <f t="shared" ref="D75:I75" si="284">D74</f>
        <v>M » N2 - 1</v>
      </c>
      <c r="E75" s="21" t="str">
        <f t="shared" si="284"/>
        <v>YCD-EX:HUPPER TEK</v>
      </c>
      <c r="F75" s="21" t="str">
        <f t="shared" si="284"/>
        <v>MI202508130012</v>
      </c>
      <c r="G75" s="21" t="str">
        <f t="shared" si="284"/>
        <v>DE2508031-G7-MIC</v>
      </c>
      <c r="H75" s="26">
        <f t="shared" si="284"/>
        <v>45889</v>
      </c>
      <c r="I75" s="37" t="str">
        <f t="shared" si="284"/>
        <v>B07Q3SQT6C</v>
      </c>
      <c r="J75" s="21"/>
      <c r="K75" s="38" t="str">
        <f t="shared" ref="K75:O75" si="285">K74</f>
        <v>金属储物柜71英寸高</v>
      </c>
      <c r="L75" s="21"/>
      <c r="M75" s="36">
        <f t="shared" si="285"/>
        <v>188</v>
      </c>
      <c r="N75" s="36">
        <f t="shared" si="285"/>
        <v>49</v>
      </c>
      <c r="O75" s="36">
        <f t="shared" si="285"/>
        <v>14</v>
      </c>
      <c r="P75" s="21">
        <f t="shared" si="263"/>
        <v>0.128968</v>
      </c>
      <c r="Q75" s="21"/>
      <c r="R75" s="36">
        <f t="shared" ref="R75:T75" si="286">R74</f>
        <v>188</v>
      </c>
      <c r="S75" s="36">
        <f t="shared" si="286"/>
        <v>49</v>
      </c>
      <c r="T75" s="36">
        <f t="shared" si="286"/>
        <v>14</v>
      </c>
      <c r="U75" s="21">
        <f t="shared" si="265"/>
        <v>0.128968</v>
      </c>
      <c r="V75" s="21"/>
      <c r="W75" s="21"/>
      <c r="X75" s="21"/>
      <c r="Y75" s="21"/>
      <c r="Z75" s="21"/>
      <c r="AA75" s="21">
        <f t="shared" ref="AA75:AC75" si="287">AA74</f>
        <v>13</v>
      </c>
      <c r="AB75" s="21">
        <f t="shared" si="287"/>
        <v>151</v>
      </c>
      <c r="AC75" s="21">
        <f t="shared" si="287"/>
        <v>151</v>
      </c>
      <c r="AD75" s="21">
        <v>0</v>
      </c>
      <c r="AE75" s="45">
        <f t="shared" si="260"/>
        <v>0</v>
      </c>
      <c r="AF75" s="45"/>
      <c r="AG75" s="53"/>
      <c r="AH75" s="54">
        <f t="shared" si="267"/>
        <v>0</v>
      </c>
      <c r="AI75" s="21" t="s">
        <v>179</v>
      </c>
      <c r="AJ75" s="55">
        <f t="shared" si="112"/>
        <v>0</v>
      </c>
      <c r="AK75" s="55">
        <f t="shared" si="113"/>
        <v>0</v>
      </c>
      <c r="AL75" s="21">
        <f t="shared" si="122"/>
        <v>-11</v>
      </c>
      <c r="AM75" s="21" t="str">
        <f t="shared" si="91"/>
        <v>30天内</v>
      </c>
      <c r="AN75" s="56">
        <v>0</v>
      </c>
      <c r="AO75" s="21" t="s">
        <v>186</v>
      </c>
      <c r="AP75" s="61">
        <f t="shared" si="78"/>
        <v>0</v>
      </c>
      <c r="AQ75" s="13"/>
    </row>
    <row r="76" spans="1:43">
      <c r="A76" s="21">
        <v>202508</v>
      </c>
      <c r="B76" s="25">
        <v>45878</v>
      </c>
      <c r="C76" s="21" t="s">
        <v>224</v>
      </c>
      <c r="D76" s="21" t="str">
        <f t="shared" ref="D76:I76" si="288">D75</f>
        <v>M » N2 - 1</v>
      </c>
      <c r="E76" s="21" t="str">
        <f t="shared" si="288"/>
        <v>YCD-EX:HUPPER TEK</v>
      </c>
      <c r="F76" s="21" t="str">
        <f t="shared" si="288"/>
        <v>MI202508130012</v>
      </c>
      <c r="G76" s="21" t="str">
        <f t="shared" si="288"/>
        <v>DE2508031-G7-MIC</v>
      </c>
      <c r="H76" s="26">
        <f t="shared" si="288"/>
        <v>45889</v>
      </c>
      <c r="I76" s="37" t="str">
        <f t="shared" si="288"/>
        <v>B07Q3SQT6C</v>
      </c>
      <c r="J76" s="21"/>
      <c r="K76" s="38" t="str">
        <f t="shared" ref="K76:O76" si="289">K75</f>
        <v>金属储物柜71英寸高</v>
      </c>
      <c r="L76" s="21"/>
      <c r="M76" s="36">
        <f t="shared" si="289"/>
        <v>188</v>
      </c>
      <c r="N76" s="36">
        <f t="shared" si="289"/>
        <v>49</v>
      </c>
      <c r="O76" s="36">
        <f t="shared" si="289"/>
        <v>14</v>
      </c>
      <c r="P76" s="21">
        <f t="shared" si="263"/>
        <v>0.128968</v>
      </c>
      <c r="Q76" s="21"/>
      <c r="R76" s="36">
        <f t="shared" ref="R76:T76" si="290">R75</f>
        <v>188</v>
      </c>
      <c r="S76" s="36">
        <f t="shared" si="290"/>
        <v>49</v>
      </c>
      <c r="T76" s="36">
        <f t="shared" si="290"/>
        <v>14</v>
      </c>
      <c r="U76" s="21">
        <f t="shared" si="265"/>
        <v>0.128968</v>
      </c>
      <c r="V76" s="21"/>
      <c r="W76" s="21"/>
      <c r="X76" s="21"/>
      <c r="Y76" s="21"/>
      <c r="Z76" s="21"/>
      <c r="AA76" s="21">
        <f t="shared" ref="AA76:AC76" si="291">AA75</f>
        <v>13</v>
      </c>
      <c r="AB76" s="21">
        <f t="shared" si="291"/>
        <v>151</v>
      </c>
      <c r="AC76" s="21">
        <f t="shared" si="291"/>
        <v>151</v>
      </c>
      <c r="AD76" s="21">
        <v>0</v>
      </c>
      <c r="AE76" s="45">
        <f t="shared" si="260"/>
        <v>0</v>
      </c>
      <c r="AF76" s="45"/>
      <c r="AG76" s="53"/>
      <c r="AH76" s="54">
        <f t="shared" si="267"/>
        <v>0</v>
      </c>
      <c r="AI76" s="21" t="s">
        <v>179</v>
      </c>
      <c r="AJ76" s="55">
        <f t="shared" si="112"/>
        <v>0</v>
      </c>
      <c r="AK76" s="55">
        <f t="shared" si="113"/>
        <v>0</v>
      </c>
      <c r="AL76" s="21">
        <f t="shared" si="122"/>
        <v>-10</v>
      </c>
      <c r="AM76" s="21" t="str">
        <f t="shared" si="91"/>
        <v>30天内</v>
      </c>
      <c r="AN76" s="56">
        <v>0</v>
      </c>
      <c r="AO76" s="21" t="s">
        <v>186</v>
      </c>
      <c r="AP76" s="61">
        <f t="shared" si="78"/>
        <v>0</v>
      </c>
      <c r="AQ76" s="13"/>
    </row>
    <row r="77" spans="1:43">
      <c r="A77" s="21">
        <v>202508</v>
      </c>
      <c r="B77" s="25">
        <v>45879</v>
      </c>
      <c r="C77" s="21" t="s">
        <v>224</v>
      </c>
      <c r="D77" s="21" t="str">
        <f t="shared" ref="D77:I77" si="292">D76</f>
        <v>M » N2 - 1</v>
      </c>
      <c r="E77" s="21" t="str">
        <f t="shared" si="292"/>
        <v>YCD-EX:HUPPER TEK</v>
      </c>
      <c r="F77" s="21" t="str">
        <f t="shared" si="292"/>
        <v>MI202508130012</v>
      </c>
      <c r="G77" s="21" t="str">
        <f t="shared" si="292"/>
        <v>DE2508031-G7-MIC</v>
      </c>
      <c r="H77" s="26">
        <f t="shared" si="292"/>
        <v>45889</v>
      </c>
      <c r="I77" s="37" t="str">
        <f t="shared" si="292"/>
        <v>B07Q3SQT6C</v>
      </c>
      <c r="J77" s="21"/>
      <c r="K77" s="38" t="str">
        <f t="shared" ref="K77:O77" si="293">K76</f>
        <v>金属储物柜71英寸高</v>
      </c>
      <c r="L77" s="21"/>
      <c r="M77" s="36">
        <f t="shared" si="293"/>
        <v>188</v>
      </c>
      <c r="N77" s="36">
        <f t="shared" si="293"/>
        <v>49</v>
      </c>
      <c r="O77" s="36">
        <f t="shared" si="293"/>
        <v>14</v>
      </c>
      <c r="P77" s="21">
        <f t="shared" si="263"/>
        <v>0.128968</v>
      </c>
      <c r="Q77" s="21"/>
      <c r="R77" s="36">
        <f t="shared" ref="R77:T77" si="294">R76</f>
        <v>188</v>
      </c>
      <c r="S77" s="36">
        <f t="shared" si="294"/>
        <v>49</v>
      </c>
      <c r="T77" s="36">
        <f t="shared" si="294"/>
        <v>14</v>
      </c>
      <c r="U77" s="21">
        <f t="shared" si="265"/>
        <v>0.128968</v>
      </c>
      <c r="V77" s="21"/>
      <c r="W77" s="21"/>
      <c r="X77" s="21"/>
      <c r="Y77" s="21"/>
      <c r="Z77" s="21"/>
      <c r="AA77" s="21">
        <f t="shared" ref="AA77:AC77" si="295">AA76</f>
        <v>13</v>
      </c>
      <c r="AB77" s="21">
        <f t="shared" si="295"/>
        <v>151</v>
      </c>
      <c r="AC77" s="21">
        <f t="shared" si="295"/>
        <v>151</v>
      </c>
      <c r="AD77" s="21">
        <v>0</v>
      </c>
      <c r="AE77" s="45">
        <f t="shared" si="260"/>
        <v>0</v>
      </c>
      <c r="AF77" s="45"/>
      <c r="AG77" s="53"/>
      <c r="AH77" s="54">
        <f t="shared" si="267"/>
        <v>0</v>
      </c>
      <c r="AI77" s="21" t="s">
        <v>179</v>
      </c>
      <c r="AJ77" s="55">
        <f t="shared" si="112"/>
        <v>0</v>
      </c>
      <c r="AK77" s="55">
        <f t="shared" si="113"/>
        <v>0</v>
      </c>
      <c r="AL77" s="21">
        <f t="shared" si="122"/>
        <v>-9</v>
      </c>
      <c r="AM77" s="21" t="str">
        <f t="shared" si="91"/>
        <v>30天内</v>
      </c>
      <c r="AN77" s="56">
        <v>0</v>
      </c>
      <c r="AO77" s="21" t="s">
        <v>186</v>
      </c>
      <c r="AP77" s="61">
        <f t="shared" si="78"/>
        <v>0</v>
      </c>
      <c r="AQ77" s="13"/>
    </row>
    <row r="78" spans="1:43">
      <c r="A78" s="21">
        <v>202508</v>
      </c>
      <c r="B78" s="25">
        <v>45880</v>
      </c>
      <c r="C78" s="21" t="s">
        <v>224</v>
      </c>
      <c r="D78" s="21" t="str">
        <f t="shared" ref="D78:I78" si="296">D77</f>
        <v>M » N2 - 1</v>
      </c>
      <c r="E78" s="21" t="str">
        <f t="shared" si="296"/>
        <v>YCD-EX:HUPPER TEK</v>
      </c>
      <c r="F78" s="21" t="str">
        <f t="shared" si="296"/>
        <v>MI202508130012</v>
      </c>
      <c r="G78" s="21" t="str">
        <f t="shared" si="296"/>
        <v>DE2508031-G7-MIC</v>
      </c>
      <c r="H78" s="26">
        <f t="shared" si="296"/>
        <v>45889</v>
      </c>
      <c r="I78" s="37" t="str">
        <f t="shared" si="296"/>
        <v>B07Q3SQT6C</v>
      </c>
      <c r="J78" s="21"/>
      <c r="K78" s="38" t="str">
        <f t="shared" ref="K78:O78" si="297">K77</f>
        <v>金属储物柜71英寸高</v>
      </c>
      <c r="L78" s="21"/>
      <c r="M78" s="36">
        <f t="shared" si="297"/>
        <v>188</v>
      </c>
      <c r="N78" s="36">
        <f t="shared" si="297"/>
        <v>49</v>
      </c>
      <c r="O78" s="36">
        <f t="shared" si="297"/>
        <v>14</v>
      </c>
      <c r="P78" s="21">
        <f t="shared" si="263"/>
        <v>0.128968</v>
      </c>
      <c r="Q78" s="21"/>
      <c r="R78" s="36">
        <f t="shared" ref="R78:T78" si="298">R77</f>
        <v>188</v>
      </c>
      <c r="S78" s="36">
        <f t="shared" si="298"/>
        <v>49</v>
      </c>
      <c r="T78" s="36">
        <f t="shared" si="298"/>
        <v>14</v>
      </c>
      <c r="U78" s="21">
        <f t="shared" si="265"/>
        <v>0.128968</v>
      </c>
      <c r="V78" s="21"/>
      <c r="W78" s="21"/>
      <c r="X78" s="21"/>
      <c r="Y78" s="21"/>
      <c r="Z78" s="21"/>
      <c r="AA78" s="21">
        <f t="shared" ref="AA78:AC78" si="299">AA77</f>
        <v>13</v>
      </c>
      <c r="AB78" s="21">
        <f t="shared" si="299"/>
        <v>151</v>
      </c>
      <c r="AC78" s="21">
        <f t="shared" si="299"/>
        <v>151</v>
      </c>
      <c r="AD78" s="21">
        <v>0</v>
      </c>
      <c r="AE78" s="45">
        <f t="shared" si="260"/>
        <v>0</v>
      </c>
      <c r="AF78" s="45"/>
      <c r="AG78" s="53"/>
      <c r="AH78" s="54">
        <f t="shared" si="267"/>
        <v>0</v>
      </c>
      <c r="AI78" s="21" t="s">
        <v>179</v>
      </c>
      <c r="AJ78" s="55">
        <f t="shared" si="112"/>
        <v>0</v>
      </c>
      <c r="AK78" s="55">
        <f t="shared" si="113"/>
        <v>0</v>
      </c>
      <c r="AL78" s="21">
        <f t="shared" si="122"/>
        <v>-8</v>
      </c>
      <c r="AM78" s="21" t="str">
        <f t="shared" si="91"/>
        <v>30天内</v>
      </c>
      <c r="AN78" s="56">
        <v>0</v>
      </c>
      <c r="AO78" s="21" t="s">
        <v>186</v>
      </c>
      <c r="AP78" s="61">
        <f t="shared" si="78"/>
        <v>0</v>
      </c>
      <c r="AQ78" s="13"/>
    </row>
    <row r="79" spans="1:43">
      <c r="A79" s="21">
        <v>202508</v>
      </c>
      <c r="B79" s="25">
        <v>45881</v>
      </c>
      <c r="C79" s="21" t="s">
        <v>224</v>
      </c>
      <c r="D79" s="21" t="str">
        <f t="shared" ref="D79:I79" si="300">D78</f>
        <v>M » N2 - 1</v>
      </c>
      <c r="E79" s="21" t="str">
        <f t="shared" si="300"/>
        <v>YCD-EX:HUPPER TEK</v>
      </c>
      <c r="F79" s="21" t="str">
        <f t="shared" si="300"/>
        <v>MI202508130012</v>
      </c>
      <c r="G79" s="21" t="str">
        <f t="shared" si="300"/>
        <v>DE2508031-G7-MIC</v>
      </c>
      <c r="H79" s="26">
        <f t="shared" si="300"/>
        <v>45889</v>
      </c>
      <c r="I79" s="37" t="str">
        <f t="shared" si="300"/>
        <v>B07Q3SQT6C</v>
      </c>
      <c r="J79" s="21"/>
      <c r="K79" s="38" t="str">
        <f t="shared" ref="K79:O79" si="301">K78</f>
        <v>金属储物柜71英寸高</v>
      </c>
      <c r="L79" s="21"/>
      <c r="M79" s="36">
        <f t="shared" si="301"/>
        <v>188</v>
      </c>
      <c r="N79" s="36">
        <f t="shared" si="301"/>
        <v>49</v>
      </c>
      <c r="O79" s="36">
        <f t="shared" si="301"/>
        <v>14</v>
      </c>
      <c r="P79" s="21">
        <f t="shared" si="263"/>
        <v>0.128968</v>
      </c>
      <c r="Q79" s="21"/>
      <c r="R79" s="36">
        <f t="shared" ref="R79:T79" si="302">R78</f>
        <v>188</v>
      </c>
      <c r="S79" s="36">
        <f t="shared" si="302"/>
        <v>49</v>
      </c>
      <c r="T79" s="36">
        <f t="shared" si="302"/>
        <v>14</v>
      </c>
      <c r="U79" s="21">
        <f t="shared" si="265"/>
        <v>0.128968</v>
      </c>
      <c r="V79" s="21"/>
      <c r="W79" s="21"/>
      <c r="X79" s="21"/>
      <c r="Y79" s="21"/>
      <c r="Z79" s="21"/>
      <c r="AA79" s="21">
        <f t="shared" ref="AA79:AC79" si="303">AA78</f>
        <v>13</v>
      </c>
      <c r="AB79" s="21">
        <f t="shared" si="303"/>
        <v>151</v>
      </c>
      <c r="AC79" s="21">
        <f t="shared" si="303"/>
        <v>151</v>
      </c>
      <c r="AD79" s="21">
        <v>0</v>
      </c>
      <c r="AE79" s="45">
        <f t="shared" si="260"/>
        <v>0</v>
      </c>
      <c r="AF79" s="45"/>
      <c r="AG79" s="53"/>
      <c r="AH79" s="54">
        <f t="shared" si="267"/>
        <v>0</v>
      </c>
      <c r="AI79" s="21" t="s">
        <v>179</v>
      </c>
      <c r="AJ79" s="55">
        <f t="shared" si="112"/>
        <v>0</v>
      </c>
      <c r="AK79" s="55">
        <f t="shared" si="113"/>
        <v>0</v>
      </c>
      <c r="AL79" s="21">
        <f t="shared" si="122"/>
        <v>-7</v>
      </c>
      <c r="AM79" s="21" t="str">
        <f t="shared" si="91"/>
        <v>30天内</v>
      </c>
      <c r="AN79" s="56">
        <v>0</v>
      </c>
      <c r="AO79" s="21" t="s">
        <v>186</v>
      </c>
      <c r="AP79" s="61">
        <f t="shared" si="78"/>
        <v>0</v>
      </c>
      <c r="AQ79" s="13"/>
    </row>
    <row r="80" spans="1:43">
      <c r="A80" s="21">
        <v>202508</v>
      </c>
      <c r="B80" s="25">
        <v>45882</v>
      </c>
      <c r="C80" s="21" t="s">
        <v>224</v>
      </c>
      <c r="D80" s="21" t="str">
        <f t="shared" ref="D80:I80" si="304">D79</f>
        <v>M » N2 - 1</v>
      </c>
      <c r="E80" s="21" t="str">
        <f t="shared" si="304"/>
        <v>YCD-EX:HUPPER TEK</v>
      </c>
      <c r="F80" s="21" t="str">
        <f t="shared" si="304"/>
        <v>MI202508130012</v>
      </c>
      <c r="G80" s="21" t="str">
        <f t="shared" si="304"/>
        <v>DE2508031-G7-MIC</v>
      </c>
      <c r="H80" s="26">
        <f t="shared" si="304"/>
        <v>45889</v>
      </c>
      <c r="I80" s="37" t="str">
        <f t="shared" si="304"/>
        <v>B07Q3SQT6C</v>
      </c>
      <c r="J80" s="21"/>
      <c r="K80" s="38" t="str">
        <f t="shared" ref="K80:O80" si="305">K79</f>
        <v>金属储物柜71英寸高</v>
      </c>
      <c r="L80" s="21"/>
      <c r="M80" s="36">
        <f t="shared" si="305"/>
        <v>188</v>
      </c>
      <c r="N80" s="36">
        <f t="shared" si="305"/>
        <v>49</v>
      </c>
      <c r="O80" s="36">
        <f t="shared" si="305"/>
        <v>14</v>
      </c>
      <c r="P80" s="21">
        <f t="shared" si="263"/>
        <v>0.128968</v>
      </c>
      <c r="Q80" s="21"/>
      <c r="R80" s="36">
        <f t="shared" ref="R80:T80" si="306">R79</f>
        <v>188</v>
      </c>
      <c r="S80" s="36">
        <f t="shared" si="306"/>
        <v>49</v>
      </c>
      <c r="T80" s="36">
        <f t="shared" si="306"/>
        <v>14</v>
      </c>
      <c r="U80" s="21">
        <f t="shared" si="265"/>
        <v>0.128968</v>
      </c>
      <c r="V80" s="21"/>
      <c r="W80" s="21"/>
      <c r="X80" s="21"/>
      <c r="Y80" s="21"/>
      <c r="Z80" s="21"/>
      <c r="AA80" s="21">
        <f t="shared" ref="AA80:AC80" si="307">AA79</f>
        <v>13</v>
      </c>
      <c r="AB80" s="21">
        <f t="shared" si="307"/>
        <v>151</v>
      </c>
      <c r="AC80" s="21">
        <f t="shared" si="307"/>
        <v>151</v>
      </c>
      <c r="AD80" s="21">
        <v>0</v>
      </c>
      <c r="AE80" s="45">
        <f t="shared" si="260"/>
        <v>0</v>
      </c>
      <c r="AF80" s="45"/>
      <c r="AG80" s="53"/>
      <c r="AH80" s="54">
        <f t="shared" si="267"/>
        <v>0</v>
      </c>
      <c r="AI80" s="21" t="s">
        <v>179</v>
      </c>
      <c r="AJ80" s="55">
        <f t="shared" si="112"/>
        <v>0</v>
      </c>
      <c r="AK80" s="55">
        <f t="shared" si="113"/>
        <v>0</v>
      </c>
      <c r="AL80" s="21">
        <f t="shared" si="122"/>
        <v>-6</v>
      </c>
      <c r="AM80" s="21" t="str">
        <f t="shared" si="91"/>
        <v>30天内</v>
      </c>
      <c r="AN80" s="56">
        <v>0</v>
      </c>
      <c r="AO80" s="21" t="s">
        <v>186</v>
      </c>
      <c r="AP80" s="61">
        <f t="shared" si="78"/>
        <v>0</v>
      </c>
      <c r="AQ80" s="13"/>
    </row>
    <row r="81" spans="1:43">
      <c r="A81" s="21">
        <v>202508</v>
      </c>
      <c r="B81" s="25">
        <v>45883</v>
      </c>
      <c r="C81" s="21" t="s">
        <v>224</v>
      </c>
      <c r="D81" s="21" t="str">
        <f t="shared" ref="D81:I81" si="308">D80</f>
        <v>M » N2 - 1</v>
      </c>
      <c r="E81" s="21" t="str">
        <f t="shared" si="308"/>
        <v>YCD-EX:HUPPER TEK</v>
      </c>
      <c r="F81" s="21" t="str">
        <f t="shared" si="308"/>
        <v>MI202508130012</v>
      </c>
      <c r="G81" s="21" t="str">
        <f t="shared" si="308"/>
        <v>DE2508031-G7-MIC</v>
      </c>
      <c r="H81" s="26">
        <f t="shared" si="308"/>
        <v>45889</v>
      </c>
      <c r="I81" s="37" t="str">
        <f t="shared" si="308"/>
        <v>B07Q3SQT6C</v>
      </c>
      <c r="J81" s="21"/>
      <c r="K81" s="38" t="str">
        <f t="shared" ref="K81:O81" si="309">K80</f>
        <v>金属储物柜71英寸高</v>
      </c>
      <c r="L81" s="21"/>
      <c r="M81" s="36">
        <f t="shared" si="309"/>
        <v>188</v>
      </c>
      <c r="N81" s="36">
        <f t="shared" si="309"/>
        <v>49</v>
      </c>
      <c r="O81" s="36">
        <f t="shared" si="309"/>
        <v>14</v>
      </c>
      <c r="P81" s="21">
        <f t="shared" si="263"/>
        <v>0.128968</v>
      </c>
      <c r="Q81" s="21"/>
      <c r="R81" s="36">
        <f t="shared" ref="R81:T81" si="310">R80</f>
        <v>188</v>
      </c>
      <c r="S81" s="36">
        <f t="shared" si="310"/>
        <v>49</v>
      </c>
      <c r="T81" s="36">
        <f t="shared" si="310"/>
        <v>14</v>
      </c>
      <c r="U81" s="21">
        <f t="shared" si="265"/>
        <v>0.128968</v>
      </c>
      <c r="V81" s="21"/>
      <c r="W81" s="21"/>
      <c r="X81" s="21"/>
      <c r="Y81" s="21"/>
      <c r="Z81" s="21"/>
      <c r="AA81" s="21">
        <f t="shared" ref="AA81:AC81" si="311">AA80</f>
        <v>13</v>
      </c>
      <c r="AB81" s="21">
        <f t="shared" si="311"/>
        <v>151</v>
      </c>
      <c r="AC81" s="21">
        <f t="shared" si="311"/>
        <v>151</v>
      </c>
      <c r="AD81" s="21">
        <v>0</v>
      </c>
      <c r="AE81" s="45">
        <f t="shared" si="260"/>
        <v>0</v>
      </c>
      <c r="AF81" s="45"/>
      <c r="AG81" s="53"/>
      <c r="AH81" s="54">
        <f t="shared" si="267"/>
        <v>0</v>
      </c>
      <c r="AI81" s="21" t="s">
        <v>179</v>
      </c>
      <c r="AJ81" s="55">
        <f t="shared" si="112"/>
        <v>0</v>
      </c>
      <c r="AK81" s="55">
        <f t="shared" si="113"/>
        <v>0</v>
      </c>
      <c r="AL81" s="21">
        <f t="shared" si="122"/>
        <v>-5</v>
      </c>
      <c r="AM81" s="21" t="str">
        <f t="shared" si="91"/>
        <v>30天内</v>
      </c>
      <c r="AN81" s="56">
        <v>0</v>
      </c>
      <c r="AO81" s="21" t="s">
        <v>186</v>
      </c>
      <c r="AP81" s="61">
        <f t="shared" si="78"/>
        <v>0</v>
      </c>
      <c r="AQ81" s="13"/>
    </row>
    <row r="82" spans="1:43">
      <c r="A82" s="21">
        <v>202508</v>
      </c>
      <c r="B82" s="25">
        <v>45884</v>
      </c>
      <c r="C82" s="21" t="s">
        <v>224</v>
      </c>
      <c r="D82" s="21" t="str">
        <f t="shared" ref="D82:I82" si="312">D81</f>
        <v>M » N2 - 1</v>
      </c>
      <c r="E82" s="21" t="str">
        <f t="shared" si="312"/>
        <v>YCD-EX:HUPPER TEK</v>
      </c>
      <c r="F82" s="21" t="str">
        <f t="shared" si="312"/>
        <v>MI202508130012</v>
      </c>
      <c r="G82" s="21" t="str">
        <f t="shared" si="312"/>
        <v>DE2508031-G7-MIC</v>
      </c>
      <c r="H82" s="26">
        <f t="shared" si="312"/>
        <v>45889</v>
      </c>
      <c r="I82" s="37" t="str">
        <f t="shared" si="312"/>
        <v>B07Q3SQT6C</v>
      </c>
      <c r="J82" s="21"/>
      <c r="K82" s="38" t="str">
        <f t="shared" ref="K82:O82" si="313">K81</f>
        <v>金属储物柜71英寸高</v>
      </c>
      <c r="L82" s="21"/>
      <c r="M82" s="36">
        <f t="shared" si="313"/>
        <v>188</v>
      </c>
      <c r="N82" s="36">
        <f t="shared" si="313"/>
        <v>49</v>
      </c>
      <c r="O82" s="36">
        <f t="shared" si="313"/>
        <v>14</v>
      </c>
      <c r="P82" s="21">
        <f t="shared" si="263"/>
        <v>0.128968</v>
      </c>
      <c r="Q82" s="21"/>
      <c r="R82" s="36">
        <f t="shared" ref="R82:T82" si="314">R81</f>
        <v>188</v>
      </c>
      <c r="S82" s="36">
        <f t="shared" si="314"/>
        <v>49</v>
      </c>
      <c r="T82" s="36">
        <f t="shared" si="314"/>
        <v>14</v>
      </c>
      <c r="U82" s="21">
        <f t="shared" si="265"/>
        <v>0.128968</v>
      </c>
      <c r="V82" s="21"/>
      <c r="W82" s="21"/>
      <c r="X82" s="21"/>
      <c r="Y82" s="21"/>
      <c r="Z82" s="21"/>
      <c r="AA82" s="21">
        <f t="shared" ref="AA82:AC82" si="315">AA81</f>
        <v>13</v>
      </c>
      <c r="AB82" s="21">
        <f t="shared" si="315"/>
        <v>151</v>
      </c>
      <c r="AC82" s="21">
        <f t="shared" si="315"/>
        <v>151</v>
      </c>
      <c r="AD82" s="21">
        <v>0</v>
      </c>
      <c r="AE82" s="45">
        <f t="shared" si="260"/>
        <v>0</v>
      </c>
      <c r="AF82" s="45"/>
      <c r="AG82" s="53"/>
      <c r="AH82" s="54">
        <f t="shared" si="267"/>
        <v>0</v>
      </c>
      <c r="AI82" s="21" t="s">
        <v>179</v>
      </c>
      <c r="AJ82" s="55">
        <f t="shared" si="112"/>
        <v>0</v>
      </c>
      <c r="AK82" s="55">
        <f t="shared" si="113"/>
        <v>0</v>
      </c>
      <c r="AL82" s="21">
        <f t="shared" si="122"/>
        <v>-4</v>
      </c>
      <c r="AM82" s="21" t="str">
        <f t="shared" si="91"/>
        <v>30天内</v>
      </c>
      <c r="AN82" s="56">
        <v>0</v>
      </c>
      <c r="AO82" s="21" t="s">
        <v>186</v>
      </c>
      <c r="AP82" s="61">
        <f t="shared" si="78"/>
        <v>0</v>
      </c>
      <c r="AQ82" s="13"/>
    </row>
    <row r="83" spans="1:43">
      <c r="A83" s="21">
        <v>202508</v>
      </c>
      <c r="B83" s="25">
        <v>45885</v>
      </c>
      <c r="C83" s="21" t="s">
        <v>224</v>
      </c>
      <c r="D83" s="21" t="str">
        <f t="shared" ref="D83:I83" si="316">D82</f>
        <v>M » N2 - 1</v>
      </c>
      <c r="E83" s="21" t="str">
        <f t="shared" si="316"/>
        <v>YCD-EX:HUPPER TEK</v>
      </c>
      <c r="F83" s="21" t="str">
        <f t="shared" si="316"/>
        <v>MI202508130012</v>
      </c>
      <c r="G83" s="21" t="str">
        <f t="shared" si="316"/>
        <v>DE2508031-G7-MIC</v>
      </c>
      <c r="H83" s="26">
        <f t="shared" si="316"/>
        <v>45889</v>
      </c>
      <c r="I83" s="37" t="str">
        <f t="shared" si="316"/>
        <v>B07Q3SQT6C</v>
      </c>
      <c r="J83" s="21"/>
      <c r="K83" s="38" t="str">
        <f t="shared" ref="K83:O83" si="317">K82</f>
        <v>金属储物柜71英寸高</v>
      </c>
      <c r="L83" s="21"/>
      <c r="M83" s="36">
        <f t="shared" si="317"/>
        <v>188</v>
      </c>
      <c r="N83" s="36">
        <f t="shared" si="317"/>
        <v>49</v>
      </c>
      <c r="O83" s="36">
        <f t="shared" si="317"/>
        <v>14</v>
      </c>
      <c r="P83" s="21">
        <f t="shared" si="263"/>
        <v>0.128968</v>
      </c>
      <c r="Q83" s="21"/>
      <c r="R83" s="36">
        <f t="shared" ref="R83:T83" si="318">R82</f>
        <v>188</v>
      </c>
      <c r="S83" s="36">
        <f t="shared" si="318"/>
        <v>49</v>
      </c>
      <c r="T83" s="36">
        <f t="shared" si="318"/>
        <v>14</v>
      </c>
      <c r="U83" s="21">
        <f t="shared" si="265"/>
        <v>0.128968</v>
      </c>
      <c r="V83" s="21"/>
      <c r="W83" s="21"/>
      <c r="X83" s="21"/>
      <c r="Y83" s="21"/>
      <c r="Z83" s="21"/>
      <c r="AA83" s="21">
        <f t="shared" ref="AA83:AC83" si="319">AA82</f>
        <v>13</v>
      </c>
      <c r="AB83" s="21">
        <f t="shared" si="319"/>
        <v>151</v>
      </c>
      <c r="AC83" s="21">
        <f t="shared" si="319"/>
        <v>151</v>
      </c>
      <c r="AD83" s="21">
        <v>0</v>
      </c>
      <c r="AE83" s="45">
        <f t="shared" si="260"/>
        <v>0</v>
      </c>
      <c r="AF83" s="45"/>
      <c r="AG83" s="53"/>
      <c r="AH83" s="54">
        <f t="shared" si="267"/>
        <v>0</v>
      </c>
      <c r="AI83" s="21" t="s">
        <v>179</v>
      </c>
      <c r="AJ83" s="55">
        <f t="shared" si="112"/>
        <v>0</v>
      </c>
      <c r="AK83" s="55">
        <f t="shared" si="113"/>
        <v>0</v>
      </c>
      <c r="AL83" s="21">
        <f t="shared" si="122"/>
        <v>-3</v>
      </c>
      <c r="AM83" s="21" t="str">
        <f t="shared" si="91"/>
        <v>30天内</v>
      </c>
      <c r="AN83" s="56">
        <v>0</v>
      </c>
      <c r="AO83" s="21" t="s">
        <v>186</v>
      </c>
      <c r="AP83" s="61">
        <f t="shared" si="78"/>
        <v>0</v>
      </c>
      <c r="AQ83" s="13"/>
    </row>
    <row r="84" spans="1:43">
      <c r="A84" s="21">
        <v>202508</v>
      </c>
      <c r="B84" s="25">
        <v>45886</v>
      </c>
      <c r="C84" s="21" t="s">
        <v>224</v>
      </c>
      <c r="D84" s="21" t="str">
        <f t="shared" ref="D84:I84" si="320">D83</f>
        <v>M » N2 - 1</v>
      </c>
      <c r="E84" s="21" t="str">
        <f t="shared" si="320"/>
        <v>YCD-EX:HUPPER TEK</v>
      </c>
      <c r="F84" s="21" t="str">
        <f t="shared" si="320"/>
        <v>MI202508130012</v>
      </c>
      <c r="G84" s="21" t="str">
        <f t="shared" si="320"/>
        <v>DE2508031-G7-MIC</v>
      </c>
      <c r="H84" s="26">
        <f t="shared" si="320"/>
        <v>45889</v>
      </c>
      <c r="I84" s="37" t="str">
        <f t="shared" si="320"/>
        <v>B07Q3SQT6C</v>
      </c>
      <c r="J84" s="21"/>
      <c r="K84" s="38" t="str">
        <f t="shared" ref="K84:O84" si="321">K83</f>
        <v>金属储物柜71英寸高</v>
      </c>
      <c r="L84" s="21"/>
      <c r="M84" s="36">
        <f t="shared" si="321"/>
        <v>188</v>
      </c>
      <c r="N84" s="36">
        <f t="shared" si="321"/>
        <v>49</v>
      </c>
      <c r="O84" s="36">
        <f t="shared" si="321"/>
        <v>14</v>
      </c>
      <c r="P84" s="21">
        <f t="shared" si="263"/>
        <v>0.128968</v>
      </c>
      <c r="Q84" s="21"/>
      <c r="R84" s="36">
        <f t="shared" ref="R84:T84" si="322">R83</f>
        <v>188</v>
      </c>
      <c r="S84" s="36">
        <f t="shared" si="322"/>
        <v>49</v>
      </c>
      <c r="T84" s="36">
        <f t="shared" si="322"/>
        <v>14</v>
      </c>
      <c r="U84" s="21">
        <f t="shared" si="265"/>
        <v>0.128968</v>
      </c>
      <c r="V84" s="21"/>
      <c r="W84" s="21"/>
      <c r="X84" s="21"/>
      <c r="Y84" s="21"/>
      <c r="Z84" s="21"/>
      <c r="AA84" s="21">
        <f t="shared" ref="AA84:AC84" si="323">AA83</f>
        <v>13</v>
      </c>
      <c r="AB84" s="21">
        <f t="shared" si="323"/>
        <v>151</v>
      </c>
      <c r="AC84" s="21">
        <f t="shared" si="323"/>
        <v>151</v>
      </c>
      <c r="AD84" s="21">
        <v>0</v>
      </c>
      <c r="AE84" s="45">
        <f t="shared" si="260"/>
        <v>0</v>
      </c>
      <c r="AF84" s="45"/>
      <c r="AG84" s="53"/>
      <c r="AH84" s="54">
        <f t="shared" si="267"/>
        <v>0</v>
      </c>
      <c r="AI84" s="21" t="s">
        <v>179</v>
      </c>
      <c r="AJ84" s="55">
        <f t="shared" si="112"/>
        <v>0</v>
      </c>
      <c r="AK84" s="55">
        <f t="shared" si="113"/>
        <v>0</v>
      </c>
      <c r="AL84" s="21">
        <f t="shared" si="122"/>
        <v>-2</v>
      </c>
      <c r="AM84" s="21" t="str">
        <f t="shared" si="91"/>
        <v>30天内</v>
      </c>
      <c r="AN84" s="56">
        <v>0</v>
      </c>
      <c r="AO84" s="21" t="s">
        <v>186</v>
      </c>
      <c r="AP84" s="61">
        <f t="shared" si="78"/>
        <v>0</v>
      </c>
      <c r="AQ84" s="13"/>
    </row>
    <row r="85" spans="1:43">
      <c r="A85" s="21">
        <v>202508</v>
      </c>
      <c r="B85" s="25">
        <v>45887</v>
      </c>
      <c r="C85" s="21" t="s">
        <v>224</v>
      </c>
      <c r="D85" s="21" t="str">
        <f t="shared" ref="D85:I85" si="324">D84</f>
        <v>M » N2 - 1</v>
      </c>
      <c r="E85" s="21" t="str">
        <f t="shared" si="324"/>
        <v>YCD-EX:HUPPER TEK</v>
      </c>
      <c r="F85" s="21" t="str">
        <f t="shared" si="324"/>
        <v>MI202508130012</v>
      </c>
      <c r="G85" s="21" t="str">
        <f t="shared" si="324"/>
        <v>DE2508031-G7-MIC</v>
      </c>
      <c r="H85" s="26">
        <f t="shared" si="324"/>
        <v>45889</v>
      </c>
      <c r="I85" s="37" t="str">
        <f t="shared" si="324"/>
        <v>B07Q3SQT6C</v>
      </c>
      <c r="J85" s="21"/>
      <c r="K85" s="38" t="str">
        <f t="shared" ref="K85:O85" si="325">K84</f>
        <v>金属储物柜71英寸高</v>
      </c>
      <c r="L85" s="21"/>
      <c r="M85" s="36">
        <f t="shared" si="325"/>
        <v>188</v>
      </c>
      <c r="N85" s="36">
        <f t="shared" si="325"/>
        <v>49</v>
      </c>
      <c r="O85" s="36">
        <f t="shared" si="325"/>
        <v>14</v>
      </c>
      <c r="P85" s="21">
        <f t="shared" si="263"/>
        <v>0.128968</v>
      </c>
      <c r="Q85" s="21"/>
      <c r="R85" s="36">
        <f t="shared" ref="R85:T85" si="326">R84</f>
        <v>188</v>
      </c>
      <c r="S85" s="36">
        <f t="shared" si="326"/>
        <v>49</v>
      </c>
      <c r="T85" s="36">
        <f t="shared" si="326"/>
        <v>14</v>
      </c>
      <c r="U85" s="21">
        <f t="shared" si="265"/>
        <v>0.128968</v>
      </c>
      <c r="V85" s="21"/>
      <c r="W85" s="21"/>
      <c r="X85" s="21"/>
      <c r="Y85" s="21"/>
      <c r="Z85" s="21"/>
      <c r="AA85" s="21">
        <f t="shared" ref="AA85:AC85" si="327">AA84</f>
        <v>13</v>
      </c>
      <c r="AB85" s="21">
        <f t="shared" si="327"/>
        <v>151</v>
      </c>
      <c r="AC85" s="21">
        <f t="shared" si="327"/>
        <v>151</v>
      </c>
      <c r="AD85" s="21">
        <v>0</v>
      </c>
      <c r="AE85" s="45">
        <f t="shared" si="260"/>
        <v>0</v>
      </c>
      <c r="AF85" s="45"/>
      <c r="AG85" s="53"/>
      <c r="AH85" s="54">
        <f t="shared" si="267"/>
        <v>0</v>
      </c>
      <c r="AI85" s="21" t="s">
        <v>179</v>
      </c>
      <c r="AJ85" s="55">
        <f t="shared" si="112"/>
        <v>0</v>
      </c>
      <c r="AK85" s="55">
        <f t="shared" si="113"/>
        <v>0</v>
      </c>
      <c r="AL85" s="21">
        <f t="shared" si="122"/>
        <v>-1</v>
      </c>
      <c r="AM85" s="21" t="str">
        <f t="shared" si="91"/>
        <v>30天内</v>
      </c>
      <c r="AN85" s="56">
        <v>0</v>
      </c>
      <c r="AO85" s="21" t="s">
        <v>186</v>
      </c>
      <c r="AP85" s="61">
        <f t="shared" si="78"/>
        <v>0</v>
      </c>
      <c r="AQ85" s="13"/>
    </row>
    <row r="86" spans="1:43">
      <c r="A86" s="21">
        <v>202508</v>
      </c>
      <c r="B86" s="25">
        <v>45888</v>
      </c>
      <c r="C86" s="21" t="s">
        <v>224</v>
      </c>
      <c r="D86" s="21" t="str">
        <f t="shared" ref="D86:I86" si="328">D85</f>
        <v>M » N2 - 1</v>
      </c>
      <c r="E86" s="21" t="str">
        <f t="shared" si="328"/>
        <v>YCD-EX:HUPPER TEK</v>
      </c>
      <c r="F86" s="21" t="str">
        <f t="shared" si="328"/>
        <v>MI202508130012</v>
      </c>
      <c r="G86" s="21" t="str">
        <f t="shared" si="328"/>
        <v>DE2508031-G7-MIC</v>
      </c>
      <c r="H86" s="26">
        <f t="shared" si="328"/>
        <v>45889</v>
      </c>
      <c r="I86" s="37" t="str">
        <f t="shared" si="328"/>
        <v>B07Q3SQT6C</v>
      </c>
      <c r="J86" s="21"/>
      <c r="K86" s="38" t="str">
        <f t="shared" ref="K86:O86" si="329">K85</f>
        <v>金属储物柜71英寸高</v>
      </c>
      <c r="L86" s="21"/>
      <c r="M86" s="36">
        <f t="shared" si="329"/>
        <v>188</v>
      </c>
      <c r="N86" s="36">
        <f t="shared" si="329"/>
        <v>49</v>
      </c>
      <c r="O86" s="36">
        <f t="shared" si="329"/>
        <v>14</v>
      </c>
      <c r="P86" s="21">
        <f t="shared" si="263"/>
        <v>0.128968</v>
      </c>
      <c r="Q86" s="21"/>
      <c r="R86" s="36">
        <f t="shared" ref="R86:T86" si="330">R85</f>
        <v>188</v>
      </c>
      <c r="S86" s="36">
        <f t="shared" si="330"/>
        <v>49</v>
      </c>
      <c r="T86" s="36">
        <f t="shared" si="330"/>
        <v>14</v>
      </c>
      <c r="U86" s="21">
        <f t="shared" si="265"/>
        <v>0.128968</v>
      </c>
      <c r="V86" s="21"/>
      <c r="W86" s="21"/>
      <c r="X86" s="21"/>
      <c r="Y86" s="21"/>
      <c r="Z86" s="21"/>
      <c r="AA86" s="21">
        <f t="shared" ref="AA86:AC86" si="331">AA85</f>
        <v>13</v>
      </c>
      <c r="AB86" s="21">
        <f t="shared" si="331"/>
        <v>151</v>
      </c>
      <c r="AC86" s="21">
        <f t="shared" si="331"/>
        <v>151</v>
      </c>
      <c r="AD86" s="21">
        <v>0</v>
      </c>
      <c r="AE86" s="45">
        <f t="shared" si="260"/>
        <v>0</v>
      </c>
      <c r="AF86" s="45"/>
      <c r="AG86" s="53"/>
      <c r="AH86" s="54">
        <f t="shared" si="267"/>
        <v>0</v>
      </c>
      <c r="AI86" s="21" t="s">
        <v>179</v>
      </c>
      <c r="AJ86" s="55">
        <f t="shared" si="112"/>
        <v>0</v>
      </c>
      <c r="AK86" s="55">
        <f t="shared" si="113"/>
        <v>0</v>
      </c>
      <c r="AL86" s="21">
        <f t="shared" si="122"/>
        <v>0</v>
      </c>
      <c r="AM86" s="21" t="str">
        <f t="shared" si="91"/>
        <v>30天内</v>
      </c>
      <c r="AN86" s="56">
        <v>0</v>
      </c>
      <c r="AO86" s="21" t="s">
        <v>186</v>
      </c>
      <c r="AP86" s="61">
        <f t="shared" si="78"/>
        <v>0</v>
      </c>
      <c r="AQ86" s="13"/>
    </row>
    <row r="87" spans="1:43">
      <c r="A87" s="21">
        <v>202508</v>
      </c>
      <c r="B87" s="25">
        <v>45889</v>
      </c>
      <c r="C87" s="21" t="s">
        <v>224</v>
      </c>
      <c r="D87" s="21" t="str">
        <f t="shared" ref="D87:I87" si="332">D86</f>
        <v>M » N2 - 1</v>
      </c>
      <c r="E87" s="21" t="str">
        <f t="shared" si="332"/>
        <v>YCD-EX:HUPPER TEK</v>
      </c>
      <c r="F87" s="21" t="str">
        <f t="shared" si="332"/>
        <v>MI202508130012</v>
      </c>
      <c r="G87" s="21" t="str">
        <f t="shared" si="332"/>
        <v>DE2508031-G7-MIC</v>
      </c>
      <c r="H87" s="26">
        <f t="shared" si="332"/>
        <v>45889</v>
      </c>
      <c r="I87" s="37" t="str">
        <f t="shared" si="332"/>
        <v>B07Q3SQT6C</v>
      </c>
      <c r="J87" s="21"/>
      <c r="K87" s="38" t="str">
        <f t="shared" ref="K87:O87" si="333">K86</f>
        <v>金属储物柜71英寸高</v>
      </c>
      <c r="L87" s="21"/>
      <c r="M87" s="36">
        <f t="shared" si="333"/>
        <v>188</v>
      </c>
      <c r="N87" s="36">
        <f t="shared" si="333"/>
        <v>49</v>
      </c>
      <c r="O87" s="36">
        <f t="shared" si="333"/>
        <v>14</v>
      </c>
      <c r="P87" s="21">
        <f t="shared" si="263"/>
        <v>0.128968</v>
      </c>
      <c r="Q87" s="21"/>
      <c r="R87" s="36">
        <f t="shared" ref="R87:T87" si="334">R86</f>
        <v>188</v>
      </c>
      <c r="S87" s="36">
        <f t="shared" si="334"/>
        <v>49</v>
      </c>
      <c r="T87" s="36">
        <f t="shared" si="334"/>
        <v>14</v>
      </c>
      <c r="U87" s="21">
        <f t="shared" si="265"/>
        <v>0.128968</v>
      </c>
      <c r="V87" s="21"/>
      <c r="W87" s="21"/>
      <c r="X87" s="21"/>
      <c r="Y87" s="21"/>
      <c r="Z87" s="21"/>
      <c r="AA87" s="21">
        <f t="shared" ref="AA87:AC87" si="335">AA86</f>
        <v>13</v>
      </c>
      <c r="AB87" s="21">
        <f t="shared" si="335"/>
        <v>151</v>
      </c>
      <c r="AC87" s="21">
        <f t="shared" si="335"/>
        <v>151</v>
      </c>
      <c r="AD87" s="21">
        <v>0</v>
      </c>
      <c r="AE87" s="45">
        <f t="shared" si="260"/>
        <v>0</v>
      </c>
      <c r="AF87" s="45">
        <v>151</v>
      </c>
      <c r="AG87" s="53"/>
      <c r="AH87" s="54">
        <f t="shared" si="267"/>
        <v>151</v>
      </c>
      <c r="AI87" s="21" t="s">
        <v>179</v>
      </c>
      <c r="AJ87" s="55">
        <f t="shared" si="112"/>
        <v>19.474168</v>
      </c>
      <c r="AK87" s="55">
        <f t="shared" si="113"/>
        <v>19.474168</v>
      </c>
      <c r="AL87" s="21">
        <f t="shared" si="122"/>
        <v>1</v>
      </c>
      <c r="AM87" s="21" t="str">
        <f t="shared" si="91"/>
        <v>30天内</v>
      </c>
      <c r="AN87" s="56">
        <v>0</v>
      </c>
      <c r="AO87" s="21" t="s">
        <v>186</v>
      </c>
      <c r="AP87" s="61">
        <f t="shared" ref="AP87:AP129" si="336">AK87*AN87</f>
        <v>0</v>
      </c>
      <c r="AQ87" s="13"/>
    </row>
    <row r="88" spans="1:43">
      <c r="A88" s="21">
        <v>202508</v>
      </c>
      <c r="B88" s="25">
        <v>45890</v>
      </c>
      <c r="C88" s="21" t="s">
        <v>224</v>
      </c>
      <c r="D88" s="21" t="str">
        <f t="shared" ref="D88:I88" si="337">D87</f>
        <v>M » N2 - 1</v>
      </c>
      <c r="E88" s="21" t="str">
        <f t="shared" si="337"/>
        <v>YCD-EX:HUPPER TEK</v>
      </c>
      <c r="F88" s="21" t="str">
        <f t="shared" si="337"/>
        <v>MI202508130012</v>
      </c>
      <c r="G88" s="21" t="str">
        <f t="shared" si="337"/>
        <v>DE2508031-G7-MIC</v>
      </c>
      <c r="H88" s="26">
        <f t="shared" si="337"/>
        <v>45889</v>
      </c>
      <c r="I88" s="37" t="str">
        <f t="shared" si="337"/>
        <v>B07Q3SQT6C</v>
      </c>
      <c r="J88" s="21"/>
      <c r="K88" s="38" t="str">
        <f t="shared" ref="K88:O88" si="338">K87</f>
        <v>金属储物柜71英寸高</v>
      </c>
      <c r="L88" s="21"/>
      <c r="M88" s="36">
        <f t="shared" si="338"/>
        <v>188</v>
      </c>
      <c r="N88" s="36">
        <f t="shared" si="338"/>
        <v>49</v>
      </c>
      <c r="O88" s="36">
        <f t="shared" si="338"/>
        <v>14</v>
      </c>
      <c r="P88" s="21">
        <f t="shared" si="263"/>
        <v>0.128968</v>
      </c>
      <c r="Q88" s="21"/>
      <c r="R88" s="36">
        <f t="shared" ref="R88:T88" si="339">R87</f>
        <v>188</v>
      </c>
      <c r="S88" s="36">
        <f t="shared" si="339"/>
        <v>49</v>
      </c>
      <c r="T88" s="36">
        <f t="shared" si="339"/>
        <v>14</v>
      </c>
      <c r="U88" s="21">
        <f t="shared" si="265"/>
        <v>0.128968</v>
      </c>
      <c r="V88" s="21"/>
      <c r="W88" s="21"/>
      <c r="X88" s="21"/>
      <c r="Y88" s="21"/>
      <c r="Z88" s="21"/>
      <c r="AA88" s="21">
        <f t="shared" ref="AA88:AC88" si="340">AA87</f>
        <v>13</v>
      </c>
      <c r="AB88" s="21">
        <f t="shared" si="340"/>
        <v>151</v>
      </c>
      <c r="AC88" s="21">
        <f t="shared" si="340"/>
        <v>151</v>
      </c>
      <c r="AD88" s="21">
        <v>0</v>
      </c>
      <c r="AE88" s="45">
        <f t="shared" si="260"/>
        <v>151</v>
      </c>
      <c r="AF88" s="45"/>
      <c r="AG88" s="53"/>
      <c r="AH88" s="54">
        <f t="shared" si="267"/>
        <v>151</v>
      </c>
      <c r="AI88" s="21" t="s">
        <v>179</v>
      </c>
      <c r="AJ88" s="55">
        <f t="shared" si="112"/>
        <v>19.474168</v>
      </c>
      <c r="AK88" s="55">
        <f t="shared" si="113"/>
        <v>19.474168</v>
      </c>
      <c r="AL88" s="21">
        <f t="shared" si="122"/>
        <v>2</v>
      </c>
      <c r="AM88" s="21" t="str">
        <f t="shared" si="91"/>
        <v>30天内</v>
      </c>
      <c r="AN88" s="56">
        <v>0</v>
      </c>
      <c r="AO88" s="21" t="s">
        <v>186</v>
      </c>
      <c r="AP88" s="61">
        <f t="shared" si="336"/>
        <v>0</v>
      </c>
      <c r="AQ88" s="13"/>
    </row>
    <row r="89" spans="1:43">
      <c r="A89" s="21">
        <v>202508</v>
      </c>
      <c r="B89" s="25">
        <v>45891</v>
      </c>
      <c r="C89" s="21" t="s">
        <v>224</v>
      </c>
      <c r="D89" s="21" t="str">
        <f t="shared" ref="D89:I89" si="341">D88</f>
        <v>M » N2 - 1</v>
      </c>
      <c r="E89" s="21" t="str">
        <f t="shared" si="341"/>
        <v>YCD-EX:HUPPER TEK</v>
      </c>
      <c r="F89" s="21" t="str">
        <f t="shared" si="341"/>
        <v>MI202508130012</v>
      </c>
      <c r="G89" s="21" t="str">
        <f t="shared" si="341"/>
        <v>DE2508031-G7-MIC</v>
      </c>
      <c r="H89" s="26">
        <f t="shared" si="341"/>
        <v>45889</v>
      </c>
      <c r="I89" s="37" t="str">
        <f t="shared" si="341"/>
        <v>B07Q3SQT6C</v>
      </c>
      <c r="J89" s="21"/>
      <c r="K89" s="38" t="str">
        <f t="shared" ref="K89:O89" si="342">K88</f>
        <v>金属储物柜71英寸高</v>
      </c>
      <c r="L89" s="21"/>
      <c r="M89" s="36">
        <f t="shared" si="342"/>
        <v>188</v>
      </c>
      <c r="N89" s="36">
        <f t="shared" si="342"/>
        <v>49</v>
      </c>
      <c r="O89" s="36">
        <f t="shared" si="342"/>
        <v>14</v>
      </c>
      <c r="P89" s="21">
        <f t="shared" si="263"/>
        <v>0.128968</v>
      </c>
      <c r="Q89" s="21"/>
      <c r="R89" s="36">
        <f t="shared" ref="R89:T89" si="343">R88</f>
        <v>188</v>
      </c>
      <c r="S89" s="36">
        <f t="shared" si="343"/>
        <v>49</v>
      </c>
      <c r="T89" s="36">
        <f t="shared" si="343"/>
        <v>14</v>
      </c>
      <c r="U89" s="21">
        <f t="shared" si="265"/>
        <v>0.128968</v>
      </c>
      <c r="V89" s="21"/>
      <c r="W89" s="21"/>
      <c r="X89" s="21"/>
      <c r="Y89" s="21"/>
      <c r="Z89" s="21"/>
      <c r="AA89" s="21">
        <f t="shared" ref="AA89:AC89" si="344">AA88</f>
        <v>13</v>
      </c>
      <c r="AB89" s="21">
        <f t="shared" si="344"/>
        <v>151</v>
      </c>
      <c r="AC89" s="21">
        <f t="shared" si="344"/>
        <v>151</v>
      </c>
      <c r="AD89" s="21">
        <v>0</v>
      </c>
      <c r="AE89" s="45">
        <f t="shared" si="260"/>
        <v>151</v>
      </c>
      <c r="AF89" s="45"/>
      <c r="AG89" s="53"/>
      <c r="AH89" s="54">
        <f t="shared" si="267"/>
        <v>151</v>
      </c>
      <c r="AI89" s="21" t="s">
        <v>179</v>
      </c>
      <c r="AJ89" s="55">
        <f t="shared" si="112"/>
        <v>19.474168</v>
      </c>
      <c r="AK89" s="55">
        <f t="shared" si="113"/>
        <v>19.474168</v>
      </c>
      <c r="AL89" s="21">
        <f t="shared" si="122"/>
        <v>3</v>
      </c>
      <c r="AM89" s="21" t="str">
        <f t="shared" si="91"/>
        <v>30天内</v>
      </c>
      <c r="AN89" s="56">
        <v>0</v>
      </c>
      <c r="AO89" s="21" t="s">
        <v>186</v>
      </c>
      <c r="AP89" s="61">
        <f t="shared" si="336"/>
        <v>0</v>
      </c>
      <c r="AQ89" s="13"/>
    </row>
    <row r="90" spans="1:43">
      <c r="A90" s="21">
        <v>202508</v>
      </c>
      <c r="B90" s="25">
        <v>45892</v>
      </c>
      <c r="C90" s="21" t="s">
        <v>224</v>
      </c>
      <c r="D90" s="21" t="str">
        <f t="shared" ref="D90:I90" si="345">D89</f>
        <v>M » N2 - 1</v>
      </c>
      <c r="E90" s="21" t="str">
        <f t="shared" si="345"/>
        <v>YCD-EX:HUPPER TEK</v>
      </c>
      <c r="F90" s="21" t="str">
        <f t="shared" si="345"/>
        <v>MI202508130012</v>
      </c>
      <c r="G90" s="21" t="str">
        <f t="shared" si="345"/>
        <v>DE2508031-G7-MIC</v>
      </c>
      <c r="H90" s="26">
        <f t="shared" si="345"/>
        <v>45889</v>
      </c>
      <c r="I90" s="37" t="str">
        <f t="shared" si="345"/>
        <v>B07Q3SQT6C</v>
      </c>
      <c r="J90" s="21"/>
      <c r="K90" s="38" t="str">
        <f t="shared" ref="K90:O90" si="346">K89</f>
        <v>金属储物柜71英寸高</v>
      </c>
      <c r="L90" s="21"/>
      <c r="M90" s="36">
        <f t="shared" si="346"/>
        <v>188</v>
      </c>
      <c r="N90" s="36">
        <f t="shared" si="346"/>
        <v>49</v>
      </c>
      <c r="O90" s="36">
        <f t="shared" si="346"/>
        <v>14</v>
      </c>
      <c r="P90" s="21">
        <f t="shared" si="263"/>
        <v>0.128968</v>
      </c>
      <c r="Q90" s="21"/>
      <c r="R90" s="36">
        <f t="shared" ref="R90:T90" si="347">R89</f>
        <v>188</v>
      </c>
      <c r="S90" s="36">
        <f t="shared" si="347"/>
        <v>49</v>
      </c>
      <c r="T90" s="36">
        <f t="shared" si="347"/>
        <v>14</v>
      </c>
      <c r="U90" s="21">
        <f t="shared" si="265"/>
        <v>0.128968</v>
      </c>
      <c r="V90" s="21"/>
      <c r="W90" s="21"/>
      <c r="X90" s="21"/>
      <c r="Y90" s="21"/>
      <c r="Z90" s="21"/>
      <c r="AA90" s="21">
        <f t="shared" ref="AA90:AC90" si="348">AA89</f>
        <v>13</v>
      </c>
      <c r="AB90" s="21">
        <f t="shared" si="348"/>
        <v>151</v>
      </c>
      <c r="AC90" s="21">
        <f t="shared" si="348"/>
        <v>151</v>
      </c>
      <c r="AD90" s="21">
        <v>0</v>
      </c>
      <c r="AE90" s="45">
        <f t="shared" si="260"/>
        <v>151</v>
      </c>
      <c r="AF90" s="45"/>
      <c r="AG90" s="53"/>
      <c r="AH90" s="54">
        <f t="shared" si="267"/>
        <v>151</v>
      </c>
      <c r="AI90" s="21" t="s">
        <v>179</v>
      </c>
      <c r="AJ90" s="55">
        <f t="shared" si="112"/>
        <v>19.474168</v>
      </c>
      <c r="AK90" s="55">
        <f t="shared" si="113"/>
        <v>19.474168</v>
      </c>
      <c r="AL90" s="21">
        <f t="shared" si="122"/>
        <v>4</v>
      </c>
      <c r="AM90" s="21" t="str">
        <f t="shared" ref="AM90:AM129" si="349">IF(AL90&lt;=30,"30天内",IF(AL90&lt;=90,"31-90天","91天以上"))</f>
        <v>30天内</v>
      </c>
      <c r="AN90" s="56">
        <v>0</v>
      </c>
      <c r="AO90" s="21" t="s">
        <v>186</v>
      </c>
      <c r="AP90" s="61">
        <f t="shared" si="336"/>
        <v>0</v>
      </c>
      <c r="AQ90" s="13"/>
    </row>
    <row r="91" spans="1:43">
      <c r="A91" s="21">
        <v>202508</v>
      </c>
      <c r="B91" s="25">
        <v>45893</v>
      </c>
      <c r="C91" s="21" t="s">
        <v>224</v>
      </c>
      <c r="D91" s="21" t="str">
        <f t="shared" ref="D91:I91" si="350">D90</f>
        <v>M » N2 - 1</v>
      </c>
      <c r="E91" s="21" t="str">
        <f t="shared" si="350"/>
        <v>YCD-EX:HUPPER TEK</v>
      </c>
      <c r="F91" s="21" t="str">
        <f t="shared" si="350"/>
        <v>MI202508130012</v>
      </c>
      <c r="G91" s="21" t="str">
        <f t="shared" si="350"/>
        <v>DE2508031-G7-MIC</v>
      </c>
      <c r="H91" s="26">
        <f t="shared" si="350"/>
        <v>45889</v>
      </c>
      <c r="I91" s="37" t="str">
        <f t="shared" si="350"/>
        <v>B07Q3SQT6C</v>
      </c>
      <c r="J91" s="21"/>
      <c r="K91" s="38" t="str">
        <f t="shared" ref="K91:O91" si="351">K90</f>
        <v>金属储物柜71英寸高</v>
      </c>
      <c r="L91" s="21"/>
      <c r="M91" s="36">
        <f t="shared" si="351"/>
        <v>188</v>
      </c>
      <c r="N91" s="36">
        <f t="shared" si="351"/>
        <v>49</v>
      </c>
      <c r="O91" s="36">
        <f t="shared" si="351"/>
        <v>14</v>
      </c>
      <c r="P91" s="21">
        <f t="shared" si="263"/>
        <v>0.128968</v>
      </c>
      <c r="Q91" s="21"/>
      <c r="R91" s="36">
        <f t="shared" ref="R91:T91" si="352">R90</f>
        <v>188</v>
      </c>
      <c r="S91" s="36">
        <f t="shared" si="352"/>
        <v>49</v>
      </c>
      <c r="T91" s="36">
        <f t="shared" si="352"/>
        <v>14</v>
      </c>
      <c r="U91" s="21">
        <f t="shared" si="265"/>
        <v>0.128968</v>
      </c>
      <c r="V91" s="21"/>
      <c r="W91" s="21"/>
      <c r="X91" s="21"/>
      <c r="Y91" s="21"/>
      <c r="Z91" s="21"/>
      <c r="AA91" s="21">
        <f t="shared" ref="AA91:AC91" si="353">AA90</f>
        <v>13</v>
      </c>
      <c r="AB91" s="21">
        <f t="shared" si="353"/>
        <v>151</v>
      </c>
      <c r="AC91" s="21">
        <f t="shared" si="353"/>
        <v>151</v>
      </c>
      <c r="AD91" s="21">
        <v>0</v>
      </c>
      <c r="AE91" s="45">
        <f t="shared" si="260"/>
        <v>151</v>
      </c>
      <c r="AF91" s="45"/>
      <c r="AG91" s="53"/>
      <c r="AH91" s="54">
        <f t="shared" si="267"/>
        <v>151</v>
      </c>
      <c r="AI91" s="21" t="s">
        <v>179</v>
      </c>
      <c r="AJ91" s="55">
        <f t="shared" si="112"/>
        <v>19.474168</v>
      </c>
      <c r="AK91" s="55">
        <f t="shared" si="113"/>
        <v>19.474168</v>
      </c>
      <c r="AL91" s="21">
        <f t="shared" si="122"/>
        <v>5</v>
      </c>
      <c r="AM91" s="21" t="str">
        <f t="shared" si="349"/>
        <v>30天内</v>
      </c>
      <c r="AN91" s="56">
        <v>0</v>
      </c>
      <c r="AO91" s="21" t="s">
        <v>186</v>
      </c>
      <c r="AP91" s="61">
        <f t="shared" si="336"/>
        <v>0</v>
      </c>
      <c r="AQ91" s="13"/>
    </row>
    <row r="92" spans="1:43">
      <c r="A92" s="21">
        <v>202508</v>
      </c>
      <c r="B92" s="25">
        <v>45894</v>
      </c>
      <c r="C92" s="21" t="s">
        <v>224</v>
      </c>
      <c r="D92" s="21" t="str">
        <f t="shared" ref="D92:I92" si="354">D91</f>
        <v>M » N2 - 1</v>
      </c>
      <c r="E92" s="21" t="str">
        <f t="shared" si="354"/>
        <v>YCD-EX:HUPPER TEK</v>
      </c>
      <c r="F92" s="21" t="str">
        <f t="shared" si="354"/>
        <v>MI202508130012</v>
      </c>
      <c r="G92" s="21" t="str">
        <f t="shared" si="354"/>
        <v>DE2508031-G7-MIC</v>
      </c>
      <c r="H92" s="26">
        <f t="shared" si="354"/>
        <v>45889</v>
      </c>
      <c r="I92" s="37" t="str">
        <f t="shared" si="354"/>
        <v>B07Q3SQT6C</v>
      </c>
      <c r="J92" s="21"/>
      <c r="K92" s="38" t="str">
        <f t="shared" ref="K92:O92" si="355">K91</f>
        <v>金属储物柜71英寸高</v>
      </c>
      <c r="L92" s="21"/>
      <c r="M92" s="36">
        <f t="shared" si="355"/>
        <v>188</v>
      </c>
      <c r="N92" s="36">
        <f t="shared" si="355"/>
        <v>49</v>
      </c>
      <c r="O92" s="36">
        <f t="shared" si="355"/>
        <v>14</v>
      </c>
      <c r="P92" s="21">
        <f t="shared" si="263"/>
        <v>0.128968</v>
      </c>
      <c r="Q92" s="21"/>
      <c r="R92" s="36">
        <f t="shared" ref="R92:T92" si="356">R91</f>
        <v>188</v>
      </c>
      <c r="S92" s="36">
        <f t="shared" si="356"/>
        <v>49</v>
      </c>
      <c r="T92" s="36">
        <f t="shared" si="356"/>
        <v>14</v>
      </c>
      <c r="U92" s="21">
        <f t="shared" si="265"/>
        <v>0.128968</v>
      </c>
      <c r="V92" s="21"/>
      <c r="W92" s="21"/>
      <c r="X92" s="21"/>
      <c r="Y92" s="21"/>
      <c r="Z92" s="21"/>
      <c r="AA92" s="21">
        <f t="shared" ref="AA92:AC92" si="357">AA91</f>
        <v>13</v>
      </c>
      <c r="AB92" s="21">
        <f t="shared" si="357"/>
        <v>151</v>
      </c>
      <c r="AC92" s="21">
        <f t="shared" si="357"/>
        <v>151</v>
      </c>
      <c r="AD92" s="21">
        <v>0</v>
      </c>
      <c r="AE92" s="45">
        <f t="shared" si="260"/>
        <v>151</v>
      </c>
      <c r="AF92" s="46"/>
      <c r="AG92" s="53"/>
      <c r="AH92" s="54">
        <f t="shared" si="267"/>
        <v>151</v>
      </c>
      <c r="AI92" s="21" t="s">
        <v>179</v>
      </c>
      <c r="AJ92" s="55">
        <f t="shared" si="112"/>
        <v>19.474168</v>
      </c>
      <c r="AK92" s="55">
        <f t="shared" si="113"/>
        <v>19.474168</v>
      </c>
      <c r="AL92" s="21">
        <f t="shared" si="122"/>
        <v>6</v>
      </c>
      <c r="AM92" s="21" t="str">
        <f t="shared" si="349"/>
        <v>30天内</v>
      </c>
      <c r="AN92" s="56">
        <v>0</v>
      </c>
      <c r="AO92" s="21" t="s">
        <v>186</v>
      </c>
      <c r="AP92" s="61">
        <f t="shared" si="336"/>
        <v>0</v>
      </c>
      <c r="AQ92" s="13"/>
    </row>
    <row r="93" spans="1:43">
      <c r="A93" s="21">
        <v>202508</v>
      </c>
      <c r="B93" s="25">
        <v>45895</v>
      </c>
      <c r="C93" s="21" t="s">
        <v>224</v>
      </c>
      <c r="D93" s="21" t="str">
        <f t="shared" ref="D93:I93" si="358">D92</f>
        <v>M » N2 - 1</v>
      </c>
      <c r="E93" s="21" t="str">
        <f t="shared" si="358"/>
        <v>YCD-EX:HUPPER TEK</v>
      </c>
      <c r="F93" s="21" t="str">
        <f t="shared" si="358"/>
        <v>MI202508130012</v>
      </c>
      <c r="G93" s="21" t="str">
        <f t="shared" si="358"/>
        <v>DE2508031-G7-MIC</v>
      </c>
      <c r="H93" s="26">
        <f t="shared" si="358"/>
        <v>45889</v>
      </c>
      <c r="I93" s="37" t="str">
        <f t="shared" si="358"/>
        <v>B07Q3SQT6C</v>
      </c>
      <c r="J93" s="21"/>
      <c r="K93" s="38" t="str">
        <f t="shared" ref="K93:O93" si="359">K92</f>
        <v>金属储物柜71英寸高</v>
      </c>
      <c r="L93" s="21"/>
      <c r="M93" s="36">
        <f t="shared" si="359"/>
        <v>188</v>
      </c>
      <c r="N93" s="36">
        <f t="shared" si="359"/>
        <v>49</v>
      </c>
      <c r="O93" s="36">
        <f t="shared" si="359"/>
        <v>14</v>
      </c>
      <c r="P93" s="21">
        <f t="shared" si="263"/>
        <v>0.128968</v>
      </c>
      <c r="Q93" s="21"/>
      <c r="R93" s="36">
        <f t="shared" ref="R93:T93" si="360">R92</f>
        <v>188</v>
      </c>
      <c r="S93" s="36">
        <f t="shared" si="360"/>
        <v>49</v>
      </c>
      <c r="T93" s="36">
        <f t="shared" si="360"/>
        <v>14</v>
      </c>
      <c r="U93" s="21">
        <f t="shared" si="265"/>
        <v>0.128968</v>
      </c>
      <c r="V93" s="21"/>
      <c r="W93" s="21"/>
      <c r="X93" s="21"/>
      <c r="Y93" s="21"/>
      <c r="Z93" s="21"/>
      <c r="AA93" s="21">
        <f t="shared" ref="AA93:AC93" si="361">AA92</f>
        <v>13</v>
      </c>
      <c r="AB93" s="21">
        <f t="shared" si="361"/>
        <v>151</v>
      </c>
      <c r="AC93" s="21">
        <f t="shared" si="361"/>
        <v>151</v>
      </c>
      <c r="AD93" s="21">
        <v>0</v>
      </c>
      <c r="AE93" s="45">
        <f t="shared" si="260"/>
        <v>151</v>
      </c>
      <c r="AF93" s="46"/>
      <c r="AG93" s="53"/>
      <c r="AH93" s="54">
        <f t="shared" si="267"/>
        <v>151</v>
      </c>
      <c r="AI93" s="21" t="s">
        <v>179</v>
      </c>
      <c r="AJ93" s="55">
        <f t="shared" si="112"/>
        <v>19.474168</v>
      </c>
      <c r="AK93" s="55">
        <f t="shared" si="113"/>
        <v>19.474168</v>
      </c>
      <c r="AL93" s="21">
        <f t="shared" si="122"/>
        <v>7</v>
      </c>
      <c r="AM93" s="21" t="str">
        <f t="shared" si="349"/>
        <v>30天内</v>
      </c>
      <c r="AN93" s="56">
        <v>0</v>
      </c>
      <c r="AO93" s="21" t="s">
        <v>186</v>
      </c>
      <c r="AP93" s="61">
        <f t="shared" si="336"/>
        <v>0</v>
      </c>
      <c r="AQ93" s="13"/>
    </row>
    <row r="94" spans="1:43">
      <c r="A94" s="21">
        <v>202508</v>
      </c>
      <c r="B94" s="25">
        <v>45896</v>
      </c>
      <c r="C94" s="21" t="s">
        <v>224</v>
      </c>
      <c r="D94" s="21" t="str">
        <f t="shared" ref="D94:I94" si="362">D93</f>
        <v>M » N2 - 1</v>
      </c>
      <c r="E94" s="21" t="str">
        <f t="shared" si="362"/>
        <v>YCD-EX:HUPPER TEK</v>
      </c>
      <c r="F94" s="21" t="str">
        <f t="shared" si="362"/>
        <v>MI202508130012</v>
      </c>
      <c r="G94" s="21" t="str">
        <f t="shared" si="362"/>
        <v>DE2508031-G7-MIC</v>
      </c>
      <c r="H94" s="26">
        <f t="shared" si="362"/>
        <v>45889</v>
      </c>
      <c r="I94" s="37" t="str">
        <f t="shared" si="362"/>
        <v>B07Q3SQT6C</v>
      </c>
      <c r="J94" s="21"/>
      <c r="K94" s="38" t="str">
        <f t="shared" ref="K94:O94" si="363">K93</f>
        <v>金属储物柜71英寸高</v>
      </c>
      <c r="L94" s="21"/>
      <c r="M94" s="36">
        <f t="shared" si="363"/>
        <v>188</v>
      </c>
      <c r="N94" s="36">
        <f t="shared" si="363"/>
        <v>49</v>
      </c>
      <c r="O94" s="36">
        <f t="shared" si="363"/>
        <v>14</v>
      </c>
      <c r="P94" s="21">
        <f t="shared" si="263"/>
        <v>0.128968</v>
      </c>
      <c r="Q94" s="21"/>
      <c r="R94" s="36">
        <f t="shared" ref="R94:T94" si="364">R93</f>
        <v>188</v>
      </c>
      <c r="S94" s="36">
        <f t="shared" si="364"/>
        <v>49</v>
      </c>
      <c r="T94" s="36">
        <f t="shared" si="364"/>
        <v>14</v>
      </c>
      <c r="U94" s="21">
        <f t="shared" si="265"/>
        <v>0.128968</v>
      </c>
      <c r="V94" s="21"/>
      <c r="W94" s="21"/>
      <c r="X94" s="21"/>
      <c r="Y94" s="21"/>
      <c r="Z94" s="21"/>
      <c r="AA94" s="21">
        <f t="shared" ref="AA94:AC94" si="365">AA93</f>
        <v>13</v>
      </c>
      <c r="AB94" s="21">
        <f t="shared" si="365"/>
        <v>151</v>
      </c>
      <c r="AC94" s="21">
        <f t="shared" si="365"/>
        <v>151</v>
      </c>
      <c r="AD94" s="21">
        <v>0</v>
      </c>
      <c r="AE94" s="45">
        <f t="shared" si="260"/>
        <v>151</v>
      </c>
      <c r="AF94" s="45"/>
      <c r="AG94" s="53"/>
      <c r="AH94" s="54">
        <f t="shared" si="267"/>
        <v>151</v>
      </c>
      <c r="AI94" s="21" t="s">
        <v>179</v>
      </c>
      <c r="AJ94" s="55">
        <f t="shared" si="112"/>
        <v>19.474168</v>
      </c>
      <c r="AK94" s="55">
        <f t="shared" si="113"/>
        <v>19.474168</v>
      </c>
      <c r="AL94" s="21">
        <f t="shared" si="122"/>
        <v>8</v>
      </c>
      <c r="AM94" s="21" t="str">
        <f t="shared" si="349"/>
        <v>30天内</v>
      </c>
      <c r="AN94" s="56">
        <v>0</v>
      </c>
      <c r="AO94" s="21" t="s">
        <v>186</v>
      </c>
      <c r="AP94" s="61">
        <f t="shared" si="336"/>
        <v>0</v>
      </c>
      <c r="AQ94" s="13"/>
    </row>
    <row r="95" spans="1:43">
      <c r="A95" s="21">
        <v>202508</v>
      </c>
      <c r="B95" s="25">
        <v>45897</v>
      </c>
      <c r="C95" s="21" t="s">
        <v>224</v>
      </c>
      <c r="D95" s="21" t="str">
        <f t="shared" ref="D95:I95" si="366">D94</f>
        <v>M » N2 - 1</v>
      </c>
      <c r="E95" s="21" t="str">
        <f t="shared" si="366"/>
        <v>YCD-EX:HUPPER TEK</v>
      </c>
      <c r="F95" s="21" t="str">
        <f t="shared" si="366"/>
        <v>MI202508130012</v>
      </c>
      <c r="G95" s="21" t="str">
        <f t="shared" si="366"/>
        <v>DE2508031-G7-MIC</v>
      </c>
      <c r="H95" s="26">
        <f t="shared" si="366"/>
        <v>45889</v>
      </c>
      <c r="I95" s="37" t="str">
        <f t="shared" si="366"/>
        <v>B07Q3SQT6C</v>
      </c>
      <c r="J95" s="21"/>
      <c r="K95" s="38" t="str">
        <f t="shared" ref="K95:O95" si="367">K94</f>
        <v>金属储物柜71英寸高</v>
      </c>
      <c r="L95" s="21"/>
      <c r="M95" s="36">
        <f t="shared" si="367"/>
        <v>188</v>
      </c>
      <c r="N95" s="36">
        <f t="shared" si="367"/>
        <v>49</v>
      </c>
      <c r="O95" s="36">
        <f t="shared" si="367"/>
        <v>14</v>
      </c>
      <c r="P95" s="21">
        <f t="shared" si="263"/>
        <v>0.128968</v>
      </c>
      <c r="Q95" s="21"/>
      <c r="R95" s="36">
        <f t="shared" ref="R95:T95" si="368">R94</f>
        <v>188</v>
      </c>
      <c r="S95" s="36">
        <f t="shared" si="368"/>
        <v>49</v>
      </c>
      <c r="T95" s="36">
        <f t="shared" si="368"/>
        <v>14</v>
      </c>
      <c r="U95" s="21">
        <f t="shared" si="265"/>
        <v>0.128968</v>
      </c>
      <c r="V95" s="21"/>
      <c r="W95" s="21"/>
      <c r="X95" s="21"/>
      <c r="Y95" s="21"/>
      <c r="Z95" s="21"/>
      <c r="AA95" s="21">
        <f t="shared" ref="AA95:AC95" si="369">AA94</f>
        <v>13</v>
      </c>
      <c r="AB95" s="21">
        <f t="shared" si="369"/>
        <v>151</v>
      </c>
      <c r="AC95" s="21">
        <f t="shared" si="369"/>
        <v>151</v>
      </c>
      <c r="AD95" s="21">
        <v>0</v>
      </c>
      <c r="AE95" s="45">
        <f t="shared" si="260"/>
        <v>151</v>
      </c>
      <c r="AF95" s="45"/>
      <c r="AG95" s="53"/>
      <c r="AH95" s="54">
        <f t="shared" si="267"/>
        <v>151</v>
      </c>
      <c r="AI95" s="21" t="s">
        <v>179</v>
      </c>
      <c r="AJ95" s="55">
        <f t="shared" ref="AJ95:AJ129" si="370">AH95*P95</f>
        <v>19.474168</v>
      </c>
      <c r="AK95" s="55">
        <f t="shared" ref="AK95:AK129" si="371">AJ95</f>
        <v>19.474168</v>
      </c>
      <c r="AL95" s="21">
        <f t="shared" si="122"/>
        <v>9</v>
      </c>
      <c r="AM95" s="21" t="str">
        <f t="shared" si="349"/>
        <v>30天内</v>
      </c>
      <c r="AN95" s="56">
        <v>0</v>
      </c>
      <c r="AO95" s="21" t="s">
        <v>186</v>
      </c>
      <c r="AP95" s="61">
        <f t="shared" si="336"/>
        <v>0</v>
      </c>
      <c r="AQ95" s="13"/>
    </row>
    <row r="96" spans="1:43">
      <c r="A96" s="21">
        <v>202508</v>
      </c>
      <c r="B96" s="25">
        <v>45898</v>
      </c>
      <c r="C96" s="21" t="s">
        <v>224</v>
      </c>
      <c r="D96" s="21" t="str">
        <f t="shared" ref="D96:I96" si="372">D95</f>
        <v>M » N2 - 1</v>
      </c>
      <c r="E96" s="21" t="str">
        <f t="shared" si="372"/>
        <v>YCD-EX:HUPPER TEK</v>
      </c>
      <c r="F96" s="21" t="str">
        <f t="shared" si="372"/>
        <v>MI202508130012</v>
      </c>
      <c r="G96" s="21" t="str">
        <f t="shared" si="372"/>
        <v>DE2508031-G7-MIC</v>
      </c>
      <c r="H96" s="26">
        <f t="shared" si="372"/>
        <v>45889</v>
      </c>
      <c r="I96" s="37" t="str">
        <f t="shared" si="372"/>
        <v>B07Q3SQT6C</v>
      </c>
      <c r="J96" s="21"/>
      <c r="K96" s="38" t="str">
        <f t="shared" ref="K96:O96" si="373">K95</f>
        <v>金属储物柜71英寸高</v>
      </c>
      <c r="L96" s="21"/>
      <c r="M96" s="36">
        <f t="shared" si="373"/>
        <v>188</v>
      </c>
      <c r="N96" s="36">
        <f t="shared" si="373"/>
        <v>49</v>
      </c>
      <c r="O96" s="36">
        <f t="shared" si="373"/>
        <v>14</v>
      </c>
      <c r="P96" s="21">
        <f t="shared" si="263"/>
        <v>0.128968</v>
      </c>
      <c r="Q96" s="21"/>
      <c r="R96" s="36">
        <f t="shared" ref="R96:T96" si="374">R95</f>
        <v>188</v>
      </c>
      <c r="S96" s="36">
        <f t="shared" si="374"/>
        <v>49</v>
      </c>
      <c r="T96" s="36">
        <f t="shared" si="374"/>
        <v>14</v>
      </c>
      <c r="U96" s="21">
        <f t="shared" si="265"/>
        <v>0.128968</v>
      </c>
      <c r="V96" s="21"/>
      <c r="W96" s="21"/>
      <c r="X96" s="21"/>
      <c r="Y96" s="21"/>
      <c r="Z96" s="21"/>
      <c r="AA96" s="21">
        <f t="shared" ref="AA96:AC96" si="375">AA95</f>
        <v>13</v>
      </c>
      <c r="AB96" s="21">
        <f t="shared" si="375"/>
        <v>151</v>
      </c>
      <c r="AC96" s="21">
        <f t="shared" si="375"/>
        <v>151</v>
      </c>
      <c r="AD96" s="21">
        <v>0</v>
      </c>
      <c r="AE96" s="45">
        <f t="shared" si="260"/>
        <v>151</v>
      </c>
      <c r="AF96" s="45"/>
      <c r="AG96" s="53"/>
      <c r="AH96" s="54">
        <f t="shared" si="267"/>
        <v>151</v>
      </c>
      <c r="AI96" s="21" t="s">
        <v>179</v>
      </c>
      <c r="AJ96" s="55">
        <f t="shared" si="370"/>
        <v>19.474168</v>
      </c>
      <c r="AK96" s="55">
        <f t="shared" si="371"/>
        <v>19.474168</v>
      </c>
      <c r="AL96" s="21">
        <f t="shared" si="122"/>
        <v>10</v>
      </c>
      <c r="AM96" s="21" t="str">
        <f t="shared" si="349"/>
        <v>30天内</v>
      </c>
      <c r="AN96" s="56">
        <v>0</v>
      </c>
      <c r="AO96" s="21" t="s">
        <v>186</v>
      </c>
      <c r="AP96" s="61">
        <f t="shared" si="336"/>
        <v>0</v>
      </c>
      <c r="AQ96" s="13"/>
    </row>
    <row r="97" spans="1:43">
      <c r="A97" s="21">
        <v>202508</v>
      </c>
      <c r="B97" s="25">
        <v>45899</v>
      </c>
      <c r="C97" s="21" t="s">
        <v>224</v>
      </c>
      <c r="D97" s="21" t="str">
        <f t="shared" ref="D97:I97" si="376">D96</f>
        <v>M » N2 - 1</v>
      </c>
      <c r="E97" s="21" t="str">
        <f t="shared" si="376"/>
        <v>YCD-EX:HUPPER TEK</v>
      </c>
      <c r="F97" s="21" t="str">
        <f t="shared" si="376"/>
        <v>MI202508130012</v>
      </c>
      <c r="G97" s="21" t="str">
        <f t="shared" si="376"/>
        <v>DE2508031-G7-MIC</v>
      </c>
      <c r="H97" s="26">
        <f t="shared" si="376"/>
        <v>45889</v>
      </c>
      <c r="I97" s="37" t="str">
        <f t="shared" si="376"/>
        <v>B07Q3SQT6C</v>
      </c>
      <c r="J97" s="21"/>
      <c r="K97" s="38" t="str">
        <f t="shared" ref="K97:O97" si="377">K96</f>
        <v>金属储物柜71英寸高</v>
      </c>
      <c r="L97" s="21"/>
      <c r="M97" s="36">
        <f t="shared" si="377"/>
        <v>188</v>
      </c>
      <c r="N97" s="36">
        <f t="shared" si="377"/>
        <v>49</v>
      </c>
      <c r="O97" s="36">
        <f t="shared" si="377"/>
        <v>14</v>
      </c>
      <c r="P97" s="21">
        <f t="shared" si="263"/>
        <v>0.128968</v>
      </c>
      <c r="Q97" s="21"/>
      <c r="R97" s="36">
        <f t="shared" ref="R97:T97" si="378">R96</f>
        <v>188</v>
      </c>
      <c r="S97" s="36">
        <f t="shared" si="378"/>
        <v>49</v>
      </c>
      <c r="T97" s="36">
        <f t="shared" si="378"/>
        <v>14</v>
      </c>
      <c r="U97" s="21">
        <f t="shared" si="265"/>
        <v>0.128968</v>
      </c>
      <c r="V97" s="21"/>
      <c r="W97" s="21"/>
      <c r="X97" s="21"/>
      <c r="Y97" s="21"/>
      <c r="Z97" s="21"/>
      <c r="AA97" s="21">
        <f t="shared" ref="AA97:AC97" si="379">AA96</f>
        <v>13</v>
      </c>
      <c r="AB97" s="21">
        <f t="shared" si="379"/>
        <v>151</v>
      </c>
      <c r="AC97" s="21">
        <f t="shared" si="379"/>
        <v>151</v>
      </c>
      <c r="AD97" s="21">
        <v>0</v>
      </c>
      <c r="AE97" s="45">
        <f t="shared" si="260"/>
        <v>151</v>
      </c>
      <c r="AF97" s="45"/>
      <c r="AG97" s="53"/>
      <c r="AH97" s="54">
        <f t="shared" si="267"/>
        <v>151</v>
      </c>
      <c r="AI97" s="21" t="s">
        <v>179</v>
      </c>
      <c r="AJ97" s="55">
        <f t="shared" si="370"/>
        <v>19.474168</v>
      </c>
      <c r="AK97" s="55">
        <f t="shared" si="371"/>
        <v>19.474168</v>
      </c>
      <c r="AL97" s="21">
        <f t="shared" ref="AL97:AL129" si="380">B97-H97+1</f>
        <v>11</v>
      </c>
      <c r="AM97" s="21" t="str">
        <f t="shared" si="349"/>
        <v>30天内</v>
      </c>
      <c r="AN97" s="56">
        <v>0</v>
      </c>
      <c r="AO97" s="21" t="s">
        <v>186</v>
      </c>
      <c r="AP97" s="61">
        <f t="shared" si="336"/>
        <v>0</v>
      </c>
      <c r="AQ97" s="13"/>
    </row>
    <row r="98" spans="1:43">
      <c r="A98" s="21">
        <v>202508</v>
      </c>
      <c r="B98" s="25">
        <v>45900</v>
      </c>
      <c r="C98" s="21" t="s">
        <v>224</v>
      </c>
      <c r="D98" s="21" t="str">
        <f t="shared" ref="D98:I98" si="381">D97</f>
        <v>M » N2 - 1</v>
      </c>
      <c r="E98" s="21" t="str">
        <f t="shared" si="381"/>
        <v>YCD-EX:HUPPER TEK</v>
      </c>
      <c r="F98" s="21" t="str">
        <f t="shared" si="381"/>
        <v>MI202508130012</v>
      </c>
      <c r="G98" s="21" t="str">
        <f t="shared" si="381"/>
        <v>DE2508031-G7-MIC</v>
      </c>
      <c r="H98" s="26">
        <f t="shared" si="381"/>
        <v>45889</v>
      </c>
      <c r="I98" s="37" t="str">
        <f t="shared" si="381"/>
        <v>B07Q3SQT6C</v>
      </c>
      <c r="J98" s="21"/>
      <c r="K98" s="38" t="str">
        <f t="shared" ref="K98:O98" si="382">K97</f>
        <v>金属储物柜71英寸高</v>
      </c>
      <c r="L98" s="21"/>
      <c r="M98" s="36">
        <f t="shared" si="382"/>
        <v>188</v>
      </c>
      <c r="N98" s="36">
        <f t="shared" si="382"/>
        <v>49</v>
      </c>
      <c r="O98" s="36">
        <f t="shared" si="382"/>
        <v>14</v>
      </c>
      <c r="P98" s="21">
        <f t="shared" si="263"/>
        <v>0.128968</v>
      </c>
      <c r="Q98" s="21"/>
      <c r="R98" s="36">
        <f t="shared" ref="R98:T98" si="383">R97</f>
        <v>188</v>
      </c>
      <c r="S98" s="36">
        <f t="shared" si="383"/>
        <v>49</v>
      </c>
      <c r="T98" s="36">
        <f t="shared" si="383"/>
        <v>14</v>
      </c>
      <c r="U98" s="21">
        <f t="shared" si="265"/>
        <v>0.128968</v>
      </c>
      <c r="V98" s="21"/>
      <c r="W98" s="21"/>
      <c r="X98" s="21"/>
      <c r="Y98" s="21"/>
      <c r="Z98" s="21"/>
      <c r="AA98" s="21">
        <f t="shared" ref="AA98:AC98" si="384">AA97</f>
        <v>13</v>
      </c>
      <c r="AB98" s="21">
        <f t="shared" si="384"/>
        <v>151</v>
      </c>
      <c r="AC98" s="21">
        <f t="shared" si="384"/>
        <v>151</v>
      </c>
      <c r="AD98" s="21">
        <v>0</v>
      </c>
      <c r="AE98" s="45">
        <f t="shared" si="260"/>
        <v>151</v>
      </c>
      <c r="AF98" s="46"/>
      <c r="AG98" s="53"/>
      <c r="AH98" s="57">
        <f t="shared" si="267"/>
        <v>151</v>
      </c>
      <c r="AI98" s="21" t="s">
        <v>179</v>
      </c>
      <c r="AJ98" s="55">
        <f t="shared" si="370"/>
        <v>19.474168</v>
      </c>
      <c r="AK98" s="55">
        <f t="shared" si="371"/>
        <v>19.474168</v>
      </c>
      <c r="AL98" s="21">
        <f t="shared" si="380"/>
        <v>12</v>
      </c>
      <c r="AM98" s="21" t="str">
        <f t="shared" si="349"/>
        <v>30天内</v>
      </c>
      <c r="AN98" s="56">
        <v>0</v>
      </c>
      <c r="AO98" s="21" t="s">
        <v>186</v>
      </c>
      <c r="AP98" s="61">
        <f t="shared" si="336"/>
        <v>0</v>
      </c>
      <c r="AQ98" s="13"/>
    </row>
    <row r="99" spans="1:43">
      <c r="A99" s="21">
        <v>202508</v>
      </c>
      <c r="B99" s="22">
        <v>45870</v>
      </c>
      <c r="C99" s="21" t="s">
        <v>224</v>
      </c>
      <c r="D99" s="23" t="s">
        <v>62</v>
      </c>
      <c r="E99" s="23" t="s">
        <v>58</v>
      </c>
      <c r="F99" s="23" t="s">
        <v>54</v>
      </c>
      <c r="G99" s="23" t="s">
        <v>59</v>
      </c>
      <c r="H99" s="24">
        <v>45889</v>
      </c>
      <c r="I99" s="23" t="s">
        <v>65</v>
      </c>
      <c r="J99" s="23"/>
      <c r="K99" s="35" t="str">
        <f>VLOOKUP(I99,物品明细!A:B,2,0)</f>
        <v>德国联邦快递金属储物柜</v>
      </c>
      <c r="L99" s="21"/>
      <c r="M99" s="36">
        <f>VLOOKUP(I99,物品明细!A:E,5,0)</f>
        <v>188</v>
      </c>
      <c r="N99" s="36">
        <f>VLOOKUP(I99,物品明细!A:F,6,0)</f>
        <v>49</v>
      </c>
      <c r="O99" s="36">
        <f>VLOOKUP(I99,物品明细!A:G,7,0)</f>
        <v>14</v>
      </c>
      <c r="P99" s="21">
        <f t="shared" si="263"/>
        <v>0.128968</v>
      </c>
      <c r="Q99" s="21"/>
      <c r="R99" s="36">
        <f>VLOOKUP(I99,物品明细!A:E,5,0)</f>
        <v>188</v>
      </c>
      <c r="S99" s="36">
        <f>VLOOKUP(I99,物品明细!A:F,6,0)</f>
        <v>49</v>
      </c>
      <c r="T99" s="36">
        <f>VLOOKUP(I99,物品明细!A:G,7,0)</f>
        <v>14</v>
      </c>
      <c r="U99" s="21">
        <f t="shared" si="265"/>
        <v>0.128968</v>
      </c>
      <c r="V99" s="21"/>
      <c r="W99" s="21"/>
      <c r="X99" s="21"/>
      <c r="Y99" s="21"/>
      <c r="Z99" s="21"/>
      <c r="AA99" s="43">
        <v>10</v>
      </c>
      <c r="AB99" s="43">
        <v>117</v>
      </c>
      <c r="AC99" s="43">
        <v>117</v>
      </c>
      <c r="AD99" s="21">
        <v>0</v>
      </c>
      <c r="AE99" s="44">
        <v>0</v>
      </c>
      <c r="AF99" s="45"/>
      <c r="AG99" s="53"/>
      <c r="AH99" s="54">
        <f t="shared" si="267"/>
        <v>0</v>
      </c>
      <c r="AI99" s="21" t="s">
        <v>179</v>
      </c>
      <c r="AJ99" s="55">
        <f t="shared" si="370"/>
        <v>0</v>
      </c>
      <c r="AK99" s="55">
        <f t="shared" si="371"/>
        <v>0</v>
      </c>
      <c r="AL99" s="21">
        <f t="shared" si="380"/>
        <v>-18</v>
      </c>
      <c r="AM99" s="21" t="str">
        <f t="shared" si="349"/>
        <v>30天内</v>
      </c>
      <c r="AN99" s="56">
        <v>0</v>
      </c>
      <c r="AO99" s="21" t="s">
        <v>186</v>
      </c>
      <c r="AP99" s="61">
        <f t="shared" si="336"/>
        <v>0</v>
      </c>
      <c r="AQ99" s="13"/>
    </row>
    <row r="100" spans="1:43">
      <c r="A100" s="21">
        <v>202508</v>
      </c>
      <c r="B100" s="25">
        <v>45871</v>
      </c>
      <c r="C100" s="21" t="s">
        <v>224</v>
      </c>
      <c r="D100" s="2" t="str">
        <f t="shared" ref="D100:I100" si="385">D99</f>
        <v>M » N2 - 1</v>
      </c>
      <c r="E100" s="21" t="str">
        <f t="shared" si="385"/>
        <v>YCD-EX:HUPPER TEK</v>
      </c>
      <c r="F100" s="21" t="str">
        <f t="shared" si="385"/>
        <v>MI202508130012</v>
      </c>
      <c r="G100" s="21" t="str">
        <f t="shared" si="385"/>
        <v>DE2508031-G7-MIC</v>
      </c>
      <c r="H100" s="26">
        <f t="shared" si="385"/>
        <v>45889</v>
      </c>
      <c r="I100" s="37" t="str">
        <f t="shared" si="385"/>
        <v>B077RVYZRF</v>
      </c>
      <c r="J100" s="21"/>
      <c r="K100" s="38" t="str">
        <f t="shared" ref="K100:O100" si="386">K99</f>
        <v>德国联邦快递金属储物柜</v>
      </c>
      <c r="L100" s="21"/>
      <c r="M100" s="36">
        <f t="shared" si="386"/>
        <v>188</v>
      </c>
      <c r="N100" s="36">
        <f t="shared" si="386"/>
        <v>49</v>
      </c>
      <c r="O100" s="36">
        <f t="shared" si="386"/>
        <v>14</v>
      </c>
      <c r="P100" s="21">
        <f t="shared" si="263"/>
        <v>0.128968</v>
      </c>
      <c r="Q100" s="21"/>
      <c r="R100" s="36">
        <f t="shared" ref="R100:T100" si="387">R99</f>
        <v>188</v>
      </c>
      <c r="S100" s="36">
        <f t="shared" si="387"/>
        <v>49</v>
      </c>
      <c r="T100" s="36">
        <f t="shared" si="387"/>
        <v>14</v>
      </c>
      <c r="U100" s="21">
        <f t="shared" si="265"/>
        <v>0.128968</v>
      </c>
      <c r="V100" s="21"/>
      <c r="W100" s="21"/>
      <c r="X100" s="21"/>
      <c r="Y100" s="21"/>
      <c r="Z100" s="21"/>
      <c r="AA100" s="21">
        <f t="shared" ref="AA100:AC100" si="388">AA99</f>
        <v>10</v>
      </c>
      <c r="AB100" s="21">
        <f t="shared" si="388"/>
        <v>117</v>
      </c>
      <c r="AC100" s="21">
        <f t="shared" si="388"/>
        <v>117</v>
      </c>
      <c r="AD100" s="21">
        <v>0</v>
      </c>
      <c r="AE100" s="45">
        <f t="shared" ref="AE100:AE129" si="389">AH99</f>
        <v>0</v>
      </c>
      <c r="AF100" s="45"/>
      <c r="AG100" s="53"/>
      <c r="AH100" s="54">
        <f t="shared" si="267"/>
        <v>0</v>
      </c>
      <c r="AI100" s="21" t="s">
        <v>179</v>
      </c>
      <c r="AJ100" s="55">
        <f t="shared" si="370"/>
        <v>0</v>
      </c>
      <c r="AK100" s="55">
        <f t="shared" si="371"/>
        <v>0</v>
      </c>
      <c r="AL100" s="21">
        <f t="shared" si="380"/>
        <v>-17</v>
      </c>
      <c r="AM100" s="21" t="str">
        <f t="shared" si="349"/>
        <v>30天内</v>
      </c>
      <c r="AN100" s="56">
        <v>0</v>
      </c>
      <c r="AO100" s="21" t="s">
        <v>186</v>
      </c>
      <c r="AP100" s="61">
        <f t="shared" si="336"/>
        <v>0</v>
      </c>
      <c r="AQ100" s="13"/>
    </row>
    <row r="101" spans="1:43">
      <c r="A101" s="21">
        <v>202508</v>
      </c>
      <c r="B101" s="25">
        <v>45872</v>
      </c>
      <c r="C101" s="21" t="s">
        <v>224</v>
      </c>
      <c r="D101" s="21" t="str">
        <f t="shared" ref="D101:I101" si="390">D100</f>
        <v>M » N2 - 1</v>
      </c>
      <c r="E101" s="21" t="str">
        <f t="shared" si="390"/>
        <v>YCD-EX:HUPPER TEK</v>
      </c>
      <c r="F101" s="21" t="str">
        <f t="shared" si="390"/>
        <v>MI202508130012</v>
      </c>
      <c r="G101" s="21" t="str">
        <f t="shared" si="390"/>
        <v>DE2508031-G7-MIC</v>
      </c>
      <c r="H101" s="26">
        <f t="shared" si="390"/>
        <v>45889</v>
      </c>
      <c r="I101" s="37" t="str">
        <f t="shared" si="390"/>
        <v>B077RVYZRF</v>
      </c>
      <c r="J101" s="21"/>
      <c r="K101" s="38" t="str">
        <f t="shared" ref="K101:O101" si="391">K100</f>
        <v>德国联邦快递金属储物柜</v>
      </c>
      <c r="L101" s="21"/>
      <c r="M101" s="36">
        <f t="shared" si="391"/>
        <v>188</v>
      </c>
      <c r="N101" s="36">
        <f t="shared" si="391"/>
        <v>49</v>
      </c>
      <c r="O101" s="36">
        <f t="shared" si="391"/>
        <v>14</v>
      </c>
      <c r="P101" s="21">
        <f t="shared" si="263"/>
        <v>0.128968</v>
      </c>
      <c r="Q101" s="21"/>
      <c r="R101" s="36">
        <f t="shared" ref="R101:T101" si="392">R100</f>
        <v>188</v>
      </c>
      <c r="S101" s="36">
        <f t="shared" si="392"/>
        <v>49</v>
      </c>
      <c r="T101" s="36">
        <f t="shared" si="392"/>
        <v>14</v>
      </c>
      <c r="U101" s="21">
        <f t="shared" si="265"/>
        <v>0.128968</v>
      </c>
      <c r="V101" s="21"/>
      <c r="W101" s="21"/>
      <c r="X101" s="21"/>
      <c r="Y101" s="21"/>
      <c r="Z101" s="21"/>
      <c r="AA101" s="21">
        <f t="shared" ref="AA101:AC101" si="393">AA100</f>
        <v>10</v>
      </c>
      <c r="AB101" s="21">
        <f t="shared" si="393"/>
        <v>117</v>
      </c>
      <c r="AC101" s="21">
        <f t="shared" si="393"/>
        <v>117</v>
      </c>
      <c r="AD101" s="21">
        <v>0</v>
      </c>
      <c r="AE101" s="45">
        <f t="shared" si="389"/>
        <v>0</v>
      </c>
      <c r="AF101" s="45"/>
      <c r="AG101" s="53"/>
      <c r="AH101" s="54">
        <f t="shared" si="267"/>
        <v>0</v>
      </c>
      <c r="AI101" s="21" t="s">
        <v>179</v>
      </c>
      <c r="AJ101" s="55">
        <f t="shared" si="370"/>
        <v>0</v>
      </c>
      <c r="AK101" s="55">
        <f t="shared" si="371"/>
        <v>0</v>
      </c>
      <c r="AL101" s="21">
        <f t="shared" si="380"/>
        <v>-16</v>
      </c>
      <c r="AM101" s="21" t="str">
        <f t="shared" si="349"/>
        <v>30天内</v>
      </c>
      <c r="AN101" s="56">
        <v>0</v>
      </c>
      <c r="AO101" s="21" t="s">
        <v>186</v>
      </c>
      <c r="AP101" s="61">
        <f t="shared" si="336"/>
        <v>0</v>
      </c>
      <c r="AQ101" s="13"/>
    </row>
    <row r="102" spans="1:43">
      <c r="A102" s="21">
        <v>202508</v>
      </c>
      <c r="B102" s="25">
        <v>45873</v>
      </c>
      <c r="C102" s="21" t="s">
        <v>224</v>
      </c>
      <c r="D102" s="21" t="str">
        <f t="shared" ref="D102:I102" si="394">D101</f>
        <v>M » N2 - 1</v>
      </c>
      <c r="E102" s="21" t="str">
        <f t="shared" si="394"/>
        <v>YCD-EX:HUPPER TEK</v>
      </c>
      <c r="F102" s="21" t="str">
        <f t="shared" si="394"/>
        <v>MI202508130012</v>
      </c>
      <c r="G102" s="21" t="str">
        <f t="shared" si="394"/>
        <v>DE2508031-G7-MIC</v>
      </c>
      <c r="H102" s="26">
        <f t="shared" si="394"/>
        <v>45889</v>
      </c>
      <c r="I102" s="37" t="str">
        <f t="shared" si="394"/>
        <v>B077RVYZRF</v>
      </c>
      <c r="J102" s="21"/>
      <c r="K102" s="38" t="str">
        <f t="shared" ref="K102:O102" si="395">K101</f>
        <v>德国联邦快递金属储物柜</v>
      </c>
      <c r="L102" s="21"/>
      <c r="M102" s="36">
        <f t="shared" si="395"/>
        <v>188</v>
      </c>
      <c r="N102" s="36">
        <f t="shared" si="395"/>
        <v>49</v>
      </c>
      <c r="O102" s="36">
        <f t="shared" si="395"/>
        <v>14</v>
      </c>
      <c r="P102" s="21">
        <f t="shared" si="263"/>
        <v>0.128968</v>
      </c>
      <c r="Q102" s="21"/>
      <c r="R102" s="36">
        <f t="shared" ref="R102:T102" si="396">R101</f>
        <v>188</v>
      </c>
      <c r="S102" s="36">
        <f t="shared" si="396"/>
        <v>49</v>
      </c>
      <c r="T102" s="36">
        <f t="shared" si="396"/>
        <v>14</v>
      </c>
      <c r="U102" s="21">
        <f t="shared" si="265"/>
        <v>0.128968</v>
      </c>
      <c r="V102" s="21"/>
      <c r="W102" s="21"/>
      <c r="X102" s="21"/>
      <c r="Y102" s="21"/>
      <c r="Z102" s="21"/>
      <c r="AA102" s="21">
        <f t="shared" ref="AA102:AC102" si="397">AA101</f>
        <v>10</v>
      </c>
      <c r="AB102" s="21">
        <f t="shared" si="397"/>
        <v>117</v>
      </c>
      <c r="AC102" s="21">
        <f t="shared" si="397"/>
        <v>117</v>
      </c>
      <c r="AD102" s="21">
        <v>0</v>
      </c>
      <c r="AE102" s="45">
        <f t="shared" si="389"/>
        <v>0</v>
      </c>
      <c r="AF102" s="45"/>
      <c r="AG102" s="53"/>
      <c r="AH102" s="54">
        <f t="shared" si="267"/>
        <v>0</v>
      </c>
      <c r="AI102" s="21" t="s">
        <v>179</v>
      </c>
      <c r="AJ102" s="55">
        <f t="shared" si="370"/>
        <v>0</v>
      </c>
      <c r="AK102" s="55">
        <f t="shared" si="371"/>
        <v>0</v>
      </c>
      <c r="AL102" s="21">
        <f t="shared" si="380"/>
        <v>-15</v>
      </c>
      <c r="AM102" s="21" t="str">
        <f t="shared" si="349"/>
        <v>30天内</v>
      </c>
      <c r="AN102" s="56">
        <v>0</v>
      </c>
      <c r="AO102" s="21" t="s">
        <v>186</v>
      </c>
      <c r="AP102" s="61">
        <f t="shared" si="336"/>
        <v>0</v>
      </c>
      <c r="AQ102" s="13"/>
    </row>
    <row r="103" spans="1:43">
      <c r="A103" s="21">
        <v>202508</v>
      </c>
      <c r="B103" s="25">
        <v>45874</v>
      </c>
      <c r="C103" s="21" t="s">
        <v>224</v>
      </c>
      <c r="D103" s="21" t="str">
        <f t="shared" ref="D103:I103" si="398">D102</f>
        <v>M » N2 - 1</v>
      </c>
      <c r="E103" s="21" t="str">
        <f t="shared" si="398"/>
        <v>YCD-EX:HUPPER TEK</v>
      </c>
      <c r="F103" s="21" t="str">
        <f t="shared" si="398"/>
        <v>MI202508130012</v>
      </c>
      <c r="G103" s="21" t="str">
        <f t="shared" si="398"/>
        <v>DE2508031-G7-MIC</v>
      </c>
      <c r="H103" s="26">
        <f t="shared" si="398"/>
        <v>45889</v>
      </c>
      <c r="I103" s="37" t="str">
        <f t="shared" si="398"/>
        <v>B077RVYZRF</v>
      </c>
      <c r="J103" s="39"/>
      <c r="K103" s="38" t="str">
        <f t="shared" ref="K103:O103" si="399">K102</f>
        <v>德国联邦快递金属储物柜</v>
      </c>
      <c r="L103" s="21"/>
      <c r="M103" s="36">
        <f t="shared" si="399"/>
        <v>188</v>
      </c>
      <c r="N103" s="36">
        <f t="shared" si="399"/>
        <v>49</v>
      </c>
      <c r="O103" s="36">
        <f t="shared" si="399"/>
        <v>14</v>
      </c>
      <c r="P103" s="21">
        <f t="shared" si="263"/>
        <v>0.128968</v>
      </c>
      <c r="Q103" s="21"/>
      <c r="R103" s="36">
        <f t="shared" ref="R103:T103" si="400">R102</f>
        <v>188</v>
      </c>
      <c r="S103" s="36">
        <f t="shared" si="400"/>
        <v>49</v>
      </c>
      <c r="T103" s="36">
        <f t="shared" si="400"/>
        <v>14</v>
      </c>
      <c r="U103" s="21">
        <f t="shared" si="265"/>
        <v>0.128968</v>
      </c>
      <c r="V103" s="21"/>
      <c r="W103" s="21"/>
      <c r="X103" s="21"/>
      <c r="Y103" s="21"/>
      <c r="Z103" s="21"/>
      <c r="AA103" s="21">
        <f t="shared" ref="AA103:AC103" si="401">AA102</f>
        <v>10</v>
      </c>
      <c r="AB103" s="21">
        <f t="shared" si="401"/>
        <v>117</v>
      </c>
      <c r="AC103" s="21">
        <f t="shared" si="401"/>
        <v>117</v>
      </c>
      <c r="AD103" s="21">
        <v>0</v>
      </c>
      <c r="AE103" s="45">
        <f t="shared" si="389"/>
        <v>0</v>
      </c>
      <c r="AF103" s="45"/>
      <c r="AG103" s="53"/>
      <c r="AH103" s="54">
        <f t="shared" si="267"/>
        <v>0</v>
      </c>
      <c r="AI103" s="21" t="s">
        <v>179</v>
      </c>
      <c r="AJ103" s="55">
        <f t="shared" si="370"/>
        <v>0</v>
      </c>
      <c r="AK103" s="55">
        <f t="shared" si="371"/>
        <v>0</v>
      </c>
      <c r="AL103" s="21">
        <f t="shared" si="380"/>
        <v>-14</v>
      </c>
      <c r="AM103" s="21" t="str">
        <f t="shared" si="349"/>
        <v>30天内</v>
      </c>
      <c r="AN103" s="56">
        <v>0</v>
      </c>
      <c r="AO103" s="21" t="s">
        <v>186</v>
      </c>
      <c r="AP103" s="61">
        <f t="shared" si="336"/>
        <v>0</v>
      </c>
      <c r="AQ103" s="13"/>
    </row>
    <row r="104" spans="1:43">
      <c r="A104" s="21">
        <v>202508</v>
      </c>
      <c r="B104" s="25">
        <v>45875</v>
      </c>
      <c r="C104" s="21" t="s">
        <v>224</v>
      </c>
      <c r="D104" s="21" t="str">
        <f t="shared" ref="D104:I104" si="402">D103</f>
        <v>M » N2 - 1</v>
      </c>
      <c r="E104" s="21" t="str">
        <f t="shared" si="402"/>
        <v>YCD-EX:HUPPER TEK</v>
      </c>
      <c r="F104" s="21" t="str">
        <f t="shared" si="402"/>
        <v>MI202508130012</v>
      </c>
      <c r="G104" s="21" t="str">
        <f t="shared" si="402"/>
        <v>DE2508031-G7-MIC</v>
      </c>
      <c r="H104" s="26">
        <f t="shared" si="402"/>
        <v>45889</v>
      </c>
      <c r="I104" s="37" t="str">
        <f t="shared" si="402"/>
        <v>B077RVYZRF</v>
      </c>
      <c r="J104" s="21"/>
      <c r="K104" s="38" t="str">
        <f t="shared" ref="K104:O104" si="403">K103</f>
        <v>德国联邦快递金属储物柜</v>
      </c>
      <c r="L104" s="21"/>
      <c r="M104" s="36">
        <f t="shared" si="403"/>
        <v>188</v>
      </c>
      <c r="N104" s="36">
        <f t="shared" si="403"/>
        <v>49</v>
      </c>
      <c r="O104" s="36">
        <f t="shared" si="403"/>
        <v>14</v>
      </c>
      <c r="P104" s="21">
        <f t="shared" si="263"/>
        <v>0.128968</v>
      </c>
      <c r="Q104" s="21"/>
      <c r="R104" s="36">
        <f t="shared" ref="R104:T104" si="404">R103</f>
        <v>188</v>
      </c>
      <c r="S104" s="36">
        <f t="shared" si="404"/>
        <v>49</v>
      </c>
      <c r="T104" s="36">
        <f t="shared" si="404"/>
        <v>14</v>
      </c>
      <c r="U104" s="21">
        <f t="shared" si="265"/>
        <v>0.128968</v>
      </c>
      <c r="V104" s="21"/>
      <c r="W104" s="21"/>
      <c r="X104" s="21"/>
      <c r="Y104" s="21"/>
      <c r="Z104" s="21"/>
      <c r="AA104" s="21">
        <f t="shared" ref="AA104:AC104" si="405">AA103</f>
        <v>10</v>
      </c>
      <c r="AB104" s="21">
        <f t="shared" si="405"/>
        <v>117</v>
      </c>
      <c r="AC104" s="21">
        <f t="shared" si="405"/>
        <v>117</v>
      </c>
      <c r="AD104" s="21">
        <v>0</v>
      </c>
      <c r="AE104" s="45">
        <f t="shared" si="389"/>
        <v>0</v>
      </c>
      <c r="AF104" s="45"/>
      <c r="AG104" s="53"/>
      <c r="AH104" s="54">
        <f t="shared" si="267"/>
        <v>0</v>
      </c>
      <c r="AI104" s="21" t="s">
        <v>179</v>
      </c>
      <c r="AJ104" s="55">
        <f t="shared" si="370"/>
        <v>0</v>
      </c>
      <c r="AK104" s="55">
        <f t="shared" si="371"/>
        <v>0</v>
      </c>
      <c r="AL104" s="21">
        <f t="shared" si="380"/>
        <v>-13</v>
      </c>
      <c r="AM104" s="21" t="str">
        <f t="shared" si="349"/>
        <v>30天内</v>
      </c>
      <c r="AN104" s="56">
        <v>0</v>
      </c>
      <c r="AO104" s="21" t="s">
        <v>186</v>
      </c>
      <c r="AP104" s="61">
        <f t="shared" si="336"/>
        <v>0</v>
      </c>
      <c r="AQ104" s="13"/>
    </row>
    <row r="105" spans="1:43">
      <c r="A105" s="21">
        <v>202508</v>
      </c>
      <c r="B105" s="25">
        <v>45876</v>
      </c>
      <c r="C105" s="21" t="s">
        <v>224</v>
      </c>
      <c r="D105" s="21" t="str">
        <f t="shared" ref="D105:I105" si="406">D104</f>
        <v>M » N2 - 1</v>
      </c>
      <c r="E105" s="21" t="str">
        <f t="shared" si="406"/>
        <v>YCD-EX:HUPPER TEK</v>
      </c>
      <c r="F105" s="21" t="str">
        <f t="shared" si="406"/>
        <v>MI202508130012</v>
      </c>
      <c r="G105" s="21" t="str">
        <f t="shared" si="406"/>
        <v>DE2508031-G7-MIC</v>
      </c>
      <c r="H105" s="26">
        <f t="shared" si="406"/>
        <v>45889</v>
      </c>
      <c r="I105" s="37" t="str">
        <f t="shared" si="406"/>
        <v>B077RVYZRF</v>
      </c>
      <c r="J105" s="21"/>
      <c r="K105" s="38" t="str">
        <f t="shared" ref="K105:O105" si="407">K104</f>
        <v>德国联邦快递金属储物柜</v>
      </c>
      <c r="L105" s="21"/>
      <c r="M105" s="36">
        <f t="shared" si="407"/>
        <v>188</v>
      </c>
      <c r="N105" s="36">
        <f t="shared" si="407"/>
        <v>49</v>
      </c>
      <c r="O105" s="36">
        <f t="shared" si="407"/>
        <v>14</v>
      </c>
      <c r="P105" s="21">
        <f t="shared" si="263"/>
        <v>0.128968</v>
      </c>
      <c r="Q105" s="21"/>
      <c r="R105" s="36">
        <f t="shared" ref="R105:T105" si="408">R104</f>
        <v>188</v>
      </c>
      <c r="S105" s="36">
        <f t="shared" si="408"/>
        <v>49</v>
      </c>
      <c r="T105" s="36">
        <f t="shared" si="408"/>
        <v>14</v>
      </c>
      <c r="U105" s="21">
        <f t="shared" si="265"/>
        <v>0.128968</v>
      </c>
      <c r="V105" s="21"/>
      <c r="W105" s="21"/>
      <c r="X105" s="21"/>
      <c r="Y105" s="21"/>
      <c r="Z105" s="21"/>
      <c r="AA105" s="21">
        <f t="shared" ref="AA105:AC105" si="409">AA104</f>
        <v>10</v>
      </c>
      <c r="AB105" s="21">
        <f t="shared" si="409"/>
        <v>117</v>
      </c>
      <c r="AC105" s="21">
        <f t="shared" si="409"/>
        <v>117</v>
      </c>
      <c r="AD105" s="21">
        <v>0</v>
      </c>
      <c r="AE105" s="45">
        <f t="shared" si="389"/>
        <v>0</v>
      </c>
      <c r="AF105" s="45"/>
      <c r="AG105" s="53"/>
      <c r="AH105" s="54">
        <f t="shared" si="267"/>
        <v>0</v>
      </c>
      <c r="AI105" s="21" t="s">
        <v>179</v>
      </c>
      <c r="AJ105" s="55">
        <f t="shared" si="370"/>
        <v>0</v>
      </c>
      <c r="AK105" s="55">
        <f t="shared" si="371"/>
        <v>0</v>
      </c>
      <c r="AL105" s="21">
        <f t="shared" si="380"/>
        <v>-12</v>
      </c>
      <c r="AM105" s="21" t="str">
        <f t="shared" si="349"/>
        <v>30天内</v>
      </c>
      <c r="AN105" s="56">
        <v>0</v>
      </c>
      <c r="AO105" s="21" t="s">
        <v>186</v>
      </c>
      <c r="AP105" s="61">
        <f t="shared" si="336"/>
        <v>0</v>
      </c>
      <c r="AQ105" s="13"/>
    </row>
    <row r="106" spans="1:43">
      <c r="A106" s="21">
        <v>202508</v>
      </c>
      <c r="B106" s="25">
        <v>45877</v>
      </c>
      <c r="C106" s="21" t="s">
        <v>224</v>
      </c>
      <c r="D106" s="21" t="str">
        <f t="shared" ref="D106:I106" si="410">D105</f>
        <v>M » N2 - 1</v>
      </c>
      <c r="E106" s="21" t="str">
        <f t="shared" si="410"/>
        <v>YCD-EX:HUPPER TEK</v>
      </c>
      <c r="F106" s="21" t="str">
        <f t="shared" si="410"/>
        <v>MI202508130012</v>
      </c>
      <c r="G106" s="21" t="str">
        <f t="shared" si="410"/>
        <v>DE2508031-G7-MIC</v>
      </c>
      <c r="H106" s="26">
        <f t="shared" si="410"/>
        <v>45889</v>
      </c>
      <c r="I106" s="37" t="str">
        <f t="shared" si="410"/>
        <v>B077RVYZRF</v>
      </c>
      <c r="J106" s="21"/>
      <c r="K106" s="38" t="str">
        <f t="shared" ref="K106:O106" si="411">K105</f>
        <v>德国联邦快递金属储物柜</v>
      </c>
      <c r="L106" s="21"/>
      <c r="M106" s="36">
        <f t="shared" si="411"/>
        <v>188</v>
      </c>
      <c r="N106" s="36">
        <f t="shared" si="411"/>
        <v>49</v>
      </c>
      <c r="O106" s="36">
        <f t="shared" si="411"/>
        <v>14</v>
      </c>
      <c r="P106" s="21">
        <f t="shared" si="263"/>
        <v>0.128968</v>
      </c>
      <c r="Q106" s="21"/>
      <c r="R106" s="36">
        <f t="shared" ref="R106:T106" si="412">R105</f>
        <v>188</v>
      </c>
      <c r="S106" s="36">
        <f t="shared" si="412"/>
        <v>49</v>
      </c>
      <c r="T106" s="36">
        <f t="shared" si="412"/>
        <v>14</v>
      </c>
      <c r="U106" s="21">
        <f t="shared" si="265"/>
        <v>0.128968</v>
      </c>
      <c r="V106" s="21"/>
      <c r="W106" s="21"/>
      <c r="X106" s="21"/>
      <c r="Y106" s="21"/>
      <c r="Z106" s="21"/>
      <c r="AA106" s="21">
        <f t="shared" ref="AA106:AC106" si="413">AA105</f>
        <v>10</v>
      </c>
      <c r="AB106" s="21">
        <f t="shared" si="413"/>
        <v>117</v>
      </c>
      <c r="AC106" s="21">
        <f t="shared" si="413"/>
        <v>117</v>
      </c>
      <c r="AD106" s="21">
        <v>0</v>
      </c>
      <c r="AE106" s="45">
        <f t="shared" si="389"/>
        <v>0</v>
      </c>
      <c r="AF106" s="45"/>
      <c r="AG106" s="53"/>
      <c r="AH106" s="54">
        <f t="shared" si="267"/>
        <v>0</v>
      </c>
      <c r="AI106" s="21" t="s">
        <v>179</v>
      </c>
      <c r="AJ106" s="55">
        <f t="shared" si="370"/>
        <v>0</v>
      </c>
      <c r="AK106" s="55">
        <f t="shared" si="371"/>
        <v>0</v>
      </c>
      <c r="AL106" s="21">
        <f t="shared" si="380"/>
        <v>-11</v>
      </c>
      <c r="AM106" s="21" t="str">
        <f t="shared" si="349"/>
        <v>30天内</v>
      </c>
      <c r="AN106" s="56">
        <v>0</v>
      </c>
      <c r="AO106" s="21" t="s">
        <v>186</v>
      </c>
      <c r="AP106" s="61">
        <f t="shared" si="336"/>
        <v>0</v>
      </c>
      <c r="AQ106" s="13"/>
    </row>
    <row r="107" spans="1:43">
      <c r="A107" s="21">
        <v>202508</v>
      </c>
      <c r="B107" s="25">
        <v>45878</v>
      </c>
      <c r="C107" s="21" t="s">
        <v>224</v>
      </c>
      <c r="D107" s="21" t="str">
        <f t="shared" ref="D107:I107" si="414">D106</f>
        <v>M » N2 - 1</v>
      </c>
      <c r="E107" s="21" t="str">
        <f t="shared" si="414"/>
        <v>YCD-EX:HUPPER TEK</v>
      </c>
      <c r="F107" s="21" t="str">
        <f t="shared" si="414"/>
        <v>MI202508130012</v>
      </c>
      <c r="G107" s="21" t="str">
        <f t="shared" si="414"/>
        <v>DE2508031-G7-MIC</v>
      </c>
      <c r="H107" s="26">
        <f t="shared" si="414"/>
        <v>45889</v>
      </c>
      <c r="I107" s="37" t="str">
        <f t="shared" si="414"/>
        <v>B077RVYZRF</v>
      </c>
      <c r="J107" s="21"/>
      <c r="K107" s="38" t="str">
        <f t="shared" ref="K107:O107" si="415">K106</f>
        <v>德国联邦快递金属储物柜</v>
      </c>
      <c r="L107" s="21"/>
      <c r="M107" s="36">
        <f t="shared" si="415"/>
        <v>188</v>
      </c>
      <c r="N107" s="36">
        <f t="shared" si="415"/>
        <v>49</v>
      </c>
      <c r="O107" s="36">
        <f t="shared" si="415"/>
        <v>14</v>
      </c>
      <c r="P107" s="21">
        <f t="shared" si="263"/>
        <v>0.128968</v>
      </c>
      <c r="Q107" s="21"/>
      <c r="R107" s="36">
        <f t="shared" ref="R107:T107" si="416">R106</f>
        <v>188</v>
      </c>
      <c r="S107" s="36">
        <f t="shared" si="416"/>
        <v>49</v>
      </c>
      <c r="T107" s="36">
        <f t="shared" si="416"/>
        <v>14</v>
      </c>
      <c r="U107" s="21">
        <f t="shared" si="265"/>
        <v>0.128968</v>
      </c>
      <c r="V107" s="21"/>
      <c r="W107" s="21"/>
      <c r="X107" s="21"/>
      <c r="Y107" s="21"/>
      <c r="Z107" s="21"/>
      <c r="AA107" s="21">
        <f t="shared" ref="AA107:AC107" si="417">AA106</f>
        <v>10</v>
      </c>
      <c r="AB107" s="21">
        <f t="shared" si="417"/>
        <v>117</v>
      </c>
      <c r="AC107" s="21">
        <f t="shared" si="417"/>
        <v>117</v>
      </c>
      <c r="AD107" s="21">
        <v>0</v>
      </c>
      <c r="AE107" s="45">
        <f t="shared" si="389"/>
        <v>0</v>
      </c>
      <c r="AF107" s="45"/>
      <c r="AG107" s="53"/>
      <c r="AH107" s="54">
        <f t="shared" si="267"/>
        <v>0</v>
      </c>
      <c r="AI107" s="21" t="s">
        <v>179</v>
      </c>
      <c r="AJ107" s="55">
        <f t="shared" si="370"/>
        <v>0</v>
      </c>
      <c r="AK107" s="55">
        <f t="shared" si="371"/>
        <v>0</v>
      </c>
      <c r="AL107" s="21">
        <f t="shared" si="380"/>
        <v>-10</v>
      </c>
      <c r="AM107" s="21" t="str">
        <f t="shared" si="349"/>
        <v>30天内</v>
      </c>
      <c r="AN107" s="56">
        <v>0</v>
      </c>
      <c r="AO107" s="21" t="s">
        <v>186</v>
      </c>
      <c r="AP107" s="61">
        <f t="shared" si="336"/>
        <v>0</v>
      </c>
      <c r="AQ107" s="13"/>
    </row>
    <row r="108" spans="1:43">
      <c r="A108" s="21">
        <v>202508</v>
      </c>
      <c r="B108" s="25">
        <v>45879</v>
      </c>
      <c r="C108" s="21" t="s">
        <v>224</v>
      </c>
      <c r="D108" s="21" t="str">
        <f t="shared" ref="D108:I108" si="418">D107</f>
        <v>M » N2 - 1</v>
      </c>
      <c r="E108" s="21" t="str">
        <f t="shared" si="418"/>
        <v>YCD-EX:HUPPER TEK</v>
      </c>
      <c r="F108" s="21" t="str">
        <f t="shared" si="418"/>
        <v>MI202508130012</v>
      </c>
      <c r="G108" s="21" t="str">
        <f t="shared" si="418"/>
        <v>DE2508031-G7-MIC</v>
      </c>
      <c r="H108" s="26">
        <f t="shared" si="418"/>
        <v>45889</v>
      </c>
      <c r="I108" s="37" t="str">
        <f t="shared" si="418"/>
        <v>B077RVYZRF</v>
      </c>
      <c r="J108" s="21"/>
      <c r="K108" s="38" t="str">
        <f t="shared" ref="K108:O108" si="419">K107</f>
        <v>德国联邦快递金属储物柜</v>
      </c>
      <c r="L108" s="21"/>
      <c r="M108" s="36">
        <f t="shared" si="419"/>
        <v>188</v>
      </c>
      <c r="N108" s="36">
        <f t="shared" si="419"/>
        <v>49</v>
      </c>
      <c r="O108" s="36">
        <f t="shared" si="419"/>
        <v>14</v>
      </c>
      <c r="P108" s="21">
        <f t="shared" si="263"/>
        <v>0.128968</v>
      </c>
      <c r="Q108" s="21"/>
      <c r="R108" s="36">
        <f t="shared" ref="R108:T108" si="420">R107</f>
        <v>188</v>
      </c>
      <c r="S108" s="36">
        <f t="shared" si="420"/>
        <v>49</v>
      </c>
      <c r="T108" s="36">
        <f t="shared" si="420"/>
        <v>14</v>
      </c>
      <c r="U108" s="21">
        <f t="shared" si="265"/>
        <v>0.128968</v>
      </c>
      <c r="V108" s="21"/>
      <c r="W108" s="21"/>
      <c r="X108" s="21"/>
      <c r="Y108" s="21"/>
      <c r="Z108" s="21"/>
      <c r="AA108" s="21">
        <f t="shared" ref="AA108:AC108" si="421">AA107</f>
        <v>10</v>
      </c>
      <c r="AB108" s="21">
        <f t="shared" si="421"/>
        <v>117</v>
      </c>
      <c r="AC108" s="21">
        <f t="shared" si="421"/>
        <v>117</v>
      </c>
      <c r="AD108" s="21">
        <v>0</v>
      </c>
      <c r="AE108" s="45">
        <f t="shared" si="389"/>
        <v>0</v>
      </c>
      <c r="AF108" s="45"/>
      <c r="AG108" s="53"/>
      <c r="AH108" s="54">
        <f t="shared" si="267"/>
        <v>0</v>
      </c>
      <c r="AI108" s="21" t="s">
        <v>179</v>
      </c>
      <c r="AJ108" s="55">
        <f t="shared" si="370"/>
        <v>0</v>
      </c>
      <c r="AK108" s="55">
        <f t="shared" si="371"/>
        <v>0</v>
      </c>
      <c r="AL108" s="21">
        <f t="shared" si="380"/>
        <v>-9</v>
      </c>
      <c r="AM108" s="21" t="str">
        <f t="shared" si="349"/>
        <v>30天内</v>
      </c>
      <c r="AN108" s="56">
        <v>0</v>
      </c>
      <c r="AO108" s="21" t="s">
        <v>186</v>
      </c>
      <c r="AP108" s="61">
        <f t="shared" si="336"/>
        <v>0</v>
      </c>
      <c r="AQ108" s="13"/>
    </row>
    <row r="109" spans="1:43">
      <c r="A109" s="21">
        <v>202508</v>
      </c>
      <c r="B109" s="25">
        <v>45880</v>
      </c>
      <c r="C109" s="21" t="s">
        <v>224</v>
      </c>
      <c r="D109" s="21" t="str">
        <f t="shared" ref="D109:I109" si="422">D108</f>
        <v>M » N2 - 1</v>
      </c>
      <c r="E109" s="21" t="str">
        <f t="shared" si="422"/>
        <v>YCD-EX:HUPPER TEK</v>
      </c>
      <c r="F109" s="21" t="str">
        <f t="shared" si="422"/>
        <v>MI202508130012</v>
      </c>
      <c r="G109" s="21" t="str">
        <f t="shared" si="422"/>
        <v>DE2508031-G7-MIC</v>
      </c>
      <c r="H109" s="26">
        <f t="shared" si="422"/>
        <v>45889</v>
      </c>
      <c r="I109" s="37" t="str">
        <f t="shared" si="422"/>
        <v>B077RVYZRF</v>
      </c>
      <c r="J109" s="21"/>
      <c r="K109" s="38" t="str">
        <f t="shared" ref="K109:O109" si="423">K108</f>
        <v>德国联邦快递金属储物柜</v>
      </c>
      <c r="L109" s="21"/>
      <c r="M109" s="36">
        <f t="shared" si="423"/>
        <v>188</v>
      </c>
      <c r="N109" s="36">
        <f t="shared" si="423"/>
        <v>49</v>
      </c>
      <c r="O109" s="36">
        <f t="shared" si="423"/>
        <v>14</v>
      </c>
      <c r="P109" s="21">
        <f t="shared" si="263"/>
        <v>0.128968</v>
      </c>
      <c r="Q109" s="21"/>
      <c r="R109" s="36">
        <f t="shared" ref="R109:T109" si="424">R108</f>
        <v>188</v>
      </c>
      <c r="S109" s="36">
        <f t="shared" si="424"/>
        <v>49</v>
      </c>
      <c r="T109" s="36">
        <f t="shared" si="424"/>
        <v>14</v>
      </c>
      <c r="U109" s="21">
        <f t="shared" si="265"/>
        <v>0.128968</v>
      </c>
      <c r="V109" s="21"/>
      <c r="W109" s="21"/>
      <c r="X109" s="21"/>
      <c r="Y109" s="21"/>
      <c r="Z109" s="21"/>
      <c r="AA109" s="21">
        <f t="shared" ref="AA109:AC109" si="425">AA108</f>
        <v>10</v>
      </c>
      <c r="AB109" s="21">
        <f t="shared" si="425"/>
        <v>117</v>
      </c>
      <c r="AC109" s="21">
        <f t="shared" si="425"/>
        <v>117</v>
      </c>
      <c r="AD109" s="21">
        <v>0</v>
      </c>
      <c r="AE109" s="45">
        <f t="shared" si="389"/>
        <v>0</v>
      </c>
      <c r="AF109" s="45"/>
      <c r="AG109" s="53"/>
      <c r="AH109" s="54">
        <f t="shared" si="267"/>
        <v>0</v>
      </c>
      <c r="AI109" s="21" t="s">
        <v>179</v>
      </c>
      <c r="AJ109" s="55">
        <f t="shared" si="370"/>
        <v>0</v>
      </c>
      <c r="AK109" s="55">
        <f t="shared" si="371"/>
        <v>0</v>
      </c>
      <c r="AL109" s="21">
        <f t="shared" si="380"/>
        <v>-8</v>
      </c>
      <c r="AM109" s="21" t="str">
        <f t="shared" si="349"/>
        <v>30天内</v>
      </c>
      <c r="AN109" s="56">
        <v>0</v>
      </c>
      <c r="AO109" s="21" t="s">
        <v>186</v>
      </c>
      <c r="AP109" s="61">
        <f t="shared" si="336"/>
        <v>0</v>
      </c>
      <c r="AQ109" s="13"/>
    </row>
    <row r="110" spans="1:43">
      <c r="A110" s="21">
        <v>202508</v>
      </c>
      <c r="B110" s="25">
        <v>45881</v>
      </c>
      <c r="C110" s="21" t="s">
        <v>224</v>
      </c>
      <c r="D110" s="21" t="str">
        <f t="shared" ref="D110:I110" si="426">D109</f>
        <v>M » N2 - 1</v>
      </c>
      <c r="E110" s="21" t="str">
        <f t="shared" si="426"/>
        <v>YCD-EX:HUPPER TEK</v>
      </c>
      <c r="F110" s="21" t="str">
        <f t="shared" si="426"/>
        <v>MI202508130012</v>
      </c>
      <c r="G110" s="21" t="str">
        <f t="shared" si="426"/>
        <v>DE2508031-G7-MIC</v>
      </c>
      <c r="H110" s="26">
        <f t="shared" si="426"/>
        <v>45889</v>
      </c>
      <c r="I110" s="37" t="str">
        <f t="shared" si="426"/>
        <v>B077RVYZRF</v>
      </c>
      <c r="J110" s="21"/>
      <c r="K110" s="38" t="str">
        <f t="shared" ref="K110:O110" si="427">K109</f>
        <v>德国联邦快递金属储物柜</v>
      </c>
      <c r="L110" s="21"/>
      <c r="M110" s="36">
        <f t="shared" si="427"/>
        <v>188</v>
      </c>
      <c r="N110" s="36">
        <f t="shared" si="427"/>
        <v>49</v>
      </c>
      <c r="O110" s="36">
        <f t="shared" si="427"/>
        <v>14</v>
      </c>
      <c r="P110" s="21">
        <f t="shared" si="263"/>
        <v>0.128968</v>
      </c>
      <c r="Q110" s="21"/>
      <c r="R110" s="36">
        <f t="shared" ref="R110:T110" si="428">R109</f>
        <v>188</v>
      </c>
      <c r="S110" s="36">
        <f t="shared" si="428"/>
        <v>49</v>
      </c>
      <c r="T110" s="36">
        <f t="shared" si="428"/>
        <v>14</v>
      </c>
      <c r="U110" s="21">
        <f t="shared" si="265"/>
        <v>0.128968</v>
      </c>
      <c r="V110" s="21"/>
      <c r="W110" s="21"/>
      <c r="X110" s="21"/>
      <c r="Y110" s="21"/>
      <c r="Z110" s="21"/>
      <c r="AA110" s="21">
        <f t="shared" ref="AA110:AC110" si="429">AA109</f>
        <v>10</v>
      </c>
      <c r="AB110" s="21">
        <f t="shared" si="429"/>
        <v>117</v>
      </c>
      <c r="AC110" s="21">
        <f t="shared" si="429"/>
        <v>117</v>
      </c>
      <c r="AD110" s="21">
        <v>0</v>
      </c>
      <c r="AE110" s="45">
        <f t="shared" si="389"/>
        <v>0</v>
      </c>
      <c r="AF110" s="45"/>
      <c r="AG110" s="53"/>
      <c r="AH110" s="54">
        <f t="shared" si="267"/>
        <v>0</v>
      </c>
      <c r="AI110" s="21" t="s">
        <v>179</v>
      </c>
      <c r="AJ110" s="55">
        <f t="shared" si="370"/>
        <v>0</v>
      </c>
      <c r="AK110" s="55">
        <f t="shared" si="371"/>
        <v>0</v>
      </c>
      <c r="AL110" s="21">
        <f t="shared" si="380"/>
        <v>-7</v>
      </c>
      <c r="AM110" s="21" t="str">
        <f t="shared" si="349"/>
        <v>30天内</v>
      </c>
      <c r="AN110" s="56">
        <v>0</v>
      </c>
      <c r="AO110" s="21" t="s">
        <v>186</v>
      </c>
      <c r="AP110" s="61">
        <f t="shared" si="336"/>
        <v>0</v>
      </c>
      <c r="AQ110" s="13"/>
    </row>
    <row r="111" spans="1:43">
      <c r="A111" s="21">
        <v>202508</v>
      </c>
      <c r="B111" s="25">
        <v>45882</v>
      </c>
      <c r="C111" s="21" t="s">
        <v>224</v>
      </c>
      <c r="D111" s="21" t="str">
        <f t="shared" ref="D111:I111" si="430">D110</f>
        <v>M » N2 - 1</v>
      </c>
      <c r="E111" s="21" t="str">
        <f t="shared" si="430"/>
        <v>YCD-EX:HUPPER TEK</v>
      </c>
      <c r="F111" s="21" t="str">
        <f t="shared" si="430"/>
        <v>MI202508130012</v>
      </c>
      <c r="G111" s="21" t="str">
        <f t="shared" si="430"/>
        <v>DE2508031-G7-MIC</v>
      </c>
      <c r="H111" s="26">
        <f t="shared" si="430"/>
        <v>45889</v>
      </c>
      <c r="I111" s="37" t="str">
        <f t="shared" si="430"/>
        <v>B077RVYZRF</v>
      </c>
      <c r="J111" s="21"/>
      <c r="K111" s="38" t="str">
        <f t="shared" ref="K111:O111" si="431">K110</f>
        <v>德国联邦快递金属储物柜</v>
      </c>
      <c r="L111" s="21"/>
      <c r="M111" s="36">
        <f t="shared" si="431"/>
        <v>188</v>
      </c>
      <c r="N111" s="36">
        <f t="shared" si="431"/>
        <v>49</v>
      </c>
      <c r="O111" s="36">
        <f t="shared" si="431"/>
        <v>14</v>
      </c>
      <c r="P111" s="21">
        <f t="shared" si="263"/>
        <v>0.128968</v>
      </c>
      <c r="Q111" s="21"/>
      <c r="R111" s="36">
        <f t="shared" ref="R111:T111" si="432">R110</f>
        <v>188</v>
      </c>
      <c r="S111" s="36">
        <f t="shared" si="432"/>
        <v>49</v>
      </c>
      <c r="T111" s="36">
        <f t="shared" si="432"/>
        <v>14</v>
      </c>
      <c r="U111" s="21">
        <f t="shared" si="265"/>
        <v>0.128968</v>
      </c>
      <c r="V111" s="21"/>
      <c r="W111" s="21"/>
      <c r="X111" s="21"/>
      <c r="Y111" s="21"/>
      <c r="Z111" s="21"/>
      <c r="AA111" s="21">
        <f t="shared" ref="AA111:AC111" si="433">AA110</f>
        <v>10</v>
      </c>
      <c r="AB111" s="21">
        <f t="shared" si="433"/>
        <v>117</v>
      </c>
      <c r="AC111" s="21">
        <f t="shared" si="433"/>
        <v>117</v>
      </c>
      <c r="AD111" s="21">
        <v>0</v>
      </c>
      <c r="AE111" s="45">
        <f t="shared" si="389"/>
        <v>0</v>
      </c>
      <c r="AF111" s="45"/>
      <c r="AG111" s="53"/>
      <c r="AH111" s="54">
        <f t="shared" si="267"/>
        <v>0</v>
      </c>
      <c r="AI111" s="21" t="s">
        <v>179</v>
      </c>
      <c r="AJ111" s="55">
        <f t="shared" si="370"/>
        <v>0</v>
      </c>
      <c r="AK111" s="55">
        <f t="shared" si="371"/>
        <v>0</v>
      </c>
      <c r="AL111" s="21">
        <f t="shared" si="380"/>
        <v>-6</v>
      </c>
      <c r="AM111" s="21" t="str">
        <f t="shared" si="349"/>
        <v>30天内</v>
      </c>
      <c r="AN111" s="56">
        <v>0</v>
      </c>
      <c r="AO111" s="21" t="s">
        <v>186</v>
      </c>
      <c r="AP111" s="61">
        <f t="shared" si="336"/>
        <v>0</v>
      </c>
      <c r="AQ111" s="13"/>
    </row>
    <row r="112" spans="1:43">
      <c r="A112" s="21">
        <v>202508</v>
      </c>
      <c r="B112" s="25">
        <v>45883</v>
      </c>
      <c r="C112" s="21" t="s">
        <v>224</v>
      </c>
      <c r="D112" s="21" t="str">
        <f t="shared" ref="D112:I112" si="434">D111</f>
        <v>M » N2 - 1</v>
      </c>
      <c r="E112" s="21" t="str">
        <f t="shared" si="434"/>
        <v>YCD-EX:HUPPER TEK</v>
      </c>
      <c r="F112" s="21" t="str">
        <f t="shared" si="434"/>
        <v>MI202508130012</v>
      </c>
      <c r="G112" s="21" t="str">
        <f t="shared" si="434"/>
        <v>DE2508031-G7-MIC</v>
      </c>
      <c r="H112" s="26">
        <f t="shared" si="434"/>
        <v>45889</v>
      </c>
      <c r="I112" s="37" t="str">
        <f t="shared" si="434"/>
        <v>B077RVYZRF</v>
      </c>
      <c r="J112" s="21"/>
      <c r="K112" s="38" t="str">
        <f t="shared" ref="K112:O112" si="435">K111</f>
        <v>德国联邦快递金属储物柜</v>
      </c>
      <c r="L112" s="21"/>
      <c r="M112" s="36">
        <f t="shared" si="435"/>
        <v>188</v>
      </c>
      <c r="N112" s="36">
        <f t="shared" si="435"/>
        <v>49</v>
      </c>
      <c r="O112" s="36">
        <f t="shared" si="435"/>
        <v>14</v>
      </c>
      <c r="P112" s="21">
        <f t="shared" si="263"/>
        <v>0.128968</v>
      </c>
      <c r="Q112" s="21"/>
      <c r="R112" s="36">
        <f t="shared" ref="R112:T112" si="436">R111</f>
        <v>188</v>
      </c>
      <c r="S112" s="36">
        <f t="shared" si="436"/>
        <v>49</v>
      </c>
      <c r="T112" s="36">
        <f t="shared" si="436"/>
        <v>14</v>
      </c>
      <c r="U112" s="21">
        <f t="shared" si="265"/>
        <v>0.128968</v>
      </c>
      <c r="V112" s="21"/>
      <c r="W112" s="21"/>
      <c r="X112" s="21"/>
      <c r="Y112" s="21"/>
      <c r="Z112" s="21"/>
      <c r="AA112" s="21">
        <f t="shared" ref="AA112:AC112" si="437">AA111</f>
        <v>10</v>
      </c>
      <c r="AB112" s="21">
        <f t="shared" si="437"/>
        <v>117</v>
      </c>
      <c r="AC112" s="21">
        <f t="shared" si="437"/>
        <v>117</v>
      </c>
      <c r="AD112" s="21">
        <v>0</v>
      </c>
      <c r="AE112" s="45">
        <f t="shared" si="389"/>
        <v>0</v>
      </c>
      <c r="AF112" s="45"/>
      <c r="AG112" s="53"/>
      <c r="AH112" s="54">
        <f t="shared" si="267"/>
        <v>0</v>
      </c>
      <c r="AI112" s="21" t="s">
        <v>179</v>
      </c>
      <c r="AJ112" s="55">
        <f t="shared" si="370"/>
        <v>0</v>
      </c>
      <c r="AK112" s="55">
        <f t="shared" si="371"/>
        <v>0</v>
      </c>
      <c r="AL112" s="21">
        <f t="shared" si="380"/>
        <v>-5</v>
      </c>
      <c r="AM112" s="21" t="str">
        <f t="shared" si="349"/>
        <v>30天内</v>
      </c>
      <c r="AN112" s="56">
        <v>0</v>
      </c>
      <c r="AO112" s="21" t="s">
        <v>186</v>
      </c>
      <c r="AP112" s="61">
        <f t="shared" si="336"/>
        <v>0</v>
      </c>
      <c r="AQ112" s="13"/>
    </row>
    <row r="113" spans="1:43">
      <c r="A113" s="21">
        <v>202508</v>
      </c>
      <c r="B113" s="25">
        <v>45884</v>
      </c>
      <c r="C113" s="21" t="s">
        <v>224</v>
      </c>
      <c r="D113" s="21" t="str">
        <f t="shared" ref="D113:I113" si="438">D112</f>
        <v>M » N2 - 1</v>
      </c>
      <c r="E113" s="21" t="str">
        <f t="shared" si="438"/>
        <v>YCD-EX:HUPPER TEK</v>
      </c>
      <c r="F113" s="21" t="str">
        <f t="shared" si="438"/>
        <v>MI202508130012</v>
      </c>
      <c r="G113" s="21" t="str">
        <f t="shared" si="438"/>
        <v>DE2508031-G7-MIC</v>
      </c>
      <c r="H113" s="26">
        <f t="shared" si="438"/>
        <v>45889</v>
      </c>
      <c r="I113" s="37" t="str">
        <f t="shared" si="438"/>
        <v>B077RVYZRF</v>
      </c>
      <c r="J113" s="21"/>
      <c r="K113" s="38" t="str">
        <f t="shared" ref="K113:O113" si="439">K112</f>
        <v>德国联邦快递金属储物柜</v>
      </c>
      <c r="L113" s="21"/>
      <c r="M113" s="36">
        <f t="shared" si="439"/>
        <v>188</v>
      </c>
      <c r="N113" s="36">
        <f t="shared" si="439"/>
        <v>49</v>
      </c>
      <c r="O113" s="36">
        <f t="shared" si="439"/>
        <v>14</v>
      </c>
      <c r="P113" s="21">
        <f t="shared" si="263"/>
        <v>0.128968</v>
      </c>
      <c r="Q113" s="21"/>
      <c r="R113" s="36">
        <f t="shared" ref="R113:T113" si="440">R112</f>
        <v>188</v>
      </c>
      <c r="S113" s="36">
        <f t="shared" si="440"/>
        <v>49</v>
      </c>
      <c r="T113" s="36">
        <f t="shared" si="440"/>
        <v>14</v>
      </c>
      <c r="U113" s="21">
        <f t="shared" si="265"/>
        <v>0.128968</v>
      </c>
      <c r="V113" s="21"/>
      <c r="W113" s="21"/>
      <c r="X113" s="21"/>
      <c r="Y113" s="21"/>
      <c r="Z113" s="21"/>
      <c r="AA113" s="21">
        <f t="shared" ref="AA113:AC113" si="441">AA112</f>
        <v>10</v>
      </c>
      <c r="AB113" s="21">
        <f t="shared" si="441"/>
        <v>117</v>
      </c>
      <c r="AC113" s="21">
        <f t="shared" si="441"/>
        <v>117</v>
      </c>
      <c r="AD113" s="21">
        <v>0</v>
      </c>
      <c r="AE113" s="45">
        <f t="shared" si="389"/>
        <v>0</v>
      </c>
      <c r="AF113" s="45"/>
      <c r="AG113" s="53"/>
      <c r="AH113" s="54">
        <f t="shared" si="267"/>
        <v>0</v>
      </c>
      <c r="AI113" s="21" t="s">
        <v>179</v>
      </c>
      <c r="AJ113" s="55">
        <f t="shared" si="370"/>
        <v>0</v>
      </c>
      <c r="AK113" s="55">
        <f t="shared" si="371"/>
        <v>0</v>
      </c>
      <c r="AL113" s="21">
        <f t="shared" si="380"/>
        <v>-4</v>
      </c>
      <c r="AM113" s="21" t="str">
        <f t="shared" si="349"/>
        <v>30天内</v>
      </c>
      <c r="AN113" s="56">
        <v>0</v>
      </c>
      <c r="AO113" s="21" t="s">
        <v>186</v>
      </c>
      <c r="AP113" s="61">
        <f t="shared" si="336"/>
        <v>0</v>
      </c>
      <c r="AQ113" s="13"/>
    </row>
    <row r="114" spans="1:43">
      <c r="A114" s="21">
        <v>202508</v>
      </c>
      <c r="B114" s="25">
        <v>45885</v>
      </c>
      <c r="C114" s="21" t="s">
        <v>224</v>
      </c>
      <c r="D114" s="21" t="str">
        <f t="shared" ref="D114:I114" si="442">D113</f>
        <v>M » N2 - 1</v>
      </c>
      <c r="E114" s="21" t="str">
        <f t="shared" si="442"/>
        <v>YCD-EX:HUPPER TEK</v>
      </c>
      <c r="F114" s="21" t="str">
        <f t="shared" si="442"/>
        <v>MI202508130012</v>
      </c>
      <c r="G114" s="21" t="str">
        <f t="shared" si="442"/>
        <v>DE2508031-G7-MIC</v>
      </c>
      <c r="H114" s="26">
        <f t="shared" si="442"/>
        <v>45889</v>
      </c>
      <c r="I114" s="37" t="str">
        <f t="shared" si="442"/>
        <v>B077RVYZRF</v>
      </c>
      <c r="J114" s="21"/>
      <c r="K114" s="38" t="str">
        <f t="shared" ref="K114:O114" si="443">K113</f>
        <v>德国联邦快递金属储物柜</v>
      </c>
      <c r="L114" s="21"/>
      <c r="M114" s="36">
        <f t="shared" si="443"/>
        <v>188</v>
      </c>
      <c r="N114" s="36">
        <f t="shared" si="443"/>
        <v>49</v>
      </c>
      <c r="O114" s="36">
        <f t="shared" si="443"/>
        <v>14</v>
      </c>
      <c r="P114" s="21">
        <f t="shared" si="263"/>
        <v>0.128968</v>
      </c>
      <c r="Q114" s="21"/>
      <c r="R114" s="36">
        <f t="shared" ref="R114:T114" si="444">R113</f>
        <v>188</v>
      </c>
      <c r="S114" s="36">
        <f t="shared" si="444"/>
        <v>49</v>
      </c>
      <c r="T114" s="36">
        <f t="shared" si="444"/>
        <v>14</v>
      </c>
      <c r="U114" s="21">
        <f t="shared" si="265"/>
        <v>0.128968</v>
      </c>
      <c r="V114" s="21"/>
      <c r="W114" s="21"/>
      <c r="X114" s="21"/>
      <c r="Y114" s="21"/>
      <c r="Z114" s="21"/>
      <c r="AA114" s="21">
        <f t="shared" ref="AA114:AC114" si="445">AA113</f>
        <v>10</v>
      </c>
      <c r="AB114" s="21">
        <f t="shared" si="445"/>
        <v>117</v>
      </c>
      <c r="AC114" s="21">
        <f t="shared" si="445"/>
        <v>117</v>
      </c>
      <c r="AD114" s="21">
        <v>0</v>
      </c>
      <c r="AE114" s="45">
        <f t="shared" si="389"/>
        <v>0</v>
      </c>
      <c r="AF114" s="45"/>
      <c r="AG114" s="53"/>
      <c r="AH114" s="54">
        <f t="shared" si="267"/>
        <v>0</v>
      </c>
      <c r="AI114" s="21" t="s">
        <v>179</v>
      </c>
      <c r="AJ114" s="55">
        <f t="shared" si="370"/>
        <v>0</v>
      </c>
      <c r="AK114" s="55">
        <f t="shared" si="371"/>
        <v>0</v>
      </c>
      <c r="AL114" s="21">
        <f t="shared" si="380"/>
        <v>-3</v>
      </c>
      <c r="AM114" s="21" t="str">
        <f t="shared" si="349"/>
        <v>30天内</v>
      </c>
      <c r="AN114" s="56">
        <v>0</v>
      </c>
      <c r="AO114" s="21" t="s">
        <v>186</v>
      </c>
      <c r="AP114" s="61">
        <f t="shared" si="336"/>
        <v>0</v>
      </c>
      <c r="AQ114" s="13"/>
    </row>
    <row r="115" spans="1:43">
      <c r="A115" s="21">
        <v>202508</v>
      </c>
      <c r="B115" s="25">
        <v>45886</v>
      </c>
      <c r="C115" s="21" t="s">
        <v>224</v>
      </c>
      <c r="D115" s="21" t="str">
        <f t="shared" ref="D115:I115" si="446">D114</f>
        <v>M » N2 - 1</v>
      </c>
      <c r="E115" s="21" t="str">
        <f t="shared" si="446"/>
        <v>YCD-EX:HUPPER TEK</v>
      </c>
      <c r="F115" s="21" t="str">
        <f t="shared" si="446"/>
        <v>MI202508130012</v>
      </c>
      <c r="G115" s="21" t="str">
        <f t="shared" si="446"/>
        <v>DE2508031-G7-MIC</v>
      </c>
      <c r="H115" s="26">
        <f t="shared" si="446"/>
        <v>45889</v>
      </c>
      <c r="I115" s="37" t="str">
        <f t="shared" si="446"/>
        <v>B077RVYZRF</v>
      </c>
      <c r="J115" s="21"/>
      <c r="K115" s="38" t="str">
        <f t="shared" ref="K115:O115" si="447">K114</f>
        <v>德国联邦快递金属储物柜</v>
      </c>
      <c r="L115" s="21"/>
      <c r="M115" s="36">
        <f t="shared" si="447"/>
        <v>188</v>
      </c>
      <c r="N115" s="36">
        <f t="shared" si="447"/>
        <v>49</v>
      </c>
      <c r="O115" s="36">
        <f t="shared" si="447"/>
        <v>14</v>
      </c>
      <c r="P115" s="21">
        <f t="shared" si="263"/>
        <v>0.128968</v>
      </c>
      <c r="Q115" s="21"/>
      <c r="R115" s="36">
        <f t="shared" ref="R115:T115" si="448">R114</f>
        <v>188</v>
      </c>
      <c r="S115" s="36">
        <f t="shared" si="448"/>
        <v>49</v>
      </c>
      <c r="T115" s="36">
        <f t="shared" si="448"/>
        <v>14</v>
      </c>
      <c r="U115" s="21">
        <f t="shared" si="265"/>
        <v>0.128968</v>
      </c>
      <c r="V115" s="21"/>
      <c r="W115" s="21"/>
      <c r="X115" s="21"/>
      <c r="Y115" s="21"/>
      <c r="Z115" s="21"/>
      <c r="AA115" s="21">
        <f t="shared" ref="AA115:AC115" si="449">AA114</f>
        <v>10</v>
      </c>
      <c r="AB115" s="21">
        <f t="shared" si="449"/>
        <v>117</v>
      </c>
      <c r="AC115" s="21">
        <f t="shared" si="449"/>
        <v>117</v>
      </c>
      <c r="AD115" s="21">
        <v>0</v>
      </c>
      <c r="AE115" s="45">
        <f t="shared" si="389"/>
        <v>0</v>
      </c>
      <c r="AF115" s="45"/>
      <c r="AG115" s="53"/>
      <c r="AH115" s="54">
        <f t="shared" si="267"/>
        <v>0</v>
      </c>
      <c r="AI115" s="21" t="s">
        <v>179</v>
      </c>
      <c r="AJ115" s="55">
        <f t="shared" si="370"/>
        <v>0</v>
      </c>
      <c r="AK115" s="55">
        <f t="shared" si="371"/>
        <v>0</v>
      </c>
      <c r="AL115" s="21">
        <f t="shared" si="380"/>
        <v>-2</v>
      </c>
      <c r="AM115" s="21" t="str">
        <f t="shared" si="349"/>
        <v>30天内</v>
      </c>
      <c r="AN115" s="56">
        <v>0</v>
      </c>
      <c r="AO115" s="21" t="s">
        <v>186</v>
      </c>
      <c r="AP115" s="61">
        <f t="shared" si="336"/>
        <v>0</v>
      </c>
      <c r="AQ115" s="13"/>
    </row>
    <row r="116" spans="1:43">
      <c r="A116" s="21">
        <v>202508</v>
      </c>
      <c r="B116" s="25">
        <v>45887</v>
      </c>
      <c r="C116" s="21" t="s">
        <v>224</v>
      </c>
      <c r="D116" s="21" t="str">
        <f t="shared" ref="D116:I116" si="450">D115</f>
        <v>M » N2 - 1</v>
      </c>
      <c r="E116" s="21" t="str">
        <f t="shared" si="450"/>
        <v>YCD-EX:HUPPER TEK</v>
      </c>
      <c r="F116" s="21" t="str">
        <f t="shared" si="450"/>
        <v>MI202508130012</v>
      </c>
      <c r="G116" s="21" t="str">
        <f t="shared" si="450"/>
        <v>DE2508031-G7-MIC</v>
      </c>
      <c r="H116" s="26">
        <f t="shared" si="450"/>
        <v>45889</v>
      </c>
      <c r="I116" s="37" t="str">
        <f t="shared" si="450"/>
        <v>B077RVYZRF</v>
      </c>
      <c r="J116" s="21"/>
      <c r="K116" s="38" t="str">
        <f t="shared" ref="K116:O116" si="451">K115</f>
        <v>德国联邦快递金属储物柜</v>
      </c>
      <c r="L116" s="21"/>
      <c r="M116" s="36">
        <f t="shared" si="451"/>
        <v>188</v>
      </c>
      <c r="N116" s="36">
        <f t="shared" si="451"/>
        <v>49</v>
      </c>
      <c r="O116" s="36">
        <f t="shared" si="451"/>
        <v>14</v>
      </c>
      <c r="P116" s="21">
        <f t="shared" si="263"/>
        <v>0.128968</v>
      </c>
      <c r="Q116" s="21"/>
      <c r="R116" s="36">
        <f t="shared" ref="R116:T116" si="452">R115</f>
        <v>188</v>
      </c>
      <c r="S116" s="36">
        <f t="shared" si="452"/>
        <v>49</v>
      </c>
      <c r="T116" s="36">
        <f t="shared" si="452"/>
        <v>14</v>
      </c>
      <c r="U116" s="21">
        <f t="shared" si="265"/>
        <v>0.128968</v>
      </c>
      <c r="V116" s="21"/>
      <c r="W116" s="21"/>
      <c r="X116" s="21"/>
      <c r="Y116" s="21"/>
      <c r="Z116" s="21"/>
      <c r="AA116" s="21">
        <f t="shared" ref="AA116:AC116" si="453">AA115</f>
        <v>10</v>
      </c>
      <c r="AB116" s="21">
        <f t="shared" si="453"/>
        <v>117</v>
      </c>
      <c r="AC116" s="21">
        <f t="shared" si="453"/>
        <v>117</v>
      </c>
      <c r="AD116" s="21">
        <v>0</v>
      </c>
      <c r="AE116" s="45">
        <f t="shared" si="389"/>
        <v>0</v>
      </c>
      <c r="AF116" s="45"/>
      <c r="AG116" s="53"/>
      <c r="AH116" s="54">
        <f t="shared" si="267"/>
        <v>0</v>
      </c>
      <c r="AI116" s="21" t="s">
        <v>179</v>
      </c>
      <c r="AJ116" s="55">
        <f t="shared" si="370"/>
        <v>0</v>
      </c>
      <c r="AK116" s="55">
        <f t="shared" si="371"/>
        <v>0</v>
      </c>
      <c r="AL116" s="21">
        <f t="shared" si="380"/>
        <v>-1</v>
      </c>
      <c r="AM116" s="21" t="str">
        <f t="shared" si="349"/>
        <v>30天内</v>
      </c>
      <c r="AN116" s="56">
        <v>0</v>
      </c>
      <c r="AO116" s="21" t="s">
        <v>186</v>
      </c>
      <c r="AP116" s="61">
        <f t="shared" si="336"/>
        <v>0</v>
      </c>
      <c r="AQ116" s="13"/>
    </row>
    <row r="117" spans="1:43">
      <c r="A117" s="21">
        <v>202508</v>
      </c>
      <c r="B117" s="25">
        <v>45888</v>
      </c>
      <c r="C117" s="21" t="s">
        <v>224</v>
      </c>
      <c r="D117" s="21" t="str">
        <f t="shared" ref="D117:I117" si="454">D116</f>
        <v>M » N2 - 1</v>
      </c>
      <c r="E117" s="21" t="str">
        <f t="shared" si="454"/>
        <v>YCD-EX:HUPPER TEK</v>
      </c>
      <c r="F117" s="21" t="str">
        <f t="shared" si="454"/>
        <v>MI202508130012</v>
      </c>
      <c r="G117" s="21" t="str">
        <f t="shared" si="454"/>
        <v>DE2508031-G7-MIC</v>
      </c>
      <c r="H117" s="26">
        <f t="shared" si="454"/>
        <v>45889</v>
      </c>
      <c r="I117" s="37" t="str">
        <f t="shared" si="454"/>
        <v>B077RVYZRF</v>
      </c>
      <c r="J117" s="21"/>
      <c r="K117" s="38" t="str">
        <f t="shared" ref="K117:O117" si="455">K116</f>
        <v>德国联邦快递金属储物柜</v>
      </c>
      <c r="L117" s="21"/>
      <c r="M117" s="36">
        <f t="shared" si="455"/>
        <v>188</v>
      </c>
      <c r="N117" s="36">
        <f t="shared" si="455"/>
        <v>49</v>
      </c>
      <c r="O117" s="36">
        <f t="shared" si="455"/>
        <v>14</v>
      </c>
      <c r="P117" s="21">
        <f t="shared" si="263"/>
        <v>0.128968</v>
      </c>
      <c r="Q117" s="21"/>
      <c r="R117" s="36">
        <f t="shared" ref="R117:T117" si="456">R116</f>
        <v>188</v>
      </c>
      <c r="S117" s="36">
        <f t="shared" si="456"/>
        <v>49</v>
      </c>
      <c r="T117" s="36">
        <f t="shared" si="456"/>
        <v>14</v>
      </c>
      <c r="U117" s="21">
        <f t="shared" si="265"/>
        <v>0.128968</v>
      </c>
      <c r="V117" s="21"/>
      <c r="W117" s="21"/>
      <c r="X117" s="21"/>
      <c r="Y117" s="21"/>
      <c r="Z117" s="21"/>
      <c r="AA117" s="21">
        <f t="shared" ref="AA117:AC117" si="457">AA116</f>
        <v>10</v>
      </c>
      <c r="AB117" s="21">
        <f t="shared" si="457"/>
        <v>117</v>
      </c>
      <c r="AC117" s="21">
        <f t="shared" si="457"/>
        <v>117</v>
      </c>
      <c r="AD117" s="21">
        <v>0</v>
      </c>
      <c r="AE117" s="45">
        <f t="shared" si="389"/>
        <v>0</v>
      </c>
      <c r="AF117" s="45"/>
      <c r="AG117" s="53"/>
      <c r="AH117" s="54">
        <f t="shared" si="267"/>
        <v>0</v>
      </c>
      <c r="AI117" s="21" t="s">
        <v>179</v>
      </c>
      <c r="AJ117" s="55">
        <f t="shared" si="370"/>
        <v>0</v>
      </c>
      <c r="AK117" s="55">
        <f t="shared" si="371"/>
        <v>0</v>
      </c>
      <c r="AL117" s="21">
        <f t="shared" si="380"/>
        <v>0</v>
      </c>
      <c r="AM117" s="21" t="str">
        <f t="shared" si="349"/>
        <v>30天内</v>
      </c>
      <c r="AN117" s="56">
        <v>0</v>
      </c>
      <c r="AO117" s="21" t="s">
        <v>186</v>
      </c>
      <c r="AP117" s="61">
        <f t="shared" si="336"/>
        <v>0</v>
      </c>
      <c r="AQ117" s="13"/>
    </row>
    <row r="118" spans="1:43">
      <c r="A118" s="21">
        <v>202508</v>
      </c>
      <c r="B118" s="25">
        <v>45889</v>
      </c>
      <c r="C118" s="21" t="s">
        <v>224</v>
      </c>
      <c r="D118" s="21" t="str">
        <f t="shared" ref="D118:I118" si="458">D117</f>
        <v>M » N2 - 1</v>
      </c>
      <c r="E118" s="21" t="str">
        <f t="shared" si="458"/>
        <v>YCD-EX:HUPPER TEK</v>
      </c>
      <c r="F118" s="21" t="str">
        <f t="shared" si="458"/>
        <v>MI202508130012</v>
      </c>
      <c r="G118" s="21" t="str">
        <f t="shared" si="458"/>
        <v>DE2508031-G7-MIC</v>
      </c>
      <c r="H118" s="26">
        <f t="shared" si="458"/>
        <v>45889</v>
      </c>
      <c r="I118" s="37" t="str">
        <f t="shared" si="458"/>
        <v>B077RVYZRF</v>
      </c>
      <c r="J118" s="21"/>
      <c r="K118" s="38" t="str">
        <f t="shared" ref="K118:O118" si="459">K117</f>
        <v>德国联邦快递金属储物柜</v>
      </c>
      <c r="L118" s="21"/>
      <c r="M118" s="36">
        <f t="shared" si="459"/>
        <v>188</v>
      </c>
      <c r="N118" s="36">
        <f t="shared" si="459"/>
        <v>49</v>
      </c>
      <c r="O118" s="36">
        <f t="shared" si="459"/>
        <v>14</v>
      </c>
      <c r="P118" s="21">
        <f t="shared" si="263"/>
        <v>0.128968</v>
      </c>
      <c r="Q118" s="21"/>
      <c r="R118" s="36">
        <f t="shared" ref="R118:T118" si="460">R117</f>
        <v>188</v>
      </c>
      <c r="S118" s="36">
        <f t="shared" si="460"/>
        <v>49</v>
      </c>
      <c r="T118" s="36">
        <f t="shared" si="460"/>
        <v>14</v>
      </c>
      <c r="U118" s="21">
        <f t="shared" si="265"/>
        <v>0.128968</v>
      </c>
      <c r="V118" s="21"/>
      <c r="W118" s="21"/>
      <c r="X118" s="21"/>
      <c r="Y118" s="21"/>
      <c r="Z118" s="21"/>
      <c r="AA118" s="21">
        <f t="shared" ref="AA118:AC118" si="461">AA117</f>
        <v>10</v>
      </c>
      <c r="AB118" s="21">
        <f t="shared" si="461"/>
        <v>117</v>
      </c>
      <c r="AC118" s="21">
        <f t="shared" si="461"/>
        <v>117</v>
      </c>
      <c r="AD118" s="21">
        <v>0</v>
      </c>
      <c r="AE118" s="45">
        <f t="shared" si="389"/>
        <v>0</v>
      </c>
      <c r="AF118" s="45">
        <v>117</v>
      </c>
      <c r="AG118" s="53"/>
      <c r="AH118" s="54">
        <f t="shared" si="267"/>
        <v>117</v>
      </c>
      <c r="AI118" s="21" t="s">
        <v>179</v>
      </c>
      <c r="AJ118" s="55">
        <f t="shared" si="370"/>
        <v>15.089256</v>
      </c>
      <c r="AK118" s="55">
        <f t="shared" si="371"/>
        <v>15.089256</v>
      </c>
      <c r="AL118" s="21">
        <f t="shared" si="380"/>
        <v>1</v>
      </c>
      <c r="AM118" s="21" t="str">
        <f t="shared" si="349"/>
        <v>30天内</v>
      </c>
      <c r="AN118" s="56">
        <v>0</v>
      </c>
      <c r="AO118" s="21" t="s">
        <v>186</v>
      </c>
      <c r="AP118" s="61">
        <f t="shared" si="336"/>
        <v>0</v>
      </c>
      <c r="AQ118" s="13"/>
    </row>
    <row r="119" spans="1:43">
      <c r="A119" s="21">
        <v>202508</v>
      </c>
      <c r="B119" s="25">
        <v>45890</v>
      </c>
      <c r="C119" s="21" t="s">
        <v>224</v>
      </c>
      <c r="D119" s="21" t="str">
        <f t="shared" ref="D119:I119" si="462">D118</f>
        <v>M » N2 - 1</v>
      </c>
      <c r="E119" s="21" t="str">
        <f t="shared" si="462"/>
        <v>YCD-EX:HUPPER TEK</v>
      </c>
      <c r="F119" s="21" t="str">
        <f t="shared" si="462"/>
        <v>MI202508130012</v>
      </c>
      <c r="G119" s="21" t="str">
        <f t="shared" si="462"/>
        <v>DE2508031-G7-MIC</v>
      </c>
      <c r="H119" s="26">
        <f t="shared" si="462"/>
        <v>45889</v>
      </c>
      <c r="I119" s="37" t="str">
        <f t="shared" si="462"/>
        <v>B077RVYZRF</v>
      </c>
      <c r="J119" s="21"/>
      <c r="K119" s="38" t="str">
        <f t="shared" ref="K119:O119" si="463">K118</f>
        <v>德国联邦快递金属储物柜</v>
      </c>
      <c r="L119" s="21"/>
      <c r="M119" s="36">
        <f t="shared" si="463"/>
        <v>188</v>
      </c>
      <c r="N119" s="36">
        <f t="shared" si="463"/>
        <v>49</v>
      </c>
      <c r="O119" s="36">
        <f t="shared" si="463"/>
        <v>14</v>
      </c>
      <c r="P119" s="21">
        <f t="shared" si="263"/>
        <v>0.128968</v>
      </c>
      <c r="Q119" s="21"/>
      <c r="R119" s="36">
        <f t="shared" ref="R119:T119" si="464">R118</f>
        <v>188</v>
      </c>
      <c r="S119" s="36">
        <f t="shared" si="464"/>
        <v>49</v>
      </c>
      <c r="T119" s="36">
        <f t="shared" si="464"/>
        <v>14</v>
      </c>
      <c r="U119" s="21">
        <f t="shared" si="265"/>
        <v>0.128968</v>
      </c>
      <c r="V119" s="21"/>
      <c r="W119" s="21"/>
      <c r="X119" s="21"/>
      <c r="Y119" s="21"/>
      <c r="Z119" s="21"/>
      <c r="AA119" s="21">
        <f t="shared" ref="AA119:AC119" si="465">AA118</f>
        <v>10</v>
      </c>
      <c r="AB119" s="21">
        <f t="shared" si="465"/>
        <v>117</v>
      </c>
      <c r="AC119" s="21">
        <f t="shared" si="465"/>
        <v>117</v>
      </c>
      <c r="AD119" s="21">
        <v>0</v>
      </c>
      <c r="AE119" s="45">
        <f t="shared" si="389"/>
        <v>117</v>
      </c>
      <c r="AF119" s="45"/>
      <c r="AG119" s="53"/>
      <c r="AH119" s="54">
        <f t="shared" si="267"/>
        <v>117</v>
      </c>
      <c r="AI119" s="21" t="s">
        <v>179</v>
      </c>
      <c r="AJ119" s="55">
        <f t="shared" si="370"/>
        <v>15.089256</v>
      </c>
      <c r="AK119" s="55">
        <f t="shared" si="371"/>
        <v>15.089256</v>
      </c>
      <c r="AL119" s="21">
        <f t="shared" si="380"/>
        <v>2</v>
      </c>
      <c r="AM119" s="21" t="str">
        <f t="shared" si="349"/>
        <v>30天内</v>
      </c>
      <c r="AN119" s="56">
        <v>0</v>
      </c>
      <c r="AO119" s="21" t="s">
        <v>186</v>
      </c>
      <c r="AP119" s="61">
        <f t="shared" si="336"/>
        <v>0</v>
      </c>
      <c r="AQ119" s="13"/>
    </row>
    <row r="120" spans="1:43">
      <c r="A120" s="21">
        <v>202508</v>
      </c>
      <c r="B120" s="25">
        <v>45891</v>
      </c>
      <c r="C120" s="21" t="s">
        <v>224</v>
      </c>
      <c r="D120" s="21" t="str">
        <f t="shared" ref="D120:I120" si="466">D119</f>
        <v>M » N2 - 1</v>
      </c>
      <c r="E120" s="21" t="str">
        <f t="shared" si="466"/>
        <v>YCD-EX:HUPPER TEK</v>
      </c>
      <c r="F120" s="21" t="str">
        <f t="shared" si="466"/>
        <v>MI202508130012</v>
      </c>
      <c r="G120" s="21" t="str">
        <f t="shared" si="466"/>
        <v>DE2508031-G7-MIC</v>
      </c>
      <c r="H120" s="26">
        <f t="shared" si="466"/>
        <v>45889</v>
      </c>
      <c r="I120" s="37" t="str">
        <f t="shared" si="466"/>
        <v>B077RVYZRF</v>
      </c>
      <c r="J120" s="21"/>
      <c r="K120" s="38" t="str">
        <f t="shared" ref="K120:O120" si="467">K119</f>
        <v>德国联邦快递金属储物柜</v>
      </c>
      <c r="L120" s="21"/>
      <c r="M120" s="36">
        <f t="shared" si="467"/>
        <v>188</v>
      </c>
      <c r="N120" s="36">
        <f t="shared" si="467"/>
        <v>49</v>
      </c>
      <c r="O120" s="36">
        <f t="shared" si="467"/>
        <v>14</v>
      </c>
      <c r="P120" s="21">
        <f t="shared" si="263"/>
        <v>0.128968</v>
      </c>
      <c r="Q120" s="21"/>
      <c r="R120" s="36">
        <f t="shared" ref="R120:T120" si="468">R119</f>
        <v>188</v>
      </c>
      <c r="S120" s="36">
        <f t="shared" si="468"/>
        <v>49</v>
      </c>
      <c r="T120" s="36">
        <f t="shared" si="468"/>
        <v>14</v>
      </c>
      <c r="U120" s="21">
        <f t="shared" si="265"/>
        <v>0.128968</v>
      </c>
      <c r="V120" s="21"/>
      <c r="W120" s="21"/>
      <c r="X120" s="21"/>
      <c r="Y120" s="21"/>
      <c r="Z120" s="21"/>
      <c r="AA120" s="21">
        <f t="shared" ref="AA120:AC120" si="469">AA119</f>
        <v>10</v>
      </c>
      <c r="AB120" s="21">
        <f t="shared" si="469"/>
        <v>117</v>
      </c>
      <c r="AC120" s="21">
        <f t="shared" si="469"/>
        <v>117</v>
      </c>
      <c r="AD120" s="21">
        <v>0</v>
      </c>
      <c r="AE120" s="45">
        <f t="shared" si="389"/>
        <v>117</v>
      </c>
      <c r="AF120" s="45"/>
      <c r="AG120" s="53"/>
      <c r="AH120" s="54">
        <f t="shared" si="267"/>
        <v>117</v>
      </c>
      <c r="AI120" s="21" t="s">
        <v>179</v>
      </c>
      <c r="AJ120" s="55">
        <f t="shared" si="370"/>
        <v>15.089256</v>
      </c>
      <c r="AK120" s="55">
        <f t="shared" si="371"/>
        <v>15.089256</v>
      </c>
      <c r="AL120" s="21">
        <f t="shared" si="380"/>
        <v>3</v>
      </c>
      <c r="AM120" s="21" t="str">
        <f t="shared" si="349"/>
        <v>30天内</v>
      </c>
      <c r="AN120" s="56">
        <v>0</v>
      </c>
      <c r="AO120" s="21" t="s">
        <v>186</v>
      </c>
      <c r="AP120" s="61">
        <f t="shared" si="336"/>
        <v>0</v>
      </c>
      <c r="AQ120" s="13"/>
    </row>
    <row r="121" spans="1:43">
      <c r="A121" s="21">
        <v>202508</v>
      </c>
      <c r="B121" s="25">
        <v>45892</v>
      </c>
      <c r="C121" s="21" t="s">
        <v>224</v>
      </c>
      <c r="D121" s="21" t="str">
        <f t="shared" ref="D121:I121" si="470">D120</f>
        <v>M » N2 - 1</v>
      </c>
      <c r="E121" s="21" t="str">
        <f t="shared" si="470"/>
        <v>YCD-EX:HUPPER TEK</v>
      </c>
      <c r="F121" s="21" t="str">
        <f t="shared" si="470"/>
        <v>MI202508130012</v>
      </c>
      <c r="G121" s="21" t="str">
        <f t="shared" si="470"/>
        <v>DE2508031-G7-MIC</v>
      </c>
      <c r="H121" s="26">
        <f t="shared" si="470"/>
        <v>45889</v>
      </c>
      <c r="I121" s="37" t="str">
        <f t="shared" si="470"/>
        <v>B077RVYZRF</v>
      </c>
      <c r="J121" s="21"/>
      <c r="K121" s="38" t="str">
        <f t="shared" ref="K121:O121" si="471">K120</f>
        <v>德国联邦快递金属储物柜</v>
      </c>
      <c r="L121" s="21"/>
      <c r="M121" s="36">
        <f t="shared" si="471"/>
        <v>188</v>
      </c>
      <c r="N121" s="36">
        <f t="shared" si="471"/>
        <v>49</v>
      </c>
      <c r="O121" s="36">
        <f t="shared" si="471"/>
        <v>14</v>
      </c>
      <c r="P121" s="21">
        <f t="shared" si="263"/>
        <v>0.128968</v>
      </c>
      <c r="Q121" s="21"/>
      <c r="R121" s="36">
        <f t="shared" ref="R121:T121" si="472">R120</f>
        <v>188</v>
      </c>
      <c r="S121" s="36">
        <f t="shared" si="472"/>
        <v>49</v>
      </c>
      <c r="T121" s="36">
        <f t="shared" si="472"/>
        <v>14</v>
      </c>
      <c r="U121" s="21">
        <f t="shared" si="265"/>
        <v>0.128968</v>
      </c>
      <c r="V121" s="21"/>
      <c r="W121" s="21"/>
      <c r="X121" s="21"/>
      <c r="Y121" s="21"/>
      <c r="Z121" s="21"/>
      <c r="AA121" s="21">
        <f t="shared" ref="AA121:AC121" si="473">AA120</f>
        <v>10</v>
      </c>
      <c r="AB121" s="21">
        <f t="shared" si="473"/>
        <v>117</v>
      </c>
      <c r="AC121" s="21">
        <f t="shared" si="473"/>
        <v>117</v>
      </c>
      <c r="AD121" s="21">
        <v>0</v>
      </c>
      <c r="AE121" s="45">
        <f t="shared" si="389"/>
        <v>117</v>
      </c>
      <c r="AF121" s="45"/>
      <c r="AG121" s="53"/>
      <c r="AH121" s="54">
        <f t="shared" si="267"/>
        <v>117</v>
      </c>
      <c r="AI121" s="21" t="s">
        <v>179</v>
      </c>
      <c r="AJ121" s="55">
        <f t="shared" si="370"/>
        <v>15.089256</v>
      </c>
      <c r="AK121" s="55">
        <f t="shared" si="371"/>
        <v>15.089256</v>
      </c>
      <c r="AL121" s="21">
        <f t="shared" si="380"/>
        <v>4</v>
      </c>
      <c r="AM121" s="21" t="str">
        <f t="shared" si="349"/>
        <v>30天内</v>
      </c>
      <c r="AN121" s="56">
        <v>0</v>
      </c>
      <c r="AO121" s="21" t="s">
        <v>186</v>
      </c>
      <c r="AP121" s="61">
        <f t="shared" si="336"/>
        <v>0</v>
      </c>
      <c r="AQ121" s="13"/>
    </row>
    <row r="122" spans="1:43">
      <c r="A122" s="21">
        <v>202508</v>
      </c>
      <c r="B122" s="25">
        <v>45893</v>
      </c>
      <c r="C122" s="21" t="s">
        <v>224</v>
      </c>
      <c r="D122" s="21" t="str">
        <f t="shared" ref="D122:I122" si="474">D121</f>
        <v>M » N2 - 1</v>
      </c>
      <c r="E122" s="21" t="str">
        <f t="shared" si="474"/>
        <v>YCD-EX:HUPPER TEK</v>
      </c>
      <c r="F122" s="21" t="str">
        <f t="shared" si="474"/>
        <v>MI202508130012</v>
      </c>
      <c r="G122" s="21" t="str">
        <f t="shared" si="474"/>
        <v>DE2508031-G7-MIC</v>
      </c>
      <c r="H122" s="26">
        <f t="shared" si="474"/>
        <v>45889</v>
      </c>
      <c r="I122" s="37" t="str">
        <f t="shared" si="474"/>
        <v>B077RVYZRF</v>
      </c>
      <c r="J122" s="21"/>
      <c r="K122" s="38" t="str">
        <f t="shared" ref="K122:O122" si="475">K121</f>
        <v>德国联邦快递金属储物柜</v>
      </c>
      <c r="L122" s="21"/>
      <c r="M122" s="36">
        <f t="shared" si="475"/>
        <v>188</v>
      </c>
      <c r="N122" s="36">
        <f t="shared" si="475"/>
        <v>49</v>
      </c>
      <c r="O122" s="36">
        <f t="shared" si="475"/>
        <v>14</v>
      </c>
      <c r="P122" s="21">
        <f t="shared" si="263"/>
        <v>0.128968</v>
      </c>
      <c r="Q122" s="21"/>
      <c r="R122" s="36">
        <f t="shared" ref="R122:T122" si="476">R121</f>
        <v>188</v>
      </c>
      <c r="S122" s="36">
        <f t="shared" si="476"/>
        <v>49</v>
      </c>
      <c r="T122" s="36">
        <f t="shared" si="476"/>
        <v>14</v>
      </c>
      <c r="U122" s="21">
        <f t="shared" si="265"/>
        <v>0.128968</v>
      </c>
      <c r="V122" s="21"/>
      <c r="W122" s="21"/>
      <c r="X122" s="21"/>
      <c r="Y122" s="21"/>
      <c r="Z122" s="21"/>
      <c r="AA122" s="21">
        <f t="shared" ref="AA122:AC122" si="477">AA121</f>
        <v>10</v>
      </c>
      <c r="AB122" s="21">
        <f t="shared" si="477"/>
        <v>117</v>
      </c>
      <c r="AC122" s="21">
        <f t="shared" si="477"/>
        <v>117</v>
      </c>
      <c r="AD122" s="21">
        <v>0</v>
      </c>
      <c r="AE122" s="45">
        <f t="shared" si="389"/>
        <v>117</v>
      </c>
      <c r="AF122" s="45"/>
      <c r="AG122" s="53"/>
      <c r="AH122" s="54">
        <f t="shared" si="267"/>
        <v>117</v>
      </c>
      <c r="AI122" s="21" t="s">
        <v>179</v>
      </c>
      <c r="AJ122" s="55">
        <f t="shared" si="370"/>
        <v>15.089256</v>
      </c>
      <c r="AK122" s="55">
        <f t="shared" si="371"/>
        <v>15.089256</v>
      </c>
      <c r="AL122" s="21">
        <f t="shared" si="380"/>
        <v>5</v>
      </c>
      <c r="AM122" s="21" t="str">
        <f t="shared" si="349"/>
        <v>30天内</v>
      </c>
      <c r="AN122" s="56">
        <v>0</v>
      </c>
      <c r="AO122" s="21" t="s">
        <v>186</v>
      </c>
      <c r="AP122" s="61">
        <f t="shared" si="336"/>
        <v>0</v>
      </c>
      <c r="AQ122" s="13"/>
    </row>
    <row r="123" spans="1:43">
      <c r="A123" s="21">
        <v>202508</v>
      </c>
      <c r="B123" s="25">
        <v>45894</v>
      </c>
      <c r="C123" s="21" t="s">
        <v>224</v>
      </c>
      <c r="D123" s="21" t="str">
        <f t="shared" ref="D123:I123" si="478">D122</f>
        <v>M » N2 - 1</v>
      </c>
      <c r="E123" s="21" t="str">
        <f t="shared" si="478"/>
        <v>YCD-EX:HUPPER TEK</v>
      </c>
      <c r="F123" s="21" t="str">
        <f t="shared" si="478"/>
        <v>MI202508130012</v>
      </c>
      <c r="G123" s="21" t="str">
        <f t="shared" si="478"/>
        <v>DE2508031-G7-MIC</v>
      </c>
      <c r="H123" s="26">
        <f t="shared" si="478"/>
        <v>45889</v>
      </c>
      <c r="I123" s="37" t="str">
        <f t="shared" si="478"/>
        <v>B077RVYZRF</v>
      </c>
      <c r="J123" s="21"/>
      <c r="K123" s="38" t="str">
        <f t="shared" ref="K123:O123" si="479">K122</f>
        <v>德国联邦快递金属储物柜</v>
      </c>
      <c r="L123" s="21"/>
      <c r="M123" s="36">
        <f t="shared" si="479"/>
        <v>188</v>
      </c>
      <c r="N123" s="36">
        <f t="shared" si="479"/>
        <v>49</v>
      </c>
      <c r="O123" s="36">
        <f t="shared" si="479"/>
        <v>14</v>
      </c>
      <c r="P123" s="21">
        <f t="shared" si="263"/>
        <v>0.128968</v>
      </c>
      <c r="Q123" s="21"/>
      <c r="R123" s="36">
        <f t="shared" ref="R123:T123" si="480">R122</f>
        <v>188</v>
      </c>
      <c r="S123" s="36">
        <f t="shared" si="480"/>
        <v>49</v>
      </c>
      <c r="T123" s="36">
        <f t="shared" si="480"/>
        <v>14</v>
      </c>
      <c r="U123" s="21">
        <f t="shared" si="265"/>
        <v>0.128968</v>
      </c>
      <c r="V123" s="21"/>
      <c r="W123" s="21"/>
      <c r="X123" s="21"/>
      <c r="Y123" s="21"/>
      <c r="Z123" s="21"/>
      <c r="AA123" s="21">
        <f t="shared" ref="AA123:AC123" si="481">AA122</f>
        <v>10</v>
      </c>
      <c r="AB123" s="21">
        <f t="shared" si="481"/>
        <v>117</v>
      </c>
      <c r="AC123" s="21">
        <f t="shared" si="481"/>
        <v>117</v>
      </c>
      <c r="AD123" s="21">
        <v>0</v>
      </c>
      <c r="AE123" s="45">
        <f t="shared" si="389"/>
        <v>117</v>
      </c>
      <c r="AF123" s="46"/>
      <c r="AG123" s="53"/>
      <c r="AH123" s="54">
        <f t="shared" si="267"/>
        <v>117</v>
      </c>
      <c r="AI123" s="21" t="s">
        <v>179</v>
      </c>
      <c r="AJ123" s="55">
        <f t="shared" si="370"/>
        <v>15.089256</v>
      </c>
      <c r="AK123" s="55">
        <f t="shared" si="371"/>
        <v>15.089256</v>
      </c>
      <c r="AL123" s="21">
        <f t="shared" si="380"/>
        <v>6</v>
      </c>
      <c r="AM123" s="21" t="str">
        <f t="shared" si="349"/>
        <v>30天内</v>
      </c>
      <c r="AN123" s="56">
        <v>0</v>
      </c>
      <c r="AO123" s="21" t="s">
        <v>186</v>
      </c>
      <c r="AP123" s="61">
        <f t="shared" si="336"/>
        <v>0</v>
      </c>
      <c r="AQ123" s="13"/>
    </row>
    <row r="124" spans="1:43">
      <c r="A124" s="21">
        <v>202508</v>
      </c>
      <c r="B124" s="25">
        <v>45895</v>
      </c>
      <c r="C124" s="21" t="s">
        <v>224</v>
      </c>
      <c r="D124" s="21" t="str">
        <f t="shared" ref="D124:I124" si="482">D123</f>
        <v>M » N2 - 1</v>
      </c>
      <c r="E124" s="21" t="str">
        <f t="shared" si="482"/>
        <v>YCD-EX:HUPPER TEK</v>
      </c>
      <c r="F124" s="21" t="str">
        <f t="shared" si="482"/>
        <v>MI202508130012</v>
      </c>
      <c r="G124" s="21" t="str">
        <f t="shared" si="482"/>
        <v>DE2508031-G7-MIC</v>
      </c>
      <c r="H124" s="26">
        <f t="shared" si="482"/>
        <v>45889</v>
      </c>
      <c r="I124" s="37" t="str">
        <f t="shared" si="482"/>
        <v>B077RVYZRF</v>
      </c>
      <c r="J124" s="21"/>
      <c r="K124" s="38" t="str">
        <f t="shared" ref="K124:O124" si="483">K123</f>
        <v>德国联邦快递金属储物柜</v>
      </c>
      <c r="L124" s="21"/>
      <c r="M124" s="36">
        <f t="shared" si="483"/>
        <v>188</v>
      </c>
      <c r="N124" s="36">
        <f t="shared" si="483"/>
        <v>49</v>
      </c>
      <c r="O124" s="36">
        <f t="shared" si="483"/>
        <v>14</v>
      </c>
      <c r="P124" s="21">
        <f t="shared" si="263"/>
        <v>0.128968</v>
      </c>
      <c r="Q124" s="21"/>
      <c r="R124" s="36">
        <f t="shared" ref="R124:T124" si="484">R123</f>
        <v>188</v>
      </c>
      <c r="S124" s="36">
        <f t="shared" si="484"/>
        <v>49</v>
      </c>
      <c r="T124" s="36">
        <f t="shared" si="484"/>
        <v>14</v>
      </c>
      <c r="U124" s="21">
        <f t="shared" si="265"/>
        <v>0.128968</v>
      </c>
      <c r="V124" s="21"/>
      <c r="W124" s="21"/>
      <c r="X124" s="21"/>
      <c r="Y124" s="21"/>
      <c r="Z124" s="21"/>
      <c r="AA124" s="21">
        <f t="shared" ref="AA124:AC124" si="485">AA123</f>
        <v>10</v>
      </c>
      <c r="AB124" s="21">
        <f t="shared" si="485"/>
        <v>117</v>
      </c>
      <c r="AC124" s="21">
        <f t="shared" si="485"/>
        <v>117</v>
      </c>
      <c r="AD124" s="21">
        <v>0</v>
      </c>
      <c r="AE124" s="45">
        <f t="shared" si="389"/>
        <v>117</v>
      </c>
      <c r="AF124" s="46"/>
      <c r="AG124" s="53"/>
      <c r="AH124" s="54">
        <f t="shared" si="267"/>
        <v>117</v>
      </c>
      <c r="AI124" s="21" t="s">
        <v>179</v>
      </c>
      <c r="AJ124" s="55">
        <f t="shared" si="370"/>
        <v>15.089256</v>
      </c>
      <c r="AK124" s="55">
        <f t="shared" si="371"/>
        <v>15.089256</v>
      </c>
      <c r="AL124" s="21">
        <f t="shared" si="380"/>
        <v>7</v>
      </c>
      <c r="AM124" s="21" t="str">
        <f t="shared" si="349"/>
        <v>30天内</v>
      </c>
      <c r="AN124" s="56">
        <v>0</v>
      </c>
      <c r="AO124" s="21" t="s">
        <v>186</v>
      </c>
      <c r="AP124" s="61">
        <f t="shared" si="336"/>
        <v>0</v>
      </c>
      <c r="AQ124" s="13"/>
    </row>
    <row r="125" spans="1:43">
      <c r="A125" s="21">
        <v>202508</v>
      </c>
      <c r="B125" s="25">
        <v>45896</v>
      </c>
      <c r="C125" s="21" t="s">
        <v>224</v>
      </c>
      <c r="D125" s="21" t="str">
        <f t="shared" ref="D125:I125" si="486">D124</f>
        <v>M » N2 - 1</v>
      </c>
      <c r="E125" s="21" t="str">
        <f t="shared" si="486"/>
        <v>YCD-EX:HUPPER TEK</v>
      </c>
      <c r="F125" s="21" t="str">
        <f t="shared" si="486"/>
        <v>MI202508130012</v>
      </c>
      <c r="G125" s="21" t="str">
        <f t="shared" si="486"/>
        <v>DE2508031-G7-MIC</v>
      </c>
      <c r="H125" s="26">
        <f t="shared" si="486"/>
        <v>45889</v>
      </c>
      <c r="I125" s="37" t="str">
        <f t="shared" si="486"/>
        <v>B077RVYZRF</v>
      </c>
      <c r="J125" s="21"/>
      <c r="K125" s="38" t="str">
        <f t="shared" ref="K125:O125" si="487">K124</f>
        <v>德国联邦快递金属储物柜</v>
      </c>
      <c r="L125" s="21"/>
      <c r="M125" s="36">
        <f t="shared" si="487"/>
        <v>188</v>
      </c>
      <c r="N125" s="36">
        <f t="shared" si="487"/>
        <v>49</v>
      </c>
      <c r="O125" s="36">
        <f t="shared" si="487"/>
        <v>14</v>
      </c>
      <c r="P125" s="21">
        <f t="shared" si="263"/>
        <v>0.128968</v>
      </c>
      <c r="Q125" s="21"/>
      <c r="R125" s="36">
        <f t="shared" ref="R125:T125" si="488">R124</f>
        <v>188</v>
      </c>
      <c r="S125" s="36">
        <f t="shared" si="488"/>
        <v>49</v>
      </c>
      <c r="T125" s="36">
        <f t="shared" si="488"/>
        <v>14</v>
      </c>
      <c r="U125" s="21">
        <f t="shared" si="265"/>
        <v>0.128968</v>
      </c>
      <c r="V125" s="21"/>
      <c r="W125" s="21"/>
      <c r="X125" s="21"/>
      <c r="Y125" s="21"/>
      <c r="Z125" s="21"/>
      <c r="AA125" s="21">
        <f t="shared" ref="AA125:AC125" si="489">AA124</f>
        <v>10</v>
      </c>
      <c r="AB125" s="21">
        <f t="shared" si="489"/>
        <v>117</v>
      </c>
      <c r="AC125" s="21">
        <f t="shared" si="489"/>
        <v>117</v>
      </c>
      <c r="AD125" s="21">
        <v>0</v>
      </c>
      <c r="AE125" s="45">
        <f t="shared" si="389"/>
        <v>117</v>
      </c>
      <c r="AF125" s="45"/>
      <c r="AG125" s="53"/>
      <c r="AH125" s="54">
        <f t="shared" si="267"/>
        <v>117</v>
      </c>
      <c r="AI125" s="21" t="s">
        <v>179</v>
      </c>
      <c r="AJ125" s="55">
        <f t="shared" si="370"/>
        <v>15.089256</v>
      </c>
      <c r="AK125" s="55">
        <f t="shared" si="371"/>
        <v>15.089256</v>
      </c>
      <c r="AL125" s="21">
        <f t="shared" si="380"/>
        <v>8</v>
      </c>
      <c r="AM125" s="21" t="str">
        <f t="shared" si="349"/>
        <v>30天内</v>
      </c>
      <c r="AN125" s="56">
        <v>0</v>
      </c>
      <c r="AO125" s="21" t="s">
        <v>186</v>
      </c>
      <c r="AP125" s="61">
        <f t="shared" si="336"/>
        <v>0</v>
      </c>
      <c r="AQ125" s="13"/>
    </row>
    <row r="126" spans="1:43">
      <c r="A126" s="21">
        <v>202508</v>
      </c>
      <c r="B126" s="25">
        <v>45897</v>
      </c>
      <c r="C126" s="21" t="s">
        <v>224</v>
      </c>
      <c r="D126" s="21" t="str">
        <f t="shared" ref="D126:I126" si="490">D125</f>
        <v>M » N2 - 1</v>
      </c>
      <c r="E126" s="21" t="str">
        <f t="shared" si="490"/>
        <v>YCD-EX:HUPPER TEK</v>
      </c>
      <c r="F126" s="21" t="str">
        <f t="shared" si="490"/>
        <v>MI202508130012</v>
      </c>
      <c r="G126" s="21" t="str">
        <f t="shared" si="490"/>
        <v>DE2508031-G7-MIC</v>
      </c>
      <c r="H126" s="26">
        <f t="shared" si="490"/>
        <v>45889</v>
      </c>
      <c r="I126" s="37" t="str">
        <f t="shared" si="490"/>
        <v>B077RVYZRF</v>
      </c>
      <c r="J126" s="21"/>
      <c r="K126" s="38" t="str">
        <f t="shared" ref="K126:O126" si="491">K125</f>
        <v>德国联邦快递金属储物柜</v>
      </c>
      <c r="L126" s="21"/>
      <c r="M126" s="36">
        <f t="shared" si="491"/>
        <v>188</v>
      </c>
      <c r="N126" s="36">
        <f t="shared" si="491"/>
        <v>49</v>
      </c>
      <c r="O126" s="36">
        <f t="shared" si="491"/>
        <v>14</v>
      </c>
      <c r="P126" s="21">
        <f t="shared" si="263"/>
        <v>0.128968</v>
      </c>
      <c r="Q126" s="21"/>
      <c r="R126" s="36">
        <f t="shared" ref="R126:T126" si="492">R125</f>
        <v>188</v>
      </c>
      <c r="S126" s="36">
        <f t="shared" si="492"/>
        <v>49</v>
      </c>
      <c r="T126" s="36">
        <f t="shared" si="492"/>
        <v>14</v>
      </c>
      <c r="U126" s="21">
        <f t="shared" si="265"/>
        <v>0.128968</v>
      </c>
      <c r="V126" s="21"/>
      <c r="W126" s="21"/>
      <c r="X126" s="21"/>
      <c r="Y126" s="21"/>
      <c r="Z126" s="21"/>
      <c r="AA126" s="21">
        <f t="shared" ref="AA126:AC126" si="493">AA125</f>
        <v>10</v>
      </c>
      <c r="AB126" s="21">
        <f t="shared" si="493"/>
        <v>117</v>
      </c>
      <c r="AC126" s="21">
        <f t="shared" si="493"/>
        <v>117</v>
      </c>
      <c r="AD126" s="21">
        <v>0</v>
      </c>
      <c r="AE126" s="45">
        <f t="shared" si="389"/>
        <v>117</v>
      </c>
      <c r="AF126" s="45"/>
      <c r="AG126" s="53"/>
      <c r="AH126" s="54">
        <f t="shared" si="267"/>
        <v>117</v>
      </c>
      <c r="AI126" s="21" t="s">
        <v>179</v>
      </c>
      <c r="AJ126" s="55">
        <f t="shared" si="370"/>
        <v>15.089256</v>
      </c>
      <c r="AK126" s="55">
        <f t="shared" si="371"/>
        <v>15.089256</v>
      </c>
      <c r="AL126" s="21">
        <f t="shared" si="380"/>
        <v>9</v>
      </c>
      <c r="AM126" s="21" t="str">
        <f t="shared" si="349"/>
        <v>30天内</v>
      </c>
      <c r="AN126" s="56">
        <v>0</v>
      </c>
      <c r="AO126" s="21" t="s">
        <v>186</v>
      </c>
      <c r="AP126" s="61">
        <f t="shared" si="336"/>
        <v>0</v>
      </c>
      <c r="AQ126" s="13"/>
    </row>
    <row r="127" spans="1:43">
      <c r="A127" s="21">
        <v>202508</v>
      </c>
      <c r="B127" s="25">
        <v>45898</v>
      </c>
      <c r="C127" s="21" t="s">
        <v>224</v>
      </c>
      <c r="D127" s="21" t="str">
        <f t="shared" ref="D127:I127" si="494">D126</f>
        <v>M » N2 - 1</v>
      </c>
      <c r="E127" s="21" t="str">
        <f t="shared" si="494"/>
        <v>YCD-EX:HUPPER TEK</v>
      </c>
      <c r="F127" s="21" t="str">
        <f t="shared" si="494"/>
        <v>MI202508130012</v>
      </c>
      <c r="G127" s="21" t="str">
        <f t="shared" si="494"/>
        <v>DE2508031-G7-MIC</v>
      </c>
      <c r="H127" s="26">
        <f t="shared" si="494"/>
        <v>45889</v>
      </c>
      <c r="I127" s="37" t="str">
        <f t="shared" si="494"/>
        <v>B077RVYZRF</v>
      </c>
      <c r="J127" s="21"/>
      <c r="K127" s="38" t="str">
        <f t="shared" ref="K127:O127" si="495">K126</f>
        <v>德国联邦快递金属储物柜</v>
      </c>
      <c r="L127" s="21"/>
      <c r="M127" s="36">
        <f t="shared" si="495"/>
        <v>188</v>
      </c>
      <c r="N127" s="36">
        <f t="shared" si="495"/>
        <v>49</v>
      </c>
      <c r="O127" s="36">
        <f t="shared" si="495"/>
        <v>14</v>
      </c>
      <c r="P127" s="21">
        <f t="shared" si="263"/>
        <v>0.128968</v>
      </c>
      <c r="Q127" s="21"/>
      <c r="R127" s="36">
        <f t="shared" ref="R127:T127" si="496">R126</f>
        <v>188</v>
      </c>
      <c r="S127" s="36">
        <f t="shared" si="496"/>
        <v>49</v>
      </c>
      <c r="T127" s="36">
        <f t="shared" si="496"/>
        <v>14</v>
      </c>
      <c r="U127" s="21">
        <f t="shared" si="265"/>
        <v>0.128968</v>
      </c>
      <c r="V127" s="21"/>
      <c r="W127" s="21"/>
      <c r="X127" s="21"/>
      <c r="Y127" s="21"/>
      <c r="Z127" s="21"/>
      <c r="AA127" s="21">
        <f t="shared" ref="AA127:AC127" si="497">AA126</f>
        <v>10</v>
      </c>
      <c r="AB127" s="21">
        <f t="shared" si="497"/>
        <v>117</v>
      </c>
      <c r="AC127" s="21">
        <f t="shared" si="497"/>
        <v>117</v>
      </c>
      <c r="AD127" s="21">
        <v>0</v>
      </c>
      <c r="AE127" s="45">
        <f t="shared" si="389"/>
        <v>117</v>
      </c>
      <c r="AF127" s="45"/>
      <c r="AG127" s="53"/>
      <c r="AH127" s="54">
        <f t="shared" si="267"/>
        <v>117</v>
      </c>
      <c r="AI127" s="21" t="s">
        <v>179</v>
      </c>
      <c r="AJ127" s="55">
        <f t="shared" si="370"/>
        <v>15.089256</v>
      </c>
      <c r="AK127" s="55">
        <f t="shared" si="371"/>
        <v>15.089256</v>
      </c>
      <c r="AL127" s="21">
        <f t="shared" si="380"/>
        <v>10</v>
      </c>
      <c r="AM127" s="21" t="str">
        <f t="shared" si="349"/>
        <v>30天内</v>
      </c>
      <c r="AN127" s="56">
        <v>0</v>
      </c>
      <c r="AO127" s="21" t="s">
        <v>186</v>
      </c>
      <c r="AP127" s="61">
        <f t="shared" si="336"/>
        <v>0</v>
      </c>
      <c r="AQ127" s="13"/>
    </row>
    <row r="128" spans="1:43">
      <c r="A128" s="21">
        <v>202508</v>
      </c>
      <c r="B128" s="25">
        <v>45899</v>
      </c>
      <c r="C128" s="21" t="s">
        <v>224</v>
      </c>
      <c r="D128" s="21" t="str">
        <f t="shared" ref="D128:I128" si="498">D127</f>
        <v>M » N2 - 1</v>
      </c>
      <c r="E128" s="21" t="str">
        <f t="shared" si="498"/>
        <v>YCD-EX:HUPPER TEK</v>
      </c>
      <c r="F128" s="21" t="str">
        <f t="shared" si="498"/>
        <v>MI202508130012</v>
      </c>
      <c r="G128" s="21" t="str">
        <f t="shared" si="498"/>
        <v>DE2508031-G7-MIC</v>
      </c>
      <c r="H128" s="26">
        <f t="shared" si="498"/>
        <v>45889</v>
      </c>
      <c r="I128" s="37" t="str">
        <f t="shared" si="498"/>
        <v>B077RVYZRF</v>
      </c>
      <c r="J128" s="21"/>
      <c r="K128" s="38" t="str">
        <f t="shared" ref="K128:O128" si="499">K127</f>
        <v>德国联邦快递金属储物柜</v>
      </c>
      <c r="L128" s="21"/>
      <c r="M128" s="36">
        <f t="shared" si="499"/>
        <v>188</v>
      </c>
      <c r="N128" s="36">
        <f t="shared" si="499"/>
        <v>49</v>
      </c>
      <c r="O128" s="36">
        <f t="shared" si="499"/>
        <v>14</v>
      </c>
      <c r="P128" s="21">
        <f t="shared" si="263"/>
        <v>0.128968</v>
      </c>
      <c r="Q128" s="21"/>
      <c r="R128" s="36">
        <f t="shared" ref="R128:T128" si="500">R127</f>
        <v>188</v>
      </c>
      <c r="S128" s="36">
        <f t="shared" si="500"/>
        <v>49</v>
      </c>
      <c r="T128" s="36">
        <f t="shared" si="500"/>
        <v>14</v>
      </c>
      <c r="U128" s="21">
        <f t="shared" si="265"/>
        <v>0.128968</v>
      </c>
      <c r="V128" s="21"/>
      <c r="W128" s="21"/>
      <c r="X128" s="21"/>
      <c r="Y128" s="21"/>
      <c r="Z128" s="21"/>
      <c r="AA128" s="21">
        <f t="shared" ref="AA128:AC128" si="501">AA127</f>
        <v>10</v>
      </c>
      <c r="AB128" s="21">
        <f t="shared" si="501"/>
        <v>117</v>
      </c>
      <c r="AC128" s="21">
        <f t="shared" si="501"/>
        <v>117</v>
      </c>
      <c r="AD128" s="21">
        <v>0</v>
      </c>
      <c r="AE128" s="45">
        <f t="shared" si="389"/>
        <v>117</v>
      </c>
      <c r="AF128" s="45"/>
      <c r="AG128" s="53"/>
      <c r="AH128" s="54">
        <f t="shared" si="267"/>
        <v>117</v>
      </c>
      <c r="AI128" s="21" t="s">
        <v>179</v>
      </c>
      <c r="AJ128" s="55">
        <f t="shared" si="370"/>
        <v>15.089256</v>
      </c>
      <c r="AK128" s="55">
        <f t="shared" si="371"/>
        <v>15.089256</v>
      </c>
      <c r="AL128" s="21">
        <f t="shared" si="380"/>
        <v>11</v>
      </c>
      <c r="AM128" s="21" t="str">
        <f t="shared" si="349"/>
        <v>30天内</v>
      </c>
      <c r="AN128" s="56">
        <v>0</v>
      </c>
      <c r="AO128" s="21" t="s">
        <v>186</v>
      </c>
      <c r="AP128" s="61">
        <f t="shared" si="336"/>
        <v>0</v>
      </c>
      <c r="AQ128" s="13"/>
    </row>
    <row r="129" spans="1:43">
      <c r="A129" s="21">
        <v>202508</v>
      </c>
      <c r="B129" s="25">
        <v>45900</v>
      </c>
      <c r="C129" s="21" t="s">
        <v>224</v>
      </c>
      <c r="D129" s="21" t="str">
        <f t="shared" ref="D129:I129" si="502">D128</f>
        <v>M » N2 - 1</v>
      </c>
      <c r="E129" s="21" t="str">
        <f t="shared" si="502"/>
        <v>YCD-EX:HUPPER TEK</v>
      </c>
      <c r="F129" s="21" t="str">
        <f t="shared" si="502"/>
        <v>MI202508130012</v>
      </c>
      <c r="G129" s="21" t="str">
        <f t="shared" si="502"/>
        <v>DE2508031-G7-MIC</v>
      </c>
      <c r="H129" s="26">
        <f t="shared" si="502"/>
        <v>45889</v>
      </c>
      <c r="I129" s="37" t="str">
        <f t="shared" si="502"/>
        <v>B077RVYZRF</v>
      </c>
      <c r="J129" s="21"/>
      <c r="K129" s="38" t="str">
        <f t="shared" ref="K129:O129" si="503">K128</f>
        <v>德国联邦快递金属储物柜</v>
      </c>
      <c r="L129" s="21"/>
      <c r="M129" s="36">
        <f t="shared" si="503"/>
        <v>188</v>
      </c>
      <c r="N129" s="36">
        <f t="shared" si="503"/>
        <v>49</v>
      </c>
      <c r="O129" s="36">
        <f t="shared" si="503"/>
        <v>14</v>
      </c>
      <c r="P129" s="21">
        <f t="shared" si="263"/>
        <v>0.128968</v>
      </c>
      <c r="Q129" s="21"/>
      <c r="R129" s="36">
        <f t="shared" ref="R129:T129" si="504">R128</f>
        <v>188</v>
      </c>
      <c r="S129" s="36">
        <f t="shared" si="504"/>
        <v>49</v>
      </c>
      <c r="T129" s="36">
        <f t="shared" si="504"/>
        <v>14</v>
      </c>
      <c r="U129" s="21">
        <f t="shared" si="265"/>
        <v>0.128968</v>
      </c>
      <c r="V129" s="21"/>
      <c r="W129" s="21"/>
      <c r="X129" s="21"/>
      <c r="Y129" s="21"/>
      <c r="Z129" s="21"/>
      <c r="AA129" s="21">
        <f t="shared" ref="AA129:AC129" si="505">AA128</f>
        <v>10</v>
      </c>
      <c r="AB129" s="21">
        <f t="shared" si="505"/>
        <v>117</v>
      </c>
      <c r="AC129" s="21">
        <f t="shared" si="505"/>
        <v>117</v>
      </c>
      <c r="AD129" s="21">
        <v>0</v>
      </c>
      <c r="AE129" s="45">
        <f t="shared" si="389"/>
        <v>117</v>
      </c>
      <c r="AF129" s="46"/>
      <c r="AG129" s="53"/>
      <c r="AH129" s="57">
        <f t="shared" si="267"/>
        <v>117</v>
      </c>
      <c r="AI129" s="21" t="s">
        <v>179</v>
      </c>
      <c r="AJ129" s="55">
        <f t="shared" si="370"/>
        <v>15.089256</v>
      </c>
      <c r="AK129" s="55">
        <f t="shared" si="371"/>
        <v>15.089256</v>
      </c>
      <c r="AL129" s="21">
        <f t="shared" si="380"/>
        <v>12</v>
      </c>
      <c r="AM129" s="21" t="str">
        <f t="shared" si="349"/>
        <v>30天内</v>
      </c>
      <c r="AN129" s="56">
        <v>0</v>
      </c>
      <c r="AO129" s="21" t="s">
        <v>186</v>
      </c>
      <c r="AP129" s="61">
        <f t="shared" si="336"/>
        <v>0</v>
      </c>
      <c r="AQ129" s="13"/>
    </row>
  </sheetData>
  <autoFilter xmlns:etc="http://www.wps.cn/officeDocument/2017/etCustomData" ref="A5:AQ129" etc:filterBottomFollowUsedRange="0">
    <sortState ref="A5:AQ129">
      <sortCondition ref="H5"/>
    </sortState>
    <extLst/>
  </autoFilter>
  <mergeCells count="9">
    <mergeCell ref="A2:B2"/>
    <mergeCell ref="C2:H2"/>
    <mergeCell ref="I2:P2"/>
    <mergeCell ref="Q2:U2"/>
    <mergeCell ref="V2:Z2"/>
    <mergeCell ref="AA2:AD2"/>
    <mergeCell ref="AE2:AH2"/>
    <mergeCell ref="AJ2:AP2"/>
    <mergeCell ref="AQ2:AQ4"/>
  </mergeCell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G8" sqref="G8"/>
    </sheetView>
  </sheetViews>
  <sheetFormatPr defaultColWidth="8.8" defaultRowHeight="14.25" outlineLevelRow="4"/>
  <cols>
    <col min="1" max="1" width="23.1916666666667" customWidth="1"/>
    <col min="2" max="2" width="24.2583333333333" customWidth="1"/>
    <col min="3" max="3" width="14.4416666666667" customWidth="1"/>
    <col min="9" max="9" width="13.5666666666667" customWidth="1"/>
    <col min="10" max="10" width="9.03333333333333"/>
    <col min="11" max="11" width="12.6916666666667" customWidth="1"/>
  </cols>
  <sheetData>
    <row r="1" ht="18.75" spans="1:12">
      <c r="A1" s="1" t="s">
        <v>105</v>
      </c>
      <c r="B1" s="1" t="s">
        <v>225</v>
      </c>
      <c r="C1" s="1" t="s">
        <v>196</v>
      </c>
      <c r="D1" s="1" t="s">
        <v>226</v>
      </c>
      <c r="E1" s="1" t="s">
        <v>227</v>
      </c>
      <c r="F1" s="1" t="s">
        <v>200</v>
      </c>
      <c r="G1" s="1" t="s">
        <v>201</v>
      </c>
      <c r="H1" s="1" t="s">
        <v>228</v>
      </c>
      <c r="I1" s="1" t="s">
        <v>229</v>
      </c>
      <c r="J1" s="5" t="s">
        <v>230</v>
      </c>
      <c r="K1" s="1" t="s">
        <v>231</v>
      </c>
      <c r="L1" t="s">
        <v>160</v>
      </c>
    </row>
    <row r="2" spans="1:12">
      <c r="A2" s="2" t="s">
        <v>63</v>
      </c>
      <c r="B2" s="3" t="s">
        <v>232</v>
      </c>
      <c r="C2" s="2" t="s">
        <v>233</v>
      </c>
      <c r="D2" s="2">
        <v>47.4</v>
      </c>
      <c r="E2" s="2">
        <v>188</v>
      </c>
      <c r="F2" s="2">
        <v>49</v>
      </c>
      <c r="G2" s="2">
        <v>14</v>
      </c>
      <c r="H2" s="4"/>
      <c r="I2" s="2" t="str">
        <f>E2&amp;"x"&amp;F2&amp;"x"&amp;G2</f>
        <v>188x49x14</v>
      </c>
      <c r="J2" s="6">
        <f>E2*F2*G2/1000000</f>
        <v>0.128968</v>
      </c>
      <c r="K2" s="2" t="s">
        <v>234</v>
      </c>
      <c r="L2" t="s">
        <v>235</v>
      </c>
    </row>
    <row r="3" spans="1:12">
      <c r="A3" s="2" t="s">
        <v>61</v>
      </c>
      <c r="B3" s="3" t="s">
        <v>236</v>
      </c>
      <c r="C3" s="2" t="s">
        <v>237</v>
      </c>
      <c r="D3" s="2">
        <v>47.4</v>
      </c>
      <c r="E3" s="2">
        <v>188</v>
      </c>
      <c r="F3" s="2">
        <v>49</v>
      </c>
      <c r="G3" s="2">
        <v>14</v>
      </c>
      <c r="H3" s="4"/>
      <c r="I3" s="2" t="str">
        <f>E3&amp;"x"&amp;F3&amp;"x"&amp;G3</f>
        <v>188x49x14</v>
      </c>
      <c r="J3" s="6">
        <f>E3*F3*G3/1000000</f>
        <v>0.128968</v>
      </c>
      <c r="K3" s="2" t="s">
        <v>238</v>
      </c>
      <c r="L3" t="s">
        <v>235</v>
      </c>
    </row>
    <row r="4" spans="1:12">
      <c r="A4" s="2" t="s">
        <v>65</v>
      </c>
      <c r="B4" s="3" t="s">
        <v>239</v>
      </c>
      <c r="C4" s="2" t="s">
        <v>240</v>
      </c>
      <c r="D4" s="2">
        <v>47.4</v>
      </c>
      <c r="E4" s="2">
        <v>188</v>
      </c>
      <c r="F4" s="2">
        <v>49</v>
      </c>
      <c r="G4" s="2">
        <v>14</v>
      </c>
      <c r="H4" s="4"/>
      <c r="I4" s="2" t="str">
        <f>E4&amp;"x"&amp;F4&amp;"x"&amp;G4</f>
        <v>188x49x14</v>
      </c>
      <c r="J4" s="6">
        <f>E4*F4*G4/1000000</f>
        <v>0.128968</v>
      </c>
      <c r="K4" s="2" t="s">
        <v>241</v>
      </c>
      <c r="L4" t="s">
        <v>235</v>
      </c>
    </row>
    <row r="5" spans="1:12">
      <c r="A5" s="2" t="s">
        <v>64</v>
      </c>
      <c r="B5" s="3" t="s">
        <v>242</v>
      </c>
      <c r="C5" s="2" t="s">
        <v>243</v>
      </c>
      <c r="D5" s="2">
        <v>47.4</v>
      </c>
      <c r="E5" s="2">
        <v>188</v>
      </c>
      <c r="F5" s="2">
        <v>49</v>
      </c>
      <c r="G5" s="2">
        <v>14</v>
      </c>
      <c r="H5" s="4"/>
      <c r="I5" s="2" t="str">
        <f>E5&amp;"x"&amp;F5&amp;"x"&amp;G5</f>
        <v>188x49x14</v>
      </c>
      <c r="J5" s="6">
        <f>E5*F5*G5/1000000</f>
        <v>0.128968</v>
      </c>
      <c r="K5" s="2" t="s">
        <v>244</v>
      </c>
      <c r="L5" t="s">
        <v>235</v>
      </c>
    </row>
  </sheetData>
  <autoFilter xmlns:etc="http://www.wps.cn/officeDocument/2017/etCustomData" ref="A1:K5" etc:filterBottomFollowUsedRange="0">
    <extLst/>
  </autoFilter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对账单-汇总页</vt:lpstr>
      <vt:lpstr>1.1 正向-入库</vt:lpstr>
      <vt:lpstr>1.2-1正向-2C-GEL</vt:lpstr>
      <vt:lpstr>2.1 正向-普货&amp;大件-仓储费(8月）</vt:lpstr>
      <vt:lpstr>物品明细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albert.liao</dc:creator>
  <cp:lastModifiedBy>蓓蓓</cp:lastModifiedBy>
  <dcterms:created xsi:type="dcterms:W3CDTF">2025-07-30T19:59:00Z</dcterms:created>
  <dcterms:modified xsi:type="dcterms:W3CDTF">2025-09-15T03:09:05Z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11270749681D4D558FF099D013246BA9_13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