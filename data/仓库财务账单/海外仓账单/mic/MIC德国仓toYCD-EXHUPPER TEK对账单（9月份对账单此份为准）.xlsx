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4"/>
  </bookViews>
  <sheets>
    <sheet name="对账单-汇总页" sheetId="8" r:id="rId1"/>
    <sheet name="1.1 正向-入库" sheetId="7" r:id="rId2"/>
    <sheet name="2.1 正向-2B" sheetId="16" r:id="rId3"/>
    <sheet name="2.2 正向-2C-GEL" sheetId="2" r:id="rId4"/>
    <sheet name="3.1 正向-普货-仓储费 " sheetId="14" r:id="rId5"/>
    <sheet name="物品明细" sheetId="12" r:id="rId6"/>
  </sheets>
  <externalReferences>
    <externalReference r:id="rId7"/>
    <externalReference r:id="rId8"/>
  </externalReferences>
  <definedNames>
    <definedName name="_xlnm._FilterDatabase" localSheetId="1" hidden="1">'1.1 正向-入库'!$A$3:$AC$7</definedName>
    <definedName name="_xlnm._FilterDatabase" localSheetId="2" hidden="1">'2.1 正向-2B'!$A$4:$CD$8</definedName>
    <definedName name="_xlnm._FilterDatabase" localSheetId="3" hidden="1">'2.2 正向-2C-GEL'!$A$4:$BP$79</definedName>
    <definedName name="_xlnm._FilterDatabase" localSheetId="4" hidden="1">'3.1 正向-普货-仓储费 '!$A$5:$AQ$129</definedName>
    <definedName name="_xlnm._FilterDatabase" localSheetId="5" hidden="1">物品明细!$A$1:$K$5</definedName>
    <definedName name="_Key2" hidden="1">[1]Zones!#REF!</definedName>
    <definedName name="_dpx2">'[2]DHL City to Zone OB Vol'!$AF$7:$AO$45</definedName>
    <definedName name="_Order1" hidden="1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anllen.wang</author>
    <author>a2015</author>
  </authors>
  <commentList>
    <comment ref="AT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W4" authorId="1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2.xml><?xml version="1.0" encoding="utf-8"?>
<comments xmlns="http://schemas.openxmlformats.org/spreadsheetml/2006/main">
  <authors>
    <author>anllen.wang</author>
    <author>a2015</author>
  </authors>
  <commentList>
    <comment ref="AM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I4" authorId="1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3.xml><?xml version="1.0" encoding="utf-8"?>
<comments xmlns="http://schemas.openxmlformats.org/spreadsheetml/2006/main">
  <authors>
    <author>a2015</author>
  </authors>
  <commentList>
    <comment ref="F3" authorId="0">
      <text>
        <r>
          <rPr>
            <sz val="9"/>
            <rFont val="宋体"/>
            <charset val="134"/>
          </rPr>
          <t>MIC入库任务号</t>
        </r>
      </text>
    </comment>
    <comment ref="G3" authorId="0">
      <text>
        <r>
          <rPr>
            <sz val="9"/>
            <rFont val="宋体"/>
            <charset val="134"/>
          </rPr>
          <t>客户批次号</t>
        </r>
      </text>
    </comment>
    <comment ref="L3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E3" authorId="0">
      <text>
        <r>
          <rPr>
            <sz val="9"/>
            <rFont val="宋体"/>
            <charset val="134"/>
          </rPr>
          <t>上一天库存</t>
        </r>
      </text>
    </comment>
    <comment ref="AK3" authorId="0">
      <text>
        <r>
          <rPr>
            <sz val="9"/>
            <rFont val="宋体"/>
            <charset val="134"/>
          </rPr>
          <t>根据计费规则/最低计费单位来核算</t>
        </r>
      </text>
    </comment>
    <comment ref="L4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C4" authorId="0">
      <text>
        <r>
          <rPr>
            <sz val="9"/>
            <rFont val="宋体"/>
            <charset val="134"/>
          </rPr>
          <t>上一天库存</t>
        </r>
      </text>
    </comment>
    <comment ref="F5" authorId="0">
      <text>
        <r>
          <rPr>
            <sz val="9"/>
            <rFont val="宋体"/>
            <charset val="134"/>
          </rPr>
          <t>MIC入库任务号</t>
        </r>
      </text>
    </comment>
    <comment ref="G5" authorId="0">
      <text>
        <r>
          <rPr>
            <sz val="9"/>
            <rFont val="宋体"/>
            <charset val="134"/>
          </rPr>
          <t>客户批次号</t>
        </r>
      </text>
    </comment>
    <comment ref="L5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</commentList>
</comments>
</file>

<file path=xl/comments4.xml><?xml version="1.0" encoding="utf-8"?>
<comments xmlns="http://schemas.openxmlformats.org/spreadsheetml/2006/main">
  <authors>
    <author>anllen.wang</author>
  </authors>
  <commentList>
    <comment ref="I1" authorId="0">
      <text>
        <r>
          <rPr>
            <sz val="9"/>
            <rFont val="宋体"/>
            <charset val="134"/>
          </rPr>
          <t>公式
=E1&amp;"x"&amp;F1&amp;"x"&amp;G1</t>
        </r>
      </text>
    </comment>
  </commentList>
</comments>
</file>

<file path=xl/sharedStrings.xml><?xml version="1.0" encoding="utf-8"?>
<sst xmlns="http://schemas.openxmlformats.org/spreadsheetml/2006/main" count="2283" uniqueCount="624">
  <si>
    <t>MIC Logistik GmbH对账单（9月）</t>
  </si>
  <si>
    <t>报价版本号：</t>
  </si>
  <si>
    <t>YCD20250701</t>
  </si>
  <si>
    <t>客户</t>
  </si>
  <si>
    <t>哈贝尔HUPPER TEK</t>
  </si>
  <si>
    <t>海外仓地点</t>
  </si>
  <si>
    <t>德国北威州门兴格拉德巴赫（40670 ）</t>
  </si>
  <si>
    <t>报价生效日期</t>
  </si>
  <si>
    <t>2025.07.01</t>
  </si>
  <si>
    <t>公司邮箱</t>
  </si>
  <si>
    <t>info@miclogistik.de</t>
  </si>
  <si>
    <t>对账期</t>
  </si>
  <si>
    <t>2025.09.09~2025.09.30</t>
  </si>
  <si>
    <t>公司网页</t>
  </si>
  <si>
    <t>www.miclogistik.de</t>
  </si>
  <si>
    <t>一、服务内容及对账明细</t>
  </si>
  <si>
    <r>
      <rPr>
        <b/>
        <sz val="11"/>
        <color theme="1"/>
        <rFont val="Microsoft YaHei"/>
        <charset val="134"/>
      </rPr>
      <t>计费币种：</t>
    </r>
    <r>
      <rPr>
        <sz val="11"/>
        <color theme="1"/>
        <rFont val="Microsoft YaHei"/>
        <charset val="134"/>
      </rPr>
      <t>欧元/Euro</t>
    </r>
  </si>
  <si>
    <t>业务场景</t>
  </si>
  <si>
    <t>费用项</t>
  </si>
  <si>
    <t>库内基础费用
A</t>
  </si>
  <si>
    <t>运输基础费用
B</t>
  </si>
  <si>
    <t>附加费
C</t>
  </si>
  <si>
    <t>开票费用合计
A-B+C</t>
  </si>
  <si>
    <t>备注</t>
  </si>
  <si>
    <t>1. 正向</t>
  </si>
  <si>
    <t>1.1 入库</t>
  </si>
  <si>
    <t>9月无入库</t>
  </si>
  <si>
    <t>2.1  2B</t>
  </si>
  <si>
    <t>2.2  2C订单-GEL</t>
  </si>
  <si>
    <t>3.2 仓储费(9月）</t>
  </si>
  <si>
    <t>每月月底统一核算</t>
  </si>
  <si>
    <t>3. 其他</t>
  </si>
  <si>
    <t>合计</t>
  </si>
  <si>
    <t>预付款（9月16日充值4000欧元+9月28日充值2700欧元）</t>
  </si>
  <si>
    <t>减去8月账单1632欧元</t>
  </si>
  <si>
    <t>截止到9月30日余额</t>
  </si>
  <si>
    <t>9月已欠费（建议充值）</t>
  </si>
  <si>
    <t>关键说明</t>
  </si>
  <si>
    <t>1. 报价：</t>
  </si>
  <si>
    <t>不含德国VAT，相关的附加费具体详见每项报价说明。</t>
  </si>
  <si>
    <t>2. 账号使用前提：</t>
  </si>
  <si>
    <r>
      <rPr>
        <sz val="11"/>
        <color theme="1"/>
        <rFont val="Microsoft YaHei"/>
        <charset val="134"/>
      </rPr>
      <t xml:space="preserve">采用预充值+保证金的方式：
</t>
    </r>
    <r>
      <rPr>
        <b/>
        <sz val="11"/>
        <color rgb="FF0000FF"/>
        <rFont val="Microsoft YaHei"/>
        <charset val="134"/>
      </rPr>
      <t>预充值：</t>
    </r>
    <r>
      <rPr>
        <sz val="11"/>
        <color theme="1"/>
        <rFont val="Microsoft YaHei"/>
        <charset val="134"/>
      </rPr>
      <t xml:space="preserve">根据未来2周或1个月预测消费额提前充值，按照不同重量段及对应报价，出单时进行预扣（含退货），充值余额不足则暂停出单；
</t>
    </r>
    <r>
      <rPr>
        <b/>
        <sz val="11"/>
        <color rgb="FFC00000"/>
        <rFont val="Microsoft YaHei"/>
        <charset val="134"/>
      </rPr>
      <t>保证金：</t>
    </r>
    <r>
      <rPr>
        <sz val="11"/>
        <color theme="1"/>
        <rFont val="Microsoft YaHei"/>
        <charset val="134"/>
      </rPr>
      <t>主要是应对相关异常费用，不含常规的出单基础费、附加费，具体额度按月度预充值*15%来收取。</t>
    </r>
  </si>
  <si>
    <t>3. 结算：</t>
  </si>
  <si>
    <t>结算币种为欧元，月结，开票与预充值核销。</t>
  </si>
  <si>
    <t>4. 运输保险：</t>
  </si>
  <si>
    <t>建议购买，发送丢失或损毁，按商业发票金额（需含运费）赔偿；若不购买，只能按照德国道理运输法则，货物实际重量*8.33欧/kg进行赔偿，运费也不赔偿。</t>
  </si>
  <si>
    <t>5. 服务时间：</t>
  </si>
  <si>
    <t>若遇当地国法定节假日，导致服务商不收货，我司会提前知会客户。</t>
  </si>
  <si>
    <t>6. 报价申明：</t>
  </si>
  <si>
    <t>卡派运输市场价格波动大，若变化浮动超过10%，MIC提前一个月书面/邮件通知确认。</t>
  </si>
  <si>
    <t>客户签章</t>
  </si>
  <si>
    <t>MIC Logistik GmbH</t>
  </si>
  <si>
    <t xml:space="preserve">日期： </t>
  </si>
  <si>
    <t xml:space="preserve"> 日期：</t>
  </si>
  <si>
    <r>
      <rPr>
        <b/>
        <sz val="16"/>
        <color rgb="FF000000"/>
        <rFont val="Arial"/>
        <charset val="134"/>
      </rPr>
      <t>MIC</t>
    </r>
    <r>
      <rPr>
        <b/>
        <sz val="16"/>
        <color rgb="FF000000"/>
        <rFont val="Microsoft YaHei"/>
        <charset val="134"/>
      </rPr>
      <t>德国海外仓到货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收货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入库明细表</t>
    </r>
  </si>
  <si>
    <r>
      <rPr>
        <b/>
        <sz val="10"/>
        <color rgb="FF000000"/>
        <rFont val="Microsoft YaHei"/>
        <charset val="134"/>
      </rPr>
      <t>退货信息</t>
    </r>
  </si>
  <si>
    <r>
      <rPr>
        <b/>
        <sz val="11"/>
        <color theme="0"/>
        <rFont val="Microsoft YaHei"/>
        <charset val="134"/>
      </rPr>
      <t>卸货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SimSun"/>
        <charset val="134"/>
      </rPr>
      <t>收货费</t>
    </r>
  </si>
  <si>
    <r>
      <rPr>
        <b/>
        <sz val="11"/>
        <color theme="0"/>
        <rFont val="Microsoft YaHei"/>
        <charset val="134"/>
      </rPr>
      <t>合计</t>
    </r>
  </si>
  <si>
    <t>任务号</t>
  </si>
  <si>
    <t>入库月份</t>
  </si>
  <si>
    <t>Carrier</t>
  </si>
  <si>
    <t>收货日期</t>
  </si>
  <si>
    <t>入库状态</t>
  </si>
  <si>
    <t>批次号</t>
  </si>
  <si>
    <t>批次号行数</t>
  </si>
  <si>
    <t>批次数</t>
  </si>
  <si>
    <t>类型</t>
  </si>
  <si>
    <t>物品SKU</t>
  </si>
  <si>
    <t>物品描述</t>
  </si>
  <si>
    <t>物品
总数</t>
  </si>
  <si>
    <t>货位</t>
  </si>
  <si>
    <t>箱数</t>
  </si>
  <si>
    <t>托盘数</t>
  </si>
  <si>
    <t>Remark</t>
  </si>
  <si>
    <t>单价</t>
  </si>
  <si>
    <t>金额</t>
  </si>
  <si>
    <t>MIC德国海外仓一件代发明细表</t>
  </si>
  <si>
    <t>,1m,</t>
  </si>
  <si>
    <t>尾程运输费</t>
  </si>
  <si>
    <t>费用合计</t>
  </si>
  <si>
    <t>出库指令</t>
  </si>
  <si>
    <r>
      <rPr>
        <b/>
        <sz val="11"/>
        <rFont val="Microsoft YaHei"/>
        <charset val="134"/>
      </rPr>
      <t>物品</t>
    </r>
    <r>
      <rPr>
        <b/>
        <sz val="11"/>
        <rFont val="Arial"/>
        <charset val="134"/>
      </rPr>
      <t>-</t>
    </r>
    <r>
      <rPr>
        <b/>
        <sz val="11"/>
        <rFont val="Microsoft YaHei"/>
        <charset val="134"/>
      </rPr>
      <t>拣料及最小包装</t>
    </r>
  </si>
  <si>
    <r>
      <rPr>
        <b/>
        <sz val="11"/>
        <color theme="0"/>
        <rFont val="Microsoft YaHei"/>
        <charset val="134"/>
      </rPr>
      <t>拣货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Microsoft YaHei"/>
        <charset val="134"/>
      </rPr>
      <t>包装费</t>
    </r>
  </si>
  <si>
    <t>拣货续件费</t>
  </si>
  <si>
    <t>贴标费</t>
  </si>
  <si>
    <r>
      <rPr>
        <b/>
        <sz val="11"/>
        <color theme="0"/>
        <rFont val="Microsoft YaHei"/>
        <charset val="134"/>
      </rPr>
      <t>包材费</t>
    </r>
    <r>
      <rPr>
        <b/>
        <sz val="11"/>
        <color theme="0"/>
        <rFont val="Arial"/>
        <charset val="134"/>
      </rPr>
      <t>-</t>
    </r>
    <r>
      <rPr>
        <b/>
        <sz val="11"/>
        <color theme="0"/>
        <rFont val="Microsoft YaHei"/>
        <charset val="134"/>
      </rPr>
      <t>包裹</t>
    </r>
  </si>
  <si>
    <t>装车费</t>
  </si>
  <si>
    <t>自提附加费</t>
  </si>
  <si>
    <t>基础费</t>
  </si>
  <si>
    <r>
      <rPr>
        <b/>
        <sz val="11"/>
        <color rgb="FFFFFFFF"/>
        <rFont val="Microsoft YaHei"/>
        <charset val="134"/>
      </rPr>
      <t>续重费（超</t>
    </r>
    <r>
      <rPr>
        <b/>
        <sz val="11"/>
        <color rgb="FFFFFFFF"/>
        <rFont val="Arial"/>
        <charset val="134"/>
      </rPr>
      <t>300</t>
    </r>
    <r>
      <rPr>
        <b/>
        <sz val="11"/>
        <color rgb="FFFFFFFF"/>
        <rFont val="Microsoft YaHei"/>
        <charset val="134"/>
      </rPr>
      <t>公斤）</t>
    </r>
  </si>
  <si>
    <t>附加费</t>
  </si>
  <si>
    <r>
      <rPr>
        <b/>
        <sz val="11"/>
        <color theme="0"/>
        <rFont val="Arial"/>
        <charset val="134"/>
      </rPr>
      <t>3</t>
    </r>
    <r>
      <rPr>
        <b/>
        <sz val="11"/>
        <color theme="0"/>
        <rFont val="Microsoft YaHei"/>
        <charset val="134"/>
      </rPr>
      <t>件包裹以上运输续件费</t>
    </r>
  </si>
  <si>
    <t>Order No.</t>
  </si>
  <si>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行数</t>
    </r>
  </si>
  <si>
    <t>订单数</t>
  </si>
  <si>
    <t>对账</t>
  </si>
  <si>
    <t>Warehouse</t>
  </si>
  <si>
    <t>月份</t>
  </si>
  <si>
    <t>Order Created At</t>
  </si>
  <si>
    <t>Shipped At</t>
  </si>
  <si>
    <t>Status</t>
  </si>
  <si>
    <t>Customer</t>
  </si>
  <si>
    <t>Original Reference</t>
  </si>
  <si>
    <t>Business Type</t>
  </si>
  <si>
    <t>Channel</t>
  </si>
  <si>
    <t>Creator</t>
  </si>
  <si>
    <t>运单数</t>
  </si>
  <si>
    <t>Priority</t>
  </si>
  <si>
    <t>weight</t>
  </si>
  <si>
    <t>Carrier
Return</t>
  </si>
  <si>
    <t>Shipments No1</t>
  </si>
  <si>
    <t>Shipments No2</t>
  </si>
  <si>
    <t>Retour No</t>
  </si>
  <si>
    <t>Postal Code</t>
  </si>
  <si>
    <t>城市</t>
  </si>
  <si>
    <t>Country</t>
  </si>
  <si>
    <t>Item ID</t>
  </si>
  <si>
    <r>
      <rPr>
        <b/>
        <sz val="11"/>
        <color theme="0"/>
        <rFont val="Microsoft YaHei"/>
        <charset val="134"/>
      </rPr>
      <t>物品尺寸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长宽高</t>
    </r>
    <r>
      <rPr>
        <b/>
        <sz val="11"/>
        <color theme="0"/>
        <rFont val="Arial"/>
        <charset val="134"/>
      </rPr>
      <t>cm</t>
    </r>
  </si>
  <si>
    <r>
      <rPr>
        <b/>
        <sz val="11"/>
        <color theme="0"/>
        <rFont val="Microsoft YaHei"/>
        <charset val="134"/>
      </rPr>
      <t>单个物品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>kg</t>
    </r>
  </si>
  <si>
    <t>Item Batch</t>
  </si>
  <si>
    <t>Item Qty</t>
  </si>
  <si>
    <r>
      <rPr>
        <b/>
        <sz val="11"/>
        <color theme="0"/>
        <rFont val="Microsoft YaHei"/>
        <charset val="134"/>
      </rPr>
      <t>订单重量</t>
    </r>
    <r>
      <rPr>
        <b/>
        <sz val="11"/>
        <color theme="0"/>
        <rFont val="Arial"/>
        <charset val="134"/>
      </rPr>
      <t xml:space="preserve">
kg</t>
    </r>
  </si>
  <si>
    <t>PltQty</t>
  </si>
  <si>
    <t>PltDim</t>
  </si>
  <si>
    <t>PltWeight</t>
  </si>
  <si>
    <t>BoxQty</t>
  </si>
  <si>
    <t>BoxDim</t>
  </si>
  <si>
    <t>BoxWeight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</si>
  <si>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套</t>
    </r>
  </si>
  <si>
    <r>
      <rPr>
        <b/>
        <sz val="11"/>
        <color theme="0"/>
        <rFont val="Microsoft YaHei"/>
        <charset val="134"/>
      </rPr>
      <t>单价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</si>
  <si>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金额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</si>
  <si>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pcs</t>
    </r>
  </si>
  <si>
    <t>标签/张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</si>
  <si>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/</t>
    </r>
    <r>
      <rPr>
        <b/>
        <sz val="11"/>
        <color theme="0"/>
        <rFont val="宋体"/>
        <charset val="134"/>
      </rPr>
      <t>托</t>
    </r>
  </si>
  <si>
    <t>库内小计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</si>
  <si>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票</t>
    </r>
  </si>
  <si>
    <r>
      <rPr>
        <b/>
        <sz val="11"/>
        <color theme="0"/>
        <rFont val="Microsoft YaHei"/>
        <charset val="134"/>
      </rPr>
      <t>实际重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</si>
  <si>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体积重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</si>
  <si>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计费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 xml:space="preserve">
kg</t>
    </r>
  </si>
  <si>
    <t>邮编所属区域</t>
  </si>
  <si>
    <t>国家</t>
  </si>
  <si>
    <r>
      <rPr>
        <b/>
        <sz val="11"/>
        <color rgb="FFFFFFFF"/>
        <rFont val="Microsoft YaHei"/>
        <charset val="134"/>
      </rPr>
      <t>单价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</si>
  <si>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rgb="FFFFFFFF"/>
        <rFont val="Microsoft YaHei"/>
        <charset val="134"/>
      </rPr>
      <t>金额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</si>
  <si>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管理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</si>
  <si>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燃油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附加费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</si>
  <si>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过路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过桥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</si>
  <si>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保险</t>
    </r>
  </si>
  <si>
    <r>
      <rPr>
        <b/>
        <sz val="11"/>
        <color theme="0"/>
        <rFont val="Microsoft YaHei"/>
        <charset val="134"/>
      </rPr>
      <t>预约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通知</t>
    </r>
    <r>
      <rPr>
        <b/>
        <sz val="11"/>
        <color theme="0"/>
        <rFont val="Arial"/>
        <charset val="134"/>
      </rPr>
      <t xml:space="preserve">
*</t>
    </r>
  </si>
  <si>
    <t>其它</t>
  </si>
  <si>
    <t>附加费小计</t>
  </si>
  <si>
    <r>
      <rPr>
        <b/>
        <sz val="11"/>
        <color theme="0"/>
        <rFont val="Microsoft YaHei"/>
        <charset val="134"/>
      </rPr>
      <t>包裹数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个</t>
    </r>
  </si>
  <si>
    <t>MIC回复</t>
  </si>
  <si>
    <t>MO202509230417</t>
  </si>
  <si>
    <t>M</t>
  </si>
  <si>
    <t>2025-09-23</t>
  </si>
  <si>
    <t>2025-09-29</t>
  </si>
  <si>
    <t>Shipped</t>
  </si>
  <si>
    <t>YCD-EX:HUPPER TEK</t>
  </si>
  <si>
    <t>ABM0009-250922-0010</t>
  </si>
  <si>
    <t>B2B</t>
  </si>
  <si>
    <t>qianhui.xu@miclogistik.de</t>
  </si>
  <si>
    <t>NORMAL</t>
  </si>
  <si>
    <t>15357.6</t>
  </si>
  <si>
    <t>Self</t>
  </si>
  <si>
    <t>DE</t>
  </si>
  <si>
    <t>B07Q3SQT6C</t>
  </si>
  <si>
    <t>120x80x205</t>
  </si>
  <si>
    <t>原托整出</t>
  </si>
  <si>
    <t>B07BK8W5MF</t>
  </si>
  <si>
    <t>B076THQBHX</t>
  </si>
  <si>
    <t>B077RVYZRF</t>
  </si>
  <si>
    <t>总费用合计</t>
  </si>
  <si>
    <t>尾程费用合计</t>
  </si>
  <si>
    <t>MO202508290008</t>
  </si>
  <si>
    <t>2025-08-29</t>
  </si>
  <si>
    <t>2025-09-01</t>
  </si>
  <si>
    <t>Delivered</t>
  </si>
  <si>
    <t>PO-076-04297086148472146</t>
  </si>
  <si>
    <t>B2C</t>
  </si>
  <si>
    <t>devindai@huppertek.com</t>
  </si>
  <si>
    <t>GELF-EML_HUPPERTEK</t>
  </si>
  <si>
    <t>4618130043</t>
  </si>
  <si>
    <t>91723</t>
  </si>
  <si>
    <t>Dittenheim</t>
  </si>
  <si>
    <t>已对账</t>
  </si>
  <si>
    <t>MO202508290009</t>
  </si>
  <si>
    <t>PO-076-04170828474233442</t>
  </si>
  <si>
    <t>4618131309</t>
  </si>
  <si>
    <t>63075</t>
  </si>
  <si>
    <t>Offenbach am Main</t>
  </si>
  <si>
    <t>MO202508290010</t>
  </si>
  <si>
    <t>Delivery Notify</t>
  </si>
  <si>
    <t>PO-076-04557322616951653</t>
  </si>
  <si>
    <t>4618129764</t>
  </si>
  <si>
    <t>93053</t>
  </si>
  <si>
    <t>Regensburg</t>
  </si>
  <si>
    <t>MO202509010338</t>
  </si>
  <si>
    <t>PO-076-10226771743350626</t>
  </si>
  <si>
    <t>RetourHermes_M</t>
  </si>
  <si>
    <t>4618131446</t>
  </si>
  <si>
    <t>42551</t>
  </si>
  <si>
    <t>Velbert</t>
  </si>
  <si>
    <t>MO202509010339</t>
  </si>
  <si>
    <t>Canceled</t>
  </si>
  <si>
    <t>PO-076-09977348467831059</t>
  </si>
  <si>
    <t>21493</t>
  </si>
  <si>
    <t>Schwarzenbek</t>
  </si>
  <si>
    <t>MO202509010340</t>
  </si>
  <si>
    <t>PO-076-10182554455670378</t>
  </si>
  <si>
    <t>4618131460</t>
  </si>
  <si>
    <t>97650</t>
  </si>
  <si>
    <t>Fladungen</t>
  </si>
  <si>
    <t>MO202509020002</t>
  </si>
  <si>
    <t>2025-09-02</t>
  </si>
  <si>
    <t>PO-076-01718713105271130</t>
  </si>
  <si>
    <t>4618148529</t>
  </si>
  <si>
    <t>31840</t>
  </si>
  <si>
    <t>Hessisch Oldendorf</t>
  </si>
  <si>
    <t>MO202509020633</t>
  </si>
  <si>
    <t>PO-076-12878415094391975-1</t>
  </si>
  <si>
    <t>4618148741</t>
  </si>
  <si>
    <t>23866</t>
  </si>
  <si>
    <t>Nahe</t>
  </si>
  <si>
    <t>MO202509020633-01</t>
  </si>
  <si>
    <t>PO-076-12878415094391975-2</t>
  </si>
  <si>
    <t>4618148758</t>
  </si>
  <si>
    <t>MO202509030202</t>
  </si>
  <si>
    <t>2025-09-03</t>
  </si>
  <si>
    <t>PO-076-12612912981112500</t>
  </si>
  <si>
    <t>4618152489</t>
  </si>
  <si>
    <t>63776</t>
  </si>
  <si>
    <t>Mömbris</t>
  </si>
  <si>
    <t>MO202509030203</t>
  </si>
  <si>
    <t>PO-076-12903771914870030</t>
  </si>
  <si>
    <t>4618152496</t>
  </si>
  <si>
    <t>90765</t>
  </si>
  <si>
    <t>Fürth</t>
  </si>
  <si>
    <t>MO202509030204</t>
  </si>
  <si>
    <t>PO-076-12499994650233943</t>
  </si>
  <si>
    <t>4618152502</t>
  </si>
  <si>
    <t>70794</t>
  </si>
  <si>
    <t>Filderstadt</t>
  </si>
  <si>
    <t>MO202509030363</t>
  </si>
  <si>
    <t>11-13526-16962</t>
  </si>
  <si>
    <t>GELF_HUPPERTEK</t>
  </si>
  <si>
    <t>4618154933</t>
  </si>
  <si>
    <t>40670</t>
  </si>
  <si>
    <t>Meerbusch</t>
  </si>
  <si>
    <t>MO202509040286</t>
  </si>
  <si>
    <t>2025-09-04</t>
  </si>
  <si>
    <t>PO-076-18014211876473843</t>
  </si>
  <si>
    <t>4618159570</t>
  </si>
  <si>
    <t>93170</t>
  </si>
  <si>
    <t>Bernhardswald</t>
  </si>
  <si>
    <t>MO202509080347</t>
  </si>
  <si>
    <t>2025-09-08</t>
  </si>
  <si>
    <t>2025-09-09</t>
  </si>
  <si>
    <t>ReadyToShip</t>
  </si>
  <si>
    <t>12-13542-95015</t>
  </si>
  <si>
    <t>4618174160
4618174177</t>
  </si>
  <si>
    <t>46117</t>
  </si>
  <si>
    <t>Oberhausen</t>
  </si>
  <si>
    <t>MO202509080584</t>
  </si>
  <si>
    <t>PO-076-09412637668471865</t>
  </si>
  <si>
    <t>4618172968</t>
  </si>
  <si>
    <t>84405</t>
  </si>
  <si>
    <t>Dorfen</t>
  </si>
  <si>
    <t>MO202509080585</t>
  </si>
  <si>
    <t>PO-076-09080733322873843</t>
  </si>
  <si>
    <t>4618172951</t>
  </si>
  <si>
    <t>MO202509080586</t>
  </si>
  <si>
    <t>PO-076-14513305964153460</t>
  </si>
  <si>
    <t>4618172944</t>
  </si>
  <si>
    <t>80933</t>
  </si>
  <si>
    <t>München</t>
  </si>
  <si>
    <t>MO202509080587</t>
  </si>
  <si>
    <t>PO-076-15048957921910524</t>
  </si>
  <si>
    <t>4618172937</t>
  </si>
  <si>
    <t>14656</t>
  </si>
  <si>
    <t>Brieselang</t>
  </si>
  <si>
    <t>MO202509080588</t>
  </si>
  <si>
    <t>PO-076-14897119923831719</t>
  </si>
  <si>
    <t>4618172920</t>
  </si>
  <si>
    <t>88427</t>
  </si>
  <si>
    <t>Bad Schussenried</t>
  </si>
  <si>
    <t>MO202509090010</t>
  </si>
  <si>
    <t>PO-076-20390142055031744</t>
  </si>
  <si>
    <t>4618180710</t>
  </si>
  <si>
    <t>92552</t>
  </si>
  <si>
    <t>Teunz</t>
  </si>
  <si>
    <t>MO202509150298</t>
  </si>
  <si>
    <t>Y</t>
  </si>
  <si>
    <t>2025-09-15</t>
  </si>
  <si>
    <t>ABM0009-250915-0019</t>
  </si>
  <si>
    <t>4618199057</t>
  </si>
  <si>
    <t>79418</t>
  </si>
  <si>
    <t>schliengen</t>
  </si>
  <si>
    <t>MO202509150299</t>
  </si>
  <si>
    <t>ABM0009-250915-0018</t>
  </si>
  <si>
    <t>4618199040</t>
  </si>
  <si>
    <t>44809</t>
  </si>
  <si>
    <t>Bochum</t>
  </si>
  <si>
    <t>MO202509150300</t>
  </si>
  <si>
    <t>ABM0009-250915-0017</t>
  </si>
  <si>
    <t>4618199033</t>
  </si>
  <si>
    <t>59399</t>
  </si>
  <si>
    <t>Olfen</t>
  </si>
  <si>
    <t>ABM0009-250915-0016</t>
  </si>
  <si>
    <t>rossmo@miclogistik.de</t>
  </si>
  <si>
    <t>4618207998</t>
  </si>
  <si>
    <t>71665</t>
  </si>
  <si>
    <t>Vaihingen an der Enz</t>
  </si>
  <si>
    <t>ABM0009-250915-0015</t>
  </si>
  <si>
    <t>4618207981</t>
  </si>
  <si>
    <t>33609</t>
  </si>
  <si>
    <t>Bielefeld</t>
  </si>
  <si>
    <t>ABM0009-250915-0014</t>
  </si>
  <si>
    <t>4618207974</t>
  </si>
  <si>
    <t>24963</t>
  </si>
  <si>
    <t>Tarp</t>
  </si>
  <si>
    <t>ABM0009-250915-0013</t>
  </si>
  <si>
    <t>4618207967</t>
  </si>
  <si>
    <t>99996</t>
  </si>
  <si>
    <t>Unstruttal</t>
  </si>
  <si>
    <t>ABM0009-250915-0012</t>
  </si>
  <si>
    <t>4618207950</t>
  </si>
  <si>
    <t>33378</t>
  </si>
  <si>
    <t>Rheda-Wiedenbrück</t>
  </si>
  <si>
    <t>ABM0009-250915-0011</t>
  </si>
  <si>
    <t>4618207943</t>
  </si>
  <si>
    <t>77694</t>
  </si>
  <si>
    <t>Kehl</t>
  </si>
  <si>
    <t>ABM0009-250915-0010</t>
  </si>
  <si>
    <t>4618207936</t>
  </si>
  <si>
    <t>91616</t>
  </si>
  <si>
    <t>Neusitz</t>
  </si>
  <si>
    <t>ABM0009-250915-0009</t>
  </si>
  <si>
    <t>4618207929</t>
  </si>
  <si>
    <t>37120</t>
  </si>
  <si>
    <t>Bovenden</t>
  </si>
  <si>
    <t>ABM0009-250915-0008</t>
  </si>
  <si>
    <t>4618207912</t>
  </si>
  <si>
    <t>1662</t>
  </si>
  <si>
    <t>Meißen</t>
  </si>
  <si>
    <t>ABM0009-250916-0003</t>
  </si>
  <si>
    <t>2025-09-16</t>
  </si>
  <si>
    <t>4618214088
4618214095</t>
  </si>
  <si>
    <t>72461</t>
  </si>
  <si>
    <t>Albstadt</t>
  </si>
  <si>
    <t>ABM0009-250917-0004</t>
  </si>
  <si>
    <t>2025-09-17</t>
  </si>
  <si>
    <t>2025-09-18</t>
  </si>
  <si>
    <t>4618219007</t>
  </si>
  <si>
    <t>86860</t>
  </si>
  <si>
    <t>Jengen</t>
  </si>
  <si>
    <t>ABM0009-250917-0003</t>
  </si>
  <si>
    <t>4618219038</t>
  </si>
  <si>
    <t>94405</t>
  </si>
  <si>
    <t>Landau a.d.Isar</t>
  </si>
  <si>
    <t>ABM0009-250918-0005</t>
  </si>
  <si>
    <t>4618223318
4618223325</t>
  </si>
  <si>
    <t>17033</t>
  </si>
  <si>
    <t>Neubrandenburg</t>
  </si>
  <si>
    <t>ABM0009-250918-0003</t>
  </si>
  <si>
    <t>4618223301</t>
  </si>
  <si>
    <t>38461</t>
  </si>
  <si>
    <t>Danndorf</t>
  </si>
  <si>
    <t>ABM0009-250918-0002</t>
  </si>
  <si>
    <t>2025-09-19</t>
  </si>
  <si>
    <t>4618227477</t>
  </si>
  <si>
    <t>91729</t>
  </si>
  <si>
    <t>Haundorf</t>
  </si>
  <si>
    <t>旧的运单号4618223295</t>
  </si>
  <si>
    <t>ABM0009-250919-0001</t>
  </si>
  <si>
    <t>4618227866
4618227873</t>
  </si>
  <si>
    <t>97494</t>
  </si>
  <si>
    <t>Bundorf</t>
  </si>
  <si>
    <t>ABM0009-250922-0009</t>
  </si>
  <si>
    <t>2025-09-22</t>
  </si>
  <si>
    <t>4618237612</t>
  </si>
  <si>
    <t>48369</t>
  </si>
  <si>
    <t>Saerbeck</t>
  </si>
  <si>
    <t>ABM0009-250922-0008</t>
  </si>
  <si>
    <t>4618237605</t>
  </si>
  <si>
    <t>74586</t>
  </si>
  <si>
    <t>Frankenhardt</t>
  </si>
  <si>
    <t>ABM0009-250922-0007</t>
  </si>
  <si>
    <t>4618237568
4618237575
4618237582
4618237599</t>
  </si>
  <si>
    <t>66629</t>
  </si>
  <si>
    <t>Freisen</t>
  </si>
  <si>
    <t>ABM0009-250922-0006</t>
  </si>
  <si>
    <t>4618237551</t>
  </si>
  <si>
    <t>65205</t>
  </si>
  <si>
    <t>Wiesbaden</t>
  </si>
  <si>
    <t>ABM0009-250922-0005</t>
  </si>
  <si>
    <t>4618237544</t>
  </si>
  <si>
    <t>53619</t>
  </si>
  <si>
    <t>Rheinbreitbach</t>
  </si>
  <si>
    <t>ABM0009-250922-0004</t>
  </si>
  <si>
    <t>4618237537</t>
  </si>
  <si>
    <t>45138</t>
  </si>
  <si>
    <t>Essen</t>
  </si>
  <si>
    <t>ABM0009-250922-0003</t>
  </si>
  <si>
    <t>4618237520</t>
  </si>
  <si>
    <t>12559</t>
  </si>
  <si>
    <t>Berlin</t>
  </si>
  <si>
    <t>ABM0009-250922-0002</t>
  </si>
  <si>
    <t>4618237513</t>
  </si>
  <si>
    <t>12207</t>
  </si>
  <si>
    <t>ABM0009-250922-0001</t>
  </si>
  <si>
    <t>4618237506</t>
  </si>
  <si>
    <t>27476</t>
  </si>
  <si>
    <t>Cuxhaven</t>
  </si>
  <si>
    <t>ABM0009-250923-0002</t>
  </si>
  <si>
    <t>4618242524</t>
  </si>
  <si>
    <t>65618</t>
  </si>
  <si>
    <t>Selters (taunus)</t>
  </si>
  <si>
    <t>ABM0009-250923-0001</t>
  </si>
  <si>
    <t>4618242517</t>
  </si>
  <si>
    <t>35690</t>
  </si>
  <si>
    <t>Dillenburg</t>
  </si>
  <si>
    <t>ABM0009-250924-0003</t>
  </si>
  <si>
    <t>2025-09-24</t>
  </si>
  <si>
    <t>4618246553</t>
  </si>
  <si>
    <t>53940</t>
  </si>
  <si>
    <t>Hellenthal</t>
  </si>
  <si>
    <t>ABM0009-250924-0002</t>
  </si>
  <si>
    <t>4618246546</t>
  </si>
  <si>
    <t>38489</t>
  </si>
  <si>
    <t>Jübar</t>
  </si>
  <si>
    <t>ABM0009-250924-0001</t>
  </si>
  <si>
    <t>4618246539</t>
  </si>
  <si>
    <t>74229</t>
  </si>
  <si>
    <t>Oedheim</t>
  </si>
  <si>
    <t>ABM0009-250923-0003</t>
  </si>
  <si>
    <t>4618246522</t>
  </si>
  <si>
    <t>23758</t>
  </si>
  <si>
    <t>Oldenburg in Holstein</t>
  </si>
  <si>
    <t>ABM0009-250925-0017</t>
  </si>
  <si>
    <t>2025-09-25</t>
  </si>
  <si>
    <t>4618251434</t>
  </si>
  <si>
    <t>21337</t>
  </si>
  <si>
    <t>Lüneburg</t>
  </si>
  <si>
    <t>ABM0009-250925-0016</t>
  </si>
  <si>
    <t>4618251427</t>
  </si>
  <si>
    <t>32602</t>
  </si>
  <si>
    <t>Vlotho</t>
  </si>
  <si>
    <t>ABM0009-250925-0015</t>
  </si>
  <si>
    <t>4618251410</t>
  </si>
  <si>
    <t>ABM0009-250925-0014</t>
  </si>
  <si>
    <t>4618251403</t>
  </si>
  <si>
    <t>68229</t>
  </si>
  <si>
    <t>Mannheim</t>
  </si>
  <si>
    <t>ABM0009-250925-0013</t>
  </si>
  <si>
    <t>4618251397</t>
  </si>
  <si>
    <t>ABM0009-250925-0012</t>
  </si>
  <si>
    <t>4618251380</t>
  </si>
  <si>
    <t>91722</t>
  </si>
  <si>
    <t>Arberg</t>
  </si>
  <si>
    <t>ABM0009-250926-0002</t>
  </si>
  <si>
    <t>2025-09-26</t>
  </si>
  <si>
    <t>4618255456</t>
  </si>
  <si>
    <t>78576</t>
  </si>
  <si>
    <t>Emmingen-Liptingen</t>
  </si>
  <si>
    <t>ABM0009-250926-0001</t>
  </si>
  <si>
    <t>4618255449</t>
  </si>
  <si>
    <t>54329</t>
  </si>
  <si>
    <t>Konz</t>
  </si>
  <si>
    <t>ABM0009-250929-0010</t>
  </si>
  <si>
    <t>4618264809</t>
  </si>
  <si>
    <t>ABM0009-250929-0009</t>
  </si>
  <si>
    <t>4618264793</t>
  </si>
  <si>
    <t>1257</t>
  </si>
  <si>
    <t>Dresden</t>
  </si>
  <si>
    <t>ABM0009-250929-0008</t>
  </si>
  <si>
    <t>4618264786</t>
  </si>
  <si>
    <t>ABM0009-250929-0007</t>
  </si>
  <si>
    <t>4618264779</t>
  </si>
  <si>
    <t>35580</t>
  </si>
  <si>
    <t>Wetzlar</t>
  </si>
  <si>
    <t>ABM0009-250929-0006</t>
  </si>
  <si>
    <t>4618264762</t>
  </si>
  <si>
    <t>97769</t>
  </si>
  <si>
    <t>Bad Brückenau</t>
  </si>
  <si>
    <t>ABM0009-250929-0005</t>
  </si>
  <si>
    <t>4618264755</t>
  </si>
  <si>
    <t>47533</t>
  </si>
  <si>
    <t>Kleve</t>
  </si>
  <si>
    <t>ABM0009-250929-0004</t>
  </si>
  <si>
    <t>4618264748</t>
  </si>
  <si>
    <t>79807</t>
  </si>
  <si>
    <t>Lottstetten</t>
  </si>
  <si>
    <t>ABM0009-250928-0001</t>
  </si>
  <si>
    <t>4618264731</t>
  </si>
  <si>
    <t>ABM0009-250930-0004</t>
  </si>
  <si>
    <t>2025-09-30</t>
  </si>
  <si>
    <t>4618271258</t>
  </si>
  <si>
    <t>52399</t>
  </si>
  <si>
    <t>Merzenich</t>
  </si>
  <si>
    <t>ABM0009-250930-0002</t>
  </si>
  <si>
    <t>4618271241</t>
  </si>
  <si>
    <t>48599</t>
  </si>
  <si>
    <t>Gronau (Westf.)</t>
  </si>
  <si>
    <t>ABM0009-250930-0003</t>
  </si>
  <si>
    <t>4618271234</t>
  </si>
  <si>
    <t>45549</t>
  </si>
  <si>
    <t>Sprockhövel</t>
  </si>
  <si>
    <t>ABM0009-250930-0001</t>
  </si>
  <si>
    <t>4618271227</t>
  </si>
  <si>
    <t>71034</t>
  </si>
  <si>
    <t>Böblingen</t>
  </si>
  <si>
    <r>
      <rPr>
        <b/>
        <sz val="10"/>
        <color theme="1"/>
        <rFont val="等线"/>
        <charset val="134"/>
      </rPr>
      <t>计费时间</t>
    </r>
    <r>
      <rPr>
        <b/>
        <sz val="10"/>
        <color theme="1"/>
        <rFont val="Arial"/>
        <charset val="134"/>
      </rPr>
      <t>IStorage Charge Date</t>
    </r>
  </si>
  <si>
    <r>
      <rPr>
        <b/>
        <sz val="10"/>
        <color theme="1"/>
        <rFont val="等线"/>
        <charset val="134"/>
      </rPr>
      <t>入仓信息</t>
    </r>
    <r>
      <rPr>
        <b/>
        <sz val="10"/>
        <color theme="1"/>
        <rFont val="Arial"/>
        <charset val="134"/>
      </rPr>
      <t>Inbound Information</t>
    </r>
  </si>
  <si>
    <r>
      <rPr>
        <b/>
        <sz val="10"/>
        <color theme="1"/>
        <rFont val="等线"/>
        <charset val="134"/>
      </rPr>
      <t>商品信息</t>
    </r>
    <r>
      <rPr>
        <b/>
        <sz val="10"/>
        <color theme="1"/>
        <rFont val="Arial"/>
        <charset val="134"/>
      </rPr>
      <t>Product Information</t>
    </r>
  </si>
  <si>
    <t>装箱信息</t>
  </si>
  <si>
    <t>打托信息</t>
  </si>
  <si>
    <t>原始入仓数量</t>
  </si>
  <si>
    <t>进销存信息</t>
  </si>
  <si>
    <r>
      <rPr>
        <b/>
        <sz val="10"/>
        <color theme="1"/>
        <rFont val="等线"/>
        <charset val="134"/>
      </rPr>
      <t>仓储费计费信息</t>
    </r>
    <r>
      <rPr>
        <b/>
        <sz val="10"/>
        <color theme="1"/>
        <rFont val="Arial"/>
        <charset val="134"/>
      </rPr>
      <t>/Storage Charge Infromation</t>
    </r>
  </si>
  <si>
    <t>日期</t>
  </si>
  <si>
    <t>仓库名称</t>
  </si>
  <si>
    <t>仓库编码</t>
  </si>
  <si>
    <t>客户代码</t>
  </si>
  <si>
    <t>入库任务号</t>
  </si>
  <si>
    <t>原始参考号</t>
  </si>
  <si>
    <t>入库上架时间</t>
  </si>
  <si>
    <t>编码</t>
  </si>
  <si>
    <t>条码</t>
  </si>
  <si>
    <t>商品名称</t>
  </si>
  <si>
    <t>件型</t>
  </si>
  <si>
    <t>长</t>
  </si>
  <si>
    <t>宽</t>
  </si>
  <si>
    <t>高</t>
  </si>
  <si>
    <r>
      <rPr>
        <b/>
        <sz val="10"/>
        <color theme="1"/>
        <rFont val="SimSun"/>
        <charset val="134"/>
      </rPr>
      <t>单品体积</t>
    </r>
    <r>
      <rPr>
        <b/>
        <sz val="10"/>
        <color rgb="FF0000FF"/>
        <rFont val="Arial"/>
        <charset val="134"/>
      </rPr>
      <t>A</t>
    </r>
  </si>
  <si>
    <t>装箱数</t>
  </si>
  <si>
    <t>单箱体积B</t>
  </si>
  <si>
    <t>打托数</t>
  </si>
  <si>
    <t>单托体积C</t>
  </si>
  <si>
    <t>托数</t>
  </si>
  <si>
    <t>总数</t>
  </si>
  <si>
    <t>期初库存数</t>
  </si>
  <si>
    <t>入库数</t>
  </si>
  <si>
    <t>出库数</t>
  </si>
  <si>
    <t>期末库存数</t>
  </si>
  <si>
    <t>计费单元</t>
  </si>
  <si>
    <t>库存体积E</t>
  </si>
  <si>
    <t>实际计费体积F</t>
  </si>
  <si>
    <t>库龄</t>
  </si>
  <si>
    <t>库龄段</t>
  </si>
  <si>
    <t>计费单价</t>
  </si>
  <si>
    <t>币种</t>
  </si>
  <si>
    <t>仓储费</t>
  </si>
  <si>
    <t>/</t>
  </si>
  <si>
    <t>cm</t>
  </si>
  <si>
    <t>CBM/m³</t>
  </si>
  <si>
    <t>pcs</t>
  </si>
  <si>
    <t>pcs/box</t>
  </si>
  <si>
    <r>
      <rPr>
        <b/>
        <sz val="10"/>
        <color theme="1"/>
        <rFont val="等线"/>
        <charset val="134"/>
      </rPr>
      <t>托</t>
    </r>
    <r>
      <rPr>
        <b/>
        <sz val="10"/>
        <color theme="1"/>
        <rFont val="Arial"/>
        <charset val="134"/>
      </rPr>
      <t>/Pallet</t>
    </r>
  </si>
  <si>
    <r>
      <rPr>
        <b/>
        <sz val="10"/>
        <color theme="1"/>
        <rFont val="SimSun"/>
        <charset val="134"/>
      </rPr>
      <t>箱</t>
    </r>
    <r>
      <rPr>
        <b/>
        <sz val="10"/>
        <color theme="1"/>
        <rFont val="Arial"/>
        <charset val="134"/>
      </rPr>
      <t>/Box</t>
    </r>
  </si>
  <si>
    <r>
      <rPr>
        <b/>
        <sz val="10"/>
        <color theme="1"/>
        <rFont val="等线"/>
        <charset val="134"/>
      </rPr>
      <t>件</t>
    </r>
    <r>
      <rPr>
        <b/>
        <sz val="10"/>
        <color theme="1"/>
        <rFont val="Arial"/>
        <charset val="134"/>
      </rPr>
      <t>/pcs</t>
    </r>
  </si>
  <si>
    <t>pcs/box/pallet</t>
  </si>
  <si>
    <r>
      <rPr>
        <b/>
        <sz val="10"/>
        <color theme="1"/>
        <rFont val="等线"/>
        <charset val="134"/>
      </rPr>
      <t>天</t>
    </r>
    <r>
      <rPr>
        <b/>
        <sz val="10"/>
        <color theme="1"/>
        <rFont val="Arial"/>
        <charset val="134"/>
      </rPr>
      <t>/day</t>
    </r>
  </si>
  <si>
    <t>Euro</t>
  </si>
  <si>
    <t>Month</t>
  </si>
  <si>
    <t>Date</t>
  </si>
  <si>
    <t>Warehouse Name</t>
  </si>
  <si>
    <t>Warehouse Code</t>
  </si>
  <si>
    <t>Client Code</t>
  </si>
  <si>
    <t>Task No.</t>
  </si>
  <si>
    <t>Original Ref.  No.</t>
  </si>
  <si>
    <t>Inbound Time</t>
  </si>
  <si>
    <t xml:space="preserve">SKU </t>
  </si>
  <si>
    <t>Barcode</t>
  </si>
  <si>
    <t>Product Name</t>
  </si>
  <si>
    <t>Product Type</t>
  </si>
  <si>
    <t>Lenth</t>
  </si>
  <si>
    <t>Width</t>
  </si>
  <si>
    <t>Height</t>
  </si>
  <si>
    <t>Product
Volume-A</t>
  </si>
  <si>
    <t>Qty per Box</t>
  </si>
  <si>
    <t>Box
Volume-B</t>
  </si>
  <si>
    <t>Qty per Pallet</t>
  </si>
  <si>
    <t>Pallet
Volume-B</t>
  </si>
  <si>
    <t>Qty of Pallet</t>
  </si>
  <si>
    <t>Qty of Carton</t>
  </si>
  <si>
    <t>Total Qty.</t>
  </si>
  <si>
    <t>Batch No.</t>
  </si>
  <si>
    <t>Beginning Inv</t>
  </si>
  <si>
    <t>Inbound</t>
  </si>
  <si>
    <t>Outbound</t>
  </si>
  <si>
    <t>Ending Inv.</t>
  </si>
  <si>
    <t>Charge Unit</t>
  </si>
  <si>
    <t>INV Volume-E</t>
  </si>
  <si>
    <t>Charge Volume-F</t>
  </si>
  <si>
    <t>Storage
Age</t>
  </si>
  <si>
    <t>Storage 
Age Range</t>
  </si>
  <si>
    <t>Charge Price</t>
  </si>
  <si>
    <t>Curreny</t>
  </si>
  <si>
    <t>Storage Amount</t>
  </si>
  <si>
    <t>Rermar</t>
  </si>
  <si>
    <r>
      <rPr>
        <sz val="11"/>
        <color theme="1"/>
        <rFont val="Arial"/>
        <charset val="134"/>
      </rPr>
      <t>MIC</t>
    </r>
    <r>
      <rPr>
        <sz val="11"/>
        <color theme="1"/>
        <rFont val="SimSun"/>
        <charset val="134"/>
      </rPr>
      <t>德国仓</t>
    </r>
  </si>
  <si>
    <t>M » N2 - 1</t>
  </si>
  <si>
    <t>MI202508130012</t>
  </si>
  <si>
    <t>DE2508031-G7-MIC</t>
  </si>
  <si>
    <t>Name</t>
  </si>
  <si>
    <t>Weight</t>
  </si>
  <si>
    <t>Length</t>
  </si>
  <si>
    <t>HS Code</t>
  </si>
  <si>
    <r>
      <rPr>
        <b/>
        <sz val="14"/>
        <color theme="1"/>
        <rFont val="宋体"/>
        <charset val="134"/>
      </rPr>
      <t>规格</t>
    </r>
  </si>
  <si>
    <r>
      <rPr>
        <b/>
        <sz val="14"/>
        <color theme="1"/>
        <rFont val="宋体"/>
        <charset val="134"/>
      </rPr>
      <t>体积</t>
    </r>
  </si>
  <si>
    <r>
      <rPr>
        <b/>
        <sz val="14"/>
        <color theme="1"/>
        <rFont val="宋体"/>
        <charset val="134"/>
      </rPr>
      <t>原始名称</t>
    </r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</si>
  <si>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英寸灰色</t>
    </r>
  </si>
  <si>
    <t>7434503987965</t>
  </si>
  <si>
    <t>Metal Storage Cabinet 71 inches Gray</t>
  </si>
  <si>
    <t>12个/托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</si>
  <si>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英寸银色</t>
    </r>
  </si>
  <si>
    <t>7434503791791</t>
  </si>
  <si>
    <t>Metal Storage Cabinet 71 inches Silver</t>
  </si>
  <si>
    <t>德国联邦快递金属储物柜</t>
  </si>
  <si>
    <t>7434503188171</t>
  </si>
  <si>
    <t>DE - Fedmax Metal Storage Cabinet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</si>
  <si>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英寸高</t>
    </r>
  </si>
  <si>
    <t>600413399021</t>
  </si>
  <si>
    <t>Metal Storage Cabinet 71" Tall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</si>
</sst>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m&quot;月&quot;d&quot;日&quot;;@"/>
    <numFmt numFmtId="178" formatCode="dd/mm/yyyy;@"/>
    <numFmt numFmtId="179" formatCode="0.00_ "/>
    <numFmt numFmtId="180" formatCode="0.0"/>
    <numFmt numFmtId="181" formatCode="[$-409]yyyy/mm/dd;@"/>
    <numFmt numFmtId="182" formatCode="0_);\(0\)"/>
    <numFmt numFmtId="183" formatCode="0_ "/>
    <numFmt numFmtId="184" formatCode="0.00_ ;\-0.00\ "/>
    <numFmt numFmtId="185" formatCode="#,##0.00_ "/>
    <numFmt numFmtId="186" formatCode="0_ ;\-0\ "/>
    <numFmt numFmtId="187" formatCode="0.00_);[Red]\(0.00\)"/>
  </numFmts>
  <fonts count="77">
    <font>
      <sz val="12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1"/>
      <color rgb="FF0000FF"/>
      <name val="Arial"/>
      <charset val="134"/>
    </font>
    <font>
      <b/>
      <sz val="10"/>
      <color theme="1"/>
      <name val="等线"/>
      <charset val="134"/>
    </font>
    <font>
      <b/>
      <sz val="10"/>
      <color theme="1"/>
      <name val="SimSun"/>
      <charset val="134"/>
    </font>
    <font>
      <b/>
      <sz val="10"/>
      <color theme="0"/>
      <name val="等线"/>
      <charset val="134"/>
    </font>
    <font>
      <b/>
      <sz val="10"/>
      <color theme="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color rgb="FF606266"/>
      <name val="宋体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</font>
    <font>
      <sz val="11"/>
      <color theme="1"/>
      <name val="Microsoft YaHei"/>
      <charset val="134"/>
    </font>
    <font>
      <strike/>
      <sz val="12"/>
      <color rgb="FFFF0000"/>
      <name val="宋体"/>
      <charset val="134"/>
      <scheme val="minor"/>
    </font>
    <font>
      <b/>
      <sz val="11"/>
      <color theme="1"/>
      <name val="Microsoft YaHei"/>
      <charset val="134"/>
    </font>
    <font>
      <b/>
      <sz val="16"/>
      <color rgb="FF000000"/>
      <name val="Microsoft YaHei"/>
      <charset val="134"/>
    </font>
    <font>
      <b/>
      <sz val="10"/>
      <color rgb="FF0000FF"/>
      <name val="Microsoft YaHei"/>
      <charset val="134"/>
    </font>
    <font>
      <b/>
      <sz val="11"/>
      <color rgb="FF000000"/>
      <name val="Arial"/>
      <charset val="134"/>
    </font>
    <font>
      <b/>
      <sz val="11"/>
      <color theme="0"/>
      <name val="Arial"/>
      <charset val="134"/>
    </font>
    <font>
      <b/>
      <sz val="11"/>
      <color theme="0"/>
      <name val="Microsoft YaHei"/>
      <charset val="134"/>
    </font>
    <font>
      <b/>
      <sz val="11"/>
      <name val="Microsoft YaHei"/>
      <charset val="134"/>
    </font>
    <font>
      <b/>
      <sz val="11"/>
      <name val="Arial"/>
      <charset val="134"/>
    </font>
    <font>
      <sz val="10"/>
      <color theme="1"/>
      <name val="Microsoft YaHei"/>
      <charset val="134"/>
    </font>
    <font>
      <sz val="10"/>
      <color rgb="FF000000"/>
      <name val="Arial"/>
      <charset val="134"/>
    </font>
    <font>
      <strike/>
      <sz val="10"/>
      <color rgb="FFFF0000"/>
      <name val="Arial"/>
      <charset val="134"/>
    </font>
    <font>
      <strike/>
      <sz val="10"/>
      <color rgb="FFFF0000"/>
      <name val="宋体"/>
      <charset val="134"/>
    </font>
    <font>
      <strike/>
      <sz val="10"/>
      <color rgb="FFFF0000"/>
      <name val="Microsoft YaHei"/>
      <charset val="134"/>
    </font>
    <font>
      <strike/>
      <sz val="11"/>
      <color rgb="FFFF0000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rgb="FFFFFFFF"/>
      <name val="Arial"/>
      <charset val="134"/>
    </font>
    <font>
      <b/>
      <sz val="16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Microsoft YaHei"/>
      <charset val="134"/>
    </font>
    <font>
      <b/>
      <u/>
      <sz val="22"/>
      <color theme="3"/>
      <name val="Microsoft YaHei"/>
      <charset val="134"/>
    </font>
    <font>
      <b/>
      <sz val="12"/>
      <color theme="3"/>
      <name val="Microsoft YaHei"/>
      <charset val="134"/>
    </font>
    <font>
      <sz val="12"/>
      <color theme="1"/>
      <name val="Microsoft YaHei"/>
      <charset val="134"/>
    </font>
    <font>
      <u/>
      <sz val="14"/>
      <color rgb="FF0000FF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Microsoft YaHei"/>
      <charset val="134"/>
    </font>
    <font>
      <b/>
      <sz val="11"/>
      <color rgb="FFFF0000"/>
      <name val="Microsoft YaHei"/>
      <charset val="134"/>
    </font>
    <font>
      <b/>
      <sz val="14"/>
      <color theme="0"/>
      <name val="Microsoft YaHei"/>
      <charset val="134"/>
    </font>
    <font>
      <b/>
      <sz val="11"/>
      <color theme="0" tint="-0.1499679555650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</font>
    <font>
      <b/>
      <sz val="14"/>
      <color theme="1"/>
      <name val="宋体"/>
      <charset val="134"/>
    </font>
    <font>
      <b/>
      <sz val="10"/>
      <color rgb="FF000000"/>
      <name val="Microsoft YaHei"/>
      <charset val="134"/>
    </font>
    <font>
      <sz val="11"/>
      <color theme="1"/>
      <name val="SimSun"/>
      <charset val="134"/>
    </font>
    <font>
      <b/>
      <sz val="10"/>
      <color rgb="FF0000FF"/>
      <name val="Arial"/>
      <charset val="134"/>
    </font>
    <font>
      <b/>
      <sz val="11"/>
      <color rgb="FF0000FF"/>
      <name val="Microsoft YaHei"/>
      <charset val="134"/>
    </font>
    <font>
      <b/>
      <sz val="11"/>
      <color rgb="FFC00000"/>
      <name val="Microsoft YaHei"/>
      <charset val="134"/>
    </font>
    <font>
      <b/>
      <sz val="11"/>
      <color theme="0"/>
      <name val="宋体"/>
      <charset val="134"/>
    </font>
    <font>
      <b/>
      <sz val="11"/>
      <color theme="0"/>
      <name val="SimSun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14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23" borderId="15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4" borderId="18" applyNumberFormat="0" applyAlignment="0" applyProtection="0">
      <alignment vertical="center"/>
    </xf>
    <xf numFmtId="0" fontId="54" fillId="25" borderId="19" applyNumberFormat="0" applyAlignment="0" applyProtection="0">
      <alignment vertical="center"/>
    </xf>
    <xf numFmtId="0" fontId="55" fillId="25" borderId="18" applyNumberFormat="0" applyAlignment="0" applyProtection="0">
      <alignment vertical="center"/>
    </xf>
    <xf numFmtId="0" fontId="56" fillId="14" borderId="20" applyNumberForma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0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5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78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7" fontId="10" fillId="6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/>
    <xf numFmtId="177" fontId="11" fillId="0" borderId="0" xfId="0" applyNumberFormat="1" applyFont="1" applyFill="1" applyAlignment="1"/>
    <xf numFmtId="0" fontId="12" fillId="0" borderId="1" xfId="0" applyFont="1" applyFill="1" applyBorder="1" applyAlignment="1">
      <alignment horizontal="left" vertical="center"/>
    </xf>
    <xf numFmtId="180" fontId="13" fillId="0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/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177" fontId="10" fillId="11" borderId="1" xfId="0" applyNumberFormat="1" applyFont="1" applyFill="1" applyBorder="1" applyAlignment="1">
      <alignment horizontal="center" vertical="center"/>
    </xf>
    <xf numFmtId="58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/>
    </xf>
    <xf numFmtId="2" fontId="15" fillId="0" borderId="1" xfId="0" applyNumberFormat="1" applyFont="1" applyFill="1" applyBorder="1" applyAlignment="1">
      <alignment horizontal="center" vertical="center"/>
    </xf>
    <xf numFmtId="0" fontId="10" fillId="7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182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/>
    </xf>
    <xf numFmtId="179" fontId="15" fillId="0" borderId="0" xfId="0" applyNumberFormat="1" applyFont="1" applyFill="1" applyBorder="1" applyAlignment="1">
      <alignment horizontal="center" vertical="center"/>
    </xf>
    <xf numFmtId="183" fontId="15" fillId="0" borderId="0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 applyBorder="1" applyAlignment="1">
      <alignment horizontal="center" vertical="center"/>
    </xf>
    <xf numFmtId="184" fontId="15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181" fontId="18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182" fontId="18" fillId="0" borderId="0" xfId="0" applyNumberFormat="1" applyFont="1" applyFill="1" applyBorder="1" applyAlignment="1">
      <alignment horizontal="center" vertical="center" wrapText="1"/>
    </xf>
    <xf numFmtId="184" fontId="19" fillId="13" borderId="0" xfId="0" applyNumberFormat="1" applyFont="1" applyFill="1" applyBorder="1" applyAlignment="1">
      <alignment horizontal="center" vertical="center"/>
    </xf>
    <xf numFmtId="179" fontId="19" fillId="13" borderId="0" xfId="0" applyNumberFormat="1" applyFont="1" applyFill="1" applyBorder="1" applyAlignment="1">
      <alignment horizontal="center" vertical="center"/>
    </xf>
    <xf numFmtId="183" fontId="19" fillId="13" borderId="0" xfId="0" applyNumberFormat="1" applyFont="1" applyFill="1" applyBorder="1" applyAlignment="1">
      <alignment horizontal="center" vertical="center"/>
    </xf>
    <xf numFmtId="182" fontId="19" fillId="13" borderId="0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81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wrapText="1"/>
    </xf>
    <xf numFmtId="182" fontId="20" fillId="0" borderId="1" xfId="0" applyNumberFormat="1" applyFont="1" applyFill="1" applyBorder="1" applyAlignment="1">
      <alignment horizontal="center" vertical="center" wrapText="1"/>
    </xf>
    <xf numFmtId="184" fontId="21" fillId="6" borderId="2" xfId="0" applyNumberFormat="1" applyFont="1" applyFill="1" applyBorder="1" applyAlignment="1">
      <alignment horizontal="center" vertical="center"/>
    </xf>
    <xf numFmtId="184" fontId="21" fillId="6" borderId="3" xfId="0" applyNumberFormat="1" applyFont="1" applyFill="1" applyBorder="1" applyAlignment="1">
      <alignment horizontal="center" vertical="center"/>
    </xf>
    <xf numFmtId="184" fontId="22" fillId="12" borderId="1" xfId="0" applyNumberFormat="1" applyFont="1" applyFill="1" applyBorder="1" applyAlignment="1">
      <alignment horizontal="center" vertical="center"/>
    </xf>
    <xf numFmtId="184" fontId="21" fillId="12" borderId="1" xfId="0" applyNumberFormat="1" applyFont="1" applyFill="1" applyBorder="1" applyAlignment="1">
      <alignment horizontal="center" vertical="center"/>
    </xf>
    <xf numFmtId="182" fontId="21" fillId="12" borderId="1" xfId="0" applyNumberFormat="1" applyFont="1" applyFill="1" applyBorder="1" applyAlignment="1">
      <alignment horizontal="center" vertical="center"/>
    </xf>
    <xf numFmtId="179" fontId="21" fillId="12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3" fillId="14" borderId="1" xfId="0" applyNumberFormat="1" applyFont="1" applyFill="1" applyBorder="1" applyAlignment="1">
      <alignment horizontal="left" vertical="center"/>
    </xf>
    <xf numFmtId="0" fontId="24" fillId="14" borderId="1" xfId="0" applyNumberFormat="1" applyFont="1" applyFill="1" applyBorder="1" applyAlignment="1">
      <alignment horizontal="center" vertical="center"/>
    </xf>
    <xf numFmtId="181" fontId="24" fillId="14" borderId="1" xfId="0" applyNumberFormat="1" applyFont="1" applyFill="1" applyBorder="1" applyAlignment="1">
      <alignment horizontal="center" vertical="center"/>
    </xf>
    <xf numFmtId="0" fontId="24" fillId="14" borderId="1" xfId="0" applyNumberFormat="1" applyFont="1" applyFill="1" applyBorder="1" applyAlignment="1">
      <alignment horizontal="left" vertical="center"/>
    </xf>
    <xf numFmtId="182" fontId="24" fillId="14" borderId="1" xfId="0" applyNumberFormat="1" applyFont="1" applyFill="1" applyBorder="1" applyAlignment="1">
      <alignment horizontal="center" vertical="center"/>
    </xf>
    <xf numFmtId="0" fontId="23" fillId="14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179" fontId="21" fillId="15" borderId="1" xfId="0" applyNumberFormat="1" applyFont="1" applyFill="1" applyBorder="1" applyAlignment="1">
      <alignment horizontal="center" vertical="center"/>
    </xf>
    <xf numFmtId="179" fontId="21" fillId="13" borderId="1" xfId="0" applyNumberFormat="1" applyFont="1" applyFill="1" applyBorder="1" applyAlignment="1">
      <alignment horizontal="center" vertical="center"/>
    </xf>
    <xf numFmtId="183" fontId="22" fillId="15" borderId="1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184" fontId="22" fillId="15" borderId="4" xfId="0" applyNumberFormat="1" applyFont="1" applyFill="1" applyBorder="1" applyAlignment="1">
      <alignment horizontal="center" vertical="center" wrapText="1"/>
    </xf>
    <xf numFmtId="182" fontId="21" fillId="15" borderId="1" xfId="0" applyNumberFormat="1" applyFont="1" applyFill="1" applyBorder="1" applyAlignment="1">
      <alignment horizontal="center" vertical="center"/>
    </xf>
    <xf numFmtId="184" fontId="21" fillId="15" borderId="1" xfId="0" applyNumberFormat="1" applyFont="1" applyFill="1" applyBorder="1" applyAlignment="1">
      <alignment horizontal="center" vertical="center"/>
    </xf>
    <xf numFmtId="184" fontId="22" fillId="15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181" fontId="21" fillId="15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182" fontId="21" fillId="15" borderId="1" xfId="0" applyNumberFormat="1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179" fontId="22" fillId="15" borderId="1" xfId="0" applyNumberFormat="1" applyFont="1" applyFill="1" applyBorder="1" applyAlignment="1">
      <alignment horizontal="center" vertical="center" wrapText="1"/>
    </xf>
    <xf numFmtId="179" fontId="22" fillId="6" borderId="1" xfId="0" applyNumberFormat="1" applyFont="1" applyFill="1" applyBorder="1" applyAlignment="1">
      <alignment horizontal="center" vertical="center" wrapText="1"/>
    </xf>
    <xf numFmtId="183" fontId="22" fillId="15" borderId="1" xfId="0" applyNumberFormat="1" applyFont="1" applyFill="1" applyBorder="1" applyAlignment="1">
      <alignment horizontal="center" vertical="center" wrapText="1"/>
    </xf>
    <xf numFmtId="184" fontId="22" fillId="6" borderId="1" xfId="0" applyNumberFormat="1" applyFont="1" applyFill="1" applyBorder="1" applyAlignment="1">
      <alignment horizontal="center" vertical="center" wrapText="1"/>
    </xf>
    <xf numFmtId="184" fontId="22" fillId="15" borderId="5" xfId="0" applyNumberFormat="1" applyFont="1" applyFill="1" applyBorder="1" applyAlignment="1">
      <alignment horizontal="center" vertical="center" wrapText="1"/>
    </xf>
    <xf numFmtId="184" fontId="22" fillId="16" borderId="1" xfId="0" applyNumberFormat="1" applyFont="1" applyFill="1" applyBorder="1" applyAlignment="1">
      <alignment horizontal="center" vertical="center" wrapText="1"/>
    </xf>
    <xf numFmtId="182" fontId="22" fillId="15" borderId="1" xfId="0" applyNumberFormat="1" applyFont="1" applyFill="1" applyBorder="1" applyAlignment="1">
      <alignment horizontal="center" vertical="center" wrapText="1"/>
    </xf>
    <xf numFmtId="184" fontId="21" fillId="15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185" fontId="2" fillId="0" borderId="1" xfId="0" applyNumberFormat="1" applyFont="1" applyFill="1" applyBorder="1" applyAlignment="1">
      <alignment horizontal="center" vertical="center"/>
    </xf>
    <xf numFmtId="179" fontId="2" fillId="1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179" fontId="25" fillId="0" borderId="1" xfId="0" applyNumberFormat="1" applyFont="1" applyFill="1" applyBorder="1" applyAlignment="1" applyProtection="1">
      <alignment horizontal="center" vertical="center"/>
    </xf>
    <xf numFmtId="186" fontId="2" fillId="0" borderId="1" xfId="0" applyNumberFormat="1" applyFont="1" applyFill="1" applyBorder="1" applyAlignment="1">
      <alignment horizontal="center" vertical="center"/>
    </xf>
    <xf numFmtId="184" fontId="2" fillId="17" borderId="1" xfId="0" applyNumberFormat="1" applyFont="1" applyFill="1" applyBorder="1" applyAlignment="1">
      <alignment horizontal="center" vertical="center"/>
    </xf>
    <xf numFmtId="2" fontId="26" fillId="12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179" fontId="27" fillId="0" borderId="1" xfId="0" applyNumberFormat="1" applyFont="1" applyFill="1" applyBorder="1" applyAlignment="1">
      <alignment horizontal="center" vertical="center"/>
    </xf>
    <xf numFmtId="183" fontId="27" fillId="0" borderId="1" xfId="0" applyNumberFormat="1" applyFont="1" applyFill="1" applyBorder="1" applyAlignment="1">
      <alignment horizontal="center" vertical="center"/>
    </xf>
    <xf numFmtId="185" fontId="27" fillId="0" borderId="1" xfId="0" applyNumberFormat="1" applyFont="1" applyFill="1" applyBorder="1" applyAlignment="1">
      <alignment horizontal="center" vertical="center"/>
    </xf>
    <xf numFmtId="182" fontId="27" fillId="0" borderId="1" xfId="0" applyNumberFormat="1" applyFont="1" applyFill="1" applyBorder="1" applyAlignment="1">
      <alignment horizontal="center" vertical="center"/>
    </xf>
    <xf numFmtId="184" fontId="27" fillId="0" borderId="1" xfId="0" applyNumberFormat="1" applyFont="1" applyFill="1" applyBorder="1" applyAlignment="1">
      <alignment horizontal="center" vertical="center"/>
    </xf>
    <xf numFmtId="179" fontId="29" fillId="0" borderId="1" xfId="0" applyNumberFormat="1" applyFont="1" applyFill="1" applyBorder="1" applyAlignment="1" applyProtection="1">
      <alignment horizontal="center" vertical="center"/>
    </xf>
    <xf numFmtId="186" fontId="27" fillId="0" borderId="1" xfId="0" applyNumberFormat="1" applyFont="1" applyFill="1" applyBorder="1" applyAlignment="1">
      <alignment horizontal="center" vertical="center"/>
    </xf>
    <xf numFmtId="2" fontId="27" fillId="0" borderId="1" xfId="0" applyNumberFormat="1" applyFont="1" applyFill="1" applyBorder="1" applyAlignment="1">
      <alignment horizontal="center" vertical="center"/>
    </xf>
    <xf numFmtId="0" fontId="30" fillId="0" borderId="0" xfId="0" applyFont="1" applyFill="1" applyAlignment="1"/>
    <xf numFmtId="0" fontId="2" fillId="0" borderId="1" xfId="0" applyNumberFormat="1" applyFont="1" applyFill="1" applyBorder="1" applyAlignment="1">
      <alignment horizontal="center" vertical="center" wrapText="1"/>
    </xf>
    <xf numFmtId="184" fontId="2" fillId="16" borderId="1" xfId="0" applyNumberFormat="1" applyFont="1" applyFill="1" applyBorder="1" applyAlignment="1">
      <alignment horizontal="center" vertical="center"/>
    </xf>
    <xf numFmtId="183" fontId="2" fillId="12" borderId="1" xfId="0" applyNumberFormat="1" applyFont="1" applyFill="1" applyBorder="1" applyAlignment="1">
      <alignment horizontal="center" vertical="center"/>
    </xf>
    <xf numFmtId="179" fontId="2" fillId="12" borderId="1" xfId="0" applyNumberFormat="1" applyFont="1" applyFill="1" applyBorder="1" applyAlignment="1">
      <alignment horizontal="center" vertical="center"/>
    </xf>
    <xf numFmtId="2" fontId="26" fillId="18" borderId="1" xfId="0" applyNumberFormat="1" applyFont="1" applyFill="1" applyBorder="1" applyAlignment="1">
      <alignment horizontal="center" vertical="center"/>
    </xf>
    <xf numFmtId="182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87" fontId="15" fillId="0" borderId="0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87" fontId="21" fillId="12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84" fontId="22" fillId="15" borderId="1" xfId="0" applyNumberFormat="1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187" fontId="32" fillId="19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84" fontId="31" fillId="19" borderId="1" xfId="0" applyNumberFormat="1" applyFont="1" applyFill="1" applyBorder="1" applyAlignment="1">
      <alignment horizontal="center" vertical="center" wrapText="1"/>
    </xf>
    <xf numFmtId="187" fontId="31" fillId="2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0" fontId="10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83" fontId="10" fillId="0" borderId="0" xfId="0" applyNumberFormat="1" applyFont="1" applyFill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183" fontId="33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 wrapText="1"/>
    </xf>
    <xf numFmtId="2" fontId="5" fillId="13" borderId="0" xfId="0" applyNumberFormat="1" applyFont="1" applyFill="1" applyAlignment="1">
      <alignment horizontal="center" vertical="center"/>
    </xf>
    <xf numFmtId="0" fontId="34" fillId="14" borderId="7" xfId="0" applyFont="1" applyFill="1" applyBorder="1" applyAlignment="1">
      <alignment horizontal="center" vertical="center"/>
    </xf>
    <xf numFmtId="0" fontId="34" fillId="14" borderId="8" xfId="0" applyFont="1" applyFill="1" applyBorder="1" applyAlignment="1">
      <alignment horizontal="center" vertical="center"/>
    </xf>
    <xf numFmtId="183" fontId="34" fillId="14" borderId="8" xfId="0" applyNumberFormat="1" applyFont="1" applyFill="1" applyBorder="1" applyAlignment="1">
      <alignment horizontal="center" vertical="center"/>
    </xf>
    <xf numFmtId="0" fontId="34" fillId="14" borderId="8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35" fillId="19" borderId="1" xfId="0" applyNumberFormat="1" applyFont="1" applyFill="1" applyBorder="1" applyAlignment="1">
      <alignment horizontal="center" vertical="center" wrapText="1"/>
    </xf>
    <xf numFmtId="0" fontId="35" fillId="6" borderId="1" xfId="0" applyNumberFormat="1" applyFont="1" applyFill="1" applyBorder="1" applyAlignment="1">
      <alignment horizontal="center" vertical="center" wrapText="1"/>
    </xf>
    <xf numFmtId="183" fontId="35" fillId="19" borderId="1" xfId="0" applyNumberFormat="1" applyFont="1" applyFill="1" applyBorder="1" applyAlignment="1">
      <alignment horizontal="center" vertical="center" wrapText="1"/>
    </xf>
    <xf numFmtId="183" fontId="35" fillId="21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5" fillId="11" borderId="0" xfId="50" applyFont="1" applyFill="1" applyAlignment="1">
      <alignment vertical="center"/>
    </xf>
    <xf numFmtId="0" fontId="15" fillId="11" borderId="0" xfId="49" applyFont="1" applyFill="1" applyAlignment="1">
      <alignment vertical="center"/>
    </xf>
    <xf numFmtId="0" fontId="15" fillId="11" borderId="0" xfId="53" applyFont="1" applyFill="1" applyAlignment="1">
      <alignment vertical="center"/>
    </xf>
    <xf numFmtId="179" fontId="15" fillId="11" borderId="0" xfId="50" applyNumberFormat="1" applyFont="1" applyFill="1" applyAlignment="1">
      <alignment vertical="center"/>
    </xf>
    <xf numFmtId="0" fontId="15" fillId="11" borderId="0" xfId="50" applyFont="1" applyFill="1" applyAlignment="1">
      <alignment horizontal="center" vertical="center"/>
    </xf>
    <xf numFmtId="179" fontId="15" fillId="11" borderId="0" xfId="50" applyNumberFormat="1" applyFont="1" applyFill="1" applyAlignment="1">
      <alignment horizontal="center" vertical="center"/>
    </xf>
    <xf numFmtId="179" fontId="36" fillId="11" borderId="9" xfId="50" applyNumberFormat="1" applyFont="1" applyFill="1" applyBorder="1" applyAlignment="1">
      <alignment horizontal="center" vertical="center"/>
    </xf>
    <xf numFmtId="0" fontId="36" fillId="11" borderId="0" xfId="50" applyFont="1" applyFill="1" applyBorder="1" applyAlignment="1">
      <alignment horizontal="center" vertical="center"/>
    </xf>
    <xf numFmtId="179" fontId="36" fillId="11" borderId="0" xfId="50" applyNumberFormat="1" applyFont="1" applyFill="1" applyBorder="1" applyAlignment="1">
      <alignment horizontal="center" vertical="center"/>
    </xf>
    <xf numFmtId="0" fontId="37" fillId="11" borderId="0" xfId="50" applyFont="1" applyFill="1" applyBorder="1" applyAlignment="1">
      <alignment horizontal="right" vertical="center"/>
    </xf>
    <xf numFmtId="0" fontId="37" fillId="11" borderId="0" xfId="0" applyFont="1" applyFill="1" applyBorder="1" applyAlignment="1">
      <alignment horizontal="center" vertical="center"/>
    </xf>
    <xf numFmtId="0" fontId="17" fillId="11" borderId="1" xfId="50" applyFont="1" applyFill="1" applyBorder="1" applyAlignment="1">
      <alignment horizontal="center" vertical="center"/>
    </xf>
    <xf numFmtId="0" fontId="38" fillId="11" borderId="1" xfId="51" applyFont="1" applyFill="1" applyBorder="1" applyAlignment="1">
      <alignment horizontal="center" vertical="center" wrapText="1"/>
    </xf>
    <xf numFmtId="179" fontId="38" fillId="11" borderId="1" xfId="51" applyNumberFormat="1" applyFont="1" applyFill="1" applyBorder="1" applyAlignment="1">
      <alignment horizontal="center" vertical="center"/>
    </xf>
    <xf numFmtId="179" fontId="17" fillId="11" borderId="1" xfId="50" applyNumberFormat="1" applyFont="1" applyFill="1" applyBorder="1" applyAlignment="1">
      <alignment horizontal="center" vertical="center"/>
    </xf>
    <xf numFmtId="0" fontId="15" fillId="11" borderId="1" xfId="50" applyFont="1" applyFill="1" applyBorder="1" applyAlignment="1">
      <alignment horizontal="center" vertical="center"/>
    </xf>
    <xf numFmtId="179" fontId="15" fillId="11" borderId="1" xfId="50" applyNumberFormat="1" applyFont="1" applyFill="1" applyBorder="1" applyAlignment="1">
      <alignment horizontal="center" vertical="center"/>
    </xf>
    <xf numFmtId="0" fontId="38" fillId="11" borderId="1" xfId="49" applyFont="1" applyFill="1" applyBorder="1" applyAlignment="1">
      <alignment horizontal="center" vertical="center"/>
    </xf>
    <xf numFmtId="179" fontId="38" fillId="11" borderId="1" xfId="49" applyNumberFormat="1" applyFont="1" applyFill="1" applyBorder="1" applyAlignment="1">
      <alignment horizontal="center" vertical="center"/>
    </xf>
    <xf numFmtId="0" fontId="39" fillId="11" borderId="1" xfId="52" applyFont="1" applyFill="1" applyBorder="1" applyAlignment="1" applyProtection="1">
      <alignment horizontal="center" vertical="center"/>
    </xf>
    <xf numFmtId="179" fontId="40" fillId="11" borderId="1" xfId="50" applyNumberFormat="1" applyFont="1" applyFill="1" applyBorder="1" applyAlignment="1">
      <alignment horizontal="center" vertical="center"/>
    </xf>
    <xf numFmtId="0" fontId="40" fillId="11" borderId="1" xfId="50" applyFont="1" applyFill="1" applyBorder="1" applyAlignment="1">
      <alignment horizontal="center" vertical="center"/>
    </xf>
    <xf numFmtId="0" fontId="17" fillId="11" borderId="1" xfId="49" applyFont="1" applyFill="1" applyBorder="1" applyAlignment="1">
      <alignment horizontal="center" vertical="center"/>
    </xf>
    <xf numFmtId="179" fontId="17" fillId="11" borderId="1" xfId="49" applyNumberFormat="1" applyFont="1" applyFill="1" applyBorder="1" applyAlignment="1">
      <alignment horizontal="center" vertical="center"/>
    </xf>
    <xf numFmtId="0" fontId="41" fillId="11" borderId="0" xfId="50" applyFont="1" applyFill="1" applyAlignment="1">
      <alignment vertical="center"/>
    </xf>
    <xf numFmtId="0" fontId="17" fillId="11" borderId="0" xfId="50" applyFont="1" applyFill="1" applyAlignment="1">
      <alignment horizontal="left" vertical="center"/>
    </xf>
    <xf numFmtId="0" fontId="22" fillId="15" borderId="1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179" fontId="17" fillId="22" borderId="1" xfId="0" applyNumberFormat="1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/>
    </xf>
    <xf numFmtId="185" fontId="17" fillId="22" borderId="1" xfId="0" applyNumberFormat="1" applyFont="1" applyFill="1" applyBorder="1" applyAlignment="1">
      <alignment horizontal="center" vertical="center"/>
    </xf>
    <xf numFmtId="179" fontId="17" fillId="17" borderId="1" xfId="0" applyNumberFormat="1" applyFont="1" applyFill="1" applyBorder="1" applyAlignment="1">
      <alignment horizontal="center" vertical="center" wrapText="1"/>
    </xf>
    <xf numFmtId="2" fontId="15" fillId="11" borderId="1" xfId="0" applyNumberFormat="1" applyFont="1" applyFill="1" applyBorder="1" applyAlignment="1">
      <alignment horizontal="left" vertical="center" wrapText="1"/>
    </xf>
    <xf numFmtId="0" fontId="17" fillId="0" borderId="1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9" fontId="17" fillId="18" borderId="1" xfId="0" applyNumberFormat="1" applyFont="1" applyFill="1" applyBorder="1" applyAlignment="1">
      <alignment horizontal="center" vertical="center"/>
    </xf>
    <xf numFmtId="185" fontId="17" fillId="18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2" fontId="15" fillId="11" borderId="3" xfId="0" applyNumberFormat="1" applyFont="1" applyFill="1" applyBorder="1" applyAlignment="1">
      <alignment horizontal="center" vertical="center" wrapText="1"/>
    </xf>
    <xf numFmtId="2" fontId="15" fillId="11" borderId="1" xfId="0" applyNumberFormat="1" applyFont="1" applyFill="1" applyBorder="1" applyAlignment="1">
      <alignment horizontal="center" vertical="center" wrapText="1"/>
    </xf>
    <xf numFmtId="0" fontId="17" fillId="11" borderId="1" xfId="50" applyFont="1" applyFill="1" applyBorder="1" applyAlignment="1">
      <alignment horizontal="center" vertical="center" wrapText="1"/>
    </xf>
    <xf numFmtId="0" fontId="17" fillId="0" borderId="1" xfId="50" applyFont="1" applyFill="1" applyBorder="1" applyAlignment="1">
      <alignment horizontal="left" vertical="center"/>
    </xf>
    <xf numFmtId="179" fontId="42" fillId="11" borderId="1" xfId="50" applyNumberFormat="1" applyFont="1" applyFill="1" applyBorder="1" applyAlignment="1">
      <alignment horizontal="center" vertical="center"/>
    </xf>
    <xf numFmtId="179" fontId="42" fillId="11" borderId="11" xfId="50" applyNumberFormat="1" applyFont="1" applyFill="1" applyBorder="1" applyAlignment="1">
      <alignment horizontal="center" vertical="center"/>
    </xf>
    <xf numFmtId="179" fontId="42" fillId="11" borderId="12" xfId="50" applyNumberFormat="1" applyFont="1" applyFill="1" applyBorder="1" applyAlignment="1">
      <alignment horizontal="center" vertical="center"/>
    </xf>
    <xf numFmtId="0" fontId="43" fillId="0" borderId="0" xfId="53" applyFont="1" applyFill="1" applyAlignment="1">
      <alignment horizontal="left" vertical="center"/>
    </xf>
    <xf numFmtId="0" fontId="43" fillId="15" borderId="0" xfId="53" applyFont="1" applyFill="1" applyAlignment="1">
      <alignment horizontal="left" vertical="center"/>
    </xf>
    <xf numFmtId="0" fontId="17" fillId="11" borderId="7" xfId="53" applyFont="1" applyFill="1" applyBorder="1" applyAlignment="1">
      <alignment vertical="center"/>
    </xf>
    <xf numFmtId="0" fontId="15" fillId="11" borderId="8" xfId="53" applyFont="1" applyFill="1" applyBorder="1" applyAlignment="1">
      <alignment horizontal="left" vertical="center"/>
    </xf>
    <xf numFmtId="0" fontId="17" fillId="11" borderId="13" xfId="53" applyFont="1" applyFill="1" applyBorder="1" applyAlignment="1">
      <alignment vertical="center"/>
    </xf>
    <xf numFmtId="0" fontId="15" fillId="11" borderId="0" xfId="53" applyFont="1" applyFill="1" applyBorder="1" applyAlignment="1">
      <alignment horizontal="left" vertical="center" wrapText="1"/>
    </xf>
    <xf numFmtId="0" fontId="17" fillId="11" borderId="13" xfId="53" applyFont="1" applyFill="1" applyBorder="1" applyAlignment="1">
      <alignment horizontal="left" vertical="center"/>
    </xf>
    <xf numFmtId="0" fontId="15" fillId="11" borderId="0" xfId="53" applyFont="1" applyFill="1" applyBorder="1" applyAlignment="1">
      <alignment horizontal="left" vertical="center"/>
    </xf>
    <xf numFmtId="0" fontId="17" fillId="11" borderId="14" xfId="53" applyFont="1" applyFill="1" applyBorder="1" applyAlignment="1">
      <alignment vertical="center"/>
    </xf>
    <xf numFmtId="0" fontId="15" fillId="11" borderId="11" xfId="53" applyFont="1" applyFill="1" applyBorder="1" applyAlignment="1">
      <alignment horizontal="left" vertical="center" wrapText="1"/>
    </xf>
    <xf numFmtId="0" fontId="15" fillId="11" borderId="0" xfId="49" applyFont="1" applyFill="1" applyBorder="1" applyAlignment="1">
      <alignment vertical="center"/>
    </xf>
    <xf numFmtId="0" fontId="41" fillId="11" borderId="0" xfId="49" applyFont="1" applyFill="1" applyBorder="1" applyAlignment="1">
      <alignment horizontal="center" vertical="center"/>
    </xf>
    <xf numFmtId="0" fontId="17" fillId="11" borderId="0" xfId="49" applyFont="1" applyFill="1" applyBorder="1" applyAlignment="1">
      <alignment horizontal="center" vertical="center"/>
    </xf>
    <xf numFmtId="58" fontId="44" fillId="11" borderId="0" xfId="49" applyNumberFormat="1" applyFont="1" applyFill="1" applyBorder="1" applyAlignment="1">
      <alignment horizontal="center" vertical="center"/>
    </xf>
    <xf numFmtId="0" fontId="17" fillId="11" borderId="0" xfId="49" applyFont="1" applyFill="1" applyBorder="1" applyAlignment="1">
      <alignment vertical="center"/>
    </xf>
    <xf numFmtId="58" fontId="15" fillId="11" borderId="0" xfId="49" applyNumberFormat="1" applyFont="1" applyFill="1" applyBorder="1" applyAlignment="1">
      <alignment horizontal="center" vertical="center"/>
    </xf>
    <xf numFmtId="0" fontId="15" fillId="11" borderId="0" xfId="49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3" xfId="50"/>
    <cellStyle name="常规 8" xfId="51"/>
    <cellStyle name="超链接 2" xfId="52"/>
    <cellStyle name="常规 3 2" xfId="53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FF"/>
      <color rgb="00FFFF00"/>
      <color rgb="00ED7D3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8890</xdr:colOff>
      <xdr:row>0</xdr:row>
      <xdr:rowOff>30480</xdr:rowOff>
    </xdr:from>
    <xdr:to>
      <xdr:col>2</xdr:col>
      <xdr:colOff>1024255</xdr:colOff>
      <xdr:row>1</xdr:row>
      <xdr:rowOff>167005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" y="30480"/>
          <a:ext cx="388620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50165</xdr:colOff>
      <xdr:row>0</xdr:row>
      <xdr:rowOff>29210</xdr:rowOff>
    </xdr:from>
    <xdr:to>
      <xdr:col>2</xdr:col>
      <xdr:colOff>1071880</xdr:colOff>
      <xdr:row>1</xdr:row>
      <xdr:rowOff>246380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165" y="29210"/>
          <a:ext cx="3892550" cy="872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9&#26376;&#23545;&#36134;&#21333;\\\shadc\Operation\Working_files\Mrg\UAE%20T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9&#26376;&#23545;&#36134;&#21333;\\Users\anker\Downloads\shadc\Operation\DOCUME~1\User\LOCALS~1\Temp\China%20City%20Pair%20Mix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Discount Policy"/>
      <sheetName val="DOMES"/>
      <sheetName val="Print Dox"/>
      <sheetName val="Print WPX"/>
      <sheetName val="Zone &amp; Transit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Module21"/>
      <sheetName val="Module22"/>
      <sheetName val="DHL City to Zone OB 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ction 1 Output"/>
      <sheetName val="DATA FOR PRICING"/>
      <sheetName val="Paired vol Y1 2003"/>
      <sheetName val="Paired vol Y2 2004"/>
      <sheetName val="Section 2 Input"/>
      <sheetName val="DHL Addressable City OB Vol"/>
      <sheetName val="Zone to Zone Allocation"/>
      <sheetName val="City GDP CAGR"/>
      <sheetName val="City Income Base Level "/>
      <sheetName val="Section 3 Analysis"/>
      <sheetName val="City to Zone Allocation"/>
      <sheetName val="DHL City to Zone OB Vol"/>
      <sheetName val="City Income Level Proj 2003"/>
      <sheetName val="City Income Level Proj 2004"/>
      <sheetName val="City Income Level Proj 2005"/>
      <sheetName val="City Income Level Proj 2006"/>
      <sheetName val="Section 4 Check Sheet"/>
      <sheetName val="DHL Actual City Rev"/>
      <sheetName val="DHL Actual City OB Vol"/>
      <sheetName val="DHL Actual RP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iclogistik.de" TargetMode="External"/><Relationship Id="rId2" Type="http://schemas.openxmlformats.org/officeDocument/2006/relationships/hyperlink" Target="http://www.miclogistik.de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zoomScale="85" zoomScaleNormal="85" workbookViewId="0">
      <selection activeCell="I13" sqref="I13"/>
    </sheetView>
  </sheetViews>
  <sheetFormatPr defaultColWidth="8.35833333333333" defaultRowHeight="16.5" outlineLevelCol="7"/>
  <cols>
    <col min="1" max="1" width="15.3916666666667" style="193" customWidth="1"/>
    <col min="2" max="2" width="22.2833333333333" style="193" customWidth="1"/>
    <col min="3" max="3" width="16.0666666666667" style="196" customWidth="1"/>
    <col min="4" max="4" width="15.275" style="196" customWidth="1"/>
    <col min="5" max="5" width="14.75" style="193" customWidth="1"/>
    <col min="6" max="6" width="17.2833333333333" style="196" customWidth="1"/>
    <col min="7" max="7" width="11.5083333333333" style="193" customWidth="1"/>
    <col min="8" max="8" width="30.6666666666667" style="193" customWidth="1"/>
    <col min="9" max="9" width="13.825" style="193" customWidth="1"/>
    <col min="10" max="16384" width="8.35833333333333" style="193"/>
  </cols>
  <sheetData>
    <row r="1" s="193" customFormat="1" ht="51.6" customHeight="1" spans="1:8">
      <c r="A1" s="197"/>
      <c r="B1" s="197"/>
      <c r="C1" s="198"/>
      <c r="D1" s="199" t="s">
        <v>0</v>
      </c>
      <c r="E1" s="200"/>
      <c r="F1" s="201"/>
      <c r="G1" s="200"/>
      <c r="H1" s="200"/>
    </row>
    <row r="2" s="193" customFormat="1" ht="21" customHeight="1" spans="1:8">
      <c r="A2" s="197"/>
      <c r="B2" s="197"/>
      <c r="C2" s="198"/>
      <c r="D2" s="201"/>
      <c r="E2" s="200"/>
      <c r="F2" s="201"/>
      <c r="G2" s="202" t="s">
        <v>1</v>
      </c>
      <c r="H2" s="203" t="s">
        <v>2</v>
      </c>
    </row>
    <row r="3" s="193" customFormat="1" ht="42" customHeight="1" spans="1:8">
      <c r="A3" s="204" t="s">
        <v>3</v>
      </c>
      <c r="B3" s="205" t="s">
        <v>4</v>
      </c>
      <c r="C3" s="206"/>
      <c r="D3" s="207" t="s">
        <v>5</v>
      </c>
      <c r="E3" s="208" t="s">
        <v>6</v>
      </c>
      <c r="F3" s="209"/>
      <c r="G3" s="208"/>
      <c r="H3" s="208"/>
    </row>
    <row r="4" s="193" customFormat="1" ht="24.6" customHeight="1" spans="1:8">
      <c r="A4" s="204" t="s">
        <v>7</v>
      </c>
      <c r="B4" s="210" t="s">
        <v>8</v>
      </c>
      <c r="C4" s="211"/>
      <c r="D4" s="207" t="s">
        <v>9</v>
      </c>
      <c r="E4" s="212" t="s">
        <v>10</v>
      </c>
      <c r="F4" s="213"/>
      <c r="G4" s="214"/>
      <c r="H4" s="214"/>
    </row>
    <row r="5" s="193" customFormat="1" ht="24.6" customHeight="1" spans="1:8">
      <c r="A5" s="204" t="s">
        <v>11</v>
      </c>
      <c r="B5" s="215" t="s">
        <v>12</v>
      </c>
      <c r="C5" s="216"/>
      <c r="D5" s="207" t="s">
        <v>13</v>
      </c>
      <c r="E5" s="212" t="s">
        <v>14</v>
      </c>
      <c r="F5" s="213"/>
      <c r="G5" s="214"/>
      <c r="H5" s="214"/>
    </row>
    <row r="6" s="193" customFormat="1" spans="1:8">
      <c r="C6" s="196"/>
      <c r="D6" s="196"/>
      <c r="E6" s="193"/>
      <c r="F6" s="196"/>
    </row>
    <row r="7" s="193" customFormat="1" ht="21" spans="1:8">
      <c r="A7" s="217" t="s">
        <v>15</v>
      </c>
      <c r="B7" s="193"/>
      <c r="C7" s="196"/>
      <c r="D7" s="196"/>
      <c r="E7" s="193"/>
      <c r="F7" s="196"/>
      <c r="G7" s="218" t="s">
        <v>16</v>
      </c>
    </row>
    <row r="8" s="193" customFormat="1" ht="37" customHeight="1" spans="1:8">
      <c r="A8" s="116" t="s">
        <v>17</v>
      </c>
      <c r="B8" s="116" t="s">
        <v>18</v>
      </c>
      <c r="C8" s="121" t="s">
        <v>19</v>
      </c>
      <c r="D8" s="121" t="s">
        <v>20</v>
      </c>
      <c r="E8" s="116" t="s">
        <v>21</v>
      </c>
      <c r="F8" s="121" t="s">
        <v>22</v>
      </c>
      <c r="G8" s="116" t="s">
        <v>23</v>
      </c>
      <c r="H8" s="219"/>
    </row>
    <row r="9" s="193" customFormat="1" spans="1:8">
      <c r="A9" s="220" t="s">
        <v>24</v>
      </c>
      <c r="B9" s="221" t="s">
        <v>25</v>
      </c>
      <c r="C9" s="222">
        <f>'1.1 正向-入库'!V1</f>
        <v>0</v>
      </c>
      <c r="D9" s="223">
        <v>0</v>
      </c>
      <c r="E9" s="224">
        <v>0</v>
      </c>
      <c r="F9" s="225">
        <f t="shared" ref="F9:F14" si="0">C9+D9+E9</f>
        <v>0</v>
      </c>
      <c r="G9" s="226" t="s">
        <v>26</v>
      </c>
      <c r="H9" s="226"/>
    </row>
    <row r="10" s="193" customFormat="1" spans="1:8">
      <c r="A10" s="227"/>
      <c r="B10" s="221" t="s">
        <v>27</v>
      </c>
      <c r="C10" s="222">
        <f>'2.1 正向-2B'!BF1</f>
        <v>400.95</v>
      </c>
      <c r="D10" s="223">
        <v>0</v>
      </c>
      <c r="E10" s="224">
        <f>'2.1 正向-2B'!BX1+'2.1 正向-2B'!CA1</f>
        <v>0</v>
      </c>
      <c r="F10" s="225">
        <f t="shared" si="0"/>
        <v>400.95</v>
      </c>
      <c r="G10" s="226"/>
      <c r="H10" s="226"/>
    </row>
    <row r="11" s="193" customFormat="1" spans="1:8">
      <c r="A11" s="227"/>
      <c r="B11" s="221" t="s">
        <v>28</v>
      </c>
      <c r="C11" s="222">
        <f>'2.2 正向-2C-GEL'!AV1</f>
        <v>635.850000000001</v>
      </c>
      <c r="D11" s="223">
        <f>'2.2 正向-2C-GEL'!BE1</f>
        <v>3647.4669</v>
      </c>
      <c r="E11" s="224">
        <f>'2.2 正向-2C-GEL'!BJ1+'2.2 正向-2C-GEL'!BM1</f>
        <v>509.6</v>
      </c>
      <c r="F11" s="225">
        <f t="shared" si="0"/>
        <v>4792.9169</v>
      </c>
      <c r="G11" s="226"/>
      <c r="H11" s="226"/>
    </row>
    <row r="12" s="193" customFormat="1" spans="1:8">
      <c r="A12" s="227"/>
      <c r="B12" s="221" t="s">
        <v>29</v>
      </c>
      <c r="C12" s="222">
        <f>'3.1 正向-普货-仓储费 '!AP1</f>
        <v>674.82506</v>
      </c>
      <c r="D12" s="223">
        <v>0</v>
      </c>
      <c r="E12" s="224">
        <v>0</v>
      </c>
      <c r="F12" s="225">
        <f t="shared" si="0"/>
        <v>674.82506</v>
      </c>
      <c r="G12" s="226" t="s">
        <v>30</v>
      </c>
      <c r="H12" s="226"/>
    </row>
    <row r="13" s="193" customFormat="1" spans="1:8">
      <c r="A13" s="228" t="s">
        <v>31</v>
      </c>
      <c r="B13" s="221"/>
      <c r="C13" s="229">
        <v>0</v>
      </c>
      <c r="D13" s="229">
        <v>0</v>
      </c>
      <c r="E13" s="230">
        <v>0</v>
      </c>
      <c r="F13" s="225">
        <f t="shared" si="0"/>
        <v>0</v>
      </c>
      <c r="G13" s="226"/>
      <c r="H13" s="226"/>
    </row>
    <row r="14" s="193" customFormat="1" spans="1:8">
      <c r="A14" s="231" t="s">
        <v>32</v>
      </c>
      <c r="B14" s="231"/>
      <c r="C14" s="230">
        <f>SUM(C9:C13)</f>
        <v>1711.62506</v>
      </c>
      <c r="D14" s="230">
        <f>SUM(D9:D13)</f>
        <v>3647.4669</v>
      </c>
      <c r="E14" s="230">
        <f>SUM(E9:E13)</f>
        <v>509.6</v>
      </c>
      <c r="F14" s="229">
        <f t="shared" si="0"/>
        <v>5868.69196</v>
      </c>
      <c r="G14" s="232"/>
      <c r="H14" s="233"/>
    </row>
    <row r="15" s="193" customFormat="1" ht="45" customHeight="1" spans="1:8">
      <c r="A15" s="234" t="s">
        <v>33</v>
      </c>
      <c r="B15" s="234"/>
      <c r="C15" s="207">
        <f>4000+2700</f>
        <v>6700</v>
      </c>
      <c r="D15" s="207"/>
      <c r="E15" s="207"/>
      <c r="F15" s="207"/>
      <c r="G15" s="235" t="s">
        <v>34</v>
      </c>
      <c r="H15" s="235"/>
    </row>
    <row r="16" s="193" customFormat="1" spans="1:8">
      <c r="A16" s="204" t="s">
        <v>35</v>
      </c>
      <c r="B16" s="204"/>
      <c r="C16" s="236">
        <f>C15-F14-1632</f>
        <v>-800.691960000001</v>
      </c>
      <c r="D16" s="236"/>
      <c r="E16" s="236"/>
      <c r="F16" s="236"/>
      <c r="G16" s="237" t="s">
        <v>36</v>
      </c>
      <c r="H16" s="238"/>
    </row>
    <row r="17" s="194" customFormat="1" ht="28.2" customHeight="1" spans="1:8">
      <c r="A17" s="239"/>
      <c r="B17" s="239"/>
      <c r="C17" s="239"/>
      <c r="D17" s="239"/>
      <c r="E17" s="239"/>
      <c r="F17" s="239"/>
      <c r="G17" s="239"/>
      <c r="H17" s="239"/>
    </row>
    <row r="18" s="194" customFormat="1" ht="28.2" customHeight="1" spans="1:8">
      <c r="A18" s="240" t="s">
        <v>37</v>
      </c>
      <c r="B18" s="240"/>
      <c r="C18" s="240"/>
      <c r="D18" s="240"/>
      <c r="E18" s="240"/>
      <c r="F18" s="240"/>
      <c r="G18" s="240"/>
      <c r="H18" s="240"/>
    </row>
    <row r="19" s="195" customFormat="1" ht="22.05" customHeight="1" spans="1:8">
      <c r="A19" s="241" t="s">
        <v>38</v>
      </c>
      <c r="B19" s="242" t="s">
        <v>39</v>
      </c>
      <c r="C19" s="242"/>
      <c r="D19" s="242"/>
      <c r="E19" s="242"/>
      <c r="F19" s="242"/>
      <c r="G19" s="242"/>
      <c r="H19" s="242"/>
    </row>
    <row r="20" s="195" customFormat="1" ht="47" customHeight="1" spans="1:8">
      <c r="A20" s="243" t="s">
        <v>40</v>
      </c>
      <c r="B20" s="244" t="s">
        <v>41</v>
      </c>
      <c r="C20" s="244"/>
      <c r="D20" s="244"/>
      <c r="E20" s="244"/>
      <c r="F20" s="244"/>
      <c r="G20" s="244"/>
      <c r="H20" s="244"/>
    </row>
    <row r="21" s="195" customFormat="1" spans="1:8">
      <c r="A21" s="243" t="s">
        <v>42</v>
      </c>
      <c r="B21" s="244" t="s">
        <v>43</v>
      </c>
      <c r="C21" s="244"/>
      <c r="D21" s="244"/>
      <c r="E21" s="244"/>
      <c r="F21" s="244"/>
      <c r="G21" s="244"/>
      <c r="H21" s="244"/>
    </row>
    <row r="22" s="195" customFormat="1" ht="30" customHeight="1" spans="1:8">
      <c r="A22" s="243" t="s">
        <v>44</v>
      </c>
      <c r="B22" s="244" t="s">
        <v>45</v>
      </c>
      <c r="C22" s="244"/>
      <c r="D22" s="244"/>
      <c r="E22" s="244"/>
      <c r="F22" s="244"/>
      <c r="G22" s="244"/>
      <c r="H22" s="244"/>
    </row>
    <row r="23" s="195" customFormat="1" spans="1:8">
      <c r="A23" s="245" t="s">
        <v>46</v>
      </c>
      <c r="B23" s="246" t="s">
        <v>47</v>
      </c>
      <c r="C23" s="246"/>
      <c r="D23" s="246"/>
      <c r="E23" s="246"/>
      <c r="F23" s="246"/>
      <c r="G23" s="246"/>
      <c r="H23" s="246"/>
    </row>
    <row r="24" s="195" customFormat="1" spans="1:8">
      <c r="A24" s="247" t="s">
        <v>48</v>
      </c>
      <c r="B24" s="248" t="s">
        <v>49</v>
      </c>
      <c r="C24" s="248"/>
      <c r="D24" s="248"/>
      <c r="E24" s="248"/>
      <c r="F24" s="248"/>
      <c r="G24" s="248"/>
      <c r="H24" s="248"/>
    </row>
    <row r="25" s="194" customFormat="1" spans="1:8">
      <c r="A25" s="249"/>
      <c r="B25" s="249"/>
      <c r="C25" s="249"/>
      <c r="D25" s="249"/>
      <c r="E25" s="249"/>
      <c r="F25" s="249"/>
      <c r="G25" s="249"/>
      <c r="H25" s="249"/>
    </row>
    <row r="26" s="194" customFormat="1" ht="21" spans="1:8">
      <c r="A26" s="250" t="s">
        <v>50</v>
      </c>
      <c r="B26" s="250"/>
      <c r="C26" s="250"/>
      <c r="D26" s="249"/>
      <c r="E26" s="249"/>
      <c r="F26" s="251" t="s">
        <v>51</v>
      </c>
      <c r="G26" s="251"/>
      <c r="H26" s="251"/>
    </row>
    <row r="27" s="194" customFormat="1" spans="1:8">
      <c r="A27" s="249"/>
      <c r="B27" s="249"/>
      <c r="C27" s="249"/>
      <c r="D27" s="249"/>
      <c r="E27" s="249"/>
      <c r="F27" s="249"/>
      <c r="G27" s="249"/>
      <c r="H27" s="249"/>
    </row>
    <row r="28" s="194" customFormat="1" spans="1:8">
      <c r="A28" s="249"/>
      <c r="B28" s="249"/>
      <c r="C28" s="249"/>
      <c r="D28" s="249"/>
      <c r="E28" s="249"/>
      <c r="F28" s="249"/>
      <c r="G28" s="249"/>
      <c r="H28" s="249"/>
    </row>
    <row r="29" s="194" customFormat="1" spans="1:8">
      <c r="A29" s="249"/>
      <c r="B29" s="249"/>
      <c r="C29" s="249"/>
      <c r="D29" s="249"/>
      <c r="E29" s="249"/>
      <c r="F29" s="249"/>
      <c r="G29" s="249"/>
      <c r="H29" s="249"/>
    </row>
    <row r="30" s="194" customFormat="1" spans="1:8">
      <c r="A30" s="249"/>
      <c r="B30" s="249"/>
      <c r="C30" s="249"/>
      <c r="D30" s="249"/>
      <c r="E30" s="249"/>
      <c r="F30" s="249"/>
      <c r="G30" s="249"/>
      <c r="H30" s="249"/>
    </row>
    <row r="31" s="194" customFormat="1" spans="1:8">
      <c r="A31" s="251" t="s">
        <v>52</v>
      </c>
      <c r="B31" s="252">
        <v>45933</v>
      </c>
      <c r="C31" s="253"/>
      <c r="D31" s="249"/>
      <c r="E31" s="249"/>
      <c r="F31" s="251" t="s">
        <v>53</v>
      </c>
      <c r="G31" s="254">
        <f>B31</f>
        <v>45933</v>
      </c>
      <c r="H31" s="255"/>
    </row>
    <row r="32" s="193" customFormat="1" spans="1:8">
      <c r="C32" s="196"/>
      <c r="D32" s="196"/>
      <c r="E32" s="193"/>
      <c r="F32" s="196"/>
    </row>
    <row r="33" s="193" customFormat="1" spans="3:6">
      <c r="C33" s="196"/>
      <c r="D33" s="196"/>
      <c r="F33" s="196"/>
    </row>
    <row r="34" s="193" customFormat="1" spans="3:6">
      <c r="C34" s="196"/>
      <c r="D34" s="196"/>
      <c r="E34" s="193"/>
      <c r="F34" s="196"/>
    </row>
    <row r="35" s="193" customFormat="1" spans="3:6">
      <c r="C35" s="196"/>
      <c r="D35" s="196"/>
      <c r="E35" s="193"/>
      <c r="F35" s="196"/>
    </row>
    <row r="36" s="193" customFormat="1" spans="3:6">
      <c r="C36" s="196"/>
      <c r="D36" s="196"/>
      <c r="E36" s="193"/>
      <c r="F36" s="196"/>
    </row>
    <row r="37" s="193" customFormat="1" spans="3:6">
      <c r="C37" s="196"/>
      <c r="D37" s="196"/>
      <c r="E37" s="193"/>
      <c r="F37" s="196"/>
    </row>
    <row r="38" s="193" customFormat="1" spans="3:6">
      <c r="C38" s="196"/>
      <c r="D38" s="196"/>
      <c r="E38" s="193"/>
      <c r="F38" s="196"/>
    </row>
    <row r="39" s="193" customFormat="1" spans="3:6">
      <c r="C39" s="196"/>
      <c r="D39" s="196"/>
      <c r="E39" s="193"/>
      <c r="F39" s="196"/>
    </row>
    <row r="40" s="193" customFormat="1" spans="3:6">
      <c r="C40" s="196"/>
      <c r="D40" s="196"/>
      <c r="E40" s="193"/>
      <c r="F40" s="196"/>
    </row>
    <row r="41" s="193" customFormat="1" spans="3:6">
      <c r="C41" s="196"/>
      <c r="D41" s="196"/>
      <c r="E41" s="193"/>
      <c r="F41" s="196"/>
    </row>
    <row r="42" s="193" customFormat="1" spans="3:6">
      <c r="C42" s="196"/>
      <c r="D42" s="196"/>
      <c r="E42" s="193"/>
      <c r="F42" s="196"/>
    </row>
    <row r="43" s="193" customFormat="1" spans="3:6">
      <c r="C43" s="196"/>
      <c r="D43" s="196"/>
      <c r="E43" s="193"/>
      <c r="F43" s="196"/>
    </row>
    <row r="44" s="193" customFormat="1" spans="3:6">
      <c r="C44" s="196"/>
      <c r="D44" s="196"/>
      <c r="E44" s="193"/>
      <c r="F44" s="196"/>
    </row>
    <row r="45" s="193" customFormat="1" spans="3:6">
      <c r="C45" s="196"/>
      <c r="D45" s="196"/>
      <c r="E45" s="193"/>
      <c r="F45" s="196"/>
    </row>
    <row r="46" s="193" customFormat="1" spans="3:6">
      <c r="C46" s="196"/>
      <c r="D46" s="196"/>
      <c r="E46" s="193"/>
      <c r="F46" s="196"/>
    </row>
    <row r="47" s="193" customFormat="1" spans="3:6">
      <c r="C47" s="196"/>
      <c r="D47" s="196"/>
      <c r="E47" s="193"/>
      <c r="F47" s="196"/>
    </row>
  </sheetData>
  <mergeCells count="33">
    <mergeCell ref="A1:C1"/>
    <mergeCell ref="D1:H1"/>
    <mergeCell ref="B3:C3"/>
    <mergeCell ref="E3:H3"/>
    <mergeCell ref="B4:C4"/>
    <mergeCell ref="E4:H4"/>
    <mergeCell ref="B5:C5"/>
    <mergeCell ref="E5:H5"/>
    <mergeCell ref="G8:H8"/>
    <mergeCell ref="G9:H9"/>
    <mergeCell ref="G10:H10"/>
    <mergeCell ref="G11:H11"/>
    <mergeCell ref="G12:H12"/>
    <mergeCell ref="G13:H13"/>
    <mergeCell ref="A14:B14"/>
    <mergeCell ref="G14:H14"/>
    <mergeCell ref="A15:B15"/>
    <mergeCell ref="C15:F15"/>
    <mergeCell ref="G15:H15"/>
    <mergeCell ref="A16:B16"/>
    <mergeCell ref="C16:F16"/>
    <mergeCell ref="G16:H16"/>
    <mergeCell ref="A18:H18"/>
    <mergeCell ref="B19:H19"/>
    <mergeCell ref="B20:H20"/>
    <mergeCell ref="B21:H21"/>
    <mergeCell ref="B22:H22"/>
    <mergeCell ref="B23:H23"/>
    <mergeCell ref="B24:H24"/>
    <mergeCell ref="A26:C26"/>
    <mergeCell ref="F26:H26"/>
    <mergeCell ref="G31:H31"/>
    <mergeCell ref="A9:A11"/>
  </mergeCells>
  <hyperlinks>
    <hyperlink ref="E5" r:id="rId2" display="www.miclogistik.de" tooltip="http://www.miclogistik.de"/>
    <hyperlink ref="E4" r:id="rId3" display="info@miclogistik.de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workbookViewId="0">
      <selection activeCell="F14" sqref="F14"/>
    </sheetView>
  </sheetViews>
  <sheetFormatPr defaultColWidth="8.35833333333333" defaultRowHeight="14.25" outlineLevelRow="6"/>
  <cols>
    <col min="1" max="1" width="16.6916666666667" style="174" customWidth="1"/>
    <col min="2" max="3" width="7.45" style="174" customWidth="1"/>
    <col min="4" max="4" width="13.5" style="174" customWidth="1"/>
    <col min="5" max="5" width="18.6333333333333" style="174" customWidth="1" outlineLevel="1"/>
    <col min="6" max="6" width="8.25" style="174" customWidth="1" outlineLevel="1"/>
    <col min="7" max="7" width="15.5083333333333" style="174" customWidth="1"/>
    <col min="8" max="8" width="7.075" style="174" customWidth="1" outlineLevel="1"/>
    <col min="9" max="9" width="6" style="174" customWidth="1" outlineLevel="1"/>
    <col min="10" max="10" width="5.69166666666667" style="174" customWidth="1" outlineLevel="1"/>
    <col min="11" max="11" width="19.3166666666667" style="174" customWidth="1"/>
    <col min="12" max="12" width="21.1333333333333" style="174" customWidth="1"/>
    <col min="13" max="13" width="10.1333333333333" style="174" customWidth="1"/>
    <col min="14" max="14" width="11.4416666666667" style="174" customWidth="1" outlineLevel="1"/>
    <col min="15" max="15" width="5.34166666666667" style="175" customWidth="1"/>
    <col min="16" max="16" width="6.8" style="175" customWidth="1"/>
    <col min="17" max="17" width="7.95" style="174" customWidth="1"/>
    <col min="18" max="18" width="6.38333333333333" style="174" customWidth="1"/>
    <col min="19" max="19" width="5.025" style="174" customWidth="1"/>
    <col min="20" max="20" width="7.11666666666667" style="174" customWidth="1"/>
    <col min="21" max="22" width="9" style="174" customWidth="1"/>
    <col min="23" max="23" width="41.0083333333333" style="174" customWidth="1"/>
    <col min="24" max="24" width="9.1" style="174" customWidth="1"/>
    <col min="25" max="25" width="7.21666666666667" style="174" customWidth="1"/>
    <col min="26" max="26" width="9.1" style="172" customWidth="1"/>
    <col min="27" max="27" width="9.73333333333333" style="172" customWidth="1"/>
    <col min="28" max="28" width="9.1" style="172" customWidth="1"/>
    <col min="29" max="29" width="9.1" style="174" customWidth="1"/>
    <col min="30" max="30" width="9.1" style="172" customWidth="1"/>
    <col min="31" max="31" width="17.3666666666667" style="172" customWidth="1"/>
    <col min="32" max="16384" width="8.35833333333333" style="172"/>
  </cols>
  <sheetData>
    <row r="1" s="172" customFormat="1" ht="22.5" spans="1:29">
      <c r="A1" s="176" t="s">
        <v>54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7"/>
      <c r="P1" s="177"/>
      <c r="Q1" s="178"/>
      <c r="R1" s="179"/>
      <c r="S1" s="179"/>
      <c r="T1" s="179"/>
      <c r="U1" s="179">
        <f>SUM(U4:U7)</f>
        <v>0</v>
      </c>
      <c r="V1" s="179">
        <f>SUM(V4:V7)</f>
        <v>0</v>
      </c>
      <c r="W1" s="174"/>
      <c r="X1" s="174"/>
      <c r="Y1" s="174"/>
      <c r="AC1" s="174"/>
    </row>
    <row r="2" s="172" customFormat="1" ht="16.5" spans="1:29">
      <c r="A2" s="180" t="s">
        <v>55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P2" s="182"/>
      <c r="Q2" s="183"/>
      <c r="R2" s="184" t="s">
        <v>56</v>
      </c>
      <c r="S2" s="185"/>
      <c r="T2" s="185"/>
      <c r="U2" s="186"/>
      <c r="V2" s="105" t="s">
        <v>57</v>
      </c>
      <c r="W2" s="174"/>
      <c r="X2" s="174"/>
      <c r="Y2" s="174"/>
      <c r="AC2" s="174"/>
    </row>
    <row r="3" s="173" customFormat="1" ht="33" spans="1:29">
      <c r="A3" s="187" t="s">
        <v>58</v>
      </c>
      <c r="B3" s="188" t="s">
        <v>59</v>
      </c>
      <c r="C3" s="187" t="s">
        <v>60</v>
      </c>
      <c r="D3" s="188" t="s">
        <v>61</v>
      </c>
      <c r="E3" s="187" t="s">
        <v>62</v>
      </c>
      <c r="F3" s="187" t="s">
        <v>3</v>
      </c>
      <c r="G3" s="187" t="s">
        <v>63</v>
      </c>
      <c r="H3" s="187" t="s">
        <v>64</v>
      </c>
      <c r="I3" s="187" t="s">
        <v>65</v>
      </c>
      <c r="J3" s="187" t="s">
        <v>66</v>
      </c>
      <c r="K3" s="187" t="s">
        <v>67</v>
      </c>
      <c r="L3" s="187" t="s">
        <v>68</v>
      </c>
      <c r="M3" s="189" t="s">
        <v>69</v>
      </c>
      <c r="N3" s="187" t="s">
        <v>70</v>
      </c>
      <c r="O3" s="190" t="s">
        <v>71</v>
      </c>
      <c r="P3" s="189" t="s">
        <v>72</v>
      </c>
      <c r="Q3" s="187" t="s">
        <v>73</v>
      </c>
      <c r="R3" s="116" t="s">
        <v>72</v>
      </c>
      <c r="S3" s="116" t="s">
        <v>71</v>
      </c>
      <c r="T3" s="116" t="s">
        <v>74</v>
      </c>
      <c r="U3" s="116" t="s">
        <v>75</v>
      </c>
      <c r="V3" s="116"/>
      <c r="W3" s="191"/>
      <c r="X3" s="191"/>
      <c r="Y3" s="191"/>
      <c r="AC3" s="191"/>
    </row>
    <row r="4" spans="1:29">
      <c r="A4" s="3"/>
      <c r="B4" s="3"/>
      <c r="C4" s="3"/>
      <c r="D4" s="192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130"/>
      <c r="U4" s="130"/>
      <c r="V4" s="133"/>
    </row>
    <row r="5" spans="1:29">
      <c r="A5" s="3"/>
      <c r="B5" s="3"/>
      <c r="C5" s="3"/>
      <c r="D5" s="192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3"/>
      <c r="R5" s="3"/>
      <c r="S5" s="3"/>
      <c r="T5" s="130"/>
      <c r="U5" s="130"/>
      <c r="V5" s="133"/>
    </row>
    <row r="6" spans="1:29">
      <c r="A6" s="3"/>
      <c r="B6" s="3"/>
      <c r="C6" s="3"/>
      <c r="D6" s="192"/>
      <c r="E6" s="3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3"/>
      <c r="R6" s="3"/>
      <c r="S6" s="3"/>
      <c r="T6" s="130"/>
      <c r="U6" s="130"/>
      <c r="V6" s="133"/>
    </row>
    <row r="7" spans="1:29">
      <c r="A7" s="3"/>
      <c r="B7" s="3"/>
      <c r="C7" s="3"/>
      <c r="D7" s="192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3"/>
      <c r="R7" s="3"/>
      <c r="S7" s="3"/>
      <c r="T7" s="130"/>
      <c r="U7" s="130"/>
      <c r="V7" s="133"/>
    </row>
  </sheetData>
  <autoFilter xmlns:etc="http://www.wps.cn/officeDocument/2017/etCustomData" ref="A3:AC7" etc:filterBottomFollowUsedRange="0">
    <extLst/>
  </autoFilter>
  <mergeCells count="4">
    <mergeCell ref="A1:Q1"/>
    <mergeCell ref="A2:Q2"/>
    <mergeCell ref="R2:U2"/>
    <mergeCell ref="V2:V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68228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E5" sqref="AE5:AE8"/>
    </sheetView>
  </sheetViews>
  <sheetFormatPr defaultColWidth="8.8" defaultRowHeight="16.5"/>
  <cols>
    <col min="1" max="1" width="17.3833333333333" style="63" customWidth="1"/>
    <col min="2" max="2" width="4.75" style="64" customWidth="1"/>
    <col min="3" max="3" width="5.05" style="64" customWidth="1"/>
    <col min="4" max="4" width="3.94166666666667" style="64" customWidth="1"/>
    <col min="5" max="5" width="7.875" style="64" customWidth="1"/>
    <col min="6" max="6" width="8.8" style="64"/>
    <col min="7" max="7" width="12.6916666666667" style="64" customWidth="1"/>
    <col min="8" max="8" width="12.375" style="65" customWidth="1"/>
    <col min="9" max="9" width="12" style="64" customWidth="1"/>
    <col min="10" max="10" width="9.7" style="64" customWidth="1" outlineLevel="1"/>
    <col min="11" max="11" width="23.375" style="64" customWidth="1" outlineLevel="1"/>
    <col min="12" max="13" width="8.8" style="64" outlineLevel="1"/>
    <col min="14" max="14" width="19.4" style="64" customWidth="1" outlineLevel="1"/>
    <col min="15" max="15" width="5.31666666666667" style="64" customWidth="1"/>
    <col min="16" max="18" width="8.8" style="64" outlineLevel="1"/>
    <col min="19" max="19" width="32.75" style="64" customWidth="1"/>
    <col min="20" max="20" width="18.1916666666667" style="63" customWidth="1"/>
    <col min="21" max="21" width="6" style="63" customWidth="1"/>
    <col min="22" max="22" width="8.8" style="66"/>
    <col min="23" max="23" width="8.8" style="67"/>
    <col min="24" max="25" width="8.8" style="64"/>
    <col min="26" max="26" width="13.4416666666667" style="64" customWidth="1"/>
    <col min="27" max="27" width="22.8166666666667" style="63" customWidth="1"/>
    <col min="28" max="29" width="10.5" style="64"/>
    <col min="30" max="31" width="6.00833333333333" style="64" customWidth="1"/>
    <col min="32" max="33" width="8.8" style="68" outlineLevel="1"/>
    <col min="34" max="34" width="14.0083333333333" style="68" customWidth="1" outlineLevel="1"/>
    <col min="35" max="39" width="8.8" style="68" outlineLevel="1"/>
    <col min="40" max="40" width="6.06666666666667" style="64" customWidth="1" outlineLevel="1"/>
    <col min="41" max="41" width="6.06666666666667" style="69" customWidth="1"/>
    <col min="42" max="42" width="9.13333333333333" style="69" customWidth="1" outlineLevel="1"/>
    <col min="43" max="43" width="5.38333333333333" style="70" customWidth="1" outlineLevel="1"/>
    <col min="44" max="44" width="5.38333333333333" style="64" customWidth="1" outlineLevel="1"/>
    <col min="45" max="45" width="8.8" style="64" outlineLevel="1"/>
    <col min="46" max="46" width="4.31666666666667" style="64" customWidth="1" outlineLevel="1"/>
    <col min="47" max="47" width="4.31666666666667" style="64" customWidth="1"/>
    <col min="48" max="48" width="8.8" style="64" outlineLevel="1"/>
    <col min="49" max="50" width="4.25833333333333" style="64" customWidth="1"/>
    <col min="51" max="51" width="8.8" style="64"/>
    <col min="52" max="52" width="4.81666666666667" style="64" customWidth="1" outlineLevel="1"/>
    <col min="53" max="53" width="8.25833333333333" style="64" customWidth="1"/>
    <col min="54" max="54" width="8.38333333333333" style="64" customWidth="1"/>
    <col min="55" max="55" width="7.325" style="64" customWidth="1"/>
    <col min="56" max="57" width="8.38333333333333" style="64" customWidth="1"/>
    <col min="58" max="58" width="12.8833333333333" style="64" customWidth="1"/>
    <col min="59" max="62" width="4.69166666666667" style="64" customWidth="1"/>
    <col min="63" max="63" width="6.56666666666667" style="71" customWidth="1"/>
    <col min="64" max="64" width="11.0666666666667" style="64" customWidth="1"/>
    <col min="65" max="65" width="5.56666666666667" style="64" customWidth="1"/>
    <col min="66" max="66" width="7.63333333333333" style="72" customWidth="1"/>
    <col min="67" max="67" width="10.6916666666667" style="64" customWidth="1"/>
    <col min="68" max="68" width="5.31666666666667" style="64" customWidth="1"/>
    <col min="69" max="69" width="8.8" style="159"/>
    <col min="70" max="70" width="6.81666666666667" style="64" customWidth="1"/>
    <col min="71" max="71" width="5.75833333333333" style="64" customWidth="1"/>
    <col min="72" max="72" width="7.25" style="64" customWidth="1"/>
    <col min="73" max="74" width="5.81666666666667" style="64" customWidth="1"/>
    <col min="75" max="75" width="7.69166666666667" style="69" customWidth="1"/>
    <col min="76" max="76" width="8.825" style="64" customWidth="1"/>
    <col min="77" max="78" width="5.625" style="64" customWidth="1"/>
    <col min="79" max="79" width="11.0666666666667" style="73" customWidth="1"/>
    <col min="80" max="80" width="9.19166666666667" style="73" customWidth="1"/>
    <col min="81" max="81" width="10.1333333333333" style="73" customWidth="1"/>
    <col min="82" max="82" width="11.0666666666667" style="43" customWidth="1"/>
  </cols>
  <sheetData>
    <row r="1" s="43" customFormat="1" ht="22.5" spans="1:82">
      <c r="A1" s="74" t="s">
        <v>76</v>
      </c>
      <c r="B1" s="75"/>
      <c r="C1" s="75"/>
      <c r="D1" s="75"/>
      <c r="E1" s="75"/>
      <c r="F1" s="75"/>
      <c r="G1" s="75"/>
      <c r="H1" s="76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4"/>
      <c r="U1" s="74"/>
      <c r="V1" s="77"/>
      <c r="W1" s="78"/>
      <c r="X1" s="75"/>
      <c r="Y1" s="75"/>
      <c r="Z1" s="75"/>
      <c r="AA1" s="74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9"/>
      <c r="AO1" s="80"/>
      <c r="AP1" s="79">
        <f>SUM(AP5:AP8)</f>
        <v>319.95</v>
      </c>
      <c r="AQ1" s="81"/>
      <c r="AR1" s="79"/>
      <c r="AS1" s="79">
        <f>SUM(AS5:AS8)</f>
        <v>0</v>
      </c>
      <c r="AT1" s="79"/>
      <c r="AU1" s="79"/>
      <c r="AV1" s="79">
        <f>SUM(AV5:AV8)</f>
        <v>0</v>
      </c>
      <c r="AW1" s="79"/>
      <c r="AX1" s="79"/>
      <c r="AY1" s="79">
        <f>SUM(AY5:AY8)</f>
        <v>0</v>
      </c>
      <c r="AZ1" s="79"/>
      <c r="BA1" s="79"/>
      <c r="BB1" s="79">
        <f>SUM(BB5:BB8)</f>
        <v>81</v>
      </c>
      <c r="BC1" s="79"/>
      <c r="BD1" s="79"/>
      <c r="BE1" s="79">
        <f>SUM(BE5:BE8)</f>
        <v>0</v>
      </c>
      <c r="BF1" s="79">
        <f>SUM(BF5:BF8)</f>
        <v>400.95</v>
      </c>
      <c r="BG1" s="79"/>
      <c r="BH1" s="79"/>
      <c r="BI1" s="79"/>
      <c r="BJ1" s="79"/>
      <c r="BK1" s="82"/>
      <c r="BL1" s="79"/>
      <c r="BM1" s="79"/>
      <c r="BN1" s="79"/>
      <c r="BO1" s="79">
        <f>SUM(BO5:BO8)</f>
        <v>0</v>
      </c>
      <c r="BP1" s="79"/>
      <c r="BQ1" s="79">
        <f>SUM(BQ5:BQ8)</f>
        <v>0</v>
      </c>
      <c r="BR1" s="79"/>
      <c r="BS1" s="79"/>
      <c r="BT1" s="79"/>
      <c r="BU1" s="79"/>
      <c r="BV1" s="79"/>
      <c r="BW1" s="80"/>
      <c r="BX1" s="79">
        <f>SUM(BX5:BX8)</f>
        <v>0</v>
      </c>
      <c r="BY1" s="79"/>
      <c r="BZ1" s="79"/>
      <c r="CA1" s="79">
        <f>SUM(CA5:CA8)</f>
        <v>0</v>
      </c>
      <c r="CB1" s="79">
        <f>SUM(CB5:CB8)</f>
        <v>0</v>
      </c>
      <c r="CC1" s="79">
        <f>SUM(CC5:CC8)</f>
        <v>400.95</v>
      </c>
    </row>
    <row r="2" s="43" customFormat="1" ht="15" spans="1:82">
      <c r="A2" s="56" t="s">
        <v>77</v>
      </c>
      <c r="B2" s="41"/>
      <c r="C2" s="41"/>
      <c r="D2" s="41"/>
      <c r="E2" s="41"/>
      <c r="F2" s="41"/>
      <c r="G2" s="83"/>
      <c r="H2" s="84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5"/>
      <c r="U2" s="85"/>
      <c r="V2" s="86"/>
      <c r="W2" s="87"/>
      <c r="X2" s="83"/>
      <c r="Y2" s="83"/>
      <c r="Z2" s="83"/>
      <c r="AA2" s="85"/>
      <c r="AB2" s="83"/>
      <c r="AC2" s="83"/>
      <c r="AD2" s="83"/>
      <c r="AE2" s="83"/>
      <c r="AF2" s="83"/>
      <c r="AG2" s="160"/>
      <c r="AH2" s="160"/>
      <c r="AI2" s="160"/>
      <c r="AJ2" s="160"/>
      <c r="AK2" s="160"/>
      <c r="AL2" s="160"/>
      <c r="AM2" s="161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9"/>
      <c r="BG2" s="90" t="s">
        <v>78</v>
      </c>
      <c r="BH2" s="91"/>
      <c r="BI2" s="91"/>
      <c r="BJ2" s="91"/>
      <c r="BK2" s="92"/>
      <c r="BL2" s="91"/>
      <c r="BM2" s="91"/>
      <c r="BN2" s="91"/>
      <c r="BO2" s="91"/>
      <c r="BP2" s="91"/>
      <c r="BQ2" s="162"/>
      <c r="BR2" s="91"/>
      <c r="BS2" s="91"/>
      <c r="BT2" s="91"/>
      <c r="BU2" s="91"/>
      <c r="BV2" s="91"/>
      <c r="BW2" s="93"/>
      <c r="BX2" s="91"/>
      <c r="BY2" s="91"/>
      <c r="BZ2" s="91"/>
      <c r="CA2" s="91"/>
      <c r="CB2" s="91"/>
      <c r="CC2" s="163" t="s">
        <v>79</v>
      </c>
    </row>
    <row r="3" s="43" customFormat="1" ht="15" spans="1:82">
      <c r="A3" s="95" t="s">
        <v>80</v>
      </c>
      <c r="B3" s="96"/>
      <c r="C3" s="96"/>
      <c r="D3" s="96"/>
      <c r="E3" s="96"/>
      <c r="F3" s="96"/>
      <c r="G3" s="96"/>
      <c r="H3" s="97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8"/>
      <c r="U3" s="98"/>
      <c r="V3" s="98"/>
      <c r="W3" s="99"/>
      <c r="X3" s="96"/>
      <c r="Y3" s="96"/>
      <c r="Z3" s="100" t="s">
        <v>81</v>
      </c>
      <c r="AA3" s="98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101" t="s">
        <v>82</v>
      </c>
      <c r="AO3" s="102"/>
      <c r="AP3" s="103"/>
      <c r="AQ3" s="104" t="s">
        <v>83</v>
      </c>
      <c r="AR3" s="105"/>
      <c r="AS3" s="106"/>
      <c r="AT3" s="104" t="s">
        <v>84</v>
      </c>
      <c r="AU3" s="105"/>
      <c r="AV3" s="106"/>
      <c r="AW3" s="101" t="s">
        <v>85</v>
      </c>
      <c r="AX3" s="105"/>
      <c r="AY3" s="105"/>
      <c r="AZ3" s="107" t="s">
        <v>86</v>
      </c>
      <c r="BA3" s="108"/>
      <c r="BB3" s="108"/>
      <c r="BC3" s="107" t="s">
        <v>87</v>
      </c>
      <c r="BD3" s="108"/>
      <c r="BE3" s="108"/>
      <c r="BF3" s="164" t="s">
        <v>32</v>
      </c>
      <c r="BG3" s="101" t="s">
        <v>88</v>
      </c>
      <c r="BH3" s="105"/>
      <c r="BI3" s="105"/>
      <c r="BJ3" s="105"/>
      <c r="BK3" s="110"/>
      <c r="BL3" s="105"/>
      <c r="BM3" s="105"/>
      <c r="BN3" s="111"/>
      <c r="BO3" s="105"/>
      <c r="BP3" s="165" t="s">
        <v>89</v>
      </c>
      <c r="BQ3" s="166"/>
      <c r="BR3" s="101" t="s">
        <v>90</v>
      </c>
      <c r="BS3" s="105"/>
      <c r="BT3" s="105"/>
      <c r="BU3" s="105"/>
      <c r="BV3" s="105"/>
      <c r="BW3" s="102"/>
      <c r="BX3" s="105"/>
      <c r="BY3" s="105" t="s">
        <v>91</v>
      </c>
      <c r="BZ3" s="105"/>
      <c r="CA3" s="105"/>
      <c r="CB3" s="164" t="s">
        <v>32</v>
      </c>
      <c r="CC3" s="118"/>
    </row>
    <row r="4" s="43" customFormat="1" ht="60" spans="1:82">
      <c r="A4" s="114" t="s">
        <v>92</v>
      </c>
      <c r="B4" s="94" t="s">
        <v>93</v>
      </c>
      <c r="C4" s="94" t="s">
        <v>94</v>
      </c>
      <c r="D4" s="94" t="s">
        <v>95</v>
      </c>
      <c r="E4" s="115" t="s">
        <v>96</v>
      </c>
      <c r="F4" s="116" t="s">
        <v>97</v>
      </c>
      <c r="G4" s="115" t="s">
        <v>98</v>
      </c>
      <c r="H4" s="117" t="s">
        <v>99</v>
      </c>
      <c r="I4" s="115" t="s">
        <v>100</v>
      </c>
      <c r="J4" s="115" t="s">
        <v>101</v>
      </c>
      <c r="K4" s="115" t="s">
        <v>102</v>
      </c>
      <c r="L4" s="115" t="s">
        <v>103</v>
      </c>
      <c r="M4" s="115" t="s">
        <v>104</v>
      </c>
      <c r="N4" s="118" t="s">
        <v>105</v>
      </c>
      <c r="O4" s="94" t="s">
        <v>106</v>
      </c>
      <c r="P4" s="115" t="s">
        <v>107</v>
      </c>
      <c r="Q4" s="115" t="s">
        <v>108</v>
      </c>
      <c r="R4" s="115" t="s">
        <v>60</v>
      </c>
      <c r="S4" s="115" t="s">
        <v>109</v>
      </c>
      <c r="T4" s="114" t="s">
        <v>110</v>
      </c>
      <c r="U4" s="114" t="s">
        <v>111</v>
      </c>
      <c r="V4" s="114" t="s">
        <v>112</v>
      </c>
      <c r="W4" s="119" t="s">
        <v>113</v>
      </c>
      <c r="X4" s="94" t="s">
        <v>114</v>
      </c>
      <c r="Y4" s="115" t="s">
        <v>115</v>
      </c>
      <c r="Z4" s="115" t="s">
        <v>116</v>
      </c>
      <c r="AA4" s="116" t="s">
        <v>68</v>
      </c>
      <c r="AB4" s="116" t="s">
        <v>117</v>
      </c>
      <c r="AC4" s="116" t="s">
        <v>118</v>
      </c>
      <c r="AD4" s="115" t="s">
        <v>119</v>
      </c>
      <c r="AE4" s="115" t="s">
        <v>120</v>
      </c>
      <c r="AF4" s="120" t="s">
        <v>121</v>
      </c>
      <c r="AG4" s="167" t="s">
        <v>122</v>
      </c>
      <c r="AH4" s="167" t="s">
        <v>123</v>
      </c>
      <c r="AI4" s="167" t="s">
        <v>124</v>
      </c>
      <c r="AJ4" s="167" t="s">
        <v>125</v>
      </c>
      <c r="AK4" s="167" t="s">
        <v>126</v>
      </c>
      <c r="AL4" s="167" t="s">
        <v>127</v>
      </c>
      <c r="AM4" s="167" t="s">
        <v>23</v>
      </c>
      <c r="AN4" s="112" t="s">
        <v>128</v>
      </c>
      <c r="AO4" s="121" t="s">
        <v>129</v>
      </c>
      <c r="AP4" s="122" t="s">
        <v>130</v>
      </c>
      <c r="AQ4" s="123" t="s">
        <v>131</v>
      </c>
      <c r="AR4" s="112" t="s">
        <v>129</v>
      </c>
      <c r="AS4" s="124" t="s">
        <v>130</v>
      </c>
      <c r="AT4" s="121" t="s">
        <v>132</v>
      </c>
      <c r="AU4" s="121" t="s">
        <v>74</v>
      </c>
      <c r="AV4" s="122" t="s">
        <v>75</v>
      </c>
      <c r="AW4" s="112" t="s">
        <v>131</v>
      </c>
      <c r="AX4" s="112" t="s">
        <v>129</v>
      </c>
      <c r="AY4" s="124" t="s">
        <v>130</v>
      </c>
      <c r="AZ4" s="112" t="s">
        <v>133</v>
      </c>
      <c r="BA4" s="112" t="s">
        <v>129</v>
      </c>
      <c r="BB4" s="124" t="s">
        <v>130</v>
      </c>
      <c r="BC4" s="112" t="s">
        <v>133</v>
      </c>
      <c r="BD4" s="112" t="s">
        <v>129</v>
      </c>
      <c r="BE4" s="124" t="s">
        <v>130</v>
      </c>
      <c r="BF4" s="112" t="s">
        <v>134</v>
      </c>
      <c r="BG4" s="112" t="s">
        <v>135</v>
      </c>
      <c r="BH4" s="112" t="s">
        <v>136</v>
      </c>
      <c r="BI4" s="112" t="s">
        <v>137</v>
      </c>
      <c r="BJ4" s="126" t="s">
        <v>138</v>
      </c>
      <c r="BK4" s="127" t="s">
        <v>139</v>
      </c>
      <c r="BL4" s="112" t="s">
        <v>114</v>
      </c>
      <c r="BM4" s="112" t="s">
        <v>140</v>
      </c>
      <c r="BN4" s="112" t="s">
        <v>129</v>
      </c>
      <c r="BO4" s="124" t="s">
        <v>130</v>
      </c>
      <c r="BP4" s="168" t="s">
        <v>141</v>
      </c>
      <c r="BQ4" s="169" t="s">
        <v>142</v>
      </c>
      <c r="BR4" s="112" t="s">
        <v>143</v>
      </c>
      <c r="BS4" s="112" t="s">
        <v>144</v>
      </c>
      <c r="BT4" s="112" t="s">
        <v>145</v>
      </c>
      <c r="BU4" s="112" t="s">
        <v>146</v>
      </c>
      <c r="BV4" s="112" t="s">
        <v>147</v>
      </c>
      <c r="BW4" s="121" t="s">
        <v>148</v>
      </c>
      <c r="BX4" s="124" t="s">
        <v>149</v>
      </c>
      <c r="BY4" s="112" t="s">
        <v>150</v>
      </c>
      <c r="BZ4" s="112" t="s">
        <v>129</v>
      </c>
      <c r="CA4" s="124" t="s">
        <v>130</v>
      </c>
      <c r="CB4" s="128"/>
      <c r="CC4" s="113"/>
      <c r="CD4" s="43" t="s">
        <v>151</v>
      </c>
    </row>
    <row r="5" ht="14.25" spans="1:82">
      <c r="A5" s="129" t="s">
        <v>152</v>
      </c>
      <c r="B5" s="3">
        <f>COUNTIF(A:A,A5)</f>
        <v>4</v>
      </c>
      <c r="C5" s="3">
        <v>1</v>
      </c>
      <c r="D5" s="3"/>
      <c r="E5" s="129" t="s">
        <v>153</v>
      </c>
      <c r="F5" s="3">
        <v>202509</v>
      </c>
      <c r="G5" s="129" t="s">
        <v>154</v>
      </c>
      <c r="H5" s="129" t="s">
        <v>155</v>
      </c>
      <c r="I5" s="129" t="s">
        <v>156</v>
      </c>
      <c r="J5" s="129" t="s">
        <v>157</v>
      </c>
      <c r="K5" s="129" t="s">
        <v>158</v>
      </c>
      <c r="L5" s="129" t="s">
        <v>159</v>
      </c>
      <c r="M5" s="129"/>
      <c r="N5" s="129" t="s">
        <v>160</v>
      </c>
      <c r="O5" s="129">
        <v>27</v>
      </c>
      <c r="P5" s="129" t="s">
        <v>161</v>
      </c>
      <c r="Q5" s="129" t="s">
        <v>162</v>
      </c>
      <c r="R5" s="129" t="s">
        <v>163</v>
      </c>
      <c r="S5" s="129"/>
      <c r="T5" s="129"/>
      <c r="U5" s="129"/>
      <c r="V5" s="129"/>
      <c r="W5" s="129"/>
      <c r="X5" s="129"/>
      <c r="Y5" s="129" t="s">
        <v>164</v>
      </c>
      <c r="Z5" s="129" t="s">
        <v>165</v>
      </c>
      <c r="AA5" s="4" t="str">
        <f>VLOOKUP(Z5,物品明细!A:B,2,0)</f>
        <v>金属储物柜71英寸高</v>
      </c>
      <c r="AB5" s="3" t="str">
        <f>VLOOKUP(Z5,物品明细!A:I,9,0)</f>
        <v>188x49x14</v>
      </c>
      <c r="AC5" s="3">
        <f>VLOOKUP(Z5,物品明细!A:D,4,0)</f>
        <v>47.4</v>
      </c>
      <c r="AD5" s="3"/>
      <c r="AE5" s="129">
        <v>60</v>
      </c>
      <c r="AF5" s="3">
        <f>AE5*AC5</f>
        <v>2844</v>
      </c>
      <c r="AG5" s="129">
        <v>5</v>
      </c>
      <c r="AH5" s="129" t="s">
        <v>166</v>
      </c>
      <c r="AI5" s="129">
        <v>599</v>
      </c>
      <c r="AJ5" s="129">
        <v>60</v>
      </c>
      <c r="AK5" s="129"/>
      <c r="AL5" s="129">
        <v>47.4</v>
      </c>
      <c r="AM5" s="170" t="s">
        <v>167</v>
      </c>
      <c r="AN5" s="3">
        <f>AG5</f>
        <v>5</v>
      </c>
      <c r="AO5" s="155">
        <v>11.85</v>
      </c>
      <c r="AP5" s="130">
        <f>AO5*AN5</f>
        <v>59.25</v>
      </c>
      <c r="AQ5" s="131"/>
      <c r="AR5" s="130"/>
      <c r="AS5" s="130">
        <f>AR5*AQ5</f>
        <v>0</v>
      </c>
      <c r="AT5" s="154"/>
      <c r="AU5" s="155"/>
      <c r="AV5" s="130">
        <f>AU5*AT5</f>
        <v>0</v>
      </c>
      <c r="AW5" s="3"/>
      <c r="AX5" s="132"/>
      <c r="AY5" s="130">
        <f>AX5*AW5</f>
        <v>0</v>
      </c>
      <c r="AZ5" s="3">
        <f>AG5</f>
        <v>5</v>
      </c>
      <c r="BA5" s="130">
        <v>3</v>
      </c>
      <c r="BB5" s="130">
        <f>BA5*AZ5</f>
        <v>15</v>
      </c>
      <c r="BC5" s="131"/>
      <c r="BD5" s="130"/>
      <c r="BE5" s="130">
        <f>BD5*BC5</f>
        <v>0</v>
      </c>
      <c r="BF5" s="133">
        <f>AP5+AS5+AV5+AY5+BB5+BE5</f>
        <v>74.25</v>
      </c>
      <c r="BG5" s="3"/>
      <c r="BH5" s="3"/>
      <c r="BI5" s="3"/>
      <c r="BJ5" s="3"/>
      <c r="BK5" s="134"/>
      <c r="BL5" s="3"/>
      <c r="BM5" s="135"/>
      <c r="BN5" s="135"/>
      <c r="BO5" s="135"/>
      <c r="BP5" s="3"/>
      <c r="BQ5" s="135"/>
      <c r="BR5" s="135"/>
      <c r="BS5" s="135"/>
      <c r="BT5" s="135"/>
      <c r="BU5" s="135"/>
      <c r="BV5" s="135"/>
      <c r="BW5" s="135"/>
      <c r="BX5" s="135"/>
      <c r="BY5" s="137"/>
      <c r="BZ5" s="135"/>
      <c r="CA5" s="135"/>
      <c r="CB5" s="138"/>
      <c r="CC5" s="156">
        <f>BF5+CB5</f>
        <v>74.25</v>
      </c>
    </row>
    <row r="6" ht="14.25" spans="1:82">
      <c r="A6" s="129" t="s">
        <v>152</v>
      </c>
      <c r="B6" s="3">
        <f>COUNTIF(A:A,A6)</f>
        <v>4</v>
      </c>
      <c r="C6" s="3">
        <v>0</v>
      </c>
      <c r="D6" s="3"/>
      <c r="E6" s="129" t="s">
        <v>153</v>
      </c>
      <c r="F6" s="3">
        <v>202509</v>
      </c>
      <c r="G6" s="129" t="s">
        <v>154</v>
      </c>
      <c r="H6" s="129" t="s">
        <v>155</v>
      </c>
      <c r="I6" s="129" t="s">
        <v>156</v>
      </c>
      <c r="J6" s="129" t="s">
        <v>157</v>
      </c>
      <c r="K6" s="129" t="s">
        <v>158</v>
      </c>
      <c r="L6" s="129" t="s">
        <v>159</v>
      </c>
      <c r="M6" s="129"/>
      <c r="N6" s="129" t="s">
        <v>160</v>
      </c>
      <c r="O6" s="129">
        <v>27</v>
      </c>
      <c r="P6" s="129" t="s">
        <v>161</v>
      </c>
      <c r="Q6" s="129" t="s">
        <v>162</v>
      </c>
      <c r="R6" s="129" t="s">
        <v>163</v>
      </c>
      <c r="S6" s="129"/>
      <c r="T6" s="129"/>
      <c r="U6" s="129"/>
      <c r="V6" s="129"/>
      <c r="W6" s="129"/>
      <c r="X6" s="129"/>
      <c r="Y6" s="129" t="s">
        <v>164</v>
      </c>
      <c r="Z6" s="129" t="s">
        <v>168</v>
      </c>
      <c r="AA6" s="4" t="str">
        <f>VLOOKUP(Z6,物品明细!A:B,2,0)</f>
        <v>金属储物柜71英寸银色</v>
      </c>
      <c r="AB6" s="3" t="str">
        <f>VLOOKUP(Z6,物品明细!A:I,9,0)</f>
        <v>188x49x14</v>
      </c>
      <c r="AC6" s="3">
        <f>VLOOKUP(Z6,物品明细!A:D,4,0)</f>
        <v>47.4</v>
      </c>
      <c r="AD6" s="3"/>
      <c r="AE6" s="129">
        <v>120</v>
      </c>
      <c r="AF6" s="3">
        <f>AE6*AC6</f>
        <v>5688</v>
      </c>
      <c r="AG6" s="129">
        <v>10</v>
      </c>
      <c r="AH6" s="129" t="s">
        <v>166</v>
      </c>
      <c r="AI6" s="129">
        <v>599</v>
      </c>
      <c r="AJ6" s="129">
        <v>120</v>
      </c>
      <c r="AK6" s="129"/>
      <c r="AL6" s="129">
        <v>47.4</v>
      </c>
      <c r="AM6" s="170" t="s">
        <v>167</v>
      </c>
      <c r="AN6" s="3">
        <f>AG6</f>
        <v>10</v>
      </c>
      <c r="AO6" s="155">
        <v>11.85</v>
      </c>
      <c r="AP6" s="130">
        <f>AO6*AN6</f>
        <v>118.5</v>
      </c>
      <c r="AQ6" s="131"/>
      <c r="AR6" s="130"/>
      <c r="AS6" s="130">
        <f>AR6*AQ6</f>
        <v>0</v>
      </c>
      <c r="AT6" s="154"/>
      <c r="AU6" s="155"/>
      <c r="AV6" s="130">
        <f>AU6*AT6</f>
        <v>0</v>
      </c>
      <c r="AW6" s="3"/>
      <c r="AX6" s="132"/>
      <c r="AY6" s="130">
        <f>AX6*AW6</f>
        <v>0</v>
      </c>
      <c r="AZ6" s="3">
        <f>AG6</f>
        <v>10</v>
      </c>
      <c r="BA6" s="130">
        <v>3</v>
      </c>
      <c r="BB6" s="130">
        <f>BA6*AZ6</f>
        <v>30</v>
      </c>
      <c r="BC6" s="131"/>
      <c r="BD6" s="130"/>
      <c r="BE6" s="130">
        <f>BD6*BC6</f>
        <v>0</v>
      </c>
      <c r="BF6" s="133">
        <f>AP6+AS6+AV6+AY6+BB6+BE6</f>
        <v>148.5</v>
      </c>
      <c r="BG6" s="3"/>
      <c r="BH6" s="3"/>
      <c r="BI6" s="3"/>
      <c r="BJ6" s="3"/>
      <c r="BK6" s="134"/>
      <c r="BL6" s="3"/>
      <c r="BM6" s="135"/>
      <c r="BN6" s="135"/>
      <c r="BO6" s="135"/>
      <c r="BP6" s="3"/>
      <c r="BQ6" s="135"/>
      <c r="BR6" s="135"/>
      <c r="BS6" s="135"/>
      <c r="BT6" s="135"/>
      <c r="BU6" s="135"/>
      <c r="BV6" s="135"/>
      <c r="BW6" s="135"/>
      <c r="BX6" s="135"/>
      <c r="BY6" s="137"/>
      <c r="BZ6" s="135"/>
      <c r="CA6" s="135"/>
      <c r="CB6" s="138"/>
      <c r="CC6" s="156">
        <f>BF6+CB6</f>
        <v>148.5</v>
      </c>
    </row>
    <row r="7" ht="14.25" spans="1:82">
      <c r="A7" s="129" t="s">
        <v>152</v>
      </c>
      <c r="B7" s="3">
        <f>COUNTIF(A:A,A7)</f>
        <v>4</v>
      </c>
      <c r="C7" s="3">
        <v>0</v>
      </c>
      <c r="D7" s="3"/>
      <c r="E7" s="129" t="s">
        <v>153</v>
      </c>
      <c r="F7" s="3">
        <v>202509</v>
      </c>
      <c r="G7" s="129" t="s">
        <v>154</v>
      </c>
      <c r="H7" s="129" t="s">
        <v>155</v>
      </c>
      <c r="I7" s="129" t="s">
        <v>156</v>
      </c>
      <c r="J7" s="129" t="s">
        <v>157</v>
      </c>
      <c r="K7" s="129" t="s">
        <v>158</v>
      </c>
      <c r="L7" s="129" t="s">
        <v>159</v>
      </c>
      <c r="M7" s="129"/>
      <c r="N7" s="129" t="s">
        <v>160</v>
      </c>
      <c r="O7" s="129">
        <v>27</v>
      </c>
      <c r="P7" s="129" t="s">
        <v>161</v>
      </c>
      <c r="Q7" s="129" t="s">
        <v>162</v>
      </c>
      <c r="R7" s="129" t="s">
        <v>163</v>
      </c>
      <c r="S7" s="129"/>
      <c r="T7" s="129"/>
      <c r="U7" s="129"/>
      <c r="V7" s="129"/>
      <c r="W7" s="129"/>
      <c r="X7" s="129"/>
      <c r="Y7" s="129" t="s">
        <v>164</v>
      </c>
      <c r="Z7" s="129" t="s">
        <v>169</v>
      </c>
      <c r="AA7" s="4" t="str">
        <f>VLOOKUP(Z7,物品明细!A:B,2,0)</f>
        <v>金属储物柜71英寸灰色</v>
      </c>
      <c r="AB7" s="3" t="str">
        <f>VLOOKUP(Z7,物品明细!A:I,9,0)</f>
        <v>188x49x14</v>
      </c>
      <c r="AC7" s="3">
        <f>VLOOKUP(Z7,物品明细!A:D,4,0)</f>
        <v>47.4</v>
      </c>
      <c r="AD7" s="3"/>
      <c r="AE7" s="129">
        <v>72</v>
      </c>
      <c r="AF7" s="3">
        <f>AE7*AC7</f>
        <v>3412.8</v>
      </c>
      <c r="AG7" s="129">
        <v>6</v>
      </c>
      <c r="AH7" s="129" t="s">
        <v>166</v>
      </c>
      <c r="AI7" s="129">
        <v>599</v>
      </c>
      <c r="AJ7" s="129">
        <v>72</v>
      </c>
      <c r="AK7" s="129"/>
      <c r="AL7" s="129">
        <v>47.4</v>
      </c>
      <c r="AM7" s="170" t="s">
        <v>167</v>
      </c>
      <c r="AN7" s="3">
        <f>AG7</f>
        <v>6</v>
      </c>
      <c r="AO7" s="155">
        <v>11.85</v>
      </c>
      <c r="AP7" s="130">
        <f>AO7*AN7</f>
        <v>71.1</v>
      </c>
      <c r="AQ7" s="131"/>
      <c r="AR7" s="130"/>
      <c r="AS7" s="130">
        <f>AR7*AQ7</f>
        <v>0</v>
      </c>
      <c r="AT7" s="154"/>
      <c r="AU7" s="155"/>
      <c r="AV7" s="130">
        <f>AU7*AT7</f>
        <v>0</v>
      </c>
      <c r="AW7" s="3"/>
      <c r="AX7" s="132"/>
      <c r="AY7" s="130">
        <f>AX7*AW7</f>
        <v>0</v>
      </c>
      <c r="AZ7" s="3">
        <f>AG7</f>
        <v>6</v>
      </c>
      <c r="BA7" s="130">
        <v>3</v>
      </c>
      <c r="BB7" s="130">
        <f>BA7*AZ7</f>
        <v>18</v>
      </c>
      <c r="BC7" s="131"/>
      <c r="BD7" s="130"/>
      <c r="BE7" s="130">
        <f>BD7*BC7</f>
        <v>0</v>
      </c>
      <c r="BF7" s="133">
        <f>AP7+AS7+AV7+AY7+BB7+BE7</f>
        <v>89.1</v>
      </c>
      <c r="BG7" s="3"/>
      <c r="BH7" s="3"/>
      <c r="BI7" s="3"/>
      <c r="BJ7" s="3"/>
      <c r="BK7" s="134"/>
      <c r="BL7" s="3"/>
      <c r="BM7" s="135"/>
      <c r="BN7" s="135"/>
      <c r="BO7" s="135"/>
      <c r="BP7" s="3"/>
      <c r="BQ7" s="135"/>
      <c r="BR7" s="135"/>
      <c r="BS7" s="135"/>
      <c r="BT7" s="135"/>
      <c r="BU7" s="135"/>
      <c r="BV7" s="135"/>
      <c r="BW7" s="135"/>
      <c r="BX7" s="135"/>
      <c r="BY7" s="137"/>
      <c r="BZ7" s="135"/>
      <c r="CA7" s="135"/>
      <c r="CB7" s="138"/>
      <c r="CC7" s="156">
        <f>BF7+CB7</f>
        <v>89.1</v>
      </c>
    </row>
    <row r="8" ht="14.25" spans="1:82">
      <c r="A8" s="129" t="s">
        <v>152</v>
      </c>
      <c r="B8" s="3">
        <f>COUNTIF(A:A,A8)</f>
        <v>4</v>
      </c>
      <c r="C8" s="3">
        <v>0</v>
      </c>
      <c r="D8" s="3"/>
      <c r="E8" s="129" t="s">
        <v>153</v>
      </c>
      <c r="F8" s="3">
        <v>202509</v>
      </c>
      <c r="G8" s="129" t="s">
        <v>154</v>
      </c>
      <c r="H8" s="129" t="s">
        <v>155</v>
      </c>
      <c r="I8" s="129" t="s">
        <v>156</v>
      </c>
      <c r="J8" s="129" t="s">
        <v>157</v>
      </c>
      <c r="K8" s="129" t="s">
        <v>158</v>
      </c>
      <c r="L8" s="129" t="s">
        <v>159</v>
      </c>
      <c r="M8" s="129"/>
      <c r="N8" s="129" t="s">
        <v>160</v>
      </c>
      <c r="O8" s="129">
        <v>27</v>
      </c>
      <c r="P8" s="129" t="s">
        <v>161</v>
      </c>
      <c r="Q8" s="129" t="s">
        <v>162</v>
      </c>
      <c r="R8" s="129" t="s">
        <v>163</v>
      </c>
      <c r="S8" s="129"/>
      <c r="T8" s="129"/>
      <c r="U8" s="129"/>
      <c r="V8" s="129"/>
      <c r="W8" s="129"/>
      <c r="X8" s="129"/>
      <c r="Y8" s="129" t="s">
        <v>164</v>
      </c>
      <c r="Z8" s="129" t="s">
        <v>170</v>
      </c>
      <c r="AA8" s="4" t="str">
        <f>VLOOKUP(Z8,物品明细!A:B,2,0)</f>
        <v>德国联邦快递金属储物柜</v>
      </c>
      <c r="AB8" s="3" t="str">
        <f>VLOOKUP(Z8,物品明细!A:I,9,0)</f>
        <v>188x49x14</v>
      </c>
      <c r="AC8" s="3">
        <f>VLOOKUP(Z8,物品明细!A:D,4,0)</f>
        <v>47.4</v>
      </c>
      <c r="AD8" s="3"/>
      <c r="AE8" s="129">
        <v>72</v>
      </c>
      <c r="AF8" s="3">
        <f>AE8*AC8</f>
        <v>3412.8</v>
      </c>
      <c r="AG8" s="129">
        <v>6</v>
      </c>
      <c r="AH8" s="129" t="s">
        <v>166</v>
      </c>
      <c r="AI8" s="129">
        <v>599</v>
      </c>
      <c r="AJ8" s="129">
        <v>72</v>
      </c>
      <c r="AK8" s="129"/>
      <c r="AL8" s="129">
        <v>47.4</v>
      </c>
      <c r="AM8" s="170" t="s">
        <v>167</v>
      </c>
      <c r="AN8" s="3">
        <f>AG8</f>
        <v>6</v>
      </c>
      <c r="AO8" s="155">
        <v>11.85</v>
      </c>
      <c r="AP8" s="130">
        <f>AO8*AN8</f>
        <v>71.1</v>
      </c>
      <c r="AQ8" s="131"/>
      <c r="AR8" s="130"/>
      <c r="AS8" s="130">
        <f>AR8*AQ8</f>
        <v>0</v>
      </c>
      <c r="AT8" s="154"/>
      <c r="AU8" s="155"/>
      <c r="AV8" s="130">
        <f>AU8*AT8</f>
        <v>0</v>
      </c>
      <c r="AW8" s="3"/>
      <c r="AX8" s="132"/>
      <c r="AY8" s="130">
        <f>AX8*AW8</f>
        <v>0</v>
      </c>
      <c r="AZ8" s="3">
        <f>AG8</f>
        <v>6</v>
      </c>
      <c r="BA8" s="130">
        <v>3</v>
      </c>
      <c r="BB8" s="130">
        <f>BA8*AZ8</f>
        <v>18</v>
      </c>
      <c r="BC8" s="131"/>
      <c r="BD8" s="130"/>
      <c r="BE8" s="130">
        <f>BD8*BC8</f>
        <v>0</v>
      </c>
      <c r="BF8" s="133">
        <f>AP8+AS8+AV8+AY8+BB8+BE8</f>
        <v>89.1</v>
      </c>
      <c r="BG8" s="3"/>
      <c r="BH8" s="3"/>
      <c r="BI8" s="3"/>
      <c r="BJ8" s="3"/>
      <c r="BK8" s="134"/>
      <c r="BL8" s="3"/>
      <c r="BM8" s="135"/>
      <c r="BN8" s="135"/>
      <c r="BO8" s="135"/>
      <c r="BP8" s="3"/>
      <c r="BQ8" s="135"/>
      <c r="BR8" s="135"/>
      <c r="BS8" s="135"/>
      <c r="BT8" s="135"/>
      <c r="BU8" s="135"/>
      <c r="BV8" s="135"/>
      <c r="BW8" s="135"/>
      <c r="BX8" s="135"/>
      <c r="BY8" s="137"/>
      <c r="BZ8" s="135"/>
      <c r="CA8" s="135"/>
      <c r="CB8" s="138"/>
      <c r="CC8" s="156">
        <f>BF8+CB8</f>
        <v>89.1</v>
      </c>
    </row>
    <row r="766069" customFormat="1" ht="14.25" spans="80:80">
      <c r="CB766069" s="171"/>
    </row>
    <row r="766070" customFormat="1" ht="14.25" spans="80:80">
      <c r="CB766070" s="171"/>
    </row>
    <row r="766071" customFormat="1" ht="14.25" spans="80:80">
      <c r="CB766071" s="171"/>
    </row>
    <row r="766072" customFormat="1" ht="14.25" spans="80:80">
      <c r="CB766072" s="171"/>
    </row>
    <row r="766073" customFormat="1" ht="14.25" spans="80:80">
      <c r="CB766073" s="171"/>
    </row>
    <row r="766074" customFormat="1" ht="14.25" spans="80:80">
      <c r="CB766074" s="171"/>
    </row>
    <row r="766075" customFormat="1" ht="14.25" spans="80:80">
      <c r="CB766075" s="171"/>
    </row>
    <row r="766076" customFormat="1" ht="14.25" spans="80:80">
      <c r="CB766076" s="171"/>
    </row>
    <row r="766077" customFormat="1" ht="14.25" spans="80:80">
      <c r="CB766077" s="171"/>
    </row>
    <row r="766078" customFormat="1" ht="14.25" spans="80:80">
      <c r="CB766078" s="171"/>
    </row>
    <row r="766079" customFormat="1" ht="14.25" spans="80:80">
      <c r="CB766079" s="171"/>
    </row>
    <row r="766080" customFormat="1" ht="14.25" spans="80:80">
      <c r="CB766080" s="171"/>
    </row>
    <row r="766081" customFormat="1" ht="14.25" spans="80:80">
      <c r="CB766081" s="171"/>
    </row>
    <row r="766082" customFormat="1" ht="14.25" spans="80:80">
      <c r="CB766082" s="171"/>
    </row>
    <row r="766083" customFormat="1" ht="14.25" spans="80:80">
      <c r="CB766083" s="171"/>
    </row>
    <row r="766084" customFormat="1" ht="14.25" spans="80:80">
      <c r="CB766084" s="171"/>
    </row>
    <row r="766085" customFormat="1" ht="14.25" spans="80:80">
      <c r="CB766085" s="171"/>
    </row>
    <row r="766086" customFormat="1" ht="14.25" spans="80:80">
      <c r="CB766086" s="171"/>
    </row>
    <row r="766087" customFormat="1" ht="14.25" spans="80:80">
      <c r="CB766087" s="171"/>
    </row>
    <row r="766088" customFormat="1" ht="14.25" spans="80:80">
      <c r="CB766088" s="171"/>
    </row>
    <row r="766089" customFormat="1" ht="14.25" spans="80:80">
      <c r="CB766089" s="171"/>
    </row>
    <row r="766090" customFormat="1" ht="14.25" spans="80:80">
      <c r="CB766090" s="171"/>
    </row>
    <row r="766091" customFormat="1" ht="14.25" spans="80:80">
      <c r="CB766091" s="171"/>
    </row>
    <row r="766092" customFormat="1" ht="14.25" spans="80:80">
      <c r="CB766092" s="171"/>
    </row>
    <row r="766093" customFormat="1" ht="14.25" spans="80:80">
      <c r="CB766093" s="171"/>
    </row>
    <row r="766094" customFormat="1" ht="14.25" spans="80:80">
      <c r="CB766094" s="171"/>
    </row>
    <row r="766095" customFormat="1" ht="14.25" spans="80:80">
      <c r="CB766095" s="171"/>
    </row>
    <row r="766096" customFormat="1" ht="14.25" spans="80:80">
      <c r="CB766096" s="171"/>
    </row>
    <row r="766097" customFormat="1" ht="14.25" spans="80:80">
      <c r="CB766097" s="171"/>
    </row>
    <row r="766098" customFormat="1" ht="14.25" spans="80:80">
      <c r="CB766098" s="171"/>
    </row>
    <row r="766099" customFormat="1" ht="14.25" spans="80:80">
      <c r="CB766099" s="171"/>
    </row>
    <row r="766100" customFormat="1" ht="14.25" spans="80:80">
      <c r="CB766100" s="171"/>
    </row>
    <row r="766101" customFormat="1" ht="14.25" spans="80:80">
      <c r="CB766101" s="171"/>
    </row>
    <row r="766102" customFormat="1" ht="14.25" spans="80:80">
      <c r="CB766102" s="171"/>
    </row>
    <row r="766103" customFormat="1" ht="14.25" spans="80:80">
      <c r="CB766103" s="171"/>
    </row>
    <row r="766104" customFormat="1" ht="14.25" spans="80:80">
      <c r="CB766104" s="171"/>
    </row>
    <row r="766105" customFormat="1" ht="14.25" spans="80:80">
      <c r="CB766105" s="171"/>
    </row>
    <row r="766106" customFormat="1" ht="14.25" spans="80:80">
      <c r="CB766106" s="171"/>
    </row>
    <row r="766107" customFormat="1" ht="14.25" spans="80:80">
      <c r="CB766107" s="171"/>
    </row>
    <row r="766108" customFormat="1" ht="14.25" spans="80:80">
      <c r="CB766108" s="171"/>
    </row>
    <row r="766109" customFormat="1" ht="14.25" spans="80:80">
      <c r="CB766109" s="171"/>
    </row>
    <row r="766110" customFormat="1" ht="14.25" spans="80:80">
      <c r="CB766110" s="171"/>
    </row>
    <row r="766111" customFormat="1" ht="14.25" spans="80:80">
      <c r="CB766111" s="171"/>
    </row>
    <row r="766112" customFormat="1" ht="14.25" spans="80:80">
      <c r="CB766112" s="171"/>
    </row>
    <row r="766113" customFormat="1" ht="14.25" spans="80:80">
      <c r="CB766113" s="171"/>
    </row>
    <row r="766114" customFormat="1" ht="14.25" spans="80:80">
      <c r="CB766114" s="171"/>
    </row>
    <row r="766115" customFormat="1" ht="14.25" spans="80:80">
      <c r="CB766115" s="171"/>
    </row>
    <row r="766116" customFormat="1" ht="14.25" spans="80:80">
      <c r="CB766116" s="171"/>
    </row>
    <row r="766117" customFormat="1" ht="14.25" spans="80:80">
      <c r="CB766117" s="171"/>
    </row>
    <row r="766118" customFormat="1" ht="14.25" spans="80:80">
      <c r="CB766118" s="171"/>
    </row>
    <row r="766119" customFormat="1" ht="14.25" spans="80:80">
      <c r="CB766119" s="171"/>
    </row>
    <row r="766120" customFormat="1" ht="14.25" spans="80:80">
      <c r="CB766120" s="171"/>
    </row>
    <row r="766121" customFormat="1" ht="14.25" spans="80:80">
      <c r="CB766121" s="171"/>
    </row>
    <row r="766122" customFormat="1" ht="14.25" spans="80:80">
      <c r="CB766122" s="171"/>
    </row>
    <row r="766123" customFormat="1" ht="14.25" spans="80:80">
      <c r="CB766123" s="171"/>
    </row>
    <row r="766124" customFormat="1" ht="14.25" spans="80:80">
      <c r="CB766124" s="171"/>
    </row>
    <row r="766125" customFormat="1" ht="14.25" spans="80:80">
      <c r="CB766125" s="171"/>
    </row>
    <row r="766126" customFormat="1" ht="14.25" spans="80:80">
      <c r="CB766126" s="171"/>
    </row>
    <row r="766127" customFormat="1" ht="14.25" spans="80:80">
      <c r="CB766127" s="171"/>
    </row>
    <row r="766128" customFormat="1" ht="14.25" spans="80:80">
      <c r="CB766128" s="171"/>
    </row>
    <row r="766129" customFormat="1" ht="14.25" spans="80:80">
      <c r="CB766129" s="171"/>
    </row>
    <row r="766130" customFormat="1" ht="14.25" spans="80:80">
      <c r="CB766130" s="171"/>
    </row>
    <row r="766131" customFormat="1" ht="14.25" spans="80:80">
      <c r="CB766131" s="171"/>
    </row>
    <row r="766132" customFormat="1" ht="14.25" spans="80:80">
      <c r="CB766132" s="171"/>
    </row>
    <row r="766133" customFormat="1" ht="14.25" spans="80:80">
      <c r="CB766133" s="171"/>
    </row>
    <row r="766134" customFormat="1" ht="14.25" spans="80:80">
      <c r="CB766134" s="171"/>
    </row>
    <row r="766135" customFormat="1" ht="14.25" spans="80:80">
      <c r="CB766135" s="171"/>
    </row>
    <row r="766136" customFormat="1" ht="14.25" spans="80:80">
      <c r="CB766136" s="171"/>
    </row>
    <row r="766137" customFormat="1" ht="14.25" spans="80:80">
      <c r="CB766137" s="171"/>
    </row>
    <row r="766138" customFormat="1" ht="14.25" spans="80:80">
      <c r="CB766138" s="171"/>
    </row>
    <row r="766139" customFormat="1" ht="14.25" spans="80:80">
      <c r="CB766139" s="171"/>
    </row>
    <row r="766140" customFormat="1" ht="14.25" spans="80:80">
      <c r="CB766140" s="171"/>
    </row>
    <row r="766141" customFormat="1" ht="14.25" spans="80:80">
      <c r="CB766141" s="171"/>
    </row>
    <row r="766142" customFormat="1" ht="14.25" spans="80:80">
      <c r="CB766142" s="171"/>
    </row>
    <row r="766143" customFormat="1" ht="14.25" spans="80:80">
      <c r="CB766143" s="171"/>
    </row>
    <row r="766144" customFormat="1" ht="14.25" spans="80:80">
      <c r="CB766144" s="171"/>
    </row>
    <row r="766145" customFormat="1" ht="14.25" spans="80:80">
      <c r="CB766145" s="171"/>
    </row>
    <row r="766146" customFormat="1" ht="14.25" spans="80:80">
      <c r="CB766146" s="171"/>
    </row>
    <row r="766147" customFormat="1" ht="14.25" spans="80:80">
      <c r="CB766147" s="171"/>
    </row>
    <row r="766148" customFormat="1" ht="14.25" spans="80:80">
      <c r="CB766148" s="171"/>
    </row>
    <row r="766149" customFormat="1" ht="14.25" spans="80:80">
      <c r="CB766149" s="171"/>
    </row>
    <row r="766150" customFormat="1" ht="14.25" spans="80:80">
      <c r="CB766150" s="171"/>
    </row>
    <row r="766151" customFormat="1" ht="14.25" spans="80:80">
      <c r="CB766151" s="171"/>
    </row>
    <row r="766152" customFormat="1" ht="14.25" spans="80:80">
      <c r="CB766152" s="171"/>
    </row>
    <row r="766153" customFormat="1" ht="14.25" spans="80:80">
      <c r="CB766153" s="171"/>
    </row>
    <row r="766154" customFormat="1" ht="14.25" spans="80:80">
      <c r="CB766154" s="171"/>
    </row>
    <row r="766155" customFormat="1" ht="14.25" spans="80:80">
      <c r="CB766155" s="171"/>
    </row>
    <row r="766156" customFormat="1" ht="14.25" spans="80:80">
      <c r="CB766156" s="171"/>
    </row>
    <row r="766157" customFormat="1" ht="14.25" spans="80:80">
      <c r="CB766157" s="171"/>
    </row>
    <row r="766158" customFormat="1" ht="14.25" spans="80:80">
      <c r="CB766158" s="171"/>
    </row>
    <row r="766159" customFormat="1" ht="14.25" spans="80:80">
      <c r="CB766159" s="171"/>
    </row>
    <row r="766160" customFormat="1" ht="14.25" spans="80:80">
      <c r="CB766160" s="171"/>
    </row>
    <row r="766161" customFormat="1" ht="14.25" spans="80:80">
      <c r="CB766161" s="171"/>
    </row>
    <row r="766162" customFormat="1" ht="14.25" spans="80:80">
      <c r="CB766162" s="171"/>
    </row>
    <row r="766163" customFormat="1" ht="14.25" spans="80:80">
      <c r="CB766163" s="171"/>
    </row>
    <row r="766164" customFormat="1" ht="14.25" spans="80:80">
      <c r="CB766164" s="171"/>
    </row>
    <row r="766165" customFormat="1" ht="14.25" spans="80:80">
      <c r="CB766165" s="171"/>
    </row>
    <row r="766166" customFormat="1" ht="14.25" spans="80:80">
      <c r="CB766166" s="171"/>
    </row>
    <row r="766167" customFormat="1" ht="14.25" spans="80:80">
      <c r="CB766167" s="171"/>
    </row>
    <row r="766168" customFormat="1" ht="14.25" spans="80:80">
      <c r="CB766168" s="171"/>
    </row>
    <row r="766169" customFormat="1" ht="14.25" spans="80:80">
      <c r="CB766169" s="171"/>
    </row>
    <row r="766170" customFormat="1" ht="14.25" spans="80:80">
      <c r="CB766170" s="171"/>
    </row>
    <row r="766171" customFormat="1" ht="14.25" spans="80:80">
      <c r="CB766171" s="171"/>
    </row>
    <row r="766172" customFormat="1" ht="14.25" spans="80:80">
      <c r="CB766172" s="171"/>
    </row>
    <row r="766173" customFormat="1" ht="14.25" spans="80:80">
      <c r="CB766173" s="171"/>
    </row>
    <row r="766174" customFormat="1" ht="14.25" spans="80:80">
      <c r="CB766174" s="171"/>
    </row>
    <row r="766175" customFormat="1" ht="14.25" spans="80:80">
      <c r="CB766175" s="171"/>
    </row>
    <row r="766176" customFormat="1" ht="14.25" spans="80:80">
      <c r="CB766176" s="171"/>
    </row>
    <row r="766177" customFormat="1" ht="14.25" spans="80:80">
      <c r="CB766177" s="171"/>
    </row>
    <row r="766178" customFormat="1" ht="14.25" spans="80:80">
      <c r="CB766178" s="171"/>
    </row>
    <row r="766179" customFormat="1" ht="14.25" spans="80:80">
      <c r="CB766179" s="171"/>
    </row>
    <row r="766180" customFormat="1" ht="14.25" spans="80:80">
      <c r="CB766180" s="171"/>
    </row>
    <row r="766181" customFormat="1" ht="14.25" spans="80:80">
      <c r="CB766181" s="171"/>
    </row>
    <row r="766182" customFormat="1" ht="14.25" spans="80:80">
      <c r="CB766182" s="171"/>
    </row>
    <row r="766183" customFormat="1" ht="14.25" spans="80:80">
      <c r="CB766183" s="171"/>
    </row>
    <row r="766184" customFormat="1" ht="14.25" spans="80:80">
      <c r="CB766184" s="171"/>
    </row>
    <row r="766185" customFormat="1" ht="14.25" spans="80:80">
      <c r="CB766185" s="171"/>
    </row>
    <row r="766186" customFormat="1" ht="14.25" spans="80:80">
      <c r="CB766186" s="171"/>
    </row>
    <row r="766187" customFormat="1" ht="14.25" spans="80:80">
      <c r="CB766187" s="171"/>
    </row>
    <row r="766188" customFormat="1" ht="14.25" spans="80:80">
      <c r="CB766188" s="171"/>
    </row>
    <row r="766189" customFormat="1" ht="14.25" spans="80:80">
      <c r="CB766189" s="171"/>
    </row>
    <row r="766190" customFormat="1" ht="14.25" spans="80:80">
      <c r="CB766190" s="171"/>
    </row>
    <row r="766191" customFormat="1" ht="14.25" spans="80:80">
      <c r="CB766191" s="171"/>
    </row>
    <row r="766192" customFormat="1" ht="14.25" spans="80:80">
      <c r="CB766192" s="171"/>
    </row>
    <row r="766193" customFormat="1" ht="14.25" spans="80:80">
      <c r="CB766193" s="171"/>
    </row>
    <row r="766194" customFormat="1" ht="14.25" spans="80:80">
      <c r="CB766194" s="171"/>
    </row>
    <row r="766195" customFormat="1" ht="14.25" spans="80:80">
      <c r="CB766195" s="171"/>
    </row>
    <row r="766196" customFormat="1" ht="14.25" spans="80:80">
      <c r="CB766196" s="171"/>
    </row>
    <row r="766197" customFormat="1" ht="14.25" spans="80:80">
      <c r="CB766197" s="171"/>
    </row>
    <row r="766198" customFormat="1" ht="14.25" spans="80:80">
      <c r="CB766198" s="171"/>
    </row>
    <row r="766199" customFormat="1" ht="14.25" spans="80:80">
      <c r="CB766199" s="171"/>
    </row>
    <row r="766200" customFormat="1" ht="14.25" spans="80:80">
      <c r="CB766200" s="171"/>
    </row>
    <row r="766201" customFormat="1" ht="14.25" spans="80:80">
      <c r="CB766201" s="171"/>
    </row>
    <row r="766202" customFormat="1" ht="14.25" spans="80:80">
      <c r="CB766202" s="171"/>
    </row>
    <row r="766203" customFormat="1" ht="14.25" spans="80:80">
      <c r="CB766203" s="171"/>
    </row>
    <row r="766204" customFormat="1" ht="14.25" spans="80:80">
      <c r="CB766204" s="171"/>
    </row>
    <row r="766205" customFormat="1" ht="14.25" spans="80:80">
      <c r="CB766205" s="171"/>
    </row>
    <row r="766206" customFormat="1" ht="14.25" spans="80:80">
      <c r="CB766206" s="171"/>
    </row>
    <row r="766207" customFormat="1" ht="14.25" spans="80:80">
      <c r="CB766207" s="171"/>
    </row>
    <row r="766208" customFormat="1" ht="14.25" spans="80:80">
      <c r="CB766208" s="171"/>
    </row>
    <row r="766209" customFormat="1" ht="14.25" spans="80:80">
      <c r="CB766209" s="171"/>
    </row>
    <row r="766210" customFormat="1" ht="14.25" spans="80:80">
      <c r="CB766210" s="171"/>
    </row>
    <row r="766211" customFormat="1" ht="14.25" spans="80:80">
      <c r="CB766211" s="171"/>
    </row>
    <row r="766212" customFormat="1" ht="14.25" spans="80:80">
      <c r="CB766212" s="171"/>
    </row>
    <row r="766213" customFormat="1" ht="14.25" spans="80:80">
      <c r="CB766213" s="171"/>
    </row>
    <row r="766214" customFormat="1" ht="14.25" spans="80:80">
      <c r="CB766214" s="171"/>
    </row>
    <row r="766215" customFormat="1" ht="14.25" spans="80:80">
      <c r="CB766215" s="171"/>
    </row>
    <row r="766216" customFormat="1" ht="14.25" spans="80:80">
      <c r="CB766216" s="171"/>
    </row>
    <row r="766217" customFormat="1" ht="14.25" spans="80:80">
      <c r="CB766217" s="171"/>
    </row>
    <row r="766218" customFormat="1" ht="14.25" spans="80:80">
      <c r="CB766218" s="171"/>
    </row>
    <row r="766219" customFormat="1" ht="14.25" spans="80:80">
      <c r="CB766219" s="171"/>
    </row>
    <row r="766220" customFormat="1" ht="14.25" spans="80:80">
      <c r="CB766220" s="171"/>
    </row>
    <row r="766221" customFormat="1" ht="14.25" spans="80:80">
      <c r="CB766221" s="171"/>
    </row>
    <row r="766222" customFormat="1" ht="14.25" spans="80:80">
      <c r="CB766222" s="171"/>
    </row>
    <row r="766223" customFormat="1" ht="14.25" spans="80:80">
      <c r="CB766223" s="171"/>
    </row>
    <row r="766224" customFormat="1" ht="14.25" spans="80:80">
      <c r="CB766224" s="171"/>
    </row>
    <row r="766225" customFormat="1" ht="14.25" spans="80:80">
      <c r="CB766225" s="171"/>
    </row>
    <row r="766226" customFormat="1" ht="14.25" spans="80:80">
      <c r="CB766226" s="171"/>
    </row>
    <row r="766227" customFormat="1" ht="14.25" spans="80:80">
      <c r="CB766227" s="171"/>
    </row>
    <row r="766228" customFormat="1" ht="14.25" spans="80:80">
      <c r="CB766228" s="171"/>
    </row>
    <row r="766229" customFormat="1" ht="14.25" spans="80:80">
      <c r="CB766229" s="171"/>
    </row>
    <row r="766230" customFormat="1" ht="14.25" spans="80:80">
      <c r="CB766230" s="171"/>
    </row>
    <row r="766231" customFormat="1" ht="14.25" spans="80:80">
      <c r="CB766231" s="171"/>
    </row>
    <row r="766232" customFormat="1" ht="14.25" spans="80:80">
      <c r="CB766232" s="171"/>
    </row>
    <row r="766233" customFormat="1" ht="14.25" spans="80:80">
      <c r="CB766233" s="171"/>
    </row>
    <row r="766234" customFormat="1" ht="14.25" spans="80:80">
      <c r="CB766234" s="171"/>
    </row>
    <row r="766235" customFormat="1" ht="14.25" spans="80:80">
      <c r="CB766235" s="171"/>
    </row>
    <row r="766236" customFormat="1" ht="14.25" spans="80:80">
      <c r="CB766236" s="171"/>
    </row>
    <row r="766237" customFormat="1" ht="14.25" spans="80:80">
      <c r="CB766237" s="171"/>
    </row>
    <row r="766238" customFormat="1" ht="14.25" spans="80:80">
      <c r="CB766238" s="171"/>
    </row>
    <row r="766239" customFormat="1" ht="14.25" spans="80:80">
      <c r="CB766239" s="171"/>
    </row>
    <row r="766240" customFormat="1" ht="14.25" spans="80:80">
      <c r="CB766240" s="171"/>
    </row>
    <row r="766241" customFormat="1" ht="14.25" spans="80:80">
      <c r="CB766241" s="171"/>
    </row>
    <row r="766242" customFormat="1" ht="14.25" spans="80:80">
      <c r="CB766242" s="171"/>
    </row>
    <row r="766243" customFormat="1" ht="14.25" spans="80:80">
      <c r="CB766243" s="171"/>
    </row>
    <row r="766244" customFormat="1" ht="14.25" spans="80:80">
      <c r="CB766244" s="171"/>
    </row>
    <row r="766245" customFormat="1" ht="14.25" spans="80:80">
      <c r="CB766245" s="171"/>
    </row>
    <row r="766246" customFormat="1" ht="14.25" spans="80:80">
      <c r="CB766246" s="171"/>
    </row>
    <row r="766247" customFormat="1" ht="14.25" spans="80:80">
      <c r="CB766247" s="171"/>
    </row>
    <row r="766248" customFormat="1" ht="14.25" spans="80:80">
      <c r="CB766248" s="171"/>
    </row>
    <row r="766249" customFormat="1" ht="14.25" spans="80:80">
      <c r="CB766249" s="171"/>
    </row>
    <row r="766250" customFormat="1" ht="14.25" spans="80:80">
      <c r="CB766250" s="171"/>
    </row>
    <row r="766251" customFormat="1" ht="14.25" spans="80:80">
      <c r="CB766251" s="171"/>
    </row>
    <row r="766252" customFormat="1" ht="14.25" spans="80:80">
      <c r="CB766252" s="171"/>
    </row>
    <row r="766253" customFormat="1" ht="14.25" spans="80:80">
      <c r="CB766253" s="171"/>
    </row>
    <row r="766254" customFormat="1" ht="14.25" spans="80:80">
      <c r="CB766254" s="171"/>
    </row>
    <row r="766255" customFormat="1" ht="14.25" spans="80:80">
      <c r="CB766255" s="171"/>
    </row>
    <row r="766256" customFormat="1" ht="14.25" spans="80:80">
      <c r="CB766256" s="171"/>
    </row>
    <row r="766257" customFormat="1" ht="14.25" spans="80:80">
      <c r="CB766257" s="171"/>
    </row>
    <row r="766258" customFormat="1" ht="14.25" spans="80:80">
      <c r="CB766258" s="171"/>
    </row>
    <row r="766259" customFormat="1" ht="14.25" spans="80:80">
      <c r="CB766259" s="171"/>
    </row>
    <row r="766260" customFormat="1" ht="14.25" spans="80:80">
      <c r="CB766260" s="171"/>
    </row>
    <row r="766261" customFormat="1" ht="14.25" spans="80:80">
      <c r="CB766261" s="171"/>
    </row>
    <row r="766262" customFormat="1" ht="14.25" spans="80:80">
      <c r="CB766262" s="171"/>
    </row>
    <row r="766263" customFormat="1" ht="14.25" spans="80:80">
      <c r="CB766263" s="171"/>
    </row>
    <row r="766264" customFormat="1" ht="14.25" spans="80:80">
      <c r="CB766264" s="171"/>
    </row>
    <row r="766265" customFormat="1" ht="14.25" spans="80:80">
      <c r="CB766265" s="171"/>
    </row>
    <row r="766266" customFormat="1" ht="14.25" spans="80:80">
      <c r="CB766266" s="171"/>
    </row>
    <row r="766267" customFormat="1" ht="14.25" spans="80:80">
      <c r="CB766267" s="171"/>
    </row>
    <row r="766268" customFormat="1" ht="14.25" spans="80:80">
      <c r="CB766268" s="171"/>
    </row>
    <row r="766269" customFormat="1" ht="14.25" spans="80:80">
      <c r="CB766269" s="171"/>
    </row>
    <row r="766270" customFormat="1" ht="14.25" spans="80:80">
      <c r="CB766270" s="171"/>
    </row>
    <row r="766271" customFormat="1" ht="14.25" spans="80:80">
      <c r="CB766271" s="171"/>
    </row>
    <row r="766272" customFormat="1" ht="14.25" spans="80:80">
      <c r="CB766272" s="171"/>
    </row>
    <row r="766273" customFormat="1" ht="14.25" spans="80:80">
      <c r="CB766273" s="171"/>
    </row>
    <row r="766274" customFormat="1" ht="14.25" spans="80:80">
      <c r="CB766274" s="171"/>
    </row>
    <row r="766275" customFormat="1" ht="14.25" spans="80:80">
      <c r="CB766275" s="171"/>
    </row>
    <row r="766276" customFormat="1" ht="14.25" spans="80:80">
      <c r="CB766276" s="171"/>
    </row>
    <row r="766277" customFormat="1" ht="14.25" spans="80:80">
      <c r="CB766277" s="171"/>
    </row>
    <row r="766278" customFormat="1" ht="14.25" spans="80:80">
      <c r="CB766278" s="171"/>
    </row>
    <row r="766279" customFormat="1" ht="14.25" spans="80:80">
      <c r="CB766279" s="171"/>
    </row>
    <row r="766280" customFormat="1" ht="14.25" spans="80:80">
      <c r="CB766280" s="171"/>
    </row>
    <row r="766281" customFormat="1" ht="14.25" spans="80:80">
      <c r="CB766281" s="171"/>
    </row>
    <row r="766282" customFormat="1" ht="14.25" spans="80:80">
      <c r="CB766282" s="171"/>
    </row>
    <row r="766283" customFormat="1" ht="14.25" spans="80:80">
      <c r="CB766283" s="171"/>
    </row>
    <row r="766284" customFormat="1" ht="14.25" spans="80:80">
      <c r="CB766284" s="171"/>
    </row>
    <row r="766285" customFormat="1" ht="14.25" spans="80:80">
      <c r="CB766285" s="171"/>
    </row>
    <row r="766286" customFormat="1" ht="14.25" spans="80:80">
      <c r="CB766286" s="171"/>
    </row>
    <row r="766287" customFormat="1" ht="14.25" spans="80:80">
      <c r="CB766287" s="171"/>
    </row>
    <row r="766288" customFormat="1" ht="14.25" spans="80:80">
      <c r="CB766288" s="171"/>
    </row>
    <row r="766289" customFormat="1" ht="14.25" spans="80:80">
      <c r="CB766289" s="171"/>
    </row>
    <row r="766290" customFormat="1" ht="14.25" spans="80:80">
      <c r="CB766290" s="171"/>
    </row>
    <row r="766291" customFormat="1" ht="14.25" spans="80:80">
      <c r="CB766291" s="171"/>
    </row>
    <row r="766292" customFormat="1" ht="14.25" spans="80:80">
      <c r="CB766292" s="171"/>
    </row>
    <row r="766293" customFormat="1" ht="14.25" spans="80:80">
      <c r="CB766293" s="171"/>
    </row>
    <row r="766294" customFormat="1" ht="14.25" spans="80:80">
      <c r="CB766294" s="171"/>
    </row>
    <row r="766295" customFormat="1" ht="14.25" spans="80:80">
      <c r="CB766295" s="171"/>
    </row>
    <row r="766296" customFormat="1" ht="14.25" spans="80:80">
      <c r="CB766296" s="171"/>
    </row>
    <row r="766297" customFormat="1" ht="14.25" spans="80:80">
      <c r="CB766297" s="171"/>
    </row>
    <row r="766298" customFormat="1" ht="14.25" spans="80:80">
      <c r="CB766298" s="171"/>
    </row>
    <row r="766299" customFormat="1" ht="14.25" spans="80:80">
      <c r="CB766299" s="171"/>
    </row>
    <row r="766300" customFormat="1" ht="14.25" spans="80:80">
      <c r="CB766300" s="171"/>
    </row>
    <row r="766301" customFormat="1" ht="14.25" spans="80:80">
      <c r="CB766301" s="171"/>
    </row>
    <row r="766302" customFormat="1" ht="14.25" spans="80:80">
      <c r="CB766302" s="171"/>
    </row>
    <row r="766303" customFormat="1" ht="14.25" spans="80:80">
      <c r="CB766303" s="171"/>
    </row>
    <row r="766304" customFormat="1" ht="14.25" spans="80:80">
      <c r="CB766304" s="171"/>
    </row>
    <row r="766305" customFormat="1" ht="14.25" spans="80:80">
      <c r="CB766305" s="171"/>
    </row>
    <row r="766306" customFormat="1" ht="14.25" spans="80:80">
      <c r="CB766306" s="171"/>
    </row>
    <row r="766307" customFormat="1" ht="14.25" spans="80:80">
      <c r="CB766307" s="171"/>
    </row>
    <row r="766308" customFormat="1" ht="14.25" spans="80:80">
      <c r="CB766308" s="171"/>
    </row>
    <row r="766309" customFormat="1" ht="14.25" spans="80:80">
      <c r="CB766309" s="171"/>
    </row>
    <row r="766310" customFormat="1" ht="14.25" spans="80:80">
      <c r="CB766310" s="171"/>
    </row>
    <row r="766311" customFormat="1" ht="14.25" spans="80:80">
      <c r="CB766311" s="171"/>
    </row>
    <row r="766312" customFormat="1" ht="14.25" spans="80:80">
      <c r="CB766312" s="171"/>
    </row>
    <row r="766313" customFormat="1" ht="14.25" spans="80:80">
      <c r="CB766313" s="171"/>
    </row>
    <row r="766314" customFormat="1" ht="14.25" spans="80:80">
      <c r="CB766314" s="171"/>
    </row>
    <row r="766315" customFormat="1" ht="14.25" spans="80:80">
      <c r="CB766315" s="171"/>
    </row>
    <row r="766316" customFormat="1" ht="14.25" spans="80:80">
      <c r="CB766316" s="171"/>
    </row>
    <row r="766317" customFormat="1" ht="14.25" spans="80:80">
      <c r="CB766317" s="171"/>
    </row>
    <row r="766318" customFormat="1" ht="14.25" spans="80:80">
      <c r="CB766318" s="171"/>
    </row>
    <row r="766319" customFormat="1" ht="14.25" spans="80:80">
      <c r="CB766319" s="171"/>
    </row>
    <row r="766320" customFormat="1" ht="14.25" spans="80:80">
      <c r="CB766320" s="171"/>
    </row>
    <row r="766321" customFormat="1" ht="14.25" spans="80:80">
      <c r="CB766321" s="171"/>
    </row>
    <row r="766322" customFormat="1" ht="14.25" spans="80:80">
      <c r="CB766322" s="171"/>
    </row>
    <row r="766323" customFormat="1" ht="14.25" spans="80:80">
      <c r="CB766323" s="171"/>
    </row>
    <row r="766324" customFormat="1" ht="14.25" spans="80:80">
      <c r="CB766324" s="171"/>
    </row>
    <row r="766325" customFormat="1" ht="14.25" spans="80:80">
      <c r="CB766325" s="171"/>
    </row>
    <row r="766326" customFormat="1" ht="14.25" spans="80:80">
      <c r="CB766326" s="171"/>
    </row>
    <row r="766327" customFormat="1" ht="14.25" spans="80:80">
      <c r="CB766327" s="171"/>
    </row>
    <row r="766328" customFormat="1" ht="14.25" spans="80:80">
      <c r="CB766328" s="171"/>
    </row>
    <row r="766329" customFormat="1" ht="14.25" spans="80:80">
      <c r="CB766329" s="171"/>
    </row>
    <row r="766330" customFormat="1" ht="14.25" spans="80:80">
      <c r="CB766330" s="171"/>
    </row>
    <row r="766331" customFormat="1" ht="14.25" spans="80:80">
      <c r="CB766331" s="171"/>
    </row>
    <row r="766332" customFormat="1" ht="14.25" spans="80:80">
      <c r="CB766332" s="171"/>
    </row>
    <row r="766333" customFormat="1" ht="14.25" spans="80:80">
      <c r="CB766333" s="171"/>
    </row>
    <row r="766334" customFormat="1" ht="14.25" spans="80:80">
      <c r="CB766334" s="171"/>
    </row>
    <row r="766335" customFormat="1" ht="14.25" spans="80:80">
      <c r="CB766335" s="171"/>
    </row>
    <row r="766336" customFormat="1" ht="14.25" spans="80:80">
      <c r="CB766336" s="171"/>
    </row>
    <row r="766337" customFormat="1" ht="14.25" spans="80:80">
      <c r="CB766337" s="171"/>
    </row>
    <row r="766338" customFormat="1" ht="14.25" spans="80:80">
      <c r="CB766338" s="171"/>
    </row>
    <row r="766339" customFormat="1" ht="14.25" spans="80:80">
      <c r="CB766339" s="171"/>
    </row>
    <row r="766340" customFormat="1" ht="14.25" spans="80:80">
      <c r="CB766340" s="171"/>
    </row>
    <row r="766341" customFormat="1" ht="14.25" spans="80:80">
      <c r="CB766341" s="171"/>
    </row>
    <row r="766342" customFormat="1" ht="14.25" spans="80:80">
      <c r="CB766342" s="171"/>
    </row>
    <row r="766343" customFormat="1" ht="14.25" spans="80:80">
      <c r="CB766343" s="171"/>
    </row>
    <row r="766344" customFormat="1" ht="14.25" spans="80:80">
      <c r="CB766344" s="171"/>
    </row>
    <row r="766345" customFormat="1" ht="14.25" spans="80:80">
      <c r="CB766345" s="171"/>
    </row>
    <row r="766346" customFormat="1" ht="14.25" spans="80:80">
      <c r="CB766346" s="171"/>
    </row>
    <row r="766347" customFormat="1" ht="14.25" spans="80:80">
      <c r="CB766347" s="171"/>
    </row>
    <row r="766348" customFormat="1" ht="14.25" spans="80:80">
      <c r="CB766348" s="171"/>
    </row>
    <row r="766349" customFormat="1" ht="14.25" spans="80:80">
      <c r="CB766349" s="171"/>
    </row>
    <row r="766350" customFormat="1" ht="14.25" spans="80:80">
      <c r="CB766350" s="171"/>
    </row>
    <row r="766351" customFormat="1" ht="14.25" spans="80:80">
      <c r="CB766351" s="171"/>
    </row>
    <row r="766352" customFormat="1" ht="14.25" spans="80:80">
      <c r="CB766352" s="171"/>
    </row>
    <row r="766353" customFormat="1" ht="14.25" spans="80:80">
      <c r="CB766353" s="171"/>
    </row>
    <row r="766354" customFormat="1" ht="14.25" spans="80:80">
      <c r="CB766354" s="171"/>
    </row>
    <row r="766355" customFormat="1" ht="14.25" spans="80:80">
      <c r="CB766355" s="171"/>
    </row>
    <row r="766356" customFormat="1" ht="14.25" spans="80:80">
      <c r="CB766356" s="171"/>
    </row>
    <row r="766357" customFormat="1" ht="14.25" spans="80:80">
      <c r="CB766357" s="171"/>
    </row>
    <row r="766358" customFormat="1" ht="14.25" spans="80:80">
      <c r="CB766358" s="171"/>
    </row>
    <row r="766359" customFormat="1" ht="14.25" spans="80:80">
      <c r="CB766359" s="171"/>
    </row>
    <row r="766360" customFormat="1" ht="14.25" spans="80:80">
      <c r="CB766360" s="171"/>
    </row>
    <row r="766361" customFormat="1" ht="14.25" spans="80:80">
      <c r="CB766361" s="171"/>
    </row>
    <row r="766362" customFormat="1" ht="14.25" spans="80:80">
      <c r="CB766362" s="171"/>
    </row>
    <row r="766363" customFormat="1" ht="14.25" spans="80:80">
      <c r="CB766363" s="171"/>
    </row>
    <row r="766364" customFormat="1" ht="14.25" spans="80:80">
      <c r="CB766364" s="171"/>
    </row>
    <row r="766365" customFormat="1" ht="14.25" spans="80:80">
      <c r="CB766365" s="171"/>
    </row>
    <row r="766366" customFormat="1" ht="14.25" spans="80:80">
      <c r="CB766366" s="171"/>
    </row>
    <row r="766367" customFormat="1" ht="14.25" spans="80:80">
      <c r="CB766367" s="171"/>
    </row>
    <row r="766368" customFormat="1" ht="14.25" spans="80:80">
      <c r="CB766368" s="171"/>
    </row>
    <row r="766369" customFormat="1" ht="14.25" spans="80:80">
      <c r="CB766369" s="171"/>
    </row>
    <row r="766370" customFormat="1" ht="14.25" spans="80:80">
      <c r="CB766370" s="171"/>
    </row>
    <row r="766371" customFormat="1" ht="14.25" spans="80:80">
      <c r="CB766371" s="171"/>
    </row>
    <row r="766372" customFormat="1" ht="14.25" spans="80:80">
      <c r="CB766372" s="171"/>
    </row>
    <row r="766373" customFormat="1" ht="14.25" spans="80:80">
      <c r="CB766373" s="171"/>
    </row>
    <row r="766374" customFormat="1" ht="14.25" spans="80:80">
      <c r="CB766374" s="171"/>
    </row>
    <row r="766375" customFormat="1" ht="14.25" spans="80:80">
      <c r="CB766375" s="171"/>
    </row>
    <row r="766376" customFormat="1" ht="14.25" spans="80:80">
      <c r="CB766376" s="171"/>
    </row>
    <row r="766377" customFormat="1" ht="14.25" spans="80:80">
      <c r="CB766377" s="171"/>
    </row>
    <row r="766378" customFormat="1" ht="14.25" spans="80:80">
      <c r="CB766378" s="171"/>
    </row>
    <row r="766379" customFormat="1" ht="14.25" spans="80:80">
      <c r="CB766379" s="171"/>
    </row>
    <row r="766380" customFormat="1" ht="14.25" spans="80:80">
      <c r="CB766380" s="171"/>
    </row>
    <row r="766381" customFormat="1" ht="14.25" spans="80:80">
      <c r="CB766381" s="171"/>
    </row>
    <row r="766382" customFormat="1" ht="14.25" spans="80:80">
      <c r="CB766382" s="171"/>
    </row>
    <row r="766383" customFormat="1" ht="14.25" spans="80:80">
      <c r="CB766383" s="171"/>
    </row>
    <row r="766384" customFormat="1" ht="14.25" spans="80:80">
      <c r="CB766384" s="171"/>
    </row>
    <row r="766385" customFormat="1" ht="14.25" spans="80:80">
      <c r="CB766385" s="171"/>
    </row>
    <row r="766386" customFormat="1" ht="14.25" spans="80:80">
      <c r="CB766386" s="171"/>
    </row>
    <row r="766387" customFormat="1" ht="14.25" spans="80:80">
      <c r="CB766387" s="171"/>
    </row>
    <row r="766388" customFormat="1" ht="14.25" spans="80:80">
      <c r="CB766388" s="171"/>
    </row>
    <row r="766389" customFormat="1" ht="14.25" spans="80:80">
      <c r="CB766389" s="171"/>
    </row>
    <row r="766390" customFormat="1" ht="14.25" spans="80:80">
      <c r="CB766390" s="171"/>
    </row>
    <row r="766391" customFormat="1" ht="14.25" spans="80:80">
      <c r="CB766391" s="171"/>
    </row>
    <row r="766392" customFormat="1" ht="14.25" spans="80:80">
      <c r="CB766392" s="171"/>
    </row>
    <row r="766393" customFormat="1" ht="14.25" spans="80:80">
      <c r="CB766393" s="171"/>
    </row>
    <row r="766394" customFormat="1" ht="14.25" spans="80:80">
      <c r="CB766394" s="171"/>
    </row>
    <row r="766395" customFormat="1" ht="14.25" spans="80:80">
      <c r="CB766395" s="171"/>
    </row>
    <row r="766396" customFormat="1" ht="14.25" spans="80:80">
      <c r="CB766396" s="171"/>
    </row>
    <row r="766397" customFormat="1" ht="14.25" spans="80:80">
      <c r="CB766397" s="171"/>
    </row>
    <row r="766398" customFormat="1" ht="14.25" spans="80:80">
      <c r="CB766398" s="171"/>
    </row>
    <row r="766399" customFormat="1" ht="14.25" spans="80:80">
      <c r="CB766399" s="171"/>
    </row>
    <row r="766400" customFormat="1" ht="14.25" spans="80:80">
      <c r="CB766400" s="171"/>
    </row>
    <row r="766401" customFormat="1" ht="14.25" spans="80:80">
      <c r="CB766401" s="171"/>
    </row>
    <row r="766402" customFormat="1" ht="14.25" spans="80:80">
      <c r="CB766402" s="171"/>
    </row>
    <row r="766403" customFormat="1" ht="14.25" spans="80:80">
      <c r="CB766403" s="171"/>
    </row>
    <row r="766404" customFormat="1" ht="14.25" spans="80:80">
      <c r="CB766404" s="171"/>
    </row>
    <row r="766405" customFormat="1" ht="14.25" spans="80:80">
      <c r="CB766405" s="171"/>
    </row>
    <row r="766406" customFormat="1" ht="14.25" spans="80:80">
      <c r="CB766406" s="171"/>
    </row>
    <row r="766407" customFormat="1" ht="14.25" spans="80:80">
      <c r="CB766407" s="171"/>
    </row>
    <row r="766408" customFormat="1" ht="14.25" spans="80:80">
      <c r="CB766408" s="171"/>
    </row>
    <row r="766409" customFormat="1" ht="14.25" spans="80:80">
      <c r="CB766409" s="171"/>
    </row>
    <row r="766410" customFormat="1" ht="14.25" spans="80:80">
      <c r="CB766410" s="171"/>
    </row>
    <row r="766411" customFormat="1" ht="14.25" spans="80:80">
      <c r="CB766411" s="171"/>
    </row>
    <row r="766412" customFormat="1" ht="14.25" spans="80:80">
      <c r="CB766412" s="171"/>
    </row>
    <row r="766413" customFormat="1" ht="14.25" spans="80:80">
      <c r="CB766413" s="171"/>
    </row>
    <row r="766414" customFormat="1" ht="14.25" spans="80:80">
      <c r="CB766414" s="171"/>
    </row>
    <row r="766415" customFormat="1" ht="14.25" spans="80:80">
      <c r="CB766415" s="171"/>
    </row>
    <row r="766416" customFormat="1" ht="14.25" spans="80:80">
      <c r="CB766416" s="171"/>
    </row>
    <row r="766417" customFormat="1" ht="14.25" spans="80:80">
      <c r="CB766417" s="171"/>
    </row>
    <row r="766418" customFormat="1" ht="14.25" spans="80:80">
      <c r="CB766418" s="171"/>
    </row>
    <row r="766419" customFormat="1" ht="14.25" spans="80:80">
      <c r="CB766419" s="171"/>
    </row>
    <row r="766420" customFormat="1" ht="14.25" spans="80:80">
      <c r="CB766420" s="171"/>
    </row>
    <row r="766421" customFormat="1" ht="14.25" spans="80:80">
      <c r="CB766421" s="171"/>
    </row>
    <row r="766422" customFormat="1" ht="14.25" spans="80:80">
      <c r="CB766422" s="171"/>
    </row>
    <row r="766423" customFormat="1" ht="14.25" spans="80:80">
      <c r="CB766423" s="171"/>
    </row>
    <row r="766424" customFormat="1" ht="14.25" spans="80:80">
      <c r="CB766424" s="171"/>
    </row>
    <row r="766425" customFormat="1" ht="14.25" spans="80:80">
      <c r="CB766425" s="171"/>
    </row>
    <row r="766426" customFormat="1" ht="14.25" spans="80:80">
      <c r="CB766426" s="171"/>
    </row>
    <row r="766427" customFormat="1" ht="14.25" spans="80:80">
      <c r="CB766427" s="171"/>
    </row>
    <row r="766428" customFormat="1" ht="14.25" spans="80:80">
      <c r="CB766428" s="171"/>
    </row>
    <row r="766429" customFormat="1" ht="14.25" spans="80:80">
      <c r="CB766429" s="171"/>
    </row>
    <row r="766430" customFormat="1" ht="14.25" spans="80:80">
      <c r="CB766430" s="171"/>
    </row>
    <row r="766431" customFormat="1" ht="14.25" spans="80:80">
      <c r="CB766431" s="171"/>
    </row>
    <row r="766432" customFormat="1" ht="14.25" spans="80:80">
      <c r="CB766432" s="171"/>
    </row>
    <row r="766433" customFormat="1" ht="14.25" spans="80:80">
      <c r="CB766433" s="171"/>
    </row>
    <row r="766434" customFormat="1" ht="14.25" spans="80:80">
      <c r="CB766434" s="171"/>
    </row>
    <row r="766435" customFormat="1" ht="14.25" spans="80:80">
      <c r="CB766435" s="171"/>
    </row>
    <row r="766436" customFormat="1" ht="14.25" spans="80:80">
      <c r="CB766436" s="171"/>
    </row>
    <row r="766437" customFormat="1" ht="14.25" spans="80:80">
      <c r="CB766437" s="171"/>
    </row>
    <row r="766438" customFormat="1" ht="14.25" spans="80:80">
      <c r="CB766438" s="171"/>
    </row>
    <row r="766439" customFormat="1" ht="14.25" spans="80:80">
      <c r="CB766439" s="171"/>
    </row>
    <row r="766440" customFormat="1" ht="14.25" spans="80:80">
      <c r="CB766440" s="171"/>
    </row>
    <row r="766441" customFormat="1" ht="14.25" spans="80:80">
      <c r="CB766441" s="171"/>
    </row>
    <row r="766442" customFormat="1" ht="14.25" spans="80:80">
      <c r="CB766442" s="171"/>
    </row>
    <row r="766443" customFormat="1" ht="14.25" spans="80:80">
      <c r="CB766443" s="171"/>
    </row>
    <row r="766444" customFormat="1" ht="14.25" spans="80:80">
      <c r="CB766444" s="171"/>
    </row>
    <row r="766445" customFormat="1" ht="14.25" spans="80:80">
      <c r="CB766445" s="171"/>
    </row>
    <row r="766446" customFormat="1" ht="14.25" spans="80:80">
      <c r="CB766446" s="171"/>
    </row>
    <row r="766447" customFormat="1" ht="14.25" spans="80:80">
      <c r="CB766447" s="171"/>
    </row>
    <row r="766448" customFormat="1" ht="14.25" spans="80:80">
      <c r="CB766448" s="171"/>
    </row>
    <row r="766449" customFormat="1" ht="14.25" spans="80:80">
      <c r="CB766449" s="171"/>
    </row>
    <row r="766450" customFormat="1" ht="14.25" spans="80:80">
      <c r="CB766450" s="171"/>
    </row>
    <row r="766451" customFormat="1" ht="14.25" spans="80:80">
      <c r="CB766451" s="171"/>
    </row>
    <row r="766452" customFormat="1" ht="14.25" spans="80:80">
      <c r="CB766452" s="171"/>
    </row>
    <row r="766453" customFormat="1" ht="14.25" spans="80:80">
      <c r="CB766453" s="171"/>
    </row>
    <row r="766454" customFormat="1" ht="14.25" spans="80:80">
      <c r="CB766454" s="171"/>
    </row>
    <row r="766455" customFormat="1" ht="14.25" spans="80:80">
      <c r="CB766455" s="171"/>
    </row>
    <row r="766456" customFormat="1" ht="14.25" spans="80:80">
      <c r="CB766456" s="171"/>
    </row>
    <row r="766457" customFormat="1" ht="14.25" spans="80:80">
      <c r="CB766457" s="171"/>
    </row>
    <row r="766458" customFormat="1" ht="14.25" spans="80:80">
      <c r="CB766458" s="171"/>
    </row>
    <row r="766459" customFormat="1" ht="14.25" spans="80:80">
      <c r="CB766459" s="171"/>
    </row>
    <row r="766460" customFormat="1" ht="14.25" spans="80:80">
      <c r="CB766460" s="171"/>
    </row>
    <row r="766461" customFormat="1" ht="14.25" spans="80:80">
      <c r="CB766461" s="171"/>
    </row>
    <row r="766462" customFormat="1" ht="14.25" spans="80:80">
      <c r="CB766462" s="171"/>
    </row>
    <row r="766463" customFormat="1" ht="14.25" spans="80:80">
      <c r="CB766463" s="171"/>
    </row>
    <row r="766464" customFormat="1" ht="14.25" spans="80:80">
      <c r="CB766464" s="171"/>
    </row>
    <row r="766465" customFormat="1" ht="14.25" spans="80:80">
      <c r="CB766465" s="171"/>
    </row>
    <row r="766466" customFormat="1" ht="14.25" spans="80:80">
      <c r="CB766466" s="171"/>
    </row>
    <row r="766467" customFormat="1" ht="14.25" spans="80:80">
      <c r="CB766467" s="171"/>
    </row>
    <row r="766468" customFormat="1" ht="14.25" spans="80:80">
      <c r="CB766468" s="171"/>
    </row>
    <row r="766469" customFormat="1" ht="14.25" spans="80:80">
      <c r="CB766469" s="171"/>
    </row>
    <row r="766470" customFormat="1" ht="14.25" spans="80:80">
      <c r="CB766470" s="171"/>
    </row>
    <row r="766471" customFormat="1" ht="14.25" spans="80:80">
      <c r="CB766471" s="171"/>
    </row>
    <row r="766472" customFormat="1" ht="14.25" spans="80:80">
      <c r="CB766472" s="171"/>
    </row>
    <row r="766473" customFormat="1" ht="14.25" spans="80:80">
      <c r="CB766473" s="171"/>
    </row>
    <row r="766474" customFormat="1" ht="14.25" spans="80:80">
      <c r="CB766474" s="171"/>
    </row>
    <row r="766475" customFormat="1" ht="14.25" spans="80:80">
      <c r="CB766475" s="171"/>
    </row>
    <row r="766476" customFormat="1" ht="14.25" spans="80:80">
      <c r="CB766476" s="171"/>
    </row>
    <row r="766477" customFormat="1" ht="14.25" spans="80:80">
      <c r="CB766477" s="171"/>
    </row>
    <row r="766478" customFormat="1" ht="14.25" spans="80:80">
      <c r="CB766478" s="171"/>
    </row>
    <row r="766479" customFormat="1" ht="14.25" spans="80:80">
      <c r="CB766479" s="171"/>
    </row>
    <row r="766480" customFormat="1" ht="14.25" spans="80:80">
      <c r="CB766480" s="171"/>
    </row>
    <row r="766481" customFormat="1" ht="14.25" spans="80:80">
      <c r="CB766481" s="171"/>
    </row>
    <row r="766482" customFormat="1" ht="14.25" spans="80:80">
      <c r="CB766482" s="171"/>
    </row>
    <row r="766483" customFormat="1" ht="14.25" spans="80:80">
      <c r="CB766483" s="171"/>
    </row>
    <row r="766484" customFormat="1" ht="14.25" spans="80:80">
      <c r="CB766484" s="171"/>
    </row>
    <row r="766485" customFormat="1" ht="14.25" spans="80:80">
      <c r="CB766485" s="171"/>
    </row>
    <row r="766486" customFormat="1" ht="14.25" spans="80:80">
      <c r="CB766486" s="171"/>
    </row>
    <row r="766487" customFormat="1" ht="14.25" spans="80:80">
      <c r="CB766487" s="171"/>
    </row>
    <row r="766488" customFormat="1" ht="14.25" spans="80:80">
      <c r="CB766488" s="171"/>
    </row>
    <row r="766489" customFormat="1" ht="14.25" spans="80:80">
      <c r="CB766489" s="171"/>
    </row>
    <row r="766490" customFormat="1" ht="14.25" spans="80:80">
      <c r="CB766490" s="171"/>
    </row>
    <row r="766491" customFormat="1" ht="14.25" spans="80:80">
      <c r="CB766491" s="171"/>
    </row>
    <row r="766492" customFormat="1" ht="14.25" spans="80:80">
      <c r="CB766492" s="171"/>
    </row>
    <row r="766493" customFormat="1" ht="14.25" spans="80:80">
      <c r="CB766493" s="171"/>
    </row>
    <row r="766494" customFormat="1" ht="14.25" spans="80:80">
      <c r="CB766494" s="171"/>
    </row>
    <row r="766495" customFormat="1" ht="14.25" spans="80:80">
      <c r="CB766495" s="171"/>
    </row>
    <row r="766496" customFormat="1" ht="14.25" spans="80:80">
      <c r="CB766496" s="171"/>
    </row>
    <row r="766497" customFormat="1" ht="14.25" spans="80:80">
      <c r="CB766497" s="171"/>
    </row>
    <row r="766498" customFormat="1" ht="14.25" spans="80:80">
      <c r="CB766498" s="171"/>
    </row>
    <row r="766499" customFormat="1" ht="14.25" spans="80:80">
      <c r="CB766499" s="171"/>
    </row>
    <row r="766500" customFormat="1" ht="14.25" spans="80:80">
      <c r="CB766500" s="171"/>
    </row>
    <row r="766501" customFormat="1" ht="14.25" spans="80:80">
      <c r="CB766501" s="171"/>
    </row>
    <row r="766502" customFormat="1" ht="14.25" spans="80:80">
      <c r="CB766502" s="171"/>
    </row>
    <row r="766503" customFormat="1" ht="14.25" spans="80:80">
      <c r="CB766503" s="171"/>
    </row>
    <row r="766504" customFormat="1" ht="14.25" spans="80:80">
      <c r="CB766504" s="171"/>
    </row>
    <row r="766505" customFormat="1" ht="14.25" spans="80:80">
      <c r="CB766505" s="171"/>
    </row>
    <row r="766506" customFormat="1" ht="14.25" spans="80:80">
      <c r="CB766506" s="171"/>
    </row>
    <row r="766507" customFormat="1" ht="14.25" spans="80:80">
      <c r="CB766507" s="171"/>
    </row>
    <row r="766508" customFormat="1" ht="14.25" spans="80:80">
      <c r="CB766508" s="171"/>
    </row>
    <row r="766509" customFormat="1" ht="14.25" spans="80:80">
      <c r="CB766509" s="171"/>
    </row>
    <row r="766510" customFormat="1" ht="14.25" spans="80:80">
      <c r="CB766510" s="171"/>
    </row>
    <row r="766511" customFormat="1" ht="14.25" spans="80:80">
      <c r="CB766511" s="171"/>
    </row>
    <row r="766512" customFormat="1" ht="14.25" spans="80:80">
      <c r="CB766512" s="171"/>
    </row>
    <row r="766513" customFormat="1" ht="14.25" spans="80:80">
      <c r="CB766513" s="171"/>
    </row>
    <row r="766514" customFormat="1" ht="14.25" spans="80:80">
      <c r="CB766514" s="171"/>
    </row>
    <row r="766515" customFormat="1" ht="14.25" spans="80:80">
      <c r="CB766515" s="171"/>
    </row>
    <row r="766516" customFormat="1" ht="14.25" spans="80:80">
      <c r="CB766516" s="171"/>
    </row>
    <row r="766517" customFormat="1" ht="14.25" spans="80:80">
      <c r="CB766517" s="171"/>
    </row>
    <row r="766518" customFormat="1" ht="14.25" spans="80:80">
      <c r="CB766518" s="171"/>
    </row>
    <row r="766519" customFormat="1" ht="14.25" spans="80:80">
      <c r="CB766519" s="171"/>
    </row>
    <row r="766520" customFormat="1" ht="14.25" spans="80:80">
      <c r="CB766520" s="171"/>
    </row>
    <row r="766521" customFormat="1" ht="14.25" spans="80:80">
      <c r="CB766521" s="171"/>
    </row>
    <row r="766522" customFormat="1" ht="14.25" spans="80:80">
      <c r="CB766522" s="171"/>
    </row>
    <row r="766523" customFormat="1" ht="14.25" spans="80:80">
      <c r="CB766523" s="171"/>
    </row>
    <row r="766524" customFormat="1" ht="14.25" spans="80:80">
      <c r="CB766524" s="171"/>
    </row>
    <row r="766525" customFormat="1" ht="14.25" spans="80:80">
      <c r="CB766525" s="171"/>
    </row>
    <row r="766526" customFormat="1" ht="14.25" spans="80:80">
      <c r="CB766526" s="171"/>
    </row>
    <row r="766527" customFormat="1" ht="14.25" spans="80:80">
      <c r="CB766527" s="171"/>
    </row>
    <row r="766528" customFormat="1" ht="14.25" spans="80:80">
      <c r="CB766528" s="171"/>
    </row>
    <row r="766529" customFormat="1" ht="14.25" spans="80:80">
      <c r="CB766529" s="171"/>
    </row>
    <row r="766530" customFormat="1" ht="14.25" spans="80:80">
      <c r="CB766530" s="171"/>
    </row>
    <row r="766531" customFormat="1" ht="14.25" spans="80:80">
      <c r="CB766531" s="171"/>
    </row>
    <row r="766532" customFormat="1" ht="14.25" spans="80:80">
      <c r="CB766532" s="171"/>
    </row>
    <row r="766533" customFormat="1" ht="14.25" spans="80:80">
      <c r="CB766533" s="171"/>
    </row>
    <row r="766534" customFormat="1" ht="14.25" spans="80:80">
      <c r="CB766534" s="171"/>
    </row>
    <row r="766535" customFormat="1" ht="14.25" spans="80:80">
      <c r="CB766535" s="171"/>
    </row>
    <row r="766536" customFormat="1" ht="14.25" spans="80:80">
      <c r="CB766536" s="171"/>
    </row>
    <row r="766537" customFormat="1" ht="14.25" spans="80:80">
      <c r="CB766537" s="171"/>
    </row>
    <row r="766538" customFormat="1" ht="14.25" spans="80:80">
      <c r="CB766538" s="171"/>
    </row>
    <row r="766539" customFormat="1" ht="14.25" spans="80:80">
      <c r="CB766539" s="171"/>
    </row>
    <row r="766540" customFormat="1" ht="14.25" spans="80:80">
      <c r="CB766540" s="171"/>
    </row>
    <row r="766541" customFormat="1" ht="14.25" spans="80:80">
      <c r="CB766541" s="171"/>
    </row>
    <row r="766542" customFormat="1" ht="14.25" spans="80:80">
      <c r="CB766542" s="171"/>
    </row>
    <row r="766543" customFormat="1" ht="14.25" spans="80:80">
      <c r="CB766543" s="171"/>
    </row>
    <row r="766544" customFormat="1" ht="14.25" spans="80:80">
      <c r="CB766544" s="171"/>
    </row>
    <row r="766545" customFormat="1" ht="14.25" spans="80:80">
      <c r="CB766545" s="171"/>
    </row>
    <row r="766546" customFormat="1" ht="14.25" spans="80:80">
      <c r="CB766546" s="171"/>
    </row>
    <row r="766547" customFormat="1" ht="14.25" spans="80:80">
      <c r="CB766547" s="171"/>
    </row>
    <row r="766548" customFormat="1" ht="14.25" spans="80:80">
      <c r="CB766548" s="171"/>
    </row>
    <row r="766549" customFormat="1" ht="14.25" spans="80:80">
      <c r="CB766549" s="171"/>
    </row>
    <row r="766550" customFormat="1" ht="14.25" spans="80:80">
      <c r="CB766550" s="171"/>
    </row>
    <row r="766551" customFormat="1" ht="14.25" spans="80:80">
      <c r="CB766551" s="171"/>
    </row>
    <row r="766552" customFormat="1" ht="14.25" spans="80:80">
      <c r="CB766552" s="171"/>
    </row>
    <row r="766553" customFormat="1" ht="14.25" spans="80:80">
      <c r="CB766553" s="171"/>
    </row>
    <row r="766554" customFormat="1" ht="14.25" spans="80:80">
      <c r="CB766554" s="171"/>
    </row>
    <row r="766555" customFormat="1" ht="14.25" spans="80:80">
      <c r="CB766555" s="171"/>
    </row>
    <row r="766556" customFormat="1" ht="14.25" spans="80:80">
      <c r="CB766556" s="171"/>
    </row>
    <row r="766557" customFormat="1" ht="14.25" spans="80:80">
      <c r="CB766557" s="171"/>
    </row>
    <row r="766558" customFormat="1" ht="14.25" spans="80:80">
      <c r="CB766558" s="171"/>
    </row>
    <row r="766559" customFormat="1" ht="14.25" spans="80:80">
      <c r="CB766559" s="171"/>
    </row>
    <row r="766560" customFormat="1" ht="14.25" spans="80:80">
      <c r="CB766560" s="171"/>
    </row>
    <row r="766561" customFormat="1" ht="14.25" spans="80:80">
      <c r="CB766561" s="171"/>
    </row>
    <row r="766562" customFormat="1" ht="14.25" spans="80:80">
      <c r="CB766562" s="171"/>
    </row>
    <row r="766563" customFormat="1" ht="14.25" spans="80:80">
      <c r="CB766563" s="171"/>
    </row>
    <row r="766564" customFormat="1" ht="14.25" spans="80:80">
      <c r="CB766564" s="171"/>
    </row>
    <row r="766565" customFormat="1" ht="14.25" spans="80:80">
      <c r="CB766565" s="171"/>
    </row>
    <row r="766566" customFormat="1" ht="14.25" spans="80:80">
      <c r="CB766566" s="171"/>
    </row>
    <row r="766567" customFormat="1" ht="14.25" spans="80:80">
      <c r="CB766567" s="171"/>
    </row>
    <row r="766568" customFormat="1" ht="14.25" spans="80:80">
      <c r="CB766568" s="171"/>
    </row>
    <row r="766569" customFormat="1" ht="14.25" spans="80:80">
      <c r="CB766569" s="171"/>
    </row>
    <row r="766570" customFormat="1" ht="14.25" spans="80:80">
      <c r="CB766570" s="171"/>
    </row>
    <row r="766571" customFormat="1" ht="14.25" spans="80:80">
      <c r="CB766571" s="171"/>
    </row>
    <row r="766572" customFormat="1" ht="14.25" spans="80:80">
      <c r="CB766572" s="171"/>
    </row>
    <row r="766573" customFormat="1" ht="14.25" spans="80:80">
      <c r="CB766573" s="171"/>
    </row>
    <row r="766574" customFormat="1" ht="14.25" spans="80:80">
      <c r="CB766574" s="171"/>
    </row>
    <row r="766575" customFormat="1" ht="14.25" spans="80:80">
      <c r="CB766575" s="171"/>
    </row>
    <row r="766576" customFormat="1" ht="14.25" spans="80:80">
      <c r="CB766576" s="171"/>
    </row>
    <row r="766577" customFormat="1" ht="14.25" spans="80:80">
      <c r="CB766577" s="171"/>
    </row>
    <row r="766578" customFormat="1" ht="14.25" spans="80:80">
      <c r="CB766578" s="171"/>
    </row>
    <row r="766579" customFormat="1" ht="14.25" spans="80:80">
      <c r="CB766579" s="171"/>
    </row>
    <row r="766580" customFormat="1" ht="14.25" spans="80:80">
      <c r="CB766580" s="171"/>
    </row>
    <row r="766581" customFormat="1" ht="14.25" spans="80:80">
      <c r="CB766581" s="171"/>
    </row>
    <row r="766582" customFormat="1" ht="14.25" spans="80:80">
      <c r="CB766582" s="171"/>
    </row>
    <row r="766583" customFormat="1" ht="14.25" spans="80:80">
      <c r="CB766583" s="171"/>
    </row>
    <row r="766584" customFormat="1" ht="14.25" spans="80:80">
      <c r="CB766584" s="171"/>
    </row>
    <row r="766585" customFormat="1" ht="14.25" spans="80:80">
      <c r="CB766585" s="171"/>
    </row>
    <row r="766586" customFormat="1" ht="14.25" spans="80:80">
      <c r="CB766586" s="171"/>
    </row>
    <row r="766587" customFormat="1" ht="14.25" spans="80:80">
      <c r="CB766587" s="171"/>
    </row>
    <row r="766588" customFormat="1" ht="14.25" spans="80:80">
      <c r="CB766588" s="171"/>
    </row>
    <row r="766589" customFormat="1" ht="14.25" spans="80:80">
      <c r="CB766589" s="171"/>
    </row>
    <row r="766590" customFormat="1" ht="14.25" spans="80:80">
      <c r="CB766590" s="171"/>
    </row>
    <row r="766591" customFormat="1" ht="14.25" spans="80:80">
      <c r="CB766591" s="171"/>
    </row>
    <row r="766592" customFormat="1" ht="14.25" spans="80:80">
      <c r="CB766592" s="171"/>
    </row>
    <row r="766593" customFormat="1" ht="14.25" spans="80:80">
      <c r="CB766593" s="171"/>
    </row>
    <row r="766594" customFormat="1" ht="14.25" spans="80:80">
      <c r="CB766594" s="171"/>
    </row>
    <row r="766595" customFormat="1" ht="14.25" spans="80:80">
      <c r="CB766595" s="171"/>
    </row>
    <row r="766596" customFormat="1" ht="14.25" spans="80:80">
      <c r="CB766596" s="171"/>
    </row>
    <row r="766597" customFormat="1" ht="14.25" spans="80:80">
      <c r="CB766597" s="171"/>
    </row>
    <row r="766598" customFormat="1" ht="14.25" spans="80:80">
      <c r="CB766598" s="171"/>
    </row>
    <row r="766599" customFormat="1" ht="14.25" spans="80:80">
      <c r="CB766599" s="171"/>
    </row>
    <row r="766600" customFormat="1" ht="14.25" spans="80:80">
      <c r="CB766600" s="171"/>
    </row>
    <row r="766601" customFormat="1" ht="14.25" spans="80:80">
      <c r="CB766601" s="171"/>
    </row>
    <row r="766602" customFormat="1" ht="14.25" spans="80:80">
      <c r="CB766602" s="171"/>
    </row>
    <row r="766603" customFormat="1" ht="14.25" spans="80:80">
      <c r="CB766603" s="171"/>
    </row>
    <row r="766604" customFormat="1" ht="14.25" spans="80:80">
      <c r="CB766604" s="171"/>
    </row>
    <row r="766605" customFormat="1" ht="14.25" spans="80:80">
      <c r="CB766605" s="171"/>
    </row>
    <row r="766606" customFormat="1" ht="14.25" spans="80:80">
      <c r="CB766606" s="171"/>
    </row>
    <row r="766607" customFormat="1" ht="14.25" spans="80:80">
      <c r="CB766607" s="171"/>
    </row>
    <row r="766608" customFormat="1" ht="14.25" spans="80:80">
      <c r="CB766608" s="171"/>
    </row>
    <row r="766609" customFormat="1" ht="14.25" spans="80:80">
      <c r="CB766609" s="171"/>
    </row>
    <row r="766610" customFormat="1" ht="14.25" spans="80:80">
      <c r="CB766610" s="171"/>
    </row>
    <row r="766611" customFormat="1" ht="14.25" spans="80:80">
      <c r="CB766611" s="171"/>
    </row>
    <row r="766612" customFormat="1" ht="14.25" spans="80:80">
      <c r="CB766612" s="171"/>
    </row>
    <row r="766613" customFormat="1" ht="14.25" spans="80:80">
      <c r="CB766613" s="171"/>
    </row>
    <row r="766614" customFormat="1" ht="14.25" spans="80:80">
      <c r="CB766614" s="171"/>
    </row>
    <row r="766615" customFormat="1" ht="14.25" spans="80:80">
      <c r="CB766615" s="171"/>
    </row>
    <row r="766616" customFormat="1" ht="14.25" spans="80:80">
      <c r="CB766616" s="171"/>
    </row>
    <row r="766617" customFormat="1" ht="14.25" spans="80:80">
      <c r="CB766617" s="171"/>
    </row>
    <row r="766618" customFormat="1" ht="14.25" spans="80:80">
      <c r="CB766618" s="171"/>
    </row>
    <row r="766619" customFormat="1" ht="14.25" spans="80:80">
      <c r="CB766619" s="171"/>
    </row>
    <row r="766620" customFormat="1" ht="14.25" spans="80:80">
      <c r="CB766620" s="171"/>
    </row>
    <row r="766621" customFormat="1" ht="14.25" spans="80:80">
      <c r="CB766621" s="171"/>
    </row>
    <row r="766622" customFormat="1" ht="14.25" spans="80:80">
      <c r="CB766622" s="171"/>
    </row>
    <row r="766623" customFormat="1" ht="14.25" spans="80:80">
      <c r="CB766623" s="171"/>
    </row>
    <row r="766624" customFormat="1" ht="14.25" spans="80:80">
      <c r="CB766624" s="171"/>
    </row>
    <row r="766625" customFormat="1" ht="14.25" spans="80:80">
      <c r="CB766625" s="171"/>
    </row>
    <row r="766626" customFormat="1" ht="14.25" spans="80:80">
      <c r="CB766626" s="171"/>
    </row>
    <row r="766627" customFormat="1" ht="14.25" spans="80:80">
      <c r="CB766627" s="171"/>
    </row>
    <row r="766628" customFormat="1" ht="14.25" spans="80:80">
      <c r="CB766628" s="171"/>
    </row>
    <row r="766629" customFormat="1" ht="14.25" spans="80:80">
      <c r="CB766629" s="171"/>
    </row>
    <row r="766630" customFormat="1" ht="14.25" spans="80:80">
      <c r="CB766630" s="171"/>
    </row>
    <row r="766631" customFormat="1" ht="14.25" spans="80:80">
      <c r="CB766631" s="171"/>
    </row>
    <row r="766632" customFormat="1" ht="14.25" spans="80:80">
      <c r="CB766632" s="171"/>
    </row>
    <row r="766633" customFormat="1" ht="14.25" spans="80:80">
      <c r="CB766633" s="171"/>
    </row>
    <row r="766634" customFormat="1" ht="14.25" spans="80:80">
      <c r="CB766634" s="171"/>
    </row>
    <row r="766635" customFormat="1" ht="14.25" spans="80:80">
      <c r="CB766635" s="171"/>
    </row>
    <row r="766636" customFormat="1" ht="14.25" spans="80:80">
      <c r="CB766636" s="171"/>
    </row>
    <row r="766637" customFormat="1" ht="14.25" spans="80:80">
      <c r="CB766637" s="171"/>
    </row>
    <row r="766638" customFormat="1" ht="14.25" spans="80:80">
      <c r="CB766638" s="171"/>
    </row>
    <row r="766639" customFormat="1" ht="14.25" spans="80:80">
      <c r="CB766639" s="171"/>
    </row>
    <row r="766640" customFormat="1" ht="14.25" spans="80:80">
      <c r="CB766640" s="171"/>
    </row>
    <row r="766641" customFormat="1" ht="14.25" spans="80:80">
      <c r="CB766641" s="171"/>
    </row>
    <row r="766642" customFormat="1" ht="14.25" spans="80:80">
      <c r="CB766642" s="171"/>
    </row>
    <row r="766643" customFormat="1" ht="14.25" spans="80:80">
      <c r="CB766643" s="171"/>
    </row>
    <row r="766644" customFormat="1" ht="14.25" spans="80:80">
      <c r="CB766644" s="171"/>
    </row>
    <row r="766645" customFormat="1" ht="14.25" spans="80:80">
      <c r="CB766645" s="171"/>
    </row>
    <row r="766646" customFormat="1" ht="14.25" spans="80:80">
      <c r="CB766646" s="171"/>
    </row>
    <row r="766647" customFormat="1" ht="14.25" spans="80:80">
      <c r="CB766647" s="171"/>
    </row>
    <row r="766648" customFormat="1" ht="14.25" spans="80:80">
      <c r="CB766648" s="171"/>
    </row>
    <row r="766649" customFormat="1" ht="14.25" spans="80:80">
      <c r="CB766649" s="171"/>
    </row>
    <row r="766650" customFormat="1" ht="14.25" spans="80:80">
      <c r="CB766650" s="171"/>
    </row>
    <row r="766651" customFormat="1" ht="14.25" spans="80:80">
      <c r="CB766651" s="171"/>
    </row>
    <row r="766652" customFormat="1" ht="14.25" spans="80:80">
      <c r="CB766652" s="171"/>
    </row>
    <row r="766653" customFormat="1" ht="14.25" spans="80:80">
      <c r="CB766653" s="171"/>
    </row>
    <row r="766654" customFormat="1" ht="14.25" spans="80:80">
      <c r="CB766654" s="171"/>
    </row>
    <row r="766655" customFormat="1" ht="14.25" spans="80:80">
      <c r="CB766655" s="171"/>
    </row>
    <row r="766656" customFormat="1" ht="14.25" spans="80:80">
      <c r="CB766656" s="171"/>
    </row>
    <row r="766657" customFormat="1" ht="14.25" spans="80:80">
      <c r="CB766657" s="171"/>
    </row>
    <row r="766658" customFormat="1" ht="14.25" spans="80:80">
      <c r="CB766658" s="171"/>
    </row>
    <row r="766659" customFormat="1" ht="14.25" spans="80:80">
      <c r="CB766659" s="171"/>
    </row>
    <row r="766660" customFormat="1" ht="14.25" spans="80:80">
      <c r="CB766660" s="171"/>
    </row>
    <row r="766661" customFormat="1" ht="14.25" spans="80:80">
      <c r="CB766661" s="171"/>
    </row>
    <row r="766662" customFormat="1" ht="14.25" spans="80:80">
      <c r="CB766662" s="171"/>
    </row>
    <row r="766663" customFormat="1" ht="14.25" spans="80:80">
      <c r="CB766663" s="171"/>
    </row>
    <row r="766664" customFormat="1" ht="14.25" spans="80:80">
      <c r="CB766664" s="171"/>
    </row>
    <row r="766665" customFormat="1" ht="14.25" spans="80:80">
      <c r="CB766665" s="171"/>
    </row>
    <row r="766666" customFormat="1" ht="14.25" spans="80:80">
      <c r="CB766666" s="171"/>
    </row>
    <row r="766667" customFormat="1" ht="14.25" spans="80:80">
      <c r="CB766667" s="171"/>
    </row>
    <row r="766668" customFormat="1" ht="14.25" spans="80:80">
      <c r="CB766668" s="171"/>
    </row>
    <row r="766669" customFormat="1" ht="14.25" spans="80:80">
      <c r="CB766669" s="171"/>
    </row>
    <row r="766670" customFormat="1" ht="14.25" spans="80:80">
      <c r="CB766670" s="171"/>
    </row>
    <row r="766671" customFormat="1" ht="14.25" spans="80:80">
      <c r="CB766671" s="171"/>
    </row>
    <row r="766672" customFormat="1" ht="14.25" spans="80:80">
      <c r="CB766672" s="171"/>
    </row>
    <row r="766673" customFormat="1" ht="14.25" spans="80:80">
      <c r="CB766673" s="171"/>
    </row>
    <row r="766674" customFormat="1" ht="14.25" spans="80:80">
      <c r="CB766674" s="171"/>
    </row>
    <row r="766675" customFormat="1" ht="14.25" spans="80:80">
      <c r="CB766675" s="171"/>
    </row>
    <row r="766676" customFormat="1" ht="14.25" spans="80:80">
      <c r="CB766676" s="171"/>
    </row>
    <row r="766677" customFormat="1" ht="14.25" spans="80:80">
      <c r="CB766677" s="171"/>
    </row>
    <row r="766678" customFormat="1" ht="14.25" spans="80:80">
      <c r="CB766678" s="171"/>
    </row>
    <row r="766679" customFormat="1" ht="14.25" spans="80:80">
      <c r="CB766679" s="171"/>
    </row>
    <row r="766680" customFormat="1" ht="14.25" spans="80:80">
      <c r="CB766680" s="171"/>
    </row>
    <row r="766681" customFormat="1" ht="14.25" spans="80:80">
      <c r="CB766681" s="171"/>
    </row>
    <row r="766682" customFormat="1" ht="14.25" spans="80:80">
      <c r="CB766682" s="171"/>
    </row>
    <row r="766683" customFormat="1" ht="14.25" spans="80:80">
      <c r="CB766683" s="171"/>
    </row>
    <row r="766684" customFormat="1" ht="14.25" spans="80:80">
      <c r="CB766684" s="171"/>
    </row>
    <row r="766685" customFormat="1" ht="14.25" spans="80:80">
      <c r="CB766685" s="171"/>
    </row>
    <row r="766686" customFormat="1" ht="14.25" spans="80:80">
      <c r="CB766686" s="171"/>
    </row>
    <row r="766687" customFormat="1" ht="14.25" spans="80:80">
      <c r="CB766687" s="171"/>
    </row>
    <row r="766688" customFormat="1" ht="14.25" spans="80:80">
      <c r="CB766688" s="171"/>
    </row>
    <row r="766689" customFormat="1" ht="14.25" spans="80:80">
      <c r="CB766689" s="171"/>
    </row>
    <row r="766690" customFormat="1" ht="14.25" spans="80:80">
      <c r="CB766690" s="171"/>
    </row>
    <row r="766691" customFormat="1" ht="14.25" spans="80:80">
      <c r="CB766691" s="171"/>
    </row>
    <row r="766692" customFormat="1" ht="14.25" spans="80:80">
      <c r="CB766692" s="171"/>
    </row>
    <row r="766693" customFormat="1" ht="14.25" spans="80:80">
      <c r="CB766693" s="171"/>
    </row>
    <row r="766694" customFormat="1" ht="14.25" spans="80:80">
      <c r="CB766694" s="171"/>
    </row>
    <row r="766695" customFormat="1" ht="14.25" spans="80:80">
      <c r="CB766695" s="171"/>
    </row>
    <row r="766696" customFormat="1" ht="14.25" spans="80:80">
      <c r="CB766696" s="171"/>
    </row>
    <row r="766697" customFormat="1" ht="14.25" spans="80:80">
      <c r="CB766697" s="171"/>
    </row>
    <row r="766698" customFormat="1" ht="14.25" spans="80:80">
      <c r="CB766698" s="171"/>
    </row>
    <row r="766699" customFormat="1" ht="14.25" spans="80:80">
      <c r="CB766699" s="171"/>
    </row>
    <row r="766700" customFormat="1" ht="14.25" spans="80:80">
      <c r="CB766700" s="171"/>
    </row>
    <row r="766701" customFormat="1" ht="14.25" spans="80:80">
      <c r="CB766701" s="171"/>
    </row>
    <row r="766702" customFormat="1" ht="14.25" spans="80:80">
      <c r="CB766702" s="171"/>
    </row>
    <row r="766703" customFormat="1" ht="14.25" spans="80:80">
      <c r="CB766703" s="171"/>
    </row>
    <row r="766704" customFormat="1" ht="14.25" spans="80:80">
      <c r="CB766704" s="171"/>
    </row>
    <row r="766705" customFormat="1" ht="14.25" spans="80:80">
      <c r="CB766705" s="171"/>
    </row>
    <row r="766706" customFormat="1" ht="14.25" spans="80:80">
      <c r="CB766706" s="171"/>
    </row>
    <row r="766707" customFormat="1" ht="14.25" spans="80:80">
      <c r="CB766707" s="171"/>
    </row>
    <row r="766708" customFormat="1" ht="14.25" spans="80:80">
      <c r="CB766708" s="171"/>
    </row>
    <row r="766709" customFormat="1" ht="14.25" spans="80:80">
      <c r="CB766709" s="171"/>
    </row>
    <row r="766710" customFormat="1" ht="14.25" spans="80:80">
      <c r="CB766710" s="171"/>
    </row>
    <row r="766711" customFormat="1" ht="14.25" spans="80:80">
      <c r="CB766711" s="171"/>
    </row>
    <row r="766712" customFormat="1" ht="14.25" spans="80:80">
      <c r="CB766712" s="171"/>
    </row>
    <row r="766713" customFormat="1" ht="14.25" spans="80:80">
      <c r="CB766713" s="171"/>
    </row>
    <row r="766714" customFormat="1" ht="14.25" spans="80:80">
      <c r="CB766714" s="171"/>
    </row>
    <row r="766715" customFormat="1" ht="14.25" spans="80:80">
      <c r="CB766715" s="171"/>
    </row>
    <row r="766716" customFormat="1" ht="14.25" spans="80:80">
      <c r="CB766716" s="171"/>
    </row>
    <row r="766717" customFormat="1" ht="14.25" spans="80:80">
      <c r="CB766717" s="171"/>
    </row>
    <row r="766718" customFormat="1" ht="14.25" spans="80:80">
      <c r="CB766718" s="171"/>
    </row>
    <row r="766719" customFormat="1" ht="14.25" spans="80:80">
      <c r="CB766719" s="171"/>
    </row>
    <row r="766720" customFormat="1" ht="14.25" spans="80:80">
      <c r="CB766720" s="171"/>
    </row>
    <row r="766721" customFormat="1" ht="14.25" spans="80:80">
      <c r="CB766721" s="171"/>
    </row>
    <row r="766722" customFormat="1" ht="14.25" spans="80:80">
      <c r="CB766722" s="171"/>
    </row>
    <row r="766723" customFormat="1" ht="14.25" spans="80:80">
      <c r="CB766723" s="171"/>
    </row>
    <row r="766724" customFormat="1" ht="14.25" spans="80:80">
      <c r="CB766724" s="171"/>
    </row>
    <row r="766725" customFormat="1" ht="14.25" spans="80:80">
      <c r="CB766725" s="171"/>
    </row>
    <row r="766726" customFormat="1" ht="14.25" spans="80:80">
      <c r="CB766726" s="171"/>
    </row>
    <row r="766727" customFormat="1" ht="14.25" spans="80:80">
      <c r="CB766727" s="171"/>
    </row>
    <row r="766728" customFormat="1" ht="14.25" spans="80:80">
      <c r="CB766728" s="171"/>
    </row>
    <row r="766729" customFormat="1" ht="14.25" spans="80:80">
      <c r="CB766729" s="171"/>
    </row>
    <row r="766730" customFormat="1" ht="14.25" spans="80:80">
      <c r="CB766730" s="171"/>
    </row>
    <row r="766731" customFormat="1" ht="14.25" spans="80:80">
      <c r="CB766731" s="171"/>
    </row>
    <row r="766732" customFormat="1" ht="14.25" spans="80:80">
      <c r="CB766732" s="171"/>
    </row>
    <row r="766733" customFormat="1" ht="14.25" spans="80:80">
      <c r="CB766733" s="171"/>
    </row>
    <row r="766734" customFormat="1" ht="14.25" spans="80:80">
      <c r="CB766734" s="171"/>
    </row>
    <row r="766735" customFormat="1" ht="14.25" spans="80:80">
      <c r="CB766735" s="171"/>
    </row>
    <row r="766736" customFormat="1" ht="14.25" spans="80:80">
      <c r="CB766736" s="171"/>
    </row>
    <row r="766737" customFormat="1" ht="14.25" spans="80:80">
      <c r="CB766737" s="171"/>
    </row>
    <row r="766738" customFormat="1" ht="14.25" spans="80:80">
      <c r="CB766738" s="171"/>
    </row>
    <row r="766739" customFormat="1" ht="14.25" spans="80:80">
      <c r="CB766739" s="171"/>
    </row>
    <row r="766740" customFormat="1" ht="14.25" spans="80:80">
      <c r="CB766740" s="171"/>
    </row>
    <row r="766741" customFormat="1" ht="14.25" spans="80:80">
      <c r="CB766741" s="171"/>
    </row>
    <row r="766742" customFormat="1" ht="14.25" spans="80:80">
      <c r="CB766742" s="171"/>
    </row>
    <row r="766743" customFormat="1" ht="14.25" spans="80:80">
      <c r="CB766743" s="171"/>
    </row>
    <row r="766744" customFormat="1" ht="14.25" spans="80:80">
      <c r="CB766744" s="171"/>
    </row>
    <row r="766745" customFormat="1" ht="14.25" spans="80:80">
      <c r="CB766745" s="171"/>
    </row>
    <row r="766746" customFormat="1" ht="14.25" spans="80:80">
      <c r="CB766746" s="171"/>
    </row>
    <row r="766747" customFormat="1" ht="14.25" spans="80:80">
      <c r="CB766747" s="171"/>
    </row>
    <row r="766748" customFormat="1" ht="14.25" spans="80:80">
      <c r="CB766748" s="171"/>
    </row>
    <row r="766749" customFormat="1" ht="14.25" spans="80:80">
      <c r="CB766749" s="171"/>
    </row>
    <row r="766750" customFormat="1" ht="14.25" spans="80:80">
      <c r="CB766750" s="171"/>
    </row>
    <row r="766751" customFormat="1" ht="14.25" spans="80:80">
      <c r="CB766751" s="171"/>
    </row>
    <row r="766752" customFormat="1" ht="14.25" spans="80:80">
      <c r="CB766752" s="171"/>
    </row>
    <row r="766753" customFormat="1" ht="14.25" spans="80:80">
      <c r="CB766753" s="171"/>
    </row>
    <row r="766754" customFormat="1" ht="14.25" spans="80:80">
      <c r="CB766754" s="171"/>
    </row>
    <row r="766755" customFormat="1" ht="14.25" spans="80:80">
      <c r="CB766755" s="171"/>
    </row>
    <row r="766756" customFormat="1" ht="14.25" spans="80:80">
      <c r="CB766756" s="171"/>
    </row>
    <row r="766757" customFormat="1" ht="14.25" spans="80:80">
      <c r="CB766757" s="171"/>
    </row>
    <row r="766758" customFormat="1" ht="14.25" spans="80:80">
      <c r="CB766758" s="171"/>
    </row>
    <row r="766759" customFormat="1" ht="14.25" spans="80:80">
      <c r="CB766759" s="171"/>
    </row>
    <row r="766760" customFormat="1" ht="14.25" spans="80:80">
      <c r="CB766760" s="171"/>
    </row>
    <row r="766761" customFormat="1" ht="14.25" spans="80:80">
      <c r="CB766761" s="171"/>
    </row>
    <row r="766762" customFormat="1" ht="14.25" spans="80:80">
      <c r="CB766762" s="171"/>
    </row>
    <row r="766763" customFormat="1" ht="14.25" spans="80:80">
      <c r="CB766763" s="171"/>
    </row>
    <row r="766764" customFormat="1" ht="14.25" spans="80:80">
      <c r="CB766764" s="171"/>
    </row>
    <row r="766765" customFormat="1" ht="14.25" spans="80:80">
      <c r="CB766765" s="171"/>
    </row>
    <row r="766766" customFormat="1" ht="14.25" spans="80:80">
      <c r="CB766766" s="171"/>
    </row>
    <row r="766767" customFormat="1" ht="14.25" spans="80:80">
      <c r="CB766767" s="171"/>
    </row>
    <row r="766768" customFormat="1" ht="14.25" spans="80:80">
      <c r="CB766768" s="171"/>
    </row>
    <row r="766769" customFormat="1" ht="14.25" spans="80:80">
      <c r="CB766769" s="171"/>
    </row>
    <row r="766770" customFormat="1" ht="14.25" spans="80:80">
      <c r="CB766770" s="171"/>
    </row>
    <row r="766771" customFormat="1" ht="14.25" spans="80:80">
      <c r="CB766771" s="171"/>
    </row>
    <row r="766772" customFormat="1" ht="14.25" spans="80:80">
      <c r="CB766772" s="171"/>
    </row>
    <row r="766773" customFormat="1" ht="14.25" spans="80:80">
      <c r="CB766773" s="171"/>
    </row>
    <row r="766774" customFormat="1" ht="14.25" spans="80:80">
      <c r="CB766774" s="171"/>
    </row>
    <row r="766775" customFormat="1" ht="14.25" spans="80:80">
      <c r="CB766775" s="171"/>
    </row>
    <row r="766776" customFormat="1" ht="14.25" spans="80:80">
      <c r="CB766776" s="171"/>
    </row>
    <row r="766777" customFormat="1" ht="14.25" spans="80:80">
      <c r="CB766777" s="171"/>
    </row>
    <row r="766778" customFormat="1" ht="14.25" spans="80:80">
      <c r="CB766778" s="171"/>
    </row>
    <row r="766779" customFormat="1" ht="14.25" spans="80:80">
      <c r="CB766779" s="171"/>
    </row>
    <row r="766780" customFormat="1" ht="14.25" spans="80:80">
      <c r="CB766780" s="171"/>
    </row>
    <row r="766781" customFormat="1" ht="14.25" spans="80:80">
      <c r="CB766781" s="171"/>
    </row>
    <row r="766782" customFormat="1" ht="14.25" spans="80:80">
      <c r="CB766782" s="171"/>
    </row>
    <row r="766783" customFormat="1" ht="14.25" spans="80:80">
      <c r="CB766783" s="171"/>
    </row>
    <row r="766784" customFormat="1" ht="14.25" spans="80:80">
      <c r="CB766784" s="171"/>
    </row>
    <row r="766785" customFormat="1" ht="14.25" spans="80:80">
      <c r="CB766785" s="171"/>
    </row>
    <row r="766786" customFormat="1" ht="14.25" spans="80:80">
      <c r="CB766786" s="171"/>
    </row>
    <row r="766787" customFormat="1" ht="14.25" spans="80:80">
      <c r="CB766787" s="171"/>
    </row>
    <row r="766788" customFormat="1" ht="14.25" spans="80:80">
      <c r="CB766788" s="171"/>
    </row>
    <row r="766789" customFormat="1" ht="14.25" spans="80:80">
      <c r="CB766789" s="171"/>
    </row>
    <row r="766790" customFormat="1" ht="14.25" spans="80:80">
      <c r="CB766790" s="171"/>
    </row>
    <row r="766791" customFormat="1" ht="14.25" spans="80:80">
      <c r="CB766791" s="171"/>
    </row>
    <row r="766792" customFormat="1" ht="14.25" spans="80:80">
      <c r="CB766792" s="171"/>
    </row>
    <row r="766793" customFormat="1" ht="14.25" spans="80:80">
      <c r="CB766793" s="171"/>
    </row>
    <row r="766794" customFormat="1" ht="14.25" spans="80:80">
      <c r="CB766794" s="171"/>
    </row>
    <row r="766795" customFormat="1" ht="14.25" spans="80:80">
      <c r="CB766795" s="171"/>
    </row>
    <row r="766796" customFormat="1" ht="14.25" spans="80:80">
      <c r="CB766796" s="171"/>
    </row>
    <row r="766797" customFormat="1" ht="14.25" spans="80:80">
      <c r="CB766797" s="171"/>
    </row>
    <row r="766798" customFormat="1" ht="14.25" spans="80:80">
      <c r="CB766798" s="171"/>
    </row>
    <row r="766799" customFormat="1" ht="14.25" spans="80:80">
      <c r="CB766799" s="171"/>
    </row>
    <row r="766800" customFormat="1" ht="14.25" spans="80:80">
      <c r="CB766800" s="171"/>
    </row>
    <row r="766801" customFormat="1" ht="14.25" spans="80:80">
      <c r="CB766801" s="171"/>
    </row>
    <row r="766802" customFormat="1" ht="14.25" spans="80:80">
      <c r="CB766802" s="171"/>
    </row>
    <row r="766803" customFormat="1" ht="14.25" spans="80:80">
      <c r="CB766803" s="171"/>
    </row>
    <row r="766804" customFormat="1" ht="14.25" spans="80:80">
      <c r="CB766804" s="171"/>
    </row>
    <row r="766805" customFormat="1" ht="14.25" spans="80:80">
      <c r="CB766805" s="171"/>
    </row>
    <row r="766806" customFormat="1" ht="14.25" spans="80:80">
      <c r="CB766806" s="171"/>
    </row>
    <row r="766807" customFormat="1" ht="14.25" spans="80:80">
      <c r="CB766807" s="171"/>
    </row>
    <row r="766808" customFormat="1" ht="14.25" spans="80:80">
      <c r="CB766808" s="171"/>
    </row>
    <row r="766809" customFormat="1" ht="14.25" spans="80:80">
      <c r="CB766809" s="171"/>
    </row>
    <row r="766810" customFormat="1" ht="14.25" spans="80:80">
      <c r="CB766810" s="171"/>
    </row>
    <row r="766811" customFormat="1" ht="14.25" spans="80:80">
      <c r="CB766811" s="171"/>
    </row>
    <row r="766812" customFormat="1" ht="14.25" spans="80:80">
      <c r="CB766812" s="171"/>
    </row>
    <row r="766813" customFormat="1" ht="14.25" spans="80:80">
      <c r="CB766813" s="171"/>
    </row>
    <row r="766814" customFormat="1" ht="14.25" spans="80:80">
      <c r="CB766814" s="171"/>
    </row>
    <row r="766815" customFormat="1" ht="14.25" spans="80:80">
      <c r="CB766815" s="171"/>
    </row>
    <row r="766816" customFormat="1" ht="14.25" spans="80:80">
      <c r="CB766816" s="171"/>
    </row>
    <row r="766817" customFormat="1" ht="14.25" spans="80:80">
      <c r="CB766817" s="171"/>
    </row>
    <row r="766818" customFormat="1" ht="14.25" spans="80:80">
      <c r="CB766818" s="171"/>
    </row>
    <row r="766819" customFormat="1" ht="14.25" spans="80:80">
      <c r="CB766819" s="171"/>
    </row>
    <row r="766820" customFormat="1" ht="14.25" spans="80:80">
      <c r="CB766820" s="171"/>
    </row>
    <row r="766821" customFormat="1" ht="14.25" spans="80:80">
      <c r="CB766821" s="171"/>
    </row>
    <row r="766822" customFormat="1" ht="14.25" spans="80:80">
      <c r="CB766822" s="171"/>
    </row>
    <row r="766823" customFormat="1" ht="14.25" spans="80:80">
      <c r="CB766823" s="171"/>
    </row>
    <row r="766824" customFormat="1" ht="14.25" spans="80:80">
      <c r="CB766824" s="171"/>
    </row>
    <row r="766825" customFormat="1" ht="14.25" spans="80:80">
      <c r="CB766825" s="171"/>
    </row>
    <row r="766826" customFormat="1" ht="14.25" spans="80:80">
      <c r="CB766826" s="171"/>
    </row>
    <row r="766827" customFormat="1" ht="14.25" spans="80:80">
      <c r="CB766827" s="171"/>
    </row>
    <row r="766828" customFormat="1" ht="14.25" spans="80:80">
      <c r="CB766828" s="171"/>
    </row>
    <row r="766829" customFormat="1" ht="14.25" spans="80:80">
      <c r="CB766829" s="171"/>
    </row>
    <row r="766830" customFormat="1" ht="14.25" spans="80:80">
      <c r="CB766830" s="171"/>
    </row>
    <row r="766831" customFormat="1" ht="14.25" spans="80:80">
      <c r="CB766831" s="171"/>
    </row>
    <row r="766832" customFormat="1" ht="14.25" spans="80:80">
      <c r="CB766832" s="171"/>
    </row>
    <row r="766833" customFormat="1" ht="14.25" spans="80:80">
      <c r="CB766833" s="171"/>
    </row>
    <row r="766834" customFormat="1" ht="14.25" spans="80:80">
      <c r="CB766834" s="171"/>
    </row>
    <row r="766835" customFormat="1" ht="14.25" spans="80:80">
      <c r="CB766835" s="171"/>
    </row>
    <row r="766836" customFormat="1" ht="14.25" spans="80:80">
      <c r="CB766836" s="171"/>
    </row>
    <row r="766837" customFormat="1" ht="14.25" spans="80:80">
      <c r="CB766837" s="171"/>
    </row>
    <row r="766838" customFormat="1" ht="14.25" spans="80:80">
      <c r="CB766838" s="171"/>
    </row>
    <row r="766839" customFormat="1" ht="14.25" spans="80:80">
      <c r="CB766839" s="171"/>
    </row>
    <row r="766840" customFormat="1" ht="14.25" spans="80:80">
      <c r="CB766840" s="171"/>
    </row>
    <row r="766841" customFormat="1" ht="14.25" spans="80:80">
      <c r="CB766841" s="171"/>
    </row>
    <row r="766842" customFormat="1" ht="14.25" spans="80:80">
      <c r="CB766842" s="171"/>
    </row>
    <row r="766843" customFormat="1" ht="14.25" spans="80:80">
      <c r="CB766843" s="171"/>
    </row>
    <row r="766844" customFormat="1" ht="14.25" spans="80:80">
      <c r="CB766844" s="171"/>
    </row>
    <row r="766845" customFormat="1" ht="14.25" spans="80:80">
      <c r="CB766845" s="171"/>
    </row>
    <row r="766846" customFormat="1" ht="14.25" spans="80:80">
      <c r="CB766846" s="171"/>
    </row>
    <row r="766847" customFormat="1" ht="14.25" spans="80:80">
      <c r="CB766847" s="171"/>
    </row>
    <row r="766848" customFormat="1" ht="14.25" spans="80:80">
      <c r="CB766848" s="171"/>
    </row>
    <row r="766849" customFormat="1" ht="14.25" spans="80:80">
      <c r="CB766849" s="171"/>
    </row>
    <row r="766850" customFormat="1" ht="14.25" spans="80:80">
      <c r="CB766850" s="171"/>
    </row>
    <row r="766851" customFormat="1" ht="14.25" spans="80:80">
      <c r="CB766851" s="171"/>
    </row>
    <row r="766852" customFormat="1" ht="14.25" spans="80:80">
      <c r="CB766852" s="171"/>
    </row>
    <row r="766853" customFormat="1" ht="14.25" spans="80:80">
      <c r="CB766853" s="171"/>
    </row>
    <row r="766854" customFormat="1" ht="14.25" spans="80:80">
      <c r="CB766854" s="171"/>
    </row>
    <row r="766855" customFormat="1" ht="14.25" spans="80:80">
      <c r="CB766855" s="171"/>
    </row>
    <row r="766856" customFormat="1" ht="14.25" spans="80:80">
      <c r="CB766856" s="171"/>
    </row>
    <row r="766857" customFormat="1" ht="14.25" spans="80:80">
      <c r="CB766857" s="171"/>
    </row>
    <row r="766858" customFormat="1" ht="14.25" spans="80:80">
      <c r="CB766858" s="171"/>
    </row>
    <row r="766859" customFormat="1" ht="14.25" spans="80:80">
      <c r="CB766859" s="171"/>
    </row>
    <row r="766860" customFormat="1" ht="14.25" spans="80:80">
      <c r="CB766860" s="171"/>
    </row>
    <row r="766861" customFormat="1" ht="14.25" spans="80:80">
      <c r="CB766861" s="171"/>
    </row>
    <row r="766862" customFormat="1" ht="14.25" spans="80:80">
      <c r="CB766862" s="171"/>
    </row>
    <row r="766863" customFormat="1" ht="14.25" spans="80:80">
      <c r="CB766863" s="171"/>
    </row>
    <row r="766864" customFormat="1" ht="14.25" spans="80:80">
      <c r="CB766864" s="171"/>
    </row>
    <row r="766865" customFormat="1" ht="14.25" spans="80:80">
      <c r="CB766865" s="171"/>
    </row>
    <row r="766866" customFormat="1" ht="14.25" spans="80:80">
      <c r="CB766866" s="171"/>
    </row>
    <row r="766867" customFormat="1" ht="14.25" spans="80:80">
      <c r="CB766867" s="171"/>
    </row>
    <row r="766868" customFormat="1" ht="14.25" spans="80:80">
      <c r="CB766868" s="171"/>
    </row>
    <row r="766869" customFormat="1" ht="14.25" spans="80:80">
      <c r="CB766869" s="171"/>
    </row>
    <row r="766870" customFormat="1" ht="14.25" spans="80:80">
      <c r="CB766870" s="171"/>
    </row>
    <row r="766871" customFormat="1" ht="14.25" spans="80:80">
      <c r="CB766871" s="171"/>
    </row>
    <row r="766872" customFormat="1" ht="14.25" spans="80:80">
      <c r="CB766872" s="171"/>
    </row>
    <row r="766873" customFormat="1" ht="14.25" spans="80:80">
      <c r="CB766873" s="171"/>
    </row>
    <row r="766874" customFormat="1" ht="14.25" spans="80:80">
      <c r="CB766874" s="171"/>
    </row>
    <row r="766875" customFormat="1" ht="14.25" spans="80:80">
      <c r="CB766875" s="171"/>
    </row>
    <row r="766876" customFormat="1" ht="14.25" spans="80:80">
      <c r="CB766876" s="171"/>
    </row>
    <row r="766877" customFormat="1" ht="14.25" spans="80:80">
      <c r="CB766877" s="171"/>
    </row>
    <row r="766878" customFormat="1" ht="14.25" spans="80:80">
      <c r="CB766878" s="171"/>
    </row>
    <row r="766879" customFormat="1" ht="14.25" spans="80:80">
      <c r="CB766879" s="171"/>
    </row>
    <row r="766880" customFormat="1" ht="14.25" spans="80:80">
      <c r="CB766880" s="171"/>
    </row>
    <row r="766881" customFormat="1" ht="14.25" spans="80:80">
      <c r="CB766881" s="171"/>
    </row>
    <row r="766882" customFormat="1" ht="14.25" spans="80:80">
      <c r="CB766882" s="171"/>
    </row>
    <row r="766883" customFormat="1" ht="14.25" spans="80:80">
      <c r="CB766883" s="171"/>
    </row>
    <row r="766884" customFormat="1" ht="14.25" spans="80:80">
      <c r="CB766884" s="171"/>
    </row>
    <row r="766885" customFormat="1" ht="14.25" spans="80:80">
      <c r="CB766885" s="171"/>
    </row>
    <row r="766886" customFormat="1" ht="14.25" spans="80:80">
      <c r="CB766886" s="171"/>
    </row>
    <row r="766887" customFormat="1" ht="14.25" spans="80:80">
      <c r="CB766887" s="171"/>
    </row>
    <row r="766888" customFormat="1" ht="14.25" spans="80:80">
      <c r="CB766888" s="171"/>
    </row>
    <row r="766889" customFormat="1" ht="14.25" spans="80:80">
      <c r="CB766889" s="171"/>
    </row>
    <row r="766890" customFormat="1" ht="14.25" spans="80:80">
      <c r="CB766890" s="171"/>
    </row>
    <row r="766891" customFormat="1" ht="14.25" spans="80:80">
      <c r="CB766891" s="171"/>
    </row>
    <row r="766892" customFormat="1" ht="14.25" spans="80:80">
      <c r="CB766892" s="171"/>
    </row>
    <row r="766893" customFormat="1" ht="14.25" spans="80:80">
      <c r="CB766893" s="171"/>
    </row>
    <row r="766894" customFormat="1" ht="14.25" spans="80:80">
      <c r="CB766894" s="171"/>
    </row>
    <row r="766895" customFormat="1" ht="14.25" spans="80:80">
      <c r="CB766895" s="171"/>
    </row>
    <row r="766896" customFormat="1" ht="14.25" spans="80:80">
      <c r="CB766896" s="171"/>
    </row>
    <row r="766897" customFormat="1" ht="14.25" spans="80:80">
      <c r="CB766897" s="171"/>
    </row>
    <row r="766898" customFormat="1" ht="14.25" spans="80:80">
      <c r="CB766898" s="171"/>
    </row>
    <row r="766899" customFormat="1" ht="14.25" spans="80:80">
      <c r="CB766899" s="171"/>
    </row>
    <row r="766900" customFormat="1" ht="14.25" spans="80:80">
      <c r="CB766900" s="171"/>
    </row>
    <row r="766901" customFormat="1" ht="14.25" spans="80:80">
      <c r="CB766901" s="171"/>
    </row>
    <row r="766902" customFormat="1" ht="14.25" spans="80:80">
      <c r="CB766902" s="171"/>
    </row>
    <row r="766903" customFormat="1" ht="14.25" spans="80:80">
      <c r="CB766903" s="171"/>
    </row>
    <row r="766904" customFormat="1" ht="14.25" spans="80:80">
      <c r="CB766904" s="171"/>
    </row>
    <row r="766905" customFormat="1" ht="14.25" spans="80:80">
      <c r="CB766905" s="171"/>
    </row>
    <row r="766906" customFormat="1" ht="14.25" spans="80:80">
      <c r="CB766906" s="171"/>
    </row>
    <row r="766907" customFormat="1" ht="14.25" spans="80:80">
      <c r="CB766907" s="171"/>
    </row>
    <row r="766908" customFormat="1" ht="14.25" spans="80:80">
      <c r="CB766908" s="171"/>
    </row>
    <row r="766909" customFormat="1" ht="14.25" spans="80:80">
      <c r="CB766909" s="171"/>
    </row>
    <row r="766910" customFormat="1" ht="14.25" spans="80:80">
      <c r="CB766910" s="171"/>
    </row>
    <row r="766911" customFormat="1" ht="14.25" spans="80:80">
      <c r="CB766911" s="171"/>
    </row>
    <row r="766912" customFormat="1" ht="14.25" spans="80:80">
      <c r="CB766912" s="171"/>
    </row>
    <row r="766913" customFormat="1" ht="14.25" spans="80:80">
      <c r="CB766913" s="171"/>
    </row>
    <row r="766914" customFormat="1" ht="14.25" spans="80:80">
      <c r="CB766914" s="171"/>
    </row>
    <row r="766915" customFormat="1" ht="14.25" spans="80:80">
      <c r="CB766915" s="171"/>
    </row>
    <row r="766916" customFormat="1" ht="14.25" spans="80:80">
      <c r="CB766916" s="171"/>
    </row>
    <row r="766917" customFormat="1" ht="14.25" spans="80:80">
      <c r="CB766917" s="171"/>
    </row>
    <row r="766918" customFormat="1" ht="14.25" spans="80:80">
      <c r="CB766918" s="171"/>
    </row>
    <row r="766919" customFormat="1" ht="14.25" spans="80:80">
      <c r="CB766919" s="171"/>
    </row>
    <row r="766920" customFormat="1" ht="14.25" spans="80:80">
      <c r="CB766920" s="171"/>
    </row>
    <row r="766921" customFormat="1" ht="14.25" spans="80:80">
      <c r="CB766921" s="171"/>
    </row>
    <row r="766922" customFormat="1" ht="14.25" spans="80:80">
      <c r="CB766922" s="171"/>
    </row>
    <row r="766923" customFormat="1" ht="14.25" spans="80:80">
      <c r="CB766923" s="171"/>
    </row>
    <row r="766924" customFormat="1" ht="14.25" spans="80:80">
      <c r="CB766924" s="171"/>
    </row>
    <row r="766925" customFormat="1" ht="14.25" spans="80:80">
      <c r="CB766925" s="171"/>
    </row>
    <row r="766926" customFormat="1" ht="14.25" spans="80:80">
      <c r="CB766926" s="171"/>
    </row>
    <row r="766927" customFormat="1" ht="14.25" spans="80:80">
      <c r="CB766927" s="171"/>
    </row>
    <row r="766928" customFormat="1" ht="14.25" spans="80:80">
      <c r="CB766928" s="171"/>
    </row>
    <row r="766929" customFormat="1" ht="14.25" spans="80:80">
      <c r="CB766929" s="171"/>
    </row>
    <row r="766930" customFormat="1" ht="14.25" spans="80:80">
      <c r="CB766930" s="171"/>
    </row>
    <row r="766931" customFormat="1" ht="14.25" spans="80:80">
      <c r="CB766931" s="171"/>
    </row>
    <row r="766932" customFormat="1" ht="14.25" spans="80:80">
      <c r="CB766932" s="171"/>
    </row>
    <row r="766933" customFormat="1" ht="14.25" spans="80:80">
      <c r="CB766933" s="171"/>
    </row>
    <row r="766934" customFormat="1" ht="14.25" spans="80:80">
      <c r="CB766934" s="171"/>
    </row>
    <row r="766935" customFormat="1" ht="14.25" spans="80:80">
      <c r="CB766935" s="171"/>
    </row>
    <row r="766936" customFormat="1" ht="14.25" spans="80:80">
      <c r="CB766936" s="171"/>
    </row>
    <row r="766937" customFormat="1" ht="14.25" spans="80:80">
      <c r="CB766937" s="171"/>
    </row>
    <row r="766938" customFormat="1" ht="14.25" spans="80:80">
      <c r="CB766938" s="171"/>
    </row>
    <row r="766939" customFormat="1" ht="14.25" spans="80:80">
      <c r="CB766939" s="171"/>
    </row>
    <row r="766940" customFormat="1" ht="14.25" spans="80:80">
      <c r="CB766940" s="171"/>
    </row>
    <row r="766941" customFormat="1" ht="14.25" spans="80:80">
      <c r="CB766941" s="171"/>
    </row>
    <row r="766942" customFormat="1" ht="14.25" spans="80:80">
      <c r="CB766942" s="171"/>
    </row>
    <row r="766943" customFormat="1" ht="14.25" spans="80:80">
      <c r="CB766943" s="171"/>
    </row>
    <row r="766944" customFormat="1" ht="14.25" spans="80:80">
      <c r="CB766944" s="171"/>
    </row>
    <row r="766945" customFormat="1" ht="14.25" spans="80:80">
      <c r="CB766945" s="171"/>
    </row>
    <row r="766946" customFormat="1" ht="14.25" spans="80:80">
      <c r="CB766946" s="171"/>
    </row>
    <row r="766947" customFormat="1" ht="14.25" spans="80:80">
      <c r="CB766947" s="171"/>
    </row>
    <row r="766948" customFormat="1" ht="14.25" spans="80:80">
      <c r="CB766948" s="171"/>
    </row>
    <row r="766949" customFormat="1" ht="14.25" spans="80:80">
      <c r="CB766949" s="171"/>
    </row>
    <row r="766950" customFormat="1" ht="14.25" spans="80:80">
      <c r="CB766950" s="171"/>
    </row>
    <row r="766951" customFormat="1" ht="14.25" spans="80:80">
      <c r="CB766951" s="171"/>
    </row>
    <row r="766952" customFormat="1" ht="14.25" spans="80:80">
      <c r="CB766952" s="171"/>
    </row>
    <row r="766953" customFormat="1" ht="14.25" spans="80:80">
      <c r="CB766953" s="171"/>
    </row>
    <row r="766954" customFormat="1" ht="14.25" spans="80:80">
      <c r="CB766954" s="171"/>
    </row>
    <row r="766955" customFormat="1" ht="14.25" spans="80:80">
      <c r="CB766955" s="171"/>
    </row>
    <row r="766956" customFormat="1" ht="14.25" spans="80:80">
      <c r="CB766956" s="171"/>
    </row>
    <row r="766957" customFormat="1" ht="14.25" spans="80:80">
      <c r="CB766957" s="171"/>
    </row>
    <row r="766958" customFormat="1" ht="14.25" spans="80:80">
      <c r="CB766958" s="171"/>
    </row>
    <row r="766959" customFormat="1" ht="14.25" spans="80:80">
      <c r="CB766959" s="171"/>
    </row>
    <row r="766960" customFormat="1" ht="14.25" spans="80:80">
      <c r="CB766960" s="171"/>
    </row>
    <row r="766961" customFormat="1" ht="14.25" spans="80:80">
      <c r="CB766961" s="171"/>
    </row>
    <row r="766962" customFormat="1" ht="14.25" spans="80:80">
      <c r="CB766962" s="171"/>
    </row>
    <row r="766963" customFormat="1" ht="14.25" spans="80:80">
      <c r="CB766963" s="171"/>
    </row>
    <row r="766964" customFormat="1" ht="14.25" spans="80:80">
      <c r="CB766964" s="171"/>
    </row>
    <row r="766965" customFormat="1" ht="14.25" spans="80:80">
      <c r="CB766965" s="171"/>
    </row>
    <row r="766966" customFormat="1" ht="14.25" spans="80:80">
      <c r="CB766966" s="171"/>
    </row>
    <row r="766967" customFormat="1" ht="14.25" spans="80:80">
      <c r="CB766967" s="171"/>
    </row>
    <row r="766968" customFormat="1" ht="14.25" spans="80:80">
      <c r="CB766968" s="171"/>
    </row>
    <row r="766969" customFormat="1" ht="14.25" spans="80:80">
      <c r="CB766969" s="171"/>
    </row>
    <row r="766970" customFormat="1" ht="14.25" spans="80:80">
      <c r="CB766970" s="171"/>
    </row>
    <row r="766971" customFormat="1" ht="14.25" spans="80:80">
      <c r="CB766971" s="171"/>
    </row>
    <row r="766972" customFormat="1" ht="14.25" spans="80:80">
      <c r="CB766972" s="171"/>
    </row>
    <row r="766973" customFormat="1" ht="14.25" spans="80:80">
      <c r="CB766973" s="171"/>
    </row>
    <row r="766974" customFormat="1" ht="14.25" spans="80:80">
      <c r="CB766974" s="171"/>
    </row>
    <row r="766975" customFormat="1" ht="14.25" spans="80:80">
      <c r="CB766975" s="171"/>
    </row>
    <row r="766976" customFormat="1" ht="14.25" spans="80:80">
      <c r="CB766976" s="171"/>
    </row>
    <row r="766977" customFormat="1" ht="14.25" spans="80:80">
      <c r="CB766977" s="171"/>
    </row>
    <row r="766978" customFormat="1" ht="14.25" spans="80:80">
      <c r="CB766978" s="171"/>
    </row>
    <row r="766979" customFormat="1" ht="14.25" spans="80:80">
      <c r="CB766979" s="171"/>
    </row>
    <row r="766980" customFormat="1" ht="14.25" spans="80:80">
      <c r="CB766980" s="171"/>
    </row>
    <row r="766981" customFormat="1" ht="14.25" spans="80:80">
      <c r="CB766981" s="171"/>
    </row>
    <row r="766982" customFormat="1" ht="14.25" spans="80:80">
      <c r="CB766982" s="171"/>
    </row>
    <row r="766983" customFormat="1" ht="14.25" spans="80:80">
      <c r="CB766983" s="171"/>
    </row>
    <row r="766984" customFormat="1" ht="14.25" spans="80:80">
      <c r="CB766984" s="171"/>
    </row>
    <row r="766985" customFormat="1" ht="14.25" spans="80:80">
      <c r="CB766985" s="171"/>
    </row>
    <row r="766986" customFormat="1" ht="14.25" spans="80:80">
      <c r="CB766986" s="171"/>
    </row>
    <row r="766987" customFormat="1" ht="14.25" spans="80:80">
      <c r="CB766987" s="171"/>
    </row>
    <row r="766988" customFormat="1" ht="14.25" spans="80:80">
      <c r="CB766988" s="171"/>
    </row>
    <row r="766989" customFormat="1" ht="14.25" spans="80:80">
      <c r="CB766989" s="171"/>
    </row>
    <row r="766990" customFormat="1" ht="14.25" spans="80:80">
      <c r="CB766990" s="171"/>
    </row>
    <row r="766991" customFormat="1" ht="14.25" spans="80:80">
      <c r="CB766991" s="171"/>
    </row>
    <row r="766992" customFormat="1" ht="14.25" spans="80:80">
      <c r="CB766992" s="171"/>
    </row>
    <row r="766993" customFormat="1" ht="14.25" spans="80:80">
      <c r="CB766993" s="171"/>
    </row>
    <row r="766994" customFormat="1" ht="14.25" spans="80:80">
      <c r="CB766994" s="171"/>
    </row>
    <row r="766995" customFormat="1" ht="14.25" spans="80:80">
      <c r="CB766995" s="171"/>
    </row>
    <row r="766996" customFormat="1" ht="14.25" spans="80:80">
      <c r="CB766996" s="171"/>
    </row>
    <row r="766997" customFormat="1" ht="14.25" spans="80:80">
      <c r="CB766997" s="171"/>
    </row>
    <row r="766998" customFormat="1" ht="14.25" spans="80:80">
      <c r="CB766998" s="171"/>
    </row>
    <row r="766999" customFormat="1" ht="14.25" spans="80:80">
      <c r="CB766999" s="171"/>
    </row>
    <row r="767000" customFormat="1" ht="14.25" spans="80:80">
      <c r="CB767000" s="171"/>
    </row>
    <row r="767001" customFormat="1" ht="14.25" spans="80:80">
      <c r="CB767001" s="171"/>
    </row>
    <row r="767002" customFormat="1" ht="14.25" spans="80:80">
      <c r="CB767002" s="171"/>
    </row>
    <row r="767003" customFormat="1" ht="14.25" spans="80:80">
      <c r="CB767003" s="171"/>
    </row>
    <row r="767004" customFormat="1" ht="14.25" spans="80:80">
      <c r="CB767004" s="171"/>
    </row>
    <row r="767005" customFormat="1" ht="14.25" spans="80:80">
      <c r="CB767005" s="171"/>
    </row>
    <row r="767006" customFormat="1" ht="14.25" spans="80:80">
      <c r="CB767006" s="171"/>
    </row>
    <row r="767007" customFormat="1" ht="14.25" spans="80:80">
      <c r="CB767007" s="171"/>
    </row>
    <row r="767008" customFormat="1" ht="14.25" spans="80:80">
      <c r="CB767008" s="171"/>
    </row>
    <row r="767009" customFormat="1" ht="14.25" spans="80:80">
      <c r="CB767009" s="171"/>
    </row>
    <row r="767010" customFormat="1" ht="14.25" spans="80:80">
      <c r="CB767010" s="171"/>
    </row>
    <row r="767011" customFormat="1" ht="14.25" spans="80:80">
      <c r="CB767011" s="171"/>
    </row>
    <row r="767012" customFormat="1" ht="14.25" spans="80:80">
      <c r="CB767012" s="171"/>
    </row>
    <row r="767013" customFormat="1" ht="14.25" spans="80:80">
      <c r="CB767013" s="171"/>
    </row>
    <row r="767014" customFormat="1" ht="14.25" spans="80:80">
      <c r="CB767014" s="171"/>
    </row>
    <row r="767015" customFormat="1" ht="14.25" spans="80:80">
      <c r="CB767015" s="171"/>
    </row>
    <row r="767016" customFormat="1" ht="14.25" spans="80:80">
      <c r="CB767016" s="171"/>
    </row>
    <row r="767017" customFormat="1" ht="14.25" spans="80:80">
      <c r="CB767017" s="171"/>
    </row>
    <row r="767018" customFormat="1" ht="14.25" spans="80:80">
      <c r="CB767018" s="171"/>
    </row>
    <row r="767019" customFormat="1" ht="14.25" spans="80:80">
      <c r="CB767019" s="171"/>
    </row>
    <row r="767020" customFormat="1" ht="14.25" spans="80:80">
      <c r="CB767020" s="171"/>
    </row>
    <row r="767021" customFormat="1" ht="14.25" spans="80:80">
      <c r="CB767021" s="171"/>
    </row>
    <row r="767022" customFormat="1" ht="14.25" spans="80:80">
      <c r="CB767022" s="171"/>
    </row>
    <row r="767023" customFormat="1" ht="14.25" spans="80:80">
      <c r="CB767023" s="171"/>
    </row>
    <row r="767024" customFormat="1" ht="14.25" spans="80:80">
      <c r="CB767024" s="171"/>
    </row>
    <row r="767025" customFormat="1" ht="14.25" spans="80:80">
      <c r="CB767025" s="171"/>
    </row>
    <row r="767026" customFormat="1" ht="14.25" spans="80:80">
      <c r="CB767026" s="171"/>
    </row>
    <row r="767027" customFormat="1" ht="14.25" spans="80:80">
      <c r="CB767027" s="171"/>
    </row>
    <row r="767028" customFormat="1" ht="14.25" spans="80:80">
      <c r="CB767028" s="171"/>
    </row>
    <row r="767029" customFormat="1" ht="14.25" spans="80:80">
      <c r="CB767029" s="171"/>
    </row>
    <row r="767030" customFormat="1" ht="14.25" spans="80:80">
      <c r="CB767030" s="171"/>
    </row>
    <row r="767031" customFormat="1" ht="14.25" spans="80:80">
      <c r="CB767031" s="171"/>
    </row>
    <row r="767032" customFormat="1" ht="14.25" spans="80:80">
      <c r="CB767032" s="171"/>
    </row>
    <row r="767033" customFormat="1" ht="14.25" spans="80:80">
      <c r="CB767033" s="171"/>
    </row>
    <row r="767034" customFormat="1" ht="14.25" spans="80:80">
      <c r="CB767034" s="171"/>
    </row>
    <row r="767035" customFormat="1" ht="14.25" spans="80:80">
      <c r="CB767035" s="171"/>
    </row>
    <row r="767036" customFormat="1" ht="14.25" spans="80:80">
      <c r="CB767036" s="171"/>
    </row>
    <row r="767037" customFormat="1" ht="14.25" spans="80:80">
      <c r="CB767037" s="171"/>
    </row>
    <row r="767038" customFormat="1" ht="14.25" spans="80:80">
      <c r="CB767038" s="171"/>
    </row>
    <row r="767039" customFormat="1" ht="14.25" spans="80:80">
      <c r="CB767039" s="171"/>
    </row>
    <row r="767040" customFormat="1" ht="14.25" spans="80:80">
      <c r="CB767040" s="171"/>
    </row>
    <row r="767041" customFormat="1" ht="14.25" spans="80:80">
      <c r="CB767041" s="171"/>
    </row>
    <row r="767042" customFormat="1" ht="14.25" spans="80:80">
      <c r="CB767042" s="171"/>
    </row>
    <row r="767043" customFormat="1" ht="14.25" spans="80:80">
      <c r="CB767043" s="171"/>
    </row>
    <row r="767044" customFormat="1" ht="14.25" spans="80:80">
      <c r="CB767044" s="171"/>
    </row>
    <row r="767045" customFormat="1" ht="14.25" spans="80:80">
      <c r="CB767045" s="171"/>
    </row>
    <row r="767046" customFormat="1" ht="14.25" spans="80:80">
      <c r="CB767046" s="171"/>
    </row>
    <row r="767047" customFormat="1" ht="14.25" spans="80:80">
      <c r="CB767047" s="171"/>
    </row>
    <row r="767048" customFormat="1" ht="14.25" spans="80:80">
      <c r="CB767048" s="171"/>
    </row>
    <row r="767049" customFormat="1" ht="14.25" spans="80:80">
      <c r="CB767049" s="171"/>
    </row>
    <row r="767050" customFormat="1" ht="14.25" spans="80:80">
      <c r="CB767050" s="171"/>
    </row>
    <row r="767051" customFormat="1" ht="14.25" spans="80:80">
      <c r="CB767051" s="171"/>
    </row>
    <row r="767052" customFormat="1" ht="14.25" spans="80:80">
      <c r="CB767052" s="171"/>
    </row>
    <row r="767053" customFormat="1" ht="14.25" spans="80:80">
      <c r="CB767053" s="171"/>
    </row>
    <row r="767054" customFormat="1" ht="14.25" spans="80:80">
      <c r="CB767054" s="171"/>
    </row>
    <row r="767055" customFormat="1" ht="14.25" spans="80:80">
      <c r="CB767055" s="171"/>
    </row>
    <row r="767056" customFormat="1" ht="14.25" spans="80:80">
      <c r="CB767056" s="171"/>
    </row>
    <row r="767057" customFormat="1" ht="14.25" spans="80:80">
      <c r="CB767057" s="171"/>
    </row>
    <row r="767058" customFormat="1" ht="14.25" spans="80:80">
      <c r="CB767058" s="171"/>
    </row>
    <row r="767059" customFormat="1" ht="14.25" spans="80:80">
      <c r="CB767059" s="171"/>
    </row>
    <row r="767060" customFormat="1" ht="14.25" spans="80:80">
      <c r="CB767060" s="171"/>
    </row>
    <row r="767061" customFormat="1" ht="14.25" spans="80:80">
      <c r="CB767061" s="171"/>
    </row>
    <row r="767062" customFormat="1" ht="14.25" spans="80:80">
      <c r="CB767062" s="171"/>
    </row>
    <row r="767063" customFormat="1" ht="14.25" spans="80:80">
      <c r="CB767063" s="171"/>
    </row>
    <row r="767064" customFormat="1" ht="14.25" spans="80:80">
      <c r="CB767064" s="171"/>
    </row>
    <row r="767065" customFormat="1" ht="14.25" spans="80:80">
      <c r="CB767065" s="171"/>
    </row>
    <row r="767066" customFormat="1" ht="14.25" spans="80:80">
      <c r="CB767066" s="171"/>
    </row>
    <row r="767067" customFormat="1" ht="14.25" spans="80:80">
      <c r="CB767067" s="171"/>
    </row>
    <row r="767068" customFormat="1" ht="14.25" spans="80:80">
      <c r="CB767068" s="171"/>
    </row>
    <row r="767069" customFormat="1" ht="14.25" spans="80:80">
      <c r="CB767069" s="171"/>
    </row>
    <row r="767070" customFormat="1" ht="14.25" spans="80:80">
      <c r="CB767070" s="171"/>
    </row>
    <row r="767071" customFormat="1" ht="14.25" spans="80:80">
      <c r="CB767071" s="171"/>
    </row>
    <row r="767072" customFormat="1" ht="14.25" spans="80:80">
      <c r="CB767072" s="171"/>
    </row>
    <row r="767073" customFormat="1" ht="14.25" spans="80:80">
      <c r="CB767073" s="171"/>
    </row>
    <row r="767074" customFormat="1" ht="14.25" spans="80:80">
      <c r="CB767074" s="171"/>
    </row>
    <row r="767075" customFormat="1" ht="14.25" spans="80:80">
      <c r="CB767075" s="171"/>
    </row>
    <row r="767076" customFormat="1" ht="14.25" spans="80:80">
      <c r="CB767076" s="171"/>
    </row>
    <row r="767077" customFormat="1" ht="14.25" spans="80:80">
      <c r="CB767077" s="171"/>
    </row>
    <row r="767078" customFormat="1" ht="14.25" spans="80:80">
      <c r="CB767078" s="171"/>
    </row>
    <row r="767079" customFormat="1" ht="14.25" spans="80:80">
      <c r="CB767079" s="171"/>
    </row>
    <row r="767080" customFormat="1" ht="14.25" spans="80:80">
      <c r="CB767080" s="171"/>
    </row>
    <row r="767081" customFormat="1" ht="14.25" spans="80:80">
      <c r="CB767081" s="171"/>
    </row>
    <row r="767082" customFormat="1" ht="14.25" spans="80:80">
      <c r="CB767082" s="171"/>
    </row>
    <row r="767083" customFormat="1" ht="14.25" spans="80:80">
      <c r="CB767083" s="171"/>
    </row>
    <row r="767084" customFormat="1" ht="14.25" spans="80:80">
      <c r="CB767084" s="171"/>
    </row>
    <row r="767085" customFormat="1" ht="14.25" spans="80:80">
      <c r="CB767085" s="171"/>
    </row>
    <row r="767086" customFormat="1" ht="14.25" spans="80:80">
      <c r="CB767086" s="171"/>
    </row>
    <row r="767087" customFormat="1" ht="14.25" spans="80:80">
      <c r="CB767087" s="171"/>
    </row>
    <row r="767088" customFormat="1" ht="14.25" spans="80:80">
      <c r="CB767088" s="171"/>
    </row>
    <row r="767089" customFormat="1" ht="14.25" spans="80:80">
      <c r="CB767089" s="171"/>
    </row>
    <row r="767090" customFormat="1" ht="14.25" spans="80:80">
      <c r="CB767090" s="171"/>
    </row>
    <row r="767091" customFormat="1" ht="14.25" spans="80:80">
      <c r="CB767091" s="171"/>
    </row>
    <row r="767092" customFormat="1" ht="14.25" spans="80:80">
      <c r="CB767092" s="171"/>
    </row>
    <row r="767093" customFormat="1" ht="14.25" spans="80:80">
      <c r="CB767093" s="171"/>
    </row>
    <row r="767094" customFormat="1" ht="14.25" spans="80:80">
      <c r="CB767094" s="171"/>
    </row>
    <row r="767095" customFormat="1" ht="14.25" spans="80:80">
      <c r="CB767095" s="171"/>
    </row>
    <row r="767096" customFormat="1" ht="14.25" spans="80:80">
      <c r="CB767096" s="171"/>
    </row>
    <row r="767097" customFormat="1" ht="14.25" spans="80:80">
      <c r="CB767097" s="171"/>
    </row>
    <row r="767098" customFormat="1" ht="14.25" spans="80:80">
      <c r="CB767098" s="171"/>
    </row>
    <row r="767099" customFormat="1" ht="14.25" spans="80:80">
      <c r="CB767099" s="171"/>
    </row>
    <row r="767100" customFormat="1" ht="14.25" spans="80:80">
      <c r="CB767100" s="171"/>
    </row>
    <row r="767101" customFormat="1" ht="14.25" spans="80:80">
      <c r="CB767101" s="171"/>
    </row>
    <row r="767102" customFormat="1" ht="14.25" spans="80:80">
      <c r="CB767102" s="171"/>
    </row>
    <row r="767103" customFormat="1" ht="14.25" spans="80:80">
      <c r="CB767103" s="171"/>
    </row>
    <row r="767104" customFormat="1" ht="14.25" spans="80:80">
      <c r="CB767104" s="171"/>
    </row>
    <row r="767105" customFormat="1" ht="14.25" spans="80:80">
      <c r="CB767105" s="171"/>
    </row>
    <row r="767106" customFormat="1" ht="14.25" spans="80:80">
      <c r="CB767106" s="171"/>
    </row>
    <row r="767107" customFormat="1" ht="14.25" spans="80:80">
      <c r="CB767107" s="171"/>
    </row>
    <row r="767108" customFormat="1" ht="14.25" spans="80:80">
      <c r="CB767108" s="171"/>
    </row>
    <row r="767109" customFormat="1" ht="14.25" spans="80:80">
      <c r="CB767109" s="171"/>
    </row>
    <row r="767110" customFormat="1" ht="14.25" spans="80:80">
      <c r="CB767110" s="171"/>
    </row>
    <row r="767111" customFormat="1" ht="14.25" spans="80:80">
      <c r="CB767111" s="171"/>
    </row>
    <row r="767112" customFormat="1" ht="14.25" spans="80:80">
      <c r="CB767112" s="171"/>
    </row>
    <row r="767113" customFormat="1" ht="14.25" spans="80:80">
      <c r="CB767113" s="171"/>
    </row>
    <row r="767114" customFormat="1" ht="14.25" spans="80:80">
      <c r="CB767114" s="171"/>
    </row>
    <row r="767115" customFormat="1" ht="14.25" spans="80:80">
      <c r="CB767115" s="171"/>
    </row>
    <row r="767116" customFormat="1" ht="14.25" spans="80:80">
      <c r="CB767116" s="171"/>
    </row>
    <row r="767117" customFormat="1" ht="14.25" spans="80:80">
      <c r="CB767117" s="171"/>
    </row>
    <row r="767118" customFormat="1" ht="14.25" spans="80:80">
      <c r="CB767118" s="171"/>
    </row>
    <row r="767119" customFormat="1" ht="14.25" spans="80:80">
      <c r="CB767119" s="171"/>
    </row>
    <row r="767120" customFormat="1" ht="14.25" spans="80:80">
      <c r="CB767120" s="171"/>
    </row>
    <row r="767121" customFormat="1" ht="14.25" spans="80:80">
      <c r="CB767121" s="171"/>
    </row>
    <row r="767122" customFormat="1" ht="14.25" spans="80:80">
      <c r="CB767122" s="171"/>
    </row>
    <row r="767123" customFormat="1" ht="14.25" spans="80:80">
      <c r="CB767123" s="171"/>
    </row>
    <row r="767124" customFormat="1" ht="14.25" spans="80:80">
      <c r="CB767124" s="171"/>
    </row>
    <row r="767125" customFormat="1" ht="14.25" spans="80:80">
      <c r="CB767125" s="171"/>
    </row>
    <row r="767126" customFormat="1" ht="14.25" spans="80:80">
      <c r="CB767126" s="171"/>
    </row>
    <row r="767127" customFormat="1" ht="14.25" spans="80:80">
      <c r="CB767127" s="171"/>
    </row>
    <row r="767128" customFormat="1" ht="14.25" spans="80:80">
      <c r="CB767128" s="171"/>
    </row>
    <row r="767129" customFormat="1" ht="14.25" spans="80:80">
      <c r="CB767129" s="171"/>
    </row>
    <row r="767130" customFormat="1" ht="14.25" spans="80:80">
      <c r="CB767130" s="171"/>
    </row>
    <row r="767131" customFormat="1" ht="14.25" spans="80:80">
      <c r="CB767131" s="171"/>
    </row>
    <row r="767132" customFormat="1" ht="14.25" spans="80:80">
      <c r="CB767132" s="171"/>
    </row>
    <row r="767133" customFormat="1" ht="14.25" spans="80:80">
      <c r="CB767133" s="171"/>
    </row>
    <row r="767134" customFormat="1" ht="14.25" spans="80:80">
      <c r="CB767134" s="171"/>
    </row>
    <row r="767135" customFormat="1" ht="14.25" spans="80:80">
      <c r="CB767135" s="171"/>
    </row>
    <row r="767136" customFormat="1" ht="14.25" spans="80:80">
      <c r="CB767136" s="171"/>
    </row>
    <row r="767137" customFormat="1" ht="14.25" spans="80:80">
      <c r="CB767137" s="171"/>
    </row>
    <row r="767138" customFormat="1" ht="14.25" spans="80:80">
      <c r="CB767138" s="171"/>
    </row>
    <row r="767139" customFormat="1" ht="14.25" spans="80:80">
      <c r="CB767139" s="171"/>
    </row>
    <row r="767140" customFormat="1" ht="14.25" spans="80:80">
      <c r="CB767140" s="171"/>
    </row>
    <row r="767141" customFormat="1" ht="14.25" spans="80:80">
      <c r="CB767141" s="171"/>
    </row>
    <row r="767142" customFormat="1" ht="14.25" spans="80:80">
      <c r="CB767142" s="171"/>
    </row>
    <row r="767143" customFormat="1" ht="14.25" spans="80:80">
      <c r="CB767143" s="171"/>
    </row>
    <row r="767144" customFormat="1" ht="14.25" spans="80:80">
      <c r="CB767144" s="171"/>
    </row>
    <row r="767145" customFormat="1" ht="14.25" spans="80:80">
      <c r="CB767145" s="171"/>
    </row>
    <row r="767146" customFormat="1" ht="14.25" spans="80:80">
      <c r="CB767146" s="171"/>
    </row>
    <row r="767147" customFormat="1" ht="14.25" spans="80:80">
      <c r="CB767147" s="171"/>
    </row>
    <row r="767148" customFormat="1" ht="14.25" spans="80:80">
      <c r="CB767148" s="171"/>
    </row>
    <row r="767149" customFormat="1" ht="14.25" spans="80:80">
      <c r="CB767149" s="171"/>
    </row>
    <row r="767150" customFormat="1" ht="14.25" spans="80:80">
      <c r="CB767150" s="171"/>
    </row>
    <row r="767151" customFormat="1" ht="14.25" spans="80:80">
      <c r="CB767151" s="171"/>
    </row>
    <row r="767152" customFormat="1" ht="14.25" spans="80:80">
      <c r="CB767152" s="171"/>
    </row>
    <row r="767153" customFormat="1" ht="14.25" spans="80:80">
      <c r="CB767153" s="171"/>
    </row>
    <row r="767154" customFormat="1" ht="14.25" spans="80:80">
      <c r="CB767154" s="171"/>
    </row>
    <row r="767155" customFormat="1" ht="14.25" spans="80:80">
      <c r="CB767155" s="171"/>
    </row>
    <row r="767156" customFormat="1" ht="14.25" spans="80:80">
      <c r="CB767156" s="171"/>
    </row>
    <row r="767157" customFormat="1" ht="14.25" spans="80:80">
      <c r="CB767157" s="171"/>
    </row>
    <row r="767158" customFormat="1" ht="14.25" spans="80:80">
      <c r="CB767158" s="171"/>
    </row>
    <row r="767159" customFormat="1" ht="14.25" spans="80:80">
      <c r="CB767159" s="171"/>
    </row>
    <row r="767160" customFormat="1" ht="14.25" spans="80:80">
      <c r="CB767160" s="171"/>
    </row>
    <row r="767161" customFormat="1" ht="14.25" spans="80:80">
      <c r="CB767161" s="171"/>
    </row>
    <row r="767162" customFormat="1" ht="14.25" spans="80:80">
      <c r="CB767162" s="171"/>
    </row>
    <row r="767163" customFormat="1" ht="14.25" spans="80:80">
      <c r="CB767163" s="171"/>
    </row>
    <row r="767164" customFormat="1" ht="14.25" spans="80:80">
      <c r="CB767164" s="171"/>
    </row>
    <row r="767165" customFormat="1" ht="14.25" spans="80:80">
      <c r="CB767165" s="171"/>
    </row>
    <row r="767166" customFormat="1" ht="14.25" spans="80:80">
      <c r="CB767166" s="171"/>
    </row>
    <row r="767167" customFormat="1" ht="14.25" spans="80:80">
      <c r="CB767167" s="171"/>
    </row>
    <row r="767168" customFormat="1" ht="14.25" spans="80:80">
      <c r="CB767168" s="171"/>
    </row>
    <row r="767169" customFormat="1" ht="14.25" spans="80:80">
      <c r="CB767169" s="171"/>
    </row>
    <row r="767170" customFormat="1" ht="14.25" spans="80:80">
      <c r="CB767170" s="171"/>
    </row>
    <row r="767171" customFormat="1" ht="14.25" spans="80:80">
      <c r="CB767171" s="171"/>
    </row>
    <row r="767172" customFormat="1" ht="14.25" spans="80:80">
      <c r="CB767172" s="171"/>
    </row>
    <row r="767173" customFormat="1" ht="14.25" spans="80:80">
      <c r="CB767173" s="171"/>
    </row>
    <row r="767174" customFormat="1" ht="14.25" spans="80:80">
      <c r="CB767174" s="171"/>
    </row>
    <row r="767175" customFormat="1" ht="14.25" spans="80:80">
      <c r="CB767175" s="171"/>
    </row>
    <row r="767176" customFormat="1" ht="14.25" spans="80:80">
      <c r="CB767176" s="171"/>
    </row>
    <row r="767177" customFormat="1" ht="14.25" spans="80:80">
      <c r="CB767177" s="171"/>
    </row>
    <row r="767178" customFormat="1" ht="14.25" spans="80:80">
      <c r="CB767178" s="171"/>
    </row>
    <row r="767179" customFormat="1" ht="14.25" spans="80:80">
      <c r="CB767179" s="171"/>
    </row>
    <row r="767180" customFormat="1" ht="14.25" spans="80:80">
      <c r="CB767180" s="171"/>
    </row>
    <row r="767181" customFormat="1" ht="14.25" spans="80:80">
      <c r="CB767181" s="171"/>
    </row>
    <row r="767182" customFormat="1" ht="14.25" spans="80:80">
      <c r="CB767182" s="171"/>
    </row>
    <row r="767183" customFormat="1" ht="14.25" spans="80:80">
      <c r="CB767183" s="171"/>
    </row>
    <row r="767184" customFormat="1" ht="14.25" spans="80:80">
      <c r="CB767184" s="171"/>
    </row>
    <row r="767185" customFormat="1" ht="14.25" spans="80:80">
      <c r="CB767185" s="171"/>
    </row>
    <row r="767186" customFormat="1" ht="14.25" spans="80:80">
      <c r="CB767186" s="171"/>
    </row>
    <row r="767187" customFormat="1" ht="14.25" spans="80:80">
      <c r="CB767187" s="171"/>
    </row>
    <row r="767188" customFormat="1" ht="14.25" spans="80:80">
      <c r="CB767188" s="171"/>
    </row>
    <row r="767189" customFormat="1" ht="14.25" spans="80:80">
      <c r="CB767189" s="171"/>
    </row>
    <row r="767190" customFormat="1" ht="14.25" spans="80:80">
      <c r="CB767190" s="171"/>
    </row>
    <row r="767191" customFormat="1" ht="14.25" spans="80:80">
      <c r="CB767191" s="171"/>
    </row>
    <row r="767192" customFormat="1" ht="14.25" spans="80:80">
      <c r="CB767192" s="171"/>
    </row>
    <row r="767193" customFormat="1" ht="14.25" spans="80:80">
      <c r="CB767193" s="171"/>
    </row>
    <row r="767194" customFormat="1" ht="14.25" spans="80:80">
      <c r="CB767194" s="171"/>
    </row>
    <row r="767195" customFormat="1" ht="14.25" spans="80:80">
      <c r="CB767195" s="171"/>
    </row>
    <row r="767196" customFormat="1" ht="14.25" spans="80:80">
      <c r="CB767196" s="171"/>
    </row>
    <row r="767197" customFormat="1" ht="14.25" spans="80:80">
      <c r="CB767197" s="171"/>
    </row>
    <row r="767198" customFormat="1" ht="14.25" spans="80:80">
      <c r="CB767198" s="171"/>
    </row>
    <row r="767199" customFormat="1" ht="14.25" spans="80:80">
      <c r="CB767199" s="171"/>
    </row>
    <row r="767200" customFormat="1" ht="14.25" spans="80:80">
      <c r="CB767200" s="171"/>
    </row>
    <row r="767201" customFormat="1" ht="14.25" spans="80:80">
      <c r="CB767201" s="171"/>
    </row>
    <row r="767202" customFormat="1" ht="14.25" spans="80:80">
      <c r="CB767202" s="171"/>
    </row>
    <row r="767203" customFormat="1" ht="14.25" spans="80:80">
      <c r="CB767203" s="171"/>
    </row>
    <row r="767204" customFormat="1" ht="14.25" spans="80:80">
      <c r="CB767204" s="171"/>
    </row>
    <row r="767205" customFormat="1" ht="14.25" spans="80:80">
      <c r="CB767205" s="171"/>
    </row>
    <row r="767206" customFormat="1" ht="14.25" spans="80:80">
      <c r="CB767206" s="171"/>
    </row>
    <row r="767207" customFormat="1" ht="14.25" spans="80:80">
      <c r="CB767207" s="171"/>
    </row>
    <row r="767208" customFormat="1" ht="14.25" spans="80:80">
      <c r="CB767208" s="171"/>
    </row>
    <row r="767209" customFormat="1" ht="14.25" spans="80:80">
      <c r="CB767209" s="171"/>
    </row>
    <row r="767210" customFormat="1" ht="14.25" spans="80:80">
      <c r="CB767210" s="171"/>
    </row>
    <row r="767211" customFormat="1" ht="14.25" spans="80:80">
      <c r="CB767211" s="171"/>
    </row>
    <row r="767212" customFormat="1" ht="14.25" spans="80:80">
      <c r="CB767212" s="171"/>
    </row>
    <row r="767213" customFormat="1" ht="14.25" spans="80:80">
      <c r="CB767213" s="171"/>
    </row>
    <row r="767214" customFormat="1" ht="14.25" spans="80:80">
      <c r="CB767214" s="171"/>
    </row>
    <row r="767215" customFormat="1" ht="14.25" spans="80:80">
      <c r="CB767215" s="171"/>
    </row>
    <row r="767216" customFormat="1" ht="14.25" spans="80:80">
      <c r="CB767216" s="171"/>
    </row>
    <row r="767217" customFormat="1" ht="14.25" spans="80:80">
      <c r="CB767217" s="171"/>
    </row>
    <row r="767218" customFormat="1" ht="14.25" spans="80:80">
      <c r="CB767218" s="171"/>
    </row>
    <row r="767219" customFormat="1" ht="14.25" spans="80:80">
      <c r="CB767219" s="171"/>
    </row>
    <row r="767220" customFormat="1" ht="14.25" spans="80:80">
      <c r="CB767220" s="171"/>
    </row>
    <row r="767221" customFormat="1" ht="14.25" spans="80:80">
      <c r="CB767221" s="171"/>
    </row>
    <row r="767222" customFormat="1" ht="14.25" spans="80:80">
      <c r="CB767222" s="171"/>
    </row>
    <row r="767223" customFormat="1" ht="14.25" spans="80:80">
      <c r="CB767223" s="171"/>
    </row>
    <row r="767224" customFormat="1" ht="14.25" spans="80:80">
      <c r="CB767224" s="171"/>
    </row>
    <row r="767225" customFormat="1" ht="14.25" spans="80:80">
      <c r="CB767225" s="171"/>
    </row>
    <row r="767226" customFormat="1" ht="14.25" spans="80:80">
      <c r="CB767226" s="171"/>
    </row>
    <row r="767227" customFormat="1" ht="14.25" spans="80:80">
      <c r="CB767227" s="171"/>
    </row>
    <row r="767228" customFormat="1" ht="14.25" spans="80:80">
      <c r="CB767228" s="171"/>
    </row>
    <row r="767229" customFormat="1" ht="14.25" spans="80:80">
      <c r="CB767229" s="171"/>
    </row>
    <row r="767230" customFormat="1" ht="14.25" spans="80:80">
      <c r="CB767230" s="171"/>
    </row>
    <row r="767231" customFormat="1" ht="14.25" spans="80:80">
      <c r="CB767231" s="171"/>
    </row>
    <row r="767232" customFormat="1" ht="14.25" spans="80:80">
      <c r="CB767232" s="171"/>
    </row>
    <row r="767233" customFormat="1" ht="14.25" spans="80:80">
      <c r="CB767233" s="171"/>
    </row>
    <row r="767234" customFormat="1" ht="14.25" spans="80:80">
      <c r="CB767234" s="171"/>
    </row>
    <row r="767235" customFormat="1" ht="14.25" spans="80:80">
      <c r="CB767235" s="171"/>
    </row>
    <row r="767236" customFormat="1" ht="14.25" spans="80:80">
      <c r="CB767236" s="171"/>
    </row>
    <row r="767237" customFormat="1" ht="14.25" spans="80:80">
      <c r="CB767237" s="171"/>
    </row>
    <row r="767238" customFormat="1" ht="14.25" spans="80:80">
      <c r="CB767238" s="171"/>
    </row>
    <row r="767239" customFormat="1" ht="14.25" spans="80:80">
      <c r="CB767239" s="171"/>
    </row>
    <row r="767240" customFormat="1" ht="14.25" spans="80:80">
      <c r="CB767240" s="171"/>
    </row>
    <row r="767241" customFormat="1" ht="14.25" spans="80:80">
      <c r="CB767241" s="171"/>
    </row>
    <row r="767242" customFormat="1" ht="14.25" spans="80:80">
      <c r="CB767242" s="171"/>
    </row>
    <row r="767243" customFormat="1" ht="14.25" spans="80:80">
      <c r="CB767243" s="171"/>
    </row>
    <row r="767244" customFormat="1" ht="14.25" spans="80:80">
      <c r="CB767244" s="171"/>
    </row>
    <row r="767245" customFormat="1" ht="14.25" spans="80:80">
      <c r="CB767245" s="171"/>
    </row>
    <row r="767246" customFormat="1" ht="14.25" spans="80:80">
      <c r="CB767246" s="171"/>
    </row>
    <row r="767247" customFormat="1" ht="14.25" spans="80:80">
      <c r="CB767247" s="171"/>
    </row>
    <row r="767248" customFormat="1" ht="14.25" spans="80:80">
      <c r="CB767248" s="171"/>
    </row>
    <row r="767249" customFormat="1" ht="14.25" spans="80:80">
      <c r="CB767249" s="171"/>
    </row>
    <row r="767250" customFormat="1" ht="14.25" spans="80:80">
      <c r="CB767250" s="171"/>
    </row>
    <row r="767251" customFormat="1" ht="14.25" spans="80:80">
      <c r="CB767251" s="171"/>
    </row>
    <row r="767252" customFormat="1" ht="14.25" spans="80:80">
      <c r="CB767252" s="171"/>
    </row>
    <row r="767253" customFormat="1" ht="14.25" spans="80:80">
      <c r="CB767253" s="171"/>
    </row>
    <row r="767254" customFormat="1" ht="14.25" spans="80:80">
      <c r="CB767254" s="171"/>
    </row>
    <row r="767255" customFormat="1" ht="14.25" spans="80:80">
      <c r="CB767255" s="171"/>
    </row>
    <row r="767256" customFormat="1" ht="14.25" spans="80:80">
      <c r="CB767256" s="171"/>
    </row>
    <row r="767257" customFormat="1" ht="14.25" spans="80:80">
      <c r="CB767257" s="171"/>
    </row>
    <row r="767258" customFormat="1" ht="14.25" spans="80:80">
      <c r="CB767258" s="171"/>
    </row>
    <row r="767259" customFormat="1" ht="14.25" spans="80:80">
      <c r="CB767259" s="171"/>
    </row>
    <row r="767260" customFormat="1" ht="14.25" spans="80:80">
      <c r="CB767260" s="171"/>
    </row>
    <row r="767261" customFormat="1" ht="14.25" spans="80:80">
      <c r="CB767261" s="171"/>
    </row>
    <row r="767262" customFormat="1" ht="14.25" spans="80:80">
      <c r="CB767262" s="171"/>
    </row>
    <row r="767263" customFormat="1" ht="14.25" spans="80:80">
      <c r="CB767263" s="171"/>
    </row>
    <row r="767264" customFormat="1" ht="14.25" spans="80:80">
      <c r="CB767264" s="171"/>
    </row>
    <row r="767265" customFormat="1" ht="14.25" spans="80:80">
      <c r="CB767265" s="171"/>
    </row>
    <row r="767266" customFormat="1" ht="14.25" spans="80:80">
      <c r="CB767266" s="171"/>
    </row>
    <row r="767267" customFormat="1" ht="14.25" spans="80:80">
      <c r="CB767267" s="171"/>
    </row>
    <row r="767268" customFormat="1" ht="14.25" spans="80:80">
      <c r="CB767268" s="171"/>
    </row>
    <row r="767269" customFormat="1" ht="14.25" spans="80:80">
      <c r="CB767269" s="171"/>
    </row>
    <row r="767270" customFormat="1" ht="14.25" spans="80:80">
      <c r="CB767270" s="171"/>
    </row>
    <row r="767271" customFormat="1" ht="14.25" spans="80:80">
      <c r="CB767271" s="171"/>
    </row>
    <row r="767272" customFormat="1" ht="14.25" spans="80:80">
      <c r="CB767272" s="171"/>
    </row>
    <row r="767273" customFormat="1" ht="14.25" spans="80:80">
      <c r="CB767273" s="171"/>
    </row>
    <row r="767274" customFormat="1" ht="14.25" spans="80:80">
      <c r="CB767274" s="171"/>
    </row>
    <row r="767275" customFormat="1" ht="14.25" spans="80:80">
      <c r="CB767275" s="171"/>
    </row>
    <row r="767276" customFormat="1" ht="14.25" spans="80:80">
      <c r="CB767276" s="171"/>
    </row>
    <row r="767277" customFormat="1" ht="14.25" spans="80:80">
      <c r="CB767277" s="171"/>
    </row>
    <row r="767278" customFormat="1" ht="14.25" spans="80:80">
      <c r="CB767278" s="171"/>
    </row>
    <row r="767279" customFormat="1" ht="14.25" spans="80:80">
      <c r="CB767279" s="171"/>
    </row>
    <row r="767280" customFormat="1" ht="14.25" spans="80:80">
      <c r="CB767280" s="171"/>
    </row>
    <row r="767281" customFormat="1" ht="14.25" spans="80:80">
      <c r="CB767281" s="171"/>
    </row>
    <row r="767282" customFormat="1" ht="14.25" spans="80:80">
      <c r="CB767282" s="171"/>
    </row>
    <row r="767283" customFormat="1" ht="14.25" spans="80:80">
      <c r="CB767283" s="171"/>
    </row>
    <row r="767284" customFormat="1" ht="14.25" spans="80:80">
      <c r="CB767284" s="171"/>
    </row>
    <row r="767285" customFormat="1" ht="14.25" spans="80:80">
      <c r="CB767285" s="171"/>
    </row>
    <row r="767286" customFormat="1" ht="14.25" spans="80:80">
      <c r="CB767286" s="171"/>
    </row>
    <row r="767287" customFormat="1" ht="14.25" spans="80:80">
      <c r="CB767287" s="171"/>
    </row>
    <row r="767288" customFormat="1" ht="14.25" spans="80:80">
      <c r="CB767288" s="171"/>
    </row>
    <row r="767289" customFormat="1" ht="14.25" spans="80:80">
      <c r="CB767289" s="171"/>
    </row>
    <row r="767290" customFormat="1" ht="14.25" spans="80:80">
      <c r="CB767290" s="171"/>
    </row>
    <row r="767291" customFormat="1" ht="14.25" spans="80:80">
      <c r="CB767291" s="171"/>
    </row>
    <row r="767292" customFormat="1" ht="14.25" spans="80:80">
      <c r="CB767292" s="171"/>
    </row>
    <row r="767293" customFormat="1" ht="14.25" spans="80:80">
      <c r="CB767293" s="171"/>
    </row>
    <row r="767294" customFormat="1" ht="14.25" spans="80:80">
      <c r="CB767294" s="171"/>
    </row>
    <row r="767295" customFormat="1" ht="14.25" spans="80:80">
      <c r="CB767295" s="171"/>
    </row>
    <row r="767296" customFormat="1" ht="14.25" spans="80:80">
      <c r="CB767296" s="171"/>
    </row>
    <row r="767297" customFormat="1" ht="14.25" spans="80:80">
      <c r="CB767297" s="171"/>
    </row>
    <row r="767298" customFormat="1" ht="14.25" spans="80:80">
      <c r="CB767298" s="171"/>
    </row>
    <row r="767299" customFormat="1" ht="14.25" spans="80:80">
      <c r="CB767299" s="171"/>
    </row>
    <row r="767300" customFormat="1" ht="14.25" spans="80:80">
      <c r="CB767300" s="171"/>
    </row>
    <row r="767301" customFormat="1" ht="14.25" spans="80:80">
      <c r="CB767301" s="171"/>
    </row>
    <row r="767302" customFormat="1" ht="14.25" spans="80:80">
      <c r="CB767302" s="171"/>
    </row>
    <row r="767303" customFormat="1" ht="14.25" spans="80:80">
      <c r="CB767303" s="171"/>
    </row>
    <row r="767304" customFormat="1" ht="14.25" spans="80:80">
      <c r="CB767304" s="171"/>
    </row>
    <row r="767305" customFormat="1" ht="14.25" spans="80:80">
      <c r="CB767305" s="171"/>
    </row>
    <row r="767306" customFormat="1" ht="14.25" spans="80:80">
      <c r="CB767306" s="171"/>
    </row>
    <row r="767307" customFormat="1" ht="14.25" spans="80:80">
      <c r="CB767307" s="171"/>
    </row>
    <row r="767308" customFormat="1" ht="14.25" spans="80:80">
      <c r="CB767308" s="171"/>
    </row>
    <row r="767309" customFormat="1" ht="14.25" spans="80:80">
      <c r="CB767309" s="171"/>
    </row>
    <row r="767310" customFormat="1" ht="14.25" spans="80:80">
      <c r="CB767310" s="171"/>
    </row>
    <row r="767311" customFormat="1" ht="14.25" spans="80:80">
      <c r="CB767311" s="171"/>
    </row>
    <row r="767312" customFormat="1" ht="14.25" spans="80:80">
      <c r="CB767312" s="171"/>
    </row>
    <row r="767313" customFormat="1" ht="14.25" spans="80:80">
      <c r="CB767313" s="171"/>
    </row>
    <row r="767314" customFormat="1" ht="14.25" spans="80:80">
      <c r="CB767314" s="171"/>
    </row>
    <row r="767315" customFormat="1" ht="14.25" spans="80:80">
      <c r="CB767315" s="171"/>
    </row>
    <row r="767316" customFormat="1" ht="14.25" spans="80:80">
      <c r="CB767316" s="171"/>
    </row>
    <row r="767317" customFormat="1" ht="14.25" spans="80:80">
      <c r="CB767317" s="171"/>
    </row>
    <row r="767318" customFormat="1" ht="14.25" spans="80:80">
      <c r="CB767318" s="171"/>
    </row>
    <row r="767319" customFormat="1" ht="14.25" spans="80:80">
      <c r="CB767319" s="171"/>
    </row>
    <row r="767320" customFormat="1" ht="14.25" spans="80:80">
      <c r="CB767320" s="171"/>
    </row>
    <row r="767321" customFormat="1" ht="14.25" spans="80:80">
      <c r="CB767321" s="171"/>
    </row>
    <row r="767322" customFormat="1" ht="14.25" spans="80:80">
      <c r="CB767322" s="171"/>
    </row>
    <row r="767323" customFormat="1" ht="14.25" spans="80:80">
      <c r="CB767323" s="171"/>
    </row>
    <row r="767324" customFormat="1" ht="14.25" spans="80:80">
      <c r="CB767324" s="171"/>
    </row>
    <row r="767325" customFormat="1" ht="14.25" spans="80:80">
      <c r="CB767325" s="171"/>
    </row>
    <row r="767326" customFormat="1" ht="14.25" spans="80:80">
      <c r="CB767326" s="171"/>
    </row>
    <row r="767327" customFormat="1" ht="14.25" spans="80:80">
      <c r="CB767327" s="171"/>
    </row>
    <row r="767328" customFormat="1" ht="14.25" spans="80:80">
      <c r="CB767328" s="171"/>
    </row>
    <row r="767329" customFormat="1" ht="14.25" spans="80:80">
      <c r="CB767329" s="171"/>
    </row>
    <row r="767330" customFormat="1" ht="14.25" spans="80:80">
      <c r="CB767330" s="171"/>
    </row>
    <row r="767331" customFormat="1" ht="14.25" spans="80:80">
      <c r="CB767331" s="171"/>
    </row>
    <row r="767332" customFormat="1" ht="14.25" spans="80:80">
      <c r="CB767332" s="171"/>
    </row>
    <row r="767333" customFormat="1" ht="14.25" spans="80:80">
      <c r="CB767333" s="171"/>
    </row>
    <row r="767334" customFormat="1" ht="14.25" spans="80:80">
      <c r="CB767334" s="171"/>
    </row>
    <row r="767335" customFormat="1" ht="14.25" spans="80:80">
      <c r="CB767335" s="171"/>
    </row>
    <row r="767336" customFormat="1" ht="14.25" spans="80:80">
      <c r="CB767336" s="171"/>
    </row>
    <row r="767337" customFormat="1" ht="14.25" spans="80:80">
      <c r="CB767337" s="171"/>
    </row>
    <row r="767338" customFormat="1" ht="14.25" spans="80:80">
      <c r="CB767338" s="171"/>
    </row>
    <row r="767339" customFormat="1" ht="14.25" spans="80:80">
      <c r="CB767339" s="171"/>
    </row>
    <row r="767340" customFormat="1" ht="14.25" spans="80:80">
      <c r="CB767340" s="171"/>
    </row>
    <row r="767341" customFormat="1" ht="14.25" spans="80:80">
      <c r="CB767341" s="171"/>
    </row>
    <row r="767342" customFormat="1" ht="14.25" spans="80:80">
      <c r="CB767342" s="171"/>
    </row>
    <row r="767343" customFormat="1" ht="14.25" spans="80:80">
      <c r="CB767343" s="171"/>
    </row>
    <row r="767344" customFormat="1" ht="14.25" spans="80:80">
      <c r="CB767344" s="171"/>
    </row>
    <row r="767345" customFormat="1" ht="14.25" spans="80:80">
      <c r="CB767345" s="171"/>
    </row>
    <row r="767346" customFormat="1" ht="14.25" spans="80:80">
      <c r="CB767346" s="171"/>
    </row>
    <row r="767347" customFormat="1" ht="14.25" spans="80:80">
      <c r="CB767347" s="171"/>
    </row>
    <row r="767348" customFormat="1" ht="14.25" spans="80:80">
      <c r="CB767348" s="171"/>
    </row>
    <row r="767349" customFormat="1" ht="14.25" spans="80:80">
      <c r="CB767349" s="171"/>
    </row>
    <row r="767350" customFormat="1" ht="14.25" spans="80:80">
      <c r="CB767350" s="171"/>
    </row>
    <row r="767351" customFormat="1" ht="14.25" spans="80:80">
      <c r="CB767351" s="171"/>
    </row>
    <row r="767352" customFormat="1" ht="14.25" spans="80:80">
      <c r="CB767352" s="171"/>
    </row>
    <row r="767353" customFormat="1" ht="14.25" spans="80:80">
      <c r="CB767353" s="171"/>
    </row>
    <row r="767354" customFormat="1" ht="14.25" spans="80:80">
      <c r="CB767354" s="171"/>
    </row>
    <row r="767355" customFormat="1" ht="14.25" spans="80:80">
      <c r="CB767355" s="171"/>
    </row>
    <row r="767356" customFormat="1" ht="14.25" spans="80:80">
      <c r="CB767356" s="171"/>
    </row>
    <row r="767357" customFormat="1" ht="14.25" spans="80:80">
      <c r="CB767357" s="171"/>
    </row>
    <row r="767358" customFormat="1" ht="14.25" spans="80:80">
      <c r="CB767358" s="171"/>
    </row>
    <row r="767359" customFormat="1" ht="14.25" spans="80:80">
      <c r="CB767359" s="171"/>
    </row>
    <row r="767360" customFormat="1" ht="14.25" spans="80:80">
      <c r="CB767360" s="171"/>
    </row>
    <row r="767361" customFormat="1" ht="14.25" spans="80:80">
      <c r="CB767361" s="171"/>
    </row>
    <row r="767362" customFormat="1" ht="14.25" spans="80:80">
      <c r="CB767362" s="171"/>
    </row>
    <row r="767363" customFormat="1" ht="14.25" spans="80:80">
      <c r="CB767363" s="171"/>
    </row>
    <row r="767364" customFormat="1" ht="14.25" spans="80:80">
      <c r="CB767364" s="171"/>
    </row>
    <row r="767365" customFormat="1" ht="14.25" spans="80:80">
      <c r="CB767365" s="171"/>
    </row>
    <row r="767366" customFormat="1" ht="14.25" spans="80:80">
      <c r="CB767366" s="171"/>
    </row>
    <row r="767367" customFormat="1" ht="14.25" spans="80:80">
      <c r="CB767367" s="171"/>
    </row>
    <row r="767368" customFormat="1" ht="14.25" spans="80:80">
      <c r="CB767368" s="171"/>
    </row>
    <row r="767369" customFormat="1" ht="14.25" spans="80:80">
      <c r="CB767369" s="171"/>
    </row>
    <row r="767370" customFormat="1" ht="14.25" spans="80:80">
      <c r="CB767370" s="171"/>
    </row>
    <row r="767371" customFormat="1" ht="14.25" spans="80:80">
      <c r="CB767371" s="171"/>
    </row>
    <row r="767372" customFormat="1" ht="14.25" spans="80:80">
      <c r="CB767372" s="171"/>
    </row>
    <row r="767373" customFormat="1" ht="14.25" spans="80:80">
      <c r="CB767373" s="171"/>
    </row>
    <row r="767374" customFormat="1" ht="14.25" spans="80:80">
      <c r="CB767374" s="171"/>
    </row>
    <row r="767375" customFormat="1" ht="14.25" spans="80:80">
      <c r="CB767375" s="171"/>
    </row>
    <row r="767376" customFormat="1" ht="14.25" spans="80:80">
      <c r="CB767376" s="171"/>
    </row>
    <row r="767377" customFormat="1" ht="14.25" spans="80:80">
      <c r="CB767377" s="171"/>
    </row>
    <row r="767378" customFormat="1" ht="14.25" spans="80:80">
      <c r="CB767378" s="171"/>
    </row>
    <row r="767379" customFormat="1" ht="14.25" spans="80:80">
      <c r="CB767379" s="171"/>
    </row>
    <row r="767380" customFormat="1" ht="14.25" spans="80:80">
      <c r="CB767380" s="171"/>
    </row>
    <row r="767381" customFormat="1" ht="14.25" spans="80:80">
      <c r="CB767381" s="171"/>
    </row>
    <row r="767382" customFormat="1" ht="14.25" spans="80:80">
      <c r="CB767382" s="171"/>
    </row>
    <row r="767383" customFormat="1" ht="14.25" spans="80:80">
      <c r="CB767383" s="171"/>
    </row>
    <row r="767384" customFormat="1" ht="14.25" spans="80:80">
      <c r="CB767384" s="171"/>
    </row>
    <row r="767385" customFormat="1" ht="14.25" spans="80:80">
      <c r="CB767385" s="171"/>
    </row>
    <row r="767386" customFormat="1" ht="14.25" spans="80:80">
      <c r="CB767386" s="171"/>
    </row>
    <row r="767387" customFormat="1" ht="14.25" spans="80:80">
      <c r="CB767387" s="171"/>
    </row>
    <row r="767388" customFormat="1" ht="14.25" spans="80:80">
      <c r="CB767388" s="171"/>
    </row>
    <row r="767389" customFormat="1" ht="14.25" spans="80:80">
      <c r="CB767389" s="171"/>
    </row>
    <row r="767390" customFormat="1" ht="14.25" spans="80:80">
      <c r="CB767390" s="171"/>
    </row>
    <row r="767391" customFormat="1" ht="14.25" spans="80:80">
      <c r="CB767391" s="171"/>
    </row>
    <row r="767392" customFormat="1" ht="14.25" spans="80:80">
      <c r="CB767392" s="171"/>
    </row>
    <row r="767393" customFormat="1" ht="14.25" spans="80:80">
      <c r="CB767393" s="171"/>
    </row>
    <row r="767394" customFormat="1" ht="14.25" spans="80:80">
      <c r="CB767394" s="171"/>
    </row>
    <row r="767395" customFormat="1" ht="14.25" spans="80:80">
      <c r="CB767395" s="171"/>
    </row>
    <row r="767396" customFormat="1" ht="14.25" spans="80:80">
      <c r="CB767396" s="171"/>
    </row>
    <row r="767397" customFormat="1" ht="14.25" spans="80:80">
      <c r="CB767397" s="171"/>
    </row>
    <row r="767398" customFormat="1" ht="14.25" spans="80:80">
      <c r="CB767398" s="171"/>
    </row>
    <row r="767399" customFormat="1" ht="14.25" spans="80:80">
      <c r="CB767399" s="171"/>
    </row>
    <row r="767400" customFormat="1" ht="14.25" spans="80:80">
      <c r="CB767400" s="171"/>
    </row>
    <row r="767401" customFormat="1" ht="14.25" spans="80:80">
      <c r="CB767401" s="171"/>
    </row>
    <row r="767402" customFormat="1" ht="14.25" spans="80:80">
      <c r="CB767402" s="171"/>
    </row>
    <row r="767403" customFormat="1" ht="14.25" spans="80:80">
      <c r="CB767403" s="171"/>
    </row>
    <row r="767404" customFormat="1" ht="14.25" spans="80:80">
      <c r="CB767404" s="171"/>
    </row>
    <row r="767405" customFormat="1" ht="14.25" spans="80:80">
      <c r="CB767405" s="171"/>
    </row>
    <row r="767406" customFormat="1" ht="14.25" spans="80:80">
      <c r="CB767406" s="171"/>
    </row>
    <row r="767407" customFormat="1" ht="14.25" spans="80:80">
      <c r="CB767407" s="171"/>
    </row>
    <row r="767408" customFormat="1" ht="14.25" spans="80:80">
      <c r="CB767408" s="171"/>
    </row>
    <row r="767409" customFormat="1" ht="14.25" spans="80:80">
      <c r="CB767409" s="171"/>
    </row>
    <row r="767410" customFormat="1" ht="14.25" spans="80:80">
      <c r="CB767410" s="171"/>
    </row>
    <row r="767411" customFormat="1" ht="14.25" spans="80:80">
      <c r="CB767411" s="171"/>
    </row>
    <row r="767412" customFormat="1" ht="14.25" spans="80:80">
      <c r="CB767412" s="171"/>
    </row>
    <row r="767413" customFormat="1" ht="14.25" spans="80:80">
      <c r="CB767413" s="171"/>
    </row>
    <row r="767414" customFormat="1" ht="14.25" spans="80:80">
      <c r="CB767414" s="171"/>
    </row>
    <row r="767415" customFormat="1" ht="14.25" spans="80:80">
      <c r="CB767415" s="171"/>
    </row>
    <row r="767416" customFormat="1" ht="14.25" spans="80:80">
      <c r="CB767416" s="171"/>
    </row>
    <row r="767417" customFormat="1" ht="14.25" spans="80:80">
      <c r="CB767417" s="171"/>
    </row>
    <row r="767418" customFormat="1" ht="14.25" spans="80:80">
      <c r="CB767418" s="171"/>
    </row>
    <row r="767419" customFormat="1" ht="14.25" spans="80:80">
      <c r="CB767419" s="171"/>
    </row>
    <row r="767420" customFormat="1" ht="14.25" spans="80:80">
      <c r="CB767420" s="171"/>
    </row>
    <row r="767421" customFormat="1" ht="14.25" spans="80:80">
      <c r="CB767421" s="171"/>
    </row>
    <row r="767422" customFormat="1" ht="14.25" spans="80:80">
      <c r="CB767422" s="171"/>
    </row>
    <row r="767423" customFormat="1" ht="14.25" spans="80:80">
      <c r="CB767423" s="171"/>
    </row>
    <row r="767424" customFormat="1" ht="14.25" spans="80:80">
      <c r="CB767424" s="171"/>
    </row>
    <row r="767425" customFormat="1" ht="14.25" spans="80:80">
      <c r="CB767425" s="171"/>
    </row>
    <row r="767426" customFormat="1" ht="14.25" spans="80:80">
      <c r="CB767426" s="171"/>
    </row>
    <row r="767427" customFormat="1" ht="14.25" spans="80:80">
      <c r="CB767427" s="171"/>
    </row>
    <row r="767428" customFormat="1" ht="14.25" spans="80:80">
      <c r="CB767428" s="171"/>
    </row>
    <row r="767429" customFormat="1" ht="14.25" spans="80:80">
      <c r="CB767429" s="171"/>
    </row>
    <row r="767430" customFormat="1" ht="14.25" spans="80:80">
      <c r="CB767430" s="171"/>
    </row>
    <row r="767431" customFormat="1" ht="14.25" spans="80:80">
      <c r="CB767431" s="171"/>
    </row>
    <row r="767432" customFormat="1" ht="14.25" spans="80:80">
      <c r="CB767432" s="171"/>
    </row>
    <row r="767433" customFormat="1" ht="14.25" spans="80:80">
      <c r="CB767433" s="171"/>
    </row>
    <row r="767434" customFormat="1" ht="14.25" spans="80:80">
      <c r="CB767434" s="171"/>
    </row>
    <row r="767435" customFormat="1" ht="14.25" spans="80:80">
      <c r="CB767435" s="171"/>
    </row>
    <row r="767436" customFormat="1" ht="14.25" spans="80:80">
      <c r="CB767436" s="171"/>
    </row>
    <row r="767437" customFormat="1" ht="14.25" spans="80:80">
      <c r="CB767437" s="171"/>
    </row>
    <row r="767438" customFormat="1" ht="14.25" spans="80:80">
      <c r="CB767438" s="171"/>
    </row>
    <row r="767439" customFormat="1" ht="14.25" spans="80:80">
      <c r="CB767439" s="171"/>
    </row>
    <row r="767440" customFormat="1" ht="14.25" spans="80:80">
      <c r="CB767440" s="171"/>
    </row>
    <row r="767441" customFormat="1" ht="14.25" spans="80:80">
      <c r="CB767441" s="171"/>
    </row>
    <row r="767442" customFormat="1" ht="14.25" spans="80:80">
      <c r="CB767442" s="171"/>
    </row>
    <row r="767443" customFormat="1" ht="14.25" spans="80:80">
      <c r="CB767443" s="171"/>
    </row>
    <row r="767444" customFormat="1" ht="14.25" spans="80:80">
      <c r="CB767444" s="171"/>
    </row>
    <row r="767445" customFormat="1" ht="14.25" spans="80:80">
      <c r="CB767445" s="171"/>
    </row>
    <row r="767446" customFormat="1" ht="14.25" spans="80:80">
      <c r="CB767446" s="171"/>
    </row>
    <row r="767447" customFormat="1" ht="14.25" spans="80:80">
      <c r="CB767447" s="171"/>
    </row>
    <row r="767448" customFormat="1" ht="14.25" spans="80:80">
      <c r="CB767448" s="171"/>
    </row>
    <row r="767449" customFormat="1" ht="14.25" spans="80:80">
      <c r="CB767449" s="171"/>
    </row>
    <row r="767450" customFormat="1" ht="14.25" spans="80:80">
      <c r="CB767450" s="171"/>
    </row>
    <row r="767451" customFormat="1" ht="14.25" spans="80:80">
      <c r="CB767451" s="171"/>
    </row>
    <row r="767452" customFormat="1" ht="14.25" spans="80:80">
      <c r="CB767452" s="171"/>
    </row>
    <row r="767453" customFormat="1" ht="14.25" spans="80:80">
      <c r="CB767453" s="171"/>
    </row>
    <row r="767454" customFormat="1" ht="14.25" spans="80:80">
      <c r="CB767454" s="171"/>
    </row>
    <row r="767455" customFormat="1" ht="14.25" spans="80:80">
      <c r="CB767455" s="171"/>
    </row>
    <row r="767456" customFormat="1" ht="14.25" spans="80:80">
      <c r="CB767456" s="171"/>
    </row>
    <row r="767457" customFormat="1" ht="14.25" spans="80:80">
      <c r="CB767457" s="171"/>
    </row>
    <row r="767458" customFormat="1" ht="14.25" spans="80:80">
      <c r="CB767458" s="171"/>
    </row>
    <row r="767459" customFormat="1" ht="14.25" spans="80:80">
      <c r="CB767459" s="171"/>
    </row>
    <row r="767460" customFormat="1" ht="14.25" spans="80:80">
      <c r="CB767460" s="171"/>
    </row>
    <row r="767461" customFormat="1" ht="14.25" spans="80:80">
      <c r="CB767461" s="171"/>
    </row>
    <row r="767462" customFormat="1" ht="14.25" spans="80:80">
      <c r="CB767462" s="171"/>
    </row>
    <row r="767463" customFormat="1" ht="14.25" spans="80:80">
      <c r="CB767463" s="171"/>
    </row>
    <row r="767464" customFormat="1" ht="14.25" spans="80:80">
      <c r="CB767464" s="171"/>
    </row>
    <row r="767465" customFormat="1" ht="14.25" spans="80:80">
      <c r="CB767465" s="171"/>
    </row>
    <row r="767466" customFormat="1" ht="14.25" spans="80:80">
      <c r="CB767466" s="171"/>
    </row>
    <row r="767467" customFormat="1" ht="14.25" spans="80:80">
      <c r="CB767467" s="171"/>
    </row>
    <row r="767468" customFormat="1" ht="14.25" spans="80:80">
      <c r="CB767468" s="171"/>
    </row>
    <row r="767469" customFormat="1" ht="14.25" spans="80:80">
      <c r="CB767469" s="171"/>
    </row>
    <row r="767470" customFormat="1" ht="14.25" spans="80:80">
      <c r="CB767470" s="171"/>
    </row>
    <row r="767471" customFormat="1" ht="14.25" spans="80:80">
      <c r="CB767471" s="171"/>
    </row>
    <row r="767472" customFormat="1" ht="14.25" spans="80:80">
      <c r="CB767472" s="171"/>
    </row>
    <row r="767473" customFormat="1" ht="14.25" spans="80:80">
      <c r="CB767473" s="171"/>
    </row>
    <row r="767474" customFormat="1" ht="14.25" spans="80:80">
      <c r="CB767474" s="171"/>
    </row>
    <row r="767475" customFormat="1" ht="14.25" spans="80:80">
      <c r="CB767475" s="171"/>
    </row>
    <row r="767476" customFormat="1" ht="14.25" spans="80:80">
      <c r="CB767476" s="171"/>
    </row>
    <row r="767477" customFormat="1" ht="14.25" spans="80:80">
      <c r="CB767477" s="171"/>
    </row>
    <row r="767478" customFormat="1" ht="14.25" spans="80:80">
      <c r="CB767478" s="171"/>
    </row>
    <row r="767479" customFormat="1" ht="14.25" spans="80:80">
      <c r="CB767479" s="171"/>
    </row>
    <row r="767480" customFormat="1" ht="14.25" spans="80:80">
      <c r="CB767480" s="171"/>
    </row>
    <row r="767481" customFormat="1" ht="14.25" spans="80:80">
      <c r="CB767481" s="171"/>
    </row>
    <row r="767482" customFormat="1" ht="14.25" spans="80:80">
      <c r="CB767482" s="171"/>
    </row>
    <row r="767483" customFormat="1" ht="14.25" spans="80:80">
      <c r="CB767483" s="171"/>
    </row>
    <row r="767484" customFormat="1" ht="14.25" spans="80:80">
      <c r="CB767484" s="171"/>
    </row>
    <row r="767485" customFormat="1" ht="14.25" spans="80:80">
      <c r="CB767485" s="171"/>
    </row>
    <row r="767486" customFormat="1" ht="14.25" spans="80:80">
      <c r="CB767486" s="171"/>
    </row>
    <row r="767487" customFormat="1" ht="14.25" spans="80:80">
      <c r="CB767487" s="171"/>
    </row>
    <row r="767488" customFormat="1" ht="14.25" spans="80:80">
      <c r="CB767488" s="171"/>
    </row>
    <row r="767489" customFormat="1" ht="14.25" spans="80:80">
      <c r="CB767489" s="171"/>
    </row>
    <row r="767490" customFormat="1" ht="14.25" spans="80:80">
      <c r="CB767490" s="171"/>
    </row>
    <row r="767491" customFormat="1" ht="14.25" spans="80:80">
      <c r="CB767491" s="171"/>
    </row>
    <row r="767492" customFormat="1" ht="14.25" spans="80:80">
      <c r="CB767492" s="171"/>
    </row>
    <row r="767493" customFormat="1" ht="14.25" spans="80:80">
      <c r="CB767493" s="171"/>
    </row>
    <row r="767494" customFormat="1" ht="14.25" spans="80:80">
      <c r="CB767494" s="171"/>
    </row>
    <row r="767495" customFormat="1" ht="14.25" spans="80:80">
      <c r="CB767495" s="171"/>
    </row>
    <row r="767496" customFormat="1" ht="14.25" spans="80:80">
      <c r="CB767496" s="171"/>
    </row>
    <row r="767497" customFormat="1" ht="14.25" spans="80:80">
      <c r="CB767497" s="171"/>
    </row>
    <row r="767498" customFormat="1" ht="14.25" spans="80:80">
      <c r="CB767498" s="171"/>
    </row>
    <row r="767499" customFormat="1" ht="14.25" spans="80:80">
      <c r="CB767499" s="171"/>
    </row>
    <row r="767500" customFormat="1" ht="14.25" spans="80:80">
      <c r="CB767500" s="171"/>
    </row>
    <row r="767501" customFormat="1" ht="14.25" spans="80:80">
      <c r="CB767501" s="171"/>
    </row>
    <row r="767502" customFormat="1" ht="14.25" spans="80:80">
      <c r="CB767502" s="171"/>
    </row>
    <row r="767503" customFormat="1" ht="14.25" spans="80:80">
      <c r="CB767503" s="171"/>
    </row>
    <row r="767504" customFormat="1" ht="14.25" spans="80:80">
      <c r="CB767504" s="171"/>
    </row>
    <row r="767505" customFormat="1" ht="14.25" spans="80:80">
      <c r="CB767505" s="171"/>
    </row>
    <row r="767506" customFormat="1" ht="14.25" spans="80:80">
      <c r="CB767506" s="171"/>
    </row>
    <row r="767507" customFormat="1" ht="14.25" spans="80:80">
      <c r="CB767507" s="171"/>
    </row>
    <row r="767508" customFormat="1" ht="14.25" spans="80:80">
      <c r="CB767508" s="171"/>
    </row>
    <row r="767509" customFormat="1" ht="14.25" spans="80:80">
      <c r="CB767509" s="171"/>
    </row>
    <row r="767510" customFormat="1" ht="14.25" spans="80:80">
      <c r="CB767510" s="171"/>
    </row>
    <row r="767511" customFormat="1" ht="14.25" spans="80:80">
      <c r="CB767511" s="171"/>
    </row>
    <row r="767512" customFormat="1" ht="14.25" spans="80:80">
      <c r="CB767512" s="171"/>
    </row>
    <row r="767513" customFormat="1" ht="14.25" spans="80:80">
      <c r="CB767513" s="171"/>
    </row>
    <row r="767514" customFormat="1" ht="14.25" spans="80:80">
      <c r="CB767514" s="171"/>
    </row>
    <row r="767515" customFormat="1" ht="14.25" spans="80:80">
      <c r="CB767515" s="171"/>
    </row>
    <row r="767516" customFormat="1" ht="14.25" spans="80:80">
      <c r="CB767516" s="171"/>
    </row>
    <row r="767517" customFormat="1" ht="14.25" spans="80:80">
      <c r="CB767517" s="171"/>
    </row>
    <row r="767518" customFormat="1" ht="14.25" spans="80:80">
      <c r="CB767518" s="171"/>
    </row>
    <row r="767519" customFormat="1" ht="14.25" spans="80:80">
      <c r="CB767519" s="171"/>
    </row>
    <row r="767520" customFormat="1" ht="14.25" spans="80:80">
      <c r="CB767520" s="171"/>
    </row>
    <row r="767521" customFormat="1" ht="14.25" spans="80:80">
      <c r="CB767521" s="171"/>
    </row>
    <row r="767522" customFormat="1" ht="14.25" spans="80:80">
      <c r="CB767522" s="171"/>
    </row>
    <row r="767523" customFormat="1" ht="14.25" spans="80:80">
      <c r="CB767523" s="171"/>
    </row>
    <row r="767524" customFormat="1" ht="14.25" spans="80:80">
      <c r="CB767524" s="171"/>
    </row>
    <row r="767525" customFormat="1" ht="14.25" spans="80:80">
      <c r="CB767525" s="171"/>
    </row>
    <row r="767526" customFormat="1" ht="14.25" spans="80:80">
      <c r="CB767526" s="171"/>
    </row>
    <row r="767527" customFormat="1" ht="14.25" spans="80:80">
      <c r="CB767527" s="171"/>
    </row>
    <row r="767528" customFormat="1" ht="14.25" spans="80:80">
      <c r="CB767528" s="171"/>
    </row>
    <row r="767529" customFormat="1" ht="14.25" spans="80:80">
      <c r="CB767529" s="171"/>
    </row>
    <row r="767530" customFormat="1" ht="14.25" spans="80:80">
      <c r="CB767530" s="171"/>
    </row>
    <row r="767531" customFormat="1" ht="14.25" spans="80:80">
      <c r="CB767531" s="171"/>
    </row>
    <row r="767532" customFormat="1" ht="14.25" spans="80:80">
      <c r="CB767532" s="171"/>
    </row>
    <row r="767533" customFormat="1" ht="14.25" spans="80:80">
      <c r="CB767533" s="171"/>
    </row>
    <row r="767534" customFormat="1" ht="14.25" spans="80:80">
      <c r="CB767534" s="171"/>
    </row>
    <row r="767535" customFormat="1" ht="14.25" spans="80:80">
      <c r="CB767535" s="171"/>
    </row>
    <row r="767536" customFormat="1" ht="14.25" spans="80:80">
      <c r="CB767536" s="171"/>
    </row>
    <row r="767537" customFormat="1" ht="14.25" spans="80:80">
      <c r="CB767537" s="171"/>
    </row>
    <row r="767538" customFormat="1" ht="14.25" spans="80:80">
      <c r="CB767538" s="171"/>
    </row>
    <row r="767539" customFormat="1" ht="14.25" spans="80:80">
      <c r="CB767539" s="171"/>
    </row>
    <row r="767540" customFormat="1" ht="14.25" spans="80:80">
      <c r="CB767540" s="171"/>
    </row>
    <row r="767541" customFormat="1" ht="14.25" spans="80:80">
      <c r="CB767541" s="171"/>
    </row>
    <row r="767542" customFormat="1" ht="14.25" spans="80:80">
      <c r="CB767542" s="171"/>
    </row>
    <row r="767543" customFormat="1" ht="14.25" spans="80:80">
      <c r="CB767543" s="171"/>
    </row>
    <row r="767544" customFormat="1" ht="14.25" spans="80:80">
      <c r="CB767544" s="171"/>
    </row>
    <row r="767545" customFormat="1" ht="14.25" spans="80:80">
      <c r="CB767545" s="171"/>
    </row>
    <row r="767546" customFormat="1" ht="14.25" spans="80:80">
      <c r="CB767546" s="171"/>
    </row>
    <row r="767547" customFormat="1" ht="14.25" spans="80:80">
      <c r="CB767547" s="171"/>
    </row>
    <row r="767548" customFormat="1" ht="14.25" spans="80:80">
      <c r="CB767548" s="171"/>
    </row>
    <row r="767549" customFormat="1" ht="14.25" spans="80:80">
      <c r="CB767549" s="171"/>
    </row>
    <row r="767550" customFormat="1" ht="14.25" spans="80:80">
      <c r="CB767550" s="171"/>
    </row>
    <row r="767551" customFormat="1" ht="14.25" spans="80:80">
      <c r="CB767551" s="171"/>
    </row>
    <row r="767552" customFormat="1" ht="14.25" spans="80:80">
      <c r="CB767552" s="171"/>
    </row>
    <row r="767553" customFormat="1" ht="14.25" spans="80:80">
      <c r="CB767553" s="171"/>
    </row>
    <row r="767554" customFormat="1" ht="14.25" spans="80:80">
      <c r="CB767554" s="171"/>
    </row>
    <row r="767555" customFormat="1" ht="14.25" spans="80:80">
      <c r="CB767555" s="171"/>
    </row>
    <row r="767556" customFormat="1" ht="14.25" spans="80:80">
      <c r="CB767556" s="171"/>
    </row>
    <row r="767557" customFormat="1" ht="14.25" spans="80:80">
      <c r="CB767557" s="171"/>
    </row>
    <row r="767558" customFormat="1" ht="14.25" spans="80:80">
      <c r="CB767558" s="171"/>
    </row>
    <row r="767559" customFormat="1" ht="14.25" spans="80:80">
      <c r="CB767559" s="171"/>
    </row>
    <row r="767560" customFormat="1" ht="14.25" spans="80:80">
      <c r="CB767560" s="171"/>
    </row>
    <row r="767561" customFormat="1" ht="14.25" spans="80:80">
      <c r="CB767561" s="171"/>
    </row>
    <row r="767562" customFormat="1" ht="14.25" spans="80:80">
      <c r="CB767562" s="171"/>
    </row>
    <row r="767563" customFormat="1" ht="14.25" spans="80:80">
      <c r="CB767563" s="171"/>
    </row>
    <row r="767564" customFormat="1" ht="14.25" spans="80:80">
      <c r="CB767564" s="171"/>
    </row>
    <row r="767565" customFormat="1" ht="14.25" spans="80:80">
      <c r="CB767565" s="171"/>
    </row>
    <row r="767566" customFormat="1" ht="14.25" spans="80:80">
      <c r="CB767566" s="171"/>
    </row>
    <row r="767567" customFormat="1" ht="14.25" spans="80:80">
      <c r="CB767567" s="171"/>
    </row>
    <row r="767568" customFormat="1" ht="14.25" spans="80:80">
      <c r="CB767568" s="171"/>
    </row>
    <row r="767569" customFormat="1" ht="14.25" spans="80:80">
      <c r="CB767569" s="171"/>
    </row>
    <row r="767570" customFormat="1" ht="14.25" spans="80:80">
      <c r="CB767570" s="171"/>
    </row>
    <row r="767571" customFormat="1" ht="14.25" spans="80:80">
      <c r="CB767571" s="171"/>
    </row>
    <row r="767572" customFormat="1" ht="14.25" spans="80:80">
      <c r="CB767572" s="171"/>
    </row>
    <row r="767573" customFormat="1" ht="14.25" spans="80:80">
      <c r="CB767573" s="171"/>
    </row>
    <row r="767574" customFormat="1" ht="14.25" spans="80:80">
      <c r="CB767574" s="171"/>
    </row>
    <row r="767575" customFormat="1" ht="14.25" spans="80:80">
      <c r="CB767575" s="171"/>
    </row>
    <row r="767576" customFormat="1" ht="14.25" spans="80:80">
      <c r="CB767576" s="171"/>
    </row>
    <row r="767577" customFormat="1" ht="14.25" spans="80:80">
      <c r="CB767577" s="171"/>
    </row>
    <row r="767578" customFormat="1" ht="14.25" spans="80:80">
      <c r="CB767578" s="171"/>
    </row>
    <row r="767579" customFormat="1" ht="14.25" spans="80:80">
      <c r="CB767579" s="171"/>
    </row>
    <row r="767580" customFormat="1" ht="14.25" spans="80:80">
      <c r="CB767580" s="171"/>
    </row>
    <row r="767581" customFormat="1" ht="14.25" spans="80:80">
      <c r="CB767581" s="171"/>
    </row>
    <row r="767582" customFormat="1" ht="14.25" spans="80:80">
      <c r="CB767582" s="171"/>
    </row>
    <row r="767583" customFormat="1" ht="14.25" spans="80:80">
      <c r="CB767583" s="171"/>
    </row>
    <row r="767584" customFormat="1" ht="14.25" spans="80:80">
      <c r="CB767584" s="171"/>
    </row>
    <row r="767585" customFormat="1" ht="14.25" spans="80:80">
      <c r="CB767585" s="171"/>
    </row>
    <row r="767586" customFormat="1" ht="14.25" spans="80:80">
      <c r="CB767586" s="171"/>
    </row>
    <row r="767587" customFormat="1" ht="14.25" spans="80:80">
      <c r="CB767587" s="171"/>
    </row>
    <row r="767588" customFormat="1" ht="14.25" spans="80:80">
      <c r="CB767588" s="171"/>
    </row>
    <row r="767589" customFormat="1" ht="14.25" spans="80:80">
      <c r="CB767589" s="171"/>
    </row>
    <row r="767590" customFormat="1" ht="14.25" spans="80:80">
      <c r="CB767590" s="171"/>
    </row>
    <row r="767591" customFormat="1" ht="14.25" spans="80:80">
      <c r="CB767591" s="171"/>
    </row>
    <row r="767592" customFormat="1" ht="14.25" spans="80:80">
      <c r="CB767592" s="171"/>
    </row>
    <row r="767593" customFormat="1" ht="14.25" spans="80:80">
      <c r="CB767593" s="171"/>
    </row>
    <row r="767594" customFormat="1" ht="14.25" spans="80:80">
      <c r="CB767594" s="171"/>
    </row>
    <row r="767595" customFormat="1" ht="14.25" spans="80:80">
      <c r="CB767595" s="171"/>
    </row>
    <row r="767596" customFormat="1" ht="14.25" spans="80:80">
      <c r="CB767596" s="171"/>
    </row>
    <row r="767597" customFormat="1" ht="14.25" spans="80:80">
      <c r="CB767597" s="171"/>
    </row>
    <row r="767598" customFormat="1" ht="14.25" spans="80:80">
      <c r="CB767598" s="171"/>
    </row>
    <row r="767599" customFormat="1" ht="14.25" spans="80:80">
      <c r="CB767599" s="171"/>
    </row>
    <row r="767600" customFormat="1" ht="14.25" spans="80:80">
      <c r="CB767600" s="171"/>
    </row>
    <row r="767601" customFormat="1" ht="14.25" spans="80:80">
      <c r="CB767601" s="171"/>
    </row>
    <row r="767602" customFormat="1" ht="14.25" spans="80:80">
      <c r="CB767602" s="171"/>
    </row>
    <row r="767603" customFormat="1" ht="14.25" spans="80:80">
      <c r="CB767603" s="171"/>
    </row>
    <row r="767604" customFormat="1" ht="14.25" spans="80:80">
      <c r="CB767604" s="171"/>
    </row>
    <row r="767605" customFormat="1" ht="14.25" spans="80:80">
      <c r="CB767605" s="171"/>
    </row>
    <row r="767606" customFormat="1" ht="14.25" spans="80:80">
      <c r="CB767606" s="171"/>
    </row>
    <row r="767607" customFormat="1" ht="14.25" spans="80:80">
      <c r="CB767607" s="171"/>
    </row>
    <row r="767608" customFormat="1" ht="14.25" spans="80:80">
      <c r="CB767608" s="171"/>
    </row>
    <row r="767609" customFormat="1" ht="14.25" spans="80:80">
      <c r="CB767609" s="171"/>
    </row>
    <row r="767610" customFormat="1" ht="14.25" spans="80:80">
      <c r="CB767610" s="171"/>
    </row>
    <row r="767611" customFormat="1" ht="14.25" spans="80:80">
      <c r="CB767611" s="171"/>
    </row>
    <row r="767612" customFormat="1" ht="14.25" spans="80:80">
      <c r="CB767612" s="171"/>
    </row>
    <row r="767613" customFormat="1" ht="14.25" spans="80:80">
      <c r="CB767613" s="171"/>
    </row>
    <row r="767614" customFormat="1" ht="14.25" spans="80:80">
      <c r="CB767614" s="171"/>
    </row>
    <row r="767615" customFormat="1" ht="14.25" spans="80:80">
      <c r="CB767615" s="171"/>
    </row>
    <row r="767616" customFormat="1" ht="14.25" spans="80:80">
      <c r="CB767616" s="171"/>
    </row>
    <row r="767617" customFormat="1" ht="14.25" spans="80:80">
      <c r="CB767617" s="171"/>
    </row>
    <row r="767618" customFormat="1" ht="14.25" spans="80:80">
      <c r="CB767618" s="171"/>
    </row>
    <row r="767619" customFormat="1" ht="14.25" spans="80:80">
      <c r="CB767619" s="171"/>
    </row>
    <row r="767620" customFormat="1" ht="14.25" spans="80:80">
      <c r="CB767620" s="171"/>
    </row>
    <row r="767621" customFormat="1" ht="14.25" spans="80:80">
      <c r="CB767621" s="171"/>
    </row>
    <row r="767622" customFormat="1" ht="14.25" spans="80:80">
      <c r="CB767622" s="171"/>
    </row>
    <row r="767623" customFormat="1" ht="14.25" spans="80:80">
      <c r="CB767623" s="171"/>
    </row>
    <row r="767624" customFormat="1" ht="14.25" spans="80:80">
      <c r="CB767624" s="171"/>
    </row>
    <row r="767625" customFormat="1" ht="14.25" spans="80:80">
      <c r="CB767625" s="171"/>
    </row>
    <row r="767626" customFormat="1" ht="14.25" spans="80:80">
      <c r="CB767626" s="171"/>
    </row>
    <row r="767627" customFormat="1" ht="14.25" spans="80:80">
      <c r="CB767627" s="171"/>
    </row>
    <row r="767628" customFormat="1" ht="14.25" spans="80:80">
      <c r="CB767628" s="171"/>
    </row>
    <row r="767629" customFormat="1" ht="14.25" spans="80:80">
      <c r="CB767629" s="171"/>
    </row>
    <row r="767630" customFormat="1" ht="14.25" spans="80:80">
      <c r="CB767630" s="171"/>
    </row>
    <row r="767631" customFormat="1" ht="14.25" spans="80:80">
      <c r="CB767631" s="171"/>
    </row>
    <row r="767632" customFormat="1" ht="14.25" spans="80:80">
      <c r="CB767632" s="171"/>
    </row>
    <row r="767633" customFormat="1" ht="14.25" spans="80:80">
      <c r="CB767633" s="171"/>
    </row>
    <row r="767634" customFormat="1" ht="14.25" spans="80:80">
      <c r="CB767634" s="171"/>
    </row>
    <row r="767635" customFormat="1" ht="14.25" spans="80:80">
      <c r="CB767635" s="171"/>
    </row>
    <row r="767636" customFormat="1" ht="14.25" spans="80:80">
      <c r="CB767636" s="171"/>
    </row>
    <row r="767637" customFormat="1" ht="14.25" spans="80:80">
      <c r="CB767637" s="171"/>
    </row>
    <row r="767638" customFormat="1" ht="14.25" spans="80:80">
      <c r="CB767638" s="171"/>
    </row>
    <row r="767639" customFormat="1" ht="14.25" spans="80:80">
      <c r="CB767639" s="171"/>
    </row>
    <row r="767640" customFormat="1" ht="14.25" spans="80:80">
      <c r="CB767640" s="171"/>
    </row>
    <row r="767641" customFormat="1" ht="14.25" spans="80:80">
      <c r="CB767641" s="171"/>
    </row>
    <row r="767642" customFormat="1" ht="14.25" spans="80:80">
      <c r="CB767642" s="171"/>
    </row>
    <row r="767643" customFormat="1" ht="14.25" spans="80:80">
      <c r="CB767643" s="171"/>
    </row>
    <row r="767644" customFormat="1" ht="14.25" spans="80:80">
      <c r="CB767644" s="171"/>
    </row>
    <row r="767645" customFormat="1" ht="14.25" spans="80:80">
      <c r="CB767645" s="171"/>
    </row>
    <row r="767646" customFormat="1" ht="14.25" spans="80:80">
      <c r="CB767646" s="171"/>
    </row>
    <row r="767647" customFormat="1" ht="14.25" spans="80:80">
      <c r="CB767647" s="171"/>
    </row>
    <row r="767648" customFormat="1" ht="14.25" spans="80:80">
      <c r="CB767648" s="171"/>
    </row>
    <row r="767649" customFormat="1" ht="14.25" spans="80:80">
      <c r="CB767649" s="171"/>
    </row>
    <row r="767650" customFormat="1" ht="14.25" spans="80:80">
      <c r="CB767650" s="171"/>
    </row>
    <row r="767651" customFormat="1" ht="14.25" spans="80:80">
      <c r="CB767651" s="171"/>
    </row>
    <row r="767652" customFormat="1" ht="14.25" spans="80:80">
      <c r="CB767652" s="171"/>
    </row>
    <row r="767653" customFormat="1" ht="14.25" spans="80:80">
      <c r="CB767653" s="171"/>
    </row>
    <row r="767654" customFormat="1" ht="14.25" spans="80:80">
      <c r="CB767654" s="171"/>
    </row>
    <row r="767655" customFormat="1" ht="14.25" spans="80:80">
      <c r="CB767655" s="171"/>
    </row>
    <row r="767656" customFormat="1" ht="14.25" spans="80:80">
      <c r="CB767656" s="171"/>
    </row>
    <row r="767657" customFormat="1" ht="14.25" spans="80:80">
      <c r="CB767657" s="171"/>
    </row>
    <row r="767658" customFormat="1" ht="14.25" spans="80:80">
      <c r="CB767658" s="171"/>
    </row>
    <row r="767659" customFormat="1" ht="14.25" spans="80:80">
      <c r="CB767659" s="171"/>
    </row>
    <row r="767660" customFormat="1" ht="14.25" spans="80:80">
      <c r="CB767660" s="171"/>
    </row>
    <row r="767661" customFormat="1" ht="14.25" spans="80:80">
      <c r="CB767661" s="171"/>
    </row>
    <row r="767662" customFormat="1" ht="14.25" spans="80:80">
      <c r="CB767662" s="171"/>
    </row>
    <row r="767663" customFormat="1" ht="14.25" spans="80:80">
      <c r="CB767663" s="171"/>
    </row>
    <row r="767664" customFormat="1" ht="14.25" spans="80:80">
      <c r="CB767664" s="171"/>
    </row>
    <row r="767665" customFormat="1" ht="14.25" spans="80:80">
      <c r="CB767665" s="171"/>
    </row>
    <row r="767666" customFormat="1" ht="14.25" spans="80:80">
      <c r="CB767666" s="171"/>
    </row>
    <row r="767667" customFormat="1" ht="14.25" spans="80:80">
      <c r="CB767667" s="171"/>
    </row>
    <row r="767668" customFormat="1" ht="14.25" spans="80:80">
      <c r="CB767668" s="171"/>
    </row>
    <row r="767669" customFormat="1" ht="14.25" spans="80:80">
      <c r="CB767669" s="171"/>
    </row>
    <row r="767670" customFormat="1" ht="14.25" spans="80:80">
      <c r="CB767670" s="171"/>
    </row>
    <row r="767671" customFormat="1" ht="14.25" spans="80:80">
      <c r="CB767671" s="171"/>
    </row>
    <row r="767672" customFormat="1" ht="14.25" spans="80:80">
      <c r="CB767672" s="171"/>
    </row>
    <row r="767673" customFormat="1" ht="14.25" spans="80:80">
      <c r="CB767673" s="171"/>
    </row>
    <row r="767674" customFormat="1" ht="14.25" spans="80:80">
      <c r="CB767674" s="171"/>
    </row>
    <row r="767675" customFormat="1" ht="14.25" spans="80:80">
      <c r="CB767675" s="171"/>
    </row>
    <row r="767676" customFormat="1" ht="14.25" spans="80:80">
      <c r="CB767676" s="171"/>
    </row>
    <row r="767677" customFormat="1" ht="14.25" spans="80:80">
      <c r="CB767677" s="171"/>
    </row>
    <row r="767678" customFormat="1" ht="14.25" spans="80:80">
      <c r="CB767678" s="171"/>
    </row>
    <row r="767679" customFormat="1" ht="14.25" spans="80:80">
      <c r="CB767679" s="171"/>
    </row>
    <row r="767680" customFormat="1" ht="14.25" spans="80:80">
      <c r="CB767680" s="171"/>
    </row>
    <row r="767681" customFormat="1" ht="14.25" spans="80:80">
      <c r="CB767681" s="171"/>
    </row>
    <row r="767682" customFormat="1" ht="14.25" spans="80:80">
      <c r="CB767682" s="171"/>
    </row>
    <row r="767683" customFormat="1" ht="14.25" spans="80:80">
      <c r="CB767683" s="171"/>
    </row>
    <row r="767684" customFormat="1" ht="14.25" spans="80:80">
      <c r="CB767684" s="171"/>
    </row>
    <row r="767685" customFormat="1" ht="14.25" spans="80:80">
      <c r="CB767685" s="171"/>
    </row>
    <row r="767686" customFormat="1" ht="14.25" spans="80:80">
      <c r="CB767686" s="171"/>
    </row>
    <row r="767687" customFormat="1" ht="14.25" spans="80:80">
      <c r="CB767687" s="171"/>
    </row>
    <row r="767688" customFormat="1" ht="14.25" spans="80:80">
      <c r="CB767688" s="171"/>
    </row>
    <row r="767689" customFormat="1" ht="14.25" spans="80:80">
      <c r="CB767689" s="171"/>
    </row>
    <row r="767690" customFormat="1" ht="14.25" spans="80:80">
      <c r="CB767690" s="171"/>
    </row>
    <row r="767691" customFormat="1" ht="14.25" spans="80:80">
      <c r="CB767691" s="171"/>
    </row>
    <row r="767692" customFormat="1" ht="14.25" spans="80:80">
      <c r="CB767692" s="171"/>
    </row>
    <row r="767693" customFormat="1" ht="14.25" spans="80:80">
      <c r="CB767693" s="171"/>
    </row>
    <row r="767694" customFormat="1" ht="14.25" spans="80:80">
      <c r="CB767694" s="171"/>
    </row>
    <row r="767695" customFormat="1" ht="14.25" spans="80:80">
      <c r="CB767695" s="171"/>
    </row>
    <row r="767696" customFormat="1" ht="14.25" spans="80:80">
      <c r="CB767696" s="171"/>
    </row>
    <row r="767697" customFormat="1" ht="14.25" spans="80:80">
      <c r="CB767697" s="171"/>
    </row>
    <row r="767698" customFormat="1" ht="14.25" spans="80:80">
      <c r="CB767698" s="171"/>
    </row>
    <row r="767699" customFormat="1" ht="14.25" spans="80:80">
      <c r="CB767699" s="171"/>
    </row>
    <row r="767700" customFormat="1" ht="14.25" spans="80:80">
      <c r="CB767700" s="171"/>
    </row>
    <row r="767701" customFormat="1" ht="14.25" spans="80:80">
      <c r="CB767701" s="171"/>
    </row>
    <row r="767702" customFormat="1" ht="14.25" spans="80:80">
      <c r="CB767702" s="171"/>
    </row>
    <row r="767703" customFormat="1" ht="14.25" spans="80:80">
      <c r="CB767703" s="171"/>
    </row>
    <row r="767704" customFormat="1" ht="14.25" spans="80:80">
      <c r="CB767704" s="171"/>
    </row>
    <row r="767705" customFormat="1" ht="14.25" spans="80:80">
      <c r="CB767705" s="171"/>
    </row>
    <row r="767706" customFormat="1" ht="14.25" spans="80:80">
      <c r="CB767706" s="171"/>
    </row>
    <row r="767707" customFormat="1" ht="14.25" spans="80:80">
      <c r="CB767707" s="171"/>
    </row>
    <row r="767708" customFormat="1" ht="14.25" spans="80:80">
      <c r="CB767708" s="171"/>
    </row>
    <row r="767709" customFormat="1" ht="14.25" spans="80:80">
      <c r="CB767709" s="171"/>
    </row>
    <row r="767710" customFormat="1" ht="14.25" spans="80:80">
      <c r="CB767710" s="171"/>
    </row>
    <row r="767711" customFormat="1" ht="14.25" spans="80:80">
      <c r="CB767711" s="171"/>
    </row>
    <row r="767712" customFormat="1" ht="14.25" spans="80:80">
      <c r="CB767712" s="171"/>
    </row>
    <row r="767713" customFormat="1" ht="14.25" spans="80:80">
      <c r="CB767713" s="171"/>
    </row>
    <row r="767714" customFormat="1" ht="14.25" spans="80:80">
      <c r="CB767714" s="171"/>
    </row>
    <row r="767715" customFormat="1" ht="14.25" spans="80:80">
      <c r="CB767715" s="171"/>
    </row>
    <row r="767716" customFormat="1" ht="14.25" spans="80:80">
      <c r="CB767716" s="171"/>
    </row>
    <row r="767717" customFormat="1" ht="14.25" spans="80:80">
      <c r="CB767717" s="171"/>
    </row>
    <row r="767718" customFormat="1" ht="14.25" spans="80:80">
      <c r="CB767718" s="171"/>
    </row>
    <row r="767719" customFormat="1" ht="14.25" spans="80:80">
      <c r="CB767719" s="171"/>
    </row>
    <row r="767720" customFormat="1" ht="14.25" spans="80:80">
      <c r="CB767720" s="171"/>
    </row>
    <row r="767721" customFormat="1" ht="14.25" spans="80:80">
      <c r="CB767721" s="171"/>
    </row>
    <row r="767722" customFormat="1" ht="14.25" spans="80:80">
      <c r="CB767722" s="171"/>
    </row>
    <row r="767723" customFormat="1" ht="14.25" spans="80:80">
      <c r="CB767723" s="171"/>
    </row>
    <row r="767724" customFormat="1" ht="14.25" spans="80:80">
      <c r="CB767724" s="171"/>
    </row>
    <row r="767725" customFormat="1" ht="14.25" spans="80:80">
      <c r="CB767725" s="171"/>
    </row>
    <row r="767726" customFormat="1" ht="14.25" spans="80:80">
      <c r="CB767726" s="171"/>
    </row>
    <row r="767727" customFormat="1" ht="14.25" spans="80:80">
      <c r="CB767727" s="171"/>
    </row>
    <row r="767728" customFormat="1" ht="14.25" spans="80:80">
      <c r="CB767728" s="171"/>
    </row>
    <row r="767729" customFormat="1" ht="14.25" spans="80:80">
      <c r="CB767729" s="171"/>
    </row>
    <row r="767730" customFormat="1" ht="14.25" spans="80:80">
      <c r="CB767730" s="171"/>
    </row>
    <row r="767731" customFormat="1" ht="14.25" spans="80:80">
      <c r="CB767731" s="171"/>
    </row>
    <row r="767732" customFormat="1" ht="14.25" spans="80:80">
      <c r="CB767732" s="171"/>
    </row>
    <row r="767733" customFormat="1" ht="14.25" spans="80:80">
      <c r="CB767733" s="171"/>
    </row>
    <row r="767734" customFormat="1" ht="14.25" spans="80:80">
      <c r="CB767734" s="171"/>
    </row>
    <row r="767735" customFormat="1" ht="14.25" spans="80:80">
      <c r="CB767735" s="171"/>
    </row>
    <row r="767736" customFormat="1" ht="14.25" spans="80:80">
      <c r="CB767736" s="171"/>
    </row>
    <row r="767737" customFormat="1" ht="14.25" spans="80:80">
      <c r="CB767737" s="171"/>
    </row>
    <row r="767738" customFormat="1" ht="14.25" spans="80:80">
      <c r="CB767738" s="171"/>
    </row>
    <row r="767739" customFormat="1" ht="14.25" spans="80:80">
      <c r="CB767739" s="171"/>
    </row>
    <row r="767740" customFormat="1" ht="14.25" spans="80:80">
      <c r="CB767740" s="171"/>
    </row>
    <row r="767741" customFormat="1" ht="14.25" spans="80:80">
      <c r="CB767741" s="171"/>
    </row>
    <row r="767742" customFormat="1" ht="14.25" spans="80:80">
      <c r="CB767742" s="171"/>
    </row>
    <row r="767743" customFormat="1" ht="14.25" spans="80:80">
      <c r="CB767743" s="171"/>
    </row>
    <row r="767744" customFormat="1" ht="14.25" spans="80:80">
      <c r="CB767744" s="171"/>
    </row>
    <row r="767745" customFormat="1" ht="14.25" spans="80:80">
      <c r="CB767745" s="171"/>
    </row>
    <row r="767746" customFormat="1" ht="14.25" spans="80:80">
      <c r="CB767746" s="171"/>
    </row>
    <row r="767747" customFormat="1" ht="14.25" spans="80:80">
      <c r="CB767747" s="171"/>
    </row>
    <row r="767748" customFormat="1" ht="14.25" spans="80:80">
      <c r="CB767748" s="171"/>
    </row>
    <row r="767749" customFormat="1" ht="14.25" spans="80:80">
      <c r="CB767749" s="171"/>
    </row>
    <row r="767750" customFormat="1" ht="14.25" spans="80:80">
      <c r="CB767750" s="171"/>
    </row>
    <row r="767751" customFormat="1" ht="14.25" spans="80:80">
      <c r="CB767751" s="171"/>
    </row>
    <row r="767752" customFormat="1" ht="14.25" spans="80:80">
      <c r="CB767752" s="171"/>
    </row>
    <row r="767753" customFormat="1" ht="14.25" spans="80:80">
      <c r="CB767753" s="171"/>
    </row>
    <row r="767754" customFormat="1" ht="14.25" spans="80:80">
      <c r="CB767754" s="171"/>
    </row>
    <row r="767755" customFormat="1" ht="14.25" spans="80:80">
      <c r="CB767755" s="171"/>
    </row>
    <row r="767756" customFormat="1" ht="14.25" spans="80:80">
      <c r="CB767756" s="171"/>
    </row>
    <row r="767757" customFormat="1" ht="14.25" spans="80:80">
      <c r="CB767757" s="171"/>
    </row>
    <row r="767758" customFormat="1" ht="14.25" spans="80:80">
      <c r="CB767758" s="171"/>
    </row>
    <row r="767759" customFormat="1" ht="14.25" spans="80:80">
      <c r="CB767759" s="171"/>
    </row>
    <row r="767760" customFormat="1" ht="14.25" spans="80:80">
      <c r="CB767760" s="171"/>
    </row>
    <row r="767761" customFormat="1" ht="14.25" spans="80:80">
      <c r="CB767761" s="171"/>
    </row>
    <row r="767762" customFormat="1" ht="14.25" spans="80:80">
      <c r="CB767762" s="171"/>
    </row>
    <row r="767763" customFormat="1" ht="14.25" spans="80:80">
      <c r="CB767763" s="171"/>
    </row>
    <row r="767764" customFormat="1" ht="14.25" spans="80:80">
      <c r="CB767764" s="171"/>
    </row>
    <row r="767765" customFormat="1" ht="14.25" spans="80:80">
      <c r="CB767765" s="171"/>
    </row>
    <row r="767766" customFormat="1" ht="14.25" spans="80:80">
      <c r="CB767766" s="171"/>
    </row>
    <row r="767767" customFormat="1" ht="14.25" spans="80:80">
      <c r="CB767767" s="171"/>
    </row>
    <row r="767768" customFormat="1" ht="14.25" spans="80:80">
      <c r="CB767768" s="171"/>
    </row>
    <row r="767769" customFormat="1" ht="14.25" spans="80:80">
      <c r="CB767769" s="171"/>
    </row>
    <row r="767770" customFormat="1" ht="14.25" spans="80:80">
      <c r="CB767770" s="171"/>
    </row>
    <row r="767771" customFormat="1" ht="14.25" spans="80:80">
      <c r="CB767771" s="171"/>
    </row>
    <row r="767772" customFormat="1" ht="14.25" spans="80:80">
      <c r="CB767772" s="171"/>
    </row>
    <row r="767773" customFormat="1" ht="14.25" spans="80:80">
      <c r="CB767773" s="171"/>
    </row>
    <row r="767774" customFormat="1" ht="14.25" spans="80:80">
      <c r="CB767774" s="171"/>
    </row>
    <row r="767775" customFormat="1" ht="14.25" spans="80:80">
      <c r="CB767775" s="171"/>
    </row>
    <row r="767776" customFormat="1" ht="14.25" spans="80:80">
      <c r="CB767776" s="171"/>
    </row>
    <row r="767777" customFormat="1" ht="14.25" spans="80:80">
      <c r="CB767777" s="171"/>
    </row>
    <row r="767778" customFormat="1" ht="14.25" spans="80:80">
      <c r="CB767778" s="171"/>
    </row>
    <row r="767779" customFormat="1" ht="14.25" spans="80:80">
      <c r="CB767779" s="171"/>
    </row>
    <row r="767780" customFormat="1" ht="14.25" spans="80:80">
      <c r="CB767780" s="171"/>
    </row>
    <row r="767781" customFormat="1" ht="14.25" spans="80:80">
      <c r="CB767781" s="171"/>
    </row>
    <row r="767782" customFormat="1" ht="14.25" spans="80:80">
      <c r="CB767782" s="171"/>
    </row>
    <row r="767783" customFormat="1" ht="14.25" spans="80:80">
      <c r="CB767783" s="171"/>
    </row>
    <row r="767784" customFormat="1" ht="14.25" spans="80:80">
      <c r="CB767784" s="171"/>
    </row>
    <row r="767785" customFormat="1" ht="14.25" spans="80:80">
      <c r="CB767785" s="171"/>
    </row>
    <row r="767786" customFormat="1" ht="14.25" spans="80:80">
      <c r="CB767786" s="171"/>
    </row>
    <row r="767787" customFormat="1" ht="14.25" spans="80:80">
      <c r="CB767787" s="171"/>
    </row>
    <row r="767788" customFormat="1" ht="14.25" spans="80:80">
      <c r="CB767788" s="171"/>
    </row>
    <row r="767789" customFormat="1" ht="14.25" spans="80:80">
      <c r="CB767789" s="171"/>
    </row>
    <row r="767790" customFormat="1" ht="14.25" spans="80:80">
      <c r="CB767790" s="171"/>
    </row>
    <row r="767791" customFormat="1" ht="14.25" spans="80:80">
      <c r="CB767791" s="171"/>
    </row>
    <row r="767792" customFormat="1" ht="14.25" spans="80:80">
      <c r="CB767792" s="171"/>
    </row>
    <row r="767793" customFormat="1" ht="14.25" spans="80:80">
      <c r="CB767793" s="171"/>
    </row>
    <row r="767794" customFormat="1" ht="14.25" spans="80:80">
      <c r="CB767794" s="171"/>
    </row>
    <row r="767795" customFormat="1" ht="14.25" spans="80:80">
      <c r="CB767795" s="171"/>
    </row>
    <row r="767796" customFormat="1" ht="14.25" spans="80:80">
      <c r="CB767796" s="171"/>
    </row>
    <row r="767797" customFormat="1" ht="14.25" spans="80:80">
      <c r="CB767797" s="171"/>
    </row>
    <row r="767798" customFormat="1" ht="14.25" spans="80:80">
      <c r="CB767798" s="171"/>
    </row>
    <row r="767799" customFormat="1" ht="14.25" spans="80:80">
      <c r="CB767799" s="171"/>
    </row>
    <row r="767800" customFormat="1" ht="14.25" spans="80:80">
      <c r="CB767800" s="171"/>
    </row>
    <row r="767801" customFormat="1" ht="14.25" spans="80:80">
      <c r="CB767801" s="171"/>
    </row>
    <row r="767802" customFormat="1" ht="14.25" spans="80:80">
      <c r="CB767802" s="171"/>
    </row>
    <row r="767803" customFormat="1" ht="14.25" spans="80:80">
      <c r="CB767803" s="171"/>
    </row>
    <row r="767804" customFormat="1" ht="14.25" spans="80:80">
      <c r="CB767804" s="171"/>
    </row>
    <row r="767805" customFormat="1" ht="14.25" spans="80:80">
      <c r="CB767805" s="171"/>
    </row>
    <row r="767806" customFormat="1" ht="14.25" spans="80:80">
      <c r="CB767806" s="171"/>
    </row>
    <row r="767807" customFormat="1" ht="14.25" spans="80:80">
      <c r="CB767807" s="171"/>
    </row>
    <row r="767808" customFormat="1" ht="14.25" spans="80:80">
      <c r="CB767808" s="171"/>
    </row>
    <row r="767809" customFormat="1" ht="14.25" spans="80:80">
      <c r="CB767809" s="171"/>
    </row>
    <row r="767810" customFormat="1" ht="14.25" spans="80:80">
      <c r="CB767810" s="171"/>
    </row>
    <row r="767811" customFormat="1" ht="14.25" spans="80:80">
      <c r="CB767811" s="171"/>
    </row>
    <row r="767812" customFormat="1" ht="14.25" spans="80:80">
      <c r="CB767812" s="171"/>
    </row>
    <row r="767813" customFormat="1" ht="14.25" spans="80:80">
      <c r="CB767813" s="171"/>
    </row>
    <row r="767814" customFormat="1" ht="14.25" spans="80:80">
      <c r="CB767814" s="171"/>
    </row>
    <row r="767815" customFormat="1" ht="14.25" spans="80:80">
      <c r="CB767815" s="171"/>
    </row>
    <row r="767816" customFormat="1" ht="14.25" spans="80:80">
      <c r="CB767816" s="171"/>
    </row>
    <row r="767817" customFormat="1" ht="14.25" spans="80:80">
      <c r="CB767817" s="171"/>
    </row>
    <row r="767818" customFormat="1" ht="14.25" spans="80:80">
      <c r="CB767818" s="171"/>
    </row>
    <row r="767819" customFormat="1" ht="14.25" spans="80:80">
      <c r="CB767819" s="171"/>
    </row>
    <row r="767820" customFormat="1" ht="14.25" spans="80:80">
      <c r="CB767820" s="171"/>
    </row>
    <row r="767821" customFormat="1" ht="14.25" spans="80:80">
      <c r="CB767821" s="171"/>
    </row>
    <row r="767822" customFormat="1" ht="14.25" spans="80:80">
      <c r="CB767822" s="171"/>
    </row>
    <row r="767823" customFormat="1" ht="14.25" spans="80:80">
      <c r="CB767823" s="171"/>
    </row>
    <row r="767824" customFormat="1" ht="14.25" spans="80:80">
      <c r="CB767824" s="171"/>
    </row>
    <row r="767825" customFormat="1" ht="14.25" spans="80:80">
      <c r="CB767825" s="171"/>
    </row>
    <row r="767826" customFormat="1" ht="14.25" spans="80:80">
      <c r="CB767826" s="171"/>
    </row>
    <row r="767827" customFormat="1" ht="14.25" spans="80:80">
      <c r="CB767827" s="171"/>
    </row>
    <row r="767828" customFormat="1" ht="14.25" spans="80:80">
      <c r="CB767828" s="171"/>
    </row>
    <row r="767829" customFormat="1" ht="14.25" spans="80:80">
      <c r="CB767829" s="171"/>
    </row>
    <row r="767830" customFormat="1" ht="14.25" spans="80:80">
      <c r="CB767830" s="171"/>
    </row>
    <row r="767831" customFormat="1" ht="14.25" spans="80:80">
      <c r="CB767831" s="171"/>
    </row>
    <row r="767832" customFormat="1" ht="14.25" spans="80:80">
      <c r="CB767832" s="171"/>
    </row>
    <row r="767833" customFormat="1" ht="14.25" spans="80:80">
      <c r="CB767833" s="171"/>
    </row>
    <row r="767834" customFormat="1" ht="14.25" spans="80:80">
      <c r="CB767834" s="171"/>
    </row>
    <row r="767835" customFormat="1" ht="14.25" spans="80:80">
      <c r="CB767835" s="171"/>
    </row>
    <row r="767836" customFormat="1" ht="14.25" spans="80:80">
      <c r="CB767836" s="171"/>
    </row>
    <row r="767837" customFormat="1" ht="14.25" spans="80:80">
      <c r="CB767837" s="171"/>
    </row>
    <row r="767838" customFormat="1" ht="14.25" spans="80:80">
      <c r="CB767838" s="171"/>
    </row>
    <row r="767839" customFormat="1" ht="14.25" spans="80:80">
      <c r="CB767839" s="171"/>
    </row>
    <row r="767840" customFormat="1" ht="14.25" spans="80:80">
      <c r="CB767840" s="171"/>
    </row>
    <row r="767841" customFormat="1" ht="14.25" spans="80:80">
      <c r="CB767841" s="171"/>
    </row>
    <row r="767842" customFormat="1" ht="14.25" spans="80:80">
      <c r="CB767842" s="171"/>
    </row>
    <row r="767843" customFormat="1" ht="14.25" spans="80:80">
      <c r="CB767843" s="171"/>
    </row>
    <row r="767844" customFormat="1" ht="14.25" spans="80:80">
      <c r="CB767844" s="171"/>
    </row>
    <row r="767845" customFormat="1" ht="14.25" spans="80:80">
      <c r="CB767845" s="171"/>
    </row>
    <row r="767846" customFormat="1" ht="14.25" spans="80:80">
      <c r="CB767846" s="171"/>
    </row>
    <row r="767847" customFormat="1" ht="14.25" spans="80:80">
      <c r="CB767847" s="171"/>
    </row>
    <row r="767848" customFormat="1" ht="14.25" spans="80:80">
      <c r="CB767848" s="171"/>
    </row>
    <row r="767849" customFormat="1" ht="14.25" spans="80:80">
      <c r="CB767849" s="171"/>
    </row>
    <row r="767850" customFormat="1" ht="14.25" spans="80:80">
      <c r="CB767850" s="171"/>
    </row>
    <row r="767851" customFormat="1" ht="14.25" spans="80:80">
      <c r="CB767851" s="171"/>
    </row>
    <row r="767852" customFormat="1" ht="14.25" spans="80:80">
      <c r="CB767852" s="171"/>
    </row>
    <row r="767853" customFormat="1" ht="14.25" spans="80:80">
      <c r="CB767853" s="171"/>
    </row>
    <row r="767854" customFormat="1" ht="14.25" spans="80:80">
      <c r="CB767854" s="171"/>
    </row>
    <row r="767855" customFormat="1" ht="14.25" spans="80:80">
      <c r="CB767855" s="171"/>
    </row>
    <row r="767856" customFormat="1" ht="14.25" spans="80:80">
      <c r="CB767856" s="171"/>
    </row>
    <row r="767857" customFormat="1" ht="14.25" spans="80:80">
      <c r="CB767857" s="171"/>
    </row>
    <row r="767858" customFormat="1" ht="14.25" spans="80:80">
      <c r="CB767858" s="171"/>
    </row>
    <row r="767859" customFormat="1" ht="14.25" spans="80:80">
      <c r="CB767859" s="171"/>
    </row>
    <row r="767860" customFormat="1" ht="14.25" spans="80:80">
      <c r="CB767860" s="171"/>
    </row>
    <row r="767861" customFormat="1" ht="14.25" spans="80:80">
      <c r="CB767861" s="171"/>
    </row>
    <row r="767862" customFormat="1" ht="14.25" spans="80:80">
      <c r="CB767862" s="171"/>
    </row>
    <row r="767863" customFormat="1" ht="14.25" spans="80:80">
      <c r="CB767863" s="171"/>
    </row>
    <row r="767864" customFormat="1" ht="14.25" spans="80:80">
      <c r="CB767864" s="171"/>
    </row>
    <row r="767865" customFormat="1" ht="14.25" spans="80:80">
      <c r="CB767865" s="171"/>
    </row>
    <row r="767866" customFormat="1" ht="14.25" spans="80:80">
      <c r="CB767866" s="171"/>
    </row>
    <row r="767867" customFormat="1" ht="14.25" spans="80:80">
      <c r="CB767867" s="171"/>
    </row>
    <row r="767868" customFormat="1" ht="14.25" spans="80:80">
      <c r="CB767868" s="171"/>
    </row>
    <row r="767869" customFormat="1" ht="14.25" spans="80:80">
      <c r="CB767869" s="171"/>
    </row>
    <row r="767870" customFormat="1" ht="14.25" spans="80:80">
      <c r="CB767870" s="171"/>
    </row>
    <row r="767871" customFormat="1" ht="14.25" spans="80:80">
      <c r="CB767871" s="171"/>
    </row>
    <row r="767872" customFormat="1" ht="14.25" spans="80:80">
      <c r="CB767872" s="171"/>
    </row>
    <row r="767873" customFormat="1" ht="14.25" spans="80:80">
      <c r="CB767873" s="171"/>
    </row>
    <row r="767874" customFormat="1" ht="14.25" spans="80:80">
      <c r="CB767874" s="171"/>
    </row>
    <row r="767875" customFormat="1" ht="14.25" spans="80:80">
      <c r="CB767875" s="171"/>
    </row>
    <row r="767876" customFormat="1" ht="14.25" spans="80:80">
      <c r="CB767876" s="171"/>
    </row>
    <row r="767877" customFormat="1" ht="14.25" spans="80:80">
      <c r="CB767877" s="171"/>
    </row>
    <row r="767878" customFormat="1" ht="14.25" spans="80:80">
      <c r="CB767878" s="171"/>
    </row>
    <row r="767879" customFormat="1" ht="14.25" spans="80:80">
      <c r="CB767879" s="171"/>
    </row>
    <row r="767880" customFormat="1" ht="14.25" spans="80:80">
      <c r="CB767880" s="171"/>
    </row>
    <row r="767881" customFormat="1" ht="14.25" spans="80:80">
      <c r="CB767881" s="171"/>
    </row>
    <row r="767882" customFormat="1" ht="14.25" spans="80:80">
      <c r="CB767882" s="171"/>
    </row>
    <row r="767883" customFormat="1" ht="14.25" spans="80:80">
      <c r="CB767883" s="171"/>
    </row>
    <row r="767884" customFormat="1" ht="14.25" spans="80:80">
      <c r="CB767884" s="171"/>
    </row>
    <row r="767885" customFormat="1" ht="14.25" spans="80:80">
      <c r="CB767885" s="171"/>
    </row>
    <row r="767886" customFormat="1" ht="14.25" spans="80:80">
      <c r="CB767886" s="171"/>
    </row>
    <row r="767887" customFormat="1" ht="14.25" spans="80:80">
      <c r="CB767887" s="171"/>
    </row>
    <row r="767888" customFormat="1" ht="14.25" spans="80:80">
      <c r="CB767888" s="171"/>
    </row>
    <row r="767889" customFormat="1" ht="14.25" spans="80:80">
      <c r="CB767889" s="171"/>
    </row>
    <row r="767890" customFormat="1" ht="14.25" spans="80:80">
      <c r="CB767890" s="171"/>
    </row>
    <row r="767891" customFormat="1" ht="14.25" spans="80:80">
      <c r="CB767891" s="171"/>
    </row>
    <row r="767892" customFormat="1" ht="14.25" spans="80:80">
      <c r="CB767892" s="171"/>
    </row>
    <row r="767893" customFormat="1" ht="14.25" spans="80:80">
      <c r="CB767893" s="171"/>
    </row>
    <row r="767894" customFormat="1" ht="14.25" spans="80:80">
      <c r="CB767894" s="171"/>
    </row>
    <row r="767895" customFormat="1" ht="14.25" spans="80:80">
      <c r="CB767895" s="171"/>
    </row>
    <row r="767896" customFormat="1" ht="14.25" spans="80:80">
      <c r="CB767896" s="171"/>
    </row>
    <row r="767897" customFormat="1" ht="14.25" spans="80:80">
      <c r="CB767897" s="171"/>
    </row>
    <row r="767898" customFormat="1" ht="14.25" spans="80:80">
      <c r="CB767898" s="171"/>
    </row>
    <row r="767899" customFormat="1" ht="14.25" spans="80:80">
      <c r="CB767899" s="171"/>
    </row>
    <row r="767900" customFormat="1" ht="14.25" spans="80:80">
      <c r="CB767900" s="171"/>
    </row>
    <row r="767901" customFormat="1" ht="14.25" spans="80:80">
      <c r="CB767901" s="171"/>
    </row>
    <row r="767902" customFormat="1" ht="14.25" spans="80:80">
      <c r="CB767902" s="171"/>
    </row>
    <row r="767903" customFormat="1" ht="14.25" spans="80:80">
      <c r="CB767903" s="171"/>
    </row>
    <row r="767904" customFormat="1" ht="14.25" spans="80:80">
      <c r="CB767904" s="171"/>
    </row>
    <row r="767905" customFormat="1" ht="14.25" spans="80:80">
      <c r="CB767905" s="171"/>
    </row>
    <row r="767906" customFormat="1" ht="14.25" spans="80:80">
      <c r="CB767906" s="171"/>
    </row>
    <row r="767907" customFormat="1" ht="14.25" spans="80:80">
      <c r="CB767907" s="171"/>
    </row>
    <row r="767908" customFormat="1" ht="14.25" spans="80:80">
      <c r="CB767908" s="171"/>
    </row>
    <row r="767909" customFormat="1" ht="14.25" spans="80:80">
      <c r="CB767909" s="171"/>
    </row>
    <row r="767910" customFormat="1" ht="14.25" spans="80:80">
      <c r="CB767910" s="171"/>
    </row>
    <row r="767911" customFormat="1" ht="14.25" spans="80:80">
      <c r="CB767911" s="171"/>
    </row>
    <row r="767912" customFormat="1" ht="14.25" spans="80:80">
      <c r="CB767912" s="171"/>
    </row>
    <row r="767913" customFormat="1" ht="14.25" spans="80:80">
      <c r="CB767913" s="171"/>
    </row>
    <row r="767914" customFormat="1" ht="14.25" spans="80:80">
      <c r="CB767914" s="171"/>
    </row>
    <row r="767915" customFormat="1" ht="14.25" spans="80:80">
      <c r="CB767915" s="171"/>
    </row>
    <row r="767916" customFormat="1" ht="14.25" spans="80:80">
      <c r="CB767916" s="171"/>
    </row>
    <row r="767917" customFormat="1" ht="14.25" spans="80:80">
      <c r="CB767917" s="171"/>
    </row>
    <row r="767918" customFormat="1" ht="14.25" spans="80:80">
      <c r="CB767918" s="171"/>
    </row>
    <row r="767919" customFormat="1" ht="14.25" spans="80:80">
      <c r="CB767919" s="171"/>
    </row>
    <row r="767920" customFormat="1" ht="14.25" spans="80:80">
      <c r="CB767920" s="171"/>
    </row>
    <row r="767921" customFormat="1" ht="14.25" spans="80:80">
      <c r="CB767921" s="171"/>
    </row>
    <row r="767922" customFormat="1" ht="14.25" spans="80:80">
      <c r="CB767922" s="171"/>
    </row>
    <row r="767923" customFormat="1" ht="14.25" spans="80:80">
      <c r="CB767923" s="171"/>
    </row>
    <row r="767924" customFormat="1" ht="14.25" spans="80:80">
      <c r="CB767924" s="171"/>
    </row>
    <row r="767925" customFormat="1" ht="14.25" spans="80:80">
      <c r="CB767925" s="171"/>
    </row>
    <row r="767926" customFormat="1" ht="14.25" spans="80:80">
      <c r="CB767926" s="171"/>
    </row>
    <row r="767927" customFormat="1" ht="14.25" spans="80:80">
      <c r="CB767927" s="171"/>
    </row>
    <row r="767928" customFormat="1" ht="14.25" spans="80:80">
      <c r="CB767928" s="171"/>
    </row>
    <row r="767929" customFormat="1" ht="14.25" spans="80:80">
      <c r="CB767929" s="171"/>
    </row>
    <row r="767930" customFormat="1" ht="14.25" spans="80:80">
      <c r="CB767930" s="171"/>
    </row>
    <row r="767931" customFormat="1" ht="14.25" spans="80:80">
      <c r="CB767931" s="171"/>
    </row>
    <row r="767932" customFormat="1" ht="14.25" spans="80:80">
      <c r="CB767932" s="171"/>
    </row>
    <row r="767933" customFormat="1" ht="14.25" spans="80:80">
      <c r="CB767933" s="171"/>
    </row>
    <row r="767934" customFormat="1" ht="14.25" spans="80:80">
      <c r="CB767934" s="171"/>
    </row>
    <row r="767935" customFormat="1" ht="14.25" spans="80:80">
      <c r="CB767935" s="171"/>
    </row>
    <row r="767936" customFormat="1" ht="14.25" spans="80:80">
      <c r="CB767936" s="171"/>
    </row>
    <row r="767937" customFormat="1" ht="14.25" spans="80:80">
      <c r="CB767937" s="171"/>
    </row>
    <row r="767938" customFormat="1" ht="14.25" spans="80:80">
      <c r="CB767938" s="171"/>
    </row>
    <row r="767939" customFormat="1" ht="14.25" spans="80:80">
      <c r="CB767939" s="171"/>
    </row>
    <row r="767940" customFormat="1" ht="14.25" spans="80:80">
      <c r="CB767940" s="171"/>
    </row>
    <row r="767941" customFormat="1" ht="14.25" spans="80:80">
      <c r="CB767941" s="171"/>
    </row>
    <row r="767942" customFormat="1" ht="14.25" spans="80:80">
      <c r="CB767942" s="171"/>
    </row>
    <row r="767943" customFormat="1" ht="14.25" spans="80:80">
      <c r="CB767943" s="171"/>
    </row>
    <row r="767944" customFormat="1" ht="14.25" spans="80:80">
      <c r="CB767944" s="171"/>
    </row>
    <row r="767945" customFormat="1" ht="14.25" spans="80:80">
      <c r="CB767945" s="171"/>
    </row>
    <row r="767946" customFormat="1" ht="14.25" spans="80:80">
      <c r="CB767946" s="171"/>
    </row>
    <row r="767947" customFormat="1" ht="14.25" spans="80:80">
      <c r="CB767947" s="171"/>
    </row>
    <row r="767948" customFormat="1" ht="14.25" spans="80:80">
      <c r="CB767948" s="171"/>
    </row>
    <row r="767949" customFormat="1" ht="14.25" spans="80:80">
      <c r="CB767949" s="171"/>
    </row>
    <row r="767950" customFormat="1" ht="14.25" spans="80:80">
      <c r="CB767950" s="171"/>
    </row>
    <row r="767951" customFormat="1" ht="14.25" spans="80:80">
      <c r="CB767951" s="171"/>
    </row>
    <row r="767952" customFormat="1" ht="14.25" spans="80:80">
      <c r="CB767952" s="171"/>
    </row>
    <row r="767953" customFormat="1" ht="14.25" spans="80:80">
      <c r="CB767953" s="171"/>
    </row>
    <row r="767954" customFormat="1" ht="14.25" spans="80:80">
      <c r="CB767954" s="171"/>
    </row>
    <row r="767955" customFormat="1" ht="14.25" spans="80:80">
      <c r="CB767955" s="171"/>
    </row>
    <row r="767956" customFormat="1" ht="14.25" spans="80:80">
      <c r="CB767956" s="171"/>
    </row>
    <row r="767957" customFormat="1" ht="14.25" spans="80:80">
      <c r="CB767957" s="171"/>
    </row>
    <row r="767958" customFormat="1" ht="14.25" spans="80:80">
      <c r="CB767958" s="171"/>
    </row>
    <row r="767959" customFormat="1" ht="14.25" spans="80:80">
      <c r="CB767959" s="171"/>
    </row>
    <row r="767960" customFormat="1" ht="14.25" spans="80:80">
      <c r="CB767960" s="171"/>
    </row>
    <row r="767961" customFormat="1" ht="14.25" spans="80:80">
      <c r="CB767961" s="171"/>
    </row>
    <row r="767962" customFormat="1" ht="14.25" spans="80:80">
      <c r="CB767962" s="171"/>
    </row>
    <row r="767963" customFormat="1" ht="14.25" spans="80:80">
      <c r="CB767963" s="171"/>
    </row>
    <row r="767964" customFormat="1" ht="14.25" spans="80:80">
      <c r="CB767964" s="171"/>
    </row>
    <row r="767965" customFormat="1" ht="14.25" spans="80:80">
      <c r="CB767965" s="171"/>
    </row>
    <row r="767966" customFormat="1" ht="14.25" spans="80:80">
      <c r="CB767966" s="171"/>
    </row>
    <row r="767967" customFormat="1" ht="14.25" spans="80:80">
      <c r="CB767967" s="171"/>
    </row>
    <row r="767968" customFormat="1" ht="14.25" spans="80:80">
      <c r="CB767968" s="171"/>
    </row>
    <row r="767969" customFormat="1" ht="14.25" spans="80:80">
      <c r="CB767969" s="171"/>
    </row>
    <row r="767970" customFormat="1" ht="14.25" spans="80:80">
      <c r="CB767970" s="171"/>
    </row>
    <row r="767971" customFormat="1" ht="14.25" spans="80:80">
      <c r="CB767971" s="171"/>
    </row>
    <row r="767972" customFormat="1" ht="14.25" spans="80:80">
      <c r="CB767972" s="171"/>
    </row>
    <row r="767973" customFormat="1" ht="14.25" spans="80:80">
      <c r="CB767973" s="171"/>
    </row>
    <row r="767974" customFormat="1" ht="14.25" spans="80:80">
      <c r="CB767974" s="171"/>
    </row>
    <row r="767975" customFormat="1" ht="14.25" spans="80:80">
      <c r="CB767975" s="171"/>
    </row>
    <row r="767976" customFormat="1" ht="14.25" spans="80:80">
      <c r="CB767976" s="171"/>
    </row>
    <row r="767977" customFormat="1" ht="14.25" spans="80:80">
      <c r="CB767977" s="171"/>
    </row>
    <row r="767978" customFormat="1" ht="14.25" spans="80:80">
      <c r="CB767978" s="171"/>
    </row>
    <row r="767979" customFormat="1" ht="14.25" spans="80:80">
      <c r="CB767979" s="171"/>
    </row>
    <row r="767980" customFormat="1" ht="14.25" spans="80:80">
      <c r="CB767980" s="171"/>
    </row>
    <row r="767981" customFormat="1" ht="14.25" spans="80:80">
      <c r="CB767981" s="171"/>
    </row>
    <row r="767982" customFormat="1" ht="14.25" spans="80:80">
      <c r="CB767982" s="171"/>
    </row>
    <row r="767983" customFormat="1" ht="14.25" spans="80:80">
      <c r="CB767983" s="171"/>
    </row>
    <row r="767984" customFormat="1" ht="14.25" spans="80:80">
      <c r="CB767984" s="171"/>
    </row>
    <row r="767985" customFormat="1" ht="14.25" spans="80:80">
      <c r="CB767985" s="171"/>
    </row>
    <row r="767986" customFormat="1" ht="14.25" spans="80:80">
      <c r="CB767986" s="171"/>
    </row>
    <row r="767987" customFormat="1" ht="14.25" spans="80:80">
      <c r="CB767987" s="171"/>
    </row>
    <row r="767988" customFormat="1" ht="14.25" spans="80:80">
      <c r="CB767988" s="171"/>
    </row>
    <row r="767989" customFormat="1" ht="14.25" spans="80:80">
      <c r="CB767989" s="171"/>
    </row>
    <row r="767990" customFormat="1" ht="14.25" spans="80:80">
      <c r="CB767990" s="171"/>
    </row>
    <row r="767991" customFormat="1" ht="14.25" spans="80:80">
      <c r="CB767991" s="171"/>
    </row>
    <row r="767992" customFormat="1" ht="14.25" spans="80:80">
      <c r="CB767992" s="171"/>
    </row>
    <row r="767993" customFormat="1" ht="14.25" spans="80:80">
      <c r="CB767993" s="171"/>
    </row>
    <row r="767994" customFormat="1" ht="14.25" spans="80:80">
      <c r="CB767994" s="171"/>
    </row>
    <row r="767995" customFormat="1" ht="14.25" spans="80:80">
      <c r="CB767995" s="171"/>
    </row>
    <row r="767996" customFormat="1" ht="14.25" spans="80:80">
      <c r="CB767996" s="171"/>
    </row>
    <row r="767997" customFormat="1" ht="14.25" spans="80:80">
      <c r="CB767997" s="171"/>
    </row>
    <row r="767998" customFormat="1" ht="14.25" spans="80:80">
      <c r="CB767998" s="171"/>
    </row>
    <row r="767999" customFormat="1" ht="14.25" spans="80:80">
      <c r="CB767999" s="171"/>
    </row>
    <row r="768000" customFormat="1" ht="14.25" spans="80:80">
      <c r="CB768000" s="171"/>
    </row>
    <row r="768001" customFormat="1" ht="14.25" spans="80:80">
      <c r="CB768001" s="171"/>
    </row>
    <row r="768002" customFormat="1" ht="14.25" spans="80:80">
      <c r="CB768002" s="171"/>
    </row>
    <row r="768003" customFormat="1" ht="14.25" spans="80:80">
      <c r="CB768003" s="171"/>
    </row>
    <row r="768004" customFormat="1" ht="14.25" spans="80:80">
      <c r="CB768004" s="171"/>
    </row>
    <row r="768005" customFormat="1" ht="14.25" spans="80:80">
      <c r="CB768005" s="171"/>
    </row>
    <row r="768006" customFormat="1" ht="14.25" spans="80:80">
      <c r="CB768006" s="171"/>
    </row>
    <row r="768007" customFormat="1" ht="14.25" spans="80:80">
      <c r="CB768007" s="171"/>
    </row>
    <row r="768008" customFormat="1" ht="14.25" spans="80:80">
      <c r="CB768008" s="171"/>
    </row>
    <row r="768009" customFormat="1" ht="14.25" spans="80:80">
      <c r="CB768009" s="171"/>
    </row>
    <row r="768010" customFormat="1" ht="14.25" spans="80:80">
      <c r="CB768010" s="171"/>
    </row>
    <row r="768011" customFormat="1" ht="14.25" spans="80:80">
      <c r="CB768011" s="171"/>
    </row>
    <row r="768012" customFormat="1" ht="14.25" spans="80:80">
      <c r="CB768012" s="171"/>
    </row>
    <row r="768013" customFormat="1" ht="14.25" spans="80:80">
      <c r="CB768013" s="171"/>
    </row>
    <row r="768014" customFormat="1" ht="14.25" spans="80:80">
      <c r="CB768014" s="171"/>
    </row>
    <row r="768015" customFormat="1" ht="14.25" spans="80:80">
      <c r="CB768015" s="171"/>
    </row>
    <row r="768016" customFormat="1" ht="14.25" spans="80:80">
      <c r="CB768016" s="171"/>
    </row>
    <row r="768017" customFormat="1" ht="14.25" spans="80:80">
      <c r="CB768017" s="171"/>
    </row>
    <row r="768018" customFormat="1" ht="14.25" spans="80:80">
      <c r="CB768018" s="171"/>
    </row>
    <row r="768019" customFormat="1" ht="14.25" spans="80:80">
      <c r="CB768019" s="171"/>
    </row>
    <row r="768020" customFormat="1" ht="14.25" spans="80:80">
      <c r="CB768020" s="171"/>
    </row>
    <row r="768021" customFormat="1" ht="14.25" spans="80:80">
      <c r="CB768021" s="171"/>
    </row>
    <row r="768022" customFormat="1" ht="14.25" spans="80:80">
      <c r="CB768022" s="171"/>
    </row>
    <row r="768023" customFormat="1" ht="14.25" spans="80:80">
      <c r="CB768023" s="171"/>
    </row>
    <row r="768024" customFormat="1" ht="14.25" spans="80:80">
      <c r="CB768024" s="171"/>
    </row>
    <row r="768025" customFormat="1" ht="14.25" spans="80:80">
      <c r="CB768025" s="171"/>
    </row>
    <row r="768026" customFormat="1" ht="14.25" spans="80:80">
      <c r="CB768026" s="171"/>
    </row>
    <row r="768027" customFormat="1" ht="14.25" spans="80:80">
      <c r="CB768027" s="171"/>
    </row>
    <row r="768028" customFormat="1" ht="14.25" spans="80:80">
      <c r="CB768028" s="171"/>
    </row>
    <row r="768029" customFormat="1" ht="14.25" spans="80:80">
      <c r="CB768029" s="171"/>
    </row>
    <row r="768030" customFormat="1" ht="14.25" spans="80:80">
      <c r="CB768030" s="171"/>
    </row>
    <row r="768031" customFormat="1" ht="14.25" spans="80:80">
      <c r="CB768031" s="171"/>
    </row>
    <row r="768032" customFormat="1" ht="14.25" spans="80:80">
      <c r="CB768032" s="171"/>
    </row>
    <row r="768033" customFormat="1" ht="14.25" spans="80:80">
      <c r="CB768033" s="171"/>
    </row>
    <row r="768034" customFormat="1" ht="14.25" spans="80:80">
      <c r="CB768034" s="171"/>
    </row>
    <row r="768035" customFormat="1" ht="14.25" spans="80:80">
      <c r="CB768035" s="171"/>
    </row>
    <row r="768036" customFormat="1" ht="14.25" spans="80:80">
      <c r="CB768036" s="171"/>
    </row>
    <row r="768037" customFormat="1" ht="14.25" spans="80:80">
      <c r="CB768037" s="171"/>
    </row>
    <row r="768038" customFormat="1" ht="14.25" spans="80:80">
      <c r="CB768038" s="171"/>
    </row>
    <row r="768039" customFormat="1" ht="14.25" spans="80:80">
      <c r="CB768039" s="171"/>
    </row>
    <row r="768040" customFormat="1" ht="14.25" spans="80:80">
      <c r="CB768040" s="171"/>
    </row>
    <row r="768041" customFormat="1" ht="14.25" spans="80:80">
      <c r="CB768041" s="171"/>
    </row>
    <row r="768042" customFormat="1" ht="14.25" spans="80:80">
      <c r="CB768042" s="171"/>
    </row>
    <row r="768043" customFormat="1" ht="14.25" spans="80:80">
      <c r="CB768043" s="171"/>
    </row>
    <row r="768044" customFormat="1" ht="14.25" spans="80:80">
      <c r="CB768044" s="171"/>
    </row>
    <row r="768045" customFormat="1" ht="14.25" spans="80:80">
      <c r="CB768045" s="171"/>
    </row>
    <row r="768046" customFormat="1" ht="14.25" spans="80:80">
      <c r="CB768046" s="171"/>
    </row>
    <row r="768047" customFormat="1" ht="14.25" spans="80:80">
      <c r="CB768047" s="171"/>
    </row>
    <row r="768048" customFormat="1" ht="14.25" spans="80:80">
      <c r="CB768048" s="171"/>
    </row>
    <row r="768049" customFormat="1" ht="14.25" spans="80:80">
      <c r="CB768049" s="171"/>
    </row>
    <row r="768050" customFormat="1" ht="14.25" spans="80:80">
      <c r="CB768050" s="171"/>
    </row>
    <row r="768051" customFormat="1" ht="14.25" spans="80:80">
      <c r="CB768051" s="171"/>
    </row>
    <row r="768052" customFormat="1" ht="14.25" spans="80:80">
      <c r="CB768052" s="171"/>
    </row>
    <row r="768053" customFormat="1" ht="14.25" spans="80:80">
      <c r="CB768053" s="171"/>
    </row>
    <row r="768054" customFormat="1" ht="14.25" spans="80:80">
      <c r="CB768054" s="171"/>
    </row>
    <row r="768055" customFormat="1" ht="14.25" spans="80:80">
      <c r="CB768055" s="171"/>
    </row>
    <row r="768056" customFormat="1" ht="14.25" spans="80:80">
      <c r="CB768056" s="171"/>
    </row>
    <row r="768057" customFormat="1" ht="14.25" spans="80:80">
      <c r="CB768057" s="171"/>
    </row>
    <row r="768058" customFormat="1" ht="14.25" spans="80:80">
      <c r="CB768058" s="171"/>
    </row>
    <row r="768059" customFormat="1" ht="14.25" spans="80:80">
      <c r="CB768059" s="171"/>
    </row>
    <row r="768060" customFormat="1" ht="14.25" spans="80:80">
      <c r="CB768060" s="171"/>
    </row>
    <row r="768061" customFormat="1" ht="14.25" spans="80:80">
      <c r="CB768061" s="171"/>
    </row>
    <row r="768062" customFormat="1" ht="14.25" spans="80:80">
      <c r="CB768062" s="171"/>
    </row>
    <row r="768063" customFormat="1" ht="14.25" spans="80:80">
      <c r="CB768063" s="171"/>
    </row>
    <row r="768064" customFormat="1" ht="14.25" spans="80:80">
      <c r="CB768064" s="171"/>
    </row>
    <row r="768065" customFormat="1" ht="14.25" spans="80:80">
      <c r="CB768065" s="171"/>
    </row>
    <row r="768066" customFormat="1" ht="14.25" spans="80:80">
      <c r="CB768066" s="171"/>
    </row>
    <row r="768067" customFormat="1" ht="14.25" spans="80:80">
      <c r="CB768067" s="171"/>
    </row>
    <row r="768068" customFormat="1" ht="14.25" spans="80:80">
      <c r="CB768068" s="171"/>
    </row>
    <row r="768069" customFormat="1" ht="14.25" spans="80:80">
      <c r="CB768069" s="171"/>
    </row>
    <row r="768070" customFormat="1" ht="14.25" spans="80:80">
      <c r="CB768070" s="171"/>
    </row>
    <row r="768071" customFormat="1" ht="14.25" spans="80:80">
      <c r="CB768071" s="171"/>
    </row>
    <row r="768072" customFormat="1" ht="14.25" spans="80:80">
      <c r="CB768072" s="171"/>
    </row>
    <row r="768073" customFormat="1" ht="14.25" spans="80:80">
      <c r="CB768073" s="171"/>
    </row>
    <row r="768074" customFormat="1" ht="14.25" spans="80:80">
      <c r="CB768074" s="171"/>
    </row>
    <row r="768075" customFormat="1" ht="14.25" spans="80:80">
      <c r="CB768075" s="171"/>
    </row>
    <row r="768076" customFormat="1" ht="14.25" spans="80:80">
      <c r="CB768076" s="171"/>
    </row>
    <row r="768077" customFormat="1" ht="14.25" spans="80:80">
      <c r="CB768077" s="171"/>
    </row>
    <row r="768078" customFormat="1" ht="14.25" spans="80:80">
      <c r="CB768078" s="171"/>
    </row>
    <row r="768079" customFormat="1" ht="14.25" spans="80:80">
      <c r="CB768079" s="171"/>
    </row>
    <row r="768080" customFormat="1" ht="14.25" spans="80:80">
      <c r="CB768080" s="171"/>
    </row>
    <row r="768081" customFormat="1" ht="14.25" spans="80:80">
      <c r="CB768081" s="171"/>
    </row>
    <row r="768082" customFormat="1" ht="14.25" spans="80:80">
      <c r="CB768082" s="171"/>
    </row>
    <row r="768083" customFormat="1" ht="14.25" spans="80:80">
      <c r="CB768083" s="171"/>
    </row>
    <row r="768084" customFormat="1" ht="14.25" spans="80:80">
      <c r="CB768084" s="171"/>
    </row>
    <row r="768085" customFormat="1" ht="14.25" spans="80:80">
      <c r="CB768085" s="171"/>
    </row>
    <row r="768086" customFormat="1" ht="14.25" spans="80:80">
      <c r="CB768086" s="171"/>
    </row>
    <row r="768087" customFormat="1" ht="14.25" spans="80:80">
      <c r="CB768087" s="171"/>
    </row>
    <row r="768088" customFormat="1" ht="14.25" spans="80:80">
      <c r="CB768088" s="171"/>
    </row>
    <row r="768089" customFormat="1" ht="14.25" spans="80:80">
      <c r="CB768089" s="171"/>
    </row>
    <row r="768090" customFormat="1" ht="14.25" spans="80:80">
      <c r="CB768090" s="171"/>
    </row>
    <row r="768091" customFormat="1" ht="14.25" spans="80:80">
      <c r="CB768091" s="171"/>
    </row>
    <row r="768092" customFormat="1" ht="14.25" spans="80:80">
      <c r="CB768092" s="171"/>
    </row>
    <row r="768093" customFormat="1" ht="14.25" spans="80:80">
      <c r="CB768093" s="171"/>
    </row>
    <row r="768094" customFormat="1" ht="14.25" spans="80:80">
      <c r="CB768094" s="171"/>
    </row>
    <row r="768095" customFormat="1" ht="14.25" spans="80:80">
      <c r="CB768095" s="171"/>
    </row>
    <row r="768096" customFormat="1" ht="14.25" spans="80:80">
      <c r="CB768096" s="171"/>
    </row>
    <row r="768097" customFormat="1" ht="14.25" spans="80:80">
      <c r="CB768097" s="171"/>
    </row>
    <row r="768098" customFormat="1" ht="14.25" spans="80:80">
      <c r="CB768098" s="171"/>
    </row>
    <row r="768099" customFormat="1" ht="14.25" spans="80:80">
      <c r="CB768099" s="171"/>
    </row>
    <row r="768100" customFormat="1" ht="14.25" spans="80:80">
      <c r="CB768100" s="171"/>
    </row>
    <row r="768101" customFormat="1" ht="14.25" spans="80:80">
      <c r="CB768101" s="171"/>
    </row>
    <row r="768102" customFormat="1" ht="14.25" spans="80:80">
      <c r="CB768102" s="171"/>
    </row>
    <row r="768103" customFormat="1" ht="14.25" spans="80:80">
      <c r="CB768103" s="171"/>
    </row>
    <row r="768104" customFormat="1" ht="14.25" spans="80:80">
      <c r="CB768104" s="171"/>
    </row>
    <row r="768105" customFormat="1" ht="14.25" spans="80:80">
      <c r="CB768105" s="171"/>
    </row>
    <row r="768106" customFormat="1" ht="14.25" spans="80:80">
      <c r="CB768106" s="171"/>
    </row>
    <row r="768107" customFormat="1" ht="14.25" spans="80:80">
      <c r="CB768107" s="171"/>
    </row>
    <row r="768108" customFormat="1" ht="14.25" spans="80:80">
      <c r="CB768108" s="171"/>
    </row>
    <row r="768109" customFormat="1" ht="14.25" spans="80:80">
      <c r="CB768109" s="171"/>
    </row>
    <row r="768110" customFormat="1" ht="14.25" spans="80:80">
      <c r="CB768110" s="171"/>
    </row>
    <row r="768111" customFormat="1" ht="14.25" spans="80:80">
      <c r="CB768111" s="171"/>
    </row>
    <row r="768112" customFormat="1" ht="14.25" spans="80:80">
      <c r="CB768112" s="171"/>
    </row>
    <row r="768113" customFormat="1" ht="14.25" spans="80:80">
      <c r="CB768113" s="171"/>
    </row>
    <row r="768114" customFormat="1" ht="14.25" spans="80:80">
      <c r="CB768114" s="171"/>
    </row>
    <row r="768115" customFormat="1" ht="14.25" spans="80:80">
      <c r="CB768115" s="171"/>
    </row>
    <row r="768116" customFormat="1" ht="14.25" spans="80:80">
      <c r="CB768116" s="171"/>
    </row>
    <row r="768117" customFormat="1" ht="14.25" spans="80:80">
      <c r="CB768117" s="171"/>
    </row>
    <row r="768118" customFormat="1" ht="14.25" spans="80:80">
      <c r="CB768118" s="171"/>
    </row>
    <row r="768119" customFormat="1" ht="14.25" spans="80:80">
      <c r="CB768119" s="171"/>
    </row>
    <row r="768120" customFormat="1" ht="14.25" spans="80:80">
      <c r="CB768120" s="171"/>
    </row>
    <row r="768121" customFormat="1" ht="14.25" spans="80:80">
      <c r="CB768121" s="171"/>
    </row>
    <row r="768122" customFormat="1" ht="14.25" spans="80:80">
      <c r="CB768122" s="171"/>
    </row>
    <row r="768123" customFormat="1" ht="14.25" spans="80:80">
      <c r="CB768123" s="171"/>
    </row>
    <row r="768124" customFormat="1" ht="14.25" spans="80:80">
      <c r="CB768124" s="171"/>
    </row>
    <row r="768125" customFormat="1" ht="14.25" spans="80:80">
      <c r="CB768125" s="171"/>
    </row>
    <row r="768126" customFormat="1" ht="14.25" spans="80:80">
      <c r="CB768126" s="171"/>
    </row>
    <row r="768127" customFormat="1" ht="14.25" spans="80:80">
      <c r="CB768127" s="171"/>
    </row>
    <row r="768128" customFormat="1" ht="14.25" spans="80:80">
      <c r="CB768128" s="171"/>
    </row>
    <row r="768129" customFormat="1" ht="14.25" spans="80:80">
      <c r="CB768129" s="171"/>
    </row>
    <row r="768130" customFormat="1" ht="14.25" spans="80:80">
      <c r="CB768130" s="171"/>
    </row>
    <row r="768131" customFormat="1" ht="14.25" spans="80:80">
      <c r="CB768131" s="171"/>
    </row>
    <row r="768132" customFormat="1" ht="14.25" spans="80:80">
      <c r="CB768132" s="171"/>
    </row>
    <row r="768133" customFormat="1" ht="14.25" spans="80:80">
      <c r="CB768133" s="171"/>
    </row>
    <row r="768134" customFormat="1" ht="14.25" spans="80:80">
      <c r="CB768134" s="171"/>
    </row>
    <row r="768135" customFormat="1" ht="14.25" spans="80:80">
      <c r="CB768135" s="171"/>
    </row>
    <row r="768136" customFormat="1" ht="14.25" spans="80:80">
      <c r="CB768136" s="171"/>
    </row>
    <row r="768137" customFormat="1" ht="14.25" spans="80:80">
      <c r="CB768137" s="171"/>
    </row>
    <row r="768138" customFormat="1" ht="14.25" spans="80:80">
      <c r="CB768138" s="171"/>
    </row>
    <row r="768139" customFormat="1" ht="14.25" spans="80:80">
      <c r="CB768139" s="171"/>
    </row>
    <row r="768140" customFormat="1" ht="14.25" spans="80:80">
      <c r="CB768140" s="171"/>
    </row>
    <row r="768141" customFormat="1" ht="14.25" spans="80:80">
      <c r="CB768141" s="171"/>
    </row>
    <row r="768142" customFormat="1" ht="14.25" spans="80:80">
      <c r="CB768142" s="171"/>
    </row>
    <row r="768143" customFormat="1" ht="14.25" spans="80:80">
      <c r="CB768143" s="171"/>
    </row>
    <row r="768144" customFormat="1" ht="14.25" spans="80:80">
      <c r="CB768144" s="171"/>
    </row>
    <row r="768145" customFormat="1" ht="14.25" spans="80:80">
      <c r="CB768145" s="171"/>
    </row>
    <row r="768146" customFormat="1" ht="14.25" spans="80:80">
      <c r="CB768146" s="171"/>
    </row>
    <row r="768147" customFormat="1" ht="14.25" spans="80:80">
      <c r="CB768147" s="171"/>
    </row>
    <row r="768148" customFormat="1" ht="14.25" spans="80:80">
      <c r="CB768148" s="171"/>
    </row>
    <row r="768149" customFormat="1" ht="14.25" spans="80:80">
      <c r="CB768149" s="171"/>
    </row>
    <row r="768150" customFormat="1" ht="14.25" spans="80:80">
      <c r="CB768150" s="171"/>
    </row>
    <row r="768151" customFormat="1" ht="14.25" spans="80:80">
      <c r="CB768151" s="171"/>
    </row>
    <row r="768152" customFormat="1" ht="14.25" spans="80:80">
      <c r="CB768152" s="171"/>
    </row>
    <row r="768153" customFormat="1" ht="14.25" spans="80:80">
      <c r="CB768153" s="171"/>
    </row>
    <row r="768154" customFormat="1" ht="14.25" spans="80:80">
      <c r="CB768154" s="171"/>
    </row>
    <row r="768155" customFormat="1" ht="14.25" spans="80:80">
      <c r="CB768155" s="171"/>
    </row>
    <row r="768156" customFormat="1" ht="14.25" spans="80:80">
      <c r="CB768156" s="171"/>
    </row>
    <row r="768157" customFormat="1" ht="14.25" spans="80:80">
      <c r="CB768157" s="171"/>
    </row>
    <row r="768158" customFormat="1" ht="14.25" spans="80:80">
      <c r="CB768158" s="171"/>
    </row>
    <row r="768159" customFormat="1" ht="14.25" spans="80:80">
      <c r="CB768159" s="171"/>
    </row>
    <row r="768160" customFormat="1" ht="14.25" spans="80:80">
      <c r="CB768160" s="171"/>
    </row>
    <row r="768161" customFormat="1" ht="14.25" spans="80:80">
      <c r="CB768161" s="171"/>
    </row>
    <row r="768162" customFormat="1" ht="14.25" spans="80:80">
      <c r="CB768162" s="171"/>
    </row>
    <row r="768163" customFormat="1" ht="14.25" spans="80:80">
      <c r="CB768163" s="171"/>
    </row>
    <row r="768164" customFormat="1" ht="14.25" spans="80:80">
      <c r="CB768164" s="171"/>
    </row>
    <row r="768165" customFormat="1" ht="14.25" spans="80:80">
      <c r="CB768165" s="171"/>
    </row>
    <row r="768166" customFormat="1" ht="14.25" spans="80:80">
      <c r="CB768166" s="171"/>
    </row>
    <row r="768167" customFormat="1" ht="14.25" spans="80:80">
      <c r="CB768167" s="171"/>
    </row>
    <row r="768168" customFormat="1" ht="14.25" spans="80:80">
      <c r="CB768168" s="171"/>
    </row>
    <row r="768169" customFormat="1" ht="14.25" spans="80:80">
      <c r="CB768169" s="171"/>
    </row>
    <row r="768170" customFormat="1" ht="14.25" spans="80:80">
      <c r="CB768170" s="171"/>
    </row>
    <row r="768171" customFormat="1" ht="14.25" spans="80:80">
      <c r="CB768171" s="171"/>
    </row>
    <row r="768172" customFormat="1" ht="14.25" spans="80:80">
      <c r="CB768172" s="171"/>
    </row>
    <row r="768173" customFormat="1" ht="14.25" spans="80:80">
      <c r="CB768173" s="171"/>
    </row>
    <row r="768174" customFormat="1" ht="14.25" spans="80:80">
      <c r="CB768174" s="171"/>
    </row>
    <row r="768175" customFormat="1" ht="14.25" spans="80:80">
      <c r="CB768175" s="171"/>
    </row>
    <row r="768176" customFormat="1" ht="14.25" spans="80:80">
      <c r="CB768176" s="171"/>
    </row>
    <row r="768177" customFormat="1" ht="14.25" spans="80:80">
      <c r="CB768177" s="171"/>
    </row>
    <row r="768178" customFormat="1" ht="14.25" spans="80:80">
      <c r="CB768178" s="171"/>
    </row>
    <row r="768179" customFormat="1" ht="14.25" spans="80:80">
      <c r="CB768179" s="171"/>
    </row>
    <row r="768180" customFormat="1" ht="14.25" spans="80:80">
      <c r="CB768180" s="171"/>
    </row>
    <row r="768181" customFormat="1" ht="14.25" spans="80:80">
      <c r="CB768181" s="171"/>
    </row>
    <row r="768182" customFormat="1" ht="14.25" spans="80:80">
      <c r="CB768182" s="171"/>
    </row>
    <row r="768183" customFormat="1" ht="14.25" spans="80:80">
      <c r="CB768183" s="171"/>
    </row>
    <row r="768184" customFormat="1" ht="14.25" spans="80:80">
      <c r="CB768184" s="171"/>
    </row>
    <row r="768185" customFormat="1" ht="14.25" spans="80:80">
      <c r="CB768185" s="171"/>
    </row>
    <row r="768186" customFormat="1" ht="14.25" spans="80:80">
      <c r="CB768186" s="171"/>
    </row>
    <row r="768187" customFormat="1" ht="14.25" spans="80:80">
      <c r="CB768187" s="171"/>
    </row>
    <row r="768188" customFormat="1" ht="14.25" spans="80:80">
      <c r="CB768188" s="171"/>
    </row>
    <row r="768189" customFormat="1" ht="14.25" spans="80:80">
      <c r="CB768189" s="171"/>
    </row>
    <row r="768190" customFormat="1" ht="14.25" spans="80:80">
      <c r="CB768190" s="171"/>
    </row>
    <row r="768191" customFormat="1" ht="14.25" spans="80:80">
      <c r="CB768191" s="171"/>
    </row>
    <row r="768192" customFormat="1" ht="14.25" spans="80:80">
      <c r="CB768192" s="171"/>
    </row>
    <row r="768193" customFormat="1" ht="14.25" spans="80:80">
      <c r="CB768193" s="171"/>
    </row>
    <row r="768194" customFormat="1" ht="14.25" spans="80:80">
      <c r="CB768194" s="171"/>
    </row>
    <row r="768195" customFormat="1" ht="14.25" spans="80:80">
      <c r="CB768195" s="171"/>
    </row>
    <row r="768196" customFormat="1" ht="14.25" spans="80:80">
      <c r="CB768196" s="171"/>
    </row>
    <row r="768197" customFormat="1" ht="14.25" spans="80:80">
      <c r="CB768197" s="171"/>
    </row>
    <row r="768198" customFormat="1" ht="14.25" spans="80:80">
      <c r="CB768198" s="171"/>
    </row>
    <row r="768199" customFormat="1" ht="14.25" spans="80:80">
      <c r="CB768199" s="171"/>
    </row>
    <row r="768200" customFormat="1" ht="14.25" spans="80:80">
      <c r="CB768200" s="171"/>
    </row>
    <row r="768201" customFormat="1" ht="14.25" spans="80:80">
      <c r="CB768201" s="171"/>
    </row>
    <row r="768202" customFormat="1" ht="14.25" spans="80:80">
      <c r="CB768202" s="171"/>
    </row>
    <row r="768203" customFormat="1" ht="14.25" spans="80:80">
      <c r="CB768203" s="171"/>
    </row>
    <row r="768204" customFormat="1" ht="14.25" spans="80:80">
      <c r="CB768204" s="171"/>
    </row>
    <row r="768205" customFormat="1" ht="14.25" spans="80:80">
      <c r="CB768205" s="171"/>
    </row>
    <row r="768206" customFormat="1" ht="14.25" spans="80:80">
      <c r="CB768206" s="171"/>
    </row>
    <row r="768207" customFormat="1" ht="14.25" spans="80:80">
      <c r="CB768207" s="171"/>
    </row>
    <row r="768208" customFormat="1" ht="14.25" spans="80:80">
      <c r="CB768208" s="171"/>
    </row>
    <row r="768209" customFormat="1" ht="14.25" spans="80:80">
      <c r="CB768209" s="171"/>
    </row>
    <row r="768210" customFormat="1" ht="14.25" spans="80:80">
      <c r="CB768210" s="171"/>
    </row>
    <row r="768211" customFormat="1" ht="14.25" spans="80:80">
      <c r="CB768211" s="171"/>
    </row>
    <row r="768212" customFormat="1" ht="14.25" spans="80:80">
      <c r="CB768212" s="171"/>
    </row>
    <row r="768213" customFormat="1" ht="14.25" spans="80:80">
      <c r="CB768213" s="171"/>
    </row>
    <row r="768214" customFormat="1" ht="14.25" spans="80:80">
      <c r="CB768214" s="171"/>
    </row>
    <row r="768215" customFormat="1" ht="14.25" spans="80:80">
      <c r="CB768215" s="171"/>
    </row>
    <row r="768216" customFormat="1" ht="14.25" spans="80:80">
      <c r="CB768216" s="171"/>
    </row>
    <row r="768217" customFormat="1" ht="14.25" spans="80:80">
      <c r="CB768217" s="171"/>
    </row>
    <row r="768218" customFormat="1" ht="14.25" spans="80:80">
      <c r="CB768218" s="171"/>
    </row>
    <row r="768219" customFormat="1" ht="14.25" spans="80:80">
      <c r="CB768219" s="171"/>
    </row>
    <row r="768220" customFormat="1" ht="14.25" spans="80:80">
      <c r="CB768220" s="171"/>
    </row>
    <row r="768221" customFormat="1" ht="14.25" spans="80:80">
      <c r="CB768221" s="171"/>
    </row>
    <row r="768222" customFormat="1" ht="14.25" spans="80:80">
      <c r="CB768222" s="171"/>
    </row>
    <row r="768223" customFormat="1" ht="14.25" spans="80:80">
      <c r="CB768223" s="171"/>
    </row>
    <row r="768224" customFormat="1" ht="14.25" spans="80:80">
      <c r="CB768224" s="171"/>
    </row>
    <row r="768225" customFormat="1" ht="14.25" spans="80:80">
      <c r="CB768225" s="171"/>
    </row>
    <row r="768226" customFormat="1" ht="14.25" spans="80:80">
      <c r="CB768226" s="171"/>
    </row>
    <row r="768227" customFormat="1" ht="14.25" spans="80:80">
      <c r="CB768227" s="171"/>
    </row>
    <row r="768228" customFormat="1" ht="14.25" spans="80:80">
      <c r="CB768228" s="171"/>
    </row>
  </sheetData>
  <autoFilter xmlns:etc="http://www.wps.cn/officeDocument/2017/etCustomData" ref="A4:CD8" etc:filterBottomFollowUsedRange="0">
    <extLst/>
  </autoFilter>
  <mergeCells count="17">
    <mergeCell ref="A1:Z1"/>
    <mergeCell ref="AN2:BF2"/>
    <mergeCell ref="BG2:CB2"/>
    <mergeCell ref="A3:Y3"/>
    <mergeCell ref="Z3:AE3"/>
    <mergeCell ref="AN3:AP3"/>
    <mergeCell ref="AQ3:AS3"/>
    <mergeCell ref="AT3:AV3"/>
    <mergeCell ref="AW3:AY3"/>
    <mergeCell ref="AZ3:BB3"/>
    <mergeCell ref="BC3:BE3"/>
    <mergeCell ref="BG3:BO3"/>
    <mergeCell ref="BP3:BQ3"/>
    <mergeCell ref="BR3:BX3"/>
    <mergeCell ref="BY3:CA3"/>
    <mergeCell ref="CB3:CB4"/>
    <mergeCell ref="CC2:CC4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79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19" sqref="$A19:$XFD19"/>
    </sheetView>
  </sheetViews>
  <sheetFormatPr defaultColWidth="8.8" defaultRowHeight="16.5"/>
  <cols>
    <col min="1" max="1" width="28.25" style="63" customWidth="1"/>
    <col min="2" max="2" width="4.75" style="64" customWidth="1"/>
    <col min="3" max="3" width="5.05" style="64" customWidth="1"/>
    <col min="4" max="4" width="3.94166666666667" style="64" customWidth="1"/>
    <col min="5" max="5" width="7.875" style="64" customWidth="1"/>
    <col min="6" max="6" width="8.8" style="64"/>
    <col min="7" max="7" width="12.6916666666667" style="64" customWidth="1"/>
    <col min="8" max="8" width="12.375" style="65" customWidth="1"/>
    <col min="9" max="9" width="12" style="64" customWidth="1"/>
    <col min="10" max="10" width="9.7" style="64" customWidth="1" outlineLevel="1"/>
    <col min="11" max="11" width="30.375" style="64" customWidth="1" outlineLevel="1"/>
    <col min="12" max="13" width="8.8" style="64" outlineLevel="1"/>
    <col min="14" max="14" width="19.4" style="64" customWidth="1" outlineLevel="1"/>
    <col min="15" max="15" width="5.31666666666667" style="64" customWidth="1"/>
    <col min="16" max="18" width="8.8" style="64" outlineLevel="1"/>
    <col min="19" max="19" width="19.2" style="64" customWidth="1"/>
    <col min="20" max="20" width="18.1916666666667" style="63" customWidth="1"/>
    <col min="21" max="21" width="12.625" style="63" customWidth="1"/>
    <col min="22" max="22" width="8.8" style="66"/>
    <col min="23" max="23" width="8.8" style="67"/>
    <col min="24" max="25" width="8.8" style="64"/>
    <col min="26" max="26" width="13.4416666666667" style="64" customWidth="1"/>
    <col min="27" max="27" width="22.8166666666667" style="63" customWidth="1"/>
    <col min="28" max="28" width="10.5" style="64"/>
    <col min="29" max="29" width="8.50833333333333" style="64" customWidth="1"/>
    <col min="30" max="31" width="6.00833333333333" style="64" customWidth="1"/>
    <col min="32" max="32" width="8.8" style="68"/>
    <col min="33" max="33" width="6.06666666666667" style="64" customWidth="1" outlineLevel="1"/>
    <col min="34" max="34" width="6.06666666666667" style="69" customWidth="1"/>
    <col min="35" max="35" width="9.13333333333333" style="69" customWidth="1" outlineLevel="1"/>
    <col min="36" max="36" width="5.38333333333333" style="70" customWidth="1" outlineLevel="1"/>
    <col min="37" max="37" width="5.38333333333333" style="64" customWidth="1" outlineLevel="1"/>
    <col min="38" max="38" width="8.8" style="64" outlineLevel="1"/>
    <col min="39" max="39" width="4.31666666666667" style="64" customWidth="1" outlineLevel="1"/>
    <col min="40" max="40" width="4.31666666666667" style="64" customWidth="1"/>
    <col min="41" max="41" width="8.8" style="64" outlineLevel="1"/>
    <col min="42" max="43" width="4.25833333333333" style="64" customWidth="1"/>
    <col min="44" max="44" width="8.8" style="64"/>
    <col min="45" max="45" width="4.81666666666667" style="64" customWidth="1" outlineLevel="1"/>
    <col min="46" max="46" width="8.25833333333333" style="64" customWidth="1"/>
    <col min="47" max="47" width="8.38333333333333" style="64" customWidth="1"/>
    <col min="48" max="48" width="10.125" style="64" customWidth="1"/>
    <col min="49" max="52" width="4.69166666666667" style="64" customWidth="1"/>
    <col min="53" max="53" width="6.56666666666667" style="71" customWidth="1"/>
    <col min="54" max="54" width="11.0666666666667" style="64" customWidth="1"/>
    <col min="55" max="55" width="5.56666666666667" style="64" customWidth="1"/>
    <col min="56" max="56" width="7.63333333333333" style="72" customWidth="1"/>
    <col min="57" max="57" width="10.6916666666667" style="64" customWidth="1"/>
    <col min="58" max="58" width="6.81666666666667" style="64" customWidth="1"/>
    <col min="59" max="59" width="7.25" style="64" customWidth="1"/>
    <col min="60" max="60" width="5.81666666666667" style="64" customWidth="1"/>
    <col min="61" max="61" width="5.69166666666667" style="69" customWidth="1"/>
    <col min="62" max="62" width="8.825" style="64" customWidth="1"/>
    <col min="63" max="64" width="5.625" style="64" customWidth="1"/>
    <col min="65" max="65" width="11.0666666666667" style="73" customWidth="1"/>
    <col min="66" max="66" width="9.19166666666667" style="73" customWidth="1"/>
    <col min="67" max="67" width="10.1333333333333" style="73" customWidth="1"/>
    <col min="68" max="68" width="11.0666666666667" style="43" customWidth="1"/>
  </cols>
  <sheetData>
    <row r="1" s="43" customFormat="1" ht="22.5" spans="1:68">
      <c r="A1" s="74" t="s">
        <v>76</v>
      </c>
      <c r="B1" s="75"/>
      <c r="C1" s="75"/>
      <c r="D1" s="75"/>
      <c r="E1" s="75"/>
      <c r="F1" s="75"/>
      <c r="G1" s="75"/>
      <c r="H1" s="76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4"/>
      <c r="U1" s="74"/>
      <c r="V1" s="77"/>
      <c r="W1" s="78"/>
      <c r="X1" s="75"/>
      <c r="Y1" s="75"/>
      <c r="Z1" s="75"/>
      <c r="AA1" s="74"/>
      <c r="AB1" s="75"/>
      <c r="AC1" s="75"/>
      <c r="AD1" s="75"/>
      <c r="AE1" s="75"/>
      <c r="AF1" s="75"/>
      <c r="AG1" s="79"/>
      <c r="AH1" s="80"/>
      <c r="AI1" s="79">
        <f>SUM(AI5:AI79)</f>
        <v>392.85</v>
      </c>
      <c r="AJ1" s="81"/>
      <c r="AK1" s="79"/>
      <c r="AL1" s="79">
        <f>SUM(AL5:AL79)</f>
        <v>0</v>
      </c>
      <c r="AM1" s="79"/>
      <c r="AN1" s="79"/>
      <c r="AO1" s="79">
        <f>SUM(AO5:AO79)</f>
        <v>0</v>
      </c>
      <c r="AP1" s="79"/>
      <c r="AQ1" s="79"/>
      <c r="AR1" s="79">
        <f>SUM(AR5:AR79)</f>
        <v>0</v>
      </c>
      <c r="AS1" s="79"/>
      <c r="AT1" s="79"/>
      <c r="AU1" s="79">
        <f>SUM(AU5:AU79)</f>
        <v>243</v>
      </c>
      <c r="AV1" s="79">
        <f>SUM(AV5:AV79)</f>
        <v>635.850000000001</v>
      </c>
      <c r="AW1" s="79"/>
      <c r="AX1" s="79"/>
      <c r="AY1" s="79"/>
      <c r="AZ1" s="79"/>
      <c r="BA1" s="82"/>
      <c r="BB1" s="79"/>
      <c r="BC1" s="79"/>
      <c r="BD1" s="79"/>
      <c r="BE1" s="79">
        <f>SUM(BE5:BE79)</f>
        <v>3647.4669</v>
      </c>
      <c r="BF1" s="79"/>
      <c r="BG1" s="79"/>
      <c r="BH1" s="79"/>
      <c r="BI1" s="80"/>
      <c r="BJ1" s="79">
        <f>SUM(BJ5:BJ79)</f>
        <v>499.6</v>
      </c>
      <c r="BK1" s="79"/>
      <c r="BL1" s="79"/>
      <c r="BM1" s="79">
        <f>SUM(BM5:BM79)</f>
        <v>10</v>
      </c>
      <c r="BN1" s="79">
        <f>SUM(BN5:BN79)</f>
        <v>4157.0669</v>
      </c>
      <c r="BO1" s="79">
        <f>SUM(BO5:BO79)</f>
        <v>4792.91690000001</v>
      </c>
    </row>
    <row r="2" s="43" customFormat="1" ht="15" spans="1:68">
      <c r="A2" s="56" t="s">
        <v>77</v>
      </c>
      <c r="B2" s="41"/>
      <c r="C2" s="41"/>
      <c r="D2" s="41"/>
      <c r="E2" s="41"/>
      <c r="F2" s="41"/>
      <c r="G2" s="83"/>
      <c r="H2" s="84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5"/>
      <c r="U2" s="85"/>
      <c r="V2" s="86"/>
      <c r="W2" s="87"/>
      <c r="X2" s="83"/>
      <c r="Y2" s="83"/>
      <c r="Z2" s="83"/>
      <c r="AA2" s="85"/>
      <c r="AB2" s="83"/>
      <c r="AC2" s="83"/>
      <c r="AD2" s="83"/>
      <c r="AE2" s="83"/>
      <c r="AF2" s="83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9"/>
      <c r="AW2" s="90" t="s">
        <v>78</v>
      </c>
      <c r="AX2" s="91"/>
      <c r="AY2" s="91"/>
      <c r="AZ2" s="91"/>
      <c r="BA2" s="92"/>
      <c r="BB2" s="91"/>
      <c r="BC2" s="91"/>
      <c r="BD2" s="91"/>
      <c r="BE2" s="91"/>
      <c r="BF2" s="91"/>
      <c r="BG2" s="91"/>
      <c r="BH2" s="91"/>
      <c r="BI2" s="93"/>
      <c r="BJ2" s="91"/>
      <c r="BK2" s="91"/>
      <c r="BL2" s="91"/>
      <c r="BM2" s="91"/>
      <c r="BN2" s="91"/>
      <c r="BO2" s="94" t="s">
        <v>171</v>
      </c>
    </row>
    <row r="3" s="43" customFormat="1" ht="15" spans="1:68">
      <c r="A3" s="95" t="s">
        <v>80</v>
      </c>
      <c r="B3" s="96"/>
      <c r="C3" s="96"/>
      <c r="D3" s="96"/>
      <c r="E3" s="96"/>
      <c r="F3" s="96"/>
      <c r="G3" s="96"/>
      <c r="H3" s="97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8"/>
      <c r="U3" s="98"/>
      <c r="V3" s="98"/>
      <c r="W3" s="99"/>
      <c r="X3" s="96"/>
      <c r="Y3" s="96"/>
      <c r="Z3" s="100" t="s">
        <v>81</v>
      </c>
      <c r="AA3" s="98"/>
      <c r="AB3" s="96"/>
      <c r="AC3" s="96"/>
      <c r="AD3" s="96"/>
      <c r="AE3" s="96"/>
      <c r="AF3" s="96"/>
      <c r="AG3" s="101" t="s">
        <v>82</v>
      </c>
      <c r="AH3" s="102"/>
      <c r="AI3" s="103"/>
      <c r="AJ3" s="104" t="s">
        <v>83</v>
      </c>
      <c r="AK3" s="105"/>
      <c r="AL3" s="106"/>
      <c r="AM3" s="104" t="s">
        <v>84</v>
      </c>
      <c r="AN3" s="105"/>
      <c r="AO3" s="106"/>
      <c r="AP3" s="101" t="s">
        <v>85</v>
      </c>
      <c r="AQ3" s="105"/>
      <c r="AR3" s="105"/>
      <c r="AS3" s="107" t="s">
        <v>86</v>
      </c>
      <c r="AT3" s="108"/>
      <c r="AU3" s="108"/>
      <c r="AV3" s="109" t="s">
        <v>134</v>
      </c>
      <c r="AW3" s="101" t="s">
        <v>88</v>
      </c>
      <c r="AX3" s="105"/>
      <c r="AY3" s="105"/>
      <c r="AZ3" s="105"/>
      <c r="BA3" s="110"/>
      <c r="BB3" s="105"/>
      <c r="BC3" s="105"/>
      <c r="BD3" s="111"/>
      <c r="BE3" s="105"/>
      <c r="BF3" s="101" t="s">
        <v>90</v>
      </c>
      <c r="BG3" s="105"/>
      <c r="BH3" s="105"/>
      <c r="BI3" s="102"/>
      <c r="BJ3" s="105"/>
      <c r="BK3" s="105" t="s">
        <v>91</v>
      </c>
      <c r="BL3" s="105"/>
      <c r="BM3" s="105"/>
      <c r="BN3" s="112" t="s">
        <v>172</v>
      </c>
      <c r="BO3" s="113"/>
    </row>
    <row r="4" s="43" customFormat="1" ht="60" spans="1:68">
      <c r="A4" s="114" t="s">
        <v>92</v>
      </c>
      <c r="B4" s="94" t="s">
        <v>93</v>
      </c>
      <c r="C4" s="94" t="s">
        <v>94</v>
      </c>
      <c r="D4" s="94" t="s">
        <v>95</v>
      </c>
      <c r="E4" s="115" t="s">
        <v>96</v>
      </c>
      <c r="F4" s="116" t="s">
        <v>97</v>
      </c>
      <c r="G4" s="115" t="s">
        <v>98</v>
      </c>
      <c r="H4" s="117" t="s">
        <v>99</v>
      </c>
      <c r="I4" s="115" t="s">
        <v>100</v>
      </c>
      <c r="J4" s="115" t="s">
        <v>101</v>
      </c>
      <c r="K4" s="115" t="s">
        <v>102</v>
      </c>
      <c r="L4" s="115" t="s">
        <v>103</v>
      </c>
      <c r="M4" s="115" t="s">
        <v>104</v>
      </c>
      <c r="N4" s="118" t="s">
        <v>105</v>
      </c>
      <c r="O4" s="94" t="s">
        <v>106</v>
      </c>
      <c r="P4" s="115" t="s">
        <v>107</v>
      </c>
      <c r="Q4" s="115" t="s">
        <v>108</v>
      </c>
      <c r="R4" s="115" t="s">
        <v>60</v>
      </c>
      <c r="S4" s="115" t="s">
        <v>109</v>
      </c>
      <c r="T4" s="114" t="s">
        <v>110</v>
      </c>
      <c r="U4" s="114" t="s">
        <v>111</v>
      </c>
      <c r="V4" s="114" t="s">
        <v>112</v>
      </c>
      <c r="W4" s="119" t="s">
        <v>113</v>
      </c>
      <c r="X4" s="94" t="s">
        <v>114</v>
      </c>
      <c r="Y4" s="115" t="s">
        <v>115</v>
      </c>
      <c r="Z4" s="115" t="s">
        <v>116</v>
      </c>
      <c r="AA4" s="116" t="s">
        <v>68</v>
      </c>
      <c r="AB4" s="116" t="s">
        <v>117</v>
      </c>
      <c r="AC4" s="116" t="s">
        <v>118</v>
      </c>
      <c r="AD4" s="115" t="s">
        <v>119</v>
      </c>
      <c r="AE4" s="115" t="s">
        <v>120</v>
      </c>
      <c r="AF4" s="120" t="s">
        <v>121</v>
      </c>
      <c r="AG4" s="112" t="s">
        <v>128</v>
      </c>
      <c r="AH4" s="121" t="s">
        <v>129</v>
      </c>
      <c r="AI4" s="122" t="s">
        <v>130</v>
      </c>
      <c r="AJ4" s="123" t="s">
        <v>131</v>
      </c>
      <c r="AK4" s="112" t="s">
        <v>129</v>
      </c>
      <c r="AL4" s="124" t="s">
        <v>130</v>
      </c>
      <c r="AM4" s="121" t="s">
        <v>132</v>
      </c>
      <c r="AN4" s="121" t="s">
        <v>74</v>
      </c>
      <c r="AO4" s="122" t="s">
        <v>75</v>
      </c>
      <c r="AP4" s="112" t="s">
        <v>131</v>
      </c>
      <c r="AQ4" s="112" t="s">
        <v>129</v>
      </c>
      <c r="AR4" s="124" t="s">
        <v>130</v>
      </c>
      <c r="AS4" s="112" t="s">
        <v>133</v>
      </c>
      <c r="AT4" s="112" t="s">
        <v>129</v>
      </c>
      <c r="AU4" s="124" t="s">
        <v>130</v>
      </c>
      <c r="AV4" s="125"/>
      <c r="AW4" s="112" t="s">
        <v>135</v>
      </c>
      <c r="AX4" s="112" t="s">
        <v>136</v>
      </c>
      <c r="AY4" s="112" t="s">
        <v>137</v>
      </c>
      <c r="AZ4" s="126" t="s">
        <v>138</v>
      </c>
      <c r="BA4" s="127" t="s">
        <v>139</v>
      </c>
      <c r="BB4" s="112" t="s">
        <v>114</v>
      </c>
      <c r="BC4" s="112" t="s">
        <v>140</v>
      </c>
      <c r="BD4" s="112" t="s">
        <v>129</v>
      </c>
      <c r="BE4" s="124" t="s">
        <v>130</v>
      </c>
      <c r="BF4" s="112" t="s">
        <v>143</v>
      </c>
      <c r="BG4" s="112" t="s">
        <v>145</v>
      </c>
      <c r="BH4" s="112" t="s">
        <v>147</v>
      </c>
      <c r="BI4" s="121" t="s">
        <v>148</v>
      </c>
      <c r="BJ4" s="124" t="s">
        <v>149</v>
      </c>
      <c r="BK4" s="112" t="s">
        <v>150</v>
      </c>
      <c r="BL4" s="112" t="s">
        <v>129</v>
      </c>
      <c r="BM4" s="124" t="s">
        <v>130</v>
      </c>
      <c r="BN4" s="128"/>
      <c r="BO4" s="113"/>
      <c r="BP4" s="43" t="s">
        <v>151</v>
      </c>
    </row>
    <row r="5" spans="1:68">
      <c r="A5" s="129" t="s">
        <v>173</v>
      </c>
      <c r="B5" s="3">
        <f t="shared" ref="B5:B68" si="0">COUNTIF(A:A,A5)</f>
        <v>1</v>
      </c>
      <c r="C5" s="3">
        <v>1</v>
      </c>
      <c r="D5" s="3"/>
      <c r="E5" s="129" t="s">
        <v>153</v>
      </c>
      <c r="F5" s="3">
        <v>202509</v>
      </c>
      <c r="G5" s="129" t="s">
        <v>174</v>
      </c>
      <c r="H5" s="129" t="s">
        <v>175</v>
      </c>
      <c r="I5" s="129" t="s">
        <v>176</v>
      </c>
      <c r="J5" s="129" t="s">
        <v>157</v>
      </c>
      <c r="K5" s="129" t="s">
        <v>177</v>
      </c>
      <c r="L5" s="129" t="s">
        <v>178</v>
      </c>
      <c r="M5" s="129"/>
      <c r="N5" s="129" t="s">
        <v>179</v>
      </c>
      <c r="O5" s="129">
        <v>1</v>
      </c>
      <c r="P5" s="129" t="s">
        <v>161</v>
      </c>
      <c r="Q5" s="129">
        <v>47.4</v>
      </c>
      <c r="R5" s="129" t="s">
        <v>180</v>
      </c>
      <c r="S5" s="129"/>
      <c r="T5" s="129" t="s">
        <v>181</v>
      </c>
      <c r="U5" s="129"/>
      <c r="V5" s="129"/>
      <c r="W5" s="129" t="s">
        <v>182</v>
      </c>
      <c r="X5" s="129" t="s">
        <v>183</v>
      </c>
      <c r="Y5" s="129" t="s">
        <v>164</v>
      </c>
      <c r="Z5" s="129" t="s">
        <v>169</v>
      </c>
      <c r="AA5" s="4" t="str">
        <f>VLOOKUP(Z5,物品明细!A:B,2,0)</f>
        <v>金属储物柜71英寸灰色</v>
      </c>
      <c r="AB5" s="3" t="str">
        <f>VLOOKUP(Z5,物品明细!A:I,9,0)</f>
        <v>188x49x14</v>
      </c>
      <c r="AC5" s="3">
        <f>VLOOKUP(Z5,物品明细!A:D,4,0)</f>
        <v>47.4</v>
      </c>
      <c r="AD5" s="3"/>
      <c r="AE5" s="129">
        <v>1</v>
      </c>
      <c r="AF5" s="3">
        <f t="shared" ref="AF5:AF68" si="1">AE5*AC5</f>
        <v>47.4</v>
      </c>
      <c r="AG5" s="3">
        <f>AE5</f>
        <v>1</v>
      </c>
      <c r="AH5" s="130">
        <v>4.85</v>
      </c>
      <c r="AI5" s="130">
        <f>AH5*AG5</f>
        <v>4.85</v>
      </c>
      <c r="AJ5" s="131"/>
      <c r="AK5" s="130"/>
      <c r="AL5" s="130"/>
      <c r="AM5" s="131"/>
      <c r="AN5" s="130"/>
      <c r="AO5" s="130"/>
      <c r="AP5" s="3"/>
      <c r="AQ5" s="132"/>
      <c r="AR5" s="130"/>
      <c r="AS5" s="3">
        <f>AE5</f>
        <v>1</v>
      </c>
      <c r="AT5" s="130">
        <v>3</v>
      </c>
      <c r="AU5" s="130">
        <f>AT58*AS5</f>
        <v>3</v>
      </c>
      <c r="AV5" s="133">
        <f t="shared" ref="AV5:AV15" si="2">AI5+AL5+AO5+AR5+AU5</f>
        <v>7.85</v>
      </c>
      <c r="AW5" s="3">
        <v>1</v>
      </c>
      <c r="AX5" s="3">
        <v>47.4</v>
      </c>
      <c r="AY5" s="3"/>
      <c r="AZ5" s="3">
        <v>50</v>
      </c>
      <c r="BA5" s="134" t="s">
        <v>182</v>
      </c>
      <c r="BB5" s="3" t="s">
        <v>183</v>
      </c>
      <c r="BC5" s="135" t="s">
        <v>164</v>
      </c>
      <c r="BD5" s="136">
        <v>46.558575</v>
      </c>
      <c r="BE5" s="135">
        <f>BD5*AW5</f>
        <v>46.558575</v>
      </c>
      <c r="BF5" s="135">
        <v>2.5</v>
      </c>
      <c r="BG5" s="135">
        <f>AZ5*0.024</f>
        <v>1.2</v>
      </c>
      <c r="BH5" s="135">
        <v>2.5</v>
      </c>
      <c r="BI5" s="135"/>
      <c r="BJ5" s="135">
        <f>SUM(BF5:BI5)</f>
        <v>6.2</v>
      </c>
      <c r="BK5" s="137"/>
      <c r="BL5" s="135"/>
      <c r="BM5" s="135"/>
      <c r="BN5" s="138">
        <f>BE5+BJ5+BM5</f>
        <v>52.758575</v>
      </c>
      <c r="BO5" s="139">
        <f>AV5+BN5</f>
        <v>60.608575</v>
      </c>
      <c r="BP5" s="43" t="s">
        <v>184</v>
      </c>
    </row>
    <row r="6" spans="1:68">
      <c r="A6" s="129" t="s">
        <v>185</v>
      </c>
      <c r="B6" s="3">
        <f t="shared" si="0"/>
        <v>1</v>
      </c>
      <c r="C6" s="3">
        <v>1</v>
      </c>
      <c r="D6" s="3"/>
      <c r="E6" s="129" t="s">
        <v>153</v>
      </c>
      <c r="F6" s="3">
        <v>202509</v>
      </c>
      <c r="G6" s="129" t="s">
        <v>174</v>
      </c>
      <c r="H6" s="129" t="s">
        <v>175</v>
      </c>
      <c r="I6" s="129" t="s">
        <v>176</v>
      </c>
      <c r="J6" s="129" t="s">
        <v>157</v>
      </c>
      <c r="K6" s="129" t="s">
        <v>186</v>
      </c>
      <c r="L6" s="129" t="s">
        <v>178</v>
      </c>
      <c r="M6" s="129"/>
      <c r="N6" s="129" t="s">
        <v>179</v>
      </c>
      <c r="O6" s="129">
        <v>1</v>
      </c>
      <c r="P6" s="129" t="s">
        <v>161</v>
      </c>
      <c r="Q6" s="129">
        <v>47.4</v>
      </c>
      <c r="R6" s="129" t="s">
        <v>180</v>
      </c>
      <c r="S6" s="129"/>
      <c r="T6" s="129" t="s">
        <v>187</v>
      </c>
      <c r="U6" s="129"/>
      <c r="V6" s="129"/>
      <c r="W6" s="129" t="s">
        <v>188</v>
      </c>
      <c r="X6" s="129" t="s">
        <v>189</v>
      </c>
      <c r="Y6" s="129" t="s">
        <v>164</v>
      </c>
      <c r="Z6" s="129" t="s">
        <v>169</v>
      </c>
      <c r="AA6" s="4" t="str">
        <f>VLOOKUP(Z6,物品明细!A:B,2,0)</f>
        <v>金属储物柜71英寸灰色</v>
      </c>
      <c r="AB6" s="3" t="str">
        <f>VLOOKUP(Z6,物品明细!A:I,9,0)</f>
        <v>188x49x14</v>
      </c>
      <c r="AC6" s="3">
        <f>VLOOKUP(Z6,物品明细!A:D,4,0)</f>
        <v>47.4</v>
      </c>
      <c r="AD6" s="3"/>
      <c r="AE6" s="129">
        <v>1</v>
      </c>
      <c r="AF6" s="3">
        <f t="shared" si="1"/>
        <v>47.4</v>
      </c>
      <c r="AG6" s="3">
        <f t="shared" ref="AG6:AG24" si="3">AE6</f>
        <v>1</v>
      </c>
      <c r="AH6" s="130">
        <v>4.85</v>
      </c>
      <c r="AI6" s="130">
        <f>AH6*AG6</f>
        <v>4.85</v>
      </c>
      <c r="AJ6" s="131"/>
      <c r="AK6" s="130"/>
      <c r="AL6" s="130"/>
      <c r="AM6" s="131"/>
      <c r="AN6" s="130"/>
      <c r="AO6" s="130"/>
      <c r="AP6" s="3"/>
      <c r="AQ6" s="132"/>
      <c r="AR6" s="130"/>
      <c r="AS6" s="3">
        <f t="shared" ref="AS6:AS24" si="4">AE6</f>
        <v>1</v>
      </c>
      <c r="AT6" s="130">
        <v>3</v>
      </c>
      <c r="AU6" s="130">
        <f t="shared" ref="AU6:AU24" si="5">AT59*AS6</f>
        <v>3</v>
      </c>
      <c r="AV6" s="133">
        <f t="shared" si="2"/>
        <v>7.85</v>
      </c>
      <c r="AW6" s="3">
        <v>1</v>
      </c>
      <c r="AX6" s="3">
        <v>47.4</v>
      </c>
      <c r="AY6" s="3"/>
      <c r="AZ6" s="3">
        <v>50</v>
      </c>
      <c r="BA6" s="134" t="s">
        <v>188</v>
      </c>
      <c r="BB6" s="3" t="s">
        <v>189</v>
      </c>
      <c r="BC6" s="135" t="s">
        <v>164</v>
      </c>
      <c r="BD6" s="136">
        <v>46.558575</v>
      </c>
      <c r="BE6" s="135">
        <f>BD6*AW6</f>
        <v>46.558575</v>
      </c>
      <c r="BF6" s="135">
        <v>2.5</v>
      </c>
      <c r="BG6" s="135">
        <f>AZ6*0.024</f>
        <v>1.2</v>
      </c>
      <c r="BH6" s="135">
        <v>2.5</v>
      </c>
      <c r="BI6" s="135"/>
      <c r="BJ6" s="135">
        <f>SUM(BF6:BI6)</f>
        <v>6.2</v>
      </c>
      <c r="BK6" s="137"/>
      <c r="BL6" s="135"/>
      <c r="BM6" s="135"/>
      <c r="BN6" s="138">
        <f t="shared" ref="BN6:BN25" si="6">BE6+BJ6+BM6</f>
        <v>52.758575</v>
      </c>
      <c r="BO6" s="139">
        <f t="shared" ref="BO6:BO24" si="7">AV6+BN6</f>
        <v>60.608575</v>
      </c>
      <c r="BP6" s="43" t="s">
        <v>184</v>
      </c>
    </row>
    <row r="7" spans="1:68">
      <c r="A7" s="129" t="s">
        <v>190</v>
      </c>
      <c r="B7" s="3">
        <f t="shared" si="0"/>
        <v>1</v>
      </c>
      <c r="C7" s="3">
        <v>1</v>
      </c>
      <c r="D7" s="3"/>
      <c r="E7" s="129" t="s">
        <v>153</v>
      </c>
      <c r="F7" s="3">
        <v>202509</v>
      </c>
      <c r="G7" s="129" t="s">
        <v>174</v>
      </c>
      <c r="H7" s="129" t="s">
        <v>175</v>
      </c>
      <c r="I7" s="129" t="s">
        <v>191</v>
      </c>
      <c r="J7" s="129" t="s">
        <v>157</v>
      </c>
      <c r="K7" s="129" t="s">
        <v>192</v>
      </c>
      <c r="L7" s="129" t="s">
        <v>178</v>
      </c>
      <c r="M7" s="129"/>
      <c r="N7" s="129" t="s">
        <v>179</v>
      </c>
      <c r="O7" s="129">
        <v>1</v>
      </c>
      <c r="P7" s="129" t="s">
        <v>161</v>
      </c>
      <c r="Q7" s="129">
        <v>47.4</v>
      </c>
      <c r="R7" s="129" t="s">
        <v>180</v>
      </c>
      <c r="S7" s="129"/>
      <c r="T7" s="129" t="s">
        <v>193</v>
      </c>
      <c r="U7" s="129"/>
      <c r="V7" s="129"/>
      <c r="W7" s="129" t="s">
        <v>194</v>
      </c>
      <c r="X7" s="129" t="s">
        <v>195</v>
      </c>
      <c r="Y7" s="129" t="s">
        <v>164</v>
      </c>
      <c r="Z7" s="129" t="s">
        <v>169</v>
      </c>
      <c r="AA7" s="4" t="str">
        <f>VLOOKUP(Z7,物品明细!A:B,2,0)</f>
        <v>金属储物柜71英寸灰色</v>
      </c>
      <c r="AB7" s="3" t="str">
        <f>VLOOKUP(Z7,物品明细!A:I,9,0)</f>
        <v>188x49x14</v>
      </c>
      <c r="AC7" s="3">
        <f>VLOOKUP(Z7,物品明细!A:D,4,0)</f>
        <v>47.4</v>
      </c>
      <c r="AD7" s="3"/>
      <c r="AE7" s="129">
        <v>1</v>
      </c>
      <c r="AF7" s="3">
        <f t="shared" si="1"/>
        <v>47.4</v>
      </c>
      <c r="AG7" s="3">
        <f t="shared" si="3"/>
        <v>1</v>
      </c>
      <c r="AH7" s="130">
        <v>4.85</v>
      </c>
      <c r="AI7" s="130">
        <f t="shared" ref="AI7:AI24" si="8">AH7*AG7</f>
        <v>4.85</v>
      </c>
      <c r="AJ7" s="131"/>
      <c r="AK7" s="130"/>
      <c r="AL7" s="130"/>
      <c r="AM7" s="131"/>
      <c r="AN7" s="130"/>
      <c r="AO7" s="130"/>
      <c r="AP7" s="3"/>
      <c r="AQ7" s="132"/>
      <c r="AR7" s="130"/>
      <c r="AS7" s="3">
        <f t="shared" si="4"/>
        <v>1</v>
      </c>
      <c r="AT7" s="130">
        <v>3</v>
      </c>
      <c r="AU7" s="130">
        <f t="shared" si="5"/>
        <v>3</v>
      </c>
      <c r="AV7" s="133">
        <f t="shared" si="2"/>
        <v>7.85</v>
      </c>
      <c r="AW7" s="3">
        <v>1</v>
      </c>
      <c r="AX7" s="3">
        <v>47.4</v>
      </c>
      <c r="AY7" s="3"/>
      <c r="AZ7" s="3">
        <v>50</v>
      </c>
      <c r="BA7" s="134" t="s">
        <v>194</v>
      </c>
      <c r="BB7" s="3" t="s">
        <v>195</v>
      </c>
      <c r="BC7" s="135" t="s">
        <v>164</v>
      </c>
      <c r="BD7" s="136">
        <v>46.558575</v>
      </c>
      <c r="BE7" s="135">
        <f t="shared" ref="BE7:BE24" si="9">BD7*AW7</f>
        <v>46.558575</v>
      </c>
      <c r="BF7" s="135">
        <v>2.5</v>
      </c>
      <c r="BG7" s="135">
        <f t="shared" ref="BG7:BG24" si="10">AZ7*0.024</f>
        <v>1.2</v>
      </c>
      <c r="BH7" s="135">
        <v>2.5</v>
      </c>
      <c r="BI7" s="135"/>
      <c r="BJ7" s="135">
        <f t="shared" ref="BJ7:BJ16" si="11">SUM(BF7:BI7)</f>
        <v>6.2</v>
      </c>
      <c r="BK7" s="137"/>
      <c r="BL7" s="135"/>
      <c r="BM7" s="135"/>
      <c r="BN7" s="138">
        <f t="shared" si="6"/>
        <v>52.758575</v>
      </c>
      <c r="BO7" s="139">
        <f t="shared" si="7"/>
        <v>60.608575</v>
      </c>
      <c r="BP7" s="43" t="s">
        <v>184</v>
      </c>
    </row>
    <row r="8" spans="1:68">
      <c r="A8" s="129" t="s">
        <v>196</v>
      </c>
      <c r="B8" s="3">
        <f t="shared" si="0"/>
        <v>1</v>
      </c>
      <c r="C8" s="3">
        <v>1</v>
      </c>
      <c r="D8" s="3"/>
      <c r="E8" s="129" t="s">
        <v>153</v>
      </c>
      <c r="F8" s="3">
        <v>202509</v>
      </c>
      <c r="G8" s="129" t="s">
        <v>175</v>
      </c>
      <c r="H8" s="129" t="s">
        <v>175</v>
      </c>
      <c r="I8" s="129" t="s">
        <v>176</v>
      </c>
      <c r="J8" s="129" t="s">
        <v>157</v>
      </c>
      <c r="K8" s="129" t="s">
        <v>197</v>
      </c>
      <c r="L8" s="129" t="s">
        <v>178</v>
      </c>
      <c r="M8" s="129"/>
      <c r="N8" s="129" t="s">
        <v>179</v>
      </c>
      <c r="O8" s="129">
        <v>1</v>
      </c>
      <c r="P8" s="129" t="s">
        <v>161</v>
      </c>
      <c r="Q8" s="129">
        <v>47.4</v>
      </c>
      <c r="R8" s="129" t="s">
        <v>180</v>
      </c>
      <c r="S8" s="129" t="s">
        <v>198</v>
      </c>
      <c r="T8" s="129" t="s">
        <v>199</v>
      </c>
      <c r="U8" s="129"/>
      <c r="V8" s="129"/>
      <c r="W8" s="129" t="s">
        <v>200</v>
      </c>
      <c r="X8" s="129" t="s">
        <v>201</v>
      </c>
      <c r="Y8" s="129" t="s">
        <v>164</v>
      </c>
      <c r="Z8" s="129" t="s">
        <v>168</v>
      </c>
      <c r="AA8" s="4" t="str">
        <f>VLOOKUP(Z8,物品明细!A:B,2,0)</f>
        <v>金属储物柜71英寸银色</v>
      </c>
      <c r="AB8" s="3" t="str">
        <f>VLOOKUP(Z8,物品明细!A:I,9,0)</f>
        <v>188x49x14</v>
      </c>
      <c r="AC8" s="3">
        <f>VLOOKUP(Z8,物品明细!A:D,4,0)</f>
        <v>47.4</v>
      </c>
      <c r="AD8" s="3"/>
      <c r="AE8" s="129">
        <v>1</v>
      </c>
      <c r="AF8" s="3">
        <f t="shared" si="1"/>
        <v>47.4</v>
      </c>
      <c r="AG8" s="3">
        <f t="shared" si="3"/>
        <v>1</v>
      </c>
      <c r="AH8" s="130">
        <v>4.85</v>
      </c>
      <c r="AI8" s="130">
        <f t="shared" si="8"/>
        <v>4.85</v>
      </c>
      <c r="AJ8" s="131"/>
      <c r="AK8" s="130"/>
      <c r="AL8" s="130"/>
      <c r="AM8" s="131"/>
      <c r="AN8" s="130"/>
      <c r="AO8" s="130"/>
      <c r="AP8" s="3"/>
      <c r="AQ8" s="132"/>
      <c r="AR8" s="130"/>
      <c r="AS8" s="3">
        <f t="shared" si="4"/>
        <v>1</v>
      </c>
      <c r="AT8" s="130">
        <v>3</v>
      </c>
      <c r="AU8" s="130">
        <f t="shared" si="5"/>
        <v>3</v>
      </c>
      <c r="AV8" s="133">
        <f t="shared" si="2"/>
        <v>7.85</v>
      </c>
      <c r="AW8" s="3">
        <v>1</v>
      </c>
      <c r="AX8" s="3">
        <v>47.4</v>
      </c>
      <c r="AY8" s="3"/>
      <c r="AZ8" s="3">
        <v>50</v>
      </c>
      <c r="BA8" s="134" t="s">
        <v>200</v>
      </c>
      <c r="BB8" s="3" t="s">
        <v>201</v>
      </c>
      <c r="BC8" s="135" t="s">
        <v>164</v>
      </c>
      <c r="BD8" s="136">
        <v>46.558575</v>
      </c>
      <c r="BE8" s="135">
        <f t="shared" si="9"/>
        <v>46.558575</v>
      </c>
      <c r="BF8" s="135">
        <v>2.5</v>
      </c>
      <c r="BG8" s="135">
        <f t="shared" si="10"/>
        <v>1.2</v>
      </c>
      <c r="BH8" s="135">
        <v>2.5</v>
      </c>
      <c r="BI8" s="135"/>
      <c r="BJ8" s="135">
        <f t="shared" si="11"/>
        <v>6.2</v>
      </c>
      <c r="BK8" s="137"/>
      <c r="BL8" s="135"/>
      <c r="BM8" s="135"/>
      <c r="BN8" s="138">
        <f t="shared" si="6"/>
        <v>52.758575</v>
      </c>
      <c r="BO8" s="139">
        <f t="shared" si="7"/>
        <v>60.608575</v>
      </c>
      <c r="BP8" s="43" t="s">
        <v>184</v>
      </c>
    </row>
    <row r="9" s="62" customFormat="1" spans="1:68">
      <c r="A9" s="140" t="s">
        <v>202</v>
      </c>
      <c r="B9" s="141">
        <f t="shared" si="0"/>
        <v>1</v>
      </c>
      <c r="C9" s="141"/>
      <c r="D9" s="141"/>
      <c r="E9" s="140" t="s">
        <v>153</v>
      </c>
      <c r="F9" s="141">
        <v>202509</v>
      </c>
      <c r="G9" s="140" t="s">
        <v>175</v>
      </c>
      <c r="H9" s="140" t="s">
        <v>175</v>
      </c>
      <c r="I9" s="140" t="s">
        <v>203</v>
      </c>
      <c r="J9" s="140" t="s">
        <v>157</v>
      </c>
      <c r="K9" s="140" t="s">
        <v>204</v>
      </c>
      <c r="L9" s="140" t="s">
        <v>178</v>
      </c>
      <c r="M9" s="140"/>
      <c r="N9" s="140" t="s">
        <v>179</v>
      </c>
      <c r="O9" s="140">
        <v>1</v>
      </c>
      <c r="P9" s="140" t="s">
        <v>161</v>
      </c>
      <c r="Q9" s="140">
        <v>47.4</v>
      </c>
      <c r="R9" s="140" t="s">
        <v>180</v>
      </c>
      <c r="S9" s="140" t="s">
        <v>198</v>
      </c>
      <c r="T9" s="140"/>
      <c r="U9" s="140"/>
      <c r="V9" s="140"/>
      <c r="W9" s="140" t="s">
        <v>205</v>
      </c>
      <c r="X9" s="140" t="s">
        <v>206</v>
      </c>
      <c r="Y9" s="140" t="s">
        <v>164</v>
      </c>
      <c r="Z9" s="140" t="s">
        <v>169</v>
      </c>
      <c r="AA9" s="142" t="str">
        <f>VLOOKUP(Z9,物品明细!A:B,2,0)</f>
        <v>金属储物柜71英寸灰色</v>
      </c>
      <c r="AB9" s="141" t="str">
        <f>VLOOKUP(Z9,物品明细!A:I,9,0)</f>
        <v>188x49x14</v>
      </c>
      <c r="AC9" s="141">
        <f>VLOOKUP(Z9,物品明细!A:D,4,0)</f>
        <v>47.4</v>
      </c>
      <c r="AD9" s="141"/>
      <c r="AE9" s="140"/>
      <c r="AF9" s="141">
        <f t="shared" si="1"/>
        <v>0</v>
      </c>
      <c r="AG9" s="141">
        <f t="shared" si="3"/>
        <v>0</v>
      </c>
      <c r="AH9" s="143">
        <v>4.85</v>
      </c>
      <c r="AI9" s="143">
        <f t="shared" si="8"/>
        <v>0</v>
      </c>
      <c r="AJ9" s="144"/>
      <c r="AK9" s="143"/>
      <c r="AL9" s="143"/>
      <c r="AM9" s="144"/>
      <c r="AN9" s="143"/>
      <c r="AO9" s="143"/>
      <c r="AP9" s="141"/>
      <c r="AQ9" s="145"/>
      <c r="AR9" s="143"/>
      <c r="AS9" s="141">
        <f t="shared" si="4"/>
        <v>0</v>
      </c>
      <c r="AT9" s="143">
        <v>3</v>
      </c>
      <c r="AU9" s="143">
        <f t="shared" si="5"/>
        <v>0</v>
      </c>
      <c r="AV9" s="143">
        <f t="shared" si="2"/>
        <v>0</v>
      </c>
      <c r="AW9" s="141"/>
      <c r="AX9" s="141"/>
      <c r="AY9" s="141"/>
      <c r="AZ9" s="141"/>
      <c r="BA9" s="146"/>
      <c r="BB9" s="141"/>
      <c r="BC9" s="147"/>
      <c r="BD9" s="148"/>
      <c r="BE9" s="147"/>
      <c r="BF9" s="147"/>
      <c r="BG9" s="147"/>
      <c r="BH9" s="147"/>
      <c r="BI9" s="147"/>
      <c r="BJ9" s="147"/>
      <c r="BK9" s="149"/>
      <c r="BL9" s="147"/>
      <c r="BM9" s="147"/>
      <c r="BN9" s="147">
        <f t="shared" si="6"/>
        <v>0</v>
      </c>
      <c r="BO9" s="150">
        <f t="shared" si="7"/>
        <v>0</v>
      </c>
      <c r="BP9" s="151" t="s">
        <v>184</v>
      </c>
    </row>
    <row r="10" spans="1:68">
      <c r="A10" s="129" t="s">
        <v>207</v>
      </c>
      <c r="B10" s="3">
        <f t="shared" si="0"/>
        <v>1</v>
      </c>
      <c r="C10" s="3">
        <v>1</v>
      </c>
      <c r="D10" s="3"/>
      <c r="E10" s="129" t="s">
        <v>153</v>
      </c>
      <c r="F10" s="3">
        <v>202509</v>
      </c>
      <c r="G10" s="129" t="s">
        <v>175</v>
      </c>
      <c r="H10" s="129" t="s">
        <v>175</v>
      </c>
      <c r="I10" s="129" t="s">
        <v>176</v>
      </c>
      <c r="J10" s="129" t="s">
        <v>157</v>
      </c>
      <c r="K10" s="129" t="s">
        <v>208</v>
      </c>
      <c r="L10" s="129" t="s">
        <v>178</v>
      </c>
      <c r="M10" s="129"/>
      <c r="N10" s="129" t="s">
        <v>179</v>
      </c>
      <c r="O10" s="129">
        <v>1</v>
      </c>
      <c r="P10" s="129" t="s">
        <v>161</v>
      </c>
      <c r="Q10" s="129">
        <v>47.4</v>
      </c>
      <c r="R10" s="129" t="s">
        <v>180</v>
      </c>
      <c r="S10" s="129" t="s">
        <v>198</v>
      </c>
      <c r="T10" s="129" t="s">
        <v>209</v>
      </c>
      <c r="U10" s="129"/>
      <c r="V10" s="129"/>
      <c r="W10" s="129" t="s">
        <v>210</v>
      </c>
      <c r="X10" s="129" t="s">
        <v>211</v>
      </c>
      <c r="Y10" s="129" t="s">
        <v>164</v>
      </c>
      <c r="Z10" s="129" t="s">
        <v>169</v>
      </c>
      <c r="AA10" s="4" t="str">
        <f>VLOOKUP(Z10,物品明细!A:B,2,0)</f>
        <v>金属储物柜71英寸灰色</v>
      </c>
      <c r="AB10" s="3" t="str">
        <f>VLOOKUP(Z10,物品明细!A:I,9,0)</f>
        <v>188x49x14</v>
      </c>
      <c r="AC10" s="3">
        <f>VLOOKUP(Z10,物品明细!A:D,4,0)</f>
        <v>47.4</v>
      </c>
      <c r="AD10" s="3"/>
      <c r="AE10" s="129">
        <v>1</v>
      </c>
      <c r="AF10" s="3">
        <f t="shared" si="1"/>
        <v>47.4</v>
      </c>
      <c r="AG10" s="3">
        <f t="shared" si="3"/>
        <v>1</v>
      </c>
      <c r="AH10" s="130">
        <v>4.85</v>
      </c>
      <c r="AI10" s="130">
        <f t="shared" si="8"/>
        <v>4.85</v>
      </c>
      <c r="AJ10" s="131"/>
      <c r="AK10" s="130"/>
      <c r="AL10" s="130"/>
      <c r="AM10" s="131"/>
      <c r="AN10" s="130"/>
      <c r="AO10" s="130"/>
      <c r="AP10" s="3"/>
      <c r="AQ10" s="132"/>
      <c r="AR10" s="130"/>
      <c r="AS10" s="3">
        <f t="shared" si="4"/>
        <v>1</v>
      </c>
      <c r="AT10" s="130">
        <v>3</v>
      </c>
      <c r="AU10" s="130">
        <f t="shared" si="5"/>
        <v>3</v>
      </c>
      <c r="AV10" s="133">
        <f t="shared" si="2"/>
        <v>7.85</v>
      </c>
      <c r="AW10" s="3">
        <v>1</v>
      </c>
      <c r="AX10" s="3">
        <v>47.4</v>
      </c>
      <c r="AY10" s="3"/>
      <c r="AZ10" s="3">
        <v>50</v>
      </c>
      <c r="BA10" s="134" t="s">
        <v>210</v>
      </c>
      <c r="BB10" s="3" t="s">
        <v>211</v>
      </c>
      <c r="BC10" s="135" t="s">
        <v>164</v>
      </c>
      <c r="BD10" s="136">
        <v>46.558575</v>
      </c>
      <c r="BE10" s="135">
        <f t="shared" si="9"/>
        <v>46.558575</v>
      </c>
      <c r="BF10" s="135">
        <v>2.5</v>
      </c>
      <c r="BG10" s="135">
        <f t="shared" si="10"/>
        <v>1.2</v>
      </c>
      <c r="BH10" s="135">
        <v>2.5</v>
      </c>
      <c r="BI10" s="135"/>
      <c r="BJ10" s="135">
        <f t="shared" si="11"/>
        <v>6.2</v>
      </c>
      <c r="BK10" s="137"/>
      <c r="BL10" s="135"/>
      <c r="BM10" s="135"/>
      <c r="BN10" s="138">
        <f t="shared" si="6"/>
        <v>52.758575</v>
      </c>
      <c r="BO10" s="139">
        <f t="shared" si="7"/>
        <v>60.608575</v>
      </c>
      <c r="BP10" s="43" t="s">
        <v>184</v>
      </c>
    </row>
    <row r="11" spans="1:68">
      <c r="A11" s="129" t="s">
        <v>212</v>
      </c>
      <c r="B11" s="3">
        <f t="shared" si="0"/>
        <v>1</v>
      </c>
      <c r="C11" s="3">
        <v>1</v>
      </c>
      <c r="D11" s="3"/>
      <c r="E11" s="129" t="s">
        <v>153</v>
      </c>
      <c r="F11" s="3">
        <v>202509</v>
      </c>
      <c r="G11" s="129" t="s">
        <v>213</v>
      </c>
      <c r="H11" s="129" t="s">
        <v>213</v>
      </c>
      <c r="I11" s="129" t="s">
        <v>176</v>
      </c>
      <c r="J11" s="129" t="s">
        <v>157</v>
      </c>
      <c r="K11" s="129" t="s">
        <v>214</v>
      </c>
      <c r="L11" s="129" t="s">
        <v>178</v>
      </c>
      <c r="M11" s="129"/>
      <c r="N11" s="129" t="s">
        <v>179</v>
      </c>
      <c r="O11" s="129">
        <v>1</v>
      </c>
      <c r="P11" s="129" t="s">
        <v>161</v>
      </c>
      <c r="Q11" s="129">
        <v>47.4</v>
      </c>
      <c r="R11" s="129" t="s">
        <v>180</v>
      </c>
      <c r="S11" s="129"/>
      <c r="T11" s="129" t="s">
        <v>215</v>
      </c>
      <c r="U11" s="129"/>
      <c r="V11" s="129"/>
      <c r="W11" s="129" t="s">
        <v>216</v>
      </c>
      <c r="X11" s="129" t="s">
        <v>217</v>
      </c>
      <c r="Y11" s="129" t="s">
        <v>164</v>
      </c>
      <c r="Z11" s="129" t="s">
        <v>169</v>
      </c>
      <c r="AA11" s="4" t="str">
        <f>VLOOKUP(Z11,物品明细!A:B,2,0)</f>
        <v>金属储物柜71英寸灰色</v>
      </c>
      <c r="AB11" s="3" t="str">
        <f>VLOOKUP(Z11,物品明细!A:I,9,0)</f>
        <v>188x49x14</v>
      </c>
      <c r="AC11" s="3">
        <f>VLOOKUP(Z11,物品明细!A:D,4,0)</f>
        <v>47.4</v>
      </c>
      <c r="AD11" s="3"/>
      <c r="AE11" s="129">
        <v>1</v>
      </c>
      <c r="AF11" s="3">
        <f t="shared" si="1"/>
        <v>47.4</v>
      </c>
      <c r="AG11" s="3">
        <f t="shared" si="3"/>
        <v>1</v>
      </c>
      <c r="AH11" s="130">
        <v>4.85</v>
      </c>
      <c r="AI11" s="130">
        <f t="shared" si="8"/>
        <v>4.85</v>
      </c>
      <c r="AJ11" s="131"/>
      <c r="AK11" s="130"/>
      <c r="AL11" s="130"/>
      <c r="AM11" s="131"/>
      <c r="AN11" s="130"/>
      <c r="AO11" s="130"/>
      <c r="AP11" s="3"/>
      <c r="AQ11" s="132"/>
      <c r="AR11" s="130"/>
      <c r="AS11" s="3">
        <f t="shared" si="4"/>
        <v>1</v>
      </c>
      <c r="AT11" s="130">
        <v>3</v>
      </c>
      <c r="AU11" s="130">
        <f t="shared" si="5"/>
        <v>3</v>
      </c>
      <c r="AV11" s="133">
        <f t="shared" si="2"/>
        <v>7.85</v>
      </c>
      <c r="AW11" s="3">
        <v>1</v>
      </c>
      <c r="AX11" s="3">
        <v>47.4</v>
      </c>
      <c r="AY11" s="3"/>
      <c r="AZ11" s="3">
        <v>50</v>
      </c>
      <c r="BA11" s="134" t="s">
        <v>216</v>
      </c>
      <c r="BB11" s="3" t="s">
        <v>217</v>
      </c>
      <c r="BC11" s="135" t="s">
        <v>164</v>
      </c>
      <c r="BD11" s="136">
        <v>46.558575</v>
      </c>
      <c r="BE11" s="135">
        <f t="shared" si="9"/>
        <v>46.558575</v>
      </c>
      <c r="BF11" s="135">
        <v>2.5</v>
      </c>
      <c r="BG11" s="135">
        <f t="shared" si="10"/>
        <v>1.2</v>
      </c>
      <c r="BH11" s="135">
        <v>2.5</v>
      </c>
      <c r="BI11" s="135"/>
      <c r="BJ11" s="135">
        <f t="shared" si="11"/>
        <v>6.2</v>
      </c>
      <c r="BK11" s="137"/>
      <c r="BL11" s="135"/>
      <c r="BM11" s="135"/>
      <c r="BN11" s="138">
        <f t="shared" si="6"/>
        <v>52.758575</v>
      </c>
      <c r="BO11" s="139">
        <f t="shared" si="7"/>
        <v>60.608575</v>
      </c>
      <c r="BP11" s="43" t="s">
        <v>184</v>
      </c>
    </row>
    <row r="12" spans="1:68">
      <c r="A12" s="129" t="s">
        <v>218</v>
      </c>
      <c r="B12" s="3">
        <f t="shared" si="0"/>
        <v>1</v>
      </c>
      <c r="C12" s="3">
        <v>1</v>
      </c>
      <c r="D12" s="3"/>
      <c r="E12" s="129" t="s">
        <v>153</v>
      </c>
      <c r="F12" s="3">
        <v>202509</v>
      </c>
      <c r="G12" s="129" t="s">
        <v>213</v>
      </c>
      <c r="H12" s="129" t="s">
        <v>213</v>
      </c>
      <c r="I12" s="129" t="s">
        <v>176</v>
      </c>
      <c r="J12" s="129" t="s">
        <v>157</v>
      </c>
      <c r="K12" s="129" t="s">
        <v>219</v>
      </c>
      <c r="L12" s="129" t="s">
        <v>178</v>
      </c>
      <c r="M12" s="129"/>
      <c r="N12" s="129" t="s">
        <v>179</v>
      </c>
      <c r="O12" s="129">
        <v>1</v>
      </c>
      <c r="P12" s="129" t="s">
        <v>161</v>
      </c>
      <c r="Q12" s="129">
        <v>47.4</v>
      </c>
      <c r="R12" s="129" t="s">
        <v>180</v>
      </c>
      <c r="S12" s="129"/>
      <c r="T12" s="129" t="s">
        <v>220</v>
      </c>
      <c r="U12" s="129"/>
      <c r="V12" s="129"/>
      <c r="W12" s="129" t="s">
        <v>221</v>
      </c>
      <c r="X12" s="129" t="s">
        <v>222</v>
      </c>
      <c r="Y12" s="129" t="s">
        <v>164</v>
      </c>
      <c r="Z12" s="129" t="s">
        <v>165</v>
      </c>
      <c r="AA12" s="4" t="str">
        <f>VLOOKUP(Z12,物品明细!A:B,2,0)</f>
        <v>金属储物柜71英寸高</v>
      </c>
      <c r="AB12" s="3" t="str">
        <f>VLOOKUP(Z12,物品明细!A:I,9,0)</f>
        <v>188x49x14</v>
      </c>
      <c r="AC12" s="3">
        <f>VLOOKUP(Z12,物品明细!A:D,4,0)</f>
        <v>47.4</v>
      </c>
      <c r="AD12" s="3"/>
      <c r="AE12" s="129">
        <v>1</v>
      </c>
      <c r="AF12" s="3">
        <f t="shared" si="1"/>
        <v>47.4</v>
      </c>
      <c r="AG12" s="3">
        <f t="shared" si="3"/>
        <v>1</v>
      </c>
      <c r="AH12" s="130">
        <v>4.85</v>
      </c>
      <c r="AI12" s="130">
        <f t="shared" si="8"/>
        <v>4.85</v>
      </c>
      <c r="AJ12" s="131"/>
      <c r="AK12" s="130"/>
      <c r="AL12" s="130"/>
      <c r="AM12" s="131"/>
      <c r="AN12" s="130"/>
      <c r="AO12" s="130"/>
      <c r="AP12" s="3"/>
      <c r="AQ12" s="132"/>
      <c r="AR12" s="130"/>
      <c r="AS12" s="3">
        <f t="shared" si="4"/>
        <v>1</v>
      </c>
      <c r="AT12" s="130">
        <v>3</v>
      </c>
      <c r="AU12" s="130">
        <f t="shared" si="5"/>
        <v>3</v>
      </c>
      <c r="AV12" s="133">
        <f t="shared" si="2"/>
        <v>7.85</v>
      </c>
      <c r="AW12" s="3">
        <v>1</v>
      </c>
      <c r="AX12" s="3">
        <v>47.4</v>
      </c>
      <c r="AY12" s="3"/>
      <c r="AZ12" s="3">
        <v>50</v>
      </c>
      <c r="BA12" s="134" t="s">
        <v>221</v>
      </c>
      <c r="BB12" s="3" t="s">
        <v>222</v>
      </c>
      <c r="BC12" s="135" t="s">
        <v>164</v>
      </c>
      <c r="BD12" s="136">
        <v>46.558575</v>
      </c>
      <c r="BE12" s="135">
        <f t="shared" si="9"/>
        <v>46.558575</v>
      </c>
      <c r="BF12" s="135">
        <v>2.5</v>
      </c>
      <c r="BG12" s="135">
        <f t="shared" si="10"/>
        <v>1.2</v>
      </c>
      <c r="BH12" s="135">
        <v>2.5</v>
      </c>
      <c r="BI12" s="135"/>
      <c r="BJ12" s="135">
        <f t="shared" si="11"/>
        <v>6.2</v>
      </c>
      <c r="BK12" s="137"/>
      <c r="BL12" s="135"/>
      <c r="BM12" s="135"/>
      <c r="BN12" s="138">
        <f t="shared" si="6"/>
        <v>52.758575</v>
      </c>
      <c r="BO12" s="139">
        <f t="shared" si="7"/>
        <v>60.608575</v>
      </c>
      <c r="BP12" s="43" t="s">
        <v>184</v>
      </c>
    </row>
    <row r="13" spans="1:68">
      <c r="A13" s="129" t="s">
        <v>223</v>
      </c>
      <c r="B13" s="3">
        <f t="shared" si="0"/>
        <v>1</v>
      </c>
      <c r="C13" s="3">
        <v>1</v>
      </c>
      <c r="D13" s="3"/>
      <c r="E13" s="129" t="s">
        <v>153</v>
      </c>
      <c r="F13" s="3">
        <v>202509</v>
      </c>
      <c r="G13" s="129" t="s">
        <v>213</v>
      </c>
      <c r="H13" s="129" t="s">
        <v>213</v>
      </c>
      <c r="I13" s="129" t="s">
        <v>176</v>
      </c>
      <c r="J13" s="129" t="s">
        <v>157</v>
      </c>
      <c r="K13" s="129" t="s">
        <v>224</v>
      </c>
      <c r="L13" s="129" t="s">
        <v>178</v>
      </c>
      <c r="M13" s="129"/>
      <c r="N13" s="129" t="s">
        <v>179</v>
      </c>
      <c r="O13" s="129">
        <v>1</v>
      </c>
      <c r="P13" s="129" t="s">
        <v>161</v>
      </c>
      <c r="Q13" s="129">
        <v>47.4</v>
      </c>
      <c r="R13" s="129" t="s">
        <v>180</v>
      </c>
      <c r="S13" s="129"/>
      <c r="T13" s="129" t="s">
        <v>225</v>
      </c>
      <c r="U13" s="129"/>
      <c r="V13" s="129"/>
      <c r="W13" s="129" t="s">
        <v>221</v>
      </c>
      <c r="X13" s="129" t="s">
        <v>222</v>
      </c>
      <c r="Y13" s="129" t="s">
        <v>164</v>
      </c>
      <c r="Z13" s="129" t="s">
        <v>165</v>
      </c>
      <c r="AA13" s="4" t="str">
        <f>VLOOKUP(Z13,物品明细!A:B,2,0)</f>
        <v>金属储物柜71英寸高</v>
      </c>
      <c r="AB13" s="3" t="str">
        <f>VLOOKUP(Z13,物品明细!A:I,9,0)</f>
        <v>188x49x14</v>
      </c>
      <c r="AC13" s="3">
        <f>VLOOKUP(Z13,物品明细!A:D,4,0)</f>
        <v>47.4</v>
      </c>
      <c r="AD13" s="3"/>
      <c r="AE13" s="129">
        <v>1</v>
      </c>
      <c r="AF13" s="3">
        <f t="shared" si="1"/>
        <v>47.4</v>
      </c>
      <c r="AG13" s="3">
        <f t="shared" si="3"/>
        <v>1</v>
      </c>
      <c r="AH13" s="130">
        <v>4.85</v>
      </c>
      <c r="AI13" s="130">
        <f t="shared" si="8"/>
        <v>4.85</v>
      </c>
      <c r="AJ13" s="131"/>
      <c r="AK13" s="130"/>
      <c r="AL13" s="130"/>
      <c r="AM13" s="131"/>
      <c r="AN13" s="130"/>
      <c r="AO13" s="130"/>
      <c r="AP13" s="3"/>
      <c r="AQ13" s="132"/>
      <c r="AR13" s="130"/>
      <c r="AS13" s="3">
        <f t="shared" si="4"/>
        <v>1</v>
      </c>
      <c r="AT13" s="130">
        <v>3</v>
      </c>
      <c r="AU13" s="130">
        <f t="shared" si="5"/>
        <v>3</v>
      </c>
      <c r="AV13" s="133">
        <f t="shared" si="2"/>
        <v>7.85</v>
      </c>
      <c r="AW13" s="3">
        <v>1</v>
      </c>
      <c r="AX13" s="3">
        <v>47.4</v>
      </c>
      <c r="AY13" s="3"/>
      <c r="AZ13" s="3">
        <v>50</v>
      </c>
      <c r="BA13" s="134" t="s">
        <v>221</v>
      </c>
      <c r="BB13" s="3" t="s">
        <v>222</v>
      </c>
      <c r="BC13" s="135" t="s">
        <v>164</v>
      </c>
      <c r="BD13" s="136">
        <v>46.558575</v>
      </c>
      <c r="BE13" s="135">
        <f t="shared" si="9"/>
        <v>46.558575</v>
      </c>
      <c r="BF13" s="135">
        <v>2.5</v>
      </c>
      <c r="BG13" s="135">
        <f t="shared" si="10"/>
        <v>1.2</v>
      </c>
      <c r="BH13" s="135">
        <v>2.5</v>
      </c>
      <c r="BI13" s="135"/>
      <c r="BJ13" s="135">
        <f t="shared" si="11"/>
        <v>6.2</v>
      </c>
      <c r="BK13" s="137"/>
      <c r="BL13" s="135"/>
      <c r="BM13" s="135"/>
      <c r="BN13" s="138">
        <f t="shared" si="6"/>
        <v>52.758575</v>
      </c>
      <c r="BO13" s="139">
        <f t="shared" si="7"/>
        <v>60.608575</v>
      </c>
      <c r="BP13" s="43" t="s">
        <v>184</v>
      </c>
    </row>
    <row r="14" spans="1:68">
      <c r="A14" s="129" t="s">
        <v>226</v>
      </c>
      <c r="B14" s="3">
        <f t="shared" si="0"/>
        <v>1</v>
      </c>
      <c r="C14" s="3">
        <v>1</v>
      </c>
      <c r="D14" s="3"/>
      <c r="E14" s="129" t="s">
        <v>153</v>
      </c>
      <c r="F14" s="3">
        <v>202509</v>
      </c>
      <c r="G14" s="129" t="s">
        <v>227</v>
      </c>
      <c r="H14" s="129" t="s">
        <v>227</v>
      </c>
      <c r="I14" s="129" t="s">
        <v>156</v>
      </c>
      <c r="J14" s="129" t="s">
        <v>157</v>
      </c>
      <c r="K14" s="129" t="s">
        <v>228</v>
      </c>
      <c r="L14" s="129" t="s">
        <v>178</v>
      </c>
      <c r="M14" s="129"/>
      <c r="N14" s="129" t="s">
        <v>179</v>
      </c>
      <c r="O14" s="129">
        <v>1</v>
      </c>
      <c r="P14" s="129" t="s">
        <v>161</v>
      </c>
      <c r="Q14" s="129">
        <v>47.4</v>
      </c>
      <c r="R14" s="129" t="s">
        <v>180</v>
      </c>
      <c r="S14" s="129" t="s">
        <v>198</v>
      </c>
      <c r="T14" s="129" t="s">
        <v>229</v>
      </c>
      <c r="U14" s="129"/>
      <c r="V14" s="129"/>
      <c r="W14" s="129" t="s">
        <v>230</v>
      </c>
      <c r="X14" s="129" t="s">
        <v>231</v>
      </c>
      <c r="Y14" s="129" t="s">
        <v>164</v>
      </c>
      <c r="Z14" s="129" t="s">
        <v>168</v>
      </c>
      <c r="AA14" s="4" t="str">
        <f>VLOOKUP(Z14,物品明细!A:B,2,0)</f>
        <v>金属储物柜71英寸银色</v>
      </c>
      <c r="AB14" s="3" t="str">
        <f>VLOOKUP(Z14,物品明细!A:I,9,0)</f>
        <v>188x49x14</v>
      </c>
      <c r="AC14" s="3">
        <f>VLOOKUP(Z14,物品明细!A:D,4,0)</f>
        <v>47.4</v>
      </c>
      <c r="AD14" s="3"/>
      <c r="AE14" s="129">
        <v>1</v>
      </c>
      <c r="AF14" s="3">
        <f t="shared" si="1"/>
        <v>47.4</v>
      </c>
      <c r="AG14" s="3">
        <f t="shared" si="3"/>
        <v>1</v>
      </c>
      <c r="AH14" s="130">
        <v>4.85</v>
      </c>
      <c r="AI14" s="130">
        <f t="shared" si="8"/>
        <v>4.85</v>
      </c>
      <c r="AJ14" s="131"/>
      <c r="AK14" s="130"/>
      <c r="AL14" s="130"/>
      <c r="AM14" s="131"/>
      <c r="AN14" s="130"/>
      <c r="AO14" s="130"/>
      <c r="AP14" s="3"/>
      <c r="AQ14" s="132"/>
      <c r="AR14" s="130"/>
      <c r="AS14" s="3">
        <f t="shared" si="4"/>
        <v>1</v>
      </c>
      <c r="AT14" s="130">
        <v>3</v>
      </c>
      <c r="AU14" s="130">
        <f t="shared" si="5"/>
        <v>3</v>
      </c>
      <c r="AV14" s="133">
        <f t="shared" si="2"/>
        <v>7.85</v>
      </c>
      <c r="AW14" s="3">
        <v>1</v>
      </c>
      <c r="AX14" s="3">
        <v>47.4</v>
      </c>
      <c r="AY14" s="3"/>
      <c r="AZ14" s="3">
        <v>50</v>
      </c>
      <c r="BA14" s="134" t="s">
        <v>230</v>
      </c>
      <c r="BB14" s="3" t="s">
        <v>231</v>
      </c>
      <c r="BC14" s="135" t="s">
        <v>164</v>
      </c>
      <c r="BD14" s="136">
        <v>46.558575</v>
      </c>
      <c r="BE14" s="135">
        <f t="shared" si="9"/>
        <v>46.558575</v>
      </c>
      <c r="BF14" s="135">
        <v>2.5</v>
      </c>
      <c r="BG14" s="135">
        <f t="shared" si="10"/>
        <v>1.2</v>
      </c>
      <c r="BH14" s="135">
        <v>2.5</v>
      </c>
      <c r="BI14" s="135"/>
      <c r="BJ14" s="135">
        <f t="shared" si="11"/>
        <v>6.2</v>
      </c>
      <c r="BK14" s="137"/>
      <c r="BL14" s="135"/>
      <c r="BM14" s="135"/>
      <c r="BN14" s="138">
        <f t="shared" si="6"/>
        <v>52.758575</v>
      </c>
      <c r="BO14" s="139">
        <f t="shared" si="7"/>
        <v>60.608575</v>
      </c>
      <c r="BP14" s="43" t="s">
        <v>184</v>
      </c>
    </row>
    <row r="15" spans="1:68">
      <c r="A15" s="129" t="s">
        <v>232</v>
      </c>
      <c r="B15" s="3">
        <f t="shared" si="0"/>
        <v>1</v>
      </c>
      <c r="C15" s="3">
        <v>1</v>
      </c>
      <c r="D15" s="3"/>
      <c r="E15" s="129" t="s">
        <v>153</v>
      </c>
      <c r="F15" s="3">
        <v>202509</v>
      </c>
      <c r="G15" s="129" t="s">
        <v>227</v>
      </c>
      <c r="H15" s="129" t="s">
        <v>227</v>
      </c>
      <c r="I15" s="129" t="s">
        <v>156</v>
      </c>
      <c r="J15" s="129" t="s">
        <v>157</v>
      </c>
      <c r="K15" s="129" t="s">
        <v>233</v>
      </c>
      <c r="L15" s="129" t="s">
        <v>178</v>
      </c>
      <c r="M15" s="129"/>
      <c r="N15" s="129" t="s">
        <v>179</v>
      </c>
      <c r="O15" s="129">
        <v>1</v>
      </c>
      <c r="P15" s="129" t="s">
        <v>161</v>
      </c>
      <c r="Q15" s="129">
        <v>47.4</v>
      </c>
      <c r="R15" s="129" t="s">
        <v>180</v>
      </c>
      <c r="S15" s="129" t="s">
        <v>198</v>
      </c>
      <c r="T15" s="129" t="s">
        <v>234</v>
      </c>
      <c r="U15" s="129"/>
      <c r="V15" s="129"/>
      <c r="W15" s="129" t="s">
        <v>235</v>
      </c>
      <c r="X15" s="129" t="s">
        <v>236</v>
      </c>
      <c r="Y15" s="129" t="s">
        <v>164</v>
      </c>
      <c r="Z15" s="129" t="s">
        <v>170</v>
      </c>
      <c r="AA15" s="4" t="str">
        <f>VLOOKUP(Z15,物品明细!A:B,2,0)</f>
        <v>德国联邦快递金属储物柜</v>
      </c>
      <c r="AB15" s="3" t="str">
        <f>VLOOKUP(Z15,物品明细!A:I,9,0)</f>
        <v>188x49x14</v>
      </c>
      <c r="AC15" s="3">
        <f>VLOOKUP(Z15,物品明细!A:D,4,0)</f>
        <v>47.4</v>
      </c>
      <c r="AD15" s="3"/>
      <c r="AE15" s="129">
        <v>1</v>
      </c>
      <c r="AF15" s="3">
        <f t="shared" si="1"/>
        <v>47.4</v>
      </c>
      <c r="AG15" s="3">
        <f t="shared" si="3"/>
        <v>1</v>
      </c>
      <c r="AH15" s="130">
        <v>4.85</v>
      </c>
      <c r="AI15" s="130">
        <f t="shared" si="8"/>
        <v>4.85</v>
      </c>
      <c r="AJ15" s="131"/>
      <c r="AK15" s="130"/>
      <c r="AL15" s="130"/>
      <c r="AM15" s="131"/>
      <c r="AN15" s="130"/>
      <c r="AO15" s="130"/>
      <c r="AP15" s="3"/>
      <c r="AQ15" s="132"/>
      <c r="AR15" s="130"/>
      <c r="AS15" s="3">
        <f t="shared" si="4"/>
        <v>1</v>
      </c>
      <c r="AT15" s="130">
        <v>3</v>
      </c>
      <c r="AU15" s="130">
        <f t="shared" si="5"/>
        <v>3</v>
      </c>
      <c r="AV15" s="133">
        <f t="shared" si="2"/>
        <v>7.85</v>
      </c>
      <c r="AW15" s="3">
        <v>1</v>
      </c>
      <c r="AX15" s="3">
        <v>47.4</v>
      </c>
      <c r="AY15" s="3"/>
      <c r="AZ15" s="3">
        <v>50</v>
      </c>
      <c r="BA15" s="134" t="s">
        <v>235</v>
      </c>
      <c r="BB15" s="3" t="s">
        <v>236</v>
      </c>
      <c r="BC15" s="135" t="s">
        <v>164</v>
      </c>
      <c r="BD15" s="136">
        <v>46.558575</v>
      </c>
      <c r="BE15" s="135">
        <f t="shared" si="9"/>
        <v>46.558575</v>
      </c>
      <c r="BF15" s="135">
        <v>2.5</v>
      </c>
      <c r="BG15" s="135">
        <f t="shared" si="10"/>
        <v>1.2</v>
      </c>
      <c r="BH15" s="135">
        <v>2.5</v>
      </c>
      <c r="BI15" s="135"/>
      <c r="BJ15" s="135">
        <f t="shared" si="11"/>
        <v>6.2</v>
      </c>
      <c r="BK15" s="137"/>
      <c r="BL15" s="135"/>
      <c r="BM15" s="135"/>
      <c r="BN15" s="138">
        <f t="shared" si="6"/>
        <v>52.758575</v>
      </c>
      <c r="BO15" s="139">
        <f t="shared" si="7"/>
        <v>60.608575</v>
      </c>
      <c r="BP15" s="43" t="s">
        <v>184</v>
      </c>
    </row>
    <row r="16" spans="1:68">
      <c r="A16" s="129" t="s">
        <v>237</v>
      </c>
      <c r="B16" s="3">
        <f t="shared" si="0"/>
        <v>1</v>
      </c>
      <c r="C16" s="3">
        <v>1</v>
      </c>
      <c r="D16" s="3"/>
      <c r="E16" s="129" t="s">
        <v>153</v>
      </c>
      <c r="F16" s="3">
        <v>202509</v>
      </c>
      <c r="G16" s="129" t="s">
        <v>227</v>
      </c>
      <c r="H16" s="129" t="s">
        <v>227</v>
      </c>
      <c r="I16" s="129" t="s">
        <v>156</v>
      </c>
      <c r="J16" s="129" t="s">
        <v>157</v>
      </c>
      <c r="K16" s="129" t="s">
        <v>238</v>
      </c>
      <c r="L16" s="129" t="s">
        <v>178</v>
      </c>
      <c r="M16" s="129"/>
      <c r="N16" s="129" t="s">
        <v>179</v>
      </c>
      <c r="O16" s="129">
        <v>1</v>
      </c>
      <c r="P16" s="129" t="s">
        <v>161</v>
      </c>
      <c r="Q16" s="129">
        <v>47.4</v>
      </c>
      <c r="R16" s="129" t="s">
        <v>180</v>
      </c>
      <c r="S16" s="129" t="s">
        <v>198</v>
      </c>
      <c r="T16" s="129" t="s">
        <v>239</v>
      </c>
      <c r="U16" s="129"/>
      <c r="V16" s="129"/>
      <c r="W16" s="129" t="s">
        <v>240</v>
      </c>
      <c r="X16" s="129" t="s">
        <v>241</v>
      </c>
      <c r="Y16" s="129" t="s">
        <v>164</v>
      </c>
      <c r="Z16" s="129" t="s">
        <v>165</v>
      </c>
      <c r="AA16" s="4" t="str">
        <f>VLOOKUP(Z16,物品明细!A:B,2,0)</f>
        <v>金属储物柜71英寸高</v>
      </c>
      <c r="AB16" s="3" t="str">
        <f>VLOOKUP(Z16,物品明细!A:I,9,0)</f>
        <v>188x49x14</v>
      </c>
      <c r="AC16" s="3">
        <f>VLOOKUP(Z16,物品明细!A:D,4,0)</f>
        <v>47.4</v>
      </c>
      <c r="AD16" s="3"/>
      <c r="AE16" s="129">
        <v>1</v>
      </c>
      <c r="AF16" s="3">
        <f t="shared" si="1"/>
        <v>47.4</v>
      </c>
      <c r="AG16" s="3">
        <f t="shared" si="3"/>
        <v>1</v>
      </c>
      <c r="AH16" s="130">
        <v>4.85</v>
      </c>
      <c r="AI16" s="130">
        <f t="shared" si="8"/>
        <v>4.85</v>
      </c>
      <c r="AJ16" s="131"/>
      <c r="AK16" s="130"/>
      <c r="AL16" s="130"/>
      <c r="AM16" s="131"/>
      <c r="AN16" s="130"/>
      <c r="AO16" s="130"/>
      <c r="AP16" s="3"/>
      <c r="AQ16" s="132"/>
      <c r="AR16" s="130"/>
      <c r="AS16" s="3">
        <f t="shared" si="4"/>
        <v>1</v>
      </c>
      <c r="AT16" s="130">
        <v>3</v>
      </c>
      <c r="AU16" s="130">
        <f t="shared" si="5"/>
        <v>3</v>
      </c>
      <c r="AV16" s="133">
        <f t="shared" ref="AV16:AV25" si="12">AI16+AL16+AO16+AR16+AU16</f>
        <v>7.85</v>
      </c>
      <c r="AW16" s="3">
        <v>1</v>
      </c>
      <c r="AX16" s="3">
        <v>47.4</v>
      </c>
      <c r="AY16" s="3"/>
      <c r="AZ16" s="3">
        <v>50</v>
      </c>
      <c r="BA16" s="134" t="s">
        <v>240</v>
      </c>
      <c r="BB16" s="3" t="s">
        <v>241</v>
      </c>
      <c r="BC16" s="135" t="s">
        <v>164</v>
      </c>
      <c r="BD16" s="136">
        <v>46.558575</v>
      </c>
      <c r="BE16" s="135">
        <f t="shared" si="9"/>
        <v>46.558575</v>
      </c>
      <c r="BF16" s="135">
        <v>2.5</v>
      </c>
      <c r="BG16" s="135">
        <f t="shared" si="10"/>
        <v>1.2</v>
      </c>
      <c r="BH16" s="135">
        <v>2.5</v>
      </c>
      <c r="BI16" s="135"/>
      <c r="BJ16" s="135">
        <f t="shared" si="11"/>
        <v>6.2</v>
      </c>
      <c r="BK16" s="137"/>
      <c r="BL16" s="135"/>
      <c r="BM16" s="135"/>
      <c r="BN16" s="138">
        <f t="shared" si="6"/>
        <v>52.758575</v>
      </c>
      <c r="BO16" s="139">
        <f t="shared" si="7"/>
        <v>60.608575</v>
      </c>
      <c r="BP16" s="43" t="s">
        <v>184</v>
      </c>
    </row>
    <row r="17" spans="1:68">
      <c r="A17" s="129" t="s">
        <v>242</v>
      </c>
      <c r="B17" s="3">
        <f t="shared" si="0"/>
        <v>1</v>
      </c>
      <c r="C17" s="3">
        <v>1</v>
      </c>
      <c r="D17" s="3"/>
      <c r="E17" s="129" t="s">
        <v>153</v>
      </c>
      <c r="F17" s="3">
        <v>202509</v>
      </c>
      <c r="G17" s="129" t="s">
        <v>227</v>
      </c>
      <c r="H17" s="129" t="s">
        <v>227</v>
      </c>
      <c r="I17" s="129" t="s">
        <v>156</v>
      </c>
      <c r="J17" s="129" t="s">
        <v>157</v>
      </c>
      <c r="K17" s="129" t="s">
        <v>243</v>
      </c>
      <c r="L17" s="129" t="s">
        <v>178</v>
      </c>
      <c r="M17" s="129"/>
      <c r="N17" s="129" t="s">
        <v>179</v>
      </c>
      <c r="O17" s="129">
        <v>1</v>
      </c>
      <c r="P17" s="129" t="s">
        <v>161</v>
      </c>
      <c r="Q17" s="129">
        <v>47.4</v>
      </c>
      <c r="R17" s="129" t="s">
        <v>244</v>
      </c>
      <c r="S17" s="129" t="s">
        <v>198</v>
      </c>
      <c r="T17" s="129" t="s">
        <v>245</v>
      </c>
      <c r="U17" s="129"/>
      <c r="V17" s="129"/>
      <c r="W17" s="129" t="s">
        <v>246</v>
      </c>
      <c r="X17" s="129" t="s">
        <v>247</v>
      </c>
      <c r="Y17" s="129" t="s">
        <v>164</v>
      </c>
      <c r="Z17" s="129" t="s">
        <v>168</v>
      </c>
      <c r="AA17" s="4" t="str">
        <f>VLOOKUP(Z17,物品明细!A:B,2,0)</f>
        <v>金属储物柜71英寸银色</v>
      </c>
      <c r="AB17" s="3" t="str">
        <f>VLOOKUP(Z17,物品明细!A:I,9,0)</f>
        <v>188x49x14</v>
      </c>
      <c r="AC17" s="3">
        <f>VLOOKUP(Z17,物品明细!A:D,4,0)</f>
        <v>47.4</v>
      </c>
      <c r="AD17" s="3"/>
      <c r="AE17" s="129">
        <v>1</v>
      </c>
      <c r="AF17" s="3">
        <f t="shared" si="1"/>
        <v>47.4</v>
      </c>
      <c r="AG17" s="3">
        <f t="shared" si="3"/>
        <v>1</v>
      </c>
      <c r="AH17" s="130">
        <v>4.85</v>
      </c>
      <c r="AI17" s="130">
        <f t="shared" si="8"/>
        <v>4.85</v>
      </c>
      <c r="AJ17" s="131"/>
      <c r="AK17" s="130"/>
      <c r="AL17" s="130"/>
      <c r="AM17" s="131"/>
      <c r="AN17" s="130"/>
      <c r="AO17" s="130"/>
      <c r="AP17" s="3"/>
      <c r="AQ17" s="132"/>
      <c r="AR17" s="130"/>
      <c r="AS17" s="3">
        <f t="shared" si="4"/>
        <v>1</v>
      </c>
      <c r="AT17" s="130">
        <v>3</v>
      </c>
      <c r="AU17" s="130">
        <f t="shared" si="5"/>
        <v>3</v>
      </c>
      <c r="AV17" s="133">
        <f t="shared" si="12"/>
        <v>7.85</v>
      </c>
      <c r="AW17" s="3">
        <v>1</v>
      </c>
      <c r="AX17" s="3">
        <v>47.4</v>
      </c>
      <c r="AY17" s="3"/>
      <c r="AZ17" s="3">
        <v>50</v>
      </c>
      <c r="BA17" s="134" t="s">
        <v>246</v>
      </c>
      <c r="BB17" s="3" t="s">
        <v>247</v>
      </c>
      <c r="BC17" s="135" t="s">
        <v>164</v>
      </c>
      <c r="BD17" s="136">
        <v>46.558575</v>
      </c>
      <c r="BE17" s="135">
        <f t="shared" si="9"/>
        <v>46.558575</v>
      </c>
      <c r="BF17" s="135">
        <v>2.5</v>
      </c>
      <c r="BG17" s="135">
        <f t="shared" si="10"/>
        <v>1.2</v>
      </c>
      <c r="BH17" s="135">
        <v>2.5</v>
      </c>
      <c r="BI17" s="135"/>
      <c r="BJ17" s="135">
        <f t="shared" ref="BJ17:BJ24" si="13">SUM(BF17:BI17)</f>
        <v>6.2</v>
      </c>
      <c r="BK17" s="137"/>
      <c r="BL17" s="135"/>
      <c r="BM17" s="135"/>
      <c r="BN17" s="138">
        <f t="shared" si="6"/>
        <v>52.758575</v>
      </c>
      <c r="BO17" s="139">
        <f t="shared" si="7"/>
        <v>60.608575</v>
      </c>
      <c r="BP17" s="43" t="s">
        <v>184</v>
      </c>
    </row>
    <row r="18" spans="1:68">
      <c r="A18" s="129" t="s">
        <v>248</v>
      </c>
      <c r="B18" s="3">
        <f t="shared" si="0"/>
        <v>1</v>
      </c>
      <c r="C18" s="3">
        <v>1</v>
      </c>
      <c r="D18" s="3"/>
      <c r="E18" s="129" t="s">
        <v>153</v>
      </c>
      <c r="F18" s="3">
        <v>202509</v>
      </c>
      <c r="G18" s="129" t="s">
        <v>249</v>
      </c>
      <c r="H18" s="129" t="s">
        <v>249</v>
      </c>
      <c r="I18" s="129" t="s">
        <v>156</v>
      </c>
      <c r="J18" s="129" t="s">
        <v>157</v>
      </c>
      <c r="K18" s="129" t="s">
        <v>250</v>
      </c>
      <c r="L18" s="129" t="s">
        <v>178</v>
      </c>
      <c r="M18" s="129"/>
      <c r="N18" s="129" t="s">
        <v>179</v>
      </c>
      <c r="O18" s="129">
        <v>1</v>
      </c>
      <c r="P18" s="129" t="s">
        <v>161</v>
      </c>
      <c r="Q18" s="129">
        <v>47.4</v>
      </c>
      <c r="R18" s="129" t="s">
        <v>180</v>
      </c>
      <c r="S18" s="129"/>
      <c r="T18" s="129" t="s">
        <v>251</v>
      </c>
      <c r="U18" s="129"/>
      <c r="V18" s="129"/>
      <c r="W18" s="129" t="s">
        <v>252</v>
      </c>
      <c r="X18" s="129" t="s">
        <v>253</v>
      </c>
      <c r="Y18" s="129" t="s">
        <v>164</v>
      </c>
      <c r="Z18" s="129" t="s">
        <v>169</v>
      </c>
      <c r="AA18" s="4" t="str">
        <f>VLOOKUP(Z18,物品明细!A:B,2,0)</f>
        <v>金属储物柜71英寸灰色</v>
      </c>
      <c r="AB18" s="3" t="str">
        <f>VLOOKUP(Z18,物品明细!A:I,9,0)</f>
        <v>188x49x14</v>
      </c>
      <c r="AC18" s="3">
        <f>VLOOKUP(Z18,物品明细!A:D,4,0)</f>
        <v>47.4</v>
      </c>
      <c r="AD18" s="3"/>
      <c r="AE18" s="129">
        <v>1</v>
      </c>
      <c r="AF18" s="3">
        <f t="shared" si="1"/>
        <v>47.4</v>
      </c>
      <c r="AG18" s="3">
        <f t="shared" si="3"/>
        <v>1</v>
      </c>
      <c r="AH18" s="130">
        <v>4.85</v>
      </c>
      <c r="AI18" s="130">
        <f t="shared" si="8"/>
        <v>4.85</v>
      </c>
      <c r="AJ18" s="131"/>
      <c r="AK18" s="130"/>
      <c r="AL18" s="130"/>
      <c r="AM18" s="131"/>
      <c r="AN18" s="130"/>
      <c r="AO18" s="130"/>
      <c r="AP18" s="3"/>
      <c r="AQ18" s="132"/>
      <c r="AR18" s="130"/>
      <c r="AS18" s="3">
        <f t="shared" si="4"/>
        <v>1</v>
      </c>
      <c r="AT18" s="130">
        <v>3</v>
      </c>
      <c r="AU18" s="130">
        <f t="shared" si="5"/>
        <v>3</v>
      </c>
      <c r="AV18" s="133">
        <f t="shared" si="12"/>
        <v>7.85</v>
      </c>
      <c r="AW18" s="3">
        <v>1</v>
      </c>
      <c r="AX18" s="3">
        <v>47.4</v>
      </c>
      <c r="AY18" s="3"/>
      <c r="AZ18" s="3">
        <v>50</v>
      </c>
      <c r="BA18" s="134" t="s">
        <v>252</v>
      </c>
      <c r="BB18" s="3" t="s">
        <v>253</v>
      </c>
      <c r="BC18" s="135" t="s">
        <v>164</v>
      </c>
      <c r="BD18" s="136">
        <v>46.558575</v>
      </c>
      <c r="BE18" s="135">
        <f t="shared" si="9"/>
        <v>46.558575</v>
      </c>
      <c r="BF18" s="135">
        <v>2.5</v>
      </c>
      <c r="BG18" s="135">
        <f t="shared" si="10"/>
        <v>1.2</v>
      </c>
      <c r="BH18" s="135">
        <v>2.5</v>
      </c>
      <c r="BI18" s="135"/>
      <c r="BJ18" s="135">
        <f t="shared" si="13"/>
        <v>6.2</v>
      </c>
      <c r="BK18" s="137"/>
      <c r="BL18" s="135"/>
      <c r="BM18" s="135"/>
      <c r="BN18" s="138">
        <f t="shared" si="6"/>
        <v>52.758575</v>
      </c>
      <c r="BO18" s="139">
        <f t="shared" si="7"/>
        <v>60.608575</v>
      </c>
      <c r="BP18" s="43" t="s">
        <v>184</v>
      </c>
    </row>
    <row r="19" ht="25.5" spans="1:68">
      <c r="A19" s="129" t="s">
        <v>254</v>
      </c>
      <c r="B19" s="3">
        <f t="shared" si="0"/>
        <v>1</v>
      </c>
      <c r="C19" s="3">
        <v>1</v>
      </c>
      <c r="D19" s="3"/>
      <c r="E19" s="129" t="s">
        <v>153</v>
      </c>
      <c r="F19" s="3">
        <v>202509</v>
      </c>
      <c r="G19" s="129" t="s">
        <v>255</v>
      </c>
      <c r="H19" s="129" t="s">
        <v>256</v>
      </c>
      <c r="I19" s="129" t="s">
        <v>257</v>
      </c>
      <c r="J19" s="129" t="s">
        <v>157</v>
      </c>
      <c r="K19" s="129" t="s">
        <v>258</v>
      </c>
      <c r="L19" s="129" t="s">
        <v>178</v>
      </c>
      <c r="M19" s="129"/>
      <c r="N19" s="129" t="s">
        <v>179</v>
      </c>
      <c r="O19" s="129">
        <v>2</v>
      </c>
      <c r="P19" s="129" t="s">
        <v>161</v>
      </c>
      <c r="Q19" s="129">
        <v>47.4</v>
      </c>
      <c r="R19" s="129" t="s">
        <v>244</v>
      </c>
      <c r="S19" s="129" t="s">
        <v>198</v>
      </c>
      <c r="T19" s="152" t="s">
        <v>259</v>
      </c>
      <c r="U19" s="152" t="s">
        <v>259</v>
      </c>
      <c r="V19" s="129"/>
      <c r="W19" s="129" t="s">
        <v>260</v>
      </c>
      <c r="X19" s="129" t="s">
        <v>261</v>
      </c>
      <c r="Y19" s="129" t="s">
        <v>164</v>
      </c>
      <c r="Z19" s="129" t="s">
        <v>168</v>
      </c>
      <c r="AA19" s="4" t="str">
        <f>VLOOKUP(Z19,物品明细!A:B,2,0)</f>
        <v>金属储物柜71英寸银色</v>
      </c>
      <c r="AB19" s="3" t="str">
        <f>VLOOKUP(Z19,物品明细!A:I,9,0)</f>
        <v>188x49x14</v>
      </c>
      <c r="AC19" s="3">
        <f>VLOOKUP(Z19,物品明细!A:D,4,0)</f>
        <v>47.4</v>
      </c>
      <c r="AD19" s="3"/>
      <c r="AE19" s="129">
        <v>2</v>
      </c>
      <c r="AF19" s="3">
        <f t="shared" si="1"/>
        <v>94.8</v>
      </c>
      <c r="AG19" s="3">
        <f t="shared" si="3"/>
        <v>2</v>
      </c>
      <c r="AH19" s="130">
        <v>4.85</v>
      </c>
      <c r="AI19" s="130">
        <f t="shared" si="8"/>
        <v>9.7</v>
      </c>
      <c r="AJ19" s="131"/>
      <c r="AK19" s="130"/>
      <c r="AL19" s="130">
        <f>AK19*AJ19</f>
        <v>0</v>
      </c>
      <c r="AM19" s="131"/>
      <c r="AN19" s="130"/>
      <c r="AO19" s="130"/>
      <c r="AP19" s="3"/>
      <c r="AQ19" s="132"/>
      <c r="AR19" s="130"/>
      <c r="AS19" s="3">
        <f t="shared" si="4"/>
        <v>2</v>
      </c>
      <c r="AT19" s="130">
        <v>3</v>
      </c>
      <c r="AU19" s="130">
        <f t="shared" si="5"/>
        <v>6</v>
      </c>
      <c r="AV19" s="133">
        <f t="shared" si="12"/>
        <v>15.7</v>
      </c>
      <c r="AW19" s="3">
        <v>1</v>
      </c>
      <c r="AX19" s="3">
        <v>47.4</v>
      </c>
      <c r="AY19" s="3"/>
      <c r="AZ19" s="3">
        <v>100</v>
      </c>
      <c r="BA19" s="134" t="s">
        <v>260</v>
      </c>
      <c r="BB19" s="3" t="s">
        <v>261</v>
      </c>
      <c r="BC19" s="135" t="s">
        <v>164</v>
      </c>
      <c r="BD19" s="136">
        <v>78.354675</v>
      </c>
      <c r="BE19" s="135">
        <f t="shared" si="9"/>
        <v>78.354675</v>
      </c>
      <c r="BF19" s="135">
        <v>2.5</v>
      </c>
      <c r="BG19" s="135">
        <f t="shared" si="10"/>
        <v>2.4</v>
      </c>
      <c r="BH19" s="135">
        <v>2.5</v>
      </c>
      <c r="BI19" s="135"/>
      <c r="BJ19" s="135">
        <f t="shared" si="13"/>
        <v>7.4</v>
      </c>
      <c r="BK19" s="137"/>
      <c r="BL19" s="135"/>
      <c r="BM19" s="135"/>
      <c r="BN19" s="138">
        <f t="shared" si="6"/>
        <v>85.754675</v>
      </c>
      <c r="BO19" s="139">
        <f t="shared" si="7"/>
        <v>101.454675</v>
      </c>
      <c r="BP19" s="43" t="s">
        <v>184</v>
      </c>
    </row>
    <row r="20" spans="1:68">
      <c r="A20" s="129" t="s">
        <v>262</v>
      </c>
      <c r="B20" s="3">
        <f t="shared" si="0"/>
        <v>1</v>
      </c>
      <c r="C20" s="3">
        <v>1</v>
      </c>
      <c r="D20" s="3"/>
      <c r="E20" s="129" t="s">
        <v>153</v>
      </c>
      <c r="F20" s="3">
        <v>202509</v>
      </c>
      <c r="G20" s="129" t="s">
        <v>255</v>
      </c>
      <c r="H20" s="129" t="s">
        <v>255</v>
      </c>
      <c r="I20" s="129" t="s">
        <v>156</v>
      </c>
      <c r="J20" s="129" t="s">
        <v>157</v>
      </c>
      <c r="K20" s="129" t="s">
        <v>263</v>
      </c>
      <c r="L20" s="129" t="s">
        <v>178</v>
      </c>
      <c r="M20" s="129"/>
      <c r="N20" s="129" t="s">
        <v>179</v>
      </c>
      <c r="O20" s="129">
        <v>1</v>
      </c>
      <c r="P20" s="129" t="s">
        <v>161</v>
      </c>
      <c r="Q20" s="129">
        <v>47.4</v>
      </c>
      <c r="R20" s="129" t="s">
        <v>180</v>
      </c>
      <c r="S20" s="129" t="s">
        <v>198</v>
      </c>
      <c r="T20" s="129" t="s">
        <v>264</v>
      </c>
      <c r="U20" s="129"/>
      <c r="V20" s="129"/>
      <c r="W20" s="129" t="s">
        <v>265</v>
      </c>
      <c r="X20" s="129" t="s">
        <v>266</v>
      </c>
      <c r="Y20" s="129" t="s">
        <v>164</v>
      </c>
      <c r="Z20" s="129" t="s">
        <v>165</v>
      </c>
      <c r="AA20" s="4" t="str">
        <f>VLOOKUP(Z20,物品明细!A:B,2,0)</f>
        <v>金属储物柜71英寸高</v>
      </c>
      <c r="AB20" s="3" t="str">
        <f>VLOOKUP(Z20,物品明细!A:I,9,0)</f>
        <v>188x49x14</v>
      </c>
      <c r="AC20" s="3">
        <f>VLOOKUP(Z20,物品明细!A:D,4,0)</f>
        <v>47.4</v>
      </c>
      <c r="AD20" s="3"/>
      <c r="AE20" s="129">
        <v>1</v>
      </c>
      <c r="AF20" s="3">
        <f t="shared" si="1"/>
        <v>47.4</v>
      </c>
      <c r="AG20" s="3">
        <f t="shared" si="3"/>
        <v>1</v>
      </c>
      <c r="AH20" s="130">
        <v>4.85</v>
      </c>
      <c r="AI20" s="130">
        <f t="shared" si="8"/>
        <v>4.85</v>
      </c>
      <c r="AJ20" s="131"/>
      <c r="AK20" s="130"/>
      <c r="AL20" s="130"/>
      <c r="AM20" s="131"/>
      <c r="AN20" s="130"/>
      <c r="AO20" s="130"/>
      <c r="AP20" s="3"/>
      <c r="AQ20" s="132"/>
      <c r="AR20" s="130"/>
      <c r="AS20" s="3">
        <f t="shared" si="4"/>
        <v>1</v>
      </c>
      <c r="AT20" s="130">
        <v>3</v>
      </c>
      <c r="AU20" s="130">
        <f t="shared" si="5"/>
        <v>3</v>
      </c>
      <c r="AV20" s="133">
        <f t="shared" si="12"/>
        <v>7.85</v>
      </c>
      <c r="AW20" s="3">
        <v>1</v>
      </c>
      <c r="AX20" s="3">
        <v>47.4</v>
      </c>
      <c r="AY20" s="3"/>
      <c r="AZ20" s="3">
        <v>50</v>
      </c>
      <c r="BA20" s="134" t="s">
        <v>265</v>
      </c>
      <c r="BB20" s="3" t="s">
        <v>266</v>
      </c>
      <c r="BC20" s="135" t="s">
        <v>164</v>
      </c>
      <c r="BD20" s="136">
        <v>46.558575</v>
      </c>
      <c r="BE20" s="135">
        <f t="shared" si="9"/>
        <v>46.558575</v>
      </c>
      <c r="BF20" s="135">
        <v>2.5</v>
      </c>
      <c r="BG20" s="135">
        <f t="shared" si="10"/>
        <v>1.2</v>
      </c>
      <c r="BH20" s="135">
        <v>2.5</v>
      </c>
      <c r="BI20" s="135"/>
      <c r="BJ20" s="135">
        <f t="shared" si="13"/>
        <v>6.2</v>
      </c>
      <c r="BK20" s="137"/>
      <c r="BL20" s="135"/>
      <c r="BM20" s="135"/>
      <c r="BN20" s="138">
        <f t="shared" si="6"/>
        <v>52.758575</v>
      </c>
      <c r="BO20" s="139">
        <f t="shared" si="7"/>
        <v>60.608575</v>
      </c>
      <c r="BP20" s="43" t="s">
        <v>184</v>
      </c>
    </row>
    <row r="21" spans="1:68">
      <c r="A21" s="129" t="s">
        <v>267</v>
      </c>
      <c r="B21" s="3">
        <f t="shared" si="0"/>
        <v>1</v>
      </c>
      <c r="C21" s="3">
        <v>1</v>
      </c>
      <c r="D21" s="3"/>
      <c r="E21" s="129" t="s">
        <v>153</v>
      </c>
      <c r="F21" s="3">
        <v>202509</v>
      </c>
      <c r="G21" s="129" t="s">
        <v>255</v>
      </c>
      <c r="H21" s="129" t="s">
        <v>255</v>
      </c>
      <c r="I21" s="129" t="s">
        <v>156</v>
      </c>
      <c r="J21" s="129" t="s">
        <v>157</v>
      </c>
      <c r="K21" s="129" t="s">
        <v>268</v>
      </c>
      <c r="L21" s="129" t="s">
        <v>178</v>
      </c>
      <c r="M21" s="129"/>
      <c r="N21" s="129" t="s">
        <v>179</v>
      </c>
      <c r="O21" s="129">
        <v>1</v>
      </c>
      <c r="P21" s="129" t="s">
        <v>161</v>
      </c>
      <c r="Q21" s="129">
        <v>47.4</v>
      </c>
      <c r="R21" s="129" t="s">
        <v>180</v>
      </c>
      <c r="S21" s="129" t="s">
        <v>198</v>
      </c>
      <c r="T21" s="129" t="s">
        <v>269</v>
      </c>
      <c r="U21" s="129"/>
      <c r="V21" s="129"/>
      <c r="W21" s="129" t="s">
        <v>252</v>
      </c>
      <c r="X21" s="129" t="s">
        <v>253</v>
      </c>
      <c r="Y21" s="129" t="s">
        <v>164</v>
      </c>
      <c r="Z21" s="129" t="s">
        <v>168</v>
      </c>
      <c r="AA21" s="4" t="str">
        <f>VLOOKUP(Z21,物品明细!A:B,2,0)</f>
        <v>金属储物柜71英寸银色</v>
      </c>
      <c r="AB21" s="3" t="str">
        <f>VLOOKUP(Z21,物品明细!A:I,9,0)</f>
        <v>188x49x14</v>
      </c>
      <c r="AC21" s="3">
        <f>VLOOKUP(Z21,物品明细!A:D,4,0)</f>
        <v>47.4</v>
      </c>
      <c r="AD21" s="3"/>
      <c r="AE21" s="129">
        <v>1</v>
      </c>
      <c r="AF21" s="3">
        <f t="shared" si="1"/>
        <v>47.4</v>
      </c>
      <c r="AG21" s="3">
        <f t="shared" si="3"/>
        <v>1</v>
      </c>
      <c r="AH21" s="130">
        <v>4.85</v>
      </c>
      <c r="AI21" s="130">
        <f t="shared" si="8"/>
        <v>4.85</v>
      </c>
      <c r="AJ21" s="131"/>
      <c r="AK21" s="130"/>
      <c r="AL21" s="130"/>
      <c r="AM21" s="131"/>
      <c r="AN21" s="130"/>
      <c r="AO21" s="130"/>
      <c r="AP21" s="3"/>
      <c r="AQ21" s="132"/>
      <c r="AR21" s="130"/>
      <c r="AS21" s="3">
        <f t="shared" si="4"/>
        <v>1</v>
      </c>
      <c r="AT21" s="130">
        <v>3</v>
      </c>
      <c r="AU21" s="130">
        <f t="shared" si="5"/>
        <v>3</v>
      </c>
      <c r="AV21" s="133">
        <f t="shared" si="12"/>
        <v>7.85</v>
      </c>
      <c r="AW21" s="3">
        <v>1</v>
      </c>
      <c r="AX21" s="3">
        <v>47.4</v>
      </c>
      <c r="AY21" s="3"/>
      <c r="AZ21" s="3">
        <v>50</v>
      </c>
      <c r="BA21" s="134" t="s">
        <v>252</v>
      </c>
      <c r="BB21" s="3" t="s">
        <v>253</v>
      </c>
      <c r="BC21" s="135" t="s">
        <v>164</v>
      </c>
      <c r="BD21" s="136">
        <v>46.558575</v>
      </c>
      <c r="BE21" s="135">
        <f t="shared" si="9"/>
        <v>46.558575</v>
      </c>
      <c r="BF21" s="135">
        <v>2.5</v>
      </c>
      <c r="BG21" s="135">
        <f t="shared" si="10"/>
        <v>1.2</v>
      </c>
      <c r="BH21" s="135">
        <v>2.5</v>
      </c>
      <c r="BI21" s="135"/>
      <c r="BJ21" s="135">
        <f t="shared" si="13"/>
        <v>6.2</v>
      </c>
      <c r="BK21" s="137"/>
      <c r="BL21" s="135"/>
      <c r="BM21" s="135"/>
      <c r="BN21" s="138">
        <f t="shared" si="6"/>
        <v>52.758575</v>
      </c>
      <c r="BO21" s="139">
        <f t="shared" si="7"/>
        <v>60.608575</v>
      </c>
      <c r="BP21" s="43" t="s">
        <v>184</v>
      </c>
    </row>
    <row r="22" spans="1:68">
      <c r="A22" s="129" t="s">
        <v>270</v>
      </c>
      <c r="B22" s="3">
        <f t="shared" si="0"/>
        <v>1</v>
      </c>
      <c r="C22" s="3">
        <v>1</v>
      </c>
      <c r="D22" s="3"/>
      <c r="E22" s="129" t="s">
        <v>153</v>
      </c>
      <c r="F22" s="3">
        <v>202509</v>
      </c>
      <c r="G22" s="129" t="s">
        <v>255</v>
      </c>
      <c r="H22" s="129" t="s">
        <v>255</v>
      </c>
      <c r="I22" s="129" t="s">
        <v>156</v>
      </c>
      <c r="J22" s="129" t="s">
        <v>157</v>
      </c>
      <c r="K22" s="129" t="s">
        <v>271</v>
      </c>
      <c r="L22" s="129" t="s">
        <v>178</v>
      </c>
      <c r="M22" s="129"/>
      <c r="N22" s="129" t="s">
        <v>179</v>
      </c>
      <c r="O22" s="129">
        <v>1</v>
      </c>
      <c r="P22" s="129" t="s">
        <v>161</v>
      </c>
      <c r="Q22" s="129">
        <v>47.4</v>
      </c>
      <c r="R22" s="129" t="s">
        <v>180</v>
      </c>
      <c r="S22" s="129" t="s">
        <v>198</v>
      </c>
      <c r="T22" s="129" t="s">
        <v>272</v>
      </c>
      <c r="U22" s="129"/>
      <c r="V22" s="129"/>
      <c r="W22" s="129" t="s">
        <v>273</v>
      </c>
      <c r="X22" s="129" t="s">
        <v>274</v>
      </c>
      <c r="Y22" s="129" t="s">
        <v>164</v>
      </c>
      <c r="Z22" s="129" t="s">
        <v>170</v>
      </c>
      <c r="AA22" s="4" t="str">
        <f>VLOOKUP(Z22,物品明细!A:B,2,0)</f>
        <v>德国联邦快递金属储物柜</v>
      </c>
      <c r="AB22" s="3" t="str">
        <f>VLOOKUP(Z22,物品明细!A:I,9,0)</f>
        <v>188x49x14</v>
      </c>
      <c r="AC22" s="3">
        <f>VLOOKUP(Z22,物品明细!A:D,4,0)</f>
        <v>47.4</v>
      </c>
      <c r="AD22" s="3"/>
      <c r="AE22" s="129">
        <v>1</v>
      </c>
      <c r="AF22" s="3">
        <f t="shared" si="1"/>
        <v>47.4</v>
      </c>
      <c r="AG22" s="3">
        <f t="shared" si="3"/>
        <v>1</v>
      </c>
      <c r="AH22" s="130">
        <v>4.85</v>
      </c>
      <c r="AI22" s="130">
        <f t="shared" si="8"/>
        <v>4.85</v>
      </c>
      <c r="AJ22" s="131"/>
      <c r="AK22" s="130"/>
      <c r="AL22" s="130"/>
      <c r="AM22" s="131"/>
      <c r="AN22" s="130"/>
      <c r="AO22" s="130"/>
      <c r="AP22" s="3"/>
      <c r="AQ22" s="132"/>
      <c r="AR22" s="130"/>
      <c r="AS22" s="3">
        <f t="shared" si="4"/>
        <v>1</v>
      </c>
      <c r="AT22" s="130">
        <v>3</v>
      </c>
      <c r="AU22" s="130">
        <f t="shared" si="5"/>
        <v>3</v>
      </c>
      <c r="AV22" s="133">
        <f t="shared" si="12"/>
        <v>7.85</v>
      </c>
      <c r="AW22" s="3">
        <v>1</v>
      </c>
      <c r="AX22" s="3">
        <v>47.4</v>
      </c>
      <c r="AY22" s="3"/>
      <c r="AZ22" s="3">
        <v>50</v>
      </c>
      <c r="BA22" s="134" t="s">
        <v>273</v>
      </c>
      <c r="BB22" s="3" t="s">
        <v>274</v>
      </c>
      <c r="BC22" s="135" t="s">
        <v>164</v>
      </c>
      <c r="BD22" s="136">
        <v>46.558575</v>
      </c>
      <c r="BE22" s="135">
        <f t="shared" si="9"/>
        <v>46.558575</v>
      </c>
      <c r="BF22" s="135">
        <v>2.5</v>
      </c>
      <c r="BG22" s="135">
        <f t="shared" si="10"/>
        <v>1.2</v>
      </c>
      <c r="BH22" s="135">
        <v>2.5</v>
      </c>
      <c r="BI22" s="153">
        <v>7.8</v>
      </c>
      <c r="BJ22" s="135">
        <f t="shared" si="13"/>
        <v>14</v>
      </c>
      <c r="BK22" s="137"/>
      <c r="BL22" s="135"/>
      <c r="BM22" s="135"/>
      <c r="BN22" s="138">
        <f t="shared" si="6"/>
        <v>60.558575</v>
      </c>
      <c r="BO22" s="139">
        <f t="shared" si="7"/>
        <v>68.408575</v>
      </c>
      <c r="BP22" s="43" t="s">
        <v>184</v>
      </c>
    </row>
    <row r="23" spans="1:68">
      <c r="A23" s="129" t="s">
        <v>275</v>
      </c>
      <c r="B23" s="3">
        <f t="shared" si="0"/>
        <v>1</v>
      </c>
      <c r="C23" s="3">
        <v>1</v>
      </c>
      <c r="D23" s="3"/>
      <c r="E23" s="129" t="s">
        <v>153</v>
      </c>
      <c r="F23" s="3">
        <v>202509</v>
      </c>
      <c r="G23" s="129" t="s">
        <v>255</v>
      </c>
      <c r="H23" s="129" t="s">
        <v>255</v>
      </c>
      <c r="I23" s="129" t="s">
        <v>156</v>
      </c>
      <c r="J23" s="129" t="s">
        <v>157</v>
      </c>
      <c r="K23" s="129" t="s">
        <v>276</v>
      </c>
      <c r="L23" s="129" t="s">
        <v>178</v>
      </c>
      <c r="M23" s="129"/>
      <c r="N23" s="129" t="s">
        <v>179</v>
      </c>
      <c r="O23" s="129">
        <v>1</v>
      </c>
      <c r="P23" s="129" t="s">
        <v>161</v>
      </c>
      <c r="Q23" s="129">
        <v>47.4</v>
      </c>
      <c r="R23" s="129" t="s">
        <v>180</v>
      </c>
      <c r="S23" s="129" t="s">
        <v>198</v>
      </c>
      <c r="T23" s="129" t="s">
        <v>277</v>
      </c>
      <c r="U23" s="129"/>
      <c r="V23" s="129"/>
      <c r="W23" s="129" t="s">
        <v>278</v>
      </c>
      <c r="X23" s="129" t="s">
        <v>279</v>
      </c>
      <c r="Y23" s="129" t="s">
        <v>164</v>
      </c>
      <c r="Z23" s="129" t="s">
        <v>165</v>
      </c>
      <c r="AA23" s="4" t="str">
        <f>VLOOKUP(Z23,物品明细!A:B,2,0)</f>
        <v>金属储物柜71英寸高</v>
      </c>
      <c r="AB23" s="3" t="str">
        <f>VLOOKUP(Z23,物品明细!A:I,9,0)</f>
        <v>188x49x14</v>
      </c>
      <c r="AC23" s="3">
        <f>VLOOKUP(Z23,物品明细!A:D,4,0)</f>
        <v>47.4</v>
      </c>
      <c r="AD23" s="3"/>
      <c r="AE23" s="129">
        <v>1</v>
      </c>
      <c r="AF23" s="3">
        <f t="shared" si="1"/>
        <v>47.4</v>
      </c>
      <c r="AG23" s="3">
        <f t="shared" si="3"/>
        <v>1</v>
      </c>
      <c r="AH23" s="130">
        <v>4.85</v>
      </c>
      <c r="AI23" s="130">
        <f t="shared" si="8"/>
        <v>4.85</v>
      </c>
      <c r="AJ23" s="131"/>
      <c r="AK23" s="130"/>
      <c r="AL23" s="130"/>
      <c r="AM23" s="131"/>
      <c r="AN23" s="130"/>
      <c r="AO23" s="130"/>
      <c r="AP23" s="3"/>
      <c r="AQ23" s="132"/>
      <c r="AR23" s="130"/>
      <c r="AS23" s="3">
        <f t="shared" si="4"/>
        <v>1</v>
      </c>
      <c r="AT23" s="130">
        <v>3</v>
      </c>
      <c r="AU23" s="130">
        <f t="shared" si="5"/>
        <v>3</v>
      </c>
      <c r="AV23" s="133">
        <f t="shared" si="12"/>
        <v>7.85</v>
      </c>
      <c r="AW23" s="3">
        <v>1</v>
      </c>
      <c r="AX23" s="3">
        <v>47.4</v>
      </c>
      <c r="AY23" s="3"/>
      <c r="AZ23" s="3">
        <v>50</v>
      </c>
      <c r="BA23" s="134" t="s">
        <v>278</v>
      </c>
      <c r="BB23" s="3" t="s">
        <v>279</v>
      </c>
      <c r="BC23" s="135" t="s">
        <v>164</v>
      </c>
      <c r="BD23" s="136">
        <v>46.558575</v>
      </c>
      <c r="BE23" s="135">
        <f t="shared" si="9"/>
        <v>46.558575</v>
      </c>
      <c r="BF23" s="135">
        <v>2.5</v>
      </c>
      <c r="BG23" s="135">
        <f t="shared" si="10"/>
        <v>1.2</v>
      </c>
      <c r="BH23" s="135">
        <v>2.5</v>
      </c>
      <c r="BI23" s="135"/>
      <c r="BJ23" s="135">
        <f t="shared" si="13"/>
        <v>6.2</v>
      </c>
      <c r="BK23" s="137"/>
      <c r="BL23" s="135"/>
      <c r="BM23" s="135"/>
      <c r="BN23" s="138">
        <f t="shared" si="6"/>
        <v>52.758575</v>
      </c>
      <c r="BO23" s="139">
        <f t="shared" si="7"/>
        <v>60.608575</v>
      </c>
      <c r="BP23" s="43" t="s">
        <v>184</v>
      </c>
    </row>
    <row r="24" spans="1:68">
      <c r="A24" s="129" t="s">
        <v>280</v>
      </c>
      <c r="B24" s="3">
        <f t="shared" si="0"/>
        <v>1</v>
      </c>
      <c r="C24" s="3">
        <v>1</v>
      </c>
      <c r="D24" s="3"/>
      <c r="E24" s="129" t="s">
        <v>153</v>
      </c>
      <c r="F24" s="3">
        <v>202509</v>
      </c>
      <c r="G24" s="129" t="s">
        <v>255</v>
      </c>
      <c r="H24" s="129" t="s">
        <v>255</v>
      </c>
      <c r="I24" s="129" t="s">
        <v>156</v>
      </c>
      <c r="J24" s="129" t="s">
        <v>157</v>
      </c>
      <c r="K24" s="129" t="s">
        <v>281</v>
      </c>
      <c r="L24" s="129" t="s">
        <v>178</v>
      </c>
      <c r="M24" s="129"/>
      <c r="N24" s="129" t="s">
        <v>179</v>
      </c>
      <c r="O24" s="129">
        <v>1</v>
      </c>
      <c r="P24" s="129" t="s">
        <v>161</v>
      </c>
      <c r="Q24" s="129">
        <v>47.4</v>
      </c>
      <c r="R24" s="129" t="s">
        <v>180</v>
      </c>
      <c r="S24" s="129" t="s">
        <v>198</v>
      </c>
      <c r="T24" s="129" t="s">
        <v>282</v>
      </c>
      <c r="U24" s="129"/>
      <c r="V24" s="129"/>
      <c r="W24" s="129" t="s">
        <v>283</v>
      </c>
      <c r="X24" s="129" t="s">
        <v>284</v>
      </c>
      <c r="Y24" s="129" t="s">
        <v>164</v>
      </c>
      <c r="Z24" s="129" t="s">
        <v>165</v>
      </c>
      <c r="AA24" s="4" t="str">
        <f>VLOOKUP(Z24,物品明细!A:B,2,0)</f>
        <v>金属储物柜71英寸高</v>
      </c>
      <c r="AB24" s="3" t="str">
        <f>VLOOKUP(Z24,物品明细!A:I,9,0)</f>
        <v>188x49x14</v>
      </c>
      <c r="AC24" s="3">
        <f>VLOOKUP(Z24,物品明细!A:D,4,0)</f>
        <v>47.4</v>
      </c>
      <c r="AD24" s="3"/>
      <c r="AE24" s="129">
        <v>1</v>
      </c>
      <c r="AF24" s="3">
        <f t="shared" si="1"/>
        <v>47.4</v>
      </c>
      <c r="AG24" s="3">
        <f t="shared" si="3"/>
        <v>1</v>
      </c>
      <c r="AH24" s="130">
        <v>4.85</v>
      </c>
      <c r="AI24" s="130">
        <f t="shared" si="8"/>
        <v>4.85</v>
      </c>
      <c r="AJ24" s="131"/>
      <c r="AK24" s="130"/>
      <c r="AL24" s="130"/>
      <c r="AM24" s="131"/>
      <c r="AN24" s="130"/>
      <c r="AO24" s="130"/>
      <c r="AP24" s="3"/>
      <c r="AQ24" s="132"/>
      <c r="AR24" s="130"/>
      <c r="AS24" s="3">
        <f t="shared" si="4"/>
        <v>1</v>
      </c>
      <c r="AT24" s="130">
        <v>3</v>
      </c>
      <c r="AU24" s="130">
        <f t="shared" si="5"/>
        <v>3</v>
      </c>
      <c r="AV24" s="133">
        <f t="shared" si="12"/>
        <v>7.85</v>
      </c>
      <c r="AW24" s="3">
        <v>1</v>
      </c>
      <c r="AX24" s="3">
        <v>47.4</v>
      </c>
      <c r="AY24" s="3"/>
      <c r="AZ24" s="3">
        <v>50</v>
      </c>
      <c r="BA24" s="134" t="s">
        <v>283</v>
      </c>
      <c r="BB24" s="3" t="s">
        <v>284</v>
      </c>
      <c r="BC24" s="135" t="s">
        <v>164</v>
      </c>
      <c r="BD24" s="136">
        <v>46.558575</v>
      </c>
      <c r="BE24" s="135">
        <f t="shared" si="9"/>
        <v>46.558575</v>
      </c>
      <c r="BF24" s="135">
        <v>2.5</v>
      </c>
      <c r="BG24" s="135">
        <f t="shared" si="10"/>
        <v>1.2</v>
      </c>
      <c r="BH24" s="135">
        <v>2.5</v>
      </c>
      <c r="BI24" s="135"/>
      <c r="BJ24" s="135">
        <f t="shared" si="13"/>
        <v>6.2</v>
      </c>
      <c r="BK24" s="137"/>
      <c r="BL24" s="135"/>
      <c r="BM24" s="135"/>
      <c r="BN24" s="138">
        <f t="shared" si="6"/>
        <v>52.758575</v>
      </c>
      <c r="BO24" s="139">
        <f t="shared" si="7"/>
        <v>60.608575</v>
      </c>
      <c r="BP24" s="43" t="s">
        <v>184</v>
      </c>
    </row>
    <row r="25" spans="1:68">
      <c r="A25" s="129" t="s">
        <v>285</v>
      </c>
      <c r="B25" s="3">
        <f t="shared" si="0"/>
        <v>1</v>
      </c>
      <c r="C25" s="3">
        <v>1</v>
      </c>
      <c r="D25" s="3"/>
      <c r="E25" s="129" t="s">
        <v>153</v>
      </c>
      <c r="F25" s="3">
        <v>202509</v>
      </c>
      <c r="G25" s="129" t="s">
        <v>256</v>
      </c>
      <c r="H25" s="129" t="s">
        <v>256</v>
      </c>
      <c r="I25" s="129" t="s">
        <v>176</v>
      </c>
      <c r="J25" s="129" t="s">
        <v>157</v>
      </c>
      <c r="K25" s="129" t="s">
        <v>286</v>
      </c>
      <c r="L25" s="129" t="s">
        <v>178</v>
      </c>
      <c r="M25" s="129"/>
      <c r="N25" s="129" t="s">
        <v>179</v>
      </c>
      <c r="O25" s="129">
        <v>1</v>
      </c>
      <c r="P25" s="129" t="s">
        <v>161</v>
      </c>
      <c r="Q25" s="129">
        <v>47.4</v>
      </c>
      <c r="R25" s="129" t="s">
        <v>180</v>
      </c>
      <c r="S25" s="129"/>
      <c r="T25" s="129" t="s">
        <v>287</v>
      </c>
      <c r="U25" s="129"/>
      <c r="V25" s="129"/>
      <c r="W25" s="129" t="s">
        <v>288</v>
      </c>
      <c r="X25" s="129" t="s">
        <v>289</v>
      </c>
      <c r="Y25" s="129" t="s">
        <v>164</v>
      </c>
      <c r="Z25" s="129" t="s">
        <v>168</v>
      </c>
      <c r="AA25" s="4" t="str">
        <f>VLOOKUP(Z25,物品明细!A:B,2,0)</f>
        <v>金属储物柜71英寸银色</v>
      </c>
      <c r="AB25" s="3" t="str">
        <f>VLOOKUP(Z25,物品明细!A:I,9,0)</f>
        <v>188x49x14</v>
      </c>
      <c r="AC25" s="3">
        <f>VLOOKUP(Z25,物品明细!A:D,4,0)</f>
        <v>47.4</v>
      </c>
      <c r="AD25" s="3"/>
      <c r="AE25" s="129">
        <v>1</v>
      </c>
      <c r="AF25" s="3">
        <f t="shared" si="1"/>
        <v>47.4</v>
      </c>
      <c r="AG25" s="3">
        <f t="shared" ref="AG25:AG79" si="14">AE25</f>
        <v>1</v>
      </c>
      <c r="AH25" s="59">
        <v>4.85</v>
      </c>
      <c r="AI25" s="130">
        <f t="shared" ref="AI25:AI79" si="15">AH25*AG25</f>
        <v>4.85</v>
      </c>
      <c r="AJ25" s="131"/>
      <c r="AK25" s="130"/>
      <c r="AL25" s="130">
        <f t="shared" ref="AL25:AL79" si="16">AK25*AJ25</f>
        <v>0</v>
      </c>
      <c r="AM25" s="154"/>
      <c r="AN25" s="155"/>
      <c r="AO25" s="130">
        <f t="shared" ref="AO25:AO79" si="17">AN25*AM25</f>
        <v>0</v>
      </c>
      <c r="AP25" s="3"/>
      <c r="AQ25" s="132"/>
      <c r="AR25" s="130">
        <f t="shared" ref="AR25:AR79" si="18">AQ25*AP25</f>
        <v>0</v>
      </c>
      <c r="AS25" s="3">
        <f t="shared" ref="AS25:AS79" si="19">O25</f>
        <v>1</v>
      </c>
      <c r="AT25" s="130">
        <v>3</v>
      </c>
      <c r="AU25" s="130">
        <f t="shared" ref="AU25:AU79" si="20">AT25*AS25</f>
        <v>3</v>
      </c>
      <c r="AV25" s="133">
        <f t="shared" si="12"/>
        <v>7.85</v>
      </c>
      <c r="AW25" s="3">
        <v>1</v>
      </c>
      <c r="AX25" s="3">
        <f t="shared" ref="AX25:AX79" si="21">AF25</f>
        <v>47.4</v>
      </c>
      <c r="AY25" s="3"/>
      <c r="AZ25" s="3">
        <v>50</v>
      </c>
      <c r="BA25" s="134" t="str">
        <f t="shared" ref="BA25:BA79" si="22">W25</f>
        <v>92552</v>
      </c>
      <c r="BB25" s="3" t="str">
        <f t="shared" ref="BB25:BB79" si="23">X25</f>
        <v>Teunz</v>
      </c>
      <c r="BC25" s="135" t="str">
        <f t="shared" ref="BC25:BC79" si="24">Y25</f>
        <v>DE</v>
      </c>
      <c r="BD25" s="136">
        <v>46.558575</v>
      </c>
      <c r="BE25" s="135">
        <f t="shared" ref="BE25:BE79" si="25">AW25*BD25</f>
        <v>46.558575</v>
      </c>
      <c r="BF25" s="135">
        <v>2.5</v>
      </c>
      <c r="BG25" s="135">
        <f t="shared" ref="BG25:BG79" si="26">0.024*AZ25</f>
        <v>1.2</v>
      </c>
      <c r="BH25" s="135">
        <v>2.5</v>
      </c>
      <c r="BI25" s="135"/>
      <c r="BJ25" s="135">
        <f t="shared" ref="BJ25:BJ79" si="27">SUM(BF25:BI25)</f>
        <v>6.2</v>
      </c>
      <c r="BK25" s="137"/>
      <c r="BL25" s="135"/>
      <c r="BM25" s="135">
        <f t="shared" ref="BM25:BM79" si="28">BK25*BL25</f>
        <v>0</v>
      </c>
      <c r="BN25" s="138">
        <f t="shared" si="6"/>
        <v>52.758575</v>
      </c>
      <c r="BO25" s="156">
        <f t="shared" ref="BO25:BO79" si="29">AV25+BN25</f>
        <v>60.608575</v>
      </c>
    </row>
    <row r="26" spans="1:68">
      <c r="A26" s="129" t="s">
        <v>290</v>
      </c>
      <c r="B26" s="3">
        <f t="shared" si="0"/>
        <v>1</v>
      </c>
      <c r="C26" s="3">
        <v>1</v>
      </c>
      <c r="D26" s="3" t="s">
        <v>291</v>
      </c>
      <c r="E26" s="129" t="s">
        <v>153</v>
      </c>
      <c r="F26" s="3">
        <v>202509</v>
      </c>
      <c r="G26" s="129" t="s">
        <v>292</v>
      </c>
      <c r="H26" s="129" t="s">
        <v>292</v>
      </c>
      <c r="I26" s="129" t="s">
        <v>176</v>
      </c>
      <c r="J26" s="129" t="s">
        <v>157</v>
      </c>
      <c r="K26" s="129" t="s">
        <v>293</v>
      </c>
      <c r="L26" s="129" t="s">
        <v>178</v>
      </c>
      <c r="M26" s="129"/>
      <c r="N26" s="129" t="s">
        <v>179</v>
      </c>
      <c r="O26" s="129">
        <v>1</v>
      </c>
      <c r="P26" s="129" t="s">
        <v>161</v>
      </c>
      <c r="Q26" s="129">
        <v>47.4</v>
      </c>
      <c r="R26" s="129" t="s">
        <v>244</v>
      </c>
      <c r="S26" s="129" t="s">
        <v>198</v>
      </c>
      <c r="T26" s="129" t="s">
        <v>294</v>
      </c>
      <c r="U26" s="129"/>
      <c r="V26" s="129"/>
      <c r="W26" s="129" t="s">
        <v>295</v>
      </c>
      <c r="X26" s="129" t="s">
        <v>296</v>
      </c>
      <c r="Y26" s="129" t="s">
        <v>164</v>
      </c>
      <c r="Z26" s="129" t="s">
        <v>168</v>
      </c>
      <c r="AA26" s="4" t="str">
        <f>VLOOKUP(Z26,物品明细!A:B,2,0)</f>
        <v>金属储物柜71英寸银色</v>
      </c>
      <c r="AB26" s="3" t="str">
        <f>VLOOKUP(Z26,物品明细!A:I,9,0)</f>
        <v>188x49x14</v>
      </c>
      <c r="AC26" s="3">
        <f>VLOOKUP(Z26,物品明细!A:D,4,0)</f>
        <v>47.4</v>
      </c>
      <c r="AD26" s="3"/>
      <c r="AE26" s="129">
        <v>1</v>
      </c>
      <c r="AF26" s="3">
        <f t="shared" si="1"/>
        <v>47.4</v>
      </c>
      <c r="AG26" s="3">
        <f t="shared" si="14"/>
        <v>1</v>
      </c>
      <c r="AH26" s="59">
        <v>4.85</v>
      </c>
      <c r="AI26" s="130">
        <f t="shared" si="15"/>
        <v>4.85</v>
      </c>
      <c r="AJ26" s="131"/>
      <c r="AK26" s="130"/>
      <c r="AL26" s="130">
        <f t="shared" si="16"/>
        <v>0</v>
      </c>
      <c r="AM26" s="154"/>
      <c r="AN26" s="155"/>
      <c r="AO26" s="130">
        <f t="shared" si="17"/>
        <v>0</v>
      </c>
      <c r="AP26" s="3"/>
      <c r="AQ26" s="132"/>
      <c r="AR26" s="130">
        <f t="shared" si="18"/>
        <v>0</v>
      </c>
      <c r="AS26" s="3">
        <f t="shared" si="19"/>
        <v>1</v>
      </c>
      <c r="AT26" s="130">
        <v>3</v>
      </c>
      <c r="AU26" s="130">
        <f t="shared" si="20"/>
        <v>3</v>
      </c>
      <c r="AV26" s="133">
        <f t="shared" ref="AV11:AV42" si="30">AI26+AL26+AO26+AR26+AU26</f>
        <v>7.85</v>
      </c>
      <c r="AW26" s="3">
        <v>1</v>
      </c>
      <c r="AX26" s="3">
        <f t="shared" si="21"/>
        <v>47.4</v>
      </c>
      <c r="AY26" s="3"/>
      <c r="AZ26" s="3">
        <v>50</v>
      </c>
      <c r="BA26" s="134" t="str">
        <f t="shared" si="22"/>
        <v>79418</v>
      </c>
      <c r="BB26" s="3" t="str">
        <f t="shared" si="23"/>
        <v>schliengen</v>
      </c>
      <c r="BC26" s="135" t="str">
        <f t="shared" si="24"/>
        <v>DE</v>
      </c>
      <c r="BD26" s="136">
        <v>46.558575</v>
      </c>
      <c r="BE26" s="135">
        <f t="shared" si="25"/>
        <v>46.558575</v>
      </c>
      <c r="BF26" s="135">
        <v>2.5</v>
      </c>
      <c r="BG26" s="135">
        <f t="shared" si="26"/>
        <v>1.2</v>
      </c>
      <c r="BH26" s="135">
        <v>2.5</v>
      </c>
      <c r="BI26" s="135"/>
      <c r="BJ26" s="135">
        <f t="shared" si="27"/>
        <v>6.2</v>
      </c>
      <c r="BK26" s="137"/>
      <c r="BL26" s="135"/>
      <c r="BM26" s="135">
        <f t="shared" si="28"/>
        <v>0</v>
      </c>
      <c r="BN26" s="138">
        <f t="shared" ref="BN5:BN68" si="31">BE26+BJ26+BM26</f>
        <v>52.758575</v>
      </c>
      <c r="BO26" s="156">
        <f t="shared" si="29"/>
        <v>60.608575</v>
      </c>
    </row>
    <row r="27" spans="1:68">
      <c r="A27" s="129" t="s">
        <v>297</v>
      </c>
      <c r="B27" s="3">
        <f t="shared" si="0"/>
        <v>1</v>
      </c>
      <c r="C27" s="3">
        <v>1</v>
      </c>
      <c r="D27" s="3" t="s">
        <v>291</v>
      </c>
      <c r="E27" s="129" t="s">
        <v>153</v>
      </c>
      <c r="F27" s="3">
        <v>202509</v>
      </c>
      <c r="G27" s="129" t="s">
        <v>292</v>
      </c>
      <c r="H27" s="129" t="s">
        <v>292</v>
      </c>
      <c r="I27" s="129" t="s">
        <v>176</v>
      </c>
      <c r="J27" s="129" t="s">
        <v>157</v>
      </c>
      <c r="K27" s="129" t="s">
        <v>298</v>
      </c>
      <c r="L27" s="129" t="s">
        <v>178</v>
      </c>
      <c r="M27" s="129"/>
      <c r="N27" s="129" t="s">
        <v>179</v>
      </c>
      <c r="O27" s="129">
        <v>1</v>
      </c>
      <c r="P27" s="129" t="s">
        <v>161</v>
      </c>
      <c r="Q27" s="129">
        <v>47.4</v>
      </c>
      <c r="R27" s="129" t="s">
        <v>244</v>
      </c>
      <c r="S27" s="129" t="s">
        <v>198</v>
      </c>
      <c r="T27" s="129" t="s">
        <v>299</v>
      </c>
      <c r="U27" s="129"/>
      <c r="V27" s="129"/>
      <c r="W27" s="129" t="s">
        <v>300</v>
      </c>
      <c r="X27" s="129" t="s">
        <v>301</v>
      </c>
      <c r="Y27" s="129" t="s">
        <v>164</v>
      </c>
      <c r="Z27" s="129" t="s">
        <v>165</v>
      </c>
      <c r="AA27" s="4" t="str">
        <f>VLOOKUP(Z27,物品明细!A:B,2,0)</f>
        <v>金属储物柜71英寸高</v>
      </c>
      <c r="AB27" s="3" t="str">
        <f>VLOOKUP(Z27,物品明细!A:I,9,0)</f>
        <v>188x49x14</v>
      </c>
      <c r="AC27" s="3">
        <f>VLOOKUP(Z27,物品明细!A:D,4,0)</f>
        <v>47.4</v>
      </c>
      <c r="AD27" s="3"/>
      <c r="AE27" s="129">
        <v>1</v>
      </c>
      <c r="AF27" s="3">
        <f t="shared" si="1"/>
        <v>47.4</v>
      </c>
      <c r="AG27" s="3">
        <f t="shared" si="14"/>
        <v>1</v>
      </c>
      <c r="AH27" s="59">
        <v>4.85</v>
      </c>
      <c r="AI27" s="130">
        <f t="shared" si="15"/>
        <v>4.85</v>
      </c>
      <c r="AJ27" s="131"/>
      <c r="AK27" s="130"/>
      <c r="AL27" s="130">
        <f t="shared" si="16"/>
        <v>0</v>
      </c>
      <c r="AM27" s="154"/>
      <c r="AN27" s="155"/>
      <c r="AO27" s="130">
        <f t="shared" si="17"/>
        <v>0</v>
      </c>
      <c r="AP27" s="3"/>
      <c r="AQ27" s="132"/>
      <c r="AR27" s="130">
        <f t="shared" si="18"/>
        <v>0</v>
      </c>
      <c r="AS27" s="3">
        <f t="shared" si="19"/>
        <v>1</v>
      </c>
      <c r="AT27" s="130">
        <v>3</v>
      </c>
      <c r="AU27" s="130">
        <f t="shared" si="20"/>
        <v>3</v>
      </c>
      <c r="AV27" s="133">
        <f t="shared" si="30"/>
        <v>7.85</v>
      </c>
      <c r="AW27" s="3">
        <v>1</v>
      </c>
      <c r="AX27" s="3">
        <f t="shared" si="21"/>
        <v>47.4</v>
      </c>
      <c r="AY27" s="3"/>
      <c r="AZ27" s="3">
        <v>50</v>
      </c>
      <c r="BA27" s="134" t="str">
        <f t="shared" si="22"/>
        <v>44809</v>
      </c>
      <c r="BB27" s="3" t="str">
        <f t="shared" si="23"/>
        <v>Bochum</v>
      </c>
      <c r="BC27" s="135" t="str">
        <f t="shared" si="24"/>
        <v>DE</v>
      </c>
      <c r="BD27" s="136">
        <v>46.558575</v>
      </c>
      <c r="BE27" s="135">
        <f t="shared" si="25"/>
        <v>46.558575</v>
      </c>
      <c r="BF27" s="135">
        <v>2.5</v>
      </c>
      <c r="BG27" s="135">
        <f t="shared" si="26"/>
        <v>1.2</v>
      </c>
      <c r="BH27" s="135">
        <v>2.5</v>
      </c>
      <c r="BI27" s="135"/>
      <c r="BJ27" s="135">
        <f t="shared" si="27"/>
        <v>6.2</v>
      </c>
      <c r="BK27" s="137"/>
      <c r="BL27" s="135"/>
      <c r="BM27" s="135">
        <f t="shared" si="28"/>
        <v>0</v>
      </c>
      <c r="BN27" s="138">
        <f t="shared" si="31"/>
        <v>52.758575</v>
      </c>
      <c r="BO27" s="156">
        <f t="shared" si="29"/>
        <v>60.608575</v>
      </c>
    </row>
    <row r="28" spans="1:68">
      <c r="A28" s="129" t="s">
        <v>302</v>
      </c>
      <c r="B28" s="3">
        <f t="shared" si="0"/>
        <v>1</v>
      </c>
      <c r="C28" s="3">
        <v>1</v>
      </c>
      <c r="D28" s="3" t="s">
        <v>291</v>
      </c>
      <c r="E28" s="129" t="s">
        <v>153</v>
      </c>
      <c r="F28" s="3">
        <v>202509</v>
      </c>
      <c r="G28" s="129" t="s">
        <v>292</v>
      </c>
      <c r="H28" s="129" t="s">
        <v>292</v>
      </c>
      <c r="I28" s="129" t="s">
        <v>176</v>
      </c>
      <c r="J28" s="129" t="s">
        <v>157</v>
      </c>
      <c r="K28" s="129" t="s">
        <v>303</v>
      </c>
      <c r="L28" s="129" t="s">
        <v>178</v>
      </c>
      <c r="M28" s="129"/>
      <c r="N28" s="129" t="s">
        <v>179</v>
      </c>
      <c r="O28" s="129">
        <v>1</v>
      </c>
      <c r="P28" s="129" t="s">
        <v>161</v>
      </c>
      <c r="Q28" s="129">
        <v>47.4</v>
      </c>
      <c r="R28" s="129" t="s">
        <v>244</v>
      </c>
      <c r="S28" s="129" t="s">
        <v>198</v>
      </c>
      <c r="T28" s="129" t="s">
        <v>304</v>
      </c>
      <c r="U28" s="129"/>
      <c r="V28" s="129"/>
      <c r="W28" s="129" t="s">
        <v>305</v>
      </c>
      <c r="X28" s="129" t="s">
        <v>306</v>
      </c>
      <c r="Y28" s="129" t="s">
        <v>164</v>
      </c>
      <c r="Z28" s="129" t="s">
        <v>169</v>
      </c>
      <c r="AA28" s="4" t="str">
        <f>VLOOKUP(Z28,物品明细!A:B,2,0)</f>
        <v>金属储物柜71英寸灰色</v>
      </c>
      <c r="AB28" s="3" t="str">
        <f>VLOOKUP(Z28,物品明细!A:I,9,0)</f>
        <v>188x49x14</v>
      </c>
      <c r="AC28" s="3">
        <f>VLOOKUP(Z28,物品明细!A:D,4,0)</f>
        <v>47.4</v>
      </c>
      <c r="AD28" s="3"/>
      <c r="AE28" s="129">
        <v>1</v>
      </c>
      <c r="AF28" s="3">
        <f t="shared" si="1"/>
        <v>47.4</v>
      </c>
      <c r="AG28" s="3">
        <f t="shared" si="14"/>
        <v>1</v>
      </c>
      <c r="AH28" s="59">
        <v>4.85</v>
      </c>
      <c r="AI28" s="130">
        <f t="shared" si="15"/>
        <v>4.85</v>
      </c>
      <c r="AJ28" s="131"/>
      <c r="AK28" s="130"/>
      <c r="AL28" s="130">
        <f t="shared" si="16"/>
        <v>0</v>
      </c>
      <c r="AM28" s="154"/>
      <c r="AN28" s="155"/>
      <c r="AO28" s="130">
        <f t="shared" si="17"/>
        <v>0</v>
      </c>
      <c r="AP28" s="3"/>
      <c r="AQ28" s="132"/>
      <c r="AR28" s="130">
        <f t="shared" si="18"/>
        <v>0</v>
      </c>
      <c r="AS28" s="3">
        <f t="shared" si="19"/>
        <v>1</v>
      </c>
      <c r="AT28" s="130">
        <v>3</v>
      </c>
      <c r="AU28" s="130">
        <f t="shared" si="20"/>
        <v>3</v>
      </c>
      <c r="AV28" s="133">
        <f t="shared" si="30"/>
        <v>7.85</v>
      </c>
      <c r="AW28" s="3">
        <v>1</v>
      </c>
      <c r="AX28" s="3">
        <f t="shared" si="21"/>
        <v>47.4</v>
      </c>
      <c r="AY28" s="3"/>
      <c r="AZ28" s="3">
        <v>50</v>
      </c>
      <c r="BA28" s="134" t="str">
        <f t="shared" si="22"/>
        <v>59399</v>
      </c>
      <c r="BB28" s="3" t="str">
        <f t="shared" si="23"/>
        <v>Olfen</v>
      </c>
      <c r="BC28" s="135" t="str">
        <f t="shared" si="24"/>
        <v>DE</v>
      </c>
      <c r="BD28" s="136">
        <v>46.558575</v>
      </c>
      <c r="BE28" s="135">
        <f t="shared" si="25"/>
        <v>46.558575</v>
      </c>
      <c r="BF28" s="135">
        <v>2.5</v>
      </c>
      <c r="BG28" s="135">
        <f t="shared" si="26"/>
        <v>1.2</v>
      </c>
      <c r="BH28" s="135">
        <v>2.5</v>
      </c>
      <c r="BI28" s="135"/>
      <c r="BJ28" s="135">
        <f t="shared" si="27"/>
        <v>6.2</v>
      </c>
      <c r="BK28" s="137"/>
      <c r="BL28" s="135"/>
      <c r="BM28" s="135">
        <f t="shared" si="28"/>
        <v>0</v>
      </c>
      <c r="BN28" s="138">
        <f t="shared" si="31"/>
        <v>52.758575</v>
      </c>
      <c r="BO28" s="156">
        <f t="shared" si="29"/>
        <v>60.608575</v>
      </c>
    </row>
    <row r="29" spans="1:68">
      <c r="A29" s="129" t="s">
        <v>307</v>
      </c>
      <c r="B29" s="3">
        <f t="shared" si="0"/>
        <v>1</v>
      </c>
      <c r="C29" s="3">
        <v>1</v>
      </c>
      <c r="D29" s="3" t="s">
        <v>291</v>
      </c>
      <c r="E29" s="129" t="s">
        <v>153</v>
      </c>
      <c r="F29" s="3">
        <v>202509</v>
      </c>
      <c r="G29" s="129" t="s">
        <v>292</v>
      </c>
      <c r="H29" s="129" t="s">
        <v>292</v>
      </c>
      <c r="I29" s="129" t="s">
        <v>176</v>
      </c>
      <c r="J29" s="129" t="s">
        <v>157</v>
      </c>
      <c r="K29" s="129" t="s">
        <v>307</v>
      </c>
      <c r="L29" s="129" t="s">
        <v>178</v>
      </c>
      <c r="M29" s="129"/>
      <c r="N29" s="129" t="s">
        <v>308</v>
      </c>
      <c r="O29" s="129">
        <v>1</v>
      </c>
      <c r="P29" s="129" t="s">
        <v>161</v>
      </c>
      <c r="Q29" s="129">
        <v>47.4</v>
      </c>
      <c r="R29" s="129" t="s">
        <v>180</v>
      </c>
      <c r="S29" s="129" t="s">
        <v>198</v>
      </c>
      <c r="T29" s="129" t="s">
        <v>309</v>
      </c>
      <c r="U29" s="129"/>
      <c r="V29" s="129"/>
      <c r="W29" s="129" t="s">
        <v>310</v>
      </c>
      <c r="X29" s="129" t="s">
        <v>311</v>
      </c>
      <c r="Y29" s="129" t="s">
        <v>164</v>
      </c>
      <c r="Z29" s="129" t="s">
        <v>165</v>
      </c>
      <c r="AA29" s="4" t="str">
        <f>VLOOKUP(Z29,物品明细!A:B,2,0)</f>
        <v>金属储物柜71英寸高</v>
      </c>
      <c r="AB29" s="3" t="str">
        <f>VLOOKUP(Z29,物品明细!A:I,9,0)</f>
        <v>188x49x14</v>
      </c>
      <c r="AC29" s="3">
        <f>VLOOKUP(Z29,物品明细!A:D,4,0)</f>
        <v>47.4</v>
      </c>
      <c r="AD29" s="3"/>
      <c r="AE29" s="129">
        <v>1</v>
      </c>
      <c r="AF29" s="3">
        <f t="shared" si="1"/>
        <v>47.4</v>
      </c>
      <c r="AG29" s="3">
        <f t="shared" si="14"/>
        <v>1</v>
      </c>
      <c r="AH29" s="59">
        <v>4.85</v>
      </c>
      <c r="AI29" s="130">
        <f t="shared" si="15"/>
        <v>4.85</v>
      </c>
      <c r="AJ29" s="131"/>
      <c r="AK29" s="130"/>
      <c r="AL29" s="130">
        <f t="shared" si="16"/>
        <v>0</v>
      </c>
      <c r="AM29" s="154"/>
      <c r="AN29" s="155"/>
      <c r="AO29" s="130">
        <f t="shared" si="17"/>
        <v>0</v>
      </c>
      <c r="AP29" s="3"/>
      <c r="AQ29" s="132"/>
      <c r="AR29" s="130">
        <f t="shared" si="18"/>
        <v>0</v>
      </c>
      <c r="AS29" s="3">
        <f t="shared" si="19"/>
        <v>1</v>
      </c>
      <c r="AT29" s="130">
        <v>3</v>
      </c>
      <c r="AU29" s="130">
        <f t="shared" si="20"/>
        <v>3</v>
      </c>
      <c r="AV29" s="133">
        <f t="shared" si="30"/>
        <v>7.85</v>
      </c>
      <c r="AW29" s="3">
        <v>1</v>
      </c>
      <c r="AX29" s="3">
        <f t="shared" si="21"/>
        <v>47.4</v>
      </c>
      <c r="AY29" s="3"/>
      <c r="AZ29" s="3">
        <v>50</v>
      </c>
      <c r="BA29" s="134" t="str">
        <f t="shared" si="22"/>
        <v>71665</v>
      </c>
      <c r="BB29" s="3" t="str">
        <f t="shared" si="23"/>
        <v>Vaihingen an der Enz</v>
      </c>
      <c r="BC29" s="135" t="str">
        <f t="shared" si="24"/>
        <v>DE</v>
      </c>
      <c r="BD29" s="136">
        <v>46.558575</v>
      </c>
      <c r="BE29" s="135">
        <f t="shared" si="25"/>
        <v>46.558575</v>
      </c>
      <c r="BF29" s="135">
        <v>2.5</v>
      </c>
      <c r="BG29" s="135">
        <f t="shared" si="26"/>
        <v>1.2</v>
      </c>
      <c r="BH29" s="135">
        <v>2.5</v>
      </c>
      <c r="BI29" s="135"/>
      <c r="BJ29" s="135">
        <f t="shared" si="27"/>
        <v>6.2</v>
      </c>
      <c r="BK29" s="137"/>
      <c r="BL29" s="135"/>
      <c r="BM29" s="135">
        <f t="shared" si="28"/>
        <v>0</v>
      </c>
      <c r="BN29" s="138">
        <f t="shared" si="31"/>
        <v>52.758575</v>
      </c>
      <c r="BO29" s="156">
        <f t="shared" si="29"/>
        <v>60.608575</v>
      </c>
    </row>
    <row r="30" spans="1:68">
      <c r="A30" s="129" t="s">
        <v>312</v>
      </c>
      <c r="B30" s="3">
        <f t="shared" si="0"/>
        <v>1</v>
      </c>
      <c r="C30" s="3">
        <v>1</v>
      </c>
      <c r="D30" s="3" t="s">
        <v>291</v>
      </c>
      <c r="E30" s="129" t="s">
        <v>153</v>
      </c>
      <c r="F30" s="3">
        <v>202509</v>
      </c>
      <c r="G30" s="129" t="s">
        <v>292</v>
      </c>
      <c r="H30" s="129" t="s">
        <v>292</v>
      </c>
      <c r="I30" s="129" t="s">
        <v>176</v>
      </c>
      <c r="J30" s="129" t="s">
        <v>157</v>
      </c>
      <c r="K30" s="129" t="s">
        <v>312</v>
      </c>
      <c r="L30" s="129" t="s">
        <v>178</v>
      </c>
      <c r="M30" s="129"/>
      <c r="N30" s="129" t="s">
        <v>308</v>
      </c>
      <c r="O30" s="129">
        <v>1</v>
      </c>
      <c r="P30" s="129" t="s">
        <v>161</v>
      </c>
      <c r="Q30" s="129">
        <v>47.4</v>
      </c>
      <c r="R30" s="129" t="s">
        <v>180</v>
      </c>
      <c r="S30" s="129" t="s">
        <v>198</v>
      </c>
      <c r="T30" s="129" t="s">
        <v>313</v>
      </c>
      <c r="U30" s="129"/>
      <c r="V30" s="129"/>
      <c r="W30" s="129" t="s">
        <v>314</v>
      </c>
      <c r="X30" s="129" t="s">
        <v>315</v>
      </c>
      <c r="Y30" s="129" t="s">
        <v>164</v>
      </c>
      <c r="Z30" s="129" t="s">
        <v>169</v>
      </c>
      <c r="AA30" s="4" t="str">
        <f>VLOOKUP(Z30,物品明细!A:B,2,0)</f>
        <v>金属储物柜71英寸灰色</v>
      </c>
      <c r="AB30" s="3" t="str">
        <f>VLOOKUP(Z30,物品明细!A:I,9,0)</f>
        <v>188x49x14</v>
      </c>
      <c r="AC30" s="3">
        <f>VLOOKUP(Z30,物品明细!A:D,4,0)</f>
        <v>47.4</v>
      </c>
      <c r="AD30" s="3"/>
      <c r="AE30" s="129">
        <v>1</v>
      </c>
      <c r="AF30" s="3">
        <f t="shared" si="1"/>
        <v>47.4</v>
      </c>
      <c r="AG30" s="3">
        <f t="shared" si="14"/>
        <v>1</v>
      </c>
      <c r="AH30" s="59">
        <v>4.85</v>
      </c>
      <c r="AI30" s="130">
        <f t="shared" si="15"/>
        <v>4.85</v>
      </c>
      <c r="AJ30" s="131"/>
      <c r="AK30" s="130"/>
      <c r="AL30" s="130">
        <f t="shared" si="16"/>
        <v>0</v>
      </c>
      <c r="AM30" s="154"/>
      <c r="AN30" s="155"/>
      <c r="AO30" s="130">
        <f t="shared" si="17"/>
        <v>0</v>
      </c>
      <c r="AP30" s="3"/>
      <c r="AQ30" s="132"/>
      <c r="AR30" s="130">
        <f t="shared" si="18"/>
        <v>0</v>
      </c>
      <c r="AS30" s="3">
        <f t="shared" si="19"/>
        <v>1</v>
      </c>
      <c r="AT30" s="130">
        <v>3</v>
      </c>
      <c r="AU30" s="130">
        <f t="shared" si="20"/>
        <v>3</v>
      </c>
      <c r="AV30" s="133">
        <f t="shared" si="30"/>
        <v>7.85</v>
      </c>
      <c r="AW30" s="3">
        <v>1</v>
      </c>
      <c r="AX30" s="3">
        <f t="shared" si="21"/>
        <v>47.4</v>
      </c>
      <c r="AY30" s="3"/>
      <c r="AZ30" s="3">
        <v>50</v>
      </c>
      <c r="BA30" s="134" t="str">
        <f t="shared" si="22"/>
        <v>33609</v>
      </c>
      <c r="BB30" s="3" t="str">
        <f t="shared" si="23"/>
        <v>Bielefeld</v>
      </c>
      <c r="BC30" s="135" t="str">
        <f t="shared" si="24"/>
        <v>DE</v>
      </c>
      <c r="BD30" s="136">
        <v>46.558575</v>
      </c>
      <c r="BE30" s="135">
        <f t="shared" si="25"/>
        <v>46.558575</v>
      </c>
      <c r="BF30" s="135">
        <v>2.5</v>
      </c>
      <c r="BG30" s="135">
        <f t="shared" si="26"/>
        <v>1.2</v>
      </c>
      <c r="BH30" s="135">
        <v>2.5</v>
      </c>
      <c r="BI30" s="135"/>
      <c r="BJ30" s="135">
        <f t="shared" si="27"/>
        <v>6.2</v>
      </c>
      <c r="BK30" s="137"/>
      <c r="BL30" s="135"/>
      <c r="BM30" s="135">
        <f t="shared" si="28"/>
        <v>0</v>
      </c>
      <c r="BN30" s="138">
        <f t="shared" si="31"/>
        <v>52.758575</v>
      </c>
      <c r="BO30" s="156">
        <f t="shared" si="29"/>
        <v>60.608575</v>
      </c>
    </row>
    <row r="31" spans="1:68">
      <c r="A31" s="129" t="s">
        <v>316</v>
      </c>
      <c r="B31" s="3">
        <f t="shared" si="0"/>
        <v>1</v>
      </c>
      <c r="C31" s="3">
        <v>1</v>
      </c>
      <c r="D31" s="3" t="s">
        <v>291</v>
      </c>
      <c r="E31" s="129" t="s">
        <v>153</v>
      </c>
      <c r="F31" s="3">
        <v>202509</v>
      </c>
      <c r="G31" s="129" t="s">
        <v>292</v>
      </c>
      <c r="H31" s="129" t="s">
        <v>292</v>
      </c>
      <c r="I31" s="129" t="s">
        <v>176</v>
      </c>
      <c r="J31" s="129" t="s">
        <v>157</v>
      </c>
      <c r="K31" s="129" t="s">
        <v>316</v>
      </c>
      <c r="L31" s="129" t="s">
        <v>178</v>
      </c>
      <c r="M31" s="129"/>
      <c r="N31" s="129" t="s">
        <v>308</v>
      </c>
      <c r="O31" s="129">
        <v>1</v>
      </c>
      <c r="P31" s="129" t="s">
        <v>161</v>
      </c>
      <c r="Q31" s="129">
        <v>47.4</v>
      </c>
      <c r="R31" s="129" t="s">
        <v>180</v>
      </c>
      <c r="S31" s="129" t="s">
        <v>198</v>
      </c>
      <c r="T31" s="129" t="s">
        <v>317</v>
      </c>
      <c r="U31" s="129"/>
      <c r="V31" s="129"/>
      <c r="W31" s="129" t="s">
        <v>318</v>
      </c>
      <c r="X31" s="129" t="s">
        <v>319</v>
      </c>
      <c r="Y31" s="129" t="s">
        <v>164</v>
      </c>
      <c r="Z31" s="129" t="s">
        <v>165</v>
      </c>
      <c r="AA31" s="4" t="str">
        <f>VLOOKUP(Z31,物品明细!A:B,2,0)</f>
        <v>金属储物柜71英寸高</v>
      </c>
      <c r="AB31" s="3" t="str">
        <f>VLOOKUP(Z31,物品明细!A:I,9,0)</f>
        <v>188x49x14</v>
      </c>
      <c r="AC31" s="3">
        <f>VLOOKUP(Z31,物品明细!A:D,4,0)</f>
        <v>47.4</v>
      </c>
      <c r="AD31" s="3"/>
      <c r="AE31" s="129">
        <v>1</v>
      </c>
      <c r="AF31" s="3">
        <f t="shared" si="1"/>
        <v>47.4</v>
      </c>
      <c r="AG31" s="3">
        <f t="shared" si="14"/>
        <v>1</v>
      </c>
      <c r="AH31" s="59">
        <v>4.85</v>
      </c>
      <c r="AI31" s="130">
        <f t="shared" si="15"/>
        <v>4.85</v>
      </c>
      <c r="AJ31" s="131"/>
      <c r="AK31" s="130"/>
      <c r="AL31" s="130">
        <f t="shared" si="16"/>
        <v>0</v>
      </c>
      <c r="AM31" s="154"/>
      <c r="AN31" s="155"/>
      <c r="AO31" s="130">
        <f t="shared" si="17"/>
        <v>0</v>
      </c>
      <c r="AP31" s="3"/>
      <c r="AQ31" s="132"/>
      <c r="AR31" s="130">
        <f t="shared" si="18"/>
        <v>0</v>
      </c>
      <c r="AS31" s="3">
        <f t="shared" si="19"/>
        <v>1</v>
      </c>
      <c r="AT31" s="130">
        <v>3</v>
      </c>
      <c r="AU31" s="130">
        <f t="shared" si="20"/>
        <v>3</v>
      </c>
      <c r="AV31" s="133">
        <f t="shared" si="30"/>
        <v>7.85</v>
      </c>
      <c r="AW31" s="3">
        <v>1</v>
      </c>
      <c r="AX31" s="3">
        <f t="shared" si="21"/>
        <v>47.4</v>
      </c>
      <c r="AY31" s="3"/>
      <c r="AZ31" s="3">
        <v>50</v>
      </c>
      <c r="BA31" s="134" t="str">
        <f t="shared" si="22"/>
        <v>24963</v>
      </c>
      <c r="BB31" s="3" t="str">
        <f t="shared" si="23"/>
        <v>Tarp</v>
      </c>
      <c r="BC31" s="135" t="str">
        <f t="shared" si="24"/>
        <v>DE</v>
      </c>
      <c r="BD31" s="136">
        <v>46.558575</v>
      </c>
      <c r="BE31" s="135">
        <f t="shared" si="25"/>
        <v>46.558575</v>
      </c>
      <c r="BF31" s="135">
        <v>2.5</v>
      </c>
      <c r="BG31" s="135">
        <f t="shared" si="26"/>
        <v>1.2</v>
      </c>
      <c r="BH31" s="135">
        <v>2.5</v>
      </c>
      <c r="BI31" s="135"/>
      <c r="BJ31" s="135">
        <f t="shared" si="27"/>
        <v>6.2</v>
      </c>
      <c r="BK31" s="137"/>
      <c r="BL31" s="135"/>
      <c r="BM31" s="135">
        <f t="shared" si="28"/>
        <v>0</v>
      </c>
      <c r="BN31" s="138">
        <f t="shared" si="31"/>
        <v>52.758575</v>
      </c>
      <c r="BO31" s="156">
        <f t="shared" si="29"/>
        <v>60.608575</v>
      </c>
    </row>
    <row r="32" spans="1:68">
      <c r="A32" s="129" t="s">
        <v>320</v>
      </c>
      <c r="B32" s="3">
        <f t="shared" si="0"/>
        <v>1</v>
      </c>
      <c r="C32" s="3">
        <v>1</v>
      </c>
      <c r="D32" s="3" t="s">
        <v>291</v>
      </c>
      <c r="E32" s="129" t="s">
        <v>153</v>
      </c>
      <c r="F32" s="3">
        <v>202509</v>
      </c>
      <c r="G32" s="129" t="s">
        <v>292</v>
      </c>
      <c r="H32" s="129" t="s">
        <v>292</v>
      </c>
      <c r="I32" s="129" t="s">
        <v>176</v>
      </c>
      <c r="J32" s="129" t="s">
        <v>157</v>
      </c>
      <c r="K32" s="129" t="s">
        <v>320</v>
      </c>
      <c r="L32" s="129" t="s">
        <v>178</v>
      </c>
      <c r="M32" s="129"/>
      <c r="N32" s="129" t="s">
        <v>308</v>
      </c>
      <c r="O32" s="129">
        <v>1</v>
      </c>
      <c r="P32" s="129" t="s">
        <v>161</v>
      </c>
      <c r="Q32" s="129">
        <v>47.4</v>
      </c>
      <c r="R32" s="129" t="s">
        <v>180</v>
      </c>
      <c r="S32" s="129" t="s">
        <v>198</v>
      </c>
      <c r="T32" s="129" t="s">
        <v>321</v>
      </c>
      <c r="U32" s="129"/>
      <c r="V32" s="129"/>
      <c r="W32" s="129" t="s">
        <v>322</v>
      </c>
      <c r="X32" s="129" t="s">
        <v>323</v>
      </c>
      <c r="Y32" s="129" t="s">
        <v>164</v>
      </c>
      <c r="Z32" s="129" t="s">
        <v>168</v>
      </c>
      <c r="AA32" s="4" t="str">
        <f>VLOOKUP(Z32,物品明细!A:B,2,0)</f>
        <v>金属储物柜71英寸银色</v>
      </c>
      <c r="AB32" s="3" t="str">
        <f>VLOOKUP(Z32,物品明细!A:I,9,0)</f>
        <v>188x49x14</v>
      </c>
      <c r="AC32" s="3">
        <f>VLOOKUP(Z32,物品明细!A:D,4,0)</f>
        <v>47.4</v>
      </c>
      <c r="AD32" s="3"/>
      <c r="AE32" s="129">
        <v>1</v>
      </c>
      <c r="AF32" s="3">
        <f t="shared" si="1"/>
        <v>47.4</v>
      </c>
      <c r="AG32" s="3">
        <f t="shared" si="14"/>
        <v>1</v>
      </c>
      <c r="AH32" s="59">
        <v>4.85</v>
      </c>
      <c r="AI32" s="130">
        <f t="shared" si="15"/>
        <v>4.85</v>
      </c>
      <c r="AJ32" s="131"/>
      <c r="AK32" s="130"/>
      <c r="AL32" s="130">
        <f t="shared" si="16"/>
        <v>0</v>
      </c>
      <c r="AM32" s="154"/>
      <c r="AN32" s="155"/>
      <c r="AO32" s="130">
        <f t="shared" si="17"/>
        <v>0</v>
      </c>
      <c r="AP32" s="3"/>
      <c r="AQ32" s="132"/>
      <c r="AR32" s="130">
        <f t="shared" si="18"/>
        <v>0</v>
      </c>
      <c r="AS32" s="3">
        <f t="shared" si="19"/>
        <v>1</v>
      </c>
      <c r="AT32" s="130">
        <v>3</v>
      </c>
      <c r="AU32" s="130">
        <f t="shared" si="20"/>
        <v>3</v>
      </c>
      <c r="AV32" s="133">
        <f t="shared" si="30"/>
        <v>7.85</v>
      </c>
      <c r="AW32" s="3">
        <v>1</v>
      </c>
      <c r="AX32" s="3">
        <f t="shared" si="21"/>
        <v>47.4</v>
      </c>
      <c r="AY32" s="3"/>
      <c r="AZ32" s="3">
        <v>50</v>
      </c>
      <c r="BA32" s="134" t="str">
        <f t="shared" si="22"/>
        <v>99996</v>
      </c>
      <c r="BB32" s="3" t="str">
        <f t="shared" si="23"/>
        <v>Unstruttal</v>
      </c>
      <c r="BC32" s="135" t="str">
        <f t="shared" si="24"/>
        <v>DE</v>
      </c>
      <c r="BD32" s="136">
        <v>46.558575</v>
      </c>
      <c r="BE32" s="135">
        <f t="shared" si="25"/>
        <v>46.558575</v>
      </c>
      <c r="BF32" s="135">
        <v>2.5</v>
      </c>
      <c r="BG32" s="135">
        <f t="shared" si="26"/>
        <v>1.2</v>
      </c>
      <c r="BH32" s="135">
        <v>2.5</v>
      </c>
      <c r="BI32" s="135"/>
      <c r="BJ32" s="135">
        <f t="shared" si="27"/>
        <v>6.2</v>
      </c>
      <c r="BK32" s="137"/>
      <c r="BL32" s="135"/>
      <c r="BM32" s="135">
        <f t="shared" si="28"/>
        <v>0</v>
      </c>
      <c r="BN32" s="138">
        <f t="shared" si="31"/>
        <v>52.758575</v>
      </c>
      <c r="BO32" s="156">
        <f t="shared" si="29"/>
        <v>60.608575</v>
      </c>
    </row>
    <row r="33" spans="1:68">
      <c r="A33" s="129" t="s">
        <v>324</v>
      </c>
      <c r="B33" s="3">
        <f t="shared" si="0"/>
        <v>1</v>
      </c>
      <c r="C33" s="3">
        <v>1</v>
      </c>
      <c r="D33" s="3" t="s">
        <v>291</v>
      </c>
      <c r="E33" s="129" t="s">
        <v>153</v>
      </c>
      <c r="F33" s="3">
        <v>202509</v>
      </c>
      <c r="G33" s="129" t="s">
        <v>292</v>
      </c>
      <c r="H33" s="129" t="s">
        <v>292</v>
      </c>
      <c r="I33" s="129" t="s">
        <v>176</v>
      </c>
      <c r="J33" s="129" t="s">
        <v>157</v>
      </c>
      <c r="K33" s="129" t="s">
        <v>324</v>
      </c>
      <c r="L33" s="129" t="s">
        <v>178</v>
      </c>
      <c r="M33" s="129"/>
      <c r="N33" s="129" t="s">
        <v>308</v>
      </c>
      <c r="O33" s="129">
        <v>1</v>
      </c>
      <c r="P33" s="129" t="s">
        <v>161</v>
      </c>
      <c r="Q33" s="129">
        <v>47.4</v>
      </c>
      <c r="R33" s="129" t="s">
        <v>180</v>
      </c>
      <c r="S33" s="129" t="s">
        <v>198</v>
      </c>
      <c r="T33" s="129" t="s">
        <v>325</v>
      </c>
      <c r="U33" s="129"/>
      <c r="V33" s="129"/>
      <c r="W33" s="129" t="s">
        <v>326</v>
      </c>
      <c r="X33" s="129" t="s">
        <v>327</v>
      </c>
      <c r="Y33" s="129" t="s">
        <v>164</v>
      </c>
      <c r="Z33" s="129" t="s">
        <v>165</v>
      </c>
      <c r="AA33" s="4" t="str">
        <f>VLOOKUP(Z33,物品明细!A:B,2,0)</f>
        <v>金属储物柜71英寸高</v>
      </c>
      <c r="AB33" s="3" t="str">
        <f>VLOOKUP(Z33,物品明细!A:I,9,0)</f>
        <v>188x49x14</v>
      </c>
      <c r="AC33" s="3">
        <f>VLOOKUP(Z33,物品明细!A:D,4,0)</f>
        <v>47.4</v>
      </c>
      <c r="AD33" s="3"/>
      <c r="AE33" s="129">
        <v>1</v>
      </c>
      <c r="AF33" s="3">
        <f t="shared" si="1"/>
        <v>47.4</v>
      </c>
      <c r="AG33" s="3">
        <f t="shared" si="14"/>
        <v>1</v>
      </c>
      <c r="AH33" s="59">
        <v>4.85</v>
      </c>
      <c r="AI33" s="130">
        <f t="shared" si="15"/>
        <v>4.85</v>
      </c>
      <c r="AJ33" s="131"/>
      <c r="AK33" s="130"/>
      <c r="AL33" s="130">
        <f t="shared" si="16"/>
        <v>0</v>
      </c>
      <c r="AM33" s="154"/>
      <c r="AN33" s="155"/>
      <c r="AO33" s="130">
        <f t="shared" si="17"/>
        <v>0</v>
      </c>
      <c r="AP33" s="3"/>
      <c r="AQ33" s="132"/>
      <c r="AR33" s="130">
        <f t="shared" si="18"/>
        <v>0</v>
      </c>
      <c r="AS33" s="3">
        <f t="shared" si="19"/>
        <v>1</v>
      </c>
      <c r="AT33" s="130">
        <v>3</v>
      </c>
      <c r="AU33" s="130">
        <f t="shared" si="20"/>
        <v>3</v>
      </c>
      <c r="AV33" s="133">
        <f t="shared" si="30"/>
        <v>7.85</v>
      </c>
      <c r="AW33" s="3">
        <v>1</v>
      </c>
      <c r="AX33" s="3">
        <f t="shared" si="21"/>
        <v>47.4</v>
      </c>
      <c r="AY33" s="3"/>
      <c r="AZ33" s="3">
        <v>50</v>
      </c>
      <c r="BA33" s="134" t="str">
        <f t="shared" si="22"/>
        <v>33378</v>
      </c>
      <c r="BB33" s="3" t="str">
        <f t="shared" si="23"/>
        <v>Rheda-Wiedenbrück</v>
      </c>
      <c r="BC33" s="135" t="str">
        <f t="shared" si="24"/>
        <v>DE</v>
      </c>
      <c r="BD33" s="136">
        <v>46.558575</v>
      </c>
      <c r="BE33" s="135">
        <f t="shared" si="25"/>
        <v>46.558575</v>
      </c>
      <c r="BF33" s="135">
        <v>2.5</v>
      </c>
      <c r="BG33" s="135">
        <f t="shared" si="26"/>
        <v>1.2</v>
      </c>
      <c r="BH33" s="135">
        <v>2.5</v>
      </c>
      <c r="BI33" s="135"/>
      <c r="BJ33" s="135">
        <f t="shared" si="27"/>
        <v>6.2</v>
      </c>
      <c r="BK33" s="137"/>
      <c r="BL33" s="135"/>
      <c r="BM33" s="135">
        <f t="shared" si="28"/>
        <v>0</v>
      </c>
      <c r="BN33" s="138">
        <f t="shared" si="31"/>
        <v>52.758575</v>
      </c>
      <c r="BO33" s="156">
        <f t="shared" si="29"/>
        <v>60.608575</v>
      </c>
    </row>
    <row r="34" spans="1:68">
      <c r="A34" s="129" t="s">
        <v>328</v>
      </c>
      <c r="B34" s="3">
        <f t="shared" si="0"/>
        <v>1</v>
      </c>
      <c r="C34" s="3">
        <v>1</v>
      </c>
      <c r="D34" s="3" t="s">
        <v>291</v>
      </c>
      <c r="E34" s="129" t="s">
        <v>153</v>
      </c>
      <c r="F34" s="3">
        <v>202509</v>
      </c>
      <c r="G34" s="129" t="s">
        <v>292</v>
      </c>
      <c r="H34" s="129" t="s">
        <v>292</v>
      </c>
      <c r="I34" s="129" t="s">
        <v>176</v>
      </c>
      <c r="J34" s="129" t="s">
        <v>157</v>
      </c>
      <c r="K34" s="129" t="s">
        <v>328</v>
      </c>
      <c r="L34" s="129" t="s">
        <v>178</v>
      </c>
      <c r="M34" s="129"/>
      <c r="N34" s="129" t="s">
        <v>308</v>
      </c>
      <c r="O34" s="129">
        <v>1</v>
      </c>
      <c r="P34" s="129" t="s">
        <v>161</v>
      </c>
      <c r="Q34" s="129">
        <v>47.4</v>
      </c>
      <c r="R34" s="129" t="s">
        <v>180</v>
      </c>
      <c r="S34" s="129" t="s">
        <v>198</v>
      </c>
      <c r="T34" s="129" t="s">
        <v>329</v>
      </c>
      <c r="U34" s="129"/>
      <c r="V34" s="129"/>
      <c r="W34" s="129" t="s">
        <v>330</v>
      </c>
      <c r="X34" s="129" t="s">
        <v>331</v>
      </c>
      <c r="Y34" s="129" t="s">
        <v>164</v>
      </c>
      <c r="Z34" s="129" t="s">
        <v>169</v>
      </c>
      <c r="AA34" s="4" t="str">
        <f>VLOOKUP(Z34,物品明细!A:B,2,0)</f>
        <v>金属储物柜71英寸灰色</v>
      </c>
      <c r="AB34" s="3" t="str">
        <f>VLOOKUP(Z34,物品明细!A:I,9,0)</f>
        <v>188x49x14</v>
      </c>
      <c r="AC34" s="3">
        <f>VLOOKUP(Z34,物品明细!A:D,4,0)</f>
        <v>47.4</v>
      </c>
      <c r="AD34" s="3"/>
      <c r="AE34" s="129">
        <v>1</v>
      </c>
      <c r="AF34" s="3">
        <f t="shared" si="1"/>
        <v>47.4</v>
      </c>
      <c r="AG34" s="3">
        <f t="shared" si="14"/>
        <v>1</v>
      </c>
      <c r="AH34" s="59">
        <v>4.85</v>
      </c>
      <c r="AI34" s="130">
        <f t="shared" si="15"/>
        <v>4.85</v>
      </c>
      <c r="AJ34" s="131"/>
      <c r="AK34" s="130"/>
      <c r="AL34" s="130">
        <f t="shared" si="16"/>
        <v>0</v>
      </c>
      <c r="AM34" s="154"/>
      <c r="AN34" s="155"/>
      <c r="AO34" s="130">
        <f t="shared" si="17"/>
        <v>0</v>
      </c>
      <c r="AP34" s="3"/>
      <c r="AQ34" s="132"/>
      <c r="AR34" s="130">
        <f t="shared" si="18"/>
        <v>0</v>
      </c>
      <c r="AS34" s="3">
        <f t="shared" si="19"/>
        <v>1</v>
      </c>
      <c r="AT34" s="130">
        <v>3</v>
      </c>
      <c r="AU34" s="130">
        <f t="shared" si="20"/>
        <v>3</v>
      </c>
      <c r="AV34" s="133">
        <f t="shared" si="30"/>
        <v>7.85</v>
      </c>
      <c r="AW34" s="3">
        <v>1</v>
      </c>
      <c r="AX34" s="3">
        <f t="shared" si="21"/>
        <v>47.4</v>
      </c>
      <c r="AY34" s="3"/>
      <c r="AZ34" s="3">
        <v>50</v>
      </c>
      <c r="BA34" s="134" t="str">
        <f t="shared" si="22"/>
        <v>77694</v>
      </c>
      <c r="BB34" s="3" t="str">
        <f t="shared" si="23"/>
        <v>Kehl</v>
      </c>
      <c r="BC34" s="135" t="str">
        <f t="shared" si="24"/>
        <v>DE</v>
      </c>
      <c r="BD34" s="136">
        <v>46.558575</v>
      </c>
      <c r="BE34" s="135">
        <f t="shared" si="25"/>
        <v>46.558575</v>
      </c>
      <c r="BF34" s="135">
        <v>2.5</v>
      </c>
      <c r="BG34" s="135">
        <f t="shared" si="26"/>
        <v>1.2</v>
      </c>
      <c r="BH34" s="135">
        <v>2.5</v>
      </c>
      <c r="BI34" s="135"/>
      <c r="BJ34" s="135">
        <f t="shared" si="27"/>
        <v>6.2</v>
      </c>
      <c r="BK34" s="137"/>
      <c r="BL34" s="135"/>
      <c r="BM34" s="135">
        <f t="shared" si="28"/>
        <v>0</v>
      </c>
      <c r="BN34" s="138">
        <f t="shared" si="31"/>
        <v>52.758575</v>
      </c>
      <c r="BO34" s="156">
        <f t="shared" si="29"/>
        <v>60.608575</v>
      </c>
    </row>
    <row r="35" spans="1:68">
      <c r="A35" s="129" t="s">
        <v>332</v>
      </c>
      <c r="B35" s="3">
        <f t="shared" si="0"/>
        <v>1</v>
      </c>
      <c r="C35" s="3">
        <v>1</v>
      </c>
      <c r="D35" s="3" t="s">
        <v>291</v>
      </c>
      <c r="E35" s="129" t="s">
        <v>153</v>
      </c>
      <c r="F35" s="3">
        <v>202509</v>
      </c>
      <c r="G35" s="129" t="s">
        <v>292</v>
      </c>
      <c r="H35" s="129" t="s">
        <v>292</v>
      </c>
      <c r="I35" s="129" t="s">
        <v>176</v>
      </c>
      <c r="J35" s="129" t="s">
        <v>157</v>
      </c>
      <c r="K35" s="129" t="s">
        <v>332</v>
      </c>
      <c r="L35" s="129" t="s">
        <v>178</v>
      </c>
      <c r="M35" s="129"/>
      <c r="N35" s="129" t="s">
        <v>308</v>
      </c>
      <c r="O35" s="129">
        <v>1</v>
      </c>
      <c r="P35" s="129" t="s">
        <v>161</v>
      </c>
      <c r="Q35" s="129">
        <v>47.4</v>
      </c>
      <c r="R35" s="129" t="s">
        <v>180</v>
      </c>
      <c r="S35" s="129" t="s">
        <v>198</v>
      </c>
      <c r="T35" s="129" t="s">
        <v>333</v>
      </c>
      <c r="U35" s="129"/>
      <c r="V35" s="129"/>
      <c r="W35" s="129" t="s">
        <v>334</v>
      </c>
      <c r="X35" s="129" t="s">
        <v>335</v>
      </c>
      <c r="Y35" s="129" t="s">
        <v>164</v>
      </c>
      <c r="Z35" s="129" t="s">
        <v>169</v>
      </c>
      <c r="AA35" s="4" t="str">
        <f>VLOOKUP(Z35,物品明细!A:B,2,0)</f>
        <v>金属储物柜71英寸灰色</v>
      </c>
      <c r="AB35" s="3" t="str">
        <f>VLOOKUP(Z35,物品明细!A:I,9,0)</f>
        <v>188x49x14</v>
      </c>
      <c r="AC35" s="3">
        <f>VLOOKUP(Z35,物品明细!A:D,4,0)</f>
        <v>47.4</v>
      </c>
      <c r="AD35" s="3"/>
      <c r="AE35" s="129">
        <v>1</v>
      </c>
      <c r="AF35" s="3">
        <f t="shared" si="1"/>
        <v>47.4</v>
      </c>
      <c r="AG35" s="3">
        <f t="shared" si="14"/>
        <v>1</v>
      </c>
      <c r="AH35" s="59">
        <v>4.85</v>
      </c>
      <c r="AI35" s="130">
        <f t="shared" si="15"/>
        <v>4.85</v>
      </c>
      <c r="AJ35" s="131"/>
      <c r="AK35" s="130"/>
      <c r="AL35" s="130">
        <f t="shared" si="16"/>
        <v>0</v>
      </c>
      <c r="AM35" s="154"/>
      <c r="AN35" s="155"/>
      <c r="AO35" s="130">
        <f t="shared" si="17"/>
        <v>0</v>
      </c>
      <c r="AP35" s="3"/>
      <c r="AQ35" s="132"/>
      <c r="AR35" s="130">
        <f t="shared" si="18"/>
        <v>0</v>
      </c>
      <c r="AS35" s="3">
        <f t="shared" si="19"/>
        <v>1</v>
      </c>
      <c r="AT35" s="130">
        <v>3</v>
      </c>
      <c r="AU35" s="130">
        <f t="shared" si="20"/>
        <v>3</v>
      </c>
      <c r="AV35" s="133">
        <f t="shared" si="30"/>
        <v>7.85</v>
      </c>
      <c r="AW35" s="3">
        <v>1</v>
      </c>
      <c r="AX35" s="3">
        <f t="shared" si="21"/>
        <v>47.4</v>
      </c>
      <c r="AY35" s="3"/>
      <c r="AZ35" s="3">
        <v>50</v>
      </c>
      <c r="BA35" s="134" t="str">
        <f t="shared" si="22"/>
        <v>91616</v>
      </c>
      <c r="BB35" s="3" t="str">
        <f t="shared" si="23"/>
        <v>Neusitz</v>
      </c>
      <c r="BC35" s="135" t="str">
        <f t="shared" si="24"/>
        <v>DE</v>
      </c>
      <c r="BD35" s="136">
        <v>46.558575</v>
      </c>
      <c r="BE35" s="135">
        <f t="shared" si="25"/>
        <v>46.558575</v>
      </c>
      <c r="BF35" s="135">
        <v>2.5</v>
      </c>
      <c r="BG35" s="135">
        <f t="shared" si="26"/>
        <v>1.2</v>
      </c>
      <c r="BH35" s="135">
        <v>2.5</v>
      </c>
      <c r="BI35" s="135"/>
      <c r="BJ35" s="135">
        <f t="shared" si="27"/>
        <v>6.2</v>
      </c>
      <c r="BK35" s="137"/>
      <c r="BL35" s="135"/>
      <c r="BM35" s="135">
        <f t="shared" si="28"/>
        <v>0</v>
      </c>
      <c r="BN35" s="138">
        <f t="shared" si="31"/>
        <v>52.758575</v>
      </c>
      <c r="BO35" s="156">
        <f t="shared" si="29"/>
        <v>60.608575</v>
      </c>
    </row>
    <row r="36" spans="1:68">
      <c r="A36" s="129" t="s">
        <v>336</v>
      </c>
      <c r="B36" s="3">
        <f t="shared" si="0"/>
        <v>1</v>
      </c>
      <c r="C36" s="3">
        <v>1</v>
      </c>
      <c r="D36" s="3" t="s">
        <v>291</v>
      </c>
      <c r="E36" s="129" t="s">
        <v>153</v>
      </c>
      <c r="F36" s="3">
        <v>202509</v>
      </c>
      <c r="G36" s="129" t="s">
        <v>292</v>
      </c>
      <c r="H36" s="129" t="s">
        <v>292</v>
      </c>
      <c r="I36" s="129" t="s">
        <v>176</v>
      </c>
      <c r="J36" s="129" t="s">
        <v>157</v>
      </c>
      <c r="K36" s="129" t="s">
        <v>336</v>
      </c>
      <c r="L36" s="129" t="s">
        <v>178</v>
      </c>
      <c r="M36" s="129"/>
      <c r="N36" s="129" t="s">
        <v>308</v>
      </c>
      <c r="O36" s="129">
        <v>1</v>
      </c>
      <c r="P36" s="129" t="s">
        <v>161</v>
      </c>
      <c r="Q36" s="129">
        <v>47.4</v>
      </c>
      <c r="R36" s="129" t="s">
        <v>180</v>
      </c>
      <c r="S36" s="129" t="s">
        <v>198</v>
      </c>
      <c r="T36" s="129" t="s">
        <v>337</v>
      </c>
      <c r="U36" s="129"/>
      <c r="V36" s="129"/>
      <c r="W36" s="129" t="s">
        <v>338</v>
      </c>
      <c r="X36" s="129" t="s">
        <v>339</v>
      </c>
      <c r="Y36" s="129" t="s">
        <v>164</v>
      </c>
      <c r="Z36" s="129" t="s">
        <v>169</v>
      </c>
      <c r="AA36" s="4" t="str">
        <f>VLOOKUP(Z36,物品明细!A:B,2,0)</f>
        <v>金属储物柜71英寸灰色</v>
      </c>
      <c r="AB36" s="3" t="str">
        <f>VLOOKUP(Z36,物品明细!A:I,9,0)</f>
        <v>188x49x14</v>
      </c>
      <c r="AC36" s="3">
        <f>VLOOKUP(Z36,物品明细!A:D,4,0)</f>
        <v>47.4</v>
      </c>
      <c r="AD36" s="3"/>
      <c r="AE36" s="129">
        <v>1</v>
      </c>
      <c r="AF36" s="3">
        <f t="shared" si="1"/>
        <v>47.4</v>
      </c>
      <c r="AG36" s="3">
        <f t="shared" si="14"/>
        <v>1</v>
      </c>
      <c r="AH36" s="59">
        <v>4.85</v>
      </c>
      <c r="AI36" s="130">
        <f t="shared" si="15"/>
        <v>4.85</v>
      </c>
      <c r="AJ36" s="131"/>
      <c r="AK36" s="130"/>
      <c r="AL36" s="130">
        <f t="shared" si="16"/>
        <v>0</v>
      </c>
      <c r="AM36" s="154"/>
      <c r="AN36" s="155"/>
      <c r="AO36" s="130">
        <f t="shared" si="17"/>
        <v>0</v>
      </c>
      <c r="AP36" s="3"/>
      <c r="AQ36" s="132"/>
      <c r="AR36" s="130">
        <f t="shared" si="18"/>
        <v>0</v>
      </c>
      <c r="AS36" s="3">
        <f t="shared" si="19"/>
        <v>1</v>
      </c>
      <c r="AT36" s="130">
        <v>3</v>
      </c>
      <c r="AU36" s="130">
        <f t="shared" si="20"/>
        <v>3</v>
      </c>
      <c r="AV36" s="133">
        <f t="shared" si="30"/>
        <v>7.85</v>
      </c>
      <c r="AW36" s="3">
        <v>1</v>
      </c>
      <c r="AX36" s="3">
        <f t="shared" si="21"/>
        <v>47.4</v>
      </c>
      <c r="AY36" s="3"/>
      <c r="AZ36" s="3">
        <v>50</v>
      </c>
      <c r="BA36" s="134" t="str">
        <f t="shared" si="22"/>
        <v>37120</v>
      </c>
      <c r="BB36" s="3" t="str">
        <f t="shared" si="23"/>
        <v>Bovenden</v>
      </c>
      <c r="BC36" s="135" t="str">
        <f t="shared" si="24"/>
        <v>DE</v>
      </c>
      <c r="BD36" s="136">
        <v>46.558575</v>
      </c>
      <c r="BE36" s="135">
        <f t="shared" si="25"/>
        <v>46.558575</v>
      </c>
      <c r="BF36" s="135">
        <v>2.5</v>
      </c>
      <c r="BG36" s="135">
        <f t="shared" si="26"/>
        <v>1.2</v>
      </c>
      <c r="BH36" s="135">
        <v>2.5</v>
      </c>
      <c r="BI36" s="135"/>
      <c r="BJ36" s="135">
        <f t="shared" si="27"/>
        <v>6.2</v>
      </c>
      <c r="BK36" s="137"/>
      <c r="BL36" s="135"/>
      <c r="BM36" s="135">
        <f t="shared" si="28"/>
        <v>0</v>
      </c>
      <c r="BN36" s="138">
        <f t="shared" si="31"/>
        <v>52.758575</v>
      </c>
      <c r="BO36" s="156">
        <f t="shared" si="29"/>
        <v>60.608575</v>
      </c>
    </row>
    <row r="37" spans="1:68">
      <c r="A37" s="129" t="s">
        <v>340</v>
      </c>
      <c r="B37" s="3">
        <f t="shared" si="0"/>
        <v>1</v>
      </c>
      <c r="C37" s="3">
        <v>1</v>
      </c>
      <c r="D37" s="3" t="s">
        <v>291</v>
      </c>
      <c r="E37" s="129" t="s">
        <v>153</v>
      </c>
      <c r="F37" s="3">
        <v>202509</v>
      </c>
      <c r="G37" s="129" t="s">
        <v>292</v>
      </c>
      <c r="H37" s="129" t="s">
        <v>292</v>
      </c>
      <c r="I37" s="129" t="s">
        <v>176</v>
      </c>
      <c r="J37" s="129" t="s">
        <v>157</v>
      </c>
      <c r="K37" s="129" t="s">
        <v>340</v>
      </c>
      <c r="L37" s="129" t="s">
        <v>178</v>
      </c>
      <c r="M37" s="129"/>
      <c r="N37" s="129" t="s">
        <v>308</v>
      </c>
      <c r="O37" s="129">
        <v>1</v>
      </c>
      <c r="P37" s="129" t="s">
        <v>161</v>
      </c>
      <c r="Q37" s="129">
        <v>47.4</v>
      </c>
      <c r="R37" s="129" t="s">
        <v>180</v>
      </c>
      <c r="S37" s="129" t="s">
        <v>198</v>
      </c>
      <c r="T37" s="129" t="s">
        <v>341</v>
      </c>
      <c r="U37" s="129"/>
      <c r="V37" s="129"/>
      <c r="W37" s="129" t="s">
        <v>342</v>
      </c>
      <c r="X37" s="129" t="s">
        <v>343</v>
      </c>
      <c r="Y37" s="129" t="s">
        <v>164</v>
      </c>
      <c r="Z37" s="129" t="s">
        <v>169</v>
      </c>
      <c r="AA37" s="4" t="str">
        <f>VLOOKUP(Z37,物品明细!A:B,2,0)</f>
        <v>金属储物柜71英寸灰色</v>
      </c>
      <c r="AB37" s="3" t="str">
        <f>VLOOKUP(Z37,物品明细!A:I,9,0)</f>
        <v>188x49x14</v>
      </c>
      <c r="AC37" s="3">
        <f>VLOOKUP(Z37,物品明细!A:D,4,0)</f>
        <v>47.4</v>
      </c>
      <c r="AD37" s="3"/>
      <c r="AE37" s="129">
        <v>1</v>
      </c>
      <c r="AF37" s="3">
        <f t="shared" si="1"/>
        <v>47.4</v>
      </c>
      <c r="AG37" s="3">
        <f t="shared" si="14"/>
        <v>1</v>
      </c>
      <c r="AH37" s="59">
        <v>4.85</v>
      </c>
      <c r="AI37" s="130">
        <f t="shared" si="15"/>
        <v>4.85</v>
      </c>
      <c r="AJ37" s="131"/>
      <c r="AK37" s="130"/>
      <c r="AL37" s="130">
        <f t="shared" si="16"/>
        <v>0</v>
      </c>
      <c r="AM37" s="154"/>
      <c r="AN37" s="155"/>
      <c r="AO37" s="130">
        <f t="shared" si="17"/>
        <v>0</v>
      </c>
      <c r="AP37" s="3"/>
      <c r="AQ37" s="132"/>
      <c r="AR37" s="130">
        <f t="shared" si="18"/>
        <v>0</v>
      </c>
      <c r="AS37" s="3">
        <f t="shared" si="19"/>
        <v>1</v>
      </c>
      <c r="AT37" s="130">
        <v>3</v>
      </c>
      <c r="AU37" s="130">
        <f t="shared" si="20"/>
        <v>3</v>
      </c>
      <c r="AV37" s="133">
        <f t="shared" si="30"/>
        <v>7.85</v>
      </c>
      <c r="AW37" s="3">
        <v>1</v>
      </c>
      <c r="AX37" s="3">
        <f t="shared" si="21"/>
        <v>47.4</v>
      </c>
      <c r="AY37" s="3"/>
      <c r="AZ37" s="3">
        <v>50</v>
      </c>
      <c r="BA37" s="134" t="str">
        <f t="shared" si="22"/>
        <v>1662</v>
      </c>
      <c r="BB37" s="3" t="str">
        <f t="shared" si="23"/>
        <v>Meißen</v>
      </c>
      <c r="BC37" s="135" t="str">
        <f t="shared" si="24"/>
        <v>DE</v>
      </c>
      <c r="BD37" s="136">
        <v>46.558575</v>
      </c>
      <c r="BE37" s="135">
        <f t="shared" si="25"/>
        <v>46.558575</v>
      </c>
      <c r="BF37" s="135">
        <v>2.5</v>
      </c>
      <c r="BG37" s="135">
        <f t="shared" si="26"/>
        <v>1.2</v>
      </c>
      <c r="BH37" s="135">
        <v>2.5</v>
      </c>
      <c r="BI37" s="135"/>
      <c r="BJ37" s="135">
        <f t="shared" si="27"/>
        <v>6.2</v>
      </c>
      <c r="BK37" s="137"/>
      <c r="BL37" s="135"/>
      <c r="BM37" s="135">
        <f t="shared" si="28"/>
        <v>0</v>
      </c>
      <c r="BN37" s="138">
        <f t="shared" si="31"/>
        <v>52.758575</v>
      </c>
      <c r="BO37" s="156">
        <f t="shared" si="29"/>
        <v>60.608575</v>
      </c>
    </row>
    <row r="38" ht="25.5" spans="1:68">
      <c r="A38" s="129" t="s">
        <v>344</v>
      </c>
      <c r="B38" s="3">
        <f t="shared" si="0"/>
        <v>1</v>
      </c>
      <c r="C38" s="3">
        <v>1</v>
      </c>
      <c r="D38" s="3" t="s">
        <v>291</v>
      </c>
      <c r="E38" s="129" t="s">
        <v>153</v>
      </c>
      <c r="F38" s="3">
        <v>202509</v>
      </c>
      <c r="G38" s="129" t="s">
        <v>345</v>
      </c>
      <c r="H38" s="129" t="s">
        <v>345</v>
      </c>
      <c r="I38" s="129" t="s">
        <v>176</v>
      </c>
      <c r="J38" s="129" t="s">
        <v>157</v>
      </c>
      <c r="K38" s="129" t="s">
        <v>344</v>
      </c>
      <c r="L38" s="129" t="s">
        <v>178</v>
      </c>
      <c r="M38" s="129"/>
      <c r="N38" s="129" t="s">
        <v>308</v>
      </c>
      <c r="O38" s="129">
        <v>2</v>
      </c>
      <c r="P38" s="129" t="s">
        <v>161</v>
      </c>
      <c r="Q38" s="129">
        <v>94.8</v>
      </c>
      <c r="R38" s="129" t="s">
        <v>180</v>
      </c>
      <c r="S38" s="129" t="s">
        <v>198</v>
      </c>
      <c r="T38" s="152" t="s">
        <v>346</v>
      </c>
      <c r="U38" s="152" t="s">
        <v>346</v>
      </c>
      <c r="V38" s="129"/>
      <c r="W38" s="129" t="s">
        <v>347</v>
      </c>
      <c r="X38" s="129" t="s">
        <v>348</v>
      </c>
      <c r="Y38" s="129" t="s">
        <v>164</v>
      </c>
      <c r="Z38" s="129" t="s">
        <v>169</v>
      </c>
      <c r="AA38" s="4" t="str">
        <f>VLOOKUP(Z38,物品明细!A:B,2,0)</f>
        <v>金属储物柜71英寸灰色</v>
      </c>
      <c r="AB38" s="3" t="str">
        <f>VLOOKUP(Z38,物品明细!A:I,9,0)</f>
        <v>188x49x14</v>
      </c>
      <c r="AC38" s="3">
        <f>VLOOKUP(Z38,物品明细!A:D,4,0)</f>
        <v>47.4</v>
      </c>
      <c r="AD38" s="3"/>
      <c r="AE38" s="129">
        <v>2</v>
      </c>
      <c r="AF38" s="3">
        <f t="shared" si="1"/>
        <v>94.8</v>
      </c>
      <c r="AG38" s="3">
        <f t="shared" si="14"/>
        <v>2</v>
      </c>
      <c r="AH38" s="59">
        <v>4.85</v>
      </c>
      <c r="AI38" s="130">
        <f t="shared" si="15"/>
        <v>9.7</v>
      </c>
      <c r="AJ38" s="131"/>
      <c r="AK38" s="130"/>
      <c r="AL38" s="130">
        <f t="shared" si="16"/>
        <v>0</v>
      </c>
      <c r="AM38" s="154"/>
      <c r="AN38" s="155"/>
      <c r="AO38" s="130">
        <f t="shared" si="17"/>
        <v>0</v>
      </c>
      <c r="AP38" s="3"/>
      <c r="AQ38" s="132"/>
      <c r="AR38" s="130">
        <f t="shared" si="18"/>
        <v>0</v>
      </c>
      <c r="AS38" s="3">
        <f t="shared" si="19"/>
        <v>2</v>
      </c>
      <c r="AT38" s="130">
        <v>3</v>
      </c>
      <c r="AU38" s="130">
        <f t="shared" si="20"/>
        <v>6</v>
      </c>
      <c r="AV38" s="133">
        <f t="shared" si="30"/>
        <v>15.7</v>
      </c>
      <c r="AW38" s="3">
        <v>1</v>
      </c>
      <c r="AX38" s="3">
        <f t="shared" si="21"/>
        <v>94.8</v>
      </c>
      <c r="AY38" s="3"/>
      <c r="AZ38" s="3">
        <v>100</v>
      </c>
      <c r="BA38" s="134" t="str">
        <f t="shared" si="22"/>
        <v>72461</v>
      </c>
      <c r="BB38" s="3" t="str">
        <f t="shared" si="23"/>
        <v>Albstadt</v>
      </c>
      <c r="BC38" s="135" t="str">
        <f t="shared" si="24"/>
        <v>DE</v>
      </c>
      <c r="BD38" s="136">
        <v>78.354675</v>
      </c>
      <c r="BE38" s="135">
        <f t="shared" si="25"/>
        <v>78.354675</v>
      </c>
      <c r="BF38" s="135">
        <v>2.5</v>
      </c>
      <c r="BG38" s="135">
        <f t="shared" si="26"/>
        <v>2.4</v>
      </c>
      <c r="BH38" s="135">
        <v>2.5</v>
      </c>
      <c r="BI38" s="135"/>
      <c r="BJ38" s="135">
        <f t="shared" si="27"/>
        <v>7.4</v>
      </c>
      <c r="BK38" s="137"/>
      <c r="BL38" s="135"/>
      <c r="BM38" s="135">
        <f t="shared" si="28"/>
        <v>0</v>
      </c>
      <c r="BN38" s="138">
        <f t="shared" si="31"/>
        <v>85.754675</v>
      </c>
      <c r="BO38" s="156">
        <f t="shared" si="29"/>
        <v>101.454675</v>
      </c>
    </row>
    <row r="39" spans="1:68">
      <c r="A39" s="129" t="s">
        <v>349</v>
      </c>
      <c r="B39" s="3">
        <f t="shared" si="0"/>
        <v>1</v>
      </c>
      <c r="C39" s="3">
        <v>1</v>
      </c>
      <c r="D39" s="3" t="s">
        <v>291</v>
      </c>
      <c r="E39" s="129" t="s">
        <v>153</v>
      </c>
      <c r="F39" s="3">
        <v>202509</v>
      </c>
      <c r="G39" s="129" t="s">
        <v>350</v>
      </c>
      <c r="H39" s="129" t="s">
        <v>351</v>
      </c>
      <c r="I39" s="129" t="s">
        <v>176</v>
      </c>
      <c r="J39" s="129" t="s">
        <v>157</v>
      </c>
      <c r="K39" s="129" t="s">
        <v>349</v>
      </c>
      <c r="L39" s="129" t="s">
        <v>178</v>
      </c>
      <c r="M39" s="129"/>
      <c r="N39" s="129" t="s">
        <v>308</v>
      </c>
      <c r="O39" s="129">
        <v>1</v>
      </c>
      <c r="P39" s="129" t="s">
        <v>161</v>
      </c>
      <c r="Q39" s="129">
        <v>47.4</v>
      </c>
      <c r="R39" s="129" t="s">
        <v>180</v>
      </c>
      <c r="S39" s="129" t="s">
        <v>198</v>
      </c>
      <c r="T39" s="129" t="s">
        <v>352</v>
      </c>
      <c r="U39" s="129"/>
      <c r="V39" s="129"/>
      <c r="W39" s="129" t="s">
        <v>353</v>
      </c>
      <c r="X39" s="129" t="s">
        <v>354</v>
      </c>
      <c r="Y39" s="129" t="s">
        <v>164</v>
      </c>
      <c r="Z39" s="129" t="s">
        <v>165</v>
      </c>
      <c r="AA39" s="4" t="str">
        <f>VLOOKUP(Z39,物品明细!A:B,2,0)</f>
        <v>金属储物柜71英寸高</v>
      </c>
      <c r="AB39" s="3" t="str">
        <f>VLOOKUP(Z39,物品明细!A:I,9,0)</f>
        <v>188x49x14</v>
      </c>
      <c r="AC39" s="3">
        <f>VLOOKUP(Z39,物品明细!A:D,4,0)</f>
        <v>47.4</v>
      </c>
      <c r="AD39" s="3"/>
      <c r="AE39" s="129">
        <v>1</v>
      </c>
      <c r="AF39" s="3">
        <f t="shared" si="1"/>
        <v>47.4</v>
      </c>
      <c r="AG39" s="3">
        <f t="shared" si="14"/>
        <v>1</v>
      </c>
      <c r="AH39" s="59">
        <v>4.85</v>
      </c>
      <c r="AI39" s="130">
        <f t="shared" si="15"/>
        <v>4.85</v>
      </c>
      <c r="AJ39" s="131"/>
      <c r="AK39" s="130"/>
      <c r="AL39" s="130">
        <f t="shared" si="16"/>
        <v>0</v>
      </c>
      <c r="AM39" s="154"/>
      <c r="AN39" s="155"/>
      <c r="AO39" s="130">
        <f t="shared" si="17"/>
        <v>0</v>
      </c>
      <c r="AP39" s="3"/>
      <c r="AQ39" s="132"/>
      <c r="AR39" s="130">
        <f t="shared" si="18"/>
        <v>0</v>
      </c>
      <c r="AS39" s="3">
        <f t="shared" si="19"/>
        <v>1</v>
      </c>
      <c r="AT39" s="130">
        <v>3</v>
      </c>
      <c r="AU39" s="130">
        <f t="shared" si="20"/>
        <v>3</v>
      </c>
      <c r="AV39" s="133">
        <f t="shared" si="30"/>
        <v>7.85</v>
      </c>
      <c r="AW39" s="3">
        <v>1</v>
      </c>
      <c r="AX39" s="3">
        <f t="shared" si="21"/>
        <v>47.4</v>
      </c>
      <c r="AY39" s="3"/>
      <c r="AZ39" s="3">
        <v>50</v>
      </c>
      <c r="BA39" s="134" t="str">
        <f t="shared" si="22"/>
        <v>86860</v>
      </c>
      <c r="BB39" s="3" t="str">
        <f t="shared" si="23"/>
        <v>Jengen</v>
      </c>
      <c r="BC39" s="135" t="str">
        <f t="shared" si="24"/>
        <v>DE</v>
      </c>
      <c r="BD39" s="136">
        <v>46.558575</v>
      </c>
      <c r="BE39" s="135">
        <f t="shared" si="25"/>
        <v>46.558575</v>
      </c>
      <c r="BF39" s="135">
        <v>2.5</v>
      </c>
      <c r="BG39" s="135">
        <f t="shared" si="26"/>
        <v>1.2</v>
      </c>
      <c r="BH39" s="135">
        <v>2.5</v>
      </c>
      <c r="BI39" s="135"/>
      <c r="BJ39" s="135">
        <f t="shared" si="27"/>
        <v>6.2</v>
      </c>
      <c r="BK39" s="137"/>
      <c r="BL39" s="135"/>
      <c r="BM39" s="135">
        <f t="shared" si="28"/>
        <v>0</v>
      </c>
      <c r="BN39" s="138">
        <f t="shared" si="31"/>
        <v>52.758575</v>
      </c>
      <c r="BO39" s="156">
        <f t="shared" si="29"/>
        <v>60.608575</v>
      </c>
    </row>
    <row r="40" spans="1:68">
      <c r="A40" s="129" t="s">
        <v>355</v>
      </c>
      <c r="B40" s="3">
        <f t="shared" si="0"/>
        <v>1</v>
      </c>
      <c r="C40" s="3">
        <v>1</v>
      </c>
      <c r="D40" s="3" t="s">
        <v>291</v>
      </c>
      <c r="E40" s="129" t="s">
        <v>153</v>
      </c>
      <c r="F40" s="3">
        <v>202509</v>
      </c>
      <c r="G40" s="129" t="s">
        <v>350</v>
      </c>
      <c r="H40" s="129" t="s">
        <v>351</v>
      </c>
      <c r="I40" s="129" t="s">
        <v>176</v>
      </c>
      <c r="J40" s="129" t="s">
        <v>157</v>
      </c>
      <c r="K40" s="129" t="s">
        <v>355</v>
      </c>
      <c r="L40" s="129" t="s">
        <v>178</v>
      </c>
      <c r="M40" s="129"/>
      <c r="N40" s="129" t="s">
        <v>308</v>
      </c>
      <c r="O40" s="129">
        <v>1</v>
      </c>
      <c r="P40" s="129" t="s">
        <v>161</v>
      </c>
      <c r="Q40" s="129">
        <v>47.4</v>
      </c>
      <c r="R40" s="129" t="s">
        <v>180</v>
      </c>
      <c r="S40" s="129" t="s">
        <v>198</v>
      </c>
      <c r="T40" s="129" t="s">
        <v>356</v>
      </c>
      <c r="U40" s="129"/>
      <c r="V40" s="129"/>
      <c r="W40" s="129" t="s">
        <v>357</v>
      </c>
      <c r="X40" s="129" t="s">
        <v>358</v>
      </c>
      <c r="Y40" s="129" t="s">
        <v>164</v>
      </c>
      <c r="Z40" s="129" t="s">
        <v>168</v>
      </c>
      <c r="AA40" s="4" t="str">
        <f>VLOOKUP(Z40,物品明细!A:B,2,0)</f>
        <v>金属储物柜71英寸银色</v>
      </c>
      <c r="AB40" s="3" t="str">
        <f>VLOOKUP(Z40,物品明细!A:I,9,0)</f>
        <v>188x49x14</v>
      </c>
      <c r="AC40" s="3">
        <f>VLOOKUP(Z40,物品明细!A:D,4,0)</f>
        <v>47.4</v>
      </c>
      <c r="AD40" s="3"/>
      <c r="AE40" s="129">
        <v>1</v>
      </c>
      <c r="AF40" s="3">
        <f t="shared" si="1"/>
        <v>47.4</v>
      </c>
      <c r="AG40" s="3">
        <f t="shared" si="14"/>
        <v>1</v>
      </c>
      <c r="AH40" s="59">
        <v>4.85</v>
      </c>
      <c r="AI40" s="130">
        <f t="shared" si="15"/>
        <v>4.85</v>
      </c>
      <c r="AJ40" s="131"/>
      <c r="AK40" s="130"/>
      <c r="AL40" s="130">
        <f t="shared" si="16"/>
        <v>0</v>
      </c>
      <c r="AM40" s="154"/>
      <c r="AN40" s="155"/>
      <c r="AO40" s="130">
        <f t="shared" si="17"/>
        <v>0</v>
      </c>
      <c r="AP40" s="3"/>
      <c r="AQ40" s="132"/>
      <c r="AR40" s="130">
        <f t="shared" si="18"/>
        <v>0</v>
      </c>
      <c r="AS40" s="3">
        <f t="shared" si="19"/>
        <v>1</v>
      </c>
      <c r="AT40" s="130">
        <v>3</v>
      </c>
      <c r="AU40" s="130">
        <f t="shared" si="20"/>
        <v>3</v>
      </c>
      <c r="AV40" s="133">
        <f t="shared" si="30"/>
        <v>7.85</v>
      </c>
      <c r="AW40" s="3">
        <v>1</v>
      </c>
      <c r="AX40" s="3">
        <f t="shared" si="21"/>
        <v>47.4</v>
      </c>
      <c r="AY40" s="3"/>
      <c r="AZ40" s="3">
        <v>50</v>
      </c>
      <c r="BA40" s="134" t="str">
        <f t="shared" si="22"/>
        <v>94405</v>
      </c>
      <c r="BB40" s="3" t="str">
        <f t="shared" si="23"/>
        <v>Landau a.d.Isar</v>
      </c>
      <c r="BC40" s="135" t="str">
        <f t="shared" si="24"/>
        <v>DE</v>
      </c>
      <c r="BD40" s="136">
        <v>46.558575</v>
      </c>
      <c r="BE40" s="135">
        <f t="shared" si="25"/>
        <v>46.558575</v>
      </c>
      <c r="BF40" s="135">
        <v>2.5</v>
      </c>
      <c r="BG40" s="135">
        <f t="shared" si="26"/>
        <v>1.2</v>
      </c>
      <c r="BH40" s="135">
        <v>2.5</v>
      </c>
      <c r="BI40" s="135"/>
      <c r="BJ40" s="135">
        <f t="shared" si="27"/>
        <v>6.2</v>
      </c>
      <c r="BK40" s="137"/>
      <c r="BL40" s="135"/>
      <c r="BM40" s="135">
        <f t="shared" si="28"/>
        <v>0</v>
      </c>
      <c r="BN40" s="138">
        <f t="shared" si="31"/>
        <v>52.758575</v>
      </c>
      <c r="BO40" s="156">
        <f t="shared" si="29"/>
        <v>60.608575</v>
      </c>
    </row>
    <row r="41" ht="25.5" spans="1:68">
      <c r="A41" s="129" t="s">
        <v>359</v>
      </c>
      <c r="B41" s="3">
        <f t="shared" si="0"/>
        <v>1</v>
      </c>
      <c r="C41" s="3">
        <v>1</v>
      </c>
      <c r="D41" s="3" t="s">
        <v>291</v>
      </c>
      <c r="E41" s="129" t="s">
        <v>153</v>
      </c>
      <c r="F41" s="3">
        <v>202509</v>
      </c>
      <c r="G41" s="129" t="s">
        <v>351</v>
      </c>
      <c r="H41" s="129" t="s">
        <v>351</v>
      </c>
      <c r="I41" s="129" t="s">
        <v>176</v>
      </c>
      <c r="J41" s="129" t="s">
        <v>157</v>
      </c>
      <c r="K41" s="129" t="s">
        <v>359</v>
      </c>
      <c r="L41" s="129" t="s">
        <v>178</v>
      </c>
      <c r="M41" s="129"/>
      <c r="N41" s="129" t="s">
        <v>160</v>
      </c>
      <c r="O41" s="129">
        <v>2</v>
      </c>
      <c r="P41" s="129" t="s">
        <v>161</v>
      </c>
      <c r="Q41" s="129">
        <v>94.8</v>
      </c>
      <c r="R41" s="129" t="s">
        <v>180</v>
      </c>
      <c r="S41" s="129" t="s">
        <v>198</v>
      </c>
      <c r="T41" s="152" t="s">
        <v>360</v>
      </c>
      <c r="U41" s="152" t="s">
        <v>360</v>
      </c>
      <c r="V41" s="129"/>
      <c r="W41" s="129" t="s">
        <v>361</v>
      </c>
      <c r="X41" s="129" t="s">
        <v>362</v>
      </c>
      <c r="Y41" s="129" t="s">
        <v>164</v>
      </c>
      <c r="Z41" s="129" t="s">
        <v>165</v>
      </c>
      <c r="AA41" s="4" t="str">
        <f>VLOOKUP(Z41,物品明细!A:B,2,0)</f>
        <v>金属储物柜71英寸高</v>
      </c>
      <c r="AB41" s="3" t="str">
        <f>VLOOKUP(Z41,物品明细!A:I,9,0)</f>
        <v>188x49x14</v>
      </c>
      <c r="AC41" s="3">
        <f>VLOOKUP(Z41,物品明细!A:D,4,0)</f>
        <v>47.4</v>
      </c>
      <c r="AD41" s="3"/>
      <c r="AE41" s="129">
        <v>2</v>
      </c>
      <c r="AF41" s="3">
        <f t="shared" si="1"/>
        <v>94.8</v>
      </c>
      <c r="AG41" s="3">
        <f t="shared" si="14"/>
        <v>2</v>
      </c>
      <c r="AH41" s="59">
        <v>4.85</v>
      </c>
      <c r="AI41" s="130">
        <f t="shared" si="15"/>
        <v>9.7</v>
      </c>
      <c r="AJ41" s="131"/>
      <c r="AK41" s="130"/>
      <c r="AL41" s="130">
        <f t="shared" si="16"/>
        <v>0</v>
      </c>
      <c r="AM41" s="154"/>
      <c r="AN41" s="155"/>
      <c r="AO41" s="130">
        <f t="shared" si="17"/>
        <v>0</v>
      </c>
      <c r="AP41" s="3"/>
      <c r="AQ41" s="132"/>
      <c r="AR41" s="130">
        <f t="shared" si="18"/>
        <v>0</v>
      </c>
      <c r="AS41" s="3">
        <f t="shared" si="19"/>
        <v>2</v>
      </c>
      <c r="AT41" s="130">
        <v>3</v>
      </c>
      <c r="AU41" s="130">
        <f t="shared" si="20"/>
        <v>6</v>
      </c>
      <c r="AV41" s="133">
        <f t="shared" si="30"/>
        <v>15.7</v>
      </c>
      <c r="AW41" s="3">
        <v>1</v>
      </c>
      <c r="AX41" s="3">
        <f t="shared" si="21"/>
        <v>94.8</v>
      </c>
      <c r="AY41" s="3"/>
      <c r="AZ41" s="3">
        <v>100</v>
      </c>
      <c r="BA41" s="157" t="str">
        <f t="shared" si="22"/>
        <v>17033</v>
      </c>
      <c r="BB41" s="3" t="str">
        <f t="shared" si="23"/>
        <v>Neubrandenburg</v>
      </c>
      <c r="BC41" s="135" t="str">
        <f t="shared" si="24"/>
        <v>DE</v>
      </c>
      <c r="BD41" s="136">
        <v>78.354675</v>
      </c>
      <c r="BE41" s="135">
        <f t="shared" si="25"/>
        <v>78.354675</v>
      </c>
      <c r="BF41" s="135">
        <v>2.5</v>
      </c>
      <c r="BG41" s="135">
        <f t="shared" si="26"/>
        <v>2.4</v>
      </c>
      <c r="BH41" s="135">
        <v>2.5</v>
      </c>
      <c r="BI41" s="135">
        <v>9</v>
      </c>
      <c r="BJ41" s="135">
        <f t="shared" si="27"/>
        <v>16.4</v>
      </c>
      <c r="BK41" s="137"/>
      <c r="BL41" s="135"/>
      <c r="BM41" s="135">
        <f t="shared" si="28"/>
        <v>0</v>
      </c>
      <c r="BN41" s="138">
        <f t="shared" si="31"/>
        <v>94.754675</v>
      </c>
      <c r="BO41" s="156">
        <f t="shared" si="29"/>
        <v>110.454675</v>
      </c>
    </row>
    <row r="42" spans="1:68">
      <c r="A42" s="129" t="s">
        <v>363</v>
      </c>
      <c r="B42" s="3">
        <f t="shared" si="0"/>
        <v>1</v>
      </c>
      <c r="C42" s="3">
        <v>1</v>
      </c>
      <c r="D42" s="3" t="s">
        <v>291</v>
      </c>
      <c r="E42" s="129" t="s">
        <v>153</v>
      </c>
      <c r="F42" s="3">
        <v>202509</v>
      </c>
      <c r="G42" s="129" t="s">
        <v>351</v>
      </c>
      <c r="H42" s="129" t="s">
        <v>351</v>
      </c>
      <c r="I42" s="129" t="s">
        <v>176</v>
      </c>
      <c r="J42" s="129" t="s">
        <v>157</v>
      </c>
      <c r="K42" s="129" t="s">
        <v>363</v>
      </c>
      <c r="L42" s="129" t="s">
        <v>178</v>
      </c>
      <c r="M42" s="129"/>
      <c r="N42" s="129" t="s">
        <v>160</v>
      </c>
      <c r="O42" s="129">
        <v>1</v>
      </c>
      <c r="P42" s="129" t="s">
        <v>161</v>
      </c>
      <c r="Q42" s="129">
        <v>47.4</v>
      </c>
      <c r="R42" s="129" t="s">
        <v>180</v>
      </c>
      <c r="S42" s="129" t="s">
        <v>198</v>
      </c>
      <c r="T42" s="129" t="s">
        <v>364</v>
      </c>
      <c r="U42" s="129"/>
      <c r="V42" s="129"/>
      <c r="W42" s="129" t="s">
        <v>365</v>
      </c>
      <c r="X42" s="129" t="s">
        <v>366</v>
      </c>
      <c r="Y42" s="129" t="s">
        <v>164</v>
      </c>
      <c r="Z42" s="129" t="s">
        <v>165</v>
      </c>
      <c r="AA42" s="4" t="str">
        <f>VLOOKUP(Z42,物品明细!A:B,2,0)</f>
        <v>金属储物柜71英寸高</v>
      </c>
      <c r="AB42" s="3" t="str">
        <f>VLOOKUP(Z42,物品明细!A:I,9,0)</f>
        <v>188x49x14</v>
      </c>
      <c r="AC42" s="3">
        <f>VLOOKUP(Z42,物品明细!A:D,4,0)</f>
        <v>47.4</v>
      </c>
      <c r="AD42" s="3"/>
      <c r="AE42" s="129">
        <v>1</v>
      </c>
      <c r="AF42" s="3">
        <f t="shared" si="1"/>
        <v>47.4</v>
      </c>
      <c r="AG42" s="3">
        <f t="shared" si="14"/>
        <v>1</v>
      </c>
      <c r="AH42" s="59">
        <v>4.85</v>
      </c>
      <c r="AI42" s="130">
        <f t="shared" si="15"/>
        <v>4.85</v>
      </c>
      <c r="AJ42" s="131"/>
      <c r="AK42" s="130"/>
      <c r="AL42" s="130">
        <f t="shared" si="16"/>
        <v>0</v>
      </c>
      <c r="AM42" s="154"/>
      <c r="AN42" s="155"/>
      <c r="AO42" s="130">
        <f t="shared" si="17"/>
        <v>0</v>
      </c>
      <c r="AP42" s="3"/>
      <c r="AQ42" s="132"/>
      <c r="AR42" s="130">
        <f t="shared" si="18"/>
        <v>0</v>
      </c>
      <c r="AS42" s="3">
        <f t="shared" si="19"/>
        <v>1</v>
      </c>
      <c r="AT42" s="130">
        <v>3</v>
      </c>
      <c r="AU42" s="130">
        <f t="shared" si="20"/>
        <v>3</v>
      </c>
      <c r="AV42" s="133">
        <f t="shared" si="30"/>
        <v>7.85</v>
      </c>
      <c r="AW42" s="3">
        <v>1</v>
      </c>
      <c r="AX42" s="3">
        <f t="shared" si="21"/>
        <v>47.4</v>
      </c>
      <c r="AY42" s="3"/>
      <c r="AZ42" s="3">
        <v>50</v>
      </c>
      <c r="BA42" s="134" t="str">
        <f t="shared" si="22"/>
        <v>38461</v>
      </c>
      <c r="BB42" s="3" t="str">
        <f t="shared" si="23"/>
        <v>Danndorf</v>
      </c>
      <c r="BC42" s="135" t="str">
        <f t="shared" si="24"/>
        <v>DE</v>
      </c>
      <c r="BD42" s="136">
        <v>46.558575</v>
      </c>
      <c r="BE42" s="135">
        <f t="shared" si="25"/>
        <v>46.558575</v>
      </c>
      <c r="BF42" s="135">
        <v>2.5</v>
      </c>
      <c r="BG42" s="135">
        <f t="shared" si="26"/>
        <v>1.2</v>
      </c>
      <c r="BH42" s="135">
        <v>2.5</v>
      </c>
      <c r="BI42" s="135"/>
      <c r="BJ42" s="135">
        <f t="shared" si="27"/>
        <v>6.2</v>
      </c>
      <c r="BK42" s="137"/>
      <c r="BL42" s="135"/>
      <c r="BM42" s="135">
        <f t="shared" si="28"/>
        <v>0</v>
      </c>
      <c r="BN42" s="138">
        <f t="shared" si="31"/>
        <v>52.758575</v>
      </c>
      <c r="BO42" s="156">
        <f t="shared" si="29"/>
        <v>60.608575</v>
      </c>
    </row>
    <row r="43" spans="1:68">
      <c r="A43" s="129" t="s">
        <v>367</v>
      </c>
      <c r="B43" s="3">
        <f t="shared" si="0"/>
        <v>1</v>
      </c>
      <c r="C43" s="3">
        <v>1</v>
      </c>
      <c r="D43" s="3" t="s">
        <v>291</v>
      </c>
      <c r="E43" s="129" t="s">
        <v>153</v>
      </c>
      <c r="F43" s="3">
        <v>202509</v>
      </c>
      <c r="G43" s="129" t="s">
        <v>351</v>
      </c>
      <c r="H43" s="129" t="s">
        <v>368</v>
      </c>
      <c r="I43" s="129" t="s">
        <v>191</v>
      </c>
      <c r="J43" s="129" t="s">
        <v>157</v>
      </c>
      <c r="K43" s="129" t="s">
        <v>367</v>
      </c>
      <c r="L43" s="129" t="s">
        <v>178</v>
      </c>
      <c r="M43" s="129"/>
      <c r="N43" s="129" t="s">
        <v>160</v>
      </c>
      <c r="O43" s="129">
        <v>1</v>
      </c>
      <c r="P43" s="129" t="s">
        <v>161</v>
      </c>
      <c r="Q43" s="129">
        <v>47.4</v>
      </c>
      <c r="R43" s="129" t="s">
        <v>180</v>
      </c>
      <c r="S43" s="129" t="s">
        <v>198</v>
      </c>
      <c r="T43" s="129" t="s">
        <v>369</v>
      </c>
      <c r="U43" s="129"/>
      <c r="V43" s="129"/>
      <c r="W43" s="129" t="s">
        <v>370</v>
      </c>
      <c r="X43" s="129" t="s">
        <v>371</v>
      </c>
      <c r="Y43" s="129" t="s">
        <v>164</v>
      </c>
      <c r="Z43" s="129" t="s">
        <v>169</v>
      </c>
      <c r="AA43" s="4" t="str">
        <f>VLOOKUP(Z43,物品明细!A:B,2,0)</f>
        <v>金属储物柜71英寸灰色</v>
      </c>
      <c r="AB43" s="3" t="str">
        <f>VLOOKUP(Z43,物品明细!A:I,9,0)</f>
        <v>188x49x14</v>
      </c>
      <c r="AC43" s="3">
        <f>VLOOKUP(Z43,物品明细!A:D,4,0)</f>
        <v>47.4</v>
      </c>
      <c r="AD43" s="3"/>
      <c r="AE43" s="129">
        <v>1</v>
      </c>
      <c r="AF43" s="3">
        <f t="shared" si="1"/>
        <v>47.4</v>
      </c>
      <c r="AG43" s="3">
        <f t="shared" si="14"/>
        <v>1</v>
      </c>
      <c r="AH43" s="59">
        <v>4.85</v>
      </c>
      <c r="AI43" s="130">
        <f t="shared" si="15"/>
        <v>4.85</v>
      </c>
      <c r="AJ43" s="131"/>
      <c r="AK43" s="130"/>
      <c r="AL43" s="130">
        <f t="shared" si="16"/>
        <v>0</v>
      </c>
      <c r="AM43" s="154"/>
      <c r="AN43" s="155"/>
      <c r="AO43" s="130">
        <f t="shared" si="17"/>
        <v>0</v>
      </c>
      <c r="AP43" s="3"/>
      <c r="AQ43" s="132"/>
      <c r="AR43" s="130">
        <f t="shared" si="18"/>
        <v>0</v>
      </c>
      <c r="AS43" s="3">
        <f t="shared" si="19"/>
        <v>1</v>
      </c>
      <c r="AT43" s="130">
        <v>3</v>
      </c>
      <c r="AU43" s="130">
        <f t="shared" si="20"/>
        <v>3</v>
      </c>
      <c r="AV43" s="133">
        <f t="shared" ref="AV43:AV79" si="32">AI43+AL43+AO43+AR43+AU43</f>
        <v>7.85</v>
      </c>
      <c r="AW43" s="3">
        <v>1</v>
      </c>
      <c r="AX43" s="3">
        <f t="shared" si="21"/>
        <v>47.4</v>
      </c>
      <c r="AY43" s="3"/>
      <c r="AZ43" s="3">
        <v>50</v>
      </c>
      <c r="BA43" s="134" t="str">
        <f t="shared" si="22"/>
        <v>91729</v>
      </c>
      <c r="BB43" s="3" t="str">
        <f t="shared" si="23"/>
        <v>Haundorf</v>
      </c>
      <c r="BC43" s="135" t="str">
        <f t="shared" si="24"/>
        <v>DE</v>
      </c>
      <c r="BD43" s="136">
        <v>46.558575</v>
      </c>
      <c r="BE43" s="135">
        <f t="shared" si="25"/>
        <v>46.558575</v>
      </c>
      <c r="BF43" s="135">
        <v>2.5</v>
      </c>
      <c r="BG43" s="135">
        <f t="shared" si="26"/>
        <v>1.2</v>
      </c>
      <c r="BH43" s="135">
        <v>2.5</v>
      </c>
      <c r="BI43" s="135"/>
      <c r="BJ43" s="135">
        <f t="shared" si="27"/>
        <v>6.2</v>
      </c>
      <c r="BK43" s="137"/>
      <c r="BL43" s="135"/>
      <c r="BM43" s="135">
        <f t="shared" si="28"/>
        <v>0</v>
      </c>
      <c r="BN43" s="138">
        <f t="shared" si="31"/>
        <v>52.758575</v>
      </c>
      <c r="BO43" s="156">
        <f t="shared" si="29"/>
        <v>60.608575</v>
      </c>
      <c r="BP43" s="43" t="s">
        <v>372</v>
      </c>
    </row>
    <row r="44" ht="25.5" spans="1:68">
      <c r="A44" s="129" t="s">
        <v>373</v>
      </c>
      <c r="B44" s="3">
        <f t="shared" si="0"/>
        <v>1</v>
      </c>
      <c r="C44" s="3">
        <v>1</v>
      </c>
      <c r="D44" s="3" t="s">
        <v>291</v>
      </c>
      <c r="E44" s="129" t="s">
        <v>153</v>
      </c>
      <c r="F44" s="3">
        <v>202509</v>
      </c>
      <c r="G44" s="129" t="s">
        <v>368</v>
      </c>
      <c r="H44" s="129" t="s">
        <v>368</v>
      </c>
      <c r="I44" s="129" t="s">
        <v>176</v>
      </c>
      <c r="J44" s="129" t="s">
        <v>157</v>
      </c>
      <c r="K44" s="129" t="s">
        <v>373</v>
      </c>
      <c r="L44" s="129" t="s">
        <v>178</v>
      </c>
      <c r="M44" s="129"/>
      <c r="N44" s="129" t="s">
        <v>160</v>
      </c>
      <c r="O44" s="129">
        <v>2</v>
      </c>
      <c r="P44" s="129" t="s">
        <v>161</v>
      </c>
      <c r="Q44" s="129">
        <v>94.8</v>
      </c>
      <c r="R44" s="129" t="s">
        <v>180</v>
      </c>
      <c r="S44" s="129" t="s">
        <v>198</v>
      </c>
      <c r="T44" s="152" t="s">
        <v>374</v>
      </c>
      <c r="U44" s="152" t="s">
        <v>374</v>
      </c>
      <c r="V44" s="129"/>
      <c r="W44" s="129" t="s">
        <v>375</v>
      </c>
      <c r="X44" s="129" t="s">
        <v>376</v>
      </c>
      <c r="Y44" s="129" t="s">
        <v>164</v>
      </c>
      <c r="Z44" s="129" t="s">
        <v>165</v>
      </c>
      <c r="AA44" s="4" t="str">
        <f>VLOOKUP(Z44,物品明细!A:B,2,0)</f>
        <v>金属储物柜71英寸高</v>
      </c>
      <c r="AB44" s="3" t="str">
        <f>VLOOKUP(Z44,物品明细!A:I,9,0)</f>
        <v>188x49x14</v>
      </c>
      <c r="AC44" s="3">
        <f>VLOOKUP(Z44,物品明细!A:D,4,0)</f>
        <v>47.4</v>
      </c>
      <c r="AD44" s="3"/>
      <c r="AE44" s="129">
        <v>2</v>
      </c>
      <c r="AF44" s="3">
        <f t="shared" si="1"/>
        <v>94.8</v>
      </c>
      <c r="AG44" s="3">
        <f t="shared" si="14"/>
        <v>2</v>
      </c>
      <c r="AH44" s="59">
        <v>4.85</v>
      </c>
      <c r="AI44" s="130">
        <f t="shared" si="15"/>
        <v>9.7</v>
      </c>
      <c r="AJ44" s="131"/>
      <c r="AK44" s="130"/>
      <c r="AL44" s="130">
        <f t="shared" si="16"/>
        <v>0</v>
      </c>
      <c r="AM44" s="154"/>
      <c r="AN44" s="155"/>
      <c r="AO44" s="130">
        <f t="shared" si="17"/>
        <v>0</v>
      </c>
      <c r="AP44" s="3"/>
      <c r="AQ44" s="132"/>
      <c r="AR44" s="130">
        <f t="shared" si="18"/>
        <v>0</v>
      </c>
      <c r="AS44" s="3">
        <f t="shared" si="19"/>
        <v>2</v>
      </c>
      <c r="AT44" s="130">
        <v>3</v>
      </c>
      <c r="AU44" s="130">
        <f t="shared" si="20"/>
        <v>6</v>
      </c>
      <c r="AV44" s="133">
        <f t="shared" si="32"/>
        <v>15.7</v>
      </c>
      <c r="AW44" s="3">
        <v>1</v>
      </c>
      <c r="AX44" s="3">
        <f t="shared" si="21"/>
        <v>94.8</v>
      </c>
      <c r="AY44" s="3"/>
      <c r="AZ44" s="3">
        <v>100</v>
      </c>
      <c r="BA44" s="134" t="str">
        <f t="shared" si="22"/>
        <v>97494</v>
      </c>
      <c r="BB44" s="3" t="str">
        <f t="shared" si="23"/>
        <v>Bundorf</v>
      </c>
      <c r="BC44" s="135" t="str">
        <f t="shared" si="24"/>
        <v>DE</v>
      </c>
      <c r="BD44" s="136">
        <v>78.354675</v>
      </c>
      <c r="BE44" s="135">
        <f t="shared" si="25"/>
        <v>78.354675</v>
      </c>
      <c r="BF44" s="135">
        <v>2.5</v>
      </c>
      <c r="BG44" s="135">
        <f t="shared" si="26"/>
        <v>2.4</v>
      </c>
      <c r="BH44" s="135">
        <v>2.5</v>
      </c>
      <c r="BI44" s="135"/>
      <c r="BJ44" s="135">
        <f t="shared" si="27"/>
        <v>7.4</v>
      </c>
      <c r="BK44" s="137"/>
      <c r="BL44" s="135"/>
      <c r="BM44" s="135">
        <f t="shared" si="28"/>
        <v>0</v>
      </c>
      <c r="BN44" s="138">
        <f t="shared" si="31"/>
        <v>85.754675</v>
      </c>
      <c r="BO44" s="156">
        <f t="shared" si="29"/>
        <v>101.454675</v>
      </c>
    </row>
    <row r="45" spans="1:68">
      <c r="A45" s="129" t="s">
        <v>377</v>
      </c>
      <c r="B45" s="3">
        <f t="shared" si="0"/>
        <v>1</v>
      </c>
      <c r="C45" s="3">
        <v>1</v>
      </c>
      <c r="D45" s="3" t="s">
        <v>291</v>
      </c>
      <c r="E45" s="129" t="s">
        <v>153</v>
      </c>
      <c r="F45" s="3">
        <v>202509</v>
      </c>
      <c r="G45" s="129" t="s">
        <v>378</v>
      </c>
      <c r="H45" s="129" t="s">
        <v>378</v>
      </c>
      <c r="I45" s="129" t="s">
        <v>176</v>
      </c>
      <c r="J45" s="129" t="s">
        <v>157</v>
      </c>
      <c r="K45" s="129" t="s">
        <v>377</v>
      </c>
      <c r="L45" s="129" t="s">
        <v>178</v>
      </c>
      <c r="M45" s="129"/>
      <c r="N45" s="129" t="s">
        <v>160</v>
      </c>
      <c r="O45" s="129">
        <v>1</v>
      </c>
      <c r="P45" s="129" t="s">
        <v>161</v>
      </c>
      <c r="Q45" s="129">
        <v>47.4</v>
      </c>
      <c r="R45" s="129" t="s">
        <v>180</v>
      </c>
      <c r="S45" s="129" t="s">
        <v>198</v>
      </c>
      <c r="T45" s="129" t="s">
        <v>379</v>
      </c>
      <c r="U45" s="129"/>
      <c r="V45" s="129"/>
      <c r="W45" s="129" t="s">
        <v>380</v>
      </c>
      <c r="X45" s="129" t="s">
        <v>381</v>
      </c>
      <c r="Y45" s="129" t="s">
        <v>164</v>
      </c>
      <c r="Z45" s="129" t="s">
        <v>168</v>
      </c>
      <c r="AA45" s="4" t="str">
        <f>VLOOKUP(Z45,物品明细!A:B,2,0)</f>
        <v>金属储物柜71英寸银色</v>
      </c>
      <c r="AB45" s="3" t="str">
        <f>VLOOKUP(Z45,物品明细!A:I,9,0)</f>
        <v>188x49x14</v>
      </c>
      <c r="AC45" s="3">
        <f>VLOOKUP(Z45,物品明细!A:D,4,0)</f>
        <v>47.4</v>
      </c>
      <c r="AD45" s="3"/>
      <c r="AE45" s="129">
        <v>1</v>
      </c>
      <c r="AF45" s="3">
        <f t="shared" si="1"/>
        <v>47.4</v>
      </c>
      <c r="AG45" s="3">
        <f t="shared" si="14"/>
        <v>1</v>
      </c>
      <c r="AH45" s="59">
        <v>4.85</v>
      </c>
      <c r="AI45" s="130">
        <f t="shared" si="15"/>
        <v>4.85</v>
      </c>
      <c r="AJ45" s="131"/>
      <c r="AK45" s="130"/>
      <c r="AL45" s="130">
        <f t="shared" si="16"/>
        <v>0</v>
      </c>
      <c r="AM45" s="154"/>
      <c r="AN45" s="155"/>
      <c r="AO45" s="130">
        <f t="shared" si="17"/>
        <v>0</v>
      </c>
      <c r="AP45" s="3"/>
      <c r="AQ45" s="132"/>
      <c r="AR45" s="130">
        <f t="shared" si="18"/>
        <v>0</v>
      </c>
      <c r="AS45" s="3">
        <f t="shared" si="19"/>
        <v>1</v>
      </c>
      <c r="AT45" s="130">
        <v>3</v>
      </c>
      <c r="AU45" s="130">
        <f t="shared" si="20"/>
        <v>3</v>
      </c>
      <c r="AV45" s="133">
        <f t="shared" si="32"/>
        <v>7.85</v>
      </c>
      <c r="AW45" s="3">
        <v>1</v>
      </c>
      <c r="AX45" s="3">
        <f t="shared" si="21"/>
        <v>47.4</v>
      </c>
      <c r="AY45" s="3"/>
      <c r="AZ45" s="3">
        <v>50</v>
      </c>
      <c r="BA45" s="134" t="str">
        <f t="shared" si="22"/>
        <v>48369</v>
      </c>
      <c r="BB45" s="3" t="str">
        <f t="shared" si="23"/>
        <v>Saerbeck</v>
      </c>
      <c r="BC45" s="135" t="str">
        <f t="shared" si="24"/>
        <v>DE</v>
      </c>
      <c r="BD45" s="136">
        <v>46.558575</v>
      </c>
      <c r="BE45" s="135">
        <f t="shared" si="25"/>
        <v>46.558575</v>
      </c>
      <c r="BF45" s="135">
        <v>2.5</v>
      </c>
      <c r="BG45" s="135">
        <f t="shared" si="26"/>
        <v>1.2</v>
      </c>
      <c r="BH45" s="135">
        <v>2.5</v>
      </c>
      <c r="BI45" s="135"/>
      <c r="BJ45" s="135">
        <f t="shared" si="27"/>
        <v>6.2</v>
      </c>
      <c r="BK45" s="137"/>
      <c r="BL45" s="135"/>
      <c r="BM45" s="135">
        <f t="shared" si="28"/>
        <v>0</v>
      </c>
      <c r="BN45" s="138">
        <f t="shared" si="31"/>
        <v>52.758575</v>
      </c>
      <c r="BO45" s="156">
        <f t="shared" si="29"/>
        <v>60.608575</v>
      </c>
    </row>
    <row r="46" spans="1:68">
      <c r="A46" s="129" t="s">
        <v>382</v>
      </c>
      <c r="B46" s="3">
        <f t="shared" si="0"/>
        <v>1</v>
      </c>
      <c r="C46" s="3">
        <v>1</v>
      </c>
      <c r="D46" s="3" t="s">
        <v>291</v>
      </c>
      <c r="E46" s="129" t="s">
        <v>153</v>
      </c>
      <c r="F46" s="3">
        <v>202509</v>
      </c>
      <c r="G46" s="129" t="s">
        <v>378</v>
      </c>
      <c r="H46" s="129" t="s">
        <v>378</v>
      </c>
      <c r="I46" s="129" t="s">
        <v>176</v>
      </c>
      <c r="J46" s="129" t="s">
        <v>157</v>
      </c>
      <c r="K46" s="129" t="s">
        <v>382</v>
      </c>
      <c r="L46" s="129" t="s">
        <v>178</v>
      </c>
      <c r="M46" s="129"/>
      <c r="N46" s="129" t="s">
        <v>160</v>
      </c>
      <c r="O46" s="129">
        <v>1</v>
      </c>
      <c r="P46" s="129" t="s">
        <v>161</v>
      </c>
      <c r="Q46" s="129">
        <v>47.4</v>
      </c>
      <c r="R46" s="129" t="s">
        <v>180</v>
      </c>
      <c r="S46" s="129" t="s">
        <v>198</v>
      </c>
      <c r="T46" s="129" t="s">
        <v>383</v>
      </c>
      <c r="U46" s="129"/>
      <c r="V46" s="129"/>
      <c r="W46" s="129" t="s">
        <v>384</v>
      </c>
      <c r="X46" s="129" t="s">
        <v>385</v>
      </c>
      <c r="Y46" s="129" t="s">
        <v>164</v>
      </c>
      <c r="Z46" s="129" t="s">
        <v>169</v>
      </c>
      <c r="AA46" s="4" t="str">
        <f>VLOOKUP(Z46,物品明细!A:B,2,0)</f>
        <v>金属储物柜71英寸灰色</v>
      </c>
      <c r="AB46" s="3" t="str">
        <f>VLOOKUP(Z46,物品明细!A:I,9,0)</f>
        <v>188x49x14</v>
      </c>
      <c r="AC46" s="3">
        <f>VLOOKUP(Z46,物品明细!A:D,4,0)</f>
        <v>47.4</v>
      </c>
      <c r="AD46" s="3"/>
      <c r="AE46" s="129">
        <v>1</v>
      </c>
      <c r="AF46" s="3">
        <f t="shared" si="1"/>
        <v>47.4</v>
      </c>
      <c r="AG46" s="3">
        <f t="shared" si="14"/>
        <v>1</v>
      </c>
      <c r="AH46" s="59">
        <v>4.85</v>
      </c>
      <c r="AI46" s="130">
        <f t="shared" si="15"/>
        <v>4.85</v>
      </c>
      <c r="AJ46" s="131"/>
      <c r="AK46" s="130"/>
      <c r="AL46" s="130">
        <f t="shared" si="16"/>
        <v>0</v>
      </c>
      <c r="AM46" s="154"/>
      <c r="AN46" s="155"/>
      <c r="AO46" s="130">
        <f t="shared" si="17"/>
        <v>0</v>
      </c>
      <c r="AP46" s="3"/>
      <c r="AQ46" s="132"/>
      <c r="AR46" s="130">
        <f t="shared" si="18"/>
        <v>0</v>
      </c>
      <c r="AS46" s="3">
        <f t="shared" si="19"/>
        <v>1</v>
      </c>
      <c r="AT46" s="130">
        <v>3</v>
      </c>
      <c r="AU46" s="130">
        <f t="shared" si="20"/>
        <v>3</v>
      </c>
      <c r="AV46" s="133">
        <f t="shared" si="32"/>
        <v>7.85</v>
      </c>
      <c r="AW46" s="3">
        <v>1</v>
      </c>
      <c r="AX46" s="3">
        <f t="shared" si="21"/>
        <v>47.4</v>
      </c>
      <c r="AY46" s="3"/>
      <c r="AZ46" s="3">
        <v>50</v>
      </c>
      <c r="BA46" s="134" t="str">
        <f t="shared" si="22"/>
        <v>74586</v>
      </c>
      <c r="BB46" s="3" t="str">
        <f t="shared" si="23"/>
        <v>Frankenhardt</v>
      </c>
      <c r="BC46" s="135" t="str">
        <f t="shared" si="24"/>
        <v>DE</v>
      </c>
      <c r="BD46" s="136">
        <v>46.558575</v>
      </c>
      <c r="BE46" s="135">
        <f t="shared" si="25"/>
        <v>46.558575</v>
      </c>
      <c r="BF46" s="135">
        <v>2.5</v>
      </c>
      <c r="BG46" s="135">
        <f t="shared" si="26"/>
        <v>1.2</v>
      </c>
      <c r="BH46" s="135">
        <v>2.5</v>
      </c>
      <c r="BI46" s="135"/>
      <c r="BJ46" s="135">
        <f t="shared" si="27"/>
        <v>6.2</v>
      </c>
      <c r="BK46" s="137"/>
      <c r="BL46" s="135"/>
      <c r="BM46" s="135">
        <f t="shared" si="28"/>
        <v>0</v>
      </c>
      <c r="BN46" s="138">
        <f t="shared" si="31"/>
        <v>52.758575</v>
      </c>
      <c r="BO46" s="156">
        <f t="shared" si="29"/>
        <v>60.608575</v>
      </c>
    </row>
    <row r="47" ht="51" spans="1:68">
      <c r="A47" s="129" t="s">
        <v>386</v>
      </c>
      <c r="B47" s="3">
        <f t="shared" si="0"/>
        <v>1</v>
      </c>
      <c r="C47" s="3">
        <v>1</v>
      </c>
      <c r="D47" s="3" t="s">
        <v>291</v>
      </c>
      <c r="E47" s="129" t="s">
        <v>153</v>
      </c>
      <c r="F47" s="3">
        <v>202509</v>
      </c>
      <c r="G47" s="129" t="s">
        <v>378</v>
      </c>
      <c r="H47" s="129" t="s">
        <v>378</v>
      </c>
      <c r="I47" s="129" t="s">
        <v>176</v>
      </c>
      <c r="J47" s="129" t="s">
        <v>157</v>
      </c>
      <c r="K47" s="129" t="s">
        <v>386</v>
      </c>
      <c r="L47" s="129" t="s">
        <v>178</v>
      </c>
      <c r="M47" s="129"/>
      <c r="N47" s="129" t="s">
        <v>160</v>
      </c>
      <c r="O47" s="129">
        <v>4</v>
      </c>
      <c r="P47" s="129" t="s">
        <v>161</v>
      </c>
      <c r="Q47" s="129">
        <v>189.6</v>
      </c>
      <c r="R47" s="129" t="s">
        <v>180</v>
      </c>
      <c r="S47" s="129" t="s">
        <v>198</v>
      </c>
      <c r="T47" s="152" t="s">
        <v>387</v>
      </c>
      <c r="U47" s="152" t="s">
        <v>387</v>
      </c>
      <c r="V47" s="129"/>
      <c r="W47" s="129" t="s">
        <v>388</v>
      </c>
      <c r="X47" s="129" t="s">
        <v>389</v>
      </c>
      <c r="Y47" s="129" t="s">
        <v>164</v>
      </c>
      <c r="Z47" s="129" t="s">
        <v>168</v>
      </c>
      <c r="AA47" s="4" t="str">
        <f>VLOOKUP(Z47,物品明细!A:B,2,0)</f>
        <v>金属储物柜71英寸银色</v>
      </c>
      <c r="AB47" s="3" t="str">
        <f>VLOOKUP(Z47,物品明细!A:I,9,0)</f>
        <v>188x49x14</v>
      </c>
      <c r="AC47" s="3">
        <f>VLOOKUP(Z47,物品明细!A:D,4,0)</f>
        <v>47.4</v>
      </c>
      <c r="AD47" s="3"/>
      <c r="AE47" s="129">
        <v>4</v>
      </c>
      <c r="AF47" s="3">
        <f t="shared" si="1"/>
        <v>189.6</v>
      </c>
      <c r="AG47" s="3">
        <f t="shared" si="14"/>
        <v>4</v>
      </c>
      <c r="AH47" s="59">
        <v>4.85</v>
      </c>
      <c r="AI47" s="130">
        <f t="shared" si="15"/>
        <v>19.4</v>
      </c>
      <c r="AJ47" s="131"/>
      <c r="AK47" s="130"/>
      <c r="AL47" s="130">
        <f t="shared" si="16"/>
        <v>0</v>
      </c>
      <c r="AM47" s="154"/>
      <c r="AN47" s="155"/>
      <c r="AO47" s="130">
        <f t="shared" si="17"/>
        <v>0</v>
      </c>
      <c r="AP47" s="3"/>
      <c r="AQ47" s="132"/>
      <c r="AR47" s="130">
        <f t="shared" si="18"/>
        <v>0</v>
      </c>
      <c r="AS47" s="3">
        <f t="shared" si="19"/>
        <v>4</v>
      </c>
      <c r="AT47" s="130">
        <v>3</v>
      </c>
      <c r="AU47" s="130">
        <f t="shared" si="20"/>
        <v>12</v>
      </c>
      <c r="AV47" s="133">
        <f t="shared" si="32"/>
        <v>31.4</v>
      </c>
      <c r="AW47" s="3">
        <v>1</v>
      </c>
      <c r="AX47" s="3">
        <f t="shared" si="21"/>
        <v>189.6</v>
      </c>
      <c r="AY47" s="3"/>
      <c r="AZ47" s="3">
        <v>200</v>
      </c>
      <c r="BA47" s="134" t="str">
        <f t="shared" si="22"/>
        <v>66629</v>
      </c>
      <c r="BB47" s="3" t="str">
        <f t="shared" si="23"/>
        <v>Freisen</v>
      </c>
      <c r="BC47" s="135" t="str">
        <f t="shared" si="24"/>
        <v>DE</v>
      </c>
      <c r="BD47" s="136">
        <v>121.506525</v>
      </c>
      <c r="BE47" s="135">
        <f t="shared" si="25"/>
        <v>121.506525</v>
      </c>
      <c r="BF47" s="135">
        <v>2.5</v>
      </c>
      <c r="BG47" s="135">
        <f t="shared" si="26"/>
        <v>4.8</v>
      </c>
      <c r="BH47" s="135">
        <v>2.5</v>
      </c>
      <c r="BI47" s="135"/>
      <c r="BJ47" s="135">
        <f t="shared" si="27"/>
        <v>9.8</v>
      </c>
      <c r="BK47" s="137">
        <f>O47</f>
        <v>4</v>
      </c>
      <c r="BL47" s="135">
        <v>2.5</v>
      </c>
      <c r="BM47" s="135">
        <f t="shared" si="28"/>
        <v>10</v>
      </c>
      <c r="BN47" s="138">
        <f t="shared" si="31"/>
        <v>141.306525</v>
      </c>
      <c r="BO47" s="156">
        <f t="shared" si="29"/>
        <v>172.706525</v>
      </c>
    </row>
    <row r="48" spans="1:68">
      <c r="A48" s="129" t="s">
        <v>390</v>
      </c>
      <c r="B48" s="3">
        <f t="shared" si="0"/>
        <v>1</v>
      </c>
      <c r="C48" s="3">
        <v>1</v>
      </c>
      <c r="D48" s="3" t="s">
        <v>291</v>
      </c>
      <c r="E48" s="129" t="s">
        <v>153</v>
      </c>
      <c r="F48" s="3">
        <v>202509</v>
      </c>
      <c r="G48" s="129" t="s">
        <v>378</v>
      </c>
      <c r="H48" s="129" t="s">
        <v>378</v>
      </c>
      <c r="I48" s="129" t="s">
        <v>176</v>
      </c>
      <c r="J48" s="129" t="s">
        <v>157</v>
      </c>
      <c r="K48" s="129" t="s">
        <v>390</v>
      </c>
      <c r="L48" s="129" t="s">
        <v>178</v>
      </c>
      <c r="M48" s="129"/>
      <c r="N48" s="129" t="s">
        <v>160</v>
      </c>
      <c r="O48" s="129">
        <v>1</v>
      </c>
      <c r="P48" s="129" t="s">
        <v>161</v>
      </c>
      <c r="Q48" s="129">
        <v>47.4</v>
      </c>
      <c r="R48" s="129" t="s">
        <v>180</v>
      </c>
      <c r="S48" s="129" t="s">
        <v>198</v>
      </c>
      <c r="T48" s="129" t="s">
        <v>391</v>
      </c>
      <c r="U48" s="129"/>
      <c r="V48" s="129"/>
      <c r="W48" s="129" t="s">
        <v>392</v>
      </c>
      <c r="X48" s="129" t="s">
        <v>393</v>
      </c>
      <c r="Y48" s="129" t="s">
        <v>164</v>
      </c>
      <c r="Z48" s="129" t="s">
        <v>169</v>
      </c>
      <c r="AA48" s="4" t="str">
        <f>VLOOKUP(Z48,物品明细!A:B,2,0)</f>
        <v>金属储物柜71英寸灰色</v>
      </c>
      <c r="AB48" s="3" t="str">
        <f>VLOOKUP(Z48,物品明细!A:I,9,0)</f>
        <v>188x49x14</v>
      </c>
      <c r="AC48" s="3">
        <f>VLOOKUP(Z48,物品明细!A:D,4,0)</f>
        <v>47.4</v>
      </c>
      <c r="AD48" s="3"/>
      <c r="AE48" s="129">
        <v>1</v>
      </c>
      <c r="AF48" s="3">
        <f t="shared" si="1"/>
        <v>47.4</v>
      </c>
      <c r="AG48" s="3">
        <f t="shared" si="14"/>
        <v>1</v>
      </c>
      <c r="AH48" s="59">
        <v>4.85</v>
      </c>
      <c r="AI48" s="130">
        <f t="shared" si="15"/>
        <v>4.85</v>
      </c>
      <c r="AJ48" s="131"/>
      <c r="AK48" s="130"/>
      <c r="AL48" s="130">
        <f t="shared" si="16"/>
        <v>0</v>
      </c>
      <c r="AM48" s="154"/>
      <c r="AN48" s="155"/>
      <c r="AO48" s="130">
        <f t="shared" si="17"/>
        <v>0</v>
      </c>
      <c r="AP48" s="3"/>
      <c r="AQ48" s="132"/>
      <c r="AR48" s="130">
        <f t="shared" si="18"/>
        <v>0</v>
      </c>
      <c r="AS48" s="3">
        <f t="shared" si="19"/>
        <v>1</v>
      </c>
      <c r="AT48" s="130">
        <v>3</v>
      </c>
      <c r="AU48" s="130">
        <f t="shared" si="20"/>
        <v>3</v>
      </c>
      <c r="AV48" s="133">
        <f t="shared" si="32"/>
        <v>7.85</v>
      </c>
      <c r="AW48" s="3">
        <v>1</v>
      </c>
      <c r="AX48" s="3">
        <f t="shared" si="21"/>
        <v>47.4</v>
      </c>
      <c r="AY48" s="3"/>
      <c r="AZ48" s="3">
        <v>50</v>
      </c>
      <c r="BA48" s="134" t="str">
        <f t="shared" si="22"/>
        <v>65205</v>
      </c>
      <c r="BB48" s="3" t="str">
        <f t="shared" si="23"/>
        <v>Wiesbaden</v>
      </c>
      <c r="BC48" s="135" t="str">
        <f t="shared" si="24"/>
        <v>DE</v>
      </c>
      <c r="BD48" s="136">
        <v>46.558575</v>
      </c>
      <c r="BE48" s="135">
        <f t="shared" si="25"/>
        <v>46.558575</v>
      </c>
      <c r="BF48" s="135">
        <v>2.5</v>
      </c>
      <c r="BG48" s="135">
        <f t="shared" si="26"/>
        <v>1.2</v>
      </c>
      <c r="BH48" s="135">
        <v>2.5</v>
      </c>
      <c r="BI48" s="135"/>
      <c r="BJ48" s="135">
        <f t="shared" si="27"/>
        <v>6.2</v>
      </c>
      <c r="BK48" s="137"/>
      <c r="BL48" s="135"/>
      <c r="BM48" s="135">
        <f t="shared" si="28"/>
        <v>0</v>
      </c>
      <c r="BN48" s="138">
        <f t="shared" si="31"/>
        <v>52.758575</v>
      </c>
      <c r="BO48" s="156">
        <f t="shared" si="29"/>
        <v>60.608575</v>
      </c>
    </row>
    <row r="49" spans="1:67">
      <c r="A49" s="129" t="s">
        <v>394</v>
      </c>
      <c r="B49" s="3">
        <f t="shared" si="0"/>
        <v>1</v>
      </c>
      <c r="C49" s="3">
        <v>1</v>
      </c>
      <c r="D49" s="3" t="s">
        <v>291</v>
      </c>
      <c r="E49" s="129" t="s">
        <v>153</v>
      </c>
      <c r="F49" s="3">
        <v>202509</v>
      </c>
      <c r="G49" s="129" t="s">
        <v>378</v>
      </c>
      <c r="H49" s="129" t="s">
        <v>378</v>
      </c>
      <c r="I49" s="129" t="s">
        <v>176</v>
      </c>
      <c r="J49" s="129" t="s">
        <v>157</v>
      </c>
      <c r="K49" s="129" t="s">
        <v>394</v>
      </c>
      <c r="L49" s="129" t="s">
        <v>178</v>
      </c>
      <c r="M49" s="129"/>
      <c r="N49" s="129" t="s">
        <v>160</v>
      </c>
      <c r="O49" s="129">
        <v>1</v>
      </c>
      <c r="P49" s="129" t="s">
        <v>161</v>
      </c>
      <c r="Q49" s="129">
        <v>47.4</v>
      </c>
      <c r="R49" s="129" t="s">
        <v>180</v>
      </c>
      <c r="S49" s="129" t="s">
        <v>198</v>
      </c>
      <c r="T49" s="129" t="s">
        <v>395</v>
      </c>
      <c r="U49" s="129"/>
      <c r="V49" s="129"/>
      <c r="W49" s="129" t="s">
        <v>396</v>
      </c>
      <c r="X49" s="129" t="s">
        <v>397</v>
      </c>
      <c r="Y49" s="129" t="s">
        <v>164</v>
      </c>
      <c r="Z49" s="129" t="s">
        <v>165</v>
      </c>
      <c r="AA49" s="4" t="str">
        <f>VLOOKUP(Z49,物品明细!A:B,2,0)</f>
        <v>金属储物柜71英寸高</v>
      </c>
      <c r="AB49" s="3" t="str">
        <f>VLOOKUP(Z49,物品明细!A:I,9,0)</f>
        <v>188x49x14</v>
      </c>
      <c r="AC49" s="3">
        <f>VLOOKUP(Z49,物品明细!A:D,4,0)</f>
        <v>47.4</v>
      </c>
      <c r="AD49" s="3"/>
      <c r="AE49" s="129">
        <v>1</v>
      </c>
      <c r="AF49" s="3">
        <f t="shared" si="1"/>
        <v>47.4</v>
      </c>
      <c r="AG49" s="3">
        <f t="shared" si="14"/>
        <v>1</v>
      </c>
      <c r="AH49" s="59">
        <v>4.85</v>
      </c>
      <c r="AI49" s="130">
        <f t="shared" si="15"/>
        <v>4.85</v>
      </c>
      <c r="AJ49" s="131"/>
      <c r="AK49" s="130"/>
      <c r="AL49" s="130">
        <f t="shared" si="16"/>
        <v>0</v>
      </c>
      <c r="AM49" s="154"/>
      <c r="AN49" s="155"/>
      <c r="AO49" s="130">
        <f t="shared" si="17"/>
        <v>0</v>
      </c>
      <c r="AP49" s="3"/>
      <c r="AQ49" s="132"/>
      <c r="AR49" s="130">
        <f t="shared" si="18"/>
        <v>0</v>
      </c>
      <c r="AS49" s="3">
        <f t="shared" si="19"/>
        <v>1</v>
      </c>
      <c r="AT49" s="130">
        <v>3</v>
      </c>
      <c r="AU49" s="130">
        <f t="shared" si="20"/>
        <v>3</v>
      </c>
      <c r="AV49" s="133">
        <f t="shared" si="32"/>
        <v>7.85</v>
      </c>
      <c r="AW49" s="3">
        <v>1</v>
      </c>
      <c r="AX49" s="3">
        <f t="shared" si="21"/>
        <v>47.4</v>
      </c>
      <c r="AY49" s="3"/>
      <c r="AZ49" s="3">
        <v>50</v>
      </c>
      <c r="BA49" s="134" t="str">
        <f t="shared" si="22"/>
        <v>53619</v>
      </c>
      <c r="BB49" s="3" t="str">
        <f t="shared" si="23"/>
        <v>Rheinbreitbach</v>
      </c>
      <c r="BC49" s="135" t="str">
        <f t="shared" si="24"/>
        <v>DE</v>
      </c>
      <c r="BD49" s="136">
        <v>46.558575</v>
      </c>
      <c r="BE49" s="135">
        <f t="shared" si="25"/>
        <v>46.558575</v>
      </c>
      <c r="BF49" s="135">
        <v>2.5</v>
      </c>
      <c r="BG49" s="135">
        <f t="shared" si="26"/>
        <v>1.2</v>
      </c>
      <c r="BH49" s="135">
        <v>2.5</v>
      </c>
      <c r="BI49" s="135"/>
      <c r="BJ49" s="135">
        <f t="shared" si="27"/>
        <v>6.2</v>
      </c>
      <c r="BK49" s="137"/>
      <c r="BL49" s="135"/>
      <c r="BM49" s="135">
        <f t="shared" si="28"/>
        <v>0</v>
      </c>
      <c r="BN49" s="138">
        <f t="shared" si="31"/>
        <v>52.758575</v>
      </c>
      <c r="BO49" s="156">
        <f t="shared" si="29"/>
        <v>60.608575</v>
      </c>
    </row>
    <row r="50" spans="1:67">
      <c r="A50" s="129" t="s">
        <v>398</v>
      </c>
      <c r="B50" s="3">
        <f t="shared" si="0"/>
        <v>1</v>
      </c>
      <c r="C50" s="3">
        <v>1</v>
      </c>
      <c r="D50" s="3" t="s">
        <v>291</v>
      </c>
      <c r="E50" s="129" t="s">
        <v>153</v>
      </c>
      <c r="F50" s="3">
        <v>202509</v>
      </c>
      <c r="G50" s="129" t="s">
        <v>378</v>
      </c>
      <c r="H50" s="129" t="s">
        <v>378</v>
      </c>
      <c r="I50" s="129" t="s">
        <v>176</v>
      </c>
      <c r="J50" s="129" t="s">
        <v>157</v>
      </c>
      <c r="K50" s="129" t="s">
        <v>398</v>
      </c>
      <c r="L50" s="129" t="s">
        <v>178</v>
      </c>
      <c r="M50" s="129"/>
      <c r="N50" s="129" t="s">
        <v>160</v>
      </c>
      <c r="O50" s="129">
        <v>1</v>
      </c>
      <c r="P50" s="129" t="s">
        <v>161</v>
      </c>
      <c r="Q50" s="129">
        <v>47.4</v>
      </c>
      <c r="R50" s="129" t="s">
        <v>180</v>
      </c>
      <c r="S50" s="129" t="s">
        <v>198</v>
      </c>
      <c r="T50" s="129" t="s">
        <v>399</v>
      </c>
      <c r="U50" s="129"/>
      <c r="V50" s="129"/>
      <c r="W50" s="129" t="s">
        <v>400</v>
      </c>
      <c r="X50" s="129" t="s">
        <v>401</v>
      </c>
      <c r="Y50" s="129" t="s">
        <v>164</v>
      </c>
      <c r="Z50" s="129" t="s">
        <v>169</v>
      </c>
      <c r="AA50" s="4" t="str">
        <f>VLOOKUP(Z50,物品明细!A:B,2,0)</f>
        <v>金属储物柜71英寸灰色</v>
      </c>
      <c r="AB50" s="3" t="str">
        <f>VLOOKUP(Z50,物品明细!A:I,9,0)</f>
        <v>188x49x14</v>
      </c>
      <c r="AC50" s="3">
        <f>VLOOKUP(Z50,物品明细!A:D,4,0)</f>
        <v>47.4</v>
      </c>
      <c r="AD50" s="3"/>
      <c r="AE50" s="129">
        <v>1</v>
      </c>
      <c r="AF50" s="3">
        <f t="shared" si="1"/>
        <v>47.4</v>
      </c>
      <c r="AG50" s="3">
        <f t="shared" si="14"/>
        <v>1</v>
      </c>
      <c r="AH50" s="59">
        <v>4.85</v>
      </c>
      <c r="AI50" s="130">
        <f t="shared" si="15"/>
        <v>4.85</v>
      </c>
      <c r="AJ50" s="131"/>
      <c r="AK50" s="130"/>
      <c r="AL50" s="130">
        <f t="shared" si="16"/>
        <v>0</v>
      </c>
      <c r="AM50" s="154"/>
      <c r="AN50" s="155"/>
      <c r="AO50" s="130">
        <f t="shared" si="17"/>
        <v>0</v>
      </c>
      <c r="AP50" s="3"/>
      <c r="AQ50" s="132"/>
      <c r="AR50" s="130">
        <f t="shared" si="18"/>
        <v>0</v>
      </c>
      <c r="AS50" s="3">
        <f t="shared" si="19"/>
        <v>1</v>
      </c>
      <c r="AT50" s="130">
        <v>3</v>
      </c>
      <c r="AU50" s="130">
        <f t="shared" si="20"/>
        <v>3</v>
      </c>
      <c r="AV50" s="133">
        <f t="shared" si="32"/>
        <v>7.85</v>
      </c>
      <c r="AW50" s="3">
        <v>1</v>
      </c>
      <c r="AX50" s="3">
        <f t="shared" si="21"/>
        <v>47.4</v>
      </c>
      <c r="AY50" s="3"/>
      <c r="AZ50" s="3">
        <v>50</v>
      </c>
      <c r="BA50" s="134" t="str">
        <f t="shared" si="22"/>
        <v>45138</v>
      </c>
      <c r="BB50" s="3" t="str">
        <f t="shared" si="23"/>
        <v>Essen</v>
      </c>
      <c r="BC50" s="135" t="str">
        <f t="shared" si="24"/>
        <v>DE</v>
      </c>
      <c r="BD50" s="136">
        <v>46.558575</v>
      </c>
      <c r="BE50" s="135">
        <f t="shared" si="25"/>
        <v>46.558575</v>
      </c>
      <c r="BF50" s="135">
        <v>2.5</v>
      </c>
      <c r="BG50" s="135">
        <f t="shared" si="26"/>
        <v>1.2</v>
      </c>
      <c r="BH50" s="135">
        <v>2.5</v>
      </c>
      <c r="BI50" s="135"/>
      <c r="BJ50" s="135">
        <f t="shared" si="27"/>
        <v>6.2</v>
      </c>
      <c r="BK50" s="137"/>
      <c r="BL50" s="135"/>
      <c r="BM50" s="135">
        <f t="shared" si="28"/>
        <v>0</v>
      </c>
      <c r="BN50" s="138">
        <f t="shared" si="31"/>
        <v>52.758575</v>
      </c>
      <c r="BO50" s="156">
        <f t="shared" si="29"/>
        <v>60.608575</v>
      </c>
    </row>
    <row r="51" spans="1:67">
      <c r="A51" s="129" t="s">
        <v>402</v>
      </c>
      <c r="B51" s="3">
        <f t="shared" si="0"/>
        <v>1</v>
      </c>
      <c r="C51" s="3">
        <v>1</v>
      </c>
      <c r="D51" s="3" t="s">
        <v>291</v>
      </c>
      <c r="E51" s="129" t="s">
        <v>153</v>
      </c>
      <c r="F51" s="3">
        <v>202509</v>
      </c>
      <c r="G51" s="129" t="s">
        <v>378</v>
      </c>
      <c r="H51" s="129" t="s">
        <v>378</v>
      </c>
      <c r="I51" s="129" t="s">
        <v>191</v>
      </c>
      <c r="J51" s="129" t="s">
        <v>157</v>
      </c>
      <c r="K51" s="129" t="s">
        <v>402</v>
      </c>
      <c r="L51" s="129" t="s">
        <v>178</v>
      </c>
      <c r="M51" s="129"/>
      <c r="N51" s="129" t="s">
        <v>160</v>
      </c>
      <c r="O51" s="129">
        <v>1</v>
      </c>
      <c r="P51" s="129" t="s">
        <v>161</v>
      </c>
      <c r="Q51" s="129">
        <v>47.4</v>
      </c>
      <c r="R51" s="129" t="s">
        <v>180</v>
      </c>
      <c r="S51" s="129" t="s">
        <v>198</v>
      </c>
      <c r="T51" s="129" t="s">
        <v>403</v>
      </c>
      <c r="U51" s="129"/>
      <c r="V51" s="129"/>
      <c r="W51" s="129" t="s">
        <v>404</v>
      </c>
      <c r="X51" s="129" t="s">
        <v>405</v>
      </c>
      <c r="Y51" s="129" t="s">
        <v>164</v>
      </c>
      <c r="Z51" s="129" t="s">
        <v>169</v>
      </c>
      <c r="AA51" s="4" t="str">
        <f>VLOOKUP(Z51,物品明细!A:B,2,0)</f>
        <v>金属储物柜71英寸灰色</v>
      </c>
      <c r="AB51" s="3" t="str">
        <f>VLOOKUP(Z51,物品明细!A:I,9,0)</f>
        <v>188x49x14</v>
      </c>
      <c r="AC51" s="3">
        <f>VLOOKUP(Z51,物品明细!A:D,4,0)</f>
        <v>47.4</v>
      </c>
      <c r="AD51" s="3"/>
      <c r="AE51" s="129">
        <v>1</v>
      </c>
      <c r="AF51" s="3">
        <f t="shared" si="1"/>
        <v>47.4</v>
      </c>
      <c r="AG51" s="3">
        <f t="shared" si="14"/>
        <v>1</v>
      </c>
      <c r="AH51" s="59">
        <v>4.85</v>
      </c>
      <c r="AI51" s="130">
        <f t="shared" si="15"/>
        <v>4.85</v>
      </c>
      <c r="AJ51" s="131"/>
      <c r="AK51" s="130"/>
      <c r="AL51" s="130">
        <f t="shared" si="16"/>
        <v>0</v>
      </c>
      <c r="AM51" s="154"/>
      <c r="AN51" s="155"/>
      <c r="AO51" s="130">
        <f t="shared" si="17"/>
        <v>0</v>
      </c>
      <c r="AP51" s="3"/>
      <c r="AQ51" s="132"/>
      <c r="AR51" s="130">
        <f t="shared" si="18"/>
        <v>0</v>
      </c>
      <c r="AS51" s="3">
        <f t="shared" si="19"/>
        <v>1</v>
      </c>
      <c r="AT51" s="130">
        <v>3</v>
      </c>
      <c r="AU51" s="130">
        <f t="shared" si="20"/>
        <v>3</v>
      </c>
      <c r="AV51" s="133">
        <f t="shared" si="32"/>
        <v>7.85</v>
      </c>
      <c r="AW51" s="3">
        <v>1</v>
      </c>
      <c r="AX51" s="3">
        <f t="shared" si="21"/>
        <v>47.4</v>
      </c>
      <c r="AY51" s="3"/>
      <c r="AZ51" s="3">
        <v>50</v>
      </c>
      <c r="BA51" s="134" t="str">
        <f t="shared" si="22"/>
        <v>12559</v>
      </c>
      <c r="BB51" s="158" t="str">
        <f t="shared" si="23"/>
        <v>Berlin</v>
      </c>
      <c r="BC51" s="135" t="str">
        <f t="shared" si="24"/>
        <v>DE</v>
      </c>
      <c r="BD51" s="136">
        <v>46.558575</v>
      </c>
      <c r="BE51" s="135">
        <f t="shared" si="25"/>
        <v>46.558575</v>
      </c>
      <c r="BF51" s="135">
        <v>2.5</v>
      </c>
      <c r="BG51" s="135">
        <f t="shared" si="26"/>
        <v>1.2</v>
      </c>
      <c r="BH51" s="135">
        <v>2.5</v>
      </c>
      <c r="BI51" s="135">
        <v>7.8</v>
      </c>
      <c r="BJ51" s="135">
        <f t="shared" si="27"/>
        <v>14</v>
      </c>
      <c r="BK51" s="137"/>
      <c r="BL51" s="135"/>
      <c r="BM51" s="135">
        <f t="shared" si="28"/>
        <v>0</v>
      </c>
      <c r="BN51" s="138">
        <f t="shared" si="31"/>
        <v>60.558575</v>
      </c>
      <c r="BO51" s="156">
        <f t="shared" si="29"/>
        <v>68.408575</v>
      </c>
    </row>
    <row r="52" spans="1:67">
      <c r="A52" s="129" t="s">
        <v>406</v>
      </c>
      <c r="B52" s="3">
        <f t="shared" si="0"/>
        <v>1</v>
      </c>
      <c r="C52" s="3">
        <v>1</v>
      </c>
      <c r="D52" s="3" t="s">
        <v>291</v>
      </c>
      <c r="E52" s="129" t="s">
        <v>153</v>
      </c>
      <c r="F52" s="3">
        <v>202509</v>
      </c>
      <c r="G52" s="129" t="s">
        <v>378</v>
      </c>
      <c r="H52" s="129" t="s">
        <v>378</v>
      </c>
      <c r="I52" s="129" t="s">
        <v>176</v>
      </c>
      <c r="J52" s="129" t="s">
        <v>157</v>
      </c>
      <c r="K52" s="129" t="s">
        <v>406</v>
      </c>
      <c r="L52" s="129" t="s">
        <v>178</v>
      </c>
      <c r="M52" s="129"/>
      <c r="N52" s="129" t="s">
        <v>160</v>
      </c>
      <c r="O52" s="129">
        <v>1</v>
      </c>
      <c r="P52" s="129" t="s">
        <v>161</v>
      </c>
      <c r="Q52" s="129">
        <v>47.4</v>
      </c>
      <c r="R52" s="129" t="s">
        <v>180</v>
      </c>
      <c r="S52" s="129" t="s">
        <v>198</v>
      </c>
      <c r="T52" s="129" t="s">
        <v>407</v>
      </c>
      <c r="U52" s="129"/>
      <c r="V52" s="129"/>
      <c r="W52" s="129" t="s">
        <v>408</v>
      </c>
      <c r="X52" s="129" t="s">
        <v>405</v>
      </c>
      <c r="Y52" s="129" t="s">
        <v>164</v>
      </c>
      <c r="Z52" s="129" t="s">
        <v>170</v>
      </c>
      <c r="AA52" s="4" t="str">
        <f>VLOOKUP(Z52,物品明细!A:B,2,0)</f>
        <v>德国联邦快递金属储物柜</v>
      </c>
      <c r="AB52" s="3" t="str">
        <f>VLOOKUP(Z52,物品明细!A:I,9,0)</f>
        <v>188x49x14</v>
      </c>
      <c r="AC52" s="3">
        <f>VLOOKUP(Z52,物品明细!A:D,4,0)</f>
        <v>47.4</v>
      </c>
      <c r="AD52" s="3"/>
      <c r="AE52" s="129">
        <v>1</v>
      </c>
      <c r="AF52" s="3">
        <f t="shared" si="1"/>
        <v>47.4</v>
      </c>
      <c r="AG52" s="3">
        <f t="shared" si="14"/>
        <v>1</v>
      </c>
      <c r="AH52" s="59">
        <v>4.85</v>
      </c>
      <c r="AI52" s="130">
        <f t="shared" si="15"/>
        <v>4.85</v>
      </c>
      <c r="AJ52" s="131"/>
      <c r="AK52" s="130"/>
      <c r="AL52" s="130">
        <f t="shared" si="16"/>
        <v>0</v>
      </c>
      <c r="AM52" s="154"/>
      <c r="AN52" s="155"/>
      <c r="AO52" s="130">
        <f t="shared" si="17"/>
        <v>0</v>
      </c>
      <c r="AP52" s="3"/>
      <c r="AQ52" s="132"/>
      <c r="AR52" s="130">
        <f t="shared" si="18"/>
        <v>0</v>
      </c>
      <c r="AS52" s="3">
        <f t="shared" si="19"/>
        <v>1</v>
      </c>
      <c r="AT52" s="130">
        <v>3</v>
      </c>
      <c r="AU52" s="130">
        <f t="shared" si="20"/>
        <v>3</v>
      </c>
      <c r="AV52" s="133">
        <f t="shared" si="32"/>
        <v>7.85</v>
      </c>
      <c r="AW52" s="3">
        <v>1</v>
      </c>
      <c r="AX52" s="3">
        <f t="shared" si="21"/>
        <v>47.4</v>
      </c>
      <c r="AY52" s="3"/>
      <c r="AZ52" s="3">
        <v>50</v>
      </c>
      <c r="BA52" s="134" t="str">
        <f t="shared" si="22"/>
        <v>12207</v>
      </c>
      <c r="BB52" s="158" t="str">
        <f t="shared" si="23"/>
        <v>Berlin</v>
      </c>
      <c r="BC52" s="135" t="str">
        <f t="shared" si="24"/>
        <v>DE</v>
      </c>
      <c r="BD52" s="136">
        <v>46.558575</v>
      </c>
      <c r="BE52" s="135">
        <f t="shared" si="25"/>
        <v>46.558575</v>
      </c>
      <c r="BF52" s="135">
        <v>2.5</v>
      </c>
      <c r="BG52" s="135">
        <f t="shared" si="26"/>
        <v>1.2</v>
      </c>
      <c r="BH52" s="135">
        <v>2.5</v>
      </c>
      <c r="BI52" s="135">
        <v>7.8</v>
      </c>
      <c r="BJ52" s="135">
        <f t="shared" si="27"/>
        <v>14</v>
      </c>
      <c r="BK52" s="137"/>
      <c r="BL52" s="135"/>
      <c r="BM52" s="135">
        <f t="shared" si="28"/>
        <v>0</v>
      </c>
      <c r="BN52" s="138">
        <f t="shared" si="31"/>
        <v>60.558575</v>
      </c>
      <c r="BO52" s="156">
        <f t="shared" si="29"/>
        <v>68.408575</v>
      </c>
    </row>
    <row r="53" spans="1:67">
      <c r="A53" s="129" t="s">
        <v>409</v>
      </c>
      <c r="B53" s="3">
        <f t="shared" si="0"/>
        <v>1</v>
      </c>
      <c r="C53" s="3">
        <v>1</v>
      </c>
      <c r="D53" s="3" t="s">
        <v>291</v>
      </c>
      <c r="E53" s="129" t="s">
        <v>153</v>
      </c>
      <c r="F53" s="3">
        <v>202509</v>
      </c>
      <c r="G53" s="129" t="s">
        <v>378</v>
      </c>
      <c r="H53" s="129" t="s">
        <v>378</v>
      </c>
      <c r="I53" s="129" t="s">
        <v>191</v>
      </c>
      <c r="J53" s="129" t="s">
        <v>157</v>
      </c>
      <c r="K53" s="129" t="s">
        <v>409</v>
      </c>
      <c r="L53" s="129" t="s">
        <v>178</v>
      </c>
      <c r="M53" s="129"/>
      <c r="N53" s="129" t="s">
        <v>160</v>
      </c>
      <c r="O53" s="129">
        <v>1</v>
      </c>
      <c r="P53" s="129" t="s">
        <v>161</v>
      </c>
      <c r="Q53" s="129">
        <v>47.4</v>
      </c>
      <c r="R53" s="129" t="s">
        <v>180</v>
      </c>
      <c r="S53" s="129" t="s">
        <v>198</v>
      </c>
      <c r="T53" s="129" t="s">
        <v>410</v>
      </c>
      <c r="U53" s="129"/>
      <c r="V53" s="129"/>
      <c r="W53" s="129" t="s">
        <v>411</v>
      </c>
      <c r="X53" s="129" t="s">
        <v>412</v>
      </c>
      <c r="Y53" s="129" t="s">
        <v>164</v>
      </c>
      <c r="Z53" s="129" t="s">
        <v>165</v>
      </c>
      <c r="AA53" s="4" t="str">
        <f>VLOOKUP(Z53,物品明细!A:B,2,0)</f>
        <v>金属储物柜71英寸高</v>
      </c>
      <c r="AB53" s="3" t="str">
        <f>VLOOKUP(Z53,物品明细!A:I,9,0)</f>
        <v>188x49x14</v>
      </c>
      <c r="AC53" s="3">
        <f>VLOOKUP(Z53,物品明细!A:D,4,0)</f>
        <v>47.4</v>
      </c>
      <c r="AD53" s="3"/>
      <c r="AE53" s="129">
        <v>1</v>
      </c>
      <c r="AF53" s="3">
        <f t="shared" si="1"/>
        <v>47.4</v>
      </c>
      <c r="AG53" s="3">
        <f t="shared" si="14"/>
        <v>1</v>
      </c>
      <c r="AH53" s="59">
        <v>4.85</v>
      </c>
      <c r="AI53" s="130">
        <f t="shared" si="15"/>
        <v>4.85</v>
      </c>
      <c r="AJ53" s="131"/>
      <c r="AK53" s="130"/>
      <c r="AL53" s="130">
        <f t="shared" si="16"/>
        <v>0</v>
      </c>
      <c r="AM53" s="154"/>
      <c r="AN53" s="155"/>
      <c r="AO53" s="130">
        <f t="shared" si="17"/>
        <v>0</v>
      </c>
      <c r="AP53" s="3"/>
      <c r="AQ53" s="132"/>
      <c r="AR53" s="130">
        <f t="shared" si="18"/>
        <v>0</v>
      </c>
      <c r="AS53" s="3">
        <f t="shared" si="19"/>
        <v>1</v>
      </c>
      <c r="AT53" s="130">
        <v>3</v>
      </c>
      <c r="AU53" s="130">
        <f t="shared" si="20"/>
        <v>3</v>
      </c>
      <c r="AV53" s="133">
        <f t="shared" si="32"/>
        <v>7.85</v>
      </c>
      <c r="AW53" s="3">
        <v>1</v>
      </c>
      <c r="AX53" s="3">
        <f t="shared" si="21"/>
        <v>47.4</v>
      </c>
      <c r="AY53" s="3"/>
      <c r="AZ53" s="3">
        <v>50</v>
      </c>
      <c r="BA53" s="134" t="str">
        <f t="shared" si="22"/>
        <v>27476</v>
      </c>
      <c r="BB53" s="3" t="str">
        <f t="shared" si="23"/>
        <v>Cuxhaven</v>
      </c>
      <c r="BC53" s="135" t="str">
        <f t="shared" si="24"/>
        <v>DE</v>
      </c>
      <c r="BD53" s="136">
        <v>46.558575</v>
      </c>
      <c r="BE53" s="135">
        <f t="shared" si="25"/>
        <v>46.558575</v>
      </c>
      <c r="BF53" s="135">
        <v>2.5</v>
      </c>
      <c r="BG53" s="135">
        <f t="shared" si="26"/>
        <v>1.2</v>
      </c>
      <c r="BH53" s="135">
        <v>2.5</v>
      </c>
      <c r="BI53" s="135"/>
      <c r="BJ53" s="135">
        <f t="shared" si="27"/>
        <v>6.2</v>
      </c>
      <c r="BK53" s="137"/>
      <c r="BL53" s="135"/>
      <c r="BM53" s="135">
        <f t="shared" si="28"/>
        <v>0</v>
      </c>
      <c r="BN53" s="138">
        <f t="shared" si="31"/>
        <v>52.758575</v>
      </c>
      <c r="BO53" s="156">
        <f t="shared" si="29"/>
        <v>60.608575</v>
      </c>
    </row>
    <row r="54" spans="1:67">
      <c r="A54" s="129" t="s">
        <v>413</v>
      </c>
      <c r="B54" s="3">
        <f t="shared" si="0"/>
        <v>1</v>
      </c>
      <c r="C54" s="3">
        <v>1</v>
      </c>
      <c r="D54" s="3" t="s">
        <v>291</v>
      </c>
      <c r="E54" s="129" t="s">
        <v>153</v>
      </c>
      <c r="F54" s="3">
        <v>202509</v>
      </c>
      <c r="G54" s="129" t="s">
        <v>154</v>
      </c>
      <c r="H54" s="129" t="s">
        <v>154</v>
      </c>
      <c r="I54" s="129" t="s">
        <v>191</v>
      </c>
      <c r="J54" s="129" t="s">
        <v>157</v>
      </c>
      <c r="K54" s="129" t="s">
        <v>413</v>
      </c>
      <c r="L54" s="129" t="s">
        <v>178</v>
      </c>
      <c r="M54" s="129"/>
      <c r="N54" s="129" t="s">
        <v>160</v>
      </c>
      <c r="O54" s="129">
        <v>1</v>
      </c>
      <c r="P54" s="129" t="s">
        <v>161</v>
      </c>
      <c r="Q54" s="129">
        <v>47.4</v>
      </c>
      <c r="R54" s="129" t="s">
        <v>180</v>
      </c>
      <c r="S54" s="129" t="s">
        <v>198</v>
      </c>
      <c r="T54" s="129" t="s">
        <v>414</v>
      </c>
      <c r="U54" s="129"/>
      <c r="V54" s="129"/>
      <c r="W54" s="129" t="s">
        <v>415</v>
      </c>
      <c r="X54" s="129" t="s">
        <v>416</v>
      </c>
      <c r="Y54" s="129" t="s">
        <v>164</v>
      </c>
      <c r="Z54" s="129" t="s">
        <v>169</v>
      </c>
      <c r="AA54" s="4" t="str">
        <f>VLOOKUP(Z54,物品明细!A:B,2,0)</f>
        <v>金属储物柜71英寸灰色</v>
      </c>
      <c r="AB54" s="3" t="str">
        <f>VLOOKUP(Z54,物品明细!A:I,9,0)</f>
        <v>188x49x14</v>
      </c>
      <c r="AC54" s="3">
        <f>VLOOKUP(Z54,物品明细!A:D,4,0)</f>
        <v>47.4</v>
      </c>
      <c r="AD54" s="3"/>
      <c r="AE54" s="129">
        <v>1</v>
      </c>
      <c r="AF54" s="3">
        <f t="shared" si="1"/>
        <v>47.4</v>
      </c>
      <c r="AG54" s="3">
        <f t="shared" si="14"/>
        <v>1</v>
      </c>
      <c r="AH54" s="59">
        <v>4.85</v>
      </c>
      <c r="AI54" s="130">
        <f t="shared" si="15"/>
        <v>4.85</v>
      </c>
      <c r="AJ54" s="131"/>
      <c r="AK54" s="130"/>
      <c r="AL54" s="130">
        <f t="shared" si="16"/>
        <v>0</v>
      </c>
      <c r="AM54" s="154"/>
      <c r="AN54" s="155"/>
      <c r="AO54" s="130">
        <f t="shared" si="17"/>
        <v>0</v>
      </c>
      <c r="AP54" s="3"/>
      <c r="AQ54" s="132"/>
      <c r="AR54" s="130">
        <f t="shared" si="18"/>
        <v>0</v>
      </c>
      <c r="AS54" s="3">
        <f t="shared" si="19"/>
        <v>1</v>
      </c>
      <c r="AT54" s="130">
        <v>3</v>
      </c>
      <c r="AU54" s="130">
        <f t="shared" si="20"/>
        <v>3</v>
      </c>
      <c r="AV54" s="133">
        <f t="shared" si="32"/>
        <v>7.85</v>
      </c>
      <c r="AW54" s="3">
        <v>1</v>
      </c>
      <c r="AX54" s="3">
        <f t="shared" si="21"/>
        <v>47.4</v>
      </c>
      <c r="AY54" s="3"/>
      <c r="AZ54" s="3">
        <v>50</v>
      </c>
      <c r="BA54" s="134" t="str">
        <f t="shared" si="22"/>
        <v>65618</v>
      </c>
      <c r="BB54" s="3" t="str">
        <f t="shared" si="23"/>
        <v>Selters (taunus)</v>
      </c>
      <c r="BC54" s="135" t="str">
        <f t="shared" si="24"/>
        <v>DE</v>
      </c>
      <c r="BD54" s="136">
        <v>46.558575</v>
      </c>
      <c r="BE54" s="135">
        <f t="shared" si="25"/>
        <v>46.558575</v>
      </c>
      <c r="BF54" s="135">
        <v>2.5</v>
      </c>
      <c r="BG54" s="135">
        <f t="shared" si="26"/>
        <v>1.2</v>
      </c>
      <c r="BH54" s="135">
        <v>2.5</v>
      </c>
      <c r="BI54" s="135"/>
      <c r="BJ54" s="135">
        <f t="shared" si="27"/>
        <v>6.2</v>
      </c>
      <c r="BK54" s="137"/>
      <c r="BL54" s="135"/>
      <c r="BM54" s="135">
        <f t="shared" si="28"/>
        <v>0</v>
      </c>
      <c r="BN54" s="138">
        <f t="shared" si="31"/>
        <v>52.758575</v>
      </c>
      <c r="BO54" s="156">
        <f t="shared" si="29"/>
        <v>60.608575</v>
      </c>
    </row>
    <row r="55" spans="1:67">
      <c r="A55" s="129" t="s">
        <v>417</v>
      </c>
      <c r="B55" s="3">
        <f t="shared" si="0"/>
        <v>1</v>
      </c>
      <c r="C55" s="3">
        <v>1</v>
      </c>
      <c r="D55" s="3" t="s">
        <v>291</v>
      </c>
      <c r="E55" s="129" t="s">
        <v>153</v>
      </c>
      <c r="F55" s="3">
        <v>202509</v>
      </c>
      <c r="G55" s="129" t="s">
        <v>154</v>
      </c>
      <c r="H55" s="129" t="s">
        <v>154</v>
      </c>
      <c r="I55" s="129" t="s">
        <v>176</v>
      </c>
      <c r="J55" s="129" t="s">
        <v>157</v>
      </c>
      <c r="K55" s="129" t="s">
        <v>417</v>
      </c>
      <c r="L55" s="129" t="s">
        <v>178</v>
      </c>
      <c r="M55" s="129"/>
      <c r="N55" s="129" t="s">
        <v>160</v>
      </c>
      <c r="O55" s="129">
        <v>1</v>
      </c>
      <c r="P55" s="129" t="s">
        <v>161</v>
      </c>
      <c r="Q55" s="129">
        <v>47.4</v>
      </c>
      <c r="R55" s="129" t="s">
        <v>180</v>
      </c>
      <c r="S55" s="129" t="s">
        <v>198</v>
      </c>
      <c r="T55" s="129" t="s">
        <v>418</v>
      </c>
      <c r="U55" s="129"/>
      <c r="V55" s="129"/>
      <c r="W55" s="129" t="s">
        <v>419</v>
      </c>
      <c r="X55" s="129" t="s">
        <v>420</v>
      </c>
      <c r="Y55" s="129" t="s">
        <v>164</v>
      </c>
      <c r="Z55" s="129" t="s">
        <v>165</v>
      </c>
      <c r="AA55" s="4" t="str">
        <f>VLOOKUP(Z55,物品明细!A:B,2,0)</f>
        <v>金属储物柜71英寸高</v>
      </c>
      <c r="AB55" s="3" t="str">
        <f>VLOOKUP(Z55,物品明细!A:I,9,0)</f>
        <v>188x49x14</v>
      </c>
      <c r="AC55" s="3">
        <f>VLOOKUP(Z55,物品明细!A:D,4,0)</f>
        <v>47.4</v>
      </c>
      <c r="AD55" s="3"/>
      <c r="AE55" s="129">
        <v>1</v>
      </c>
      <c r="AF55" s="3">
        <f t="shared" si="1"/>
        <v>47.4</v>
      </c>
      <c r="AG55" s="3">
        <f t="shared" si="14"/>
        <v>1</v>
      </c>
      <c r="AH55" s="59">
        <v>4.85</v>
      </c>
      <c r="AI55" s="130">
        <f t="shared" si="15"/>
        <v>4.85</v>
      </c>
      <c r="AJ55" s="131"/>
      <c r="AK55" s="130"/>
      <c r="AL55" s="130">
        <f t="shared" si="16"/>
        <v>0</v>
      </c>
      <c r="AM55" s="154"/>
      <c r="AN55" s="155"/>
      <c r="AO55" s="130">
        <f t="shared" si="17"/>
        <v>0</v>
      </c>
      <c r="AP55" s="3"/>
      <c r="AQ55" s="132"/>
      <c r="AR55" s="130">
        <f t="shared" si="18"/>
        <v>0</v>
      </c>
      <c r="AS55" s="3">
        <f t="shared" si="19"/>
        <v>1</v>
      </c>
      <c r="AT55" s="130">
        <v>3</v>
      </c>
      <c r="AU55" s="130">
        <f t="shared" si="20"/>
        <v>3</v>
      </c>
      <c r="AV55" s="133">
        <f t="shared" si="32"/>
        <v>7.85</v>
      </c>
      <c r="AW55" s="3">
        <v>1</v>
      </c>
      <c r="AX55" s="3">
        <f t="shared" si="21"/>
        <v>47.4</v>
      </c>
      <c r="AY55" s="3"/>
      <c r="AZ55" s="3">
        <v>50</v>
      </c>
      <c r="BA55" s="134" t="str">
        <f t="shared" si="22"/>
        <v>35690</v>
      </c>
      <c r="BB55" s="3" t="str">
        <f t="shared" si="23"/>
        <v>Dillenburg</v>
      </c>
      <c r="BC55" s="135" t="str">
        <f t="shared" si="24"/>
        <v>DE</v>
      </c>
      <c r="BD55" s="136">
        <v>46.558575</v>
      </c>
      <c r="BE55" s="135">
        <f t="shared" si="25"/>
        <v>46.558575</v>
      </c>
      <c r="BF55" s="135">
        <v>2.5</v>
      </c>
      <c r="BG55" s="135">
        <f t="shared" si="26"/>
        <v>1.2</v>
      </c>
      <c r="BH55" s="135">
        <v>2.5</v>
      </c>
      <c r="BI55" s="135"/>
      <c r="BJ55" s="135">
        <f t="shared" si="27"/>
        <v>6.2</v>
      </c>
      <c r="BK55" s="137"/>
      <c r="BL55" s="135"/>
      <c r="BM55" s="135">
        <f t="shared" si="28"/>
        <v>0</v>
      </c>
      <c r="BN55" s="138">
        <f t="shared" si="31"/>
        <v>52.758575</v>
      </c>
      <c r="BO55" s="156">
        <f t="shared" si="29"/>
        <v>60.608575</v>
      </c>
    </row>
    <row r="56" spans="1:67">
      <c r="A56" s="129" t="s">
        <v>421</v>
      </c>
      <c r="B56" s="3">
        <f t="shared" si="0"/>
        <v>1</v>
      </c>
      <c r="C56" s="3">
        <v>1</v>
      </c>
      <c r="D56" s="3" t="s">
        <v>291</v>
      </c>
      <c r="E56" s="129" t="s">
        <v>153</v>
      </c>
      <c r="F56" s="3">
        <v>202509</v>
      </c>
      <c r="G56" s="129" t="s">
        <v>422</v>
      </c>
      <c r="H56" s="129" t="s">
        <v>422</v>
      </c>
      <c r="I56" s="129" t="s">
        <v>176</v>
      </c>
      <c r="J56" s="129" t="s">
        <v>157</v>
      </c>
      <c r="K56" s="129" t="s">
        <v>421</v>
      </c>
      <c r="L56" s="129" t="s">
        <v>178</v>
      </c>
      <c r="M56" s="129"/>
      <c r="N56" s="129" t="s">
        <v>160</v>
      </c>
      <c r="O56" s="129">
        <v>1</v>
      </c>
      <c r="P56" s="129" t="s">
        <v>161</v>
      </c>
      <c r="Q56" s="129">
        <v>47.4</v>
      </c>
      <c r="R56" s="129" t="s">
        <v>180</v>
      </c>
      <c r="S56" s="129" t="s">
        <v>198</v>
      </c>
      <c r="T56" s="129" t="s">
        <v>423</v>
      </c>
      <c r="U56" s="129"/>
      <c r="V56" s="129"/>
      <c r="W56" s="129" t="s">
        <v>424</v>
      </c>
      <c r="X56" s="129" t="s">
        <v>425</v>
      </c>
      <c r="Y56" s="129" t="s">
        <v>164</v>
      </c>
      <c r="Z56" s="129" t="s">
        <v>165</v>
      </c>
      <c r="AA56" s="4" t="str">
        <f>VLOOKUP(Z56,物品明细!A:B,2,0)</f>
        <v>金属储物柜71英寸高</v>
      </c>
      <c r="AB56" s="3" t="str">
        <f>VLOOKUP(Z56,物品明细!A:I,9,0)</f>
        <v>188x49x14</v>
      </c>
      <c r="AC56" s="3">
        <f>VLOOKUP(Z56,物品明细!A:D,4,0)</f>
        <v>47.4</v>
      </c>
      <c r="AD56" s="3"/>
      <c r="AE56" s="129">
        <v>1</v>
      </c>
      <c r="AF56" s="3">
        <f t="shared" si="1"/>
        <v>47.4</v>
      </c>
      <c r="AG56" s="3">
        <f t="shared" si="14"/>
        <v>1</v>
      </c>
      <c r="AH56" s="59">
        <v>4.85</v>
      </c>
      <c r="AI56" s="130">
        <f t="shared" si="15"/>
        <v>4.85</v>
      </c>
      <c r="AJ56" s="131"/>
      <c r="AK56" s="130"/>
      <c r="AL56" s="130">
        <f t="shared" si="16"/>
        <v>0</v>
      </c>
      <c r="AM56" s="154"/>
      <c r="AN56" s="155"/>
      <c r="AO56" s="130">
        <f t="shared" si="17"/>
        <v>0</v>
      </c>
      <c r="AP56" s="3"/>
      <c r="AQ56" s="132"/>
      <c r="AR56" s="130">
        <f t="shared" si="18"/>
        <v>0</v>
      </c>
      <c r="AS56" s="3">
        <f t="shared" si="19"/>
        <v>1</v>
      </c>
      <c r="AT56" s="130">
        <v>3</v>
      </c>
      <c r="AU56" s="130">
        <f t="shared" si="20"/>
        <v>3</v>
      </c>
      <c r="AV56" s="133">
        <f t="shared" si="32"/>
        <v>7.85</v>
      </c>
      <c r="AW56" s="3">
        <v>1</v>
      </c>
      <c r="AX56" s="3">
        <f t="shared" si="21"/>
        <v>47.4</v>
      </c>
      <c r="AY56" s="3"/>
      <c r="AZ56" s="3">
        <v>50</v>
      </c>
      <c r="BA56" s="134" t="str">
        <f t="shared" si="22"/>
        <v>53940</v>
      </c>
      <c r="BB56" s="3" t="str">
        <f t="shared" si="23"/>
        <v>Hellenthal</v>
      </c>
      <c r="BC56" s="135" t="str">
        <f t="shared" si="24"/>
        <v>DE</v>
      </c>
      <c r="BD56" s="136">
        <v>46.558575</v>
      </c>
      <c r="BE56" s="135">
        <f t="shared" si="25"/>
        <v>46.558575</v>
      </c>
      <c r="BF56" s="135">
        <v>2.5</v>
      </c>
      <c r="BG56" s="135">
        <f t="shared" si="26"/>
        <v>1.2</v>
      </c>
      <c r="BH56" s="135">
        <v>2.5</v>
      </c>
      <c r="BI56" s="135"/>
      <c r="BJ56" s="135">
        <f t="shared" si="27"/>
        <v>6.2</v>
      </c>
      <c r="BK56" s="137"/>
      <c r="BL56" s="135"/>
      <c r="BM56" s="135">
        <f t="shared" si="28"/>
        <v>0</v>
      </c>
      <c r="BN56" s="138">
        <f t="shared" si="31"/>
        <v>52.758575</v>
      </c>
      <c r="BO56" s="156">
        <f t="shared" si="29"/>
        <v>60.608575</v>
      </c>
    </row>
    <row r="57" spans="1:67">
      <c r="A57" s="129" t="s">
        <v>426</v>
      </c>
      <c r="B57" s="3">
        <f t="shared" si="0"/>
        <v>1</v>
      </c>
      <c r="C57" s="3">
        <v>1</v>
      </c>
      <c r="D57" s="3" t="s">
        <v>291</v>
      </c>
      <c r="E57" s="129" t="s">
        <v>153</v>
      </c>
      <c r="F57" s="3">
        <v>202509</v>
      </c>
      <c r="G57" s="129" t="s">
        <v>422</v>
      </c>
      <c r="H57" s="129" t="s">
        <v>422</v>
      </c>
      <c r="I57" s="129" t="s">
        <v>176</v>
      </c>
      <c r="J57" s="129" t="s">
        <v>157</v>
      </c>
      <c r="K57" s="129" t="s">
        <v>426</v>
      </c>
      <c r="L57" s="129" t="s">
        <v>178</v>
      </c>
      <c r="M57" s="129"/>
      <c r="N57" s="129" t="s">
        <v>160</v>
      </c>
      <c r="O57" s="129">
        <v>1</v>
      </c>
      <c r="P57" s="129" t="s">
        <v>161</v>
      </c>
      <c r="Q57" s="129">
        <v>47.4</v>
      </c>
      <c r="R57" s="129" t="s">
        <v>180</v>
      </c>
      <c r="S57" s="129" t="s">
        <v>198</v>
      </c>
      <c r="T57" s="129" t="s">
        <v>427</v>
      </c>
      <c r="U57" s="129"/>
      <c r="V57" s="129"/>
      <c r="W57" s="129" t="s">
        <v>428</v>
      </c>
      <c r="X57" s="129" t="s">
        <v>429</v>
      </c>
      <c r="Y57" s="129" t="s">
        <v>164</v>
      </c>
      <c r="Z57" s="129" t="s">
        <v>165</v>
      </c>
      <c r="AA57" s="4" t="str">
        <f>VLOOKUP(Z57,物品明细!A:B,2,0)</f>
        <v>金属储物柜71英寸高</v>
      </c>
      <c r="AB57" s="3" t="str">
        <f>VLOOKUP(Z57,物品明细!A:I,9,0)</f>
        <v>188x49x14</v>
      </c>
      <c r="AC57" s="3">
        <f>VLOOKUP(Z57,物品明细!A:D,4,0)</f>
        <v>47.4</v>
      </c>
      <c r="AD57" s="3"/>
      <c r="AE57" s="129">
        <v>1</v>
      </c>
      <c r="AF57" s="3">
        <f t="shared" si="1"/>
        <v>47.4</v>
      </c>
      <c r="AG57" s="3">
        <f t="shared" si="14"/>
        <v>1</v>
      </c>
      <c r="AH57" s="59">
        <v>4.85</v>
      </c>
      <c r="AI57" s="130">
        <f t="shared" si="15"/>
        <v>4.85</v>
      </c>
      <c r="AJ57" s="131"/>
      <c r="AK57" s="130"/>
      <c r="AL57" s="130">
        <f t="shared" si="16"/>
        <v>0</v>
      </c>
      <c r="AM57" s="154"/>
      <c r="AN57" s="155"/>
      <c r="AO57" s="130">
        <f t="shared" si="17"/>
        <v>0</v>
      </c>
      <c r="AP57" s="3"/>
      <c r="AQ57" s="132"/>
      <c r="AR57" s="130">
        <f t="shared" si="18"/>
        <v>0</v>
      </c>
      <c r="AS57" s="3">
        <f t="shared" si="19"/>
        <v>1</v>
      </c>
      <c r="AT57" s="130">
        <v>3</v>
      </c>
      <c r="AU57" s="130">
        <f t="shared" si="20"/>
        <v>3</v>
      </c>
      <c r="AV57" s="133">
        <f t="shared" si="32"/>
        <v>7.85</v>
      </c>
      <c r="AW57" s="3">
        <v>1</v>
      </c>
      <c r="AX57" s="3">
        <f t="shared" si="21"/>
        <v>47.4</v>
      </c>
      <c r="AY57" s="3"/>
      <c r="AZ57" s="3">
        <v>50</v>
      </c>
      <c r="BA57" s="134" t="str">
        <f t="shared" si="22"/>
        <v>38489</v>
      </c>
      <c r="BB57" s="3" t="str">
        <f t="shared" si="23"/>
        <v>Jübar</v>
      </c>
      <c r="BC57" s="135" t="str">
        <f t="shared" si="24"/>
        <v>DE</v>
      </c>
      <c r="BD57" s="136">
        <v>46.558575</v>
      </c>
      <c r="BE57" s="135">
        <f t="shared" si="25"/>
        <v>46.558575</v>
      </c>
      <c r="BF57" s="135">
        <v>2.5</v>
      </c>
      <c r="BG57" s="135">
        <f t="shared" si="26"/>
        <v>1.2</v>
      </c>
      <c r="BH57" s="135">
        <v>2.5</v>
      </c>
      <c r="BI57" s="135"/>
      <c r="BJ57" s="135">
        <f t="shared" si="27"/>
        <v>6.2</v>
      </c>
      <c r="BK57" s="137"/>
      <c r="BL57" s="135"/>
      <c r="BM57" s="135">
        <f t="shared" si="28"/>
        <v>0</v>
      </c>
      <c r="BN57" s="138">
        <f t="shared" si="31"/>
        <v>52.758575</v>
      </c>
      <c r="BO57" s="156">
        <f t="shared" si="29"/>
        <v>60.608575</v>
      </c>
    </row>
    <row r="58" spans="1:67">
      <c r="A58" s="129" t="s">
        <v>430</v>
      </c>
      <c r="B58" s="3">
        <f t="shared" si="0"/>
        <v>1</v>
      </c>
      <c r="C58" s="3">
        <v>1</v>
      </c>
      <c r="D58" s="3" t="s">
        <v>291</v>
      </c>
      <c r="E58" s="129" t="s">
        <v>153</v>
      </c>
      <c r="F58" s="3">
        <v>202509</v>
      </c>
      <c r="G58" s="129" t="s">
        <v>422</v>
      </c>
      <c r="H58" s="129" t="s">
        <v>422</v>
      </c>
      <c r="I58" s="129" t="s">
        <v>176</v>
      </c>
      <c r="J58" s="129" t="s">
        <v>157</v>
      </c>
      <c r="K58" s="129" t="s">
        <v>430</v>
      </c>
      <c r="L58" s="129" t="s">
        <v>178</v>
      </c>
      <c r="M58" s="129"/>
      <c r="N58" s="129" t="s">
        <v>160</v>
      </c>
      <c r="O58" s="129">
        <v>1</v>
      </c>
      <c r="P58" s="129" t="s">
        <v>161</v>
      </c>
      <c r="Q58" s="129">
        <v>47.4</v>
      </c>
      <c r="R58" s="129" t="s">
        <v>180</v>
      </c>
      <c r="S58" s="129" t="s">
        <v>198</v>
      </c>
      <c r="T58" s="129" t="s">
        <v>431</v>
      </c>
      <c r="U58" s="129"/>
      <c r="V58" s="129"/>
      <c r="W58" s="129" t="s">
        <v>432</v>
      </c>
      <c r="X58" s="129" t="s">
        <v>433</v>
      </c>
      <c r="Y58" s="129" t="s">
        <v>164</v>
      </c>
      <c r="Z58" s="129" t="s">
        <v>165</v>
      </c>
      <c r="AA58" s="4" t="str">
        <f>VLOOKUP(Z58,物品明细!A:B,2,0)</f>
        <v>金属储物柜71英寸高</v>
      </c>
      <c r="AB58" s="3" t="str">
        <f>VLOOKUP(Z58,物品明细!A:I,9,0)</f>
        <v>188x49x14</v>
      </c>
      <c r="AC58" s="3">
        <f>VLOOKUP(Z58,物品明细!A:D,4,0)</f>
        <v>47.4</v>
      </c>
      <c r="AD58" s="3"/>
      <c r="AE58" s="129">
        <v>1</v>
      </c>
      <c r="AF58" s="3">
        <f t="shared" si="1"/>
        <v>47.4</v>
      </c>
      <c r="AG58" s="3">
        <f t="shared" si="14"/>
        <v>1</v>
      </c>
      <c r="AH58" s="59">
        <v>4.85</v>
      </c>
      <c r="AI58" s="130">
        <f t="shared" si="15"/>
        <v>4.85</v>
      </c>
      <c r="AJ58" s="131"/>
      <c r="AK58" s="130"/>
      <c r="AL58" s="130">
        <f t="shared" si="16"/>
        <v>0</v>
      </c>
      <c r="AM58" s="154"/>
      <c r="AN58" s="155"/>
      <c r="AO58" s="130">
        <f t="shared" si="17"/>
        <v>0</v>
      </c>
      <c r="AP58" s="3"/>
      <c r="AQ58" s="132"/>
      <c r="AR58" s="130">
        <f t="shared" si="18"/>
        <v>0</v>
      </c>
      <c r="AS58" s="3">
        <f t="shared" si="19"/>
        <v>1</v>
      </c>
      <c r="AT58" s="130">
        <v>3</v>
      </c>
      <c r="AU58" s="130">
        <f t="shared" si="20"/>
        <v>3</v>
      </c>
      <c r="AV58" s="133">
        <f t="shared" si="32"/>
        <v>7.85</v>
      </c>
      <c r="AW58" s="3">
        <v>1</v>
      </c>
      <c r="AX58" s="3">
        <f t="shared" si="21"/>
        <v>47.4</v>
      </c>
      <c r="AY58" s="3"/>
      <c r="AZ58" s="3">
        <v>50</v>
      </c>
      <c r="BA58" s="134" t="str">
        <f t="shared" si="22"/>
        <v>74229</v>
      </c>
      <c r="BB58" s="3" t="str">
        <f t="shared" si="23"/>
        <v>Oedheim</v>
      </c>
      <c r="BC58" s="135" t="str">
        <f t="shared" si="24"/>
        <v>DE</v>
      </c>
      <c r="BD58" s="136">
        <v>46.558575</v>
      </c>
      <c r="BE58" s="135">
        <f t="shared" si="25"/>
        <v>46.558575</v>
      </c>
      <c r="BF58" s="135">
        <v>2.5</v>
      </c>
      <c r="BG58" s="135">
        <f t="shared" si="26"/>
        <v>1.2</v>
      </c>
      <c r="BH58" s="135">
        <v>2.5</v>
      </c>
      <c r="BI58" s="135"/>
      <c r="BJ58" s="135">
        <f t="shared" si="27"/>
        <v>6.2</v>
      </c>
      <c r="BK58" s="137"/>
      <c r="BL58" s="135"/>
      <c r="BM58" s="135">
        <f t="shared" si="28"/>
        <v>0</v>
      </c>
      <c r="BN58" s="138">
        <f t="shared" si="31"/>
        <v>52.758575</v>
      </c>
      <c r="BO58" s="156">
        <f t="shared" si="29"/>
        <v>60.608575</v>
      </c>
    </row>
    <row r="59" spans="1:67">
      <c r="A59" s="129" t="s">
        <v>434</v>
      </c>
      <c r="B59" s="3">
        <f t="shared" si="0"/>
        <v>1</v>
      </c>
      <c r="C59" s="3">
        <v>1</v>
      </c>
      <c r="D59" s="3" t="s">
        <v>291</v>
      </c>
      <c r="E59" s="129" t="s">
        <v>153</v>
      </c>
      <c r="F59" s="3">
        <v>202509</v>
      </c>
      <c r="G59" s="129" t="s">
        <v>422</v>
      </c>
      <c r="H59" s="129" t="s">
        <v>422</v>
      </c>
      <c r="I59" s="129" t="s">
        <v>176</v>
      </c>
      <c r="J59" s="129" t="s">
        <v>157</v>
      </c>
      <c r="K59" s="129" t="s">
        <v>434</v>
      </c>
      <c r="L59" s="129" t="s">
        <v>178</v>
      </c>
      <c r="M59" s="129"/>
      <c r="N59" s="129" t="s">
        <v>160</v>
      </c>
      <c r="O59" s="129">
        <v>1</v>
      </c>
      <c r="P59" s="129" t="s">
        <v>161</v>
      </c>
      <c r="Q59" s="129">
        <v>47.4</v>
      </c>
      <c r="R59" s="129" t="s">
        <v>180</v>
      </c>
      <c r="S59" s="129" t="s">
        <v>198</v>
      </c>
      <c r="T59" s="129" t="s">
        <v>435</v>
      </c>
      <c r="U59" s="129"/>
      <c r="V59" s="129"/>
      <c r="W59" s="129" t="s">
        <v>436</v>
      </c>
      <c r="X59" s="129" t="s">
        <v>437</v>
      </c>
      <c r="Y59" s="129" t="s">
        <v>164</v>
      </c>
      <c r="Z59" s="129" t="s">
        <v>165</v>
      </c>
      <c r="AA59" s="4" t="str">
        <f>VLOOKUP(Z59,物品明细!A:B,2,0)</f>
        <v>金属储物柜71英寸高</v>
      </c>
      <c r="AB59" s="3" t="str">
        <f>VLOOKUP(Z59,物品明细!A:I,9,0)</f>
        <v>188x49x14</v>
      </c>
      <c r="AC59" s="3">
        <f>VLOOKUP(Z59,物品明细!A:D,4,0)</f>
        <v>47.4</v>
      </c>
      <c r="AD59" s="3"/>
      <c r="AE59" s="129">
        <v>1</v>
      </c>
      <c r="AF59" s="3">
        <f t="shared" si="1"/>
        <v>47.4</v>
      </c>
      <c r="AG59" s="3">
        <f t="shared" si="14"/>
        <v>1</v>
      </c>
      <c r="AH59" s="59">
        <v>4.85</v>
      </c>
      <c r="AI59" s="130">
        <f t="shared" si="15"/>
        <v>4.85</v>
      </c>
      <c r="AJ59" s="131"/>
      <c r="AK59" s="130"/>
      <c r="AL59" s="130">
        <f t="shared" si="16"/>
        <v>0</v>
      </c>
      <c r="AM59" s="154"/>
      <c r="AN59" s="155"/>
      <c r="AO59" s="130">
        <f t="shared" si="17"/>
        <v>0</v>
      </c>
      <c r="AP59" s="3"/>
      <c r="AQ59" s="132"/>
      <c r="AR59" s="130">
        <f t="shared" si="18"/>
        <v>0</v>
      </c>
      <c r="AS59" s="3">
        <f t="shared" si="19"/>
        <v>1</v>
      </c>
      <c r="AT59" s="130">
        <v>3</v>
      </c>
      <c r="AU59" s="130">
        <f t="shared" si="20"/>
        <v>3</v>
      </c>
      <c r="AV59" s="133">
        <f t="shared" si="32"/>
        <v>7.85</v>
      </c>
      <c r="AW59" s="3">
        <v>1</v>
      </c>
      <c r="AX59" s="3">
        <f t="shared" si="21"/>
        <v>47.4</v>
      </c>
      <c r="AY59" s="3"/>
      <c r="AZ59" s="3">
        <v>50</v>
      </c>
      <c r="BA59" s="134" t="str">
        <f t="shared" si="22"/>
        <v>23758</v>
      </c>
      <c r="BB59" s="3" t="str">
        <f t="shared" si="23"/>
        <v>Oldenburg in Holstein</v>
      </c>
      <c r="BC59" s="135" t="str">
        <f t="shared" si="24"/>
        <v>DE</v>
      </c>
      <c r="BD59" s="136">
        <v>46.558575</v>
      </c>
      <c r="BE59" s="135">
        <f t="shared" si="25"/>
        <v>46.558575</v>
      </c>
      <c r="BF59" s="135">
        <v>2.5</v>
      </c>
      <c r="BG59" s="135">
        <f t="shared" si="26"/>
        <v>1.2</v>
      </c>
      <c r="BH59" s="135">
        <v>2.5</v>
      </c>
      <c r="BI59" s="135"/>
      <c r="BJ59" s="135">
        <f t="shared" si="27"/>
        <v>6.2</v>
      </c>
      <c r="BK59" s="137"/>
      <c r="BL59" s="135"/>
      <c r="BM59" s="135">
        <f t="shared" si="28"/>
        <v>0</v>
      </c>
      <c r="BN59" s="138">
        <f t="shared" si="31"/>
        <v>52.758575</v>
      </c>
      <c r="BO59" s="156">
        <f t="shared" si="29"/>
        <v>60.608575</v>
      </c>
    </row>
    <row r="60" spans="1:67">
      <c r="A60" s="129" t="s">
        <v>438</v>
      </c>
      <c r="B60" s="3">
        <f t="shared" si="0"/>
        <v>1</v>
      </c>
      <c r="C60" s="3">
        <v>1</v>
      </c>
      <c r="D60" s="3" t="s">
        <v>291</v>
      </c>
      <c r="E60" s="129" t="s">
        <v>153</v>
      </c>
      <c r="F60" s="3">
        <v>202509</v>
      </c>
      <c r="G60" s="129" t="s">
        <v>439</v>
      </c>
      <c r="H60" s="129" t="s">
        <v>439</v>
      </c>
      <c r="I60" s="129" t="s">
        <v>156</v>
      </c>
      <c r="J60" s="129" t="s">
        <v>157</v>
      </c>
      <c r="K60" s="129" t="s">
        <v>438</v>
      </c>
      <c r="L60" s="129" t="s">
        <v>178</v>
      </c>
      <c r="M60" s="129"/>
      <c r="N60" s="129" t="s">
        <v>160</v>
      </c>
      <c r="O60" s="129">
        <v>1</v>
      </c>
      <c r="P60" s="129" t="s">
        <v>161</v>
      </c>
      <c r="Q60" s="129">
        <v>47.4</v>
      </c>
      <c r="R60" s="129" t="s">
        <v>180</v>
      </c>
      <c r="S60" s="129" t="s">
        <v>198</v>
      </c>
      <c r="T60" s="129" t="s">
        <v>440</v>
      </c>
      <c r="U60" s="129"/>
      <c r="V60" s="129"/>
      <c r="W60" s="129" t="s">
        <v>441</v>
      </c>
      <c r="X60" s="129" t="s">
        <v>442</v>
      </c>
      <c r="Y60" s="129" t="s">
        <v>164</v>
      </c>
      <c r="Z60" s="129" t="s">
        <v>165</v>
      </c>
      <c r="AA60" s="4" t="str">
        <f>VLOOKUP(Z60,物品明细!A:B,2,0)</f>
        <v>金属储物柜71英寸高</v>
      </c>
      <c r="AB60" s="3" t="str">
        <f>VLOOKUP(Z60,物品明细!A:I,9,0)</f>
        <v>188x49x14</v>
      </c>
      <c r="AC60" s="3">
        <f>VLOOKUP(Z60,物品明细!A:D,4,0)</f>
        <v>47.4</v>
      </c>
      <c r="AD60" s="3"/>
      <c r="AE60" s="129">
        <v>1</v>
      </c>
      <c r="AF60" s="3">
        <f t="shared" si="1"/>
        <v>47.4</v>
      </c>
      <c r="AG60" s="3">
        <f t="shared" si="14"/>
        <v>1</v>
      </c>
      <c r="AH60" s="59">
        <v>4.85</v>
      </c>
      <c r="AI60" s="130">
        <f t="shared" si="15"/>
        <v>4.85</v>
      </c>
      <c r="AJ60" s="131"/>
      <c r="AK60" s="130"/>
      <c r="AL60" s="130">
        <f t="shared" si="16"/>
        <v>0</v>
      </c>
      <c r="AM60" s="154"/>
      <c r="AN60" s="155"/>
      <c r="AO60" s="130">
        <f t="shared" si="17"/>
        <v>0</v>
      </c>
      <c r="AP60" s="3"/>
      <c r="AQ60" s="132"/>
      <c r="AR60" s="130">
        <f t="shared" si="18"/>
        <v>0</v>
      </c>
      <c r="AS60" s="3">
        <f t="shared" si="19"/>
        <v>1</v>
      </c>
      <c r="AT60" s="130">
        <v>3</v>
      </c>
      <c r="AU60" s="130">
        <f t="shared" si="20"/>
        <v>3</v>
      </c>
      <c r="AV60" s="133">
        <f t="shared" si="32"/>
        <v>7.85</v>
      </c>
      <c r="AW60" s="3">
        <v>1</v>
      </c>
      <c r="AX60" s="3">
        <f t="shared" si="21"/>
        <v>47.4</v>
      </c>
      <c r="AY60" s="3"/>
      <c r="AZ60" s="3">
        <v>50</v>
      </c>
      <c r="BA60" s="134" t="str">
        <f t="shared" si="22"/>
        <v>21337</v>
      </c>
      <c r="BB60" s="3" t="str">
        <f t="shared" si="23"/>
        <v>Lüneburg</v>
      </c>
      <c r="BC60" s="135" t="str">
        <f t="shared" si="24"/>
        <v>DE</v>
      </c>
      <c r="BD60" s="136">
        <v>46.558575</v>
      </c>
      <c r="BE60" s="135">
        <f t="shared" si="25"/>
        <v>46.558575</v>
      </c>
      <c r="BF60" s="135">
        <v>2.5</v>
      </c>
      <c r="BG60" s="135">
        <f t="shared" si="26"/>
        <v>1.2</v>
      </c>
      <c r="BH60" s="135">
        <v>2.5</v>
      </c>
      <c r="BI60" s="135"/>
      <c r="BJ60" s="135">
        <f t="shared" si="27"/>
        <v>6.2</v>
      </c>
      <c r="BK60" s="137"/>
      <c r="BL60" s="135"/>
      <c r="BM60" s="135">
        <f t="shared" si="28"/>
        <v>0</v>
      </c>
      <c r="BN60" s="138">
        <f t="shared" si="31"/>
        <v>52.758575</v>
      </c>
      <c r="BO60" s="156">
        <f t="shared" si="29"/>
        <v>60.608575</v>
      </c>
    </row>
    <row r="61" spans="1:67">
      <c r="A61" s="129" t="s">
        <v>443</v>
      </c>
      <c r="B61" s="3">
        <f t="shared" si="0"/>
        <v>1</v>
      </c>
      <c r="C61" s="3">
        <v>1</v>
      </c>
      <c r="D61" s="3" t="s">
        <v>291</v>
      </c>
      <c r="E61" s="129" t="s">
        <v>153</v>
      </c>
      <c r="F61" s="3">
        <v>202509</v>
      </c>
      <c r="G61" s="129" t="s">
        <v>439</v>
      </c>
      <c r="H61" s="129" t="s">
        <v>439</v>
      </c>
      <c r="I61" s="129" t="s">
        <v>156</v>
      </c>
      <c r="J61" s="129" t="s">
        <v>157</v>
      </c>
      <c r="K61" s="129" t="s">
        <v>443</v>
      </c>
      <c r="L61" s="129" t="s">
        <v>178</v>
      </c>
      <c r="M61" s="129"/>
      <c r="N61" s="129" t="s">
        <v>160</v>
      </c>
      <c r="O61" s="129">
        <v>1</v>
      </c>
      <c r="P61" s="129" t="s">
        <v>161</v>
      </c>
      <c r="Q61" s="129">
        <v>47.4</v>
      </c>
      <c r="R61" s="129" t="s">
        <v>180</v>
      </c>
      <c r="S61" s="129" t="s">
        <v>198</v>
      </c>
      <c r="T61" s="129" t="s">
        <v>444</v>
      </c>
      <c r="U61" s="129"/>
      <c r="V61" s="129"/>
      <c r="W61" s="129" t="s">
        <v>445</v>
      </c>
      <c r="X61" s="129" t="s">
        <v>446</v>
      </c>
      <c r="Y61" s="129" t="s">
        <v>164</v>
      </c>
      <c r="Z61" s="129" t="s">
        <v>165</v>
      </c>
      <c r="AA61" s="4" t="str">
        <f>VLOOKUP(Z61,物品明细!A:B,2,0)</f>
        <v>金属储物柜71英寸高</v>
      </c>
      <c r="AB61" s="3" t="str">
        <f>VLOOKUP(Z61,物品明细!A:I,9,0)</f>
        <v>188x49x14</v>
      </c>
      <c r="AC61" s="3">
        <f>VLOOKUP(Z61,物品明细!A:D,4,0)</f>
        <v>47.4</v>
      </c>
      <c r="AD61" s="3"/>
      <c r="AE61" s="129">
        <v>1</v>
      </c>
      <c r="AF61" s="3">
        <f t="shared" si="1"/>
        <v>47.4</v>
      </c>
      <c r="AG61" s="3">
        <f t="shared" si="14"/>
        <v>1</v>
      </c>
      <c r="AH61" s="59">
        <v>4.85</v>
      </c>
      <c r="AI61" s="130">
        <f t="shared" si="15"/>
        <v>4.85</v>
      </c>
      <c r="AJ61" s="131"/>
      <c r="AK61" s="130"/>
      <c r="AL61" s="130">
        <f t="shared" si="16"/>
        <v>0</v>
      </c>
      <c r="AM61" s="154"/>
      <c r="AN61" s="155"/>
      <c r="AO61" s="130">
        <f t="shared" si="17"/>
        <v>0</v>
      </c>
      <c r="AP61" s="3"/>
      <c r="AQ61" s="132"/>
      <c r="AR61" s="130">
        <f t="shared" si="18"/>
        <v>0</v>
      </c>
      <c r="AS61" s="3">
        <f t="shared" si="19"/>
        <v>1</v>
      </c>
      <c r="AT61" s="130">
        <v>3</v>
      </c>
      <c r="AU61" s="130">
        <f t="shared" si="20"/>
        <v>3</v>
      </c>
      <c r="AV61" s="133">
        <f t="shared" si="32"/>
        <v>7.85</v>
      </c>
      <c r="AW61" s="3">
        <v>1</v>
      </c>
      <c r="AX61" s="3">
        <f t="shared" si="21"/>
        <v>47.4</v>
      </c>
      <c r="AY61" s="3"/>
      <c r="AZ61" s="3">
        <v>50</v>
      </c>
      <c r="BA61" s="134" t="str">
        <f t="shared" si="22"/>
        <v>32602</v>
      </c>
      <c r="BB61" s="3" t="str">
        <f t="shared" si="23"/>
        <v>Vlotho</v>
      </c>
      <c r="BC61" s="135" t="str">
        <f t="shared" si="24"/>
        <v>DE</v>
      </c>
      <c r="BD61" s="136">
        <v>46.558575</v>
      </c>
      <c r="BE61" s="135">
        <f t="shared" si="25"/>
        <v>46.558575</v>
      </c>
      <c r="BF61" s="135">
        <v>2.5</v>
      </c>
      <c r="BG61" s="135">
        <f t="shared" si="26"/>
        <v>1.2</v>
      </c>
      <c r="BH61" s="135">
        <v>2.5</v>
      </c>
      <c r="BI61" s="135"/>
      <c r="BJ61" s="135">
        <f t="shared" si="27"/>
        <v>6.2</v>
      </c>
      <c r="BK61" s="137"/>
      <c r="BL61" s="135"/>
      <c r="BM61" s="135">
        <f t="shared" si="28"/>
        <v>0</v>
      </c>
      <c r="BN61" s="138">
        <f t="shared" si="31"/>
        <v>52.758575</v>
      </c>
      <c r="BO61" s="156">
        <f t="shared" si="29"/>
        <v>60.608575</v>
      </c>
    </row>
    <row r="62" spans="1:67">
      <c r="A62" s="129" t="s">
        <v>447</v>
      </c>
      <c r="B62" s="3">
        <f t="shared" si="0"/>
        <v>1</v>
      </c>
      <c r="C62" s="3">
        <v>1</v>
      </c>
      <c r="D62" s="3" t="s">
        <v>291</v>
      </c>
      <c r="E62" s="129" t="s">
        <v>153</v>
      </c>
      <c r="F62" s="3">
        <v>202509</v>
      </c>
      <c r="G62" s="129" t="s">
        <v>439</v>
      </c>
      <c r="H62" s="129" t="s">
        <v>439</v>
      </c>
      <c r="I62" s="129" t="s">
        <v>156</v>
      </c>
      <c r="J62" s="129" t="s">
        <v>157</v>
      </c>
      <c r="K62" s="129" t="s">
        <v>447</v>
      </c>
      <c r="L62" s="129" t="s">
        <v>178</v>
      </c>
      <c r="M62" s="129"/>
      <c r="N62" s="129" t="s">
        <v>160</v>
      </c>
      <c r="O62" s="129">
        <v>1</v>
      </c>
      <c r="P62" s="129" t="s">
        <v>161</v>
      </c>
      <c r="Q62" s="129">
        <v>47.4</v>
      </c>
      <c r="R62" s="129" t="s">
        <v>180</v>
      </c>
      <c r="S62" s="129" t="s">
        <v>198</v>
      </c>
      <c r="T62" s="129" t="s">
        <v>448</v>
      </c>
      <c r="U62" s="129"/>
      <c r="V62" s="129"/>
      <c r="W62" s="129" t="s">
        <v>415</v>
      </c>
      <c r="X62" s="129" t="s">
        <v>416</v>
      </c>
      <c r="Y62" s="129" t="s">
        <v>164</v>
      </c>
      <c r="Z62" s="129" t="s">
        <v>168</v>
      </c>
      <c r="AA62" s="4" t="str">
        <f>VLOOKUP(Z62,物品明细!A:B,2,0)</f>
        <v>金属储物柜71英寸银色</v>
      </c>
      <c r="AB62" s="3" t="str">
        <f>VLOOKUP(Z62,物品明细!A:I,9,0)</f>
        <v>188x49x14</v>
      </c>
      <c r="AC62" s="3">
        <f>VLOOKUP(Z62,物品明细!A:D,4,0)</f>
        <v>47.4</v>
      </c>
      <c r="AD62" s="3"/>
      <c r="AE62" s="129">
        <v>1</v>
      </c>
      <c r="AF62" s="3">
        <f t="shared" si="1"/>
        <v>47.4</v>
      </c>
      <c r="AG62" s="3">
        <f t="shared" si="14"/>
        <v>1</v>
      </c>
      <c r="AH62" s="59">
        <v>4.85</v>
      </c>
      <c r="AI62" s="130">
        <f t="shared" si="15"/>
        <v>4.85</v>
      </c>
      <c r="AJ62" s="131"/>
      <c r="AK62" s="130"/>
      <c r="AL62" s="130">
        <f t="shared" si="16"/>
        <v>0</v>
      </c>
      <c r="AM62" s="154"/>
      <c r="AN62" s="155"/>
      <c r="AO62" s="130">
        <f t="shared" si="17"/>
        <v>0</v>
      </c>
      <c r="AP62" s="3"/>
      <c r="AQ62" s="132"/>
      <c r="AR62" s="130">
        <f t="shared" si="18"/>
        <v>0</v>
      </c>
      <c r="AS62" s="3">
        <f t="shared" si="19"/>
        <v>1</v>
      </c>
      <c r="AT62" s="130">
        <v>3</v>
      </c>
      <c r="AU62" s="130">
        <f t="shared" si="20"/>
        <v>3</v>
      </c>
      <c r="AV62" s="133">
        <f t="shared" si="32"/>
        <v>7.85</v>
      </c>
      <c r="AW62" s="3">
        <v>1</v>
      </c>
      <c r="AX62" s="3">
        <f t="shared" si="21"/>
        <v>47.4</v>
      </c>
      <c r="AY62" s="3"/>
      <c r="AZ62" s="3">
        <v>50</v>
      </c>
      <c r="BA62" s="134" t="str">
        <f t="shared" si="22"/>
        <v>65618</v>
      </c>
      <c r="BB62" s="3" t="str">
        <f t="shared" si="23"/>
        <v>Selters (taunus)</v>
      </c>
      <c r="BC62" s="135" t="str">
        <f t="shared" si="24"/>
        <v>DE</v>
      </c>
      <c r="BD62" s="136">
        <v>46.558575</v>
      </c>
      <c r="BE62" s="135">
        <f t="shared" si="25"/>
        <v>46.558575</v>
      </c>
      <c r="BF62" s="135">
        <v>2.5</v>
      </c>
      <c r="BG62" s="135">
        <f t="shared" si="26"/>
        <v>1.2</v>
      </c>
      <c r="BH62" s="135">
        <v>2.5</v>
      </c>
      <c r="BI62" s="135"/>
      <c r="BJ62" s="135">
        <f t="shared" si="27"/>
        <v>6.2</v>
      </c>
      <c r="BK62" s="137"/>
      <c r="BL62" s="135"/>
      <c r="BM62" s="135">
        <f t="shared" si="28"/>
        <v>0</v>
      </c>
      <c r="BN62" s="138">
        <f t="shared" si="31"/>
        <v>52.758575</v>
      </c>
      <c r="BO62" s="156">
        <f t="shared" si="29"/>
        <v>60.608575</v>
      </c>
    </row>
    <row r="63" spans="1:67">
      <c r="A63" s="129" t="s">
        <v>449</v>
      </c>
      <c r="B63" s="3">
        <f t="shared" si="0"/>
        <v>1</v>
      </c>
      <c r="C63" s="3">
        <v>1</v>
      </c>
      <c r="D63" s="3" t="s">
        <v>291</v>
      </c>
      <c r="E63" s="129" t="s">
        <v>153</v>
      </c>
      <c r="F63" s="3">
        <v>202509</v>
      </c>
      <c r="G63" s="129" t="s">
        <v>439</v>
      </c>
      <c r="H63" s="129" t="s">
        <v>439</v>
      </c>
      <c r="I63" s="129" t="s">
        <v>156</v>
      </c>
      <c r="J63" s="129" t="s">
        <v>157</v>
      </c>
      <c r="K63" s="129" t="s">
        <v>449</v>
      </c>
      <c r="L63" s="129" t="s">
        <v>178</v>
      </c>
      <c r="M63" s="129"/>
      <c r="N63" s="129" t="s">
        <v>160</v>
      </c>
      <c r="O63" s="129">
        <v>1</v>
      </c>
      <c r="P63" s="129" t="s">
        <v>161</v>
      </c>
      <c r="Q63" s="129">
        <v>47.4</v>
      </c>
      <c r="R63" s="129" t="s">
        <v>180</v>
      </c>
      <c r="S63" s="129" t="s">
        <v>198</v>
      </c>
      <c r="T63" s="129" t="s">
        <v>450</v>
      </c>
      <c r="U63" s="129"/>
      <c r="V63" s="129"/>
      <c r="W63" s="129" t="s">
        <v>451</v>
      </c>
      <c r="X63" s="129" t="s">
        <v>452</v>
      </c>
      <c r="Y63" s="129" t="s">
        <v>164</v>
      </c>
      <c r="Z63" s="129" t="s">
        <v>165</v>
      </c>
      <c r="AA63" s="4" t="str">
        <f>VLOOKUP(Z63,物品明细!A:B,2,0)</f>
        <v>金属储物柜71英寸高</v>
      </c>
      <c r="AB63" s="3" t="str">
        <f>VLOOKUP(Z63,物品明细!A:I,9,0)</f>
        <v>188x49x14</v>
      </c>
      <c r="AC63" s="3">
        <f>VLOOKUP(Z63,物品明细!A:D,4,0)</f>
        <v>47.4</v>
      </c>
      <c r="AD63" s="3"/>
      <c r="AE63" s="129">
        <v>1</v>
      </c>
      <c r="AF63" s="3">
        <f t="shared" si="1"/>
        <v>47.4</v>
      </c>
      <c r="AG63" s="3">
        <f t="shared" si="14"/>
        <v>1</v>
      </c>
      <c r="AH63" s="59">
        <v>4.85</v>
      </c>
      <c r="AI63" s="130">
        <f t="shared" si="15"/>
        <v>4.85</v>
      </c>
      <c r="AJ63" s="131"/>
      <c r="AK63" s="130"/>
      <c r="AL63" s="130">
        <f t="shared" si="16"/>
        <v>0</v>
      </c>
      <c r="AM63" s="154"/>
      <c r="AN63" s="155"/>
      <c r="AO63" s="130">
        <f t="shared" si="17"/>
        <v>0</v>
      </c>
      <c r="AP63" s="3"/>
      <c r="AQ63" s="132"/>
      <c r="AR63" s="130">
        <f t="shared" si="18"/>
        <v>0</v>
      </c>
      <c r="AS63" s="3">
        <f t="shared" si="19"/>
        <v>1</v>
      </c>
      <c r="AT63" s="130">
        <v>3</v>
      </c>
      <c r="AU63" s="130">
        <f t="shared" si="20"/>
        <v>3</v>
      </c>
      <c r="AV63" s="133">
        <f t="shared" si="32"/>
        <v>7.85</v>
      </c>
      <c r="AW63" s="3">
        <v>1</v>
      </c>
      <c r="AX63" s="3">
        <f t="shared" si="21"/>
        <v>47.4</v>
      </c>
      <c r="AY63" s="3"/>
      <c r="AZ63" s="3">
        <v>50</v>
      </c>
      <c r="BA63" s="134" t="str">
        <f t="shared" si="22"/>
        <v>68229</v>
      </c>
      <c r="BB63" s="3" t="str">
        <f t="shared" si="23"/>
        <v>Mannheim</v>
      </c>
      <c r="BC63" s="135" t="str">
        <f t="shared" si="24"/>
        <v>DE</v>
      </c>
      <c r="BD63" s="136">
        <v>46.558575</v>
      </c>
      <c r="BE63" s="135">
        <f t="shared" si="25"/>
        <v>46.558575</v>
      </c>
      <c r="BF63" s="135">
        <v>2.5</v>
      </c>
      <c r="BG63" s="135">
        <f t="shared" si="26"/>
        <v>1.2</v>
      </c>
      <c r="BH63" s="135">
        <v>2.5</v>
      </c>
      <c r="BI63" s="135"/>
      <c r="BJ63" s="135">
        <f t="shared" si="27"/>
        <v>6.2</v>
      </c>
      <c r="BK63" s="137"/>
      <c r="BL63" s="135"/>
      <c r="BM63" s="135">
        <f t="shared" si="28"/>
        <v>0</v>
      </c>
      <c r="BN63" s="138">
        <f t="shared" si="31"/>
        <v>52.758575</v>
      </c>
      <c r="BO63" s="156">
        <f t="shared" si="29"/>
        <v>60.608575</v>
      </c>
    </row>
    <row r="64" spans="1:67">
      <c r="A64" s="129" t="s">
        <v>453</v>
      </c>
      <c r="B64" s="3">
        <f t="shared" si="0"/>
        <v>1</v>
      </c>
      <c r="C64" s="3">
        <v>1</v>
      </c>
      <c r="D64" s="3" t="s">
        <v>291</v>
      </c>
      <c r="E64" s="129" t="s">
        <v>153</v>
      </c>
      <c r="F64" s="3">
        <v>202509</v>
      </c>
      <c r="G64" s="129" t="s">
        <v>439</v>
      </c>
      <c r="H64" s="129" t="s">
        <v>439</v>
      </c>
      <c r="I64" s="129" t="s">
        <v>156</v>
      </c>
      <c r="J64" s="129" t="s">
        <v>157</v>
      </c>
      <c r="K64" s="129" t="s">
        <v>453</v>
      </c>
      <c r="L64" s="129" t="s">
        <v>178</v>
      </c>
      <c r="M64" s="129"/>
      <c r="N64" s="129" t="s">
        <v>160</v>
      </c>
      <c r="O64" s="129">
        <v>1</v>
      </c>
      <c r="P64" s="129" t="s">
        <v>161</v>
      </c>
      <c r="Q64" s="129">
        <v>47.4</v>
      </c>
      <c r="R64" s="129" t="s">
        <v>180</v>
      </c>
      <c r="S64" s="129" t="s">
        <v>198</v>
      </c>
      <c r="T64" s="129" t="s">
        <v>454</v>
      </c>
      <c r="U64" s="129"/>
      <c r="V64" s="129"/>
      <c r="W64" s="129" t="s">
        <v>252</v>
      </c>
      <c r="X64" s="129" t="s">
        <v>253</v>
      </c>
      <c r="Y64" s="129" t="s">
        <v>164</v>
      </c>
      <c r="Z64" s="129" t="s">
        <v>170</v>
      </c>
      <c r="AA64" s="4" t="str">
        <f>VLOOKUP(Z64,物品明细!A:B,2,0)</f>
        <v>德国联邦快递金属储物柜</v>
      </c>
      <c r="AB64" s="3" t="str">
        <f>VLOOKUP(Z64,物品明细!A:I,9,0)</f>
        <v>188x49x14</v>
      </c>
      <c r="AC64" s="3">
        <f>VLOOKUP(Z64,物品明细!A:D,4,0)</f>
        <v>47.4</v>
      </c>
      <c r="AD64" s="3"/>
      <c r="AE64" s="129">
        <v>1</v>
      </c>
      <c r="AF64" s="3">
        <f t="shared" si="1"/>
        <v>47.4</v>
      </c>
      <c r="AG64" s="3">
        <f t="shared" si="14"/>
        <v>1</v>
      </c>
      <c r="AH64" s="59">
        <v>4.85</v>
      </c>
      <c r="AI64" s="130">
        <f t="shared" si="15"/>
        <v>4.85</v>
      </c>
      <c r="AJ64" s="131"/>
      <c r="AK64" s="130"/>
      <c r="AL64" s="130">
        <f t="shared" si="16"/>
        <v>0</v>
      </c>
      <c r="AM64" s="154"/>
      <c r="AN64" s="155"/>
      <c r="AO64" s="130">
        <f t="shared" si="17"/>
        <v>0</v>
      </c>
      <c r="AP64" s="3"/>
      <c r="AQ64" s="132"/>
      <c r="AR64" s="130">
        <f t="shared" si="18"/>
        <v>0</v>
      </c>
      <c r="AS64" s="3">
        <f t="shared" si="19"/>
        <v>1</v>
      </c>
      <c r="AT64" s="130">
        <v>3</v>
      </c>
      <c r="AU64" s="130">
        <f t="shared" si="20"/>
        <v>3</v>
      </c>
      <c r="AV64" s="133">
        <f t="shared" si="32"/>
        <v>7.85</v>
      </c>
      <c r="AW64" s="3">
        <v>1</v>
      </c>
      <c r="AX64" s="3">
        <f t="shared" si="21"/>
        <v>47.4</v>
      </c>
      <c r="AY64" s="3"/>
      <c r="AZ64" s="3">
        <v>50</v>
      </c>
      <c r="BA64" s="134" t="str">
        <f t="shared" si="22"/>
        <v>93170</v>
      </c>
      <c r="BB64" s="3" t="str">
        <f t="shared" si="23"/>
        <v>Bernhardswald</v>
      </c>
      <c r="BC64" s="135" t="str">
        <f t="shared" si="24"/>
        <v>DE</v>
      </c>
      <c r="BD64" s="136">
        <v>46.558575</v>
      </c>
      <c r="BE64" s="135">
        <f t="shared" si="25"/>
        <v>46.558575</v>
      </c>
      <c r="BF64" s="135">
        <v>2.5</v>
      </c>
      <c r="BG64" s="135">
        <f t="shared" si="26"/>
        <v>1.2</v>
      </c>
      <c r="BH64" s="135">
        <v>2.5</v>
      </c>
      <c r="BI64" s="135"/>
      <c r="BJ64" s="135">
        <f t="shared" si="27"/>
        <v>6.2</v>
      </c>
      <c r="BK64" s="137"/>
      <c r="BL64" s="135"/>
      <c r="BM64" s="135">
        <f t="shared" si="28"/>
        <v>0</v>
      </c>
      <c r="BN64" s="138">
        <f t="shared" si="31"/>
        <v>52.758575</v>
      </c>
      <c r="BO64" s="156">
        <f t="shared" si="29"/>
        <v>60.608575</v>
      </c>
    </row>
    <row r="65" spans="1:67">
      <c r="A65" s="129" t="s">
        <v>455</v>
      </c>
      <c r="B65" s="3">
        <f t="shared" si="0"/>
        <v>1</v>
      </c>
      <c r="C65" s="3">
        <v>1</v>
      </c>
      <c r="D65" s="3" t="s">
        <v>291</v>
      </c>
      <c r="E65" s="129" t="s">
        <v>153</v>
      </c>
      <c r="F65" s="3">
        <v>202509</v>
      </c>
      <c r="G65" s="129" t="s">
        <v>439</v>
      </c>
      <c r="H65" s="129" t="s">
        <v>439</v>
      </c>
      <c r="I65" s="129" t="s">
        <v>156</v>
      </c>
      <c r="J65" s="129" t="s">
        <v>157</v>
      </c>
      <c r="K65" s="129" t="s">
        <v>455</v>
      </c>
      <c r="L65" s="129" t="s">
        <v>178</v>
      </c>
      <c r="M65" s="129"/>
      <c r="N65" s="129" t="s">
        <v>160</v>
      </c>
      <c r="O65" s="129">
        <v>1</v>
      </c>
      <c r="P65" s="129" t="s">
        <v>161</v>
      </c>
      <c r="Q65" s="129">
        <v>47.4</v>
      </c>
      <c r="R65" s="129" t="s">
        <v>180</v>
      </c>
      <c r="S65" s="129" t="s">
        <v>198</v>
      </c>
      <c r="T65" s="129" t="s">
        <v>456</v>
      </c>
      <c r="U65" s="129"/>
      <c r="V65" s="129"/>
      <c r="W65" s="129" t="s">
        <v>457</v>
      </c>
      <c r="X65" s="129" t="s">
        <v>458</v>
      </c>
      <c r="Y65" s="129" t="s">
        <v>164</v>
      </c>
      <c r="Z65" s="129" t="s">
        <v>165</v>
      </c>
      <c r="AA65" s="4" t="str">
        <f>VLOOKUP(Z65,物品明细!A:B,2,0)</f>
        <v>金属储物柜71英寸高</v>
      </c>
      <c r="AB65" s="3" t="str">
        <f>VLOOKUP(Z65,物品明细!A:I,9,0)</f>
        <v>188x49x14</v>
      </c>
      <c r="AC65" s="3">
        <f>VLOOKUP(Z65,物品明细!A:D,4,0)</f>
        <v>47.4</v>
      </c>
      <c r="AD65" s="3"/>
      <c r="AE65" s="129">
        <v>1</v>
      </c>
      <c r="AF65" s="3">
        <f t="shared" si="1"/>
        <v>47.4</v>
      </c>
      <c r="AG65" s="3">
        <f t="shared" si="14"/>
        <v>1</v>
      </c>
      <c r="AH65" s="59">
        <v>4.85</v>
      </c>
      <c r="AI65" s="130">
        <f t="shared" si="15"/>
        <v>4.85</v>
      </c>
      <c r="AJ65" s="131"/>
      <c r="AK65" s="130"/>
      <c r="AL65" s="130">
        <f t="shared" si="16"/>
        <v>0</v>
      </c>
      <c r="AM65" s="154"/>
      <c r="AN65" s="155"/>
      <c r="AO65" s="130">
        <f t="shared" si="17"/>
        <v>0</v>
      </c>
      <c r="AP65" s="3"/>
      <c r="AQ65" s="132"/>
      <c r="AR65" s="130">
        <f t="shared" si="18"/>
        <v>0</v>
      </c>
      <c r="AS65" s="3">
        <f t="shared" si="19"/>
        <v>1</v>
      </c>
      <c r="AT65" s="130">
        <v>3</v>
      </c>
      <c r="AU65" s="130">
        <f t="shared" si="20"/>
        <v>3</v>
      </c>
      <c r="AV65" s="133">
        <f t="shared" si="32"/>
        <v>7.85</v>
      </c>
      <c r="AW65" s="3">
        <v>1</v>
      </c>
      <c r="AX65" s="3">
        <f t="shared" si="21"/>
        <v>47.4</v>
      </c>
      <c r="AY65" s="3"/>
      <c r="AZ65" s="3">
        <v>50</v>
      </c>
      <c r="BA65" s="134" t="str">
        <f t="shared" si="22"/>
        <v>91722</v>
      </c>
      <c r="BB65" s="3" t="str">
        <f t="shared" si="23"/>
        <v>Arberg</v>
      </c>
      <c r="BC65" s="135" t="str">
        <f t="shared" si="24"/>
        <v>DE</v>
      </c>
      <c r="BD65" s="136">
        <v>46.558575</v>
      </c>
      <c r="BE65" s="135">
        <f t="shared" si="25"/>
        <v>46.558575</v>
      </c>
      <c r="BF65" s="135">
        <v>2.5</v>
      </c>
      <c r="BG65" s="135">
        <f t="shared" si="26"/>
        <v>1.2</v>
      </c>
      <c r="BH65" s="135">
        <v>2.5</v>
      </c>
      <c r="BI65" s="135"/>
      <c r="BJ65" s="135">
        <f t="shared" si="27"/>
        <v>6.2</v>
      </c>
      <c r="BK65" s="137"/>
      <c r="BL65" s="135"/>
      <c r="BM65" s="135">
        <f t="shared" si="28"/>
        <v>0</v>
      </c>
      <c r="BN65" s="138">
        <f t="shared" si="31"/>
        <v>52.758575</v>
      </c>
      <c r="BO65" s="156">
        <f t="shared" si="29"/>
        <v>60.608575</v>
      </c>
    </row>
    <row r="66" spans="1:67">
      <c r="A66" s="129" t="s">
        <v>459</v>
      </c>
      <c r="B66" s="3">
        <f t="shared" si="0"/>
        <v>1</v>
      </c>
      <c r="C66" s="3">
        <v>1</v>
      </c>
      <c r="D66" s="3" t="s">
        <v>291</v>
      </c>
      <c r="E66" s="129" t="s">
        <v>153</v>
      </c>
      <c r="F66" s="3">
        <v>202509</v>
      </c>
      <c r="G66" s="129" t="s">
        <v>460</v>
      </c>
      <c r="H66" s="129" t="s">
        <v>460</v>
      </c>
      <c r="I66" s="129" t="s">
        <v>156</v>
      </c>
      <c r="J66" s="129" t="s">
        <v>157</v>
      </c>
      <c r="K66" s="129" t="s">
        <v>459</v>
      </c>
      <c r="L66" s="129" t="s">
        <v>178</v>
      </c>
      <c r="M66" s="129"/>
      <c r="N66" s="129" t="s">
        <v>160</v>
      </c>
      <c r="O66" s="129">
        <v>1</v>
      </c>
      <c r="P66" s="129" t="s">
        <v>161</v>
      </c>
      <c r="Q66" s="129">
        <v>47.4</v>
      </c>
      <c r="R66" s="129" t="s">
        <v>180</v>
      </c>
      <c r="S66" s="129" t="s">
        <v>198</v>
      </c>
      <c r="T66" s="129" t="s">
        <v>461</v>
      </c>
      <c r="U66" s="129"/>
      <c r="V66" s="129"/>
      <c r="W66" s="129" t="s">
        <v>462</v>
      </c>
      <c r="X66" s="129" t="s">
        <v>463</v>
      </c>
      <c r="Y66" s="129" t="s">
        <v>164</v>
      </c>
      <c r="Z66" s="129" t="s">
        <v>165</v>
      </c>
      <c r="AA66" s="4" t="str">
        <f>VLOOKUP(Z66,物品明细!A:B,2,0)</f>
        <v>金属储物柜71英寸高</v>
      </c>
      <c r="AB66" s="3" t="str">
        <f>VLOOKUP(Z66,物品明细!A:I,9,0)</f>
        <v>188x49x14</v>
      </c>
      <c r="AC66" s="3">
        <f>VLOOKUP(Z66,物品明细!A:D,4,0)</f>
        <v>47.4</v>
      </c>
      <c r="AD66" s="3"/>
      <c r="AE66" s="129">
        <v>1</v>
      </c>
      <c r="AF66" s="3">
        <f t="shared" si="1"/>
        <v>47.4</v>
      </c>
      <c r="AG66" s="3">
        <f t="shared" si="14"/>
        <v>1</v>
      </c>
      <c r="AH66" s="59">
        <v>4.85</v>
      </c>
      <c r="AI66" s="130">
        <f t="shared" si="15"/>
        <v>4.85</v>
      </c>
      <c r="AJ66" s="131"/>
      <c r="AK66" s="130"/>
      <c r="AL66" s="130">
        <f t="shared" si="16"/>
        <v>0</v>
      </c>
      <c r="AM66" s="154"/>
      <c r="AN66" s="155"/>
      <c r="AO66" s="130">
        <f t="shared" si="17"/>
        <v>0</v>
      </c>
      <c r="AP66" s="3"/>
      <c r="AQ66" s="132"/>
      <c r="AR66" s="130">
        <f t="shared" si="18"/>
        <v>0</v>
      </c>
      <c r="AS66" s="3">
        <f t="shared" si="19"/>
        <v>1</v>
      </c>
      <c r="AT66" s="130">
        <v>3</v>
      </c>
      <c r="AU66" s="130">
        <f t="shared" si="20"/>
        <v>3</v>
      </c>
      <c r="AV66" s="133">
        <f t="shared" si="32"/>
        <v>7.85</v>
      </c>
      <c r="AW66" s="3">
        <v>1</v>
      </c>
      <c r="AX66" s="3">
        <f t="shared" si="21"/>
        <v>47.4</v>
      </c>
      <c r="AY66" s="3"/>
      <c r="AZ66" s="3">
        <v>50</v>
      </c>
      <c r="BA66" s="134" t="str">
        <f t="shared" si="22"/>
        <v>78576</v>
      </c>
      <c r="BB66" s="3" t="str">
        <f t="shared" si="23"/>
        <v>Emmingen-Liptingen</v>
      </c>
      <c r="BC66" s="135" t="str">
        <f t="shared" si="24"/>
        <v>DE</v>
      </c>
      <c r="BD66" s="136">
        <v>46.558575</v>
      </c>
      <c r="BE66" s="135">
        <f t="shared" si="25"/>
        <v>46.558575</v>
      </c>
      <c r="BF66" s="135">
        <v>2.5</v>
      </c>
      <c r="BG66" s="135">
        <f t="shared" si="26"/>
        <v>1.2</v>
      </c>
      <c r="BH66" s="135">
        <v>2.5</v>
      </c>
      <c r="BI66" s="135"/>
      <c r="BJ66" s="135">
        <f t="shared" si="27"/>
        <v>6.2</v>
      </c>
      <c r="BK66" s="137"/>
      <c r="BL66" s="135"/>
      <c r="BM66" s="135">
        <f t="shared" si="28"/>
        <v>0</v>
      </c>
      <c r="BN66" s="138">
        <f t="shared" si="31"/>
        <v>52.758575</v>
      </c>
      <c r="BO66" s="156">
        <f t="shared" si="29"/>
        <v>60.608575</v>
      </c>
    </row>
    <row r="67" spans="1:67">
      <c r="A67" s="129" t="s">
        <v>464</v>
      </c>
      <c r="B67" s="3">
        <f t="shared" si="0"/>
        <v>1</v>
      </c>
      <c r="C67" s="3">
        <v>1</v>
      </c>
      <c r="D67" s="3" t="s">
        <v>291</v>
      </c>
      <c r="E67" s="129" t="s">
        <v>153</v>
      </c>
      <c r="F67" s="3">
        <v>202509</v>
      </c>
      <c r="G67" s="129" t="s">
        <v>460</v>
      </c>
      <c r="H67" s="129" t="s">
        <v>460</v>
      </c>
      <c r="I67" s="129" t="s">
        <v>156</v>
      </c>
      <c r="J67" s="129" t="s">
        <v>157</v>
      </c>
      <c r="K67" s="129" t="s">
        <v>464</v>
      </c>
      <c r="L67" s="129" t="s">
        <v>178</v>
      </c>
      <c r="M67" s="129"/>
      <c r="N67" s="129" t="s">
        <v>160</v>
      </c>
      <c r="O67" s="129">
        <v>1</v>
      </c>
      <c r="P67" s="129" t="s">
        <v>161</v>
      </c>
      <c r="Q67" s="129">
        <v>47.4</v>
      </c>
      <c r="R67" s="129" t="s">
        <v>180</v>
      </c>
      <c r="S67" s="129" t="s">
        <v>198</v>
      </c>
      <c r="T67" s="129" t="s">
        <v>465</v>
      </c>
      <c r="U67" s="129"/>
      <c r="V67" s="129"/>
      <c r="W67" s="129" t="s">
        <v>466</v>
      </c>
      <c r="X67" s="129" t="s">
        <v>467</v>
      </c>
      <c r="Y67" s="129" t="s">
        <v>164</v>
      </c>
      <c r="Z67" s="129" t="s">
        <v>165</v>
      </c>
      <c r="AA67" s="4" t="str">
        <f>VLOOKUP(Z67,物品明细!A:B,2,0)</f>
        <v>金属储物柜71英寸高</v>
      </c>
      <c r="AB67" s="3" t="str">
        <f>VLOOKUP(Z67,物品明细!A:I,9,0)</f>
        <v>188x49x14</v>
      </c>
      <c r="AC67" s="3">
        <f>VLOOKUP(Z67,物品明细!A:D,4,0)</f>
        <v>47.4</v>
      </c>
      <c r="AD67" s="3"/>
      <c r="AE67" s="129">
        <v>1</v>
      </c>
      <c r="AF67" s="3">
        <f t="shared" si="1"/>
        <v>47.4</v>
      </c>
      <c r="AG67" s="3">
        <f t="shared" si="14"/>
        <v>1</v>
      </c>
      <c r="AH67" s="59">
        <v>4.85</v>
      </c>
      <c r="AI67" s="130">
        <f t="shared" si="15"/>
        <v>4.85</v>
      </c>
      <c r="AJ67" s="131"/>
      <c r="AK67" s="130"/>
      <c r="AL67" s="130">
        <f t="shared" si="16"/>
        <v>0</v>
      </c>
      <c r="AM67" s="154"/>
      <c r="AN67" s="155"/>
      <c r="AO67" s="130">
        <f t="shared" si="17"/>
        <v>0</v>
      </c>
      <c r="AP67" s="3"/>
      <c r="AQ67" s="132"/>
      <c r="AR67" s="130">
        <f t="shared" si="18"/>
        <v>0</v>
      </c>
      <c r="AS67" s="3">
        <f t="shared" si="19"/>
        <v>1</v>
      </c>
      <c r="AT67" s="130">
        <v>3</v>
      </c>
      <c r="AU67" s="130">
        <f t="shared" si="20"/>
        <v>3</v>
      </c>
      <c r="AV67" s="133">
        <f t="shared" si="32"/>
        <v>7.85</v>
      </c>
      <c r="AW67" s="3">
        <v>1</v>
      </c>
      <c r="AX67" s="3">
        <f t="shared" si="21"/>
        <v>47.4</v>
      </c>
      <c r="AY67" s="3"/>
      <c r="AZ67" s="3">
        <v>50</v>
      </c>
      <c r="BA67" s="134" t="str">
        <f t="shared" si="22"/>
        <v>54329</v>
      </c>
      <c r="BB67" s="3" t="str">
        <f t="shared" si="23"/>
        <v>Konz</v>
      </c>
      <c r="BC67" s="135" t="str">
        <f t="shared" si="24"/>
        <v>DE</v>
      </c>
      <c r="BD67" s="136">
        <v>46.558575</v>
      </c>
      <c r="BE67" s="135">
        <f t="shared" si="25"/>
        <v>46.558575</v>
      </c>
      <c r="BF67" s="135">
        <v>2.5</v>
      </c>
      <c r="BG67" s="135">
        <f t="shared" si="26"/>
        <v>1.2</v>
      </c>
      <c r="BH67" s="135">
        <v>2.5</v>
      </c>
      <c r="BI67" s="135"/>
      <c r="BJ67" s="135">
        <f t="shared" si="27"/>
        <v>6.2</v>
      </c>
      <c r="BK67" s="137"/>
      <c r="BL67" s="135"/>
      <c r="BM67" s="135">
        <f t="shared" si="28"/>
        <v>0</v>
      </c>
      <c r="BN67" s="138">
        <f t="shared" si="31"/>
        <v>52.758575</v>
      </c>
      <c r="BO67" s="156">
        <f t="shared" si="29"/>
        <v>60.608575</v>
      </c>
    </row>
    <row r="68" spans="1:67">
      <c r="A68" s="129" t="s">
        <v>468</v>
      </c>
      <c r="B68" s="3">
        <f t="shared" si="0"/>
        <v>1</v>
      </c>
      <c r="C68" s="3">
        <v>1</v>
      </c>
      <c r="D68" s="3" t="s">
        <v>291</v>
      </c>
      <c r="E68" s="129" t="s">
        <v>153</v>
      </c>
      <c r="F68" s="3">
        <v>202509</v>
      </c>
      <c r="G68" s="129" t="s">
        <v>155</v>
      </c>
      <c r="H68" s="129" t="s">
        <v>155</v>
      </c>
      <c r="I68" s="129" t="s">
        <v>156</v>
      </c>
      <c r="J68" s="129" t="s">
        <v>157</v>
      </c>
      <c r="K68" s="129" t="s">
        <v>468</v>
      </c>
      <c r="L68" s="129" t="s">
        <v>178</v>
      </c>
      <c r="M68" s="129"/>
      <c r="N68" s="129" t="s">
        <v>160</v>
      </c>
      <c r="O68" s="129">
        <v>1</v>
      </c>
      <c r="P68" s="129" t="s">
        <v>161</v>
      </c>
      <c r="Q68" s="129">
        <v>47.4</v>
      </c>
      <c r="R68" s="129" t="s">
        <v>180</v>
      </c>
      <c r="S68" s="129" t="s">
        <v>198</v>
      </c>
      <c r="T68" s="129" t="s">
        <v>469</v>
      </c>
      <c r="U68" s="129"/>
      <c r="V68" s="129"/>
      <c r="W68" s="129" t="s">
        <v>415</v>
      </c>
      <c r="X68" s="129" t="s">
        <v>416</v>
      </c>
      <c r="Y68" s="129" t="s">
        <v>164</v>
      </c>
      <c r="Z68" s="129" t="s">
        <v>168</v>
      </c>
      <c r="AA68" s="4" t="str">
        <f>VLOOKUP(Z68,物品明细!A:B,2,0)</f>
        <v>金属储物柜71英寸银色</v>
      </c>
      <c r="AB68" s="3" t="str">
        <f>VLOOKUP(Z68,物品明细!A:I,9,0)</f>
        <v>188x49x14</v>
      </c>
      <c r="AC68" s="3">
        <f>VLOOKUP(Z68,物品明细!A:D,4,0)</f>
        <v>47.4</v>
      </c>
      <c r="AD68" s="3"/>
      <c r="AE68" s="129">
        <v>1</v>
      </c>
      <c r="AF68" s="3">
        <f t="shared" si="1"/>
        <v>47.4</v>
      </c>
      <c r="AG68" s="3">
        <f t="shared" si="14"/>
        <v>1</v>
      </c>
      <c r="AH68" s="59">
        <v>4.85</v>
      </c>
      <c r="AI68" s="130">
        <f t="shared" si="15"/>
        <v>4.85</v>
      </c>
      <c r="AJ68" s="131"/>
      <c r="AK68" s="130"/>
      <c r="AL68" s="130">
        <f t="shared" si="16"/>
        <v>0</v>
      </c>
      <c r="AM68" s="154"/>
      <c r="AN68" s="155"/>
      <c r="AO68" s="130">
        <f t="shared" si="17"/>
        <v>0</v>
      </c>
      <c r="AP68" s="3"/>
      <c r="AQ68" s="132"/>
      <c r="AR68" s="130">
        <f t="shared" si="18"/>
        <v>0</v>
      </c>
      <c r="AS68" s="3">
        <f t="shared" si="19"/>
        <v>1</v>
      </c>
      <c r="AT68" s="130">
        <v>3</v>
      </c>
      <c r="AU68" s="130">
        <f t="shared" si="20"/>
        <v>3</v>
      </c>
      <c r="AV68" s="133">
        <f t="shared" si="32"/>
        <v>7.85</v>
      </c>
      <c r="AW68" s="3">
        <v>1</v>
      </c>
      <c r="AX68" s="3">
        <f t="shared" si="21"/>
        <v>47.4</v>
      </c>
      <c r="AY68" s="3"/>
      <c r="AZ68" s="3">
        <v>50</v>
      </c>
      <c r="BA68" s="134" t="str">
        <f t="shared" si="22"/>
        <v>65618</v>
      </c>
      <c r="BB68" s="3" t="str">
        <f t="shared" si="23"/>
        <v>Selters (taunus)</v>
      </c>
      <c r="BC68" s="135" t="str">
        <f t="shared" si="24"/>
        <v>DE</v>
      </c>
      <c r="BD68" s="136">
        <v>46.558575</v>
      </c>
      <c r="BE68" s="135">
        <f t="shared" si="25"/>
        <v>46.558575</v>
      </c>
      <c r="BF68" s="135">
        <v>2.5</v>
      </c>
      <c r="BG68" s="135">
        <f t="shared" si="26"/>
        <v>1.2</v>
      </c>
      <c r="BH68" s="135">
        <v>2.5</v>
      </c>
      <c r="BI68" s="135"/>
      <c r="BJ68" s="135">
        <f t="shared" si="27"/>
        <v>6.2</v>
      </c>
      <c r="BK68" s="137"/>
      <c r="BL68" s="135"/>
      <c r="BM68" s="135">
        <f t="shared" si="28"/>
        <v>0</v>
      </c>
      <c r="BN68" s="138">
        <f t="shared" si="31"/>
        <v>52.758575</v>
      </c>
      <c r="BO68" s="156">
        <f t="shared" si="29"/>
        <v>60.608575</v>
      </c>
    </row>
    <row r="69" spans="1:67">
      <c r="A69" s="129" t="s">
        <v>470</v>
      </c>
      <c r="B69" s="3">
        <f t="shared" ref="B69:B79" si="33">COUNTIF(A:A,A69)</f>
        <v>1</v>
      </c>
      <c r="C69" s="3">
        <v>1</v>
      </c>
      <c r="D69" s="3" t="s">
        <v>291</v>
      </c>
      <c r="E69" s="129" t="s">
        <v>153</v>
      </c>
      <c r="F69" s="3">
        <v>202509</v>
      </c>
      <c r="G69" s="129" t="s">
        <v>155</v>
      </c>
      <c r="H69" s="129" t="s">
        <v>155</v>
      </c>
      <c r="I69" s="129" t="s">
        <v>156</v>
      </c>
      <c r="J69" s="129" t="s">
        <v>157</v>
      </c>
      <c r="K69" s="129" t="s">
        <v>470</v>
      </c>
      <c r="L69" s="129" t="s">
        <v>178</v>
      </c>
      <c r="M69" s="129"/>
      <c r="N69" s="129" t="s">
        <v>160</v>
      </c>
      <c r="O69" s="129">
        <v>1</v>
      </c>
      <c r="P69" s="129" t="s">
        <v>161</v>
      </c>
      <c r="Q69" s="129">
        <v>47.4</v>
      </c>
      <c r="R69" s="129" t="s">
        <v>180</v>
      </c>
      <c r="S69" s="129" t="s">
        <v>198</v>
      </c>
      <c r="T69" s="129" t="s">
        <v>471</v>
      </c>
      <c r="U69" s="129"/>
      <c r="V69" s="129"/>
      <c r="W69" s="129" t="s">
        <v>472</v>
      </c>
      <c r="X69" s="129" t="s">
        <v>473</v>
      </c>
      <c r="Y69" s="129" t="s">
        <v>164</v>
      </c>
      <c r="Z69" s="129" t="s">
        <v>165</v>
      </c>
      <c r="AA69" s="4" t="str">
        <f>VLOOKUP(Z69,物品明细!A:B,2,0)</f>
        <v>金属储物柜71英寸高</v>
      </c>
      <c r="AB69" s="3" t="str">
        <f>VLOOKUP(Z69,物品明细!A:I,9,0)</f>
        <v>188x49x14</v>
      </c>
      <c r="AC69" s="3">
        <f>VLOOKUP(Z69,物品明细!A:D,4,0)</f>
        <v>47.4</v>
      </c>
      <c r="AD69" s="3"/>
      <c r="AE69" s="129">
        <v>1</v>
      </c>
      <c r="AF69" s="3">
        <f t="shared" ref="AF69:AF79" si="34">AE69*AC69</f>
        <v>47.4</v>
      </c>
      <c r="AG69" s="3">
        <f t="shared" si="14"/>
        <v>1</v>
      </c>
      <c r="AH69" s="59">
        <v>4.85</v>
      </c>
      <c r="AI69" s="130">
        <f t="shared" si="15"/>
        <v>4.85</v>
      </c>
      <c r="AJ69" s="131"/>
      <c r="AK69" s="130"/>
      <c r="AL69" s="130">
        <f t="shared" si="16"/>
        <v>0</v>
      </c>
      <c r="AM69" s="154"/>
      <c r="AN69" s="155"/>
      <c r="AO69" s="130">
        <f t="shared" si="17"/>
        <v>0</v>
      </c>
      <c r="AP69" s="3"/>
      <c r="AQ69" s="132"/>
      <c r="AR69" s="130">
        <f t="shared" si="18"/>
        <v>0</v>
      </c>
      <c r="AS69" s="3">
        <f t="shared" si="19"/>
        <v>1</v>
      </c>
      <c r="AT69" s="130">
        <v>3</v>
      </c>
      <c r="AU69" s="130">
        <f t="shared" si="20"/>
        <v>3</v>
      </c>
      <c r="AV69" s="133">
        <f t="shared" si="32"/>
        <v>7.85</v>
      </c>
      <c r="AW69" s="3">
        <v>1</v>
      </c>
      <c r="AX69" s="3">
        <f t="shared" si="21"/>
        <v>47.4</v>
      </c>
      <c r="AY69" s="3"/>
      <c r="AZ69" s="3">
        <v>50</v>
      </c>
      <c r="BA69" s="134" t="str">
        <f t="shared" si="22"/>
        <v>1257</v>
      </c>
      <c r="BB69" s="3" t="str">
        <f t="shared" si="23"/>
        <v>Dresden</v>
      </c>
      <c r="BC69" s="135" t="str">
        <f t="shared" si="24"/>
        <v>DE</v>
      </c>
      <c r="BD69" s="136">
        <v>46.558575</v>
      </c>
      <c r="BE69" s="135">
        <f t="shared" si="25"/>
        <v>46.558575</v>
      </c>
      <c r="BF69" s="135">
        <v>2.5</v>
      </c>
      <c r="BG69" s="135">
        <f t="shared" si="26"/>
        <v>1.2</v>
      </c>
      <c r="BH69" s="135">
        <v>2.5</v>
      </c>
      <c r="BI69" s="135"/>
      <c r="BJ69" s="135">
        <f t="shared" si="27"/>
        <v>6.2</v>
      </c>
      <c r="BK69" s="137"/>
      <c r="BL69" s="135"/>
      <c r="BM69" s="135">
        <f t="shared" si="28"/>
        <v>0</v>
      </c>
      <c r="BN69" s="138">
        <f t="shared" ref="BN69:BN79" si="35">BE69+BJ69+BM69</f>
        <v>52.758575</v>
      </c>
      <c r="BO69" s="156">
        <f t="shared" si="29"/>
        <v>60.608575</v>
      </c>
    </row>
    <row r="70" spans="1:67">
      <c r="A70" s="129" t="s">
        <v>474</v>
      </c>
      <c r="B70" s="3">
        <f t="shared" si="33"/>
        <v>1</v>
      </c>
      <c r="C70" s="3">
        <v>1</v>
      </c>
      <c r="D70" s="3" t="s">
        <v>291</v>
      </c>
      <c r="E70" s="129" t="s">
        <v>153</v>
      </c>
      <c r="F70" s="3">
        <v>202509</v>
      </c>
      <c r="G70" s="129" t="s">
        <v>155</v>
      </c>
      <c r="H70" s="129" t="s">
        <v>155</v>
      </c>
      <c r="I70" s="129" t="s">
        <v>156</v>
      </c>
      <c r="J70" s="129" t="s">
        <v>157</v>
      </c>
      <c r="K70" s="129" t="s">
        <v>474</v>
      </c>
      <c r="L70" s="129" t="s">
        <v>178</v>
      </c>
      <c r="M70" s="129"/>
      <c r="N70" s="129" t="s">
        <v>160</v>
      </c>
      <c r="O70" s="129">
        <v>1</v>
      </c>
      <c r="P70" s="129" t="s">
        <v>161</v>
      </c>
      <c r="Q70" s="129">
        <v>47.4</v>
      </c>
      <c r="R70" s="129" t="s">
        <v>180</v>
      </c>
      <c r="S70" s="129" t="s">
        <v>198</v>
      </c>
      <c r="T70" s="129" t="s">
        <v>475</v>
      </c>
      <c r="U70" s="129"/>
      <c r="V70" s="129"/>
      <c r="W70" s="129" t="s">
        <v>338</v>
      </c>
      <c r="X70" s="129" t="s">
        <v>339</v>
      </c>
      <c r="Y70" s="129" t="s">
        <v>164</v>
      </c>
      <c r="Z70" s="129" t="s">
        <v>170</v>
      </c>
      <c r="AA70" s="4" t="str">
        <f>VLOOKUP(Z70,物品明细!A:B,2,0)</f>
        <v>德国联邦快递金属储物柜</v>
      </c>
      <c r="AB70" s="3" t="str">
        <f>VLOOKUP(Z70,物品明细!A:I,9,0)</f>
        <v>188x49x14</v>
      </c>
      <c r="AC70" s="3">
        <f>VLOOKUP(Z70,物品明细!A:D,4,0)</f>
        <v>47.4</v>
      </c>
      <c r="AD70" s="3"/>
      <c r="AE70" s="129">
        <v>1</v>
      </c>
      <c r="AF70" s="3">
        <f t="shared" si="34"/>
        <v>47.4</v>
      </c>
      <c r="AG70" s="3">
        <f t="shared" si="14"/>
        <v>1</v>
      </c>
      <c r="AH70" s="59">
        <v>4.85</v>
      </c>
      <c r="AI70" s="130">
        <f t="shared" si="15"/>
        <v>4.85</v>
      </c>
      <c r="AJ70" s="131"/>
      <c r="AK70" s="130"/>
      <c r="AL70" s="130">
        <f t="shared" si="16"/>
        <v>0</v>
      </c>
      <c r="AM70" s="154"/>
      <c r="AN70" s="155"/>
      <c r="AO70" s="130">
        <f t="shared" si="17"/>
        <v>0</v>
      </c>
      <c r="AP70" s="3"/>
      <c r="AQ70" s="132"/>
      <c r="AR70" s="130">
        <f t="shared" si="18"/>
        <v>0</v>
      </c>
      <c r="AS70" s="3">
        <f t="shared" si="19"/>
        <v>1</v>
      </c>
      <c r="AT70" s="130">
        <v>3</v>
      </c>
      <c r="AU70" s="130">
        <f t="shared" si="20"/>
        <v>3</v>
      </c>
      <c r="AV70" s="133">
        <f t="shared" si="32"/>
        <v>7.85</v>
      </c>
      <c r="AW70" s="3">
        <v>1</v>
      </c>
      <c r="AX70" s="3">
        <f t="shared" si="21"/>
        <v>47.4</v>
      </c>
      <c r="AY70" s="3"/>
      <c r="AZ70" s="3">
        <v>50</v>
      </c>
      <c r="BA70" s="134" t="str">
        <f t="shared" si="22"/>
        <v>37120</v>
      </c>
      <c r="BB70" s="3" t="str">
        <f t="shared" si="23"/>
        <v>Bovenden</v>
      </c>
      <c r="BC70" s="135" t="str">
        <f t="shared" si="24"/>
        <v>DE</v>
      </c>
      <c r="BD70" s="136">
        <v>46.558575</v>
      </c>
      <c r="BE70" s="135">
        <f t="shared" si="25"/>
        <v>46.558575</v>
      </c>
      <c r="BF70" s="135">
        <v>2.5</v>
      </c>
      <c r="BG70" s="135">
        <f t="shared" si="26"/>
        <v>1.2</v>
      </c>
      <c r="BH70" s="135">
        <v>2.5</v>
      </c>
      <c r="BI70" s="135"/>
      <c r="BJ70" s="135">
        <f t="shared" si="27"/>
        <v>6.2</v>
      </c>
      <c r="BK70" s="137"/>
      <c r="BL70" s="135"/>
      <c r="BM70" s="135">
        <f t="shared" si="28"/>
        <v>0</v>
      </c>
      <c r="BN70" s="138">
        <f t="shared" si="35"/>
        <v>52.758575</v>
      </c>
      <c r="BO70" s="156">
        <f t="shared" si="29"/>
        <v>60.608575</v>
      </c>
    </row>
    <row r="71" spans="1:67">
      <c r="A71" s="129" t="s">
        <v>476</v>
      </c>
      <c r="B71" s="3">
        <f t="shared" si="33"/>
        <v>1</v>
      </c>
      <c r="C71" s="3">
        <v>1</v>
      </c>
      <c r="D71" s="3" t="s">
        <v>291</v>
      </c>
      <c r="E71" s="129" t="s">
        <v>153</v>
      </c>
      <c r="F71" s="3">
        <v>202509</v>
      </c>
      <c r="G71" s="129" t="s">
        <v>155</v>
      </c>
      <c r="H71" s="129" t="s">
        <v>155</v>
      </c>
      <c r="I71" s="129" t="s">
        <v>156</v>
      </c>
      <c r="J71" s="129" t="s">
        <v>157</v>
      </c>
      <c r="K71" s="129" t="s">
        <v>476</v>
      </c>
      <c r="L71" s="129" t="s">
        <v>178</v>
      </c>
      <c r="M71" s="129"/>
      <c r="N71" s="129" t="s">
        <v>160</v>
      </c>
      <c r="O71" s="129">
        <v>1</v>
      </c>
      <c r="P71" s="129" t="s">
        <v>161</v>
      </c>
      <c r="Q71" s="129">
        <v>47.4</v>
      </c>
      <c r="R71" s="129" t="s">
        <v>180</v>
      </c>
      <c r="S71" s="129" t="s">
        <v>198</v>
      </c>
      <c r="T71" s="129" t="s">
        <v>477</v>
      </c>
      <c r="U71" s="129"/>
      <c r="V71" s="129"/>
      <c r="W71" s="129" t="s">
        <v>478</v>
      </c>
      <c r="X71" s="129" t="s">
        <v>479</v>
      </c>
      <c r="Y71" s="129" t="s">
        <v>164</v>
      </c>
      <c r="Z71" s="129" t="s">
        <v>165</v>
      </c>
      <c r="AA71" s="4" t="str">
        <f>VLOOKUP(Z71,物品明细!A:B,2,0)</f>
        <v>金属储物柜71英寸高</v>
      </c>
      <c r="AB71" s="3" t="str">
        <f>VLOOKUP(Z71,物品明细!A:I,9,0)</f>
        <v>188x49x14</v>
      </c>
      <c r="AC71" s="3">
        <f>VLOOKUP(Z71,物品明细!A:D,4,0)</f>
        <v>47.4</v>
      </c>
      <c r="AD71" s="3"/>
      <c r="AE71" s="129">
        <v>1</v>
      </c>
      <c r="AF71" s="3">
        <f t="shared" si="34"/>
        <v>47.4</v>
      </c>
      <c r="AG71" s="3">
        <f t="shared" si="14"/>
        <v>1</v>
      </c>
      <c r="AH71" s="59">
        <v>4.85</v>
      </c>
      <c r="AI71" s="130">
        <f t="shared" si="15"/>
        <v>4.85</v>
      </c>
      <c r="AJ71" s="131"/>
      <c r="AK71" s="130"/>
      <c r="AL71" s="130">
        <f t="shared" si="16"/>
        <v>0</v>
      </c>
      <c r="AM71" s="154"/>
      <c r="AN71" s="155"/>
      <c r="AO71" s="130">
        <f t="shared" si="17"/>
        <v>0</v>
      </c>
      <c r="AP71" s="3"/>
      <c r="AQ71" s="132"/>
      <c r="AR71" s="130">
        <f t="shared" si="18"/>
        <v>0</v>
      </c>
      <c r="AS71" s="3">
        <f t="shared" si="19"/>
        <v>1</v>
      </c>
      <c r="AT71" s="130">
        <v>3</v>
      </c>
      <c r="AU71" s="130">
        <f t="shared" si="20"/>
        <v>3</v>
      </c>
      <c r="AV71" s="133">
        <f t="shared" si="32"/>
        <v>7.85</v>
      </c>
      <c r="AW71" s="3">
        <v>1</v>
      </c>
      <c r="AX71" s="3">
        <f t="shared" si="21"/>
        <v>47.4</v>
      </c>
      <c r="AY71" s="3"/>
      <c r="AZ71" s="3">
        <v>50</v>
      </c>
      <c r="BA71" s="134" t="str">
        <f t="shared" si="22"/>
        <v>35580</v>
      </c>
      <c r="BB71" s="3" t="str">
        <f t="shared" si="23"/>
        <v>Wetzlar</v>
      </c>
      <c r="BC71" s="135" t="str">
        <f t="shared" si="24"/>
        <v>DE</v>
      </c>
      <c r="BD71" s="136">
        <v>46.558575</v>
      </c>
      <c r="BE71" s="135">
        <f t="shared" si="25"/>
        <v>46.558575</v>
      </c>
      <c r="BF71" s="135">
        <v>2.5</v>
      </c>
      <c r="BG71" s="135">
        <f t="shared" si="26"/>
        <v>1.2</v>
      </c>
      <c r="BH71" s="135">
        <v>2.5</v>
      </c>
      <c r="BI71" s="135"/>
      <c r="BJ71" s="135">
        <f t="shared" si="27"/>
        <v>6.2</v>
      </c>
      <c r="BK71" s="137"/>
      <c r="BL71" s="135"/>
      <c r="BM71" s="135">
        <f t="shared" si="28"/>
        <v>0</v>
      </c>
      <c r="BN71" s="138">
        <f t="shared" si="35"/>
        <v>52.758575</v>
      </c>
      <c r="BO71" s="156">
        <f t="shared" si="29"/>
        <v>60.608575</v>
      </c>
    </row>
    <row r="72" spans="1:67">
      <c r="A72" s="129" t="s">
        <v>480</v>
      </c>
      <c r="B72" s="3">
        <f t="shared" si="33"/>
        <v>1</v>
      </c>
      <c r="C72" s="3">
        <v>1</v>
      </c>
      <c r="D72" s="3" t="s">
        <v>291</v>
      </c>
      <c r="E72" s="129" t="s">
        <v>153</v>
      </c>
      <c r="F72" s="3">
        <v>202509</v>
      </c>
      <c r="G72" s="129" t="s">
        <v>155</v>
      </c>
      <c r="H72" s="129" t="s">
        <v>155</v>
      </c>
      <c r="I72" s="129" t="s">
        <v>156</v>
      </c>
      <c r="J72" s="129" t="s">
        <v>157</v>
      </c>
      <c r="K72" s="129" t="s">
        <v>480</v>
      </c>
      <c r="L72" s="129" t="s">
        <v>178</v>
      </c>
      <c r="M72" s="129"/>
      <c r="N72" s="129" t="s">
        <v>160</v>
      </c>
      <c r="O72" s="129">
        <v>1</v>
      </c>
      <c r="P72" s="129" t="s">
        <v>161</v>
      </c>
      <c r="Q72" s="129">
        <v>47.4</v>
      </c>
      <c r="R72" s="129" t="s">
        <v>180</v>
      </c>
      <c r="S72" s="129" t="s">
        <v>198</v>
      </c>
      <c r="T72" s="129" t="s">
        <v>481</v>
      </c>
      <c r="U72" s="129"/>
      <c r="V72" s="129"/>
      <c r="W72" s="129" t="s">
        <v>482</v>
      </c>
      <c r="X72" s="129" t="s">
        <v>483</v>
      </c>
      <c r="Y72" s="129" t="s">
        <v>164</v>
      </c>
      <c r="Z72" s="129" t="s">
        <v>165</v>
      </c>
      <c r="AA72" s="4" t="str">
        <f>VLOOKUP(Z72,物品明细!A:B,2,0)</f>
        <v>金属储物柜71英寸高</v>
      </c>
      <c r="AB72" s="3" t="str">
        <f>VLOOKUP(Z72,物品明细!A:I,9,0)</f>
        <v>188x49x14</v>
      </c>
      <c r="AC72" s="3">
        <f>VLOOKUP(Z72,物品明细!A:D,4,0)</f>
        <v>47.4</v>
      </c>
      <c r="AD72" s="3"/>
      <c r="AE72" s="129">
        <v>1</v>
      </c>
      <c r="AF72" s="3">
        <f t="shared" si="34"/>
        <v>47.4</v>
      </c>
      <c r="AG72" s="3">
        <f t="shared" si="14"/>
        <v>1</v>
      </c>
      <c r="AH72" s="59">
        <v>4.85</v>
      </c>
      <c r="AI72" s="130">
        <f t="shared" si="15"/>
        <v>4.85</v>
      </c>
      <c r="AJ72" s="131"/>
      <c r="AK72" s="130"/>
      <c r="AL72" s="130">
        <f t="shared" si="16"/>
        <v>0</v>
      </c>
      <c r="AM72" s="154"/>
      <c r="AN72" s="155"/>
      <c r="AO72" s="130">
        <f t="shared" si="17"/>
        <v>0</v>
      </c>
      <c r="AP72" s="3"/>
      <c r="AQ72" s="132"/>
      <c r="AR72" s="130">
        <f t="shared" si="18"/>
        <v>0</v>
      </c>
      <c r="AS72" s="3">
        <f t="shared" si="19"/>
        <v>1</v>
      </c>
      <c r="AT72" s="130">
        <v>3</v>
      </c>
      <c r="AU72" s="130">
        <f t="shared" si="20"/>
        <v>3</v>
      </c>
      <c r="AV72" s="133">
        <f t="shared" si="32"/>
        <v>7.85</v>
      </c>
      <c r="AW72" s="3">
        <v>1</v>
      </c>
      <c r="AX72" s="3">
        <f t="shared" si="21"/>
        <v>47.4</v>
      </c>
      <c r="AY72" s="3"/>
      <c r="AZ72" s="3">
        <v>50</v>
      </c>
      <c r="BA72" s="134" t="str">
        <f t="shared" si="22"/>
        <v>97769</v>
      </c>
      <c r="BB72" s="3" t="str">
        <f t="shared" si="23"/>
        <v>Bad Brückenau</v>
      </c>
      <c r="BC72" s="135" t="str">
        <f t="shared" si="24"/>
        <v>DE</v>
      </c>
      <c r="BD72" s="136">
        <v>46.558575</v>
      </c>
      <c r="BE72" s="135">
        <f t="shared" si="25"/>
        <v>46.558575</v>
      </c>
      <c r="BF72" s="135">
        <v>2.5</v>
      </c>
      <c r="BG72" s="135">
        <f t="shared" si="26"/>
        <v>1.2</v>
      </c>
      <c r="BH72" s="135">
        <v>2.5</v>
      </c>
      <c r="BI72" s="135"/>
      <c r="BJ72" s="135">
        <f t="shared" si="27"/>
        <v>6.2</v>
      </c>
      <c r="BK72" s="137"/>
      <c r="BL72" s="135"/>
      <c r="BM72" s="135">
        <f t="shared" si="28"/>
        <v>0</v>
      </c>
      <c r="BN72" s="138">
        <f t="shared" si="35"/>
        <v>52.758575</v>
      </c>
      <c r="BO72" s="156">
        <f t="shared" si="29"/>
        <v>60.608575</v>
      </c>
    </row>
    <row r="73" spans="1:67">
      <c r="A73" s="129" t="s">
        <v>484</v>
      </c>
      <c r="B73" s="3">
        <f t="shared" si="33"/>
        <v>1</v>
      </c>
      <c r="C73" s="3">
        <v>1</v>
      </c>
      <c r="D73" s="3" t="s">
        <v>291</v>
      </c>
      <c r="E73" s="129" t="s">
        <v>153</v>
      </c>
      <c r="F73" s="3">
        <v>202509</v>
      </c>
      <c r="G73" s="129" t="s">
        <v>155</v>
      </c>
      <c r="H73" s="129" t="s">
        <v>155</v>
      </c>
      <c r="I73" s="129" t="s">
        <v>156</v>
      </c>
      <c r="J73" s="129" t="s">
        <v>157</v>
      </c>
      <c r="K73" s="129" t="s">
        <v>484</v>
      </c>
      <c r="L73" s="129" t="s">
        <v>178</v>
      </c>
      <c r="M73" s="129"/>
      <c r="N73" s="129" t="s">
        <v>160</v>
      </c>
      <c r="O73" s="129">
        <v>1</v>
      </c>
      <c r="P73" s="129" t="s">
        <v>161</v>
      </c>
      <c r="Q73" s="129">
        <v>47.4</v>
      </c>
      <c r="R73" s="129" t="s">
        <v>180</v>
      </c>
      <c r="S73" s="129" t="s">
        <v>198</v>
      </c>
      <c r="T73" s="129" t="s">
        <v>485</v>
      </c>
      <c r="U73" s="129"/>
      <c r="V73" s="129"/>
      <c r="W73" s="129" t="s">
        <v>486</v>
      </c>
      <c r="X73" s="129" t="s">
        <v>487</v>
      </c>
      <c r="Y73" s="129" t="s">
        <v>164</v>
      </c>
      <c r="Z73" s="129" t="s">
        <v>168</v>
      </c>
      <c r="AA73" s="4" t="str">
        <f>VLOOKUP(Z73,物品明细!A:B,2,0)</f>
        <v>金属储物柜71英寸银色</v>
      </c>
      <c r="AB73" s="3" t="str">
        <f>VLOOKUP(Z73,物品明细!A:I,9,0)</f>
        <v>188x49x14</v>
      </c>
      <c r="AC73" s="3">
        <f>VLOOKUP(Z73,物品明细!A:D,4,0)</f>
        <v>47.4</v>
      </c>
      <c r="AD73" s="3"/>
      <c r="AE73" s="129">
        <v>1</v>
      </c>
      <c r="AF73" s="3">
        <f t="shared" si="34"/>
        <v>47.4</v>
      </c>
      <c r="AG73" s="3">
        <f t="shared" si="14"/>
        <v>1</v>
      </c>
      <c r="AH73" s="59">
        <v>4.85</v>
      </c>
      <c r="AI73" s="130">
        <f t="shared" si="15"/>
        <v>4.85</v>
      </c>
      <c r="AJ73" s="131"/>
      <c r="AK73" s="130"/>
      <c r="AL73" s="130">
        <f t="shared" si="16"/>
        <v>0</v>
      </c>
      <c r="AM73" s="154"/>
      <c r="AN73" s="155"/>
      <c r="AO73" s="130">
        <f t="shared" si="17"/>
        <v>0</v>
      </c>
      <c r="AP73" s="3"/>
      <c r="AQ73" s="132"/>
      <c r="AR73" s="130">
        <f t="shared" si="18"/>
        <v>0</v>
      </c>
      <c r="AS73" s="3">
        <f t="shared" si="19"/>
        <v>1</v>
      </c>
      <c r="AT73" s="130">
        <v>3</v>
      </c>
      <c r="AU73" s="130">
        <f t="shared" si="20"/>
        <v>3</v>
      </c>
      <c r="AV73" s="133">
        <f t="shared" si="32"/>
        <v>7.85</v>
      </c>
      <c r="AW73" s="3">
        <v>1</v>
      </c>
      <c r="AX73" s="3">
        <f t="shared" si="21"/>
        <v>47.4</v>
      </c>
      <c r="AY73" s="3"/>
      <c r="AZ73" s="3">
        <v>50</v>
      </c>
      <c r="BA73" s="134" t="str">
        <f t="shared" si="22"/>
        <v>47533</v>
      </c>
      <c r="BB73" s="3" t="str">
        <f t="shared" si="23"/>
        <v>Kleve</v>
      </c>
      <c r="BC73" s="135" t="str">
        <f t="shared" si="24"/>
        <v>DE</v>
      </c>
      <c r="BD73" s="136">
        <v>46.558575</v>
      </c>
      <c r="BE73" s="135">
        <f t="shared" si="25"/>
        <v>46.558575</v>
      </c>
      <c r="BF73" s="135">
        <v>2.5</v>
      </c>
      <c r="BG73" s="135">
        <f t="shared" si="26"/>
        <v>1.2</v>
      </c>
      <c r="BH73" s="135">
        <v>2.5</v>
      </c>
      <c r="BI73" s="135"/>
      <c r="BJ73" s="135">
        <f t="shared" si="27"/>
        <v>6.2</v>
      </c>
      <c r="BK73" s="137"/>
      <c r="BL73" s="135"/>
      <c r="BM73" s="135">
        <f t="shared" si="28"/>
        <v>0</v>
      </c>
      <c r="BN73" s="138">
        <f t="shared" si="35"/>
        <v>52.758575</v>
      </c>
      <c r="BO73" s="156">
        <f t="shared" si="29"/>
        <v>60.608575</v>
      </c>
    </row>
    <row r="74" spans="1:67">
      <c r="A74" s="129" t="s">
        <v>488</v>
      </c>
      <c r="B74" s="3">
        <f t="shared" si="33"/>
        <v>1</v>
      </c>
      <c r="C74" s="3">
        <v>1</v>
      </c>
      <c r="D74" s="3" t="s">
        <v>291</v>
      </c>
      <c r="E74" s="129" t="s">
        <v>153</v>
      </c>
      <c r="F74" s="3">
        <v>202509</v>
      </c>
      <c r="G74" s="129" t="s">
        <v>155</v>
      </c>
      <c r="H74" s="129" t="s">
        <v>155</v>
      </c>
      <c r="I74" s="129" t="s">
        <v>156</v>
      </c>
      <c r="J74" s="129" t="s">
        <v>157</v>
      </c>
      <c r="K74" s="129" t="s">
        <v>488</v>
      </c>
      <c r="L74" s="129" t="s">
        <v>178</v>
      </c>
      <c r="M74" s="129"/>
      <c r="N74" s="129" t="s">
        <v>160</v>
      </c>
      <c r="O74" s="129">
        <v>1</v>
      </c>
      <c r="P74" s="129" t="s">
        <v>161</v>
      </c>
      <c r="Q74" s="129">
        <v>47.4</v>
      </c>
      <c r="R74" s="129" t="s">
        <v>180</v>
      </c>
      <c r="S74" s="129" t="s">
        <v>198</v>
      </c>
      <c r="T74" s="129" t="s">
        <v>489</v>
      </c>
      <c r="U74" s="129"/>
      <c r="V74" s="129"/>
      <c r="W74" s="129" t="s">
        <v>490</v>
      </c>
      <c r="X74" s="129" t="s">
        <v>491</v>
      </c>
      <c r="Y74" s="129" t="s">
        <v>164</v>
      </c>
      <c r="Z74" s="129" t="s">
        <v>165</v>
      </c>
      <c r="AA74" s="4" t="str">
        <f>VLOOKUP(Z74,物品明细!A:B,2,0)</f>
        <v>金属储物柜71英寸高</v>
      </c>
      <c r="AB74" s="3" t="str">
        <f>VLOOKUP(Z74,物品明细!A:I,9,0)</f>
        <v>188x49x14</v>
      </c>
      <c r="AC74" s="3">
        <f>VLOOKUP(Z74,物品明细!A:D,4,0)</f>
        <v>47.4</v>
      </c>
      <c r="AD74" s="3"/>
      <c r="AE74" s="129">
        <v>1</v>
      </c>
      <c r="AF74" s="3">
        <f t="shared" si="34"/>
        <v>47.4</v>
      </c>
      <c r="AG74" s="3">
        <f t="shared" si="14"/>
        <v>1</v>
      </c>
      <c r="AH74" s="59">
        <v>4.85</v>
      </c>
      <c r="AI74" s="130">
        <f t="shared" si="15"/>
        <v>4.85</v>
      </c>
      <c r="AJ74" s="131"/>
      <c r="AK74" s="130"/>
      <c r="AL74" s="130">
        <f t="shared" si="16"/>
        <v>0</v>
      </c>
      <c r="AM74" s="154"/>
      <c r="AN74" s="155"/>
      <c r="AO74" s="130">
        <f t="shared" si="17"/>
        <v>0</v>
      </c>
      <c r="AP74" s="3"/>
      <c r="AQ74" s="132"/>
      <c r="AR74" s="130">
        <f t="shared" si="18"/>
        <v>0</v>
      </c>
      <c r="AS74" s="3">
        <f t="shared" si="19"/>
        <v>1</v>
      </c>
      <c r="AT74" s="130">
        <v>3</v>
      </c>
      <c r="AU74" s="130">
        <f t="shared" si="20"/>
        <v>3</v>
      </c>
      <c r="AV74" s="133">
        <f t="shared" si="32"/>
        <v>7.85</v>
      </c>
      <c r="AW74" s="3">
        <v>1</v>
      </c>
      <c r="AX74" s="3">
        <f t="shared" si="21"/>
        <v>47.4</v>
      </c>
      <c r="AY74" s="3"/>
      <c r="AZ74" s="3">
        <v>50</v>
      </c>
      <c r="BA74" s="134" t="str">
        <f t="shared" si="22"/>
        <v>79807</v>
      </c>
      <c r="BB74" s="3" t="str">
        <f t="shared" si="23"/>
        <v>Lottstetten</v>
      </c>
      <c r="BC74" s="135" t="str">
        <f t="shared" si="24"/>
        <v>DE</v>
      </c>
      <c r="BD74" s="136">
        <v>46.558575</v>
      </c>
      <c r="BE74" s="135">
        <f t="shared" si="25"/>
        <v>46.558575</v>
      </c>
      <c r="BF74" s="135">
        <v>2.5</v>
      </c>
      <c r="BG74" s="135">
        <f t="shared" si="26"/>
        <v>1.2</v>
      </c>
      <c r="BH74" s="135">
        <v>2.5</v>
      </c>
      <c r="BI74" s="135"/>
      <c r="BJ74" s="135">
        <f t="shared" si="27"/>
        <v>6.2</v>
      </c>
      <c r="BK74" s="137"/>
      <c r="BL74" s="135"/>
      <c r="BM74" s="135">
        <f t="shared" si="28"/>
        <v>0</v>
      </c>
      <c r="BN74" s="138">
        <f t="shared" si="35"/>
        <v>52.758575</v>
      </c>
      <c r="BO74" s="156">
        <f t="shared" si="29"/>
        <v>60.608575</v>
      </c>
    </row>
    <row r="75" spans="1:67">
      <c r="A75" s="129" t="s">
        <v>492</v>
      </c>
      <c r="B75" s="3">
        <f t="shared" si="33"/>
        <v>1</v>
      </c>
      <c r="C75" s="3">
        <v>1</v>
      </c>
      <c r="D75" s="3" t="s">
        <v>291</v>
      </c>
      <c r="E75" s="129" t="s">
        <v>153</v>
      </c>
      <c r="F75" s="3">
        <v>202509</v>
      </c>
      <c r="G75" s="129" t="s">
        <v>155</v>
      </c>
      <c r="H75" s="129" t="s">
        <v>155</v>
      </c>
      <c r="I75" s="129" t="s">
        <v>156</v>
      </c>
      <c r="J75" s="129" t="s">
        <v>157</v>
      </c>
      <c r="K75" s="129" t="s">
        <v>492</v>
      </c>
      <c r="L75" s="129" t="s">
        <v>178</v>
      </c>
      <c r="M75" s="129"/>
      <c r="N75" s="129" t="s">
        <v>160</v>
      </c>
      <c r="O75" s="129">
        <v>1</v>
      </c>
      <c r="P75" s="129" t="s">
        <v>161</v>
      </c>
      <c r="Q75" s="129">
        <v>47.4</v>
      </c>
      <c r="R75" s="129" t="s">
        <v>180</v>
      </c>
      <c r="S75" s="129" t="s">
        <v>198</v>
      </c>
      <c r="T75" s="129" t="s">
        <v>493</v>
      </c>
      <c r="U75" s="129"/>
      <c r="V75" s="129"/>
      <c r="W75" s="129" t="s">
        <v>415</v>
      </c>
      <c r="X75" s="129" t="s">
        <v>416</v>
      </c>
      <c r="Y75" s="129" t="s">
        <v>164</v>
      </c>
      <c r="Z75" s="129" t="s">
        <v>165</v>
      </c>
      <c r="AA75" s="4" t="str">
        <f>VLOOKUP(Z75,物品明细!A:B,2,0)</f>
        <v>金属储物柜71英寸高</v>
      </c>
      <c r="AB75" s="3" t="str">
        <f>VLOOKUP(Z75,物品明细!A:I,9,0)</f>
        <v>188x49x14</v>
      </c>
      <c r="AC75" s="3">
        <f>VLOOKUP(Z75,物品明细!A:D,4,0)</f>
        <v>47.4</v>
      </c>
      <c r="AD75" s="3"/>
      <c r="AE75" s="129">
        <v>1</v>
      </c>
      <c r="AF75" s="3">
        <f t="shared" si="34"/>
        <v>47.4</v>
      </c>
      <c r="AG75" s="3">
        <f t="shared" si="14"/>
        <v>1</v>
      </c>
      <c r="AH75" s="59">
        <v>4.85</v>
      </c>
      <c r="AI75" s="130">
        <f t="shared" si="15"/>
        <v>4.85</v>
      </c>
      <c r="AJ75" s="131"/>
      <c r="AK75" s="130"/>
      <c r="AL75" s="130">
        <f t="shared" si="16"/>
        <v>0</v>
      </c>
      <c r="AM75" s="154"/>
      <c r="AN75" s="155"/>
      <c r="AO75" s="130">
        <f t="shared" si="17"/>
        <v>0</v>
      </c>
      <c r="AP75" s="3"/>
      <c r="AQ75" s="132"/>
      <c r="AR75" s="130">
        <f t="shared" si="18"/>
        <v>0</v>
      </c>
      <c r="AS75" s="3">
        <f t="shared" si="19"/>
        <v>1</v>
      </c>
      <c r="AT75" s="130">
        <v>3</v>
      </c>
      <c r="AU75" s="130">
        <f t="shared" si="20"/>
        <v>3</v>
      </c>
      <c r="AV75" s="133">
        <f t="shared" si="32"/>
        <v>7.85</v>
      </c>
      <c r="AW75" s="3">
        <v>1</v>
      </c>
      <c r="AX75" s="3">
        <f t="shared" si="21"/>
        <v>47.4</v>
      </c>
      <c r="AY75" s="3"/>
      <c r="AZ75" s="3">
        <v>50</v>
      </c>
      <c r="BA75" s="134" t="str">
        <f t="shared" si="22"/>
        <v>65618</v>
      </c>
      <c r="BB75" s="3" t="str">
        <f t="shared" si="23"/>
        <v>Selters (taunus)</v>
      </c>
      <c r="BC75" s="135" t="str">
        <f t="shared" si="24"/>
        <v>DE</v>
      </c>
      <c r="BD75" s="136">
        <v>46.558575</v>
      </c>
      <c r="BE75" s="135">
        <f t="shared" si="25"/>
        <v>46.558575</v>
      </c>
      <c r="BF75" s="135">
        <v>2.5</v>
      </c>
      <c r="BG75" s="135">
        <f t="shared" si="26"/>
        <v>1.2</v>
      </c>
      <c r="BH75" s="135">
        <v>2.5</v>
      </c>
      <c r="BI75" s="135"/>
      <c r="BJ75" s="135">
        <f t="shared" si="27"/>
        <v>6.2</v>
      </c>
      <c r="BK75" s="137"/>
      <c r="BL75" s="135"/>
      <c r="BM75" s="135">
        <f t="shared" si="28"/>
        <v>0</v>
      </c>
      <c r="BN75" s="138">
        <f t="shared" si="35"/>
        <v>52.758575</v>
      </c>
      <c r="BO75" s="156">
        <f t="shared" si="29"/>
        <v>60.608575</v>
      </c>
    </row>
    <row r="76" spans="1:67">
      <c r="A76" s="129" t="s">
        <v>494</v>
      </c>
      <c r="B76" s="3">
        <f t="shared" si="33"/>
        <v>1</v>
      </c>
      <c r="C76" s="3">
        <v>1</v>
      </c>
      <c r="D76" s="3" t="s">
        <v>291</v>
      </c>
      <c r="E76" s="129" t="s">
        <v>153</v>
      </c>
      <c r="F76" s="3">
        <v>202509</v>
      </c>
      <c r="G76" s="129" t="s">
        <v>495</v>
      </c>
      <c r="H76" s="129" t="s">
        <v>495</v>
      </c>
      <c r="I76" s="129" t="s">
        <v>156</v>
      </c>
      <c r="J76" s="129" t="s">
        <v>157</v>
      </c>
      <c r="K76" s="129" t="s">
        <v>494</v>
      </c>
      <c r="L76" s="129" t="s">
        <v>178</v>
      </c>
      <c r="M76" s="129"/>
      <c r="N76" s="129" t="s">
        <v>160</v>
      </c>
      <c r="O76" s="129">
        <v>1</v>
      </c>
      <c r="P76" s="129" t="s">
        <v>161</v>
      </c>
      <c r="Q76" s="129">
        <v>47.4</v>
      </c>
      <c r="R76" s="129" t="s">
        <v>180</v>
      </c>
      <c r="S76" s="129" t="s">
        <v>198</v>
      </c>
      <c r="T76" s="129" t="s">
        <v>496</v>
      </c>
      <c r="U76" s="129"/>
      <c r="V76" s="129"/>
      <c r="W76" s="129" t="s">
        <v>497</v>
      </c>
      <c r="X76" s="129" t="s">
        <v>498</v>
      </c>
      <c r="Y76" s="129" t="s">
        <v>164</v>
      </c>
      <c r="Z76" s="129" t="s">
        <v>169</v>
      </c>
      <c r="AA76" s="4" t="str">
        <f>VLOOKUP(Z76,物品明细!A:B,2,0)</f>
        <v>金属储物柜71英寸灰色</v>
      </c>
      <c r="AB76" s="3" t="str">
        <f>VLOOKUP(Z76,物品明细!A:I,9,0)</f>
        <v>188x49x14</v>
      </c>
      <c r="AC76" s="3">
        <f>VLOOKUP(Z76,物品明细!A:D,4,0)</f>
        <v>47.4</v>
      </c>
      <c r="AD76" s="3"/>
      <c r="AE76" s="129">
        <v>1</v>
      </c>
      <c r="AF76" s="3">
        <f t="shared" si="34"/>
        <v>47.4</v>
      </c>
      <c r="AG76" s="3">
        <f t="shared" si="14"/>
        <v>1</v>
      </c>
      <c r="AH76" s="59">
        <v>4.85</v>
      </c>
      <c r="AI76" s="130">
        <f t="shared" si="15"/>
        <v>4.85</v>
      </c>
      <c r="AJ76" s="131"/>
      <c r="AK76" s="130"/>
      <c r="AL76" s="130">
        <f t="shared" si="16"/>
        <v>0</v>
      </c>
      <c r="AM76" s="154"/>
      <c r="AN76" s="155"/>
      <c r="AO76" s="130">
        <f t="shared" si="17"/>
        <v>0</v>
      </c>
      <c r="AP76" s="3"/>
      <c r="AQ76" s="132"/>
      <c r="AR76" s="130">
        <f t="shared" si="18"/>
        <v>0</v>
      </c>
      <c r="AS76" s="3">
        <f t="shared" si="19"/>
        <v>1</v>
      </c>
      <c r="AT76" s="130">
        <v>3</v>
      </c>
      <c r="AU76" s="130">
        <f t="shared" si="20"/>
        <v>3</v>
      </c>
      <c r="AV76" s="133">
        <f t="shared" si="32"/>
        <v>7.85</v>
      </c>
      <c r="AW76" s="3">
        <v>1</v>
      </c>
      <c r="AX76" s="3">
        <f t="shared" si="21"/>
        <v>47.4</v>
      </c>
      <c r="AY76" s="3"/>
      <c r="AZ76" s="3">
        <v>50</v>
      </c>
      <c r="BA76" s="134" t="str">
        <f t="shared" si="22"/>
        <v>52399</v>
      </c>
      <c r="BB76" s="3" t="str">
        <f t="shared" si="23"/>
        <v>Merzenich</v>
      </c>
      <c r="BC76" s="135" t="str">
        <f t="shared" si="24"/>
        <v>DE</v>
      </c>
      <c r="BD76" s="136">
        <v>46.558575</v>
      </c>
      <c r="BE76" s="135">
        <f t="shared" si="25"/>
        <v>46.558575</v>
      </c>
      <c r="BF76" s="135">
        <v>2.5</v>
      </c>
      <c r="BG76" s="135">
        <f t="shared" si="26"/>
        <v>1.2</v>
      </c>
      <c r="BH76" s="135">
        <v>2.5</v>
      </c>
      <c r="BI76" s="135"/>
      <c r="BJ76" s="135">
        <f t="shared" si="27"/>
        <v>6.2</v>
      </c>
      <c r="BK76" s="137"/>
      <c r="BL76" s="135"/>
      <c r="BM76" s="135">
        <f t="shared" si="28"/>
        <v>0</v>
      </c>
      <c r="BN76" s="138">
        <f t="shared" si="35"/>
        <v>52.758575</v>
      </c>
      <c r="BO76" s="156">
        <f t="shared" si="29"/>
        <v>60.608575</v>
      </c>
    </row>
    <row r="77" spans="1:67">
      <c r="A77" s="129" t="s">
        <v>499</v>
      </c>
      <c r="B77" s="3">
        <f t="shared" si="33"/>
        <v>1</v>
      </c>
      <c r="C77" s="3">
        <v>1</v>
      </c>
      <c r="D77" s="3" t="s">
        <v>291</v>
      </c>
      <c r="E77" s="129" t="s">
        <v>153</v>
      </c>
      <c r="F77" s="3">
        <v>202509</v>
      </c>
      <c r="G77" s="129" t="s">
        <v>495</v>
      </c>
      <c r="H77" s="129" t="s">
        <v>495</v>
      </c>
      <c r="I77" s="129" t="s">
        <v>156</v>
      </c>
      <c r="J77" s="129" t="s">
        <v>157</v>
      </c>
      <c r="K77" s="129" t="s">
        <v>499</v>
      </c>
      <c r="L77" s="129" t="s">
        <v>178</v>
      </c>
      <c r="M77" s="129"/>
      <c r="N77" s="129" t="s">
        <v>160</v>
      </c>
      <c r="O77" s="129">
        <v>1</v>
      </c>
      <c r="P77" s="129" t="s">
        <v>161</v>
      </c>
      <c r="Q77" s="129">
        <v>47.4</v>
      </c>
      <c r="R77" s="129" t="s">
        <v>180</v>
      </c>
      <c r="S77" s="129" t="s">
        <v>198</v>
      </c>
      <c r="T77" s="129" t="s">
        <v>500</v>
      </c>
      <c r="U77" s="129"/>
      <c r="V77" s="129"/>
      <c r="W77" s="129" t="s">
        <v>501</v>
      </c>
      <c r="X77" s="129" t="s">
        <v>502</v>
      </c>
      <c r="Y77" s="129" t="s">
        <v>164</v>
      </c>
      <c r="Z77" s="129" t="s">
        <v>168</v>
      </c>
      <c r="AA77" s="4" t="str">
        <f>VLOOKUP(Z77,物品明细!A:B,2,0)</f>
        <v>金属储物柜71英寸银色</v>
      </c>
      <c r="AB77" s="3" t="str">
        <f>VLOOKUP(Z77,物品明细!A:I,9,0)</f>
        <v>188x49x14</v>
      </c>
      <c r="AC77" s="3">
        <f>VLOOKUP(Z77,物品明细!A:D,4,0)</f>
        <v>47.4</v>
      </c>
      <c r="AD77" s="3"/>
      <c r="AE77" s="129">
        <v>1</v>
      </c>
      <c r="AF77" s="3">
        <f t="shared" si="34"/>
        <v>47.4</v>
      </c>
      <c r="AG77" s="3">
        <f t="shared" si="14"/>
        <v>1</v>
      </c>
      <c r="AH77" s="59">
        <v>4.85</v>
      </c>
      <c r="AI77" s="130">
        <f t="shared" si="15"/>
        <v>4.85</v>
      </c>
      <c r="AJ77" s="131"/>
      <c r="AK77" s="130"/>
      <c r="AL77" s="130">
        <f t="shared" si="16"/>
        <v>0</v>
      </c>
      <c r="AM77" s="154"/>
      <c r="AN77" s="155"/>
      <c r="AO77" s="130">
        <f t="shared" si="17"/>
        <v>0</v>
      </c>
      <c r="AP77" s="3"/>
      <c r="AQ77" s="132"/>
      <c r="AR77" s="130">
        <f t="shared" si="18"/>
        <v>0</v>
      </c>
      <c r="AS77" s="3">
        <f t="shared" si="19"/>
        <v>1</v>
      </c>
      <c r="AT77" s="130">
        <v>3</v>
      </c>
      <c r="AU77" s="130">
        <f t="shared" si="20"/>
        <v>3</v>
      </c>
      <c r="AV77" s="133">
        <f t="shared" si="32"/>
        <v>7.85</v>
      </c>
      <c r="AW77" s="3">
        <v>1</v>
      </c>
      <c r="AX77" s="3">
        <f t="shared" si="21"/>
        <v>47.4</v>
      </c>
      <c r="AY77" s="3"/>
      <c r="AZ77" s="3">
        <v>50</v>
      </c>
      <c r="BA77" s="134" t="str">
        <f t="shared" si="22"/>
        <v>48599</v>
      </c>
      <c r="BB77" s="3" t="str">
        <f t="shared" si="23"/>
        <v>Gronau (Westf.)</v>
      </c>
      <c r="BC77" s="135" t="str">
        <f t="shared" si="24"/>
        <v>DE</v>
      </c>
      <c r="BD77" s="136">
        <v>46.558575</v>
      </c>
      <c r="BE77" s="135">
        <f t="shared" si="25"/>
        <v>46.558575</v>
      </c>
      <c r="BF77" s="135">
        <v>2.5</v>
      </c>
      <c r="BG77" s="135">
        <f t="shared" si="26"/>
        <v>1.2</v>
      </c>
      <c r="BH77" s="135">
        <v>2.5</v>
      </c>
      <c r="BI77" s="135"/>
      <c r="BJ77" s="135">
        <f t="shared" si="27"/>
        <v>6.2</v>
      </c>
      <c r="BK77" s="137"/>
      <c r="BL77" s="135"/>
      <c r="BM77" s="135">
        <f t="shared" si="28"/>
        <v>0</v>
      </c>
      <c r="BN77" s="138">
        <f t="shared" si="35"/>
        <v>52.758575</v>
      </c>
      <c r="BO77" s="156">
        <f t="shared" si="29"/>
        <v>60.608575</v>
      </c>
    </row>
    <row r="78" spans="1:67">
      <c r="A78" s="129" t="s">
        <v>503</v>
      </c>
      <c r="B78" s="3">
        <f t="shared" si="33"/>
        <v>1</v>
      </c>
      <c r="C78" s="3">
        <v>1</v>
      </c>
      <c r="D78" s="3" t="s">
        <v>291</v>
      </c>
      <c r="E78" s="129" t="s">
        <v>153</v>
      </c>
      <c r="F78" s="3">
        <v>202509</v>
      </c>
      <c r="G78" s="129" t="s">
        <v>495</v>
      </c>
      <c r="H78" s="129" t="s">
        <v>495</v>
      </c>
      <c r="I78" s="129" t="s">
        <v>156</v>
      </c>
      <c r="J78" s="129" t="s">
        <v>157</v>
      </c>
      <c r="K78" s="129" t="s">
        <v>503</v>
      </c>
      <c r="L78" s="129" t="s">
        <v>178</v>
      </c>
      <c r="M78" s="129"/>
      <c r="N78" s="129" t="s">
        <v>160</v>
      </c>
      <c r="O78" s="129">
        <v>1</v>
      </c>
      <c r="P78" s="129" t="s">
        <v>161</v>
      </c>
      <c r="Q78" s="129">
        <v>47.4</v>
      </c>
      <c r="R78" s="129" t="s">
        <v>180</v>
      </c>
      <c r="S78" s="129" t="s">
        <v>198</v>
      </c>
      <c r="T78" s="129" t="s">
        <v>504</v>
      </c>
      <c r="U78" s="129"/>
      <c r="V78" s="129"/>
      <c r="W78" s="129" t="s">
        <v>505</v>
      </c>
      <c r="X78" s="129" t="s">
        <v>506</v>
      </c>
      <c r="Y78" s="129" t="s">
        <v>164</v>
      </c>
      <c r="Z78" s="129" t="s">
        <v>165</v>
      </c>
      <c r="AA78" s="4" t="str">
        <f>VLOOKUP(Z78,物品明细!A:B,2,0)</f>
        <v>金属储物柜71英寸高</v>
      </c>
      <c r="AB78" s="3" t="str">
        <f>VLOOKUP(Z78,物品明细!A:I,9,0)</f>
        <v>188x49x14</v>
      </c>
      <c r="AC78" s="3">
        <f>VLOOKUP(Z78,物品明细!A:D,4,0)</f>
        <v>47.4</v>
      </c>
      <c r="AD78" s="3"/>
      <c r="AE78" s="129">
        <v>1</v>
      </c>
      <c r="AF78" s="3">
        <f t="shared" si="34"/>
        <v>47.4</v>
      </c>
      <c r="AG78" s="3">
        <f t="shared" si="14"/>
        <v>1</v>
      </c>
      <c r="AH78" s="59">
        <v>4.85</v>
      </c>
      <c r="AI78" s="130">
        <f t="shared" si="15"/>
        <v>4.85</v>
      </c>
      <c r="AJ78" s="131"/>
      <c r="AK78" s="130"/>
      <c r="AL78" s="130">
        <f t="shared" si="16"/>
        <v>0</v>
      </c>
      <c r="AM78" s="154"/>
      <c r="AN78" s="155"/>
      <c r="AO78" s="130">
        <f t="shared" si="17"/>
        <v>0</v>
      </c>
      <c r="AP78" s="3"/>
      <c r="AQ78" s="132"/>
      <c r="AR78" s="130">
        <f t="shared" si="18"/>
        <v>0</v>
      </c>
      <c r="AS78" s="3">
        <f t="shared" si="19"/>
        <v>1</v>
      </c>
      <c r="AT78" s="130">
        <v>3</v>
      </c>
      <c r="AU78" s="130">
        <f t="shared" si="20"/>
        <v>3</v>
      </c>
      <c r="AV78" s="133">
        <f t="shared" si="32"/>
        <v>7.85</v>
      </c>
      <c r="AW78" s="3">
        <v>1</v>
      </c>
      <c r="AX78" s="3">
        <f t="shared" si="21"/>
        <v>47.4</v>
      </c>
      <c r="AY78" s="3"/>
      <c r="AZ78" s="3">
        <v>50</v>
      </c>
      <c r="BA78" s="134" t="str">
        <f t="shared" si="22"/>
        <v>45549</v>
      </c>
      <c r="BB78" s="3" t="str">
        <f t="shared" si="23"/>
        <v>Sprockhövel</v>
      </c>
      <c r="BC78" s="135" t="str">
        <f t="shared" si="24"/>
        <v>DE</v>
      </c>
      <c r="BD78" s="136">
        <v>46.558575</v>
      </c>
      <c r="BE78" s="135">
        <f t="shared" si="25"/>
        <v>46.558575</v>
      </c>
      <c r="BF78" s="135">
        <v>2.5</v>
      </c>
      <c r="BG78" s="135">
        <f t="shared" si="26"/>
        <v>1.2</v>
      </c>
      <c r="BH78" s="135">
        <v>2.5</v>
      </c>
      <c r="BI78" s="135"/>
      <c r="BJ78" s="135">
        <f t="shared" si="27"/>
        <v>6.2</v>
      </c>
      <c r="BK78" s="137"/>
      <c r="BL78" s="135"/>
      <c r="BM78" s="135">
        <f t="shared" si="28"/>
        <v>0</v>
      </c>
      <c r="BN78" s="138">
        <f t="shared" si="35"/>
        <v>52.758575</v>
      </c>
      <c r="BO78" s="156">
        <f t="shared" si="29"/>
        <v>60.608575</v>
      </c>
    </row>
    <row r="79" spans="1:67">
      <c r="A79" s="129" t="s">
        <v>507</v>
      </c>
      <c r="B79" s="3">
        <f t="shared" si="33"/>
        <v>1</v>
      </c>
      <c r="C79" s="3">
        <v>1</v>
      </c>
      <c r="D79" s="3" t="s">
        <v>291</v>
      </c>
      <c r="E79" s="129" t="s">
        <v>153</v>
      </c>
      <c r="F79" s="3">
        <v>202509</v>
      </c>
      <c r="G79" s="129" t="s">
        <v>495</v>
      </c>
      <c r="H79" s="129" t="s">
        <v>495</v>
      </c>
      <c r="I79" s="129" t="s">
        <v>156</v>
      </c>
      <c r="J79" s="129" t="s">
        <v>157</v>
      </c>
      <c r="K79" s="129" t="s">
        <v>507</v>
      </c>
      <c r="L79" s="129" t="s">
        <v>178</v>
      </c>
      <c r="M79" s="129"/>
      <c r="N79" s="129" t="s">
        <v>160</v>
      </c>
      <c r="O79" s="129">
        <v>1</v>
      </c>
      <c r="P79" s="129" t="s">
        <v>161</v>
      </c>
      <c r="Q79" s="129">
        <v>47.4</v>
      </c>
      <c r="R79" s="129" t="s">
        <v>180</v>
      </c>
      <c r="S79" s="129" t="s">
        <v>198</v>
      </c>
      <c r="T79" s="129" t="s">
        <v>508</v>
      </c>
      <c r="U79" s="129"/>
      <c r="V79" s="129"/>
      <c r="W79" s="129" t="s">
        <v>509</v>
      </c>
      <c r="X79" s="129" t="s">
        <v>510</v>
      </c>
      <c r="Y79" s="129" t="s">
        <v>164</v>
      </c>
      <c r="Z79" s="129" t="s">
        <v>169</v>
      </c>
      <c r="AA79" s="4" t="str">
        <f>VLOOKUP(Z79,物品明细!A:B,2,0)</f>
        <v>金属储物柜71英寸灰色</v>
      </c>
      <c r="AB79" s="3" t="str">
        <f>VLOOKUP(Z79,物品明细!A:I,9,0)</f>
        <v>188x49x14</v>
      </c>
      <c r="AC79" s="3">
        <f>VLOOKUP(Z79,物品明细!A:D,4,0)</f>
        <v>47.4</v>
      </c>
      <c r="AD79" s="3"/>
      <c r="AE79" s="129">
        <v>1</v>
      </c>
      <c r="AF79" s="3">
        <f t="shared" si="34"/>
        <v>47.4</v>
      </c>
      <c r="AG79" s="3">
        <f t="shared" si="14"/>
        <v>1</v>
      </c>
      <c r="AH79" s="59">
        <v>4.85</v>
      </c>
      <c r="AI79" s="130">
        <f t="shared" si="15"/>
        <v>4.85</v>
      </c>
      <c r="AJ79" s="131"/>
      <c r="AK79" s="130"/>
      <c r="AL79" s="130">
        <f t="shared" si="16"/>
        <v>0</v>
      </c>
      <c r="AM79" s="154"/>
      <c r="AN79" s="155"/>
      <c r="AO79" s="130">
        <f t="shared" si="17"/>
        <v>0</v>
      </c>
      <c r="AP79" s="3"/>
      <c r="AQ79" s="132"/>
      <c r="AR79" s="130">
        <f t="shared" si="18"/>
        <v>0</v>
      </c>
      <c r="AS79" s="3">
        <f t="shared" si="19"/>
        <v>1</v>
      </c>
      <c r="AT79" s="130">
        <v>3</v>
      </c>
      <c r="AU79" s="130">
        <f t="shared" si="20"/>
        <v>3</v>
      </c>
      <c r="AV79" s="133">
        <f t="shared" si="32"/>
        <v>7.85</v>
      </c>
      <c r="AW79" s="3">
        <v>1</v>
      </c>
      <c r="AX79" s="3">
        <f t="shared" si="21"/>
        <v>47.4</v>
      </c>
      <c r="AY79" s="3"/>
      <c r="AZ79" s="3">
        <v>50</v>
      </c>
      <c r="BA79" s="134" t="str">
        <f t="shared" si="22"/>
        <v>71034</v>
      </c>
      <c r="BB79" s="3" t="str">
        <f t="shared" si="23"/>
        <v>Böblingen</v>
      </c>
      <c r="BC79" s="135" t="str">
        <f t="shared" si="24"/>
        <v>DE</v>
      </c>
      <c r="BD79" s="136">
        <v>46.558575</v>
      </c>
      <c r="BE79" s="135">
        <f t="shared" si="25"/>
        <v>46.558575</v>
      </c>
      <c r="BF79" s="135">
        <v>2.5</v>
      </c>
      <c r="BG79" s="135">
        <f t="shared" si="26"/>
        <v>1.2</v>
      </c>
      <c r="BH79" s="135">
        <v>2.5</v>
      </c>
      <c r="BI79" s="135"/>
      <c r="BJ79" s="135">
        <f t="shared" si="27"/>
        <v>6.2</v>
      </c>
      <c r="BK79" s="137"/>
      <c r="BL79" s="135"/>
      <c r="BM79" s="135">
        <f t="shared" si="28"/>
        <v>0</v>
      </c>
      <c r="BN79" s="138">
        <f t="shared" si="35"/>
        <v>52.758575</v>
      </c>
      <c r="BO79" s="156">
        <f t="shared" si="29"/>
        <v>60.608575</v>
      </c>
    </row>
  </sheetData>
  <autoFilter xmlns:etc="http://www.wps.cn/officeDocument/2017/etCustomData" ref="A4:BP79" etc:filterBottomFollowUsedRange="0">
    <extLst/>
  </autoFilter>
  <mergeCells count="16">
    <mergeCell ref="A1:Z1"/>
    <mergeCell ref="AG2:AV2"/>
    <mergeCell ref="AW2:BN2"/>
    <mergeCell ref="A3:Y3"/>
    <mergeCell ref="Z3:AE3"/>
    <mergeCell ref="AG3:AI3"/>
    <mergeCell ref="AJ3:AL3"/>
    <mergeCell ref="AM3:AO3"/>
    <mergeCell ref="AP3:AR3"/>
    <mergeCell ref="AS3:AU3"/>
    <mergeCell ref="AW3:BE3"/>
    <mergeCell ref="BF3:BJ3"/>
    <mergeCell ref="BK3:BM3"/>
    <mergeCell ref="AV3:AV4"/>
    <mergeCell ref="BN3:BN4"/>
    <mergeCell ref="BO2:BO4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29"/>
  <sheetViews>
    <sheetView tabSelected="1" zoomScale="85" zoomScaleNormal="85" workbookViewId="0">
      <pane xSplit="4" ySplit="5" topLeftCell="J57" activePane="bottomRight" state="frozen"/>
      <selection/>
      <selection pane="topRight"/>
      <selection pane="bottomLeft"/>
      <selection pane="bottomRight" activeCell="A86" sqref="$A86:$XFD86"/>
    </sheetView>
  </sheetViews>
  <sheetFormatPr defaultColWidth="8.8" defaultRowHeight="14.25"/>
  <cols>
    <col min="3" max="3" width="8.8" hidden="1" outlineLevel="1"/>
    <col min="4" max="4" width="14.125" customWidth="1" collapsed="1"/>
    <col min="5" max="5" width="8.8" hidden="1" outlineLevel="1"/>
    <col min="6" max="6" width="21.175" customWidth="1" collapsed="1"/>
    <col min="7" max="7" width="14.275" customWidth="1"/>
    <col min="9" max="9" width="14.3416666666667" customWidth="1"/>
    <col min="13" max="15" width="8.8" hidden="1" outlineLevel="1"/>
    <col min="16" max="16" width="12.6916666666667" hidden="1" outlineLevel="1"/>
    <col min="17" max="20" width="8.8" hidden="1" outlineLevel="1"/>
    <col min="21" max="21" width="12.6916666666667" hidden="1" outlineLevel="1"/>
    <col min="22" max="26" width="8.8" hidden="1" outlineLevel="1"/>
    <col min="27" max="27" width="8.8" collapsed="1"/>
    <col min="30" max="30" width="9.71666666666667" customWidth="1"/>
    <col min="32" max="32" width="5.89166666666667" customWidth="1"/>
    <col min="33" max="33" width="6.475" customWidth="1"/>
    <col min="34" max="34" width="8.39166666666667" customWidth="1"/>
    <col min="36" max="36" width="8.8" style="7"/>
    <col min="38" max="38" width="8.9"/>
    <col min="39" max="39" width="11.9916666666667" customWidth="1"/>
    <col min="40" max="40" width="10.0083333333333" customWidth="1"/>
    <col min="42" max="42" width="10.5"/>
  </cols>
  <sheetData>
    <row r="1" ht="15" spans="1:43">
      <c r="A1" s="8"/>
      <c r="B1" s="9"/>
      <c r="C1" s="8"/>
      <c r="D1" s="8"/>
      <c r="E1" s="8"/>
      <c r="F1" s="8"/>
      <c r="G1" s="8"/>
      <c r="H1" s="10"/>
      <c r="I1" s="11"/>
      <c r="J1" s="11"/>
      <c r="K1" s="11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12"/>
      <c r="AK1" s="8"/>
      <c r="AL1" s="8"/>
      <c r="AM1" s="8"/>
      <c r="AN1" s="8"/>
      <c r="AO1" s="8"/>
      <c r="AP1" s="13">
        <f>SUM(AP6:AP10000)</f>
        <v>674.82506</v>
      </c>
      <c r="AQ1" s="8"/>
    </row>
    <row r="2" spans="1:43">
      <c r="A2" s="14" t="s">
        <v>511</v>
      </c>
      <c r="B2" s="15"/>
      <c r="C2" s="14" t="s">
        <v>512</v>
      </c>
      <c r="D2" s="16"/>
      <c r="E2" s="16"/>
      <c r="F2" s="16"/>
      <c r="G2" s="16"/>
      <c r="H2" s="16"/>
      <c r="I2" s="17" t="s">
        <v>513</v>
      </c>
      <c r="J2" s="18"/>
      <c r="K2" s="18"/>
      <c r="L2" s="16"/>
      <c r="M2" s="16"/>
      <c r="N2" s="16"/>
      <c r="O2" s="16"/>
      <c r="P2" s="16"/>
      <c r="Q2" s="19" t="s">
        <v>514</v>
      </c>
      <c r="R2" s="19"/>
      <c r="S2" s="19"/>
      <c r="T2" s="19"/>
      <c r="U2" s="19"/>
      <c r="V2" s="19" t="s">
        <v>515</v>
      </c>
      <c r="W2" s="19"/>
      <c r="X2" s="19"/>
      <c r="Y2" s="19"/>
      <c r="Z2" s="19"/>
      <c r="AA2" s="14" t="s">
        <v>516</v>
      </c>
      <c r="AB2" s="16"/>
      <c r="AC2" s="16"/>
      <c r="AD2" s="16"/>
      <c r="AE2" s="14" t="s">
        <v>517</v>
      </c>
      <c r="AF2" s="14"/>
      <c r="AG2" s="16"/>
      <c r="AH2" s="16"/>
      <c r="AI2" s="16"/>
      <c r="AJ2" s="20" t="s">
        <v>518</v>
      </c>
      <c r="AK2" s="16"/>
      <c r="AL2" s="16"/>
      <c r="AM2" s="16"/>
      <c r="AN2" s="16"/>
      <c r="AO2" s="16"/>
      <c r="AP2" s="16"/>
      <c r="AQ2" s="19" t="s">
        <v>23</v>
      </c>
    </row>
    <row r="3" ht="25.5" spans="1:43">
      <c r="A3" s="21" t="s">
        <v>97</v>
      </c>
      <c r="B3" s="22" t="s">
        <v>519</v>
      </c>
      <c r="C3" s="21" t="s">
        <v>520</v>
      </c>
      <c r="D3" s="21" t="s">
        <v>521</v>
      </c>
      <c r="E3" s="23" t="s">
        <v>522</v>
      </c>
      <c r="F3" s="21" t="s">
        <v>523</v>
      </c>
      <c r="G3" s="23" t="s">
        <v>524</v>
      </c>
      <c r="H3" s="24" t="s">
        <v>525</v>
      </c>
      <c r="I3" s="25" t="s">
        <v>526</v>
      </c>
      <c r="J3" s="25" t="s">
        <v>527</v>
      </c>
      <c r="K3" s="25" t="s">
        <v>528</v>
      </c>
      <c r="L3" s="21" t="s">
        <v>529</v>
      </c>
      <c r="M3" s="21" t="s">
        <v>530</v>
      </c>
      <c r="N3" s="21" t="s">
        <v>531</v>
      </c>
      <c r="O3" s="21" t="s">
        <v>532</v>
      </c>
      <c r="P3" s="26" t="s">
        <v>533</v>
      </c>
      <c r="Q3" s="23" t="s">
        <v>534</v>
      </c>
      <c r="R3" s="21" t="s">
        <v>530</v>
      </c>
      <c r="S3" s="21" t="s">
        <v>531</v>
      </c>
      <c r="T3" s="21" t="s">
        <v>532</v>
      </c>
      <c r="U3" s="23" t="s">
        <v>535</v>
      </c>
      <c r="V3" s="23" t="s">
        <v>536</v>
      </c>
      <c r="W3" s="21" t="s">
        <v>530</v>
      </c>
      <c r="X3" s="21" t="s">
        <v>531</v>
      </c>
      <c r="Y3" s="21" t="s">
        <v>532</v>
      </c>
      <c r="Z3" s="23" t="s">
        <v>537</v>
      </c>
      <c r="AA3" s="21" t="s">
        <v>538</v>
      </c>
      <c r="AB3" s="21" t="s">
        <v>71</v>
      </c>
      <c r="AC3" s="27" t="s">
        <v>539</v>
      </c>
      <c r="AD3" s="23" t="s">
        <v>63</v>
      </c>
      <c r="AE3" s="21" t="s">
        <v>540</v>
      </c>
      <c r="AF3" s="21" t="s">
        <v>541</v>
      </c>
      <c r="AG3" s="14" t="s">
        <v>542</v>
      </c>
      <c r="AH3" s="21" t="s">
        <v>543</v>
      </c>
      <c r="AI3" s="28" t="s">
        <v>544</v>
      </c>
      <c r="AJ3" s="29" t="s">
        <v>545</v>
      </c>
      <c r="AK3" s="21" t="s">
        <v>546</v>
      </c>
      <c r="AL3" s="21" t="s">
        <v>547</v>
      </c>
      <c r="AM3" s="21" t="s">
        <v>548</v>
      </c>
      <c r="AN3" s="21" t="s">
        <v>549</v>
      </c>
      <c r="AO3" s="21" t="s">
        <v>550</v>
      </c>
      <c r="AP3" s="30" t="s">
        <v>551</v>
      </c>
      <c r="AQ3" s="16"/>
    </row>
    <row r="4" ht="25.5" spans="1:43">
      <c r="A4" s="31" t="s">
        <v>552</v>
      </c>
      <c r="B4" s="32" t="s">
        <v>552</v>
      </c>
      <c r="C4" s="31" t="s">
        <v>552</v>
      </c>
      <c r="D4" s="31" t="s">
        <v>552</v>
      </c>
      <c r="E4" s="31" t="s">
        <v>552</v>
      </c>
      <c r="F4" s="31" t="s">
        <v>552</v>
      </c>
      <c r="G4" s="31" t="s">
        <v>552</v>
      </c>
      <c r="H4" s="33" t="s">
        <v>552</v>
      </c>
      <c r="I4" s="34" t="s">
        <v>552</v>
      </c>
      <c r="J4" s="34" t="s">
        <v>552</v>
      </c>
      <c r="K4" s="34" t="s">
        <v>552</v>
      </c>
      <c r="L4" s="31"/>
      <c r="M4" s="31" t="s">
        <v>553</v>
      </c>
      <c r="N4" s="31" t="s">
        <v>553</v>
      </c>
      <c r="O4" s="31" t="s">
        <v>553</v>
      </c>
      <c r="P4" s="35" t="s">
        <v>554</v>
      </c>
      <c r="Q4" s="31" t="s">
        <v>555</v>
      </c>
      <c r="R4" s="31" t="s">
        <v>553</v>
      </c>
      <c r="S4" s="31" t="s">
        <v>553</v>
      </c>
      <c r="T4" s="31" t="s">
        <v>553</v>
      </c>
      <c r="U4" s="31" t="s">
        <v>554</v>
      </c>
      <c r="V4" s="31" t="s">
        <v>556</v>
      </c>
      <c r="W4" s="31" t="s">
        <v>553</v>
      </c>
      <c r="X4" s="31" t="s">
        <v>553</v>
      </c>
      <c r="Y4" s="31" t="s">
        <v>553</v>
      </c>
      <c r="Z4" s="31" t="s">
        <v>554</v>
      </c>
      <c r="AA4" s="21" t="s">
        <v>557</v>
      </c>
      <c r="AB4" s="23" t="s">
        <v>558</v>
      </c>
      <c r="AC4" s="27" t="s">
        <v>559</v>
      </c>
      <c r="AD4" s="31"/>
      <c r="AE4" s="21" t="s">
        <v>559</v>
      </c>
      <c r="AF4" s="21" t="s">
        <v>559</v>
      </c>
      <c r="AG4" s="21" t="s">
        <v>559</v>
      </c>
      <c r="AH4" s="21" t="s">
        <v>559</v>
      </c>
      <c r="AI4" s="36" t="s">
        <v>560</v>
      </c>
      <c r="AJ4" s="37" t="s">
        <v>554</v>
      </c>
      <c r="AK4" s="31" t="s">
        <v>554</v>
      </c>
      <c r="AL4" s="21" t="s">
        <v>561</v>
      </c>
      <c r="AM4" s="21" t="s">
        <v>561</v>
      </c>
      <c r="AN4" s="31" t="s">
        <v>552</v>
      </c>
      <c r="AO4" s="31" t="s">
        <v>562</v>
      </c>
      <c r="AP4" s="38" t="s">
        <v>562</v>
      </c>
      <c r="AQ4" s="16"/>
    </row>
    <row r="5" ht="25.5" spans="1:43">
      <c r="A5" s="31" t="s">
        <v>563</v>
      </c>
      <c r="B5" s="32" t="s">
        <v>564</v>
      </c>
      <c r="C5" s="31" t="s">
        <v>565</v>
      </c>
      <c r="D5" s="31" t="s">
        <v>566</v>
      </c>
      <c r="E5" s="31" t="s">
        <v>567</v>
      </c>
      <c r="F5" s="31" t="s">
        <v>568</v>
      </c>
      <c r="G5" s="31" t="s">
        <v>569</v>
      </c>
      <c r="H5" s="33" t="s">
        <v>570</v>
      </c>
      <c r="I5" s="39" t="s">
        <v>571</v>
      </c>
      <c r="J5" s="34" t="s">
        <v>572</v>
      </c>
      <c r="K5" s="34" t="s">
        <v>573</v>
      </c>
      <c r="L5" s="31" t="s">
        <v>574</v>
      </c>
      <c r="M5" s="31" t="s">
        <v>575</v>
      </c>
      <c r="N5" s="31" t="s">
        <v>576</v>
      </c>
      <c r="O5" s="31" t="s">
        <v>577</v>
      </c>
      <c r="P5" s="35" t="s">
        <v>578</v>
      </c>
      <c r="Q5" s="31" t="s">
        <v>579</v>
      </c>
      <c r="R5" s="31" t="s">
        <v>575</v>
      </c>
      <c r="S5" s="31" t="s">
        <v>576</v>
      </c>
      <c r="T5" s="31" t="s">
        <v>577</v>
      </c>
      <c r="U5" s="31" t="s">
        <v>580</v>
      </c>
      <c r="V5" s="31" t="s">
        <v>581</v>
      </c>
      <c r="W5" s="31" t="s">
        <v>575</v>
      </c>
      <c r="X5" s="31" t="s">
        <v>576</v>
      </c>
      <c r="Y5" s="31" t="s">
        <v>577</v>
      </c>
      <c r="Z5" s="31" t="s">
        <v>582</v>
      </c>
      <c r="AA5" s="31" t="s">
        <v>583</v>
      </c>
      <c r="AB5" s="31" t="s">
        <v>584</v>
      </c>
      <c r="AC5" s="40" t="s">
        <v>585</v>
      </c>
      <c r="AD5" s="31" t="s">
        <v>586</v>
      </c>
      <c r="AE5" s="31" t="s">
        <v>587</v>
      </c>
      <c r="AF5" s="31" t="s">
        <v>588</v>
      </c>
      <c r="AG5" s="31" t="s">
        <v>589</v>
      </c>
      <c r="AH5" s="31" t="s">
        <v>590</v>
      </c>
      <c r="AI5" s="36" t="s">
        <v>591</v>
      </c>
      <c r="AJ5" s="37" t="s">
        <v>592</v>
      </c>
      <c r="AK5" s="31" t="s">
        <v>593</v>
      </c>
      <c r="AL5" s="31" t="s">
        <v>594</v>
      </c>
      <c r="AM5" s="31" t="s">
        <v>595</v>
      </c>
      <c r="AN5" s="31" t="s">
        <v>596</v>
      </c>
      <c r="AO5" s="31" t="s">
        <v>597</v>
      </c>
      <c r="AP5" s="38" t="s">
        <v>598</v>
      </c>
      <c r="AQ5" s="16" t="s">
        <v>599</v>
      </c>
    </row>
    <row r="6" spans="1:43">
      <c r="A6" s="41">
        <v>202509</v>
      </c>
      <c r="B6" s="42">
        <v>45901</v>
      </c>
      <c r="C6" s="41" t="s">
        <v>600</v>
      </c>
      <c r="D6" s="43" t="s">
        <v>601</v>
      </c>
      <c r="E6" s="43" t="s">
        <v>157</v>
      </c>
      <c r="F6" s="43" t="s">
        <v>602</v>
      </c>
      <c r="G6" s="43" t="s">
        <v>603</v>
      </c>
      <c r="H6" s="44">
        <v>45889</v>
      </c>
      <c r="I6" s="43" t="s">
        <v>168</v>
      </c>
      <c r="J6" s="43"/>
      <c r="K6" s="45" t="str">
        <f>VLOOKUP(I6,物品明细!A:B,2,0)</f>
        <v>金属储物柜71英寸银色</v>
      </c>
      <c r="L6" s="41"/>
      <c r="M6" s="46">
        <f>VLOOKUP(I6,物品明细!A:E,5,0)</f>
        <v>188</v>
      </c>
      <c r="N6" s="46">
        <f>VLOOKUP(I6,物品明细!A:F,6,0)</f>
        <v>49</v>
      </c>
      <c r="O6" s="46">
        <f>VLOOKUP(I6,物品明细!A:G,7,0)</f>
        <v>14</v>
      </c>
      <c r="P6" s="41">
        <f t="shared" ref="P6:P69" si="0">M6*N6*O6/1000000</f>
        <v>0.128968</v>
      </c>
      <c r="Q6" s="41"/>
      <c r="R6" s="46">
        <f>VLOOKUP(I6,物品明细!A:E,5,0)</f>
        <v>188</v>
      </c>
      <c r="S6" s="46">
        <f>VLOOKUP(I6,物品明细!A:F,6,0)</f>
        <v>49</v>
      </c>
      <c r="T6" s="46">
        <f>VLOOKUP(I6,物品明细!A:G,7,0)</f>
        <v>14</v>
      </c>
      <c r="U6" s="41">
        <f t="shared" ref="U6:U69" si="1">R6*S6*T6/1000000</f>
        <v>0.128968</v>
      </c>
      <c r="V6" s="41"/>
      <c r="W6" s="41"/>
      <c r="X6" s="41"/>
      <c r="Y6" s="41"/>
      <c r="Z6" s="41"/>
      <c r="AA6" s="47">
        <v>21</v>
      </c>
      <c r="AB6" s="47">
        <v>247</v>
      </c>
      <c r="AC6" s="47">
        <v>247</v>
      </c>
      <c r="AD6" s="41">
        <v>0</v>
      </c>
      <c r="AE6" s="48">
        <v>247</v>
      </c>
      <c r="AF6" s="48"/>
      <c r="AG6" s="49">
        <v>1</v>
      </c>
      <c r="AH6" s="50">
        <f t="shared" ref="AH6:AH69" si="2">AE6+AF6-AG6</f>
        <v>246</v>
      </c>
      <c r="AI6" s="41" t="s">
        <v>555</v>
      </c>
      <c r="AJ6" s="51">
        <f t="shared" ref="AJ6:AJ69" si="3">AH6*P6</f>
        <v>31.726128</v>
      </c>
      <c r="AK6" s="51">
        <f t="shared" ref="AK6:AK69" si="4">AJ6</f>
        <v>31.726128</v>
      </c>
      <c r="AL6" s="41">
        <f t="shared" ref="AL6:AL69" si="5">B6-H6+1</f>
        <v>13</v>
      </c>
      <c r="AM6" s="41" t="str">
        <f t="shared" ref="AM6:AM69" si="6">IF(AL6&lt;=0,"0天",IF(AL6&lt;=30,"30天内",IF(AL6&lt;=90,"31-90天","91天以上")))</f>
        <v>30天内</v>
      </c>
      <c r="AN6" s="52">
        <f t="shared" ref="AN6:AN69" si="7">IF(AM6="0天",0,IF(AM6="30天内",0,IF(AM6="31-90天",0.6,1)))</f>
        <v>0</v>
      </c>
      <c r="AO6" s="41" t="s">
        <v>562</v>
      </c>
      <c r="AP6" s="53">
        <f t="shared" ref="AP6:AP69" si="8">AK6*AN6</f>
        <v>0</v>
      </c>
      <c r="AQ6" s="16"/>
    </row>
    <row r="7" spans="1:43">
      <c r="A7" s="41">
        <v>202509</v>
      </c>
      <c r="B7" s="54">
        <v>45902</v>
      </c>
      <c r="C7" s="41" t="s">
        <v>600</v>
      </c>
      <c r="D7" s="3" t="str">
        <f t="shared" ref="D7:I7" si="9">D6</f>
        <v>M » N2 - 1</v>
      </c>
      <c r="E7" s="41" t="str">
        <f t="shared" si="9"/>
        <v>YCD-EX:HUPPER TEK</v>
      </c>
      <c r="F7" s="41" t="str">
        <f t="shared" si="9"/>
        <v>MI202508130012</v>
      </c>
      <c r="G7" s="41" t="str">
        <f t="shared" si="9"/>
        <v>DE2508031-G7-MIC</v>
      </c>
      <c r="H7" s="55">
        <f t="shared" si="9"/>
        <v>45889</v>
      </c>
      <c r="I7" s="56" t="str">
        <f t="shared" si="9"/>
        <v>B07BK8W5MF</v>
      </c>
      <c r="J7" s="41"/>
      <c r="K7" s="57" t="str">
        <f t="shared" ref="K7:K36" si="10">K6</f>
        <v>金属储物柜71英寸银色</v>
      </c>
      <c r="L7" s="41"/>
      <c r="M7" s="46">
        <f t="shared" ref="M7:M36" si="11">M6</f>
        <v>188</v>
      </c>
      <c r="N7" s="46">
        <f t="shared" ref="N7:N36" si="12">N6</f>
        <v>49</v>
      </c>
      <c r="O7" s="46">
        <f t="shared" ref="O7:O36" si="13">O6</f>
        <v>14</v>
      </c>
      <c r="P7" s="41">
        <f t="shared" si="0"/>
        <v>0.128968</v>
      </c>
      <c r="Q7" s="41"/>
      <c r="R7" s="46">
        <f t="shared" ref="R7:R36" si="14">R6</f>
        <v>188</v>
      </c>
      <c r="S7" s="46">
        <f t="shared" ref="S7:S36" si="15">S6</f>
        <v>49</v>
      </c>
      <c r="T7" s="46">
        <f t="shared" ref="T7:T36" si="16">T6</f>
        <v>14</v>
      </c>
      <c r="U7" s="41">
        <f t="shared" si="1"/>
        <v>0.128968</v>
      </c>
      <c r="V7" s="41"/>
      <c r="W7" s="41"/>
      <c r="X7" s="41"/>
      <c r="Y7" s="41"/>
      <c r="Z7" s="41"/>
      <c r="AA7" s="41">
        <f t="shared" ref="AA7:AA36" si="17">AA6</f>
        <v>21</v>
      </c>
      <c r="AB7" s="41">
        <f t="shared" ref="AB7:AB36" si="18">AB6</f>
        <v>247</v>
      </c>
      <c r="AC7" s="41">
        <f t="shared" ref="AC7:AC36" si="19">AC6</f>
        <v>247</v>
      </c>
      <c r="AD7" s="41">
        <v>0</v>
      </c>
      <c r="AE7" s="48">
        <f t="shared" ref="AE7:AE36" si="20">AH6</f>
        <v>246</v>
      </c>
      <c r="AF7" s="48"/>
      <c r="AG7" s="49"/>
      <c r="AH7" s="50">
        <f t="shared" si="2"/>
        <v>246</v>
      </c>
      <c r="AI7" s="41" t="s">
        <v>555</v>
      </c>
      <c r="AJ7" s="51">
        <f t="shared" si="3"/>
        <v>31.726128</v>
      </c>
      <c r="AK7" s="51">
        <f t="shared" si="4"/>
        <v>31.726128</v>
      </c>
      <c r="AL7" s="41">
        <f t="shared" si="5"/>
        <v>14</v>
      </c>
      <c r="AM7" s="41" t="str">
        <f t="shared" si="6"/>
        <v>30天内</v>
      </c>
      <c r="AN7" s="52">
        <f t="shared" si="7"/>
        <v>0</v>
      </c>
      <c r="AO7" s="41" t="s">
        <v>562</v>
      </c>
      <c r="AP7" s="53">
        <f t="shared" si="8"/>
        <v>0</v>
      </c>
      <c r="AQ7" s="16"/>
    </row>
    <row r="8" spans="1:43">
      <c r="A8" s="41">
        <v>202509</v>
      </c>
      <c r="B8" s="54">
        <v>45903</v>
      </c>
      <c r="C8" s="41" t="s">
        <v>600</v>
      </c>
      <c r="D8" s="41" t="str">
        <f t="shared" ref="D8:I8" si="21">D7</f>
        <v>M » N2 - 1</v>
      </c>
      <c r="E8" s="41" t="str">
        <f t="shared" si="21"/>
        <v>YCD-EX:HUPPER TEK</v>
      </c>
      <c r="F8" s="41" t="str">
        <f t="shared" si="21"/>
        <v>MI202508130012</v>
      </c>
      <c r="G8" s="41" t="str">
        <f t="shared" si="21"/>
        <v>DE2508031-G7-MIC</v>
      </c>
      <c r="H8" s="55">
        <f t="shared" si="21"/>
        <v>45889</v>
      </c>
      <c r="I8" s="56" t="str">
        <f t="shared" si="21"/>
        <v>B07BK8W5MF</v>
      </c>
      <c r="J8" s="41"/>
      <c r="K8" s="57" t="str">
        <f t="shared" si="10"/>
        <v>金属储物柜71英寸银色</v>
      </c>
      <c r="L8" s="41"/>
      <c r="M8" s="46">
        <f t="shared" si="11"/>
        <v>188</v>
      </c>
      <c r="N8" s="46">
        <f t="shared" si="12"/>
        <v>49</v>
      </c>
      <c r="O8" s="46">
        <f t="shared" si="13"/>
        <v>14</v>
      </c>
      <c r="P8" s="41">
        <f t="shared" si="0"/>
        <v>0.128968</v>
      </c>
      <c r="Q8" s="41"/>
      <c r="R8" s="46">
        <f t="shared" si="14"/>
        <v>188</v>
      </c>
      <c r="S8" s="46">
        <f t="shared" si="15"/>
        <v>49</v>
      </c>
      <c r="T8" s="46">
        <f t="shared" si="16"/>
        <v>14</v>
      </c>
      <c r="U8" s="41">
        <f t="shared" si="1"/>
        <v>0.128968</v>
      </c>
      <c r="V8" s="41"/>
      <c r="W8" s="41"/>
      <c r="X8" s="41"/>
      <c r="Y8" s="41"/>
      <c r="Z8" s="41"/>
      <c r="AA8" s="41">
        <f t="shared" si="17"/>
        <v>21</v>
      </c>
      <c r="AB8" s="41">
        <f t="shared" si="18"/>
        <v>247</v>
      </c>
      <c r="AC8" s="41">
        <f t="shared" si="19"/>
        <v>247</v>
      </c>
      <c r="AD8" s="41">
        <v>0</v>
      </c>
      <c r="AE8" s="48">
        <f t="shared" si="20"/>
        <v>246</v>
      </c>
      <c r="AF8" s="48"/>
      <c r="AG8" s="49">
        <v>2</v>
      </c>
      <c r="AH8" s="50">
        <f t="shared" si="2"/>
        <v>244</v>
      </c>
      <c r="AI8" s="41" t="s">
        <v>555</v>
      </c>
      <c r="AJ8" s="51">
        <f t="shared" si="3"/>
        <v>31.468192</v>
      </c>
      <c r="AK8" s="51">
        <f t="shared" si="4"/>
        <v>31.468192</v>
      </c>
      <c r="AL8" s="41">
        <f t="shared" si="5"/>
        <v>15</v>
      </c>
      <c r="AM8" s="41" t="str">
        <f t="shared" si="6"/>
        <v>30天内</v>
      </c>
      <c r="AN8" s="52">
        <f t="shared" si="7"/>
        <v>0</v>
      </c>
      <c r="AO8" s="41" t="s">
        <v>562</v>
      </c>
      <c r="AP8" s="53">
        <f t="shared" si="8"/>
        <v>0</v>
      </c>
      <c r="AQ8" s="16"/>
    </row>
    <row r="9" spans="1:43">
      <c r="A9" s="41">
        <v>202509</v>
      </c>
      <c r="B9" s="54">
        <v>45904</v>
      </c>
      <c r="C9" s="41" t="s">
        <v>600</v>
      </c>
      <c r="D9" s="41" t="str">
        <f t="shared" ref="D9:I9" si="22">D8</f>
        <v>M » N2 - 1</v>
      </c>
      <c r="E9" s="41" t="str">
        <f t="shared" si="22"/>
        <v>YCD-EX:HUPPER TEK</v>
      </c>
      <c r="F9" s="41" t="str">
        <f t="shared" si="22"/>
        <v>MI202508130012</v>
      </c>
      <c r="G9" s="41" t="str">
        <f t="shared" si="22"/>
        <v>DE2508031-G7-MIC</v>
      </c>
      <c r="H9" s="55">
        <f t="shared" si="22"/>
        <v>45889</v>
      </c>
      <c r="I9" s="56" t="str">
        <f t="shared" si="22"/>
        <v>B07BK8W5MF</v>
      </c>
      <c r="J9" s="41"/>
      <c r="K9" s="57" t="str">
        <f t="shared" si="10"/>
        <v>金属储物柜71英寸银色</v>
      </c>
      <c r="L9" s="41"/>
      <c r="M9" s="46">
        <f t="shared" si="11"/>
        <v>188</v>
      </c>
      <c r="N9" s="46">
        <f t="shared" si="12"/>
        <v>49</v>
      </c>
      <c r="O9" s="46">
        <f t="shared" si="13"/>
        <v>14</v>
      </c>
      <c r="P9" s="41">
        <f t="shared" si="0"/>
        <v>0.128968</v>
      </c>
      <c r="Q9" s="41"/>
      <c r="R9" s="46">
        <f t="shared" si="14"/>
        <v>188</v>
      </c>
      <c r="S9" s="46">
        <f t="shared" si="15"/>
        <v>49</v>
      </c>
      <c r="T9" s="46">
        <f t="shared" si="16"/>
        <v>14</v>
      </c>
      <c r="U9" s="41">
        <f t="shared" si="1"/>
        <v>0.128968</v>
      </c>
      <c r="V9" s="41"/>
      <c r="W9" s="41"/>
      <c r="X9" s="41"/>
      <c r="Y9" s="41"/>
      <c r="Z9" s="41"/>
      <c r="AA9" s="41">
        <f t="shared" si="17"/>
        <v>21</v>
      </c>
      <c r="AB9" s="41">
        <f t="shared" si="18"/>
        <v>247</v>
      </c>
      <c r="AC9" s="41">
        <f t="shared" si="19"/>
        <v>247</v>
      </c>
      <c r="AD9" s="41">
        <v>0</v>
      </c>
      <c r="AE9" s="48">
        <f t="shared" si="20"/>
        <v>244</v>
      </c>
      <c r="AF9" s="48"/>
      <c r="AG9" s="49"/>
      <c r="AH9" s="50">
        <f t="shared" si="2"/>
        <v>244</v>
      </c>
      <c r="AI9" s="41" t="s">
        <v>555</v>
      </c>
      <c r="AJ9" s="51">
        <f t="shared" si="3"/>
        <v>31.468192</v>
      </c>
      <c r="AK9" s="51">
        <f t="shared" si="4"/>
        <v>31.468192</v>
      </c>
      <c r="AL9" s="41">
        <f t="shared" si="5"/>
        <v>16</v>
      </c>
      <c r="AM9" s="41" t="str">
        <f t="shared" si="6"/>
        <v>30天内</v>
      </c>
      <c r="AN9" s="52">
        <f t="shared" si="7"/>
        <v>0</v>
      </c>
      <c r="AO9" s="41" t="s">
        <v>562</v>
      </c>
      <c r="AP9" s="53">
        <f t="shared" si="8"/>
        <v>0</v>
      </c>
      <c r="AQ9" s="16"/>
    </row>
    <row r="10" spans="1:43">
      <c r="A10" s="41">
        <v>202509</v>
      </c>
      <c r="B10" s="54">
        <v>45905</v>
      </c>
      <c r="C10" s="41" t="s">
        <v>600</v>
      </c>
      <c r="D10" s="41" t="str">
        <f t="shared" ref="D10:I10" si="23">D9</f>
        <v>M » N2 - 1</v>
      </c>
      <c r="E10" s="41" t="str">
        <f t="shared" si="23"/>
        <v>YCD-EX:HUPPER TEK</v>
      </c>
      <c r="F10" s="41" t="str">
        <f t="shared" si="23"/>
        <v>MI202508130012</v>
      </c>
      <c r="G10" s="41" t="str">
        <f t="shared" si="23"/>
        <v>DE2508031-G7-MIC</v>
      </c>
      <c r="H10" s="55">
        <f t="shared" si="23"/>
        <v>45889</v>
      </c>
      <c r="I10" s="56" t="str">
        <f t="shared" si="23"/>
        <v>B07BK8W5MF</v>
      </c>
      <c r="J10" s="58"/>
      <c r="K10" s="57" t="str">
        <f t="shared" si="10"/>
        <v>金属储物柜71英寸银色</v>
      </c>
      <c r="L10" s="41"/>
      <c r="M10" s="46">
        <f t="shared" si="11"/>
        <v>188</v>
      </c>
      <c r="N10" s="46">
        <f t="shared" si="12"/>
        <v>49</v>
      </c>
      <c r="O10" s="46">
        <f t="shared" si="13"/>
        <v>14</v>
      </c>
      <c r="P10" s="41">
        <f t="shared" si="0"/>
        <v>0.128968</v>
      </c>
      <c r="Q10" s="41"/>
      <c r="R10" s="46">
        <f t="shared" si="14"/>
        <v>188</v>
      </c>
      <c r="S10" s="46">
        <f t="shared" si="15"/>
        <v>49</v>
      </c>
      <c r="T10" s="46">
        <f t="shared" si="16"/>
        <v>14</v>
      </c>
      <c r="U10" s="41">
        <f t="shared" si="1"/>
        <v>0.128968</v>
      </c>
      <c r="V10" s="41"/>
      <c r="W10" s="41"/>
      <c r="X10" s="41"/>
      <c r="Y10" s="41"/>
      <c r="Z10" s="41"/>
      <c r="AA10" s="41">
        <f t="shared" si="17"/>
        <v>21</v>
      </c>
      <c r="AB10" s="41">
        <f t="shared" si="18"/>
        <v>247</v>
      </c>
      <c r="AC10" s="41">
        <f t="shared" si="19"/>
        <v>247</v>
      </c>
      <c r="AD10" s="41">
        <v>0</v>
      </c>
      <c r="AE10" s="48">
        <f t="shared" si="20"/>
        <v>244</v>
      </c>
      <c r="AF10" s="48"/>
      <c r="AG10" s="49"/>
      <c r="AH10" s="50">
        <f t="shared" si="2"/>
        <v>244</v>
      </c>
      <c r="AI10" s="41" t="s">
        <v>555</v>
      </c>
      <c r="AJ10" s="51">
        <f t="shared" si="3"/>
        <v>31.468192</v>
      </c>
      <c r="AK10" s="51">
        <f t="shared" si="4"/>
        <v>31.468192</v>
      </c>
      <c r="AL10" s="41">
        <f t="shared" si="5"/>
        <v>17</v>
      </c>
      <c r="AM10" s="41" t="str">
        <f t="shared" si="6"/>
        <v>30天内</v>
      </c>
      <c r="AN10" s="52">
        <f t="shared" si="7"/>
        <v>0</v>
      </c>
      <c r="AO10" s="41" t="s">
        <v>562</v>
      </c>
      <c r="AP10" s="53">
        <f t="shared" si="8"/>
        <v>0</v>
      </c>
      <c r="AQ10" s="16"/>
    </row>
    <row r="11" spans="1:43">
      <c r="A11" s="41">
        <v>202509</v>
      </c>
      <c r="B11" s="54">
        <v>45906</v>
      </c>
      <c r="C11" s="41" t="s">
        <v>600</v>
      </c>
      <c r="D11" s="41" t="str">
        <f t="shared" ref="D11:I11" si="24">D10</f>
        <v>M » N2 - 1</v>
      </c>
      <c r="E11" s="41" t="str">
        <f t="shared" si="24"/>
        <v>YCD-EX:HUPPER TEK</v>
      </c>
      <c r="F11" s="41" t="str">
        <f t="shared" si="24"/>
        <v>MI202508130012</v>
      </c>
      <c r="G11" s="41" t="str">
        <f t="shared" si="24"/>
        <v>DE2508031-G7-MIC</v>
      </c>
      <c r="H11" s="55">
        <f t="shared" si="24"/>
        <v>45889</v>
      </c>
      <c r="I11" s="56" t="str">
        <f t="shared" si="24"/>
        <v>B07BK8W5MF</v>
      </c>
      <c r="J11" s="41"/>
      <c r="K11" s="57" t="str">
        <f t="shared" si="10"/>
        <v>金属储物柜71英寸银色</v>
      </c>
      <c r="L11" s="41"/>
      <c r="M11" s="46">
        <f t="shared" si="11"/>
        <v>188</v>
      </c>
      <c r="N11" s="46">
        <f t="shared" si="12"/>
        <v>49</v>
      </c>
      <c r="O11" s="46">
        <f t="shared" si="13"/>
        <v>14</v>
      </c>
      <c r="P11" s="41">
        <f t="shared" si="0"/>
        <v>0.128968</v>
      </c>
      <c r="Q11" s="41"/>
      <c r="R11" s="46">
        <f t="shared" si="14"/>
        <v>188</v>
      </c>
      <c r="S11" s="46">
        <f t="shared" si="15"/>
        <v>49</v>
      </c>
      <c r="T11" s="46">
        <f t="shared" si="16"/>
        <v>14</v>
      </c>
      <c r="U11" s="41">
        <f t="shared" si="1"/>
        <v>0.128968</v>
      </c>
      <c r="V11" s="41"/>
      <c r="W11" s="41"/>
      <c r="X11" s="41"/>
      <c r="Y11" s="41"/>
      <c r="Z11" s="41"/>
      <c r="AA11" s="41">
        <f t="shared" si="17"/>
        <v>21</v>
      </c>
      <c r="AB11" s="41">
        <f t="shared" si="18"/>
        <v>247</v>
      </c>
      <c r="AC11" s="41">
        <f t="shared" si="19"/>
        <v>247</v>
      </c>
      <c r="AD11" s="41">
        <v>0</v>
      </c>
      <c r="AE11" s="48">
        <f t="shared" si="20"/>
        <v>244</v>
      </c>
      <c r="AF11" s="48"/>
      <c r="AG11" s="49"/>
      <c r="AH11" s="50">
        <f t="shared" si="2"/>
        <v>244</v>
      </c>
      <c r="AI11" s="41" t="s">
        <v>555</v>
      </c>
      <c r="AJ11" s="51">
        <f t="shared" si="3"/>
        <v>31.468192</v>
      </c>
      <c r="AK11" s="51">
        <f t="shared" si="4"/>
        <v>31.468192</v>
      </c>
      <c r="AL11" s="41">
        <f t="shared" si="5"/>
        <v>18</v>
      </c>
      <c r="AM11" s="41" t="str">
        <f t="shared" si="6"/>
        <v>30天内</v>
      </c>
      <c r="AN11" s="52">
        <f t="shared" si="7"/>
        <v>0</v>
      </c>
      <c r="AO11" s="41" t="s">
        <v>562</v>
      </c>
      <c r="AP11" s="53">
        <f t="shared" si="8"/>
        <v>0</v>
      </c>
      <c r="AQ11" s="16"/>
    </row>
    <row r="12" spans="1:43">
      <c r="A12" s="41">
        <v>202509</v>
      </c>
      <c r="B12" s="54">
        <v>45907</v>
      </c>
      <c r="C12" s="41" t="s">
        <v>600</v>
      </c>
      <c r="D12" s="41" t="str">
        <f t="shared" ref="D12:I12" si="25">D11</f>
        <v>M » N2 - 1</v>
      </c>
      <c r="E12" s="41" t="str">
        <f t="shared" si="25"/>
        <v>YCD-EX:HUPPER TEK</v>
      </c>
      <c r="F12" s="41" t="str">
        <f t="shared" si="25"/>
        <v>MI202508130012</v>
      </c>
      <c r="G12" s="41" t="str">
        <f t="shared" si="25"/>
        <v>DE2508031-G7-MIC</v>
      </c>
      <c r="H12" s="55">
        <f t="shared" si="25"/>
        <v>45889</v>
      </c>
      <c r="I12" s="56" t="str">
        <f t="shared" si="25"/>
        <v>B07BK8W5MF</v>
      </c>
      <c r="J12" s="41"/>
      <c r="K12" s="57" t="str">
        <f t="shared" si="10"/>
        <v>金属储物柜71英寸银色</v>
      </c>
      <c r="L12" s="41"/>
      <c r="M12" s="46">
        <f t="shared" si="11"/>
        <v>188</v>
      </c>
      <c r="N12" s="46">
        <f t="shared" si="12"/>
        <v>49</v>
      </c>
      <c r="O12" s="46">
        <f t="shared" si="13"/>
        <v>14</v>
      </c>
      <c r="P12" s="41">
        <f t="shared" si="0"/>
        <v>0.128968</v>
      </c>
      <c r="Q12" s="41"/>
      <c r="R12" s="46">
        <f t="shared" si="14"/>
        <v>188</v>
      </c>
      <c r="S12" s="46">
        <f t="shared" si="15"/>
        <v>49</v>
      </c>
      <c r="T12" s="46">
        <f t="shared" si="16"/>
        <v>14</v>
      </c>
      <c r="U12" s="41">
        <f t="shared" si="1"/>
        <v>0.128968</v>
      </c>
      <c r="V12" s="41"/>
      <c r="W12" s="41"/>
      <c r="X12" s="41"/>
      <c r="Y12" s="41"/>
      <c r="Z12" s="41"/>
      <c r="AA12" s="41">
        <f t="shared" si="17"/>
        <v>21</v>
      </c>
      <c r="AB12" s="41">
        <f t="shared" si="18"/>
        <v>247</v>
      </c>
      <c r="AC12" s="41">
        <f t="shared" si="19"/>
        <v>247</v>
      </c>
      <c r="AD12" s="41">
        <v>0</v>
      </c>
      <c r="AE12" s="48">
        <f t="shared" si="20"/>
        <v>244</v>
      </c>
      <c r="AF12" s="48"/>
      <c r="AG12" s="49"/>
      <c r="AH12" s="50">
        <f t="shared" si="2"/>
        <v>244</v>
      </c>
      <c r="AI12" s="41" t="s">
        <v>555</v>
      </c>
      <c r="AJ12" s="51">
        <f t="shared" si="3"/>
        <v>31.468192</v>
      </c>
      <c r="AK12" s="51">
        <f t="shared" si="4"/>
        <v>31.468192</v>
      </c>
      <c r="AL12" s="41">
        <f t="shared" si="5"/>
        <v>19</v>
      </c>
      <c r="AM12" s="41" t="str">
        <f t="shared" si="6"/>
        <v>30天内</v>
      </c>
      <c r="AN12" s="52">
        <f t="shared" si="7"/>
        <v>0</v>
      </c>
      <c r="AO12" s="41" t="s">
        <v>562</v>
      </c>
      <c r="AP12" s="53">
        <f t="shared" si="8"/>
        <v>0</v>
      </c>
      <c r="AQ12" s="16"/>
    </row>
    <row r="13" spans="1:43">
      <c r="A13" s="41">
        <v>202509</v>
      </c>
      <c r="B13" s="54">
        <v>45908</v>
      </c>
      <c r="C13" s="41" t="s">
        <v>600</v>
      </c>
      <c r="D13" s="41" t="str">
        <f t="shared" ref="D13:I13" si="26">D12</f>
        <v>M » N2 - 1</v>
      </c>
      <c r="E13" s="41" t="str">
        <f t="shared" si="26"/>
        <v>YCD-EX:HUPPER TEK</v>
      </c>
      <c r="F13" s="41" t="str">
        <f t="shared" si="26"/>
        <v>MI202508130012</v>
      </c>
      <c r="G13" s="41" t="str">
        <f t="shared" si="26"/>
        <v>DE2508031-G7-MIC</v>
      </c>
      <c r="H13" s="55">
        <f t="shared" si="26"/>
        <v>45889</v>
      </c>
      <c r="I13" s="56" t="str">
        <f t="shared" si="26"/>
        <v>B07BK8W5MF</v>
      </c>
      <c r="J13" s="41"/>
      <c r="K13" s="57" t="str">
        <f t="shared" si="10"/>
        <v>金属储物柜71英寸银色</v>
      </c>
      <c r="L13" s="41"/>
      <c r="M13" s="46">
        <f t="shared" si="11"/>
        <v>188</v>
      </c>
      <c r="N13" s="46">
        <f t="shared" si="12"/>
        <v>49</v>
      </c>
      <c r="O13" s="46">
        <f t="shared" si="13"/>
        <v>14</v>
      </c>
      <c r="P13" s="41">
        <f t="shared" si="0"/>
        <v>0.128968</v>
      </c>
      <c r="Q13" s="41"/>
      <c r="R13" s="46">
        <f t="shared" si="14"/>
        <v>188</v>
      </c>
      <c r="S13" s="46">
        <f t="shared" si="15"/>
        <v>49</v>
      </c>
      <c r="T13" s="46">
        <f t="shared" si="16"/>
        <v>14</v>
      </c>
      <c r="U13" s="41">
        <f t="shared" si="1"/>
        <v>0.128968</v>
      </c>
      <c r="V13" s="41"/>
      <c r="W13" s="41"/>
      <c r="X13" s="41"/>
      <c r="Y13" s="41"/>
      <c r="Z13" s="41"/>
      <c r="AA13" s="41">
        <f t="shared" si="17"/>
        <v>21</v>
      </c>
      <c r="AB13" s="41">
        <f t="shared" si="18"/>
        <v>247</v>
      </c>
      <c r="AC13" s="41">
        <f t="shared" si="19"/>
        <v>247</v>
      </c>
      <c r="AD13" s="41">
        <v>0</v>
      </c>
      <c r="AE13" s="48">
        <f t="shared" si="20"/>
        <v>244</v>
      </c>
      <c r="AF13" s="48"/>
      <c r="AG13" s="49">
        <v>1</v>
      </c>
      <c r="AH13" s="50">
        <f t="shared" si="2"/>
        <v>243</v>
      </c>
      <c r="AI13" s="41" t="s">
        <v>555</v>
      </c>
      <c r="AJ13" s="51">
        <f t="shared" si="3"/>
        <v>31.339224</v>
      </c>
      <c r="AK13" s="51">
        <f t="shared" si="4"/>
        <v>31.339224</v>
      </c>
      <c r="AL13" s="41">
        <f t="shared" si="5"/>
        <v>20</v>
      </c>
      <c r="AM13" s="41" t="str">
        <f t="shared" si="6"/>
        <v>30天内</v>
      </c>
      <c r="AN13" s="52">
        <f t="shared" si="7"/>
        <v>0</v>
      </c>
      <c r="AO13" s="41" t="s">
        <v>562</v>
      </c>
      <c r="AP13" s="53">
        <f t="shared" si="8"/>
        <v>0</v>
      </c>
      <c r="AQ13" s="16"/>
    </row>
    <row r="14" spans="1:43">
      <c r="A14" s="41">
        <v>202509</v>
      </c>
      <c r="B14" s="54">
        <v>45909</v>
      </c>
      <c r="C14" s="41" t="s">
        <v>600</v>
      </c>
      <c r="D14" s="41" t="str">
        <f t="shared" ref="D14:I14" si="27">D13</f>
        <v>M » N2 - 1</v>
      </c>
      <c r="E14" s="41" t="str">
        <f t="shared" si="27"/>
        <v>YCD-EX:HUPPER TEK</v>
      </c>
      <c r="F14" s="41" t="str">
        <f t="shared" si="27"/>
        <v>MI202508130012</v>
      </c>
      <c r="G14" s="41" t="str">
        <f t="shared" si="27"/>
        <v>DE2508031-G7-MIC</v>
      </c>
      <c r="H14" s="55">
        <f t="shared" si="27"/>
        <v>45889</v>
      </c>
      <c r="I14" s="56" t="str">
        <f t="shared" si="27"/>
        <v>B07BK8W5MF</v>
      </c>
      <c r="J14" s="41"/>
      <c r="K14" s="57" t="str">
        <f t="shared" si="10"/>
        <v>金属储物柜71英寸银色</v>
      </c>
      <c r="L14" s="41"/>
      <c r="M14" s="46">
        <f t="shared" si="11"/>
        <v>188</v>
      </c>
      <c r="N14" s="46">
        <f t="shared" si="12"/>
        <v>49</v>
      </c>
      <c r="O14" s="46">
        <f t="shared" si="13"/>
        <v>14</v>
      </c>
      <c r="P14" s="41">
        <f t="shared" si="0"/>
        <v>0.128968</v>
      </c>
      <c r="Q14" s="41"/>
      <c r="R14" s="46">
        <f t="shared" si="14"/>
        <v>188</v>
      </c>
      <c r="S14" s="46">
        <f t="shared" si="15"/>
        <v>49</v>
      </c>
      <c r="T14" s="46">
        <f t="shared" si="16"/>
        <v>14</v>
      </c>
      <c r="U14" s="41">
        <f t="shared" si="1"/>
        <v>0.128968</v>
      </c>
      <c r="V14" s="41"/>
      <c r="W14" s="41"/>
      <c r="X14" s="41"/>
      <c r="Y14" s="41"/>
      <c r="Z14" s="41"/>
      <c r="AA14" s="41">
        <f t="shared" si="17"/>
        <v>21</v>
      </c>
      <c r="AB14" s="41">
        <f t="shared" si="18"/>
        <v>247</v>
      </c>
      <c r="AC14" s="41">
        <f t="shared" si="19"/>
        <v>247</v>
      </c>
      <c r="AD14" s="41">
        <v>0</v>
      </c>
      <c r="AE14" s="48">
        <f t="shared" si="20"/>
        <v>243</v>
      </c>
      <c r="AF14" s="48"/>
      <c r="AG14" s="49">
        <v>3</v>
      </c>
      <c r="AH14" s="50">
        <f t="shared" si="2"/>
        <v>240</v>
      </c>
      <c r="AI14" s="41" t="s">
        <v>555</v>
      </c>
      <c r="AJ14" s="51">
        <f t="shared" si="3"/>
        <v>30.95232</v>
      </c>
      <c r="AK14" s="51">
        <f t="shared" si="4"/>
        <v>30.95232</v>
      </c>
      <c r="AL14" s="41">
        <f t="shared" si="5"/>
        <v>21</v>
      </c>
      <c r="AM14" s="41" t="str">
        <f t="shared" si="6"/>
        <v>30天内</v>
      </c>
      <c r="AN14" s="52">
        <f t="shared" si="7"/>
        <v>0</v>
      </c>
      <c r="AO14" s="41" t="s">
        <v>562</v>
      </c>
      <c r="AP14" s="53">
        <f t="shared" si="8"/>
        <v>0</v>
      </c>
      <c r="AQ14" s="16"/>
    </row>
    <row r="15" spans="1:43">
      <c r="A15" s="41">
        <v>202509</v>
      </c>
      <c r="B15" s="54">
        <v>45910</v>
      </c>
      <c r="C15" s="41" t="s">
        <v>600</v>
      </c>
      <c r="D15" s="41" t="str">
        <f t="shared" ref="D15:I15" si="28">D14</f>
        <v>M » N2 - 1</v>
      </c>
      <c r="E15" s="41" t="str">
        <f t="shared" si="28"/>
        <v>YCD-EX:HUPPER TEK</v>
      </c>
      <c r="F15" s="41" t="str">
        <f t="shared" si="28"/>
        <v>MI202508130012</v>
      </c>
      <c r="G15" s="41" t="str">
        <f t="shared" si="28"/>
        <v>DE2508031-G7-MIC</v>
      </c>
      <c r="H15" s="55">
        <f t="shared" si="28"/>
        <v>45889</v>
      </c>
      <c r="I15" s="56" t="str">
        <f t="shared" si="28"/>
        <v>B07BK8W5MF</v>
      </c>
      <c r="J15" s="41"/>
      <c r="K15" s="57" t="str">
        <f t="shared" si="10"/>
        <v>金属储物柜71英寸银色</v>
      </c>
      <c r="L15" s="41"/>
      <c r="M15" s="46">
        <f t="shared" si="11"/>
        <v>188</v>
      </c>
      <c r="N15" s="46">
        <f t="shared" si="12"/>
        <v>49</v>
      </c>
      <c r="O15" s="46">
        <f t="shared" si="13"/>
        <v>14</v>
      </c>
      <c r="P15" s="41">
        <f t="shared" si="0"/>
        <v>0.128968</v>
      </c>
      <c r="Q15" s="41"/>
      <c r="R15" s="46">
        <f t="shared" si="14"/>
        <v>188</v>
      </c>
      <c r="S15" s="46">
        <f t="shared" si="15"/>
        <v>49</v>
      </c>
      <c r="T15" s="46">
        <f t="shared" si="16"/>
        <v>14</v>
      </c>
      <c r="U15" s="41">
        <f t="shared" si="1"/>
        <v>0.128968</v>
      </c>
      <c r="V15" s="41"/>
      <c r="W15" s="41"/>
      <c r="X15" s="41"/>
      <c r="Y15" s="41"/>
      <c r="Z15" s="41"/>
      <c r="AA15" s="41">
        <f t="shared" si="17"/>
        <v>21</v>
      </c>
      <c r="AB15" s="41">
        <f t="shared" si="18"/>
        <v>247</v>
      </c>
      <c r="AC15" s="41">
        <f t="shared" si="19"/>
        <v>247</v>
      </c>
      <c r="AD15" s="41">
        <v>0</v>
      </c>
      <c r="AE15" s="48">
        <f t="shared" si="20"/>
        <v>240</v>
      </c>
      <c r="AF15" s="48"/>
      <c r="AG15" s="49"/>
      <c r="AH15" s="50">
        <f t="shared" si="2"/>
        <v>240</v>
      </c>
      <c r="AI15" s="41" t="s">
        <v>555</v>
      </c>
      <c r="AJ15" s="51">
        <f t="shared" si="3"/>
        <v>30.95232</v>
      </c>
      <c r="AK15" s="51">
        <f t="shared" si="4"/>
        <v>30.95232</v>
      </c>
      <c r="AL15" s="41">
        <f t="shared" si="5"/>
        <v>22</v>
      </c>
      <c r="AM15" s="41" t="str">
        <f t="shared" si="6"/>
        <v>30天内</v>
      </c>
      <c r="AN15" s="52">
        <f t="shared" si="7"/>
        <v>0</v>
      </c>
      <c r="AO15" s="41" t="s">
        <v>562</v>
      </c>
      <c r="AP15" s="53">
        <f t="shared" si="8"/>
        <v>0</v>
      </c>
      <c r="AQ15" s="16"/>
    </row>
    <row r="16" spans="1:43">
      <c r="A16" s="41">
        <v>202509</v>
      </c>
      <c r="B16" s="54">
        <v>45911</v>
      </c>
      <c r="C16" s="41" t="s">
        <v>600</v>
      </c>
      <c r="D16" s="41" t="str">
        <f t="shared" ref="D16:I16" si="29">D15</f>
        <v>M » N2 - 1</v>
      </c>
      <c r="E16" s="41" t="str">
        <f t="shared" si="29"/>
        <v>YCD-EX:HUPPER TEK</v>
      </c>
      <c r="F16" s="41" t="str">
        <f t="shared" si="29"/>
        <v>MI202508130012</v>
      </c>
      <c r="G16" s="41" t="str">
        <f t="shared" si="29"/>
        <v>DE2508031-G7-MIC</v>
      </c>
      <c r="H16" s="55">
        <f t="shared" si="29"/>
        <v>45889</v>
      </c>
      <c r="I16" s="56" t="str">
        <f t="shared" si="29"/>
        <v>B07BK8W5MF</v>
      </c>
      <c r="J16" s="41"/>
      <c r="K16" s="57" t="str">
        <f t="shared" si="10"/>
        <v>金属储物柜71英寸银色</v>
      </c>
      <c r="L16" s="41"/>
      <c r="M16" s="46">
        <f t="shared" si="11"/>
        <v>188</v>
      </c>
      <c r="N16" s="46">
        <f t="shared" si="12"/>
        <v>49</v>
      </c>
      <c r="O16" s="46">
        <f t="shared" si="13"/>
        <v>14</v>
      </c>
      <c r="P16" s="41">
        <f t="shared" si="0"/>
        <v>0.128968</v>
      </c>
      <c r="Q16" s="41"/>
      <c r="R16" s="46">
        <f t="shared" si="14"/>
        <v>188</v>
      </c>
      <c r="S16" s="46">
        <f t="shared" si="15"/>
        <v>49</v>
      </c>
      <c r="T16" s="46">
        <f t="shared" si="16"/>
        <v>14</v>
      </c>
      <c r="U16" s="41">
        <f t="shared" si="1"/>
        <v>0.128968</v>
      </c>
      <c r="V16" s="41"/>
      <c r="W16" s="41"/>
      <c r="X16" s="41"/>
      <c r="Y16" s="41"/>
      <c r="Z16" s="41"/>
      <c r="AA16" s="41">
        <f t="shared" si="17"/>
        <v>21</v>
      </c>
      <c r="AB16" s="41">
        <f t="shared" si="18"/>
        <v>247</v>
      </c>
      <c r="AC16" s="41">
        <f t="shared" si="19"/>
        <v>247</v>
      </c>
      <c r="AD16" s="41">
        <v>0</v>
      </c>
      <c r="AE16" s="48">
        <f t="shared" si="20"/>
        <v>240</v>
      </c>
      <c r="AF16" s="48"/>
      <c r="AG16" s="49"/>
      <c r="AH16" s="50">
        <f t="shared" si="2"/>
        <v>240</v>
      </c>
      <c r="AI16" s="41" t="s">
        <v>555</v>
      </c>
      <c r="AJ16" s="51">
        <f t="shared" si="3"/>
        <v>30.95232</v>
      </c>
      <c r="AK16" s="51">
        <f t="shared" si="4"/>
        <v>30.95232</v>
      </c>
      <c r="AL16" s="41">
        <f t="shared" si="5"/>
        <v>23</v>
      </c>
      <c r="AM16" s="41" t="str">
        <f t="shared" si="6"/>
        <v>30天内</v>
      </c>
      <c r="AN16" s="52">
        <f t="shared" si="7"/>
        <v>0</v>
      </c>
      <c r="AO16" s="41" t="s">
        <v>562</v>
      </c>
      <c r="AP16" s="53">
        <f t="shared" si="8"/>
        <v>0</v>
      </c>
      <c r="AQ16" s="16"/>
    </row>
    <row r="17" spans="1:43">
      <c r="A17" s="41">
        <v>202509</v>
      </c>
      <c r="B17" s="54">
        <v>45912</v>
      </c>
      <c r="C17" s="41" t="s">
        <v>600</v>
      </c>
      <c r="D17" s="41" t="str">
        <f t="shared" ref="D17:I17" si="30">D16</f>
        <v>M » N2 - 1</v>
      </c>
      <c r="E17" s="41" t="str">
        <f t="shared" si="30"/>
        <v>YCD-EX:HUPPER TEK</v>
      </c>
      <c r="F17" s="41" t="str">
        <f t="shared" si="30"/>
        <v>MI202508130012</v>
      </c>
      <c r="G17" s="41" t="str">
        <f t="shared" si="30"/>
        <v>DE2508031-G7-MIC</v>
      </c>
      <c r="H17" s="55">
        <f t="shared" si="30"/>
        <v>45889</v>
      </c>
      <c r="I17" s="56" t="str">
        <f t="shared" si="30"/>
        <v>B07BK8W5MF</v>
      </c>
      <c r="J17" s="41"/>
      <c r="K17" s="57" t="str">
        <f t="shared" si="10"/>
        <v>金属储物柜71英寸银色</v>
      </c>
      <c r="L17" s="41"/>
      <c r="M17" s="46">
        <f t="shared" si="11"/>
        <v>188</v>
      </c>
      <c r="N17" s="46">
        <f t="shared" si="12"/>
        <v>49</v>
      </c>
      <c r="O17" s="46">
        <f t="shared" si="13"/>
        <v>14</v>
      </c>
      <c r="P17" s="41">
        <f t="shared" si="0"/>
        <v>0.128968</v>
      </c>
      <c r="Q17" s="41"/>
      <c r="R17" s="46">
        <f t="shared" si="14"/>
        <v>188</v>
      </c>
      <c r="S17" s="46">
        <f t="shared" si="15"/>
        <v>49</v>
      </c>
      <c r="T17" s="46">
        <f t="shared" si="16"/>
        <v>14</v>
      </c>
      <c r="U17" s="41">
        <f t="shared" si="1"/>
        <v>0.128968</v>
      </c>
      <c r="V17" s="41"/>
      <c r="W17" s="41"/>
      <c r="X17" s="41"/>
      <c r="Y17" s="41"/>
      <c r="Z17" s="41"/>
      <c r="AA17" s="41">
        <f t="shared" si="17"/>
        <v>21</v>
      </c>
      <c r="AB17" s="41">
        <f t="shared" si="18"/>
        <v>247</v>
      </c>
      <c r="AC17" s="41">
        <f t="shared" si="19"/>
        <v>247</v>
      </c>
      <c r="AD17" s="41">
        <v>0</v>
      </c>
      <c r="AE17" s="48">
        <f t="shared" si="20"/>
        <v>240</v>
      </c>
      <c r="AF17" s="48"/>
      <c r="AG17" s="49"/>
      <c r="AH17" s="50">
        <f t="shared" si="2"/>
        <v>240</v>
      </c>
      <c r="AI17" s="41" t="s">
        <v>555</v>
      </c>
      <c r="AJ17" s="51">
        <f t="shared" si="3"/>
        <v>30.95232</v>
      </c>
      <c r="AK17" s="51">
        <f t="shared" si="4"/>
        <v>30.95232</v>
      </c>
      <c r="AL17" s="41">
        <f t="shared" si="5"/>
        <v>24</v>
      </c>
      <c r="AM17" s="41" t="str">
        <f t="shared" si="6"/>
        <v>30天内</v>
      </c>
      <c r="AN17" s="52">
        <f t="shared" si="7"/>
        <v>0</v>
      </c>
      <c r="AO17" s="41" t="s">
        <v>562</v>
      </c>
      <c r="AP17" s="53">
        <f t="shared" si="8"/>
        <v>0</v>
      </c>
      <c r="AQ17" s="16"/>
    </row>
    <row r="18" spans="1:43">
      <c r="A18" s="41">
        <v>202509</v>
      </c>
      <c r="B18" s="54">
        <v>45913</v>
      </c>
      <c r="C18" s="41" t="s">
        <v>600</v>
      </c>
      <c r="D18" s="41" t="str">
        <f t="shared" ref="D18:I18" si="31">D17</f>
        <v>M » N2 - 1</v>
      </c>
      <c r="E18" s="41" t="str">
        <f t="shared" si="31"/>
        <v>YCD-EX:HUPPER TEK</v>
      </c>
      <c r="F18" s="41" t="str">
        <f t="shared" si="31"/>
        <v>MI202508130012</v>
      </c>
      <c r="G18" s="41" t="str">
        <f t="shared" si="31"/>
        <v>DE2508031-G7-MIC</v>
      </c>
      <c r="H18" s="55">
        <f t="shared" si="31"/>
        <v>45889</v>
      </c>
      <c r="I18" s="56" t="str">
        <f t="shared" si="31"/>
        <v>B07BK8W5MF</v>
      </c>
      <c r="J18" s="41"/>
      <c r="K18" s="57" t="str">
        <f t="shared" si="10"/>
        <v>金属储物柜71英寸银色</v>
      </c>
      <c r="L18" s="41"/>
      <c r="M18" s="46">
        <f t="shared" si="11"/>
        <v>188</v>
      </c>
      <c r="N18" s="46">
        <f t="shared" si="12"/>
        <v>49</v>
      </c>
      <c r="O18" s="46">
        <f t="shared" si="13"/>
        <v>14</v>
      </c>
      <c r="P18" s="41">
        <f t="shared" si="0"/>
        <v>0.128968</v>
      </c>
      <c r="Q18" s="41"/>
      <c r="R18" s="46">
        <f t="shared" si="14"/>
        <v>188</v>
      </c>
      <c r="S18" s="46">
        <f t="shared" si="15"/>
        <v>49</v>
      </c>
      <c r="T18" s="46">
        <f t="shared" si="16"/>
        <v>14</v>
      </c>
      <c r="U18" s="41">
        <f t="shared" si="1"/>
        <v>0.128968</v>
      </c>
      <c r="V18" s="41"/>
      <c r="W18" s="41"/>
      <c r="X18" s="41"/>
      <c r="Y18" s="41"/>
      <c r="Z18" s="41"/>
      <c r="AA18" s="41">
        <f t="shared" si="17"/>
        <v>21</v>
      </c>
      <c r="AB18" s="41">
        <f t="shared" si="18"/>
        <v>247</v>
      </c>
      <c r="AC18" s="41">
        <f t="shared" si="19"/>
        <v>247</v>
      </c>
      <c r="AD18" s="41">
        <v>0</v>
      </c>
      <c r="AE18" s="48">
        <f t="shared" si="20"/>
        <v>240</v>
      </c>
      <c r="AF18" s="48"/>
      <c r="AG18" s="49"/>
      <c r="AH18" s="50">
        <f t="shared" si="2"/>
        <v>240</v>
      </c>
      <c r="AI18" s="41" t="s">
        <v>555</v>
      </c>
      <c r="AJ18" s="51">
        <f t="shared" si="3"/>
        <v>30.95232</v>
      </c>
      <c r="AK18" s="51">
        <f t="shared" si="4"/>
        <v>30.95232</v>
      </c>
      <c r="AL18" s="41">
        <f t="shared" si="5"/>
        <v>25</v>
      </c>
      <c r="AM18" s="41" t="str">
        <f t="shared" si="6"/>
        <v>30天内</v>
      </c>
      <c r="AN18" s="52">
        <f t="shared" si="7"/>
        <v>0</v>
      </c>
      <c r="AO18" s="41" t="s">
        <v>562</v>
      </c>
      <c r="AP18" s="53">
        <f t="shared" si="8"/>
        <v>0</v>
      </c>
      <c r="AQ18" s="16"/>
    </row>
    <row r="19" spans="1:43">
      <c r="A19" s="41">
        <v>202509</v>
      </c>
      <c r="B19" s="54">
        <v>45914</v>
      </c>
      <c r="C19" s="41" t="s">
        <v>600</v>
      </c>
      <c r="D19" s="41" t="str">
        <f t="shared" ref="D19:I19" si="32">D18</f>
        <v>M » N2 - 1</v>
      </c>
      <c r="E19" s="41" t="str">
        <f t="shared" si="32"/>
        <v>YCD-EX:HUPPER TEK</v>
      </c>
      <c r="F19" s="41" t="str">
        <f t="shared" si="32"/>
        <v>MI202508130012</v>
      </c>
      <c r="G19" s="41" t="str">
        <f t="shared" si="32"/>
        <v>DE2508031-G7-MIC</v>
      </c>
      <c r="H19" s="55">
        <f t="shared" si="32"/>
        <v>45889</v>
      </c>
      <c r="I19" s="56" t="str">
        <f t="shared" si="32"/>
        <v>B07BK8W5MF</v>
      </c>
      <c r="J19" s="41"/>
      <c r="K19" s="57" t="str">
        <f t="shared" si="10"/>
        <v>金属储物柜71英寸银色</v>
      </c>
      <c r="L19" s="41"/>
      <c r="M19" s="46">
        <f t="shared" si="11"/>
        <v>188</v>
      </c>
      <c r="N19" s="46">
        <f t="shared" si="12"/>
        <v>49</v>
      </c>
      <c r="O19" s="46">
        <f t="shared" si="13"/>
        <v>14</v>
      </c>
      <c r="P19" s="41">
        <f t="shared" si="0"/>
        <v>0.128968</v>
      </c>
      <c r="Q19" s="41"/>
      <c r="R19" s="46">
        <f t="shared" si="14"/>
        <v>188</v>
      </c>
      <c r="S19" s="46">
        <f t="shared" si="15"/>
        <v>49</v>
      </c>
      <c r="T19" s="46">
        <f t="shared" si="16"/>
        <v>14</v>
      </c>
      <c r="U19" s="41">
        <f t="shared" si="1"/>
        <v>0.128968</v>
      </c>
      <c r="V19" s="41"/>
      <c r="W19" s="41"/>
      <c r="X19" s="41"/>
      <c r="Y19" s="41"/>
      <c r="Z19" s="41"/>
      <c r="AA19" s="41">
        <f t="shared" si="17"/>
        <v>21</v>
      </c>
      <c r="AB19" s="41">
        <f t="shared" si="18"/>
        <v>247</v>
      </c>
      <c r="AC19" s="41">
        <f t="shared" si="19"/>
        <v>247</v>
      </c>
      <c r="AD19" s="41">
        <v>0</v>
      </c>
      <c r="AE19" s="48">
        <f t="shared" si="20"/>
        <v>240</v>
      </c>
      <c r="AF19" s="48"/>
      <c r="AG19" s="49"/>
      <c r="AH19" s="50">
        <f t="shared" si="2"/>
        <v>240</v>
      </c>
      <c r="AI19" s="41" t="s">
        <v>555</v>
      </c>
      <c r="AJ19" s="51">
        <f t="shared" si="3"/>
        <v>30.95232</v>
      </c>
      <c r="AK19" s="51">
        <f t="shared" si="4"/>
        <v>30.95232</v>
      </c>
      <c r="AL19" s="41">
        <f t="shared" si="5"/>
        <v>26</v>
      </c>
      <c r="AM19" s="41" t="str">
        <f t="shared" si="6"/>
        <v>30天内</v>
      </c>
      <c r="AN19" s="52">
        <f t="shared" si="7"/>
        <v>0</v>
      </c>
      <c r="AO19" s="41" t="s">
        <v>562</v>
      </c>
      <c r="AP19" s="53">
        <f t="shared" si="8"/>
        <v>0</v>
      </c>
      <c r="AQ19" s="16"/>
    </row>
    <row r="20" spans="1:43">
      <c r="A20" s="41">
        <v>202509</v>
      </c>
      <c r="B20" s="54">
        <v>45915</v>
      </c>
      <c r="C20" s="41" t="s">
        <v>600</v>
      </c>
      <c r="D20" s="41" t="str">
        <f t="shared" ref="D20:I20" si="33">D19</f>
        <v>M » N2 - 1</v>
      </c>
      <c r="E20" s="41" t="str">
        <f t="shared" si="33"/>
        <v>YCD-EX:HUPPER TEK</v>
      </c>
      <c r="F20" s="41" t="str">
        <f t="shared" si="33"/>
        <v>MI202508130012</v>
      </c>
      <c r="G20" s="41" t="str">
        <f t="shared" si="33"/>
        <v>DE2508031-G7-MIC</v>
      </c>
      <c r="H20" s="55">
        <f t="shared" si="33"/>
        <v>45889</v>
      </c>
      <c r="I20" s="56" t="str">
        <f t="shared" si="33"/>
        <v>B07BK8W5MF</v>
      </c>
      <c r="J20" s="41"/>
      <c r="K20" s="57" t="str">
        <f t="shared" si="10"/>
        <v>金属储物柜71英寸银色</v>
      </c>
      <c r="L20" s="41"/>
      <c r="M20" s="46">
        <f t="shared" si="11"/>
        <v>188</v>
      </c>
      <c r="N20" s="46">
        <f t="shared" si="12"/>
        <v>49</v>
      </c>
      <c r="O20" s="46">
        <f t="shared" si="13"/>
        <v>14</v>
      </c>
      <c r="P20" s="41">
        <f t="shared" si="0"/>
        <v>0.128968</v>
      </c>
      <c r="Q20" s="41"/>
      <c r="R20" s="46">
        <f t="shared" si="14"/>
        <v>188</v>
      </c>
      <c r="S20" s="46">
        <f t="shared" si="15"/>
        <v>49</v>
      </c>
      <c r="T20" s="46">
        <f t="shared" si="16"/>
        <v>14</v>
      </c>
      <c r="U20" s="41">
        <f t="shared" si="1"/>
        <v>0.128968</v>
      </c>
      <c r="V20" s="41"/>
      <c r="W20" s="41"/>
      <c r="X20" s="41"/>
      <c r="Y20" s="41"/>
      <c r="Z20" s="41"/>
      <c r="AA20" s="41">
        <f t="shared" si="17"/>
        <v>21</v>
      </c>
      <c r="AB20" s="41">
        <f t="shared" si="18"/>
        <v>247</v>
      </c>
      <c r="AC20" s="41">
        <f t="shared" si="19"/>
        <v>247</v>
      </c>
      <c r="AD20" s="41">
        <v>0</v>
      </c>
      <c r="AE20" s="48">
        <f t="shared" si="20"/>
        <v>240</v>
      </c>
      <c r="AF20" s="48"/>
      <c r="AG20" s="49">
        <v>2</v>
      </c>
      <c r="AH20" s="50">
        <f t="shared" si="2"/>
        <v>238</v>
      </c>
      <c r="AI20" s="41" t="s">
        <v>555</v>
      </c>
      <c r="AJ20" s="51">
        <f t="shared" si="3"/>
        <v>30.694384</v>
      </c>
      <c r="AK20" s="51">
        <f t="shared" si="4"/>
        <v>30.694384</v>
      </c>
      <c r="AL20" s="41">
        <f t="shared" si="5"/>
        <v>27</v>
      </c>
      <c r="AM20" s="41" t="str">
        <f t="shared" si="6"/>
        <v>30天内</v>
      </c>
      <c r="AN20" s="52">
        <f t="shared" si="7"/>
        <v>0</v>
      </c>
      <c r="AO20" s="41" t="s">
        <v>562</v>
      </c>
      <c r="AP20" s="53">
        <f t="shared" si="8"/>
        <v>0</v>
      </c>
      <c r="AQ20" s="16"/>
    </row>
    <row r="21" spans="1:43">
      <c r="A21" s="41">
        <v>202509</v>
      </c>
      <c r="B21" s="54">
        <v>45916</v>
      </c>
      <c r="C21" s="41" t="s">
        <v>600</v>
      </c>
      <c r="D21" s="41" t="str">
        <f t="shared" ref="D21:I21" si="34">D20</f>
        <v>M » N2 - 1</v>
      </c>
      <c r="E21" s="41" t="str">
        <f t="shared" si="34"/>
        <v>YCD-EX:HUPPER TEK</v>
      </c>
      <c r="F21" s="41" t="str">
        <f t="shared" si="34"/>
        <v>MI202508130012</v>
      </c>
      <c r="G21" s="41" t="str">
        <f t="shared" si="34"/>
        <v>DE2508031-G7-MIC</v>
      </c>
      <c r="H21" s="55">
        <f t="shared" si="34"/>
        <v>45889</v>
      </c>
      <c r="I21" s="56" t="str">
        <f t="shared" si="34"/>
        <v>B07BK8W5MF</v>
      </c>
      <c r="J21" s="41"/>
      <c r="K21" s="57" t="str">
        <f t="shared" si="10"/>
        <v>金属储物柜71英寸银色</v>
      </c>
      <c r="L21" s="41"/>
      <c r="M21" s="46">
        <f t="shared" si="11"/>
        <v>188</v>
      </c>
      <c r="N21" s="46">
        <f t="shared" si="12"/>
        <v>49</v>
      </c>
      <c r="O21" s="46">
        <f t="shared" si="13"/>
        <v>14</v>
      </c>
      <c r="P21" s="41">
        <f t="shared" si="0"/>
        <v>0.128968</v>
      </c>
      <c r="Q21" s="41"/>
      <c r="R21" s="46">
        <f t="shared" si="14"/>
        <v>188</v>
      </c>
      <c r="S21" s="46">
        <f t="shared" si="15"/>
        <v>49</v>
      </c>
      <c r="T21" s="46">
        <f t="shared" si="16"/>
        <v>14</v>
      </c>
      <c r="U21" s="41">
        <f t="shared" si="1"/>
        <v>0.128968</v>
      </c>
      <c r="V21" s="41"/>
      <c r="W21" s="41"/>
      <c r="X21" s="41"/>
      <c r="Y21" s="41"/>
      <c r="Z21" s="41"/>
      <c r="AA21" s="41">
        <f t="shared" si="17"/>
        <v>21</v>
      </c>
      <c r="AB21" s="41">
        <f t="shared" si="18"/>
        <v>247</v>
      </c>
      <c r="AC21" s="41">
        <f t="shared" si="19"/>
        <v>247</v>
      </c>
      <c r="AD21" s="41">
        <v>0</v>
      </c>
      <c r="AE21" s="48">
        <f t="shared" si="20"/>
        <v>238</v>
      </c>
      <c r="AF21" s="48"/>
      <c r="AG21" s="49"/>
      <c r="AH21" s="50">
        <f t="shared" si="2"/>
        <v>238</v>
      </c>
      <c r="AI21" s="41" t="s">
        <v>555</v>
      </c>
      <c r="AJ21" s="51">
        <f t="shared" si="3"/>
        <v>30.694384</v>
      </c>
      <c r="AK21" s="51">
        <f t="shared" si="4"/>
        <v>30.694384</v>
      </c>
      <c r="AL21" s="41">
        <f t="shared" si="5"/>
        <v>28</v>
      </c>
      <c r="AM21" s="41" t="str">
        <f t="shared" si="6"/>
        <v>30天内</v>
      </c>
      <c r="AN21" s="52">
        <f t="shared" si="7"/>
        <v>0</v>
      </c>
      <c r="AO21" s="41" t="s">
        <v>562</v>
      </c>
      <c r="AP21" s="53">
        <f t="shared" si="8"/>
        <v>0</v>
      </c>
      <c r="AQ21" s="16"/>
    </row>
    <row r="22" spans="1:43">
      <c r="A22" s="41">
        <v>202509</v>
      </c>
      <c r="B22" s="54">
        <v>45917</v>
      </c>
      <c r="C22" s="41" t="s">
        <v>600</v>
      </c>
      <c r="D22" s="41" t="str">
        <f t="shared" ref="D22:I22" si="35">D21</f>
        <v>M » N2 - 1</v>
      </c>
      <c r="E22" s="41" t="str">
        <f t="shared" si="35"/>
        <v>YCD-EX:HUPPER TEK</v>
      </c>
      <c r="F22" s="41" t="str">
        <f t="shared" si="35"/>
        <v>MI202508130012</v>
      </c>
      <c r="G22" s="41" t="str">
        <f t="shared" si="35"/>
        <v>DE2508031-G7-MIC</v>
      </c>
      <c r="H22" s="55">
        <f t="shared" si="35"/>
        <v>45889</v>
      </c>
      <c r="I22" s="56" t="str">
        <f t="shared" si="35"/>
        <v>B07BK8W5MF</v>
      </c>
      <c r="J22" s="41"/>
      <c r="K22" s="57" t="str">
        <f t="shared" si="10"/>
        <v>金属储物柜71英寸银色</v>
      </c>
      <c r="L22" s="41"/>
      <c r="M22" s="46">
        <f t="shared" si="11"/>
        <v>188</v>
      </c>
      <c r="N22" s="46">
        <f t="shared" si="12"/>
        <v>49</v>
      </c>
      <c r="O22" s="46">
        <f t="shared" si="13"/>
        <v>14</v>
      </c>
      <c r="P22" s="41">
        <f t="shared" si="0"/>
        <v>0.128968</v>
      </c>
      <c r="Q22" s="41"/>
      <c r="R22" s="46">
        <f t="shared" si="14"/>
        <v>188</v>
      </c>
      <c r="S22" s="46">
        <f t="shared" si="15"/>
        <v>49</v>
      </c>
      <c r="T22" s="46">
        <f t="shared" si="16"/>
        <v>14</v>
      </c>
      <c r="U22" s="41">
        <f t="shared" si="1"/>
        <v>0.128968</v>
      </c>
      <c r="V22" s="41"/>
      <c r="W22" s="41"/>
      <c r="X22" s="41"/>
      <c r="Y22" s="41"/>
      <c r="Z22" s="41"/>
      <c r="AA22" s="41">
        <f t="shared" si="17"/>
        <v>21</v>
      </c>
      <c r="AB22" s="41">
        <f t="shared" si="18"/>
        <v>247</v>
      </c>
      <c r="AC22" s="41">
        <f t="shared" si="19"/>
        <v>247</v>
      </c>
      <c r="AD22" s="41">
        <v>0</v>
      </c>
      <c r="AE22" s="48">
        <f t="shared" si="20"/>
        <v>238</v>
      </c>
      <c r="AF22" s="48"/>
      <c r="AG22" s="49"/>
      <c r="AH22" s="50">
        <f t="shared" si="2"/>
        <v>238</v>
      </c>
      <c r="AI22" s="41" t="s">
        <v>555</v>
      </c>
      <c r="AJ22" s="51">
        <f t="shared" si="3"/>
        <v>30.694384</v>
      </c>
      <c r="AK22" s="51">
        <f t="shared" si="4"/>
        <v>30.694384</v>
      </c>
      <c r="AL22" s="41">
        <f t="shared" si="5"/>
        <v>29</v>
      </c>
      <c r="AM22" s="41" t="str">
        <f t="shared" si="6"/>
        <v>30天内</v>
      </c>
      <c r="AN22" s="52">
        <f t="shared" si="7"/>
        <v>0</v>
      </c>
      <c r="AO22" s="41" t="s">
        <v>562</v>
      </c>
      <c r="AP22" s="53">
        <f t="shared" si="8"/>
        <v>0</v>
      </c>
      <c r="AQ22" s="16"/>
    </row>
    <row r="23" spans="1:43">
      <c r="A23" s="41">
        <v>202509</v>
      </c>
      <c r="B23" s="54">
        <v>45918</v>
      </c>
      <c r="C23" s="41" t="s">
        <v>600</v>
      </c>
      <c r="D23" s="41" t="str">
        <f t="shared" ref="D23:I23" si="36">D22</f>
        <v>M » N2 - 1</v>
      </c>
      <c r="E23" s="41" t="str">
        <f t="shared" si="36"/>
        <v>YCD-EX:HUPPER TEK</v>
      </c>
      <c r="F23" s="41" t="str">
        <f t="shared" si="36"/>
        <v>MI202508130012</v>
      </c>
      <c r="G23" s="41" t="str">
        <f t="shared" si="36"/>
        <v>DE2508031-G7-MIC</v>
      </c>
      <c r="H23" s="55">
        <f t="shared" si="36"/>
        <v>45889</v>
      </c>
      <c r="I23" s="56" t="str">
        <f t="shared" si="36"/>
        <v>B07BK8W5MF</v>
      </c>
      <c r="J23" s="41"/>
      <c r="K23" s="57" t="str">
        <f t="shared" si="10"/>
        <v>金属储物柜71英寸银色</v>
      </c>
      <c r="L23" s="41"/>
      <c r="M23" s="46">
        <f t="shared" si="11"/>
        <v>188</v>
      </c>
      <c r="N23" s="46">
        <f t="shared" si="12"/>
        <v>49</v>
      </c>
      <c r="O23" s="46">
        <f t="shared" si="13"/>
        <v>14</v>
      </c>
      <c r="P23" s="41">
        <f t="shared" si="0"/>
        <v>0.128968</v>
      </c>
      <c r="Q23" s="41"/>
      <c r="R23" s="46">
        <f t="shared" si="14"/>
        <v>188</v>
      </c>
      <c r="S23" s="46">
        <f t="shared" si="15"/>
        <v>49</v>
      </c>
      <c r="T23" s="46">
        <f t="shared" si="16"/>
        <v>14</v>
      </c>
      <c r="U23" s="41">
        <f t="shared" si="1"/>
        <v>0.128968</v>
      </c>
      <c r="V23" s="41"/>
      <c r="W23" s="41"/>
      <c r="X23" s="41"/>
      <c r="Y23" s="41"/>
      <c r="Z23" s="41"/>
      <c r="AA23" s="41">
        <f t="shared" si="17"/>
        <v>21</v>
      </c>
      <c r="AB23" s="41">
        <f t="shared" si="18"/>
        <v>247</v>
      </c>
      <c r="AC23" s="41">
        <f t="shared" si="19"/>
        <v>247</v>
      </c>
      <c r="AD23" s="41">
        <v>0</v>
      </c>
      <c r="AE23" s="48">
        <f t="shared" si="20"/>
        <v>238</v>
      </c>
      <c r="AF23" s="48"/>
      <c r="AG23" s="49">
        <v>1</v>
      </c>
      <c r="AH23" s="50">
        <f t="shared" si="2"/>
        <v>237</v>
      </c>
      <c r="AI23" s="41" t="s">
        <v>555</v>
      </c>
      <c r="AJ23" s="51">
        <f t="shared" si="3"/>
        <v>30.565416</v>
      </c>
      <c r="AK23" s="51">
        <f t="shared" si="4"/>
        <v>30.565416</v>
      </c>
      <c r="AL23" s="41">
        <f t="shared" si="5"/>
        <v>30</v>
      </c>
      <c r="AM23" s="41" t="str">
        <f t="shared" si="6"/>
        <v>30天内</v>
      </c>
      <c r="AN23" s="52">
        <f t="shared" si="7"/>
        <v>0</v>
      </c>
      <c r="AO23" s="41" t="s">
        <v>562</v>
      </c>
      <c r="AP23" s="53">
        <f t="shared" si="8"/>
        <v>0</v>
      </c>
      <c r="AQ23" s="16"/>
    </row>
    <row r="24" ht="16.5" spans="1:43">
      <c r="A24" s="41">
        <v>202509</v>
      </c>
      <c r="B24" s="54">
        <v>45919</v>
      </c>
      <c r="C24" s="41" t="s">
        <v>600</v>
      </c>
      <c r="D24" s="41" t="str">
        <f t="shared" ref="D24:I24" si="37">D23</f>
        <v>M » N2 - 1</v>
      </c>
      <c r="E24" s="41" t="str">
        <f t="shared" si="37"/>
        <v>YCD-EX:HUPPER TEK</v>
      </c>
      <c r="F24" s="41" t="str">
        <f t="shared" si="37"/>
        <v>MI202508130012</v>
      </c>
      <c r="G24" s="41" t="str">
        <f t="shared" si="37"/>
        <v>DE2508031-G7-MIC</v>
      </c>
      <c r="H24" s="55">
        <f t="shared" si="37"/>
        <v>45889</v>
      </c>
      <c r="I24" s="56" t="str">
        <f t="shared" si="37"/>
        <v>B07BK8W5MF</v>
      </c>
      <c r="J24" s="41"/>
      <c r="K24" s="57" t="str">
        <f t="shared" si="10"/>
        <v>金属储物柜71英寸银色</v>
      </c>
      <c r="L24" s="41"/>
      <c r="M24" s="46">
        <f t="shared" si="11"/>
        <v>188</v>
      </c>
      <c r="N24" s="46">
        <f t="shared" si="12"/>
        <v>49</v>
      </c>
      <c r="O24" s="46">
        <f t="shared" si="13"/>
        <v>14</v>
      </c>
      <c r="P24" s="41">
        <f t="shared" si="0"/>
        <v>0.128968</v>
      </c>
      <c r="Q24" s="41"/>
      <c r="R24" s="46">
        <f t="shared" si="14"/>
        <v>188</v>
      </c>
      <c r="S24" s="46">
        <f t="shared" si="15"/>
        <v>49</v>
      </c>
      <c r="T24" s="46">
        <f t="shared" si="16"/>
        <v>14</v>
      </c>
      <c r="U24" s="41">
        <f t="shared" si="1"/>
        <v>0.128968</v>
      </c>
      <c r="V24" s="41"/>
      <c r="W24" s="41"/>
      <c r="X24" s="41"/>
      <c r="Y24" s="41"/>
      <c r="Z24" s="41"/>
      <c r="AA24" s="41">
        <f t="shared" si="17"/>
        <v>21</v>
      </c>
      <c r="AB24" s="41">
        <f t="shared" si="18"/>
        <v>247</v>
      </c>
      <c r="AC24" s="41">
        <f t="shared" si="19"/>
        <v>247</v>
      </c>
      <c r="AD24" s="41">
        <v>0</v>
      </c>
      <c r="AE24" s="48">
        <f t="shared" si="20"/>
        <v>237</v>
      </c>
      <c r="AF24" s="48"/>
      <c r="AG24" s="49"/>
      <c r="AH24" s="50">
        <f t="shared" si="2"/>
        <v>237</v>
      </c>
      <c r="AI24" s="41" t="s">
        <v>555</v>
      </c>
      <c r="AJ24" s="51">
        <f t="shared" si="3"/>
        <v>30.565416</v>
      </c>
      <c r="AK24" s="51">
        <f t="shared" si="4"/>
        <v>30.565416</v>
      </c>
      <c r="AL24" s="41">
        <f t="shared" si="5"/>
        <v>31</v>
      </c>
      <c r="AM24" s="41" t="str">
        <f t="shared" si="6"/>
        <v>31-90天</v>
      </c>
      <c r="AN24" s="59">
        <v>0.7</v>
      </c>
      <c r="AO24" s="41" t="s">
        <v>562</v>
      </c>
      <c r="AP24" s="53">
        <f t="shared" si="8"/>
        <v>21.3957912</v>
      </c>
      <c r="AQ24" s="16"/>
    </row>
    <row r="25" ht="16.5" spans="1:43">
      <c r="A25" s="41">
        <v>202509</v>
      </c>
      <c r="B25" s="54">
        <v>45920</v>
      </c>
      <c r="C25" s="41" t="s">
        <v>600</v>
      </c>
      <c r="D25" s="41" t="str">
        <f t="shared" ref="D25:I25" si="38">D24</f>
        <v>M » N2 - 1</v>
      </c>
      <c r="E25" s="41" t="str">
        <f t="shared" si="38"/>
        <v>YCD-EX:HUPPER TEK</v>
      </c>
      <c r="F25" s="41" t="str">
        <f t="shared" si="38"/>
        <v>MI202508130012</v>
      </c>
      <c r="G25" s="41" t="str">
        <f t="shared" si="38"/>
        <v>DE2508031-G7-MIC</v>
      </c>
      <c r="H25" s="55">
        <f t="shared" si="38"/>
        <v>45889</v>
      </c>
      <c r="I25" s="56" t="str">
        <f t="shared" si="38"/>
        <v>B07BK8W5MF</v>
      </c>
      <c r="J25" s="41"/>
      <c r="K25" s="57" t="str">
        <f t="shared" si="10"/>
        <v>金属储物柜71英寸银色</v>
      </c>
      <c r="L25" s="41"/>
      <c r="M25" s="46">
        <f t="shared" si="11"/>
        <v>188</v>
      </c>
      <c r="N25" s="46">
        <f t="shared" si="12"/>
        <v>49</v>
      </c>
      <c r="O25" s="46">
        <f t="shared" si="13"/>
        <v>14</v>
      </c>
      <c r="P25" s="41">
        <f t="shared" si="0"/>
        <v>0.128968</v>
      </c>
      <c r="Q25" s="41"/>
      <c r="R25" s="46">
        <f t="shared" si="14"/>
        <v>188</v>
      </c>
      <c r="S25" s="46">
        <f t="shared" si="15"/>
        <v>49</v>
      </c>
      <c r="T25" s="46">
        <f t="shared" si="16"/>
        <v>14</v>
      </c>
      <c r="U25" s="41">
        <f t="shared" si="1"/>
        <v>0.128968</v>
      </c>
      <c r="V25" s="41"/>
      <c r="W25" s="41"/>
      <c r="X25" s="41"/>
      <c r="Y25" s="41"/>
      <c r="Z25" s="41"/>
      <c r="AA25" s="41">
        <f t="shared" si="17"/>
        <v>21</v>
      </c>
      <c r="AB25" s="41">
        <f t="shared" si="18"/>
        <v>247</v>
      </c>
      <c r="AC25" s="41">
        <f t="shared" si="19"/>
        <v>247</v>
      </c>
      <c r="AD25" s="41">
        <v>0</v>
      </c>
      <c r="AE25" s="48">
        <f t="shared" si="20"/>
        <v>237</v>
      </c>
      <c r="AF25" s="48"/>
      <c r="AG25" s="49"/>
      <c r="AH25" s="50">
        <f t="shared" si="2"/>
        <v>237</v>
      </c>
      <c r="AI25" s="41" t="s">
        <v>555</v>
      </c>
      <c r="AJ25" s="51">
        <f t="shared" si="3"/>
        <v>30.565416</v>
      </c>
      <c r="AK25" s="51">
        <f t="shared" si="4"/>
        <v>30.565416</v>
      </c>
      <c r="AL25" s="41">
        <f t="shared" si="5"/>
        <v>32</v>
      </c>
      <c r="AM25" s="41" t="str">
        <f t="shared" si="6"/>
        <v>31-90天</v>
      </c>
      <c r="AN25" s="59">
        <v>0.7</v>
      </c>
      <c r="AO25" s="41" t="s">
        <v>562</v>
      </c>
      <c r="AP25" s="53">
        <f t="shared" si="8"/>
        <v>21.3957912</v>
      </c>
      <c r="AQ25" s="16"/>
    </row>
    <row r="26" ht="16.5" spans="1:43">
      <c r="A26" s="41">
        <v>202509</v>
      </c>
      <c r="B26" s="54">
        <v>45921</v>
      </c>
      <c r="C26" s="41" t="s">
        <v>600</v>
      </c>
      <c r="D26" s="41" t="str">
        <f t="shared" ref="D26:I26" si="39">D25</f>
        <v>M » N2 - 1</v>
      </c>
      <c r="E26" s="41" t="str">
        <f t="shared" si="39"/>
        <v>YCD-EX:HUPPER TEK</v>
      </c>
      <c r="F26" s="41" t="str">
        <f t="shared" si="39"/>
        <v>MI202508130012</v>
      </c>
      <c r="G26" s="41" t="str">
        <f t="shared" si="39"/>
        <v>DE2508031-G7-MIC</v>
      </c>
      <c r="H26" s="55">
        <f t="shared" si="39"/>
        <v>45889</v>
      </c>
      <c r="I26" s="56" t="str">
        <f t="shared" si="39"/>
        <v>B07BK8W5MF</v>
      </c>
      <c r="J26" s="41"/>
      <c r="K26" s="57" t="str">
        <f t="shared" si="10"/>
        <v>金属储物柜71英寸银色</v>
      </c>
      <c r="L26" s="41"/>
      <c r="M26" s="46">
        <f t="shared" si="11"/>
        <v>188</v>
      </c>
      <c r="N26" s="46">
        <f t="shared" si="12"/>
        <v>49</v>
      </c>
      <c r="O26" s="46">
        <f t="shared" si="13"/>
        <v>14</v>
      </c>
      <c r="P26" s="41">
        <f t="shared" si="0"/>
        <v>0.128968</v>
      </c>
      <c r="Q26" s="41"/>
      <c r="R26" s="46">
        <f t="shared" si="14"/>
        <v>188</v>
      </c>
      <c r="S26" s="46">
        <f t="shared" si="15"/>
        <v>49</v>
      </c>
      <c r="T26" s="46">
        <f t="shared" si="16"/>
        <v>14</v>
      </c>
      <c r="U26" s="41">
        <f t="shared" si="1"/>
        <v>0.128968</v>
      </c>
      <c r="V26" s="41"/>
      <c r="W26" s="41"/>
      <c r="X26" s="41"/>
      <c r="Y26" s="41"/>
      <c r="Z26" s="41"/>
      <c r="AA26" s="41">
        <f t="shared" si="17"/>
        <v>21</v>
      </c>
      <c r="AB26" s="41">
        <f t="shared" si="18"/>
        <v>247</v>
      </c>
      <c r="AC26" s="41">
        <f t="shared" si="19"/>
        <v>247</v>
      </c>
      <c r="AD26" s="41">
        <v>0</v>
      </c>
      <c r="AE26" s="48">
        <f t="shared" si="20"/>
        <v>237</v>
      </c>
      <c r="AF26" s="48"/>
      <c r="AG26" s="49"/>
      <c r="AH26" s="50">
        <f t="shared" si="2"/>
        <v>237</v>
      </c>
      <c r="AI26" s="41" t="s">
        <v>555</v>
      </c>
      <c r="AJ26" s="51">
        <f t="shared" si="3"/>
        <v>30.565416</v>
      </c>
      <c r="AK26" s="51">
        <f t="shared" si="4"/>
        <v>30.565416</v>
      </c>
      <c r="AL26" s="41">
        <f t="shared" si="5"/>
        <v>33</v>
      </c>
      <c r="AM26" s="41" t="str">
        <f t="shared" si="6"/>
        <v>31-90天</v>
      </c>
      <c r="AN26" s="59">
        <v>0.7</v>
      </c>
      <c r="AO26" s="41" t="s">
        <v>562</v>
      </c>
      <c r="AP26" s="53">
        <f t="shared" si="8"/>
        <v>21.3957912</v>
      </c>
      <c r="AQ26" s="16"/>
    </row>
    <row r="27" ht="16.5" spans="1:43">
      <c r="A27" s="41">
        <v>202509</v>
      </c>
      <c r="B27" s="54">
        <v>45922</v>
      </c>
      <c r="C27" s="41" t="s">
        <v>600</v>
      </c>
      <c r="D27" s="41" t="str">
        <f t="shared" ref="D27:I27" si="40">D26</f>
        <v>M » N2 - 1</v>
      </c>
      <c r="E27" s="41" t="str">
        <f t="shared" si="40"/>
        <v>YCD-EX:HUPPER TEK</v>
      </c>
      <c r="F27" s="41" t="str">
        <f t="shared" si="40"/>
        <v>MI202508130012</v>
      </c>
      <c r="G27" s="41" t="str">
        <f t="shared" si="40"/>
        <v>DE2508031-G7-MIC</v>
      </c>
      <c r="H27" s="55">
        <f t="shared" si="40"/>
        <v>45889</v>
      </c>
      <c r="I27" s="56" t="str">
        <f t="shared" si="40"/>
        <v>B07BK8W5MF</v>
      </c>
      <c r="J27" s="41"/>
      <c r="K27" s="57" t="str">
        <f t="shared" si="10"/>
        <v>金属储物柜71英寸银色</v>
      </c>
      <c r="L27" s="41"/>
      <c r="M27" s="46">
        <f t="shared" si="11"/>
        <v>188</v>
      </c>
      <c r="N27" s="46">
        <f t="shared" si="12"/>
        <v>49</v>
      </c>
      <c r="O27" s="46">
        <f t="shared" si="13"/>
        <v>14</v>
      </c>
      <c r="P27" s="41">
        <f t="shared" si="0"/>
        <v>0.128968</v>
      </c>
      <c r="Q27" s="41"/>
      <c r="R27" s="46">
        <f t="shared" si="14"/>
        <v>188</v>
      </c>
      <c r="S27" s="46">
        <f t="shared" si="15"/>
        <v>49</v>
      </c>
      <c r="T27" s="46">
        <f t="shared" si="16"/>
        <v>14</v>
      </c>
      <c r="U27" s="41">
        <f t="shared" si="1"/>
        <v>0.128968</v>
      </c>
      <c r="V27" s="41"/>
      <c r="W27" s="41"/>
      <c r="X27" s="41"/>
      <c r="Y27" s="41"/>
      <c r="Z27" s="41"/>
      <c r="AA27" s="41">
        <f t="shared" si="17"/>
        <v>21</v>
      </c>
      <c r="AB27" s="41">
        <f t="shared" si="18"/>
        <v>247</v>
      </c>
      <c r="AC27" s="41">
        <f t="shared" si="19"/>
        <v>247</v>
      </c>
      <c r="AD27" s="41">
        <v>0</v>
      </c>
      <c r="AE27" s="48">
        <f t="shared" si="20"/>
        <v>237</v>
      </c>
      <c r="AF27" s="48"/>
      <c r="AG27" s="49">
        <v>5</v>
      </c>
      <c r="AH27" s="50">
        <f t="shared" si="2"/>
        <v>232</v>
      </c>
      <c r="AI27" s="41" t="s">
        <v>555</v>
      </c>
      <c r="AJ27" s="51">
        <f t="shared" si="3"/>
        <v>29.920576</v>
      </c>
      <c r="AK27" s="51">
        <f t="shared" si="4"/>
        <v>29.920576</v>
      </c>
      <c r="AL27" s="41">
        <f t="shared" si="5"/>
        <v>34</v>
      </c>
      <c r="AM27" s="41" t="str">
        <f t="shared" si="6"/>
        <v>31-90天</v>
      </c>
      <c r="AN27" s="59">
        <v>0.7</v>
      </c>
      <c r="AO27" s="41" t="s">
        <v>562</v>
      </c>
      <c r="AP27" s="53">
        <f t="shared" si="8"/>
        <v>20.9444032</v>
      </c>
      <c r="AQ27" s="16"/>
    </row>
    <row r="28" ht="16.5" spans="1:43">
      <c r="A28" s="41">
        <v>202509</v>
      </c>
      <c r="B28" s="54">
        <v>45923</v>
      </c>
      <c r="C28" s="41" t="s">
        <v>600</v>
      </c>
      <c r="D28" s="41" t="str">
        <f t="shared" ref="D28:I28" si="41">D27</f>
        <v>M » N2 - 1</v>
      </c>
      <c r="E28" s="41" t="str">
        <f t="shared" si="41"/>
        <v>YCD-EX:HUPPER TEK</v>
      </c>
      <c r="F28" s="41" t="str">
        <f t="shared" si="41"/>
        <v>MI202508130012</v>
      </c>
      <c r="G28" s="41" t="str">
        <f t="shared" si="41"/>
        <v>DE2508031-G7-MIC</v>
      </c>
      <c r="H28" s="55">
        <f t="shared" si="41"/>
        <v>45889</v>
      </c>
      <c r="I28" s="56" t="str">
        <f t="shared" si="41"/>
        <v>B07BK8W5MF</v>
      </c>
      <c r="J28" s="41"/>
      <c r="K28" s="57" t="str">
        <f t="shared" si="10"/>
        <v>金属储物柜71英寸银色</v>
      </c>
      <c r="L28" s="41"/>
      <c r="M28" s="46">
        <f t="shared" si="11"/>
        <v>188</v>
      </c>
      <c r="N28" s="46">
        <f t="shared" si="12"/>
        <v>49</v>
      </c>
      <c r="O28" s="46">
        <f t="shared" si="13"/>
        <v>14</v>
      </c>
      <c r="P28" s="41">
        <f t="shared" si="0"/>
        <v>0.128968</v>
      </c>
      <c r="Q28" s="41"/>
      <c r="R28" s="46">
        <f t="shared" si="14"/>
        <v>188</v>
      </c>
      <c r="S28" s="46">
        <f t="shared" si="15"/>
        <v>49</v>
      </c>
      <c r="T28" s="46">
        <f t="shared" si="16"/>
        <v>14</v>
      </c>
      <c r="U28" s="41">
        <f t="shared" si="1"/>
        <v>0.128968</v>
      </c>
      <c r="V28" s="41"/>
      <c r="W28" s="41"/>
      <c r="X28" s="41"/>
      <c r="Y28" s="41"/>
      <c r="Z28" s="41"/>
      <c r="AA28" s="41">
        <f t="shared" si="17"/>
        <v>21</v>
      </c>
      <c r="AB28" s="41">
        <f t="shared" si="18"/>
        <v>247</v>
      </c>
      <c r="AC28" s="41">
        <f t="shared" si="19"/>
        <v>247</v>
      </c>
      <c r="AD28" s="41">
        <v>0</v>
      </c>
      <c r="AE28" s="48">
        <f t="shared" si="20"/>
        <v>232</v>
      </c>
      <c r="AF28" s="48"/>
      <c r="AG28" s="49"/>
      <c r="AH28" s="50">
        <f t="shared" si="2"/>
        <v>232</v>
      </c>
      <c r="AI28" s="41" t="s">
        <v>555</v>
      </c>
      <c r="AJ28" s="51">
        <f t="shared" si="3"/>
        <v>29.920576</v>
      </c>
      <c r="AK28" s="51">
        <f t="shared" si="4"/>
        <v>29.920576</v>
      </c>
      <c r="AL28" s="41">
        <f t="shared" si="5"/>
        <v>35</v>
      </c>
      <c r="AM28" s="41" t="str">
        <f t="shared" si="6"/>
        <v>31-90天</v>
      </c>
      <c r="AN28" s="59">
        <v>0.7</v>
      </c>
      <c r="AO28" s="41" t="s">
        <v>562</v>
      </c>
      <c r="AP28" s="53">
        <f t="shared" si="8"/>
        <v>20.9444032</v>
      </c>
      <c r="AQ28" s="16"/>
    </row>
    <row r="29" ht="16.5" spans="1:43">
      <c r="A29" s="41">
        <v>202509</v>
      </c>
      <c r="B29" s="54">
        <v>45924</v>
      </c>
      <c r="C29" s="41" t="s">
        <v>600</v>
      </c>
      <c r="D29" s="41" t="str">
        <f t="shared" ref="D29:I29" si="42">D28</f>
        <v>M » N2 - 1</v>
      </c>
      <c r="E29" s="41" t="str">
        <f t="shared" si="42"/>
        <v>YCD-EX:HUPPER TEK</v>
      </c>
      <c r="F29" s="41" t="str">
        <f t="shared" si="42"/>
        <v>MI202508130012</v>
      </c>
      <c r="G29" s="41" t="str">
        <f t="shared" si="42"/>
        <v>DE2508031-G7-MIC</v>
      </c>
      <c r="H29" s="55">
        <f t="shared" si="42"/>
        <v>45889</v>
      </c>
      <c r="I29" s="56" t="str">
        <f t="shared" si="42"/>
        <v>B07BK8W5MF</v>
      </c>
      <c r="J29" s="41"/>
      <c r="K29" s="57" t="str">
        <f t="shared" si="10"/>
        <v>金属储物柜71英寸银色</v>
      </c>
      <c r="L29" s="41"/>
      <c r="M29" s="46">
        <f t="shared" si="11"/>
        <v>188</v>
      </c>
      <c r="N29" s="46">
        <f t="shared" si="12"/>
        <v>49</v>
      </c>
      <c r="O29" s="46">
        <f t="shared" si="13"/>
        <v>14</v>
      </c>
      <c r="P29" s="41">
        <f t="shared" si="0"/>
        <v>0.128968</v>
      </c>
      <c r="Q29" s="41"/>
      <c r="R29" s="46">
        <f t="shared" si="14"/>
        <v>188</v>
      </c>
      <c r="S29" s="46">
        <f t="shared" si="15"/>
        <v>49</v>
      </c>
      <c r="T29" s="46">
        <f t="shared" si="16"/>
        <v>14</v>
      </c>
      <c r="U29" s="41">
        <f t="shared" si="1"/>
        <v>0.128968</v>
      </c>
      <c r="V29" s="41"/>
      <c r="W29" s="41"/>
      <c r="X29" s="41"/>
      <c r="Y29" s="41"/>
      <c r="Z29" s="41"/>
      <c r="AA29" s="41">
        <f t="shared" si="17"/>
        <v>21</v>
      </c>
      <c r="AB29" s="41">
        <f t="shared" si="18"/>
        <v>247</v>
      </c>
      <c r="AC29" s="41">
        <f t="shared" si="19"/>
        <v>247</v>
      </c>
      <c r="AD29" s="41">
        <v>0</v>
      </c>
      <c r="AE29" s="48">
        <f t="shared" si="20"/>
        <v>232</v>
      </c>
      <c r="AF29" s="48"/>
      <c r="AG29" s="49"/>
      <c r="AH29" s="50">
        <f t="shared" si="2"/>
        <v>232</v>
      </c>
      <c r="AI29" s="41" t="s">
        <v>555</v>
      </c>
      <c r="AJ29" s="51">
        <f t="shared" si="3"/>
        <v>29.920576</v>
      </c>
      <c r="AK29" s="51">
        <f t="shared" si="4"/>
        <v>29.920576</v>
      </c>
      <c r="AL29" s="41">
        <f t="shared" si="5"/>
        <v>36</v>
      </c>
      <c r="AM29" s="41" t="str">
        <f t="shared" si="6"/>
        <v>31-90天</v>
      </c>
      <c r="AN29" s="59">
        <v>0.7</v>
      </c>
      <c r="AO29" s="41" t="s">
        <v>562</v>
      </c>
      <c r="AP29" s="53">
        <f t="shared" si="8"/>
        <v>20.9444032</v>
      </c>
      <c r="AQ29" s="16"/>
    </row>
    <row r="30" ht="16.5" spans="1:43">
      <c r="A30" s="41">
        <v>202509</v>
      </c>
      <c r="B30" s="54">
        <v>45925</v>
      </c>
      <c r="C30" s="41" t="s">
        <v>600</v>
      </c>
      <c r="D30" s="41" t="str">
        <f t="shared" ref="D30:I30" si="43">D29</f>
        <v>M » N2 - 1</v>
      </c>
      <c r="E30" s="41" t="str">
        <f t="shared" si="43"/>
        <v>YCD-EX:HUPPER TEK</v>
      </c>
      <c r="F30" s="41" t="str">
        <f t="shared" si="43"/>
        <v>MI202508130012</v>
      </c>
      <c r="G30" s="41" t="str">
        <f t="shared" si="43"/>
        <v>DE2508031-G7-MIC</v>
      </c>
      <c r="H30" s="55">
        <f t="shared" si="43"/>
        <v>45889</v>
      </c>
      <c r="I30" s="56" t="str">
        <f t="shared" si="43"/>
        <v>B07BK8W5MF</v>
      </c>
      <c r="J30" s="41"/>
      <c r="K30" s="57" t="str">
        <f t="shared" si="10"/>
        <v>金属储物柜71英寸银色</v>
      </c>
      <c r="L30" s="41"/>
      <c r="M30" s="46">
        <f t="shared" si="11"/>
        <v>188</v>
      </c>
      <c r="N30" s="46">
        <f t="shared" si="12"/>
        <v>49</v>
      </c>
      <c r="O30" s="46">
        <f t="shared" si="13"/>
        <v>14</v>
      </c>
      <c r="P30" s="41">
        <f t="shared" si="0"/>
        <v>0.128968</v>
      </c>
      <c r="Q30" s="41"/>
      <c r="R30" s="46">
        <f t="shared" si="14"/>
        <v>188</v>
      </c>
      <c r="S30" s="46">
        <f t="shared" si="15"/>
        <v>49</v>
      </c>
      <c r="T30" s="46">
        <f t="shared" si="16"/>
        <v>14</v>
      </c>
      <c r="U30" s="41">
        <f t="shared" si="1"/>
        <v>0.128968</v>
      </c>
      <c r="V30" s="41"/>
      <c r="W30" s="41"/>
      <c r="X30" s="41"/>
      <c r="Y30" s="41"/>
      <c r="Z30" s="41"/>
      <c r="AA30" s="41">
        <f t="shared" si="17"/>
        <v>21</v>
      </c>
      <c r="AB30" s="41">
        <f t="shared" si="18"/>
        <v>247</v>
      </c>
      <c r="AC30" s="41">
        <f t="shared" si="19"/>
        <v>247</v>
      </c>
      <c r="AD30" s="41">
        <v>0</v>
      </c>
      <c r="AE30" s="48">
        <f t="shared" si="20"/>
        <v>232</v>
      </c>
      <c r="AF30" s="60"/>
      <c r="AG30" s="49">
        <v>1</v>
      </c>
      <c r="AH30" s="50">
        <f t="shared" si="2"/>
        <v>231</v>
      </c>
      <c r="AI30" s="41" t="s">
        <v>555</v>
      </c>
      <c r="AJ30" s="51">
        <f t="shared" si="3"/>
        <v>29.791608</v>
      </c>
      <c r="AK30" s="51">
        <f t="shared" si="4"/>
        <v>29.791608</v>
      </c>
      <c r="AL30" s="41">
        <f t="shared" si="5"/>
        <v>37</v>
      </c>
      <c r="AM30" s="41" t="str">
        <f t="shared" si="6"/>
        <v>31-90天</v>
      </c>
      <c r="AN30" s="59">
        <v>0.7</v>
      </c>
      <c r="AO30" s="41" t="s">
        <v>562</v>
      </c>
      <c r="AP30" s="53">
        <f t="shared" si="8"/>
        <v>20.8541256</v>
      </c>
      <c r="AQ30" s="16"/>
    </row>
    <row r="31" ht="16.5" spans="1:43">
      <c r="A31" s="41">
        <v>202509</v>
      </c>
      <c r="B31" s="54">
        <v>45926</v>
      </c>
      <c r="C31" s="41" t="s">
        <v>600</v>
      </c>
      <c r="D31" s="41" t="str">
        <f t="shared" ref="D31:I31" si="44">D30</f>
        <v>M » N2 - 1</v>
      </c>
      <c r="E31" s="41" t="str">
        <f t="shared" si="44"/>
        <v>YCD-EX:HUPPER TEK</v>
      </c>
      <c r="F31" s="41" t="str">
        <f t="shared" si="44"/>
        <v>MI202508130012</v>
      </c>
      <c r="G31" s="41" t="str">
        <f t="shared" si="44"/>
        <v>DE2508031-G7-MIC</v>
      </c>
      <c r="H31" s="55">
        <f t="shared" si="44"/>
        <v>45889</v>
      </c>
      <c r="I31" s="56" t="str">
        <f t="shared" si="44"/>
        <v>B07BK8W5MF</v>
      </c>
      <c r="J31" s="41"/>
      <c r="K31" s="57" t="str">
        <f t="shared" si="10"/>
        <v>金属储物柜71英寸银色</v>
      </c>
      <c r="L31" s="41"/>
      <c r="M31" s="46">
        <f t="shared" si="11"/>
        <v>188</v>
      </c>
      <c r="N31" s="46">
        <f t="shared" si="12"/>
        <v>49</v>
      </c>
      <c r="O31" s="46">
        <f t="shared" si="13"/>
        <v>14</v>
      </c>
      <c r="P31" s="41">
        <f t="shared" si="0"/>
        <v>0.128968</v>
      </c>
      <c r="Q31" s="41"/>
      <c r="R31" s="46">
        <f t="shared" si="14"/>
        <v>188</v>
      </c>
      <c r="S31" s="46">
        <f t="shared" si="15"/>
        <v>49</v>
      </c>
      <c r="T31" s="46">
        <f t="shared" si="16"/>
        <v>14</v>
      </c>
      <c r="U31" s="41">
        <f t="shared" si="1"/>
        <v>0.128968</v>
      </c>
      <c r="V31" s="41"/>
      <c r="W31" s="41"/>
      <c r="X31" s="41"/>
      <c r="Y31" s="41"/>
      <c r="Z31" s="41"/>
      <c r="AA31" s="41">
        <f t="shared" si="17"/>
        <v>21</v>
      </c>
      <c r="AB31" s="41">
        <f t="shared" si="18"/>
        <v>247</v>
      </c>
      <c r="AC31" s="41">
        <f t="shared" si="19"/>
        <v>247</v>
      </c>
      <c r="AD31" s="41">
        <v>0</v>
      </c>
      <c r="AE31" s="48">
        <f t="shared" si="20"/>
        <v>231</v>
      </c>
      <c r="AF31" s="60"/>
      <c r="AG31" s="49"/>
      <c r="AH31" s="50">
        <f t="shared" si="2"/>
        <v>231</v>
      </c>
      <c r="AI31" s="41" t="s">
        <v>555</v>
      </c>
      <c r="AJ31" s="51">
        <f t="shared" si="3"/>
        <v>29.791608</v>
      </c>
      <c r="AK31" s="51">
        <f t="shared" si="4"/>
        <v>29.791608</v>
      </c>
      <c r="AL31" s="41">
        <f t="shared" si="5"/>
        <v>38</v>
      </c>
      <c r="AM31" s="41" t="str">
        <f t="shared" si="6"/>
        <v>31-90天</v>
      </c>
      <c r="AN31" s="59">
        <v>0.7</v>
      </c>
      <c r="AO31" s="41" t="s">
        <v>562</v>
      </c>
      <c r="AP31" s="53">
        <f t="shared" si="8"/>
        <v>20.8541256</v>
      </c>
      <c r="AQ31" s="16"/>
    </row>
    <row r="32" ht="16.5" spans="1:43">
      <c r="A32" s="41">
        <v>202509</v>
      </c>
      <c r="B32" s="54">
        <v>45927</v>
      </c>
      <c r="C32" s="41" t="s">
        <v>600</v>
      </c>
      <c r="D32" s="41" t="str">
        <f t="shared" ref="D32:I32" si="45">D31</f>
        <v>M » N2 - 1</v>
      </c>
      <c r="E32" s="41" t="str">
        <f t="shared" si="45"/>
        <v>YCD-EX:HUPPER TEK</v>
      </c>
      <c r="F32" s="41" t="str">
        <f t="shared" si="45"/>
        <v>MI202508130012</v>
      </c>
      <c r="G32" s="41" t="str">
        <f t="shared" si="45"/>
        <v>DE2508031-G7-MIC</v>
      </c>
      <c r="H32" s="55">
        <f t="shared" si="45"/>
        <v>45889</v>
      </c>
      <c r="I32" s="56" t="str">
        <f t="shared" si="45"/>
        <v>B07BK8W5MF</v>
      </c>
      <c r="J32" s="41"/>
      <c r="K32" s="57" t="str">
        <f t="shared" si="10"/>
        <v>金属储物柜71英寸银色</v>
      </c>
      <c r="L32" s="41"/>
      <c r="M32" s="46">
        <f t="shared" si="11"/>
        <v>188</v>
      </c>
      <c r="N32" s="46">
        <f t="shared" si="12"/>
        <v>49</v>
      </c>
      <c r="O32" s="46">
        <f t="shared" si="13"/>
        <v>14</v>
      </c>
      <c r="P32" s="41">
        <f t="shared" si="0"/>
        <v>0.128968</v>
      </c>
      <c r="Q32" s="41"/>
      <c r="R32" s="46">
        <f t="shared" si="14"/>
        <v>188</v>
      </c>
      <c r="S32" s="46">
        <f t="shared" si="15"/>
        <v>49</v>
      </c>
      <c r="T32" s="46">
        <f t="shared" si="16"/>
        <v>14</v>
      </c>
      <c r="U32" s="41">
        <f t="shared" si="1"/>
        <v>0.128968</v>
      </c>
      <c r="V32" s="41"/>
      <c r="W32" s="41"/>
      <c r="X32" s="41"/>
      <c r="Y32" s="41"/>
      <c r="Z32" s="41"/>
      <c r="AA32" s="41">
        <f t="shared" si="17"/>
        <v>21</v>
      </c>
      <c r="AB32" s="41">
        <f t="shared" si="18"/>
        <v>247</v>
      </c>
      <c r="AC32" s="41">
        <f t="shared" si="19"/>
        <v>247</v>
      </c>
      <c r="AD32" s="41">
        <v>0</v>
      </c>
      <c r="AE32" s="48">
        <f t="shared" si="20"/>
        <v>231</v>
      </c>
      <c r="AF32" s="48"/>
      <c r="AG32" s="49"/>
      <c r="AH32" s="50">
        <f t="shared" si="2"/>
        <v>231</v>
      </c>
      <c r="AI32" s="41" t="s">
        <v>555</v>
      </c>
      <c r="AJ32" s="51">
        <f t="shared" si="3"/>
        <v>29.791608</v>
      </c>
      <c r="AK32" s="51">
        <f t="shared" si="4"/>
        <v>29.791608</v>
      </c>
      <c r="AL32" s="41">
        <f t="shared" si="5"/>
        <v>39</v>
      </c>
      <c r="AM32" s="41" t="str">
        <f t="shared" si="6"/>
        <v>31-90天</v>
      </c>
      <c r="AN32" s="59">
        <v>0.7</v>
      </c>
      <c r="AO32" s="41" t="s">
        <v>562</v>
      </c>
      <c r="AP32" s="53">
        <f t="shared" si="8"/>
        <v>20.8541256</v>
      </c>
      <c r="AQ32" s="16"/>
    </row>
    <row r="33" ht="16.5" spans="1:43">
      <c r="A33" s="41">
        <v>202509</v>
      </c>
      <c r="B33" s="54">
        <v>45928</v>
      </c>
      <c r="C33" s="41" t="s">
        <v>600</v>
      </c>
      <c r="D33" s="41" t="str">
        <f t="shared" ref="D33:I33" si="46">D32</f>
        <v>M » N2 - 1</v>
      </c>
      <c r="E33" s="41" t="str">
        <f t="shared" si="46"/>
        <v>YCD-EX:HUPPER TEK</v>
      </c>
      <c r="F33" s="41" t="str">
        <f t="shared" si="46"/>
        <v>MI202508130012</v>
      </c>
      <c r="G33" s="41" t="str">
        <f t="shared" si="46"/>
        <v>DE2508031-G7-MIC</v>
      </c>
      <c r="H33" s="55">
        <f t="shared" si="46"/>
        <v>45889</v>
      </c>
      <c r="I33" s="56" t="str">
        <f t="shared" si="46"/>
        <v>B07BK8W5MF</v>
      </c>
      <c r="J33" s="41"/>
      <c r="K33" s="57" t="str">
        <f t="shared" si="10"/>
        <v>金属储物柜71英寸银色</v>
      </c>
      <c r="L33" s="41"/>
      <c r="M33" s="46">
        <f t="shared" si="11"/>
        <v>188</v>
      </c>
      <c r="N33" s="46">
        <f t="shared" si="12"/>
        <v>49</v>
      </c>
      <c r="O33" s="46">
        <f t="shared" si="13"/>
        <v>14</v>
      </c>
      <c r="P33" s="41">
        <f t="shared" si="0"/>
        <v>0.128968</v>
      </c>
      <c r="Q33" s="41"/>
      <c r="R33" s="46">
        <f t="shared" si="14"/>
        <v>188</v>
      </c>
      <c r="S33" s="46">
        <f t="shared" si="15"/>
        <v>49</v>
      </c>
      <c r="T33" s="46">
        <f t="shared" si="16"/>
        <v>14</v>
      </c>
      <c r="U33" s="41">
        <f t="shared" si="1"/>
        <v>0.128968</v>
      </c>
      <c r="V33" s="41"/>
      <c r="W33" s="41"/>
      <c r="X33" s="41"/>
      <c r="Y33" s="41"/>
      <c r="Z33" s="41"/>
      <c r="AA33" s="41">
        <f t="shared" si="17"/>
        <v>21</v>
      </c>
      <c r="AB33" s="41">
        <f t="shared" si="18"/>
        <v>247</v>
      </c>
      <c r="AC33" s="41">
        <f t="shared" si="19"/>
        <v>247</v>
      </c>
      <c r="AD33" s="41">
        <v>0</v>
      </c>
      <c r="AE33" s="48">
        <f t="shared" si="20"/>
        <v>231</v>
      </c>
      <c r="AF33" s="48"/>
      <c r="AG33" s="49"/>
      <c r="AH33" s="50">
        <f t="shared" si="2"/>
        <v>231</v>
      </c>
      <c r="AI33" s="41" t="s">
        <v>555</v>
      </c>
      <c r="AJ33" s="51">
        <f t="shared" si="3"/>
        <v>29.791608</v>
      </c>
      <c r="AK33" s="51">
        <f t="shared" si="4"/>
        <v>29.791608</v>
      </c>
      <c r="AL33" s="41">
        <f t="shared" si="5"/>
        <v>40</v>
      </c>
      <c r="AM33" s="41" t="str">
        <f t="shared" si="6"/>
        <v>31-90天</v>
      </c>
      <c r="AN33" s="59">
        <v>0.7</v>
      </c>
      <c r="AO33" s="41" t="s">
        <v>562</v>
      </c>
      <c r="AP33" s="53">
        <f t="shared" si="8"/>
        <v>20.8541256</v>
      </c>
      <c r="AQ33" s="16"/>
    </row>
    <row r="34" ht="16.5" spans="1:43">
      <c r="A34" s="41">
        <v>202509</v>
      </c>
      <c r="B34" s="54">
        <v>45929</v>
      </c>
      <c r="C34" s="41" t="s">
        <v>600</v>
      </c>
      <c r="D34" s="41" t="str">
        <f t="shared" ref="D34:I34" si="47">D33</f>
        <v>M » N2 - 1</v>
      </c>
      <c r="E34" s="41" t="str">
        <f t="shared" si="47"/>
        <v>YCD-EX:HUPPER TEK</v>
      </c>
      <c r="F34" s="41" t="str">
        <f t="shared" si="47"/>
        <v>MI202508130012</v>
      </c>
      <c r="G34" s="41" t="str">
        <f t="shared" si="47"/>
        <v>DE2508031-G7-MIC</v>
      </c>
      <c r="H34" s="55">
        <f t="shared" si="47"/>
        <v>45889</v>
      </c>
      <c r="I34" s="56" t="str">
        <f t="shared" si="47"/>
        <v>B07BK8W5MF</v>
      </c>
      <c r="J34" s="41"/>
      <c r="K34" s="57" t="str">
        <f t="shared" si="10"/>
        <v>金属储物柜71英寸银色</v>
      </c>
      <c r="L34" s="41"/>
      <c r="M34" s="46">
        <f t="shared" si="11"/>
        <v>188</v>
      </c>
      <c r="N34" s="46">
        <f t="shared" si="12"/>
        <v>49</v>
      </c>
      <c r="O34" s="46">
        <f t="shared" si="13"/>
        <v>14</v>
      </c>
      <c r="P34" s="41">
        <f t="shared" si="0"/>
        <v>0.128968</v>
      </c>
      <c r="Q34" s="41"/>
      <c r="R34" s="46">
        <f t="shared" si="14"/>
        <v>188</v>
      </c>
      <c r="S34" s="46">
        <f t="shared" si="15"/>
        <v>49</v>
      </c>
      <c r="T34" s="46">
        <f t="shared" si="16"/>
        <v>14</v>
      </c>
      <c r="U34" s="41">
        <f t="shared" si="1"/>
        <v>0.128968</v>
      </c>
      <c r="V34" s="41"/>
      <c r="W34" s="41"/>
      <c r="X34" s="41"/>
      <c r="Y34" s="41"/>
      <c r="Z34" s="41"/>
      <c r="AA34" s="41">
        <f t="shared" si="17"/>
        <v>21</v>
      </c>
      <c r="AB34" s="41">
        <f t="shared" si="18"/>
        <v>247</v>
      </c>
      <c r="AC34" s="41">
        <f t="shared" si="19"/>
        <v>247</v>
      </c>
      <c r="AD34" s="41">
        <v>0</v>
      </c>
      <c r="AE34" s="48">
        <f t="shared" si="20"/>
        <v>231</v>
      </c>
      <c r="AF34" s="48"/>
      <c r="AG34" s="49">
        <v>122</v>
      </c>
      <c r="AH34" s="50">
        <f t="shared" si="2"/>
        <v>109</v>
      </c>
      <c r="AI34" s="41" t="s">
        <v>555</v>
      </c>
      <c r="AJ34" s="51">
        <f t="shared" si="3"/>
        <v>14.057512</v>
      </c>
      <c r="AK34" s="51">
        <f t="shared" si="4"/>
        <v>14.057512</v>
      </c>
      <c r="AL34" s="41">
        <f t="shared" si="5"/>
        <v>41</v>
      </c>
      <c r="AM34" s="41" t="str">
        <f t="shared" si="6"/>
        <v>31-90天</v>
      </c>
      <c r="AN34" s="59">
        <v>0.7</v>
      </c>
      <c r="AO34" s="41" t="s">
        <v>562</v>
      </c>
      <c r="AP34" s="53">
        <f t="shared" si="8"/>
        <v>9.8402584</v>
      </c>
      <c r="AQ34" s="16"/>
    </row>
    <row r="35" ht="16.5" spans="1:43">
      <c r="A35" s="41">
        <v>202509</v>
      </c>
      <c r="B35" s="54">
        <v>45930</v>
      </c>
      <c r="C35" s="41" t="s">
        <v>600</v>
      </c>
      <c r="D35" s="41" t="str">
        <f t="shared" ref="D35:I35" si="48">D34</f>
        <v>M » N2 - 1</v>
      </c>
      <c r="E35" s="41" t="str">
        <f t="shared" si="48"/>
        <v>YCD-EX:HUPPER TEK</v>
      </c>
      <c r="F35" s="41" t="str">
        <f t="shared" si="48"/>
        <v>MI202508130012</v>
      </c>
      <c r="G35" s="41" t="str">
        <f t="shared" si="48"/>
        <v>DE2508031-G7-MIC</v>
      </c>
      <c r="H35" s="55">
        <f t="shared" si="48"/>
        <v>45889</v>
      </c>
      <c r="I35" s="56" t="str">
        <f t="shared" si="48"/>
        <v>B07BK8W5MF</v>
      </c>
      <c r="J35" s="41"/>
      <c r="K35" s="57" t="str">
        <f t="shared" si="10"/>
        <v>金属储物柜71英寸银色</v>
      </c>
      <c r="L35" s="41"/>
      <c r="M35" s="46">
        <f t="shared" si="11"/>
        <v>188</v>
      </c>
      <c r="N35" s="46">
        <f t="shared" si="12"/>
        <v>49</v>
      </c>
      <c r="O35" s="46">
        <f t="shared" si="13"/>
        <v>14</v>
      </c>
      <c r="P35" s="41">
        <f t="shared" si="0"/>
        <v>0.128968</v>
      </c>
      <c r="Q35" s="41"/>
      <c r="R35" s="46">
        <f t="shared" si="14"/>
        <v>188</v>
      </c>
      <c r="S35" s="46">
        <f t="shared" si="15"/>
        <v>49</v>
      </c>
      <c r="T35" s="46">
        <f t="shared" si="16"/>
        <v>14</v>
      </c>
      <c r="U35" s="41">
        <f t="shared" si="1"/>
        <v>0.128968</v>
      </c>
      <c r="V35" s="41"/>
      <c r="W35" s="41"/>
      <c r="X35" s="41"/>
      <c r="Y35" s="41"/>
      <c r="Z35" s="41"/>
      <c r="AA35" s="41">
        <f t="shared" si="17"/>
        <v>21</v>
      </c>
      <c r="AB35" s="41">
        <f t="shared" si="18"/>
        <v>247</v>
      </c>
      <c r="AC35" s="41">
        <f t="shared" si="19"/>
        <v>247</v>
      </c>
      <c r="AD35" s="41">
        <v>0</v>
      </c>
      <c r="AE35" s="48">
        <f t="shared" si="20"/>
        <v>109</v>
      </c>
      <c r="AF35" s="48"/>
      <c r="AG35" s="49">
        <v>1</v>
      </c>
      <c r="AH35" s="50">
        <f t="shared" si="2"/>
        <v>108</v>
      </c>
      <c r="AI35" s="41" t="s">
        <v>555</v>
      </c>
      <c r="AJ35" s="51">
        <f t="shared" si="3"/>
        <v>13.928544</v>
      </c>
      <c r="AK35" s="51">
        <f t="shared" si="4"/>
        <v>13.928544</v>
      </c>
      <c r="AL35" s="41">
        <f t="shared" si="5"/>
        <v>42</v>
      </c>
      <c r="AM35" s="41" t="str">
        <f t="shared" si="6"/>
        <v>31-90天</v>
      </c>
      <c r="AN35" s="59">
        <v>0.7</v>
      </c>
      <c r="AO35" s="41" t="s">
        <v>562</v>
      </c>
      <c r="AP35" s="53">
        <f t="shared" si="8"/>
        <v>9.7499808</v>
      </c>
      <c r="AQ35" s="16"/>
    </row>
    <row r="36" spans="1:43">
      <c r="A36" s="41">
        <v>202509</v>
      </c>
      <c r="B36" s="54">
        <v>0</v>
      </c>
      <c r="C36" s="41" t="s">
        <v>600</v>
      </c>
      <c r="D36" s="41" t="str">
        <f t="shared" ref="D36:I36" si="49">D35</f>
        <v>M » N2 - 1</v>
      </c>
      <c r="E36" s="41" t="str">
        <f t="shared" si="49"/>
        <v>YCD-EX:HUPPER TEK</v>
      </c>
      <c r="F36" s="41" t="str">
        <f t="shared" si="49"/>
        <v>MI202508130012</v>
      </c>
      <c r="G36" s="41" t="str">
        <f t="shared" si="49"/>
        <v>DE2508031-G7-MIC</v>
      </c>
      <c r="H36" s="55">
        <f t="shared" si="49"/>
        <v>45889</v>
      </c>
      <c r="I36" s="56" t="str">
        <f t="shared" si="49"/>
        <v>B07BK8W5MF</v>
      </c>
      <c r="J36" s="41"/>
      <c r="K36" s="57" t="str">
        <f t="shared" si="10"/>
        <v>金属储物柜71英寸银色</v>
      </c>
      <c r="L36" s="41"/>
      <c r="M36" s="46">
        <f t="shared" si="11"/>
        <v>188</v>
      </c>
      <c r="N36" s="46">
        <f t="shared" si="12"/>
        <v>49</v>
      </c>
      <c r="O36" s="46">
        <f t="shared" si="13"/>
        <v>14</v>
      </c>
      <c r="P36" s="41">
        <f t="shared" si="0"/>
        <v>0.128968</v>
      </c>
      <c r="Q36" s="41"/>
      <c r="R36" s="46">
        <f t="shared" si="14"/>
        <v>188</v>
      </c>
      <c r="S36" s="46">
        <f t="shared" si="15"/>
        <v>49</v>
      </c>
      <c r="T36" s="46">
        <f t="shared" si="16"/>
        <v>14</v>
      </c>
      <c r="U36" s="41">
        <f t="shared" si="1"/>
        <v>0.128968</v>
      </c>
      <c r="V36" s="41"/>
      <c r="W36" s="41"/>
      <c r="X36" s="41"/>
      <c r="Y36" s="41"/>
      <c r="Z36" s="41"/>
      <c r="AA36" s="41">
        <f t="shared" si="17"/>
        <v>21</v>
      </c>
      <c r="AB36" s="41">
        <f t="shared" si="18"/>
        <v>247</v>
      </c>
      <c r="AC36" s="41">
        <f t="shared" si="19"/>
        <v>247</v>
      </c>
      <c r="AD36" s="41">
        <v>0</v>
      </c>
      <c r="AE36" s="48">
        <f t="shared" si="20"/>
        <v>108</v>
      </c>
      <c r="AF36" s="60"/>
      <c r="AG36" s="49"/>
      <c r="AH36" s="61">
        <f t="shared" si="2"/>
        <v>108</v>
      </c>
      <c r="AI36" s="41" t="s">
        <v>555</v>
      </c>
      <c r="AJ36" s="51">
        <f t="shared" si="3"/>
        <v>13.928544</v>
      </c>
      <c r="AK36" s="51">
        <f t="shared" si="4"/>
        <v>13.928544</v>
      </c>
      <c r="AL36" s="41">
        <f t="shared" si="5"/>
        <v>-45888</v>
      </c>
      <c r="AM36" s="41" t="str">
        <f t="shared" si="6"/>
        <v>0天</v>
      </c>
      <c r="AN36" s="52">
        <f t="shared" si="7"/>
        <v>0</v>
      </c>
      <c r="AO36" s="41" t="s">
        <v>562</v>
      </c>
      <c r="AP36" s="53">
        <f t="shared" si="8"/>
        <v>0</v>
      </c>
      <c r="AQ36" s="16"/>
    </row>
    <row r="37" spans="1:43">
      <c r="A37" s="41">
        <v>202509</v>
      </c>
      <c r="B37" s="42">
        <v>45901</v>
      </c>
      <c r="C37" s="41" t="s">
        <v>600</v>
      </c>
      <c r="D37" s="43" t="s">
        <v>601</v>
      </c>
      <c r="E37" s="43" t="s">
        <v>157</v>
      </c>
      <c r="F37" s="43" t="s">
        <v>602</v>
      </c>
      <c r="G37" s="43" t="s">
        <v>603</v>
      </c>
      <c r="H37" s="44">
        <v>45889</v>
      </c>
      <c r="I37" s="43" t="s">
        <v>169</v>
      </c>
      <c r="J37" s="43"/>
      <c r="K37" s="45" t="str">
        <f>VLOOKUP(I37,物品明细!A:B,2,0)</f>
        <v>金属储物柜71英寸灰色</v>
      </c>
      <c r="L37" s="41"/>
      <c r="M37" s="46">
        <f>VLOOKUP(I37,物品明细!A:E,5,0)</f>
        <v>188</v>
      </c>
      <c r="N37" s="46">
        <f>VLOOKUP(I37,物品明细!A:F,6,0)</f>
        <v>49</v>
      </c>
      <c r="O37" s="46">
        <f>VLOOKUP(I37,物品明细!A:G,7,0)</f>
        <v>14</v>
      </c>
      <c r="P37" s="41">
        <f t="shared" si="0"/>
        <v>0.128968</v>
      </c>
      <c r="Q37" s="41"/>
      <c r="R37" s="46">
        <f>VLOOKUP(I37,物品明细!A:E,5,0)</f>
        <v>188</v>
      </c>
      <c r="S37" s="46">
        <f>VLOOKUP(I37,物品明细!A:F,6,0)</f>
        <v>49</v>
      </c>
      <c r="T37" s="46">
        <f>VLOOKUP(I37,物品明细!A:G,7,0)</f>
        <v>14</v>
      </c>
      <c r="U37" s="41">
        <f t="shared" si="1"/>
        <v>0.128968</v>
      </c>
      <c r="V37" s="41"/>
      <c r="W37" s="41"/>
      <c r="X37" s="41"/>
      <c r="Y37" s="41"/>
      <c r="Z37" s="41"/>
      <c r="AA37" s="47">
        <v>19</v>
      </c>
      <c r="AB37" s="47">
        <v>223</v>
      </c>
      <c r="AC37" s="47">
        <v>223</v>
      </c>
      <c r="AD37" s="41">
        <v>0</v>
      </c>
      <c r="AE37" s="48">
        <v>223</v>
      </c>
      <c r="AF37" s="48"/>
      <c r="AG37" s="49">
        <v>4</v>
      </c>
      <c r="AH37" s="50">
        <f t="shared" si="2"/>
        <v>219</v>
      </c>
      <c r="AI37" s="41" t="s">
        <v>555</v>
      </c>
      <c r="AJ37" s="51">
        <f t="shared" si="3"/>
        <v>28.243992</v>
      </c>
      <c r="AK37" s="51">
        <f t="shared" si="4"/>
        <v>28.243992</v>
      </c>
      <c r="AL37" s="41">
        <f t="shared" si="5"/>
        <v>13</v>
      </c>
      <c r="AM37" s="41" t="str">
        <f t="shared" si="6"/>
        <v>30天内</v>
      </c>
      <c r="AN37" s="52">
        <f t="shared" si="7"/>
        <v>0</v>
      </c>
      <c r="AO37" s="41" t="s">
        <v>562</v>
      </c>
      <c r="AP37" s="53">
        <f t="shared" si="8"/>
        <v>0</v>
      </c>
      <c r="AQ37" s="16"/>
    </row>
    <row r="38" spans="1:43">
      <c r="A38" s="41">
        <v>202509</v>
      </c>
      <c r="B38" s="54">
        <v>45902</v>
      </c>
      <c r="C38" s="41" t="s">
        <v>600</v>
      </c>
      <c r="D38" s="3" t="str">
        <f t="shared" ref="D38:I38" si="50">D37</f>
        <v>M » N2 - 1</v>
      </c>
      <c r="E38" s="41" t="str">
        <f t="shared" si="50"/>
        <v>YCD-EX:HUPPER TEK</v>
      </c>
      <c r="F38" s="41" t="str">
        <f t="shared" si="50"/>
        <v>MI202508130012</v>
      </c>
      <c r="G38" s="41" t="str">
        <f t="shared" si="50"/>
        <v>DE2508031-G7-MIC</v>
      </c>
      <c r="H38" s="55">
        <f t="shared" si="50"/>
        <v>45889</v>
      </c>
      <c r="I38" s="56" t="str">
        <f t="shared" si="50"/>
        <v>B076THQBHX</v>
      </c>
      <c r="J38" s="41"/>
      <c r="K38" s="57" t="str">
        <f t="shared" ref="K38:K67" si="51">K37</f>
        <v>金属储物柜71英寸灰色</v>
      </c>
      <c r="L38" s="41"/>
      <c r="M38" s="46">
        <f t="shared" ref="M38:M67" si="52">M37</f>
        <v>188</v>
      </c>
      <c r="N38" s="46">
        <f t="shared" ref="N38:N67" si="53">N37</f>
        <v>49</v>
      </c>
      <c r="O38" s="46">
        <f t="shared" ref="O38:O67" si="54">O37</f>
        <v>14</v>
      </c>
      <c r="P38" s="41">
        <f t="shared" si="0"/>
        <v>0.128968</v>
      </c>
      <c r="Q38" s="41"/>
      <c r="R38" s="46">
        <f t="shared" ref="R38:R67" si="55">R37</f>
        <v>188</v>
      </c>
      <c r="S38" s="46">
        <f t="shared" ref="S38:S67" si="56">S37</f>
        <v>49</v>
      </c>
      <c r="T38" s="46">
        <f t="shared" ref="T38:T67" si="57">T37</f>
        <v>14</v>
      </c>
      <c r="U38" s="41">
        <f t="shared" si="1"/>
        <v>0.128968</v>
      </c>
      <c r="V38" s="41"/>
      <c r="W38" s="41"/>
      <c r="X38" s="41"/>
      <c r="Y38" s="41"/>
      <c r="Z38" s="41"/>
      <c r="AA38" s="41">
        <f t="shared" ref="AA38:AA67" si="58">AA37</f>
        <v>19</v>
      </c>
      <c r="AB38" s="41">
        <f t="shared" ref="AB38:AB67" si="59">AB37</f>
        <v>223</v>
      </c>
      <c r="AC38" s="41">
        <f t="shared" ref="AC38:AC67" si="60">AC37</f>
        <v>223</v>
      </c>
      <c r="AD38" s="41">
        <v>0</v>
      </c>
      <c r="AE38" s="48">
        <f t="shared" ref="AE38:AE67" si="61">AH37</f>
        <v>219</v>
      </c>
      <c r="AF38" s="48"/>
      <c r="AG38" s="49">
        <v>1</v>
      </c>
      <c r="AH38" s="50">
        <f t="shared" si="2"/>
        <v>218</v>
      </c>
      <c r="AI38" s="41" t="s">
        <v>555</v>
      </c>
      <c r="AJ38" s="51">
        <f t="shared" si="3"/>
        <v>28.115024</v>
      </c>
      <c r="AK38" s="51">
        <f t="shared" si="4"/>
        <v>28.115024</v>
      </c>
      <c r="AL38" s="41">
        <f t="shared" si="5"/>
        <v>14</v>
      </c>
      <c r="AM38" s="41" t="str">
        <f t="shared" si="6"/>
        <v>30天内</v>
      </c>
      <c r="AN38" s="52">
        <f t="shared" si="7"/>
        <v>0</v>
      </c>
      <c r="AO38" s="41" t="s">
        <v>562</v>
      </c>
      <c r="AP38" s="53">
        <f t="shared" si="8"/>
        <v>0</v>
      </c>
      <c r="AQ38" s="16"/>
    </row>
    <row r="39" spans="1:43">
      <c r="A39" s="41">
        <v>202509</v>
      </c>
      <c r="B39" s="54">
        <v>45903</v>
      </c>
      <c r="C39" s="41" t="s">
        <v>600</v>
      </c>
      <c r="D39" s="41" t="str">
        <f t="shared" ref="D39:I39" si="62">D38</f>
        <v>M » N2 - 1</v>
      </c>
      <c r="E39" s="41" t="str">
        <f t="shared" si="62"/>
        <v>YCD-EX:HUPPER TEK</v>
      </c>
      <c r="F39" s="41" t="str">
        <f t="shared" si="62"/>
        <v>MI202508130012</v>
      </c>
      <c r="G39" s="41" t="str">
        <f t="shared" si="62"/>
        <v>DE2508031-G7-MIC</v>
      </c>
      <c r="H39" s="55">
        <f t="shared" si="62"/>
        <v>45889</v>
      </c>
      <c r="I39" s="56" t="str">
        <f t="shared" si="62"/>
        <v>B076THQBHX</v>
      </c>
      <c r="J39" s="41"/>
      <c r="K39" s="57" t="str">
        <f t="shared" si="51"/>
        <v>金属储物柜71英寸灰色</v>
      </c>
      <c r="L39" s="41"/>
      <c r="M39" s="46">
        <f t="shared" si="52"/>
        <v>188</v>
      </c>
      <c r="N39" s="46">
        <f t="shared" si="53"/>
        <v>49</v>
      </c>
      <c r="O39" s="46">
        <f t="shared" si="54"/>
        <v>14</v>
      </c>
      <c r="P39" s="41">
        <f t="shared" si="0"/>
        <v>0.128968</v>
      </c>
      <c r="Q39" s="41"/>
      <c r="R39" s="46">
        <f t="shared" si="55"/>
        <v>188</v>
      </c>
      <c r="S39" s="46">
        <f t="shared" si="56"/>
        <v>49</v>
      </c>
      <c r="T39" s="46">
        <f t="shared" si="57"/>
        <v>14</v>
      </c>
      <c r="U39" s="41">
        <f t="shared" si="1"/>
        <v>0.128968</v>
      </c>
      <c r="V39" s="41"/>
      <c r="W39" s="41"/>
      <c r="X39" s="41"/>
      <c r="Y39" s="41"/>
      <c r="Z39" s="41"/>
      <c r="AA39" s="41">
        <f t="shared" si="58"/>
        <v>19</v>
      </c>
      <c r="AB39" s="41">
        <f t="shared" si="59"/>
        <v>223</v>
      </c>
      <c r="AC39" s="41">
        <f t="shared" si="60"/>
        <v>223</v>
      </c>
      <c r="AD39" s="41">
        <v>0</v>
      </c>
      <c r="AE39" s="48">
        <f t="shared" si="61"/>
        <v>218</v>
      </c>
      <c r="AF39" s="48"/>
      <c r="AG39" s="49"/>
      <c r="AH39" s="50">
        <f t="shared" si="2"/>
        <v>218</v>
      </c>
      <c r="AI39" s="41" t="s">
        <v>555</v>
      </c>
      <c r="AJ39" s="51">
        <f t="shared" si="3"/>
        <v>28.115024</v>
      </c>
      <c r="AK39" s="51">
        <f t="shared" si="4"/>
        <v>28.115024</v>
      </c>
      <c r="AL39" s="41">
        <f t="shared" si="5"/>
        <v>15</v>
      </c>
      <c r="AM39" s="41" t="str">
        <f t="shared" si="6"/>
        <v>30天内</v>
      </c>
      <c r="AN39" s="52">
        <f t="shared" si="7"/>
        <v>0</v>
      </c>
      <c r="AO39" s="41" t="s">
        <v>562</v>
      </c>
      <c r="AP39" s="53">
        <f t="shared" si="8"/>
        <v>0</v>
      </c>
      <c r="AQ39" s="16"/>
    </row>
    <row r="40" spans="1:43">
      <c r="A40" s="41">
        <v>202509</v>
      </c>
      <c r="B40" s="54">
        <v>45904</v>
      </c>
      <c r="C40" s="41" t="s">
        <v>600</v>
      </c>
      <c r="D40" s="41" t="str">
        <f t="shared" ref="D40:I40" si="63">D39</f>
        <v>M » N2 - 1</v>
      </c>
      <c r="E40" s="41" t="str">
        <f t="shared" si="63"/>
        <v>YCD-EX:HUPPER TEK</v>
      </c>
      <c r="F40" s="41" t="str">
        <f t="shared" si="63"/>
        <v>MI202508130012</v>
      </c>
      <c r="G40" s="41" t="str">
        <f t="shared" si="63"/>
        <v>DE2508031-G7-MIC</v>
      </c>
      <c r="H40" s="55">
        <f t="shared" si="63"/>
        <v>45889</v>
      </c>
      <c r="I40" s="56" t="str">
        <f t="shared" si="63"/>
        <v>B076THQBHX</v>
      </c>
      <c r="J40" s="41"/>
      <c r="K40" s="57" t="str">
        <f t="shared" si="51"/>
        <v>金属储物柜71英寸灰色</v>
      </c>
      <c r="L40" s="41"/>
      <c r="M40" s="46">
        <f t="shared" si="52"/>
        <v>188</v>
      </c>
      <c r="N40" s="46">
        <f t="shared" si="53"/>
        <v>49</v>
      </c>
      <c r="O40" s="46">
        <f t="shared" si="54"/>
        <v>14</v>
      </c>
      <c r="P40" s="41">
        <f t="shared" si="0"/>
        <v>0.128968</v>
      </c>
      <c r="Q40" s="41"/>
      <c r="R40" s="46">
        <f t="shared" si="55"/>
        <v>188</v>
      </c>
      <c r="S40" s="46">
        <f t="shared" si="56"/>
        <v>49</v>
      </c>
      <c r="T40" s="46">
        <f t="shared" si="57"/>
        <v>14</v>
      </c>
      <c r="U40" s="41">
        <f t="shared" si="1"/>
        <v>0.128968</v>
      </c>
      <c r="V40" s="41"/>
      <c r="W40" s="41"/>
      <c r="X40" s="41"/>
      <c r="Y40" s="41"/>
      <c r="Z40" s="41"/>
      <c r="AA40" s="41">
        <f t="shared" si="58"/>
        <v>19</v>
      </c>
      <c r="AB40" s="41">
        <f t="shared" si="59"/>
        <v>223</v>
      </c>
      <c r="AC40" s="41">
        <f t="shared" si="60"/>
        <v>223</v>
      </c>
      <c r="AD40" s="41">
        <v>0</v>
      </c>
      <c r="AE40" s="48">
        <f t="shared" si="61"/>
        <v>218</v>
      </c>
      <c r="AF40" s="48"/>
      <c r="AG40" s="49">
        <v>1</v>
      </c>
      <c r="AH40" s="50">
        <f t="shared" si="2"/>
        <v>217</v>
      </c>
      <c r="AI40" s="41" t="s">
        <v>555</v>
      </c>
      <c r="AJ40" s="51">
        <f t="shared" si="3"/>
        <v>27.986056</v>
      </c>
      <c r="AK40" s="51">
        <f t="shared" si="4"/>
        <v>27.986056</v>
      </c>
      <c r="AL40" s="41">
        <f t="shared" si="5"/>
        <v>16</v>
      </c>
      <c r="AM40" s="41" t="str">
        <f t="shared" si="6"/>
        <v>30天内</v>
      </c>
      <c r="AN40" s="52">
        <f t="shared" si="7"/>
        <v>0</v>
      </c>
      <c r="AO40" s="41" t="s">
        <v>562</v>
      </c>
      <c r="AP40" s="53">
        <f t="shared" si="8"/>
        <v>0</v>
      </c>
      <c r="AQ40" s="16"/>
    </row>
    <row r="41" spans="1:43">
      <c r="A41" s="41">
        <v>202509</v>
      </c>
      <c r="B41" s="54">
        <v>45905</v>
      </c>
      <c r="C41" s="41" t="s">
        <v>600</v>
      </c>
      <c r="D41" s="41" t="str">
        <f t="shared" ref="D41:I41" si="64">D40</f>
        <v>M » N2 - 1</v>
      </c>
      <c r="E41" s="41" t="str">
        <f t="shared" si="64"/>
        <v>YCD-EX:HUPPER TEK</v>
      </c>
      <c r="F41" s="41" t="str">
        <f t="shared" si="64"/>
        <v>MI202508130012</v>
      </c>
      <c r="G41" s="41" t="str">
        <f t="shared" si="64"/>
        <v>DE2508031-G7-MIC</v>
      </c>
      <c r="H41" s="55">
        <f t="shared" si="64"/>
        <v>45889</v>
      </c>
      <c r="I41" s="56" t="str">
        <f t="shared" si="64"/>
        <v>B076THQBHX</v>
      </c>
      <c r="J41" s="58"/>
      <c r="K41" s="57" t="str">
        <f t="shared" si="51"/>
        <v>金属储物柜71英寸灰色</v>
      </c>
      <c r="L41" s="41"/>
      <c r="M41" s="46">
        <f t="shared" si="52"/>
        <v>188</v>
      </c>
      <c r="N41" s="46">
        <f t="shared" si="53"/>
        <v>49</v>
      </c>
      <c r="O41" s="46">
        <f t="shared" si="54"/>
        <v>14</v>
      </c>
      <c r="P41" s="41">
        <f t="shared" si="0"/>
        <v>0.128968</v>
      </c>
      <c r="Q41" s="41"/>
      <c r="R41" s="46">
        <f t="shared" si="55"/>
        <v>188</v>
      </c>
      <c r="S41" s="46">
        <f t="shared" si="56"/>
        <v>49</v>
      </c>
      <c r="T41" s="46">
        <f t="shared" si="57"/>
        <v>14</v>
      </c>
      <c r="U41" s="41">
        <f t="shared" si="1"/>
        <v>0.128968</v>
      </c>
      <c r="V41" s="41"/>
      <c r="W41" s="41"/>
      <c r="X41" s="41"/>
      <c r="Y41" s="41"/>
      <c r="Z41" s="41"/>
      <c r="AA41" s="41">
        <f t="shared" si="58"/>
        <v>19</v>
      </c>
      <c r="AB41" s="41">
        <f t="shared" si="59"/>
        <v>223</v>
      </c>
      <c r="AC41" s="41">
        <f t="shared" si="60"/>
        <v>223</v>
      </c>
      <c r="AD41" s="41">
        <v>0</v>
      </c>
      <c r="AE41" s="48">
        <f t="shared" si="61"/>
        <v>217</v>
      </c>
      <c r="AF41" s="48"/>
      <c r="AG41" s="49"/>
      <c r="AH41" s="50">
        <f t="shared" si="2"/>
        <v>217</v>
      </c>
      <c r="AI41" s="41" t="s">
        <v>555</v>
      </c>
      <c r="AJ41" s="51">
        <f t="shared" si="3"/>
        <v>27.986056</v>
      </c>
      <c r="AK41" s="51">
        <f t="shared" si="4"/>
        <v>27.986056</v>
      </c>
      <c r="AL41" s="41">
        <f t="shared" si="5"/>
        <v>17</v>
      </c>
      <c r="AM41" s="41" t="str">
        <f t="shared" si="6"/>
        <v>30天内</v>
      </c>
      <c r="AN41" s="52">
        <f t="shared" si="7"/>
        <v>0</v>
      </c>
      <c r="AO41" s="41" t="s">
        <v>562</v>
      </c>
      <c r="AP41" s="53">
        <f t="shared" si="8"/>
        <v>0</v>
      </c>
      <c r="AQ41" s="16"/>
    </row>
    <row r="42" spans="1:43">
      <c r="A42" s="41">
        <v>202509</v>
      </c>
      <c r="B42" s="54">
        <v>45906</v>
      </c>
      <c r="C42" s="41" t="s">
        <v>600</v>
      </c>
      <c r="D42" s="41" t="str">
        <f t="shared" ref="D42:I42" si="65">D41</f>
        <v>M » N2 - 1</v>
      </c>
      <c r="E42" s="41" t="str">
        <f t="shared" si="65"/>
        <v>YCD-EX:HUPPER TEK</v>
      </c>
      <c r="F42" s="41" t="str">
        <f t="shared" si="65"/>
        <v>MI202508130012</v>
      </c>
      <c r="G42" s="41" t="str">
        <f t="shared" si="65"/>
        <v>DE2508031-G7-MIC</v>
      </c>
      <c r="H42" s="55">
        <f t="shared" si="65"/>
        <v>45889</v>
      </c>
      <c r="I42" s="56" t="str">
        <f t="shared" si="65"/>
        <v>B076THQBHX</v>
      </c>
      <c r="J42" s="41"/>
      <c r="K42" s="57" t="str">
        <f t="shared" si="51"/>
        <v>金属储物柜71英寸灰色</v>
      </c>
      <c r="L42" s="41"/>
      <c r="M42" s="46">
        <f t="shared" si="52"/>
        <v>188</v>
      </c>
      <c r="N42" s="46">
        <f t="shared" si="53"/>
        <v>49</v>
      </c>
      <c r="O42" s="46">
        <f t="shared" si="54"/>
        <v>14</v>
      </c>
      <c r="P42" s="41">
        <f t="shared" si="0"/>
        <v>0.128968</v>
      </c>
      <c r="Q42" s="41"/>
      <c r="R42" s="46">
        <f t="shared" si="55"/>
        <v>188</v>
      </c>
      <c r="S42" s="46">
        <f t="shared" si="56"/>
        <v>49</v>
      </c>
      <c r="T42" s="46">
        <f t="shared" si="57"/>
        <v>14</v>
      </c>
      <c r="U42" s="41">
        <f t="shared" si="1"/>
        <v>0.128968</v>
      </c>
      <c r="V42" s="41"/>
      <c r="W42" s="41"/>
      <c r="X42" s="41"/>
      <c r="Y42" s="41"/>
      <c r="Z42" s="41"/>
      <c r="AA42" s="41">
        <f t="shared" si="58"/>
        <v>19</v>
      </c>
      <c r="AB42" s="41">
        <f t="shared" si="59"/>
        <v>223</v>
      </c>
      <c r="AC42" s="41">
        <f t="shared" si="60"/>
        <v>223</v>
      </c>
      <c r="AD42" s="41">
        <v>0</v>
      </c>
      <c r="AE42" s="48">
        <f t="shared" si="61"/>
        <v>217</v>
      </c>
      <c r="AF42" s="48"/>
      <c r="AG42" s="49"/>
      <c r="AH42" s="50">
        <f t="shared" si="2"/>
        <v>217</v>
      </c>
      <c r="AI42" s="41" t="s">
        <v>555</v>
      </c>
      <c r="AJ42" s="51">
        <f t="shared" si="3"/>
        <v>27.986056</v>
      </c>
      <c r="AK42" s="51">
        <f t="shared" si="4"/>
        <v>27.986056</v>
      </c>
      <c r="AL42" s="41">
        <f t="shared" si="5"/>
        <v>18</v>
      </c>
      <c r="AM42" s="41" t="str">
        <f t="shared" si="6"/>
        <v>30天内</v>
      </c>
      <c r="AN42" s="52">
        <f t="shared" si="7"/>
        <v>0</v>
      </c>
      <c r="AO42" s="41" t="s">
        <v>562</v>
      </c>
      <c r="AP42" s="53">
        <f t="shared" si="8"/>
        <v>0</v>
      </c>
      <c r="AQ42" s="16"/>
    </row>
    <row r="43" spans="1:43">
      <c r="A43" s="41">
        <v>202509</v>
      </c>
      <c r="B43" s="54">
        <v>45907</v>
      </c>
      <c r="C43" s="41" t="s">
        <v>600</v>
      </c>
      <c r="D43" s="41" t="str">
        <f t="shared" ref="D43:I43" si="66">D42</f>
        <v>M » N2 - 1</v>
      </c>
      <c r="E43" s="41" t="str">
        <f t="shared" si="66"/>
        <v>YCD-EX:HUPPER TEK</v>
      </c>
      <c r="F43" s="41" t="str">
        <f t="shared" si="66"/>
        <v>MI202508130012</v>
      </c>
      <c r="G43" s="41" t="str">
        <f t="shared" si="66"/>
        <v>DE2508031-G7-MIC</v>
      </c>
      <c r="H43" s="55">
        <f t="shared" si="66"/>
        <v>45889</v>
      </c>
      <c r="I43" s="56" t="str">
        <f t="shared" si="66"/>
        <v>B076THQBHX</v>
      </c>
      <c r="J43" s="41"/>
      <c r="K43" s="57" t="str">
        <f t="shared" si="51"/>
        <v>金属储物柜71英寸灰色</v>
      </c>
      <c r="L43" s="41"/>
      <c r="M43" s="46">
        <f t="shared" si="52"/>
        <v>188</v>
      </c>
      <c r="N43" s="46">
        <f t="shared" si="53"/>
        <v>49</v>
      </c>
      <c r="O43" s="46">
        <f t="shared" si="54"/>
        <v>14</v>
      </c>
      <c r="P43" s="41">
        <f t="shared" si="0"/>
        <v>0.128968</v>
      </c>
      <c r="Q43" s="41"/>
      <c r="R43" s="46">
        <f t="shared" si="55"/>
        <v>188</v>
      </c>
      <c r="S43" s="46">
        <f t="shared" si="56"/>
        <v>49</v>
      </c>
      <c r="T43" s="46">
        <f t="shared" si="57"/>
        <v>14</v>
      </c>
      <c r="U43" s="41">
        <f t="shared" si="1"/>
        <v>0.128968</v>
      </c>
      <c r="V43" s="41"/>
      <c r="W43" s="41"/>
      <c r="X43" s="41"/>
      <c r="Y43" s="41"/>
      <c r="Z43" s="41"/>
      <c r="AA43" s="41">
        <f t="shared" si="58"/>
        <v>19</v>
      </c>
      <c r="AB43" s="41">
        <f t="shared" si="59"/>
        <v>223</v>
      </c>
      <c r="AC43" s="41">
        <f t="shared" si="60"/>
        <v>223</v>
      </c>
      <c r="AD43" s="41">
        <v>0</v>
      </c>
      <c r="AE43" s="48">
        <f t="shared" si="61"/>
        <v>217</v>
      </c>
      <c r="AF43" s="48"/>
      <c r="AG43" s="49"/>
      <c r="AH43" s="50">
        <f t="shared" si="2"/>
        <v>217</v>
      </c>
      <c r="AI43" s="41" t="s">
        <v>555</v>
      </c>
      <c r="AJ43" s="51">
        <f t="shared" si="3"/>
        <v>27.986056</v>
      </c>
      <c r="AK43" s="51">
        <f t="shared" si="4"/>
        <v>27.986056</v>
      </c>
      <c r="AL43" s="41">
        <f t="shared" si="5"/>
        <v>19</v>
      </c>
      <c r="AM43" s="41" t="str">
        <f t="shared" si="6"/>
        <v>30天内</v>
      </c>
      <c r="AN43" s="52">
        <f t="shared" si="7"/>
        <v>0</v>
      </c>
      <c r="AO43" s="41" t="s">
        <v>562</v>
      </c>
      <c r="AP43" s="53">
        <f t="shared" si="8"/>
        <v>0</v>
      </c>
      <c r="AQ43" s="16"/>
    </row>
    <row r="44" spans="1:43">
      <c r="A44" s="41">
        <v>202509</v>
      </c>
      <c r="B44" s="54">
        <v>45908</v>
      </c>
      <c r="C44" s="41" t="s">
        <v>600</v>
      </c>
      <c r="D44" s="41" t="str">
        <f t="shared" ref="D44:I44" si="67">D43</f>
        <v>M » N2 - 1</v>
      </c>
      <c r="E44" s="41" t="str">
        <f t="shared" si="67"/>
        <v>YCD-EX:HUPPER TEK</v>
      </c>
      <c r="F44" s="41" t="str">
        <f t="shared" si="67"/>
        <v>MI202508130012</v>
      </c>
      <c r="G44" s="41" t="str">
        <f t="shared" si="67"/>
        <v>DE2508031-G7-MIC</v>
      </c>
      <c r="H44" s="55">
        <f t="shared" si="67"/>
        <v>45889</v>
      </c>
      <c r="I44" s="56" t="str">
        <f t="shared" si="67"/>
        <v>B076THQBHX</v>
      </c>
      <c r="J44" s="41"/>
      <c r="K44" s="57" t="str">
        <f t="shared" si="51"/>
        <v>金属储物柜71英寸灰色</v>
      </c>
      <c r="L44" s="41"/>
      <c r="M44" s="46">
        <f t="shared" si="52"/>
        <v>188</v>
      </c>
      <c r="N44" s="46">
        <f t="shared" si="53"/>
        <v>49</v>
      </c>
      <c r="O44" s="46">
        <f t="shared" si="54"/>
        <v>14</v>
      </c>
      <c r="P44" s="41">
        <f t="shared" si="0"/>
        <v>0.128968</v>
      </c>
      <c r="Q44" s="41"/>
      <c r="R44" s="46">
        <f t="shared" si="55"/>
        <v>188</v>
      </c>
      <c r="S44" s="46">
        <f t="shared" si="56"/>
        <v>49</v>
      </c>
      <c r="T44" s="46">
        <f t="shared" si="57"/>
        <v>14</v>
      </c>
      <c r="U44" s="41">
        <f t="shared" si="1"/>
        <v>0.128968</v>
      </c>
      <c r="V44" s="41"/>
      <c r="W44" s="41"/>
      <c r="X44" s="41"/>
      <c r="Y44" s="41"/>
      <c r="Z44" s="41"/>
      <c r="AA44" s="41">
        <f t="shared" si="58"/>
        <v>19</v>
      </c>
      <c r="AB44" s="41">
        <f t="shared" si="59"/>
        <v>223</v>
      </c>
      <c r="AC44" s="41">
        <f t="shared" si="60"/>
        <v>223</v>
      </c>
      <c r="AD44" s="41">
        <v>0</v>
      </c>
      <c r="AE44" s="48">
        <f t="shared" si="61"/>
        <v>217</v>
      </c>
      <c r="AF44" s="48"/>
      <c r="AG44" s="49"/>
      <c r="AH44" s="50">
        <f t="shared" si="2"/>
        <v>217</v>
      </c>
      <c r="AI44" s="41" t="s">
        <v>555</v>
      </c>
      <c r="AJ44" s="51">
        <f t="shared" si="3"/>
        <v>27.986056</v>
      </c>
      <c r="AK44" s="51">
        <f t="shared" si="4"/>
        <v>27.986056</v>
      </c>
      <c r="AL44" s="41">
        <f t="shared" si="5"/>
        <v>20</v>
      </c>
      <c r="AM44" s="41" t="str">
        <f t="shared" si="6"/>
        <v>30天内</v>
      </c>
      <c r="AN44" s="52">
        <f t="shared" si="7"/>
        <v>0</v>
      </c>
      <c r="AO44" s="41" t="s">
        <v>562</v>
      </c>
      <c r="AP44" s="53">
        <f t="shared" si="8"/>
        <v>0</v>
      </c>
      <c r="AQ44" s="16"/>
    </row>
    <row r="45" spans="1:43">
      <c r="A45" s="41">
        <v>202509</v>
      </c>
      <c r="B45" s="54">
        <v>45909</v>
      </c>
      <c r="C45" s="41" t="s">
        <v>600</v>
      </c>
      <c r="D45" s="41" t="str">
        <f t="shared" ref="D45:I45" si="68">D44</f>
        <v>M » N2 - 1</v>
      </c>
      <c r="E45" s="41" t="str">
        <f t="shared" si="68"/>
        <v>YCD-EX:HUPPER TEK</v>
      </c>
      <c r="F45" s="41" t="str">
        <f t="shared" si="68"/>
        <v>MI202508130012</v>
      </c>
      <c r="G45" s="41" t="str">
        <f t="shared" si="68"/>
        <v>DE2508031-G7-MIC</v>
      </c>
      <c r="H45" s="55">
        <f t="shared" si="68"/>
        <v>45889</v>
      </c>
      <c r="I45" s="56" t="str">
        <f t="shared" si="68"/>
        <v>B076THQBHX</v>
      </c>
      <c r="J45" s="41"/>
      <c r="K45" s="57" t="str">
        <f t="shared" si="51"/>
        <v>金属储物柜71英寸灰色</v>
      </c>
      <c r="L45" s="41"/>
      <c r="M45" s="46">
        <f t="shared" si="52"/>
        <v>188</v>
      </c>
      <c r="N45" s="46">
        <f t="shared" si="53"/>
        <v>49</v>
      </c>
      <c r="O45" s="46">
        <f t="shared" si="54"/>
        <v>14</v>
      </c>
      <c r="P45" s="41">
        <f t="shared" si="0"/>
        <v>0.128968</v>
      </c>
      <c r="Q45" s="41"/>
      <c r="R45" s="46">
        <f t="shared" si="55"/>
        <v>188</v>
      </c>
      <c r="S45" s="46">
        <f t="shared" si="56"/>
        <v>49</v>
      </c>
      <c r="T45" s="46">
        <f t="shared" si="57"/>
        <v>14</v>
      </c>
      <c r="U45" s="41">
        <f t="shared" si="1"/>
        <v>0.128968</v>
      </c>
      <c r="V45" s="41"/>
      <c r="W45" s="41"/>
      <c r="X45" s="41"/>
      <c r="Y45" s="41"/>
      <c r="Z45" s="41"/>
      <c r="AA45" s="41">
        <f t="shared" si="58"/>
        <v>19</v>
      </c>
      <c r="AB45" s="41">
        <f t="shared" si="59"/>
        <v>223</v>
      </c>
      <c r="AC45" s="41">
        <f t="shared" si="60"/>
        <v>223</v>
      </c>
      <c r="AD45" s="41">
        <v>0</v>
      </c>
      <c r="AE45" s="48">
        <f t="shared" si="61"/>
        <v>217</v>
      </c>
      <c r="AF45" s="48"/>
      <c r="AG45" s="49"/>
      <c r="AH45" s="50">
        <f t="shared" si="2"/>
        <v>217</v>
      </c>
      <c r="AI45" s="41" t="s">
        <v>555</v>
      </c>
      <c r="AJ45" s="51">
        <f t="shared" si="3"/>
        <v>27.986056</v>
      </c>
      <c r="AK45" s="51">
        <f t="shared" si="4"/>
        <v>27.986056</v>
      </c>
      <c r="AL45" s="41">
        <f t="shared" si="5"/>
        <v>21</v>
      </c>
      <c r="AM45" s="41" t="str">
        <f t="shared" si="6"/>
        <v>30天内</v>
      </c>
      <c r="AN45" s="52">
        <f t="shared" si="7"/>
        <v>0</v>
      </c>
      <c r="AO45" s="41" t="s">
        <v>562</v>
      </c>
      <c r="AP45" s="53">
        <f t="shared" si="8"/>
        <v>0</v>
      </c>
      <c r="AQ45" s="16"/>
    </row>
    <row r="46" spans="1:43">
      <c r="A46" s="41">
        <v>202509</v>
      </c>
      <c r="B46" s="54">
        <v>45910</v>
      </c>
      <c r="C46" s="41" t="s">
        <v>600</v>
      </c>
      <c r="D46" s="41" t="str">
        <f t="shared" ref="D46:I46" si="69">D45</f>
        <v>M » N2 - 1</v>
      </c>
      <c r="E46" s="41" t="str">
        <f t="shared" si="69"/>
        <v>YCD-EX:HUPPER TEK</v>
      </c>
      <c r="F46" s="41" t="str">
        <f t="shared" si="69"/>
        <v>MI202508130012</v>
      </c>
      <c r="G46" s="41" t="str">
        <f t="shared" si="69"/>
        <v>DE2508031-G7-MIC</v>
      </c>
      <c r="H46" s="55">
        <f t="shared" si="69"/>
        <v>45889</v>
      </c>
      <c r="I46" s="56" t="str">
        <f t="shared" si="69"/>
        <v>B076THQBHX</v>
      </c>
      <c r="J46" s="41"/>
      <c r="K46" s="57" t="str">
        <f t="shared" si="51"/>
        <v>金属储物柜71英寸灰色</v>
      </c>
      <c r="L46" s="41"/>
      <c r="M46" s="46">
        <f t="shared" si="52"/>
        <v>188</v>
      </c>
      <c r="N46" s="46">
        <f t="shared" si="53"/>
        <v>49</v>
      </c>
      <c r="O46" s="46">
        <f t="shared" si="54"/>
        <v>14</v>
      </c>
      <c r="P46" s="41">
        <f t="shared" si="0"/>
        <v>0.128968</v>
      </c>
      <c r="Q46" s="41"/>
      <c r="R46" s="46">
        <f t="shared" si="55"/>
        <v>188</v>
      </c>
      <c r="S46" s="46">
        <f t="shared" si="56"/>
        <v>49</v>
      </c>
      <c r="T46" s="46">
        <f t="shared" si="57"/>
        <v>14</v>
      </c>
      <c r="U46" s="41">
        <f t="shared" si="1"/>
        <v>0.128968</v>
      </c>
      <c r="V46" s="41"/>
      <c r="W46" s="41"/>
      <c r="X46" s="41"/>
      <c r="Y46" s="41"/>
      <c r="Z46" s="41"/>
      <c r="AA46" s="41">
        <f t="shared" si="58"/>
        <v>19</v>
      </c>
      <c r="AB46" s="41">
        <f t="shared" si="59"/>
        <v>223</v>
      </c>
      <c r="AC46" s="41">
        <f t="shared" si="60"/>
        <v>223</v>
      </c>
      <c r="AD46" s="41">
        <v>0</v>
      </c>
      <c r="AE46" s="48">
        <f t="shared" si="61"/>
        <v>217</v>
      </c>
      <c r="AF46" s="48"/>
      <c r="AG46" s="49"/>
      <c r="AH46" s="50">
        <f t="shared" si="2"/>
        <v>217</v>
      </c>
      <c r="AI46" s="41" t="s">
        <v>555</v>
      </c>
      <c r="AJ46" s="51">
        <f t="shared" si="3"/>
        <v>27.986056</v>
      </c>
      <c r="AK46" s="51">
        <f t="shared" si="4"/>
        <v>27.986056</v>
      </c>
      <c r="AL46" s="41">
        <f t="shared" si="5"/>
        <v>22</v>
      </c>
      <c r="AM46" s="41" t="str">
        <f t="shared" si="6"/>
        <v>30天内</v>
      </c>
      <c r="AN46" s="52">
        <f t="shared" si="7"/>
        <v>0</v>
      </c>
      <c r="AO46" s="41" t="s">
        <v>562</v>
      </c>
      <c r="AP46" s="53">
        <f t="shared" si="8"/>
        <v>0</v>
      </c>
      <c r="AQ46" s="16"/>
    </row>
    <row r="47" spans="1:43">
      <c r="A47" s="41">
        <v>202509</v>
      </c>
      <c r="B47" s="54">
        <v>45911</v>
      </c>
      <c r="C47" s="41" t="s">
        <v>600</v>
      </c>
      <c r="D47" s="41" t="str">
        <f t="shared" ref="D47:I47" si="70">D46</f>
        <v>M » N2 - 1</v>
      </c>
      <c r="E47" s="41" t="str">
        <f t="shared" si="70"/>
        <v>YCD-EX:HUPPER TEK</v>
      </c>
      <c r="F47" s="41" t="str">
        <f t="shared" si="70"/>
        <v>MI202508130012</v>
      </c>
      <c r="G47" s="41" t="str">
        <f t="shared" si="70"/>
        <v>DE2508031-G7-MIC</v>
      </c>
      <c r="H47" s="55">
        <f t="shared" si="70"/>
        <v>45889</v>
      </c>
      <c r="I47" s="56" t="str">
        <f t="shared" si="70"/>
        <v>B076THQBHX</v>
      </c>
      <c r="J47" s="41"/>
      <c r="K47" s="57" t="str">
        <f t="shared" si="51"/>
        <v>金属储物柜71英寸灰色</v>
      </c>
      <c r="L47" s="41"/>
      <c r="M47" s="46">
        <f t="shared" si="52"/>
        <v>188</v>
      </c>
      <c r="N47" s="46">
        <f t="shared" si="53"/>
        <v>49</v>
      </c>
      <c r="O47" s="46">
        <f t="shared" si="54"/>
        <v>14</v>
      </c>
      <c r="P47" s="41">
        <f t="shared" si="0"/>
        <v>0.128968</v>
      </c>
      <c r="Q47" s="41"/>
      <c r="R47" s="46">
        <f t="shared" si="55"/>
        <v>188</v>
      </c>
      <c r="S47" s="46">
        <f t="shared" si="56"/>
        <v>49</v>
      </c>
      <c r="T47" s="46">
        <f t="shared" si="57"/>
        <v>14</v>
      </c>
      <c r="U47" s="41">
        <f t="shared" si="1"/>
        <v>0.128968</v>
      </c>
      <c r="V47" s="41"/>
      <c r="W47" s="41"/>
      <c r="X47" s="41"/>
      <c r="Y47" s="41"/>
      <c r="Z47" s="41"/>
      <c r="AA47" s="41">
        <f t="shared" si="58"/>
        <v>19</v>
      </c>
      <c r="AB47" s="41">
        <f t="shared" si="59"/>
        <v>223</v>
      </c>
      <c r="AC47" s="41">
        <f t="shared" si="60"/>
        <v>223</v>
      </c>
      <c r="AD47" s="41">
        <v>0</v>
      </c>
      <c r="AE47" s="48">
        <f t="shared" si="61"/>
        <v>217</v>
      </c>
      <c r="AF47" s="48"/>
      <c r="AG47" s="49"/>
      <c r="AH47" s="50">
        <f t="shared" si="2"/>
        <v>217</v>
      </c>
      <c r="AI47" s="41" t="s">
        <v>555</v>
      </c>
      <c r="AJ47" s="51">
        <f t="shared" si="3"/>
        <v>27.986056</v>
      </c>
      <c r="AK47" s="51">
        <f t="shared" si="4"/>
        <v>27.986056</v>
      </c>
      <c r="AL47" s="41">
        <f t="shared" si="5"/>
        <v>23</v>
      </c>
      <c r="AM47" s="41" t="str">
        <f t="shared" si="6"/>
        <v>30天内</v>
      </c>
      <c r="AN47" s="52">
        <f t="shared" si="7"/>
        <v>0</v>
      </c>
      <c r="AO47" s="41" t="s">
        <v>562</v>
      </c>
      <c r="AP47" s="53">
        <f t="shared" si="8"/>
        <v>0</v>
      </c>
      <c r="AQ47" s="16"/>
    </row>
    <row r="48" spans="1:43">
      <c r="A48" s="41">
        <v>202509</v>
      </c>
      <c r="B48" s="54">
        <v>45912</v>
      </c>
      <c r="C48" s="41" t="s">
        <v>600</v>
      </c>
      <c r="D48" s="41" t="str">
        <f t="shared" ref="D48:I48" si="71">D47</f>
        <v>M » N2 - 1</v>
      </c>
      <c r="E48" s="41" t="str">
        <f t="shared" si="71"/>
        <v>YCD-EX:HUPPER TEK</v>
      </c>
      <c r="F48" s="41" t="str">
        <f t="shared" si="71"/>
        <v>MI202508130012</v>
      </c>
      <c r="G48" s="41" t="str">
        <f t="shared" si="71"/>
        <v>DE2508031-G7-MIC</v>
      </c>
      <c r="H48" s="55">
        <f t="shared" si="71"/>
        <v>45889</v>
      </c>
      <c r="I48" s="56" t="str">
        <f t="shared" si="71"/>
        <v>B076THQBHX</v>
      </c>
      <c r="J48" s="41"/>
      <c r="K48" s="57" t="str">
        <f t="shared" si="51"/>
        <v>金属储物柜71英寸灰色</v>
      </c>
      <c r="L48" s="41"/>
      <c r="M48" s="46">
        <f t="shared" si="52"/>
        <v>188</v>
      </c>
      <c r="N48" s="46">
        <f t="shared" si="53"/>
        <v>49</v>
      </c>
      <c r="O48" s="46">
        <f t="shared" si="54"/>
        <v>14</v>
      </c>
      <c r="P48" s="41">
        <f t="shared" si="0"/>
        <v>0.128968</v>
      </c>
      <c r="Q48" s="41"/>
      <c r="R48" s="46">
        <f t="shared" si="55"/>
        <v>188</v>
      </c>
      <c r="S48" s="46">
        <f t="shared" si="56"/>
        <v>49</v>
      </c>
      <c r="T48" s="46">
        <f t="shared" si="57"/>
        <v>14</v>
      </c>
      <c r="U48" s="41">
        <f t="shared" si="1"/>
        <v>0.128968</v>
      </c>
      <c r="V48" s="41"/>
      <c r="W48" s="41"/>
      <c r="X48" s="41"/>
      <c r="Y48" s="41"/>
      <c r="Z48" s="41"/>
      <c r="AA48" s="41">
        <f t="shared" si="58"/>
        <v>19</v>
      </c>
      <c r="AB48" s="41">
        <f t="shared" si="59"/>
        <v>223</v>
      </c>
      <c r="AC48" s="41">
        <f t="shared" si="60"/>
        <v>223</v>
      </c>
      <c r="AD48" s="41">
        <v>0</v>
      </c>
      <c r="AE48" s="48">
        <f t="shared" si="61"/>
        <v>217</v>
      </c>
      <c r="AF48" s="48"/>
      <c r="AG48" s="49"/>
      <c r="AH48" s="50">
        <f t="shared" si="2"/>
        <v>217</v>
      </c>
      <c r="AI48" s="41" t="s">
        <v>555</v>
      </c>
      <c r="AJ48" s="51">
        <f t="shared" si="3"/>
        <v>27.986056</v>
      </c>
      <c r="AK48" s="51">
        <f t="shared" si="4"/>
        <v>27.986056</v>
      </c>
      <c r="AL48" s="41">
        <f t="shared" si="5"/>
        <v>24</v>
      </c>
      <c r="AM48" s="41" t="str">
        <f t="shared" si="6"/>
        <v>30天内</v>
      </c>
      <c r="AN48" s="52">
        <f t="shared" si="7"/>
        <v>0</v>
      </c>
      <c r="AO48" s="41" t="s">
        <v>562</v>
      </c>
      <c r="AP48" s="53">
        <f t="shared" si="8"/>
        <v>0</v>
      </c>
      <c r="AQ48" s="16"/>
    </row>
    <row r="49" spans="1:43">
      <c r="A49" s="41">
        <v>202509</v>
      </c>
      <c r="B49" s="54">
        <v>45913</v>
      </c>
      <c r="C49" s="41" t="s">
        <v>600</v>
      </c>
      <c r="D49" s="41" t="str">
        <f t="shared" ref="D49:I49" si="72">D48</f>
        <v>M » N2 - 1</v>
      </c>
      <c r="E49" s="41" t="str">
        <f t="shared" si="72"/>
        <v>YCD-EX:HUPPER TEK</v>
      </c>
      <c r="F49" s="41" t="str">
        <f t="shared" si="72"/>
        <v>MI202508130012</v>
      </c>
      <c r="G49" s="41" t="str">
        <f t="shared" si="72"/>
        <v>DE2508031-G7-MIC</v>
      </c>
      <c r="H49" s="55">
        <f t="shared" si="72"/>
        <v>45889</v>
      </c>
      <c r="I49" s="56" t="str">
        <f t="shared" si="72"/>
        <v>B076THQBHX</v>
      </c>
      <c r="J49" s="41"/>
      <c r="K49" s="57" t="str">
        <f t="shared" si="51"/>
        <v>金属储物柜71英寸灰色</v>
      </c>
      <c r="L49" s="41"/>
      <c r="M49" s="46">
        <f t="shared" si="52"/>
        <v>188</v>
      </c>
      <c r="N49" s="46">
        <f t="shared" si="53"/>
        <v>49</v>
      </c>
      <c r="O49" s="46">
        <f t="shared" si="54"/>
        <v>14</v>
      </c>
      <c r="P49" s="41">
        <f t="shared" si="0"/>
        <v>0.128968</v>
      </c>
      <c r="Q49" s="41"/>
      <c r="R49" s="46">
        <f t="shared" si="55"/>
        <v>188</v>
      </c>
      <c r="S49" s="46">
        <f t="shared" si="56"/>
        <v>49</v>
      </c>
      <c r="T49" s="46">
        <f t="shared" si="57"/>
        <v>14</v>
      </c>
      <c r="U49" s="41">
        <f t="shared" si="1"/>
        <v>0.128968</v>
      </c>
      <c r="V49" s="41"/>
      <c r="W49" s="41"/>
      <c r="X49" s="41"/>
      <c r="Y49" s="41"/>
      <c r="Z49" s="41"/>
      <c r="AA49" s="41">
        <f t="shared" si="58"/>
        <v>19</v>
      </c>
      <c r="AB49" s="41">
        <f t="shared" si="59"/>
        <v>223</v>
      </c>
      <c r="AC49" s="41">
        <f t="shared" si="60"/>
        <v>223</v>
      </c>
      <c r="AD49" s="41">
        <v>0</v>
      </c>
      <c r="AE49" s="48">
        <f t="shared" si="61"/>
        <v>217</v>
      </c>
      <c r="AF49" s="48"/>
      <c r="AG49" s="49"/>
      <c r="AH49" s="50">
        <f t="shared" si="2"/>
        <v>217</v>
      </c>
      <c r="AI49" s="41" t="s">
        <v>555</v>
      </c>
      <c r="AJ49" s="51">
        <f t="shared" si="3"/>
        <v>27.986056</v>
      </c>
      <c r="AK49" s="51">
        <f t="shared" si="4"/>
        <v>27.986056</v>
      </c>
      <c r="AL49" s="41">
        <f t="shared" si="5"/>
        <v>25</v>
      </c>
      <c r="AM49" s="41" t="str">
        <f t="shared" si="6"/>
        <v>30天内</v>
      </c>
      <c r="AN49" s="52">
        <f t="shared" si="7"/>
        <v>0</v>
      </c>
      <c r="AO49" s="41" t="s">
        <v>562</v>
      </c>
      <c r="AP49" s="53">
        <f t="shared" si="8"/>
        <v>0</v>
      </c>
      <c r="AQ49" s="16"/>
    </row>
    <row r="50" spans="1:43">
      <c r="A50" s="41">
        <v>202509</v>
      </c>
      <c r="B50" s="54">
        <v>45914</v>
      </c>
      <c r="C50" s="41" t="s">
        <v>600</v>
      </c>
      <c r="D50" s="41" t="str">
        <f t="shared" ref="D50:I50" si="73">D49</f>
        <v>M » N2 - 1</v>
      </c>
      <c r="E50" s="41" t="str">
        <f t="shared" si="73"/>
        <v>YCD-EX:HUPPER TEK</v>
      </c>
      <c r="F50" s="41" t="str">
        <f t="shared" si="73"/>
        <v>MI202508130012</v>
      </c>
      <c r="G50" s="41" t="str">
        <f t="shared" si="73"/>
        <v>DE2508031-G7-MIC</v>
      </c>
      <c r="H50" s="55">
        <f t="shared" si="73"/>
        <v>45889</v>
      </c>
      <c r="I50" s="56" t="str">
        <f t="shared" si="73"/>
        <v>B076THQBHX</v>
      </c>
      <c r="J50" s="41"/>
      <c r="K50" s="57" t="str">
        <f t="shared" si="51"/>
        <v>金属储物柜71英寸灰色</v>
      </c>
      <c r="L50" s="41"/>
      <c r="M50" s="46">
        <f t="shared" si="52"/>
        <v>188</v>
      </c>
      <c r="N50" s="46">
        <f t="shared" si="53"/>
        <v>49</v>
      </c>
      <c r="O50" s="46">
        <f t="shared" si="54"/>
        <v>14</v>
      </c>
      <c r="P50" s="41">
        <f t="shared" si="0"/>
        <v>0.128968</v>
      </c>
      <c r="Q50" s="41"/>
      <c r="R50" s="46">
        <f t="shared" si="55"/>
        <v>188</v>
      </c>
      <c r="S50" s="46">
        <f t="shared" si="56"/>
        <v>49</v>
      </c>
      <c r="T50" s="46">
        <f t="shared" si="57"/>
        <v>14</v>
      </c>
      <c r="U50" s="41">
        <f t="shared" si="1"/>
        <v>0.128968</v>
      </c>
      <c r="V50" s="41"/>
      <c r="W50" s="41"/>
      <c r="X50" s="41"/>
      <c r="Y50" s="41"/>
      <c r="Z50" s="41"/>
      <c r="AA50" s="41">
        <f t="shared" si="58"/>
        <v>19</v>
      </c>
      <c r="AB50" s="41">
        <f t="shared" si="59"/>
        <v>223</v>
      </c>
      <c r="AC50" s="41">
        <f t="shared" si="60"/>
        <v>223</v>
      </c>
      <c r="AD50" s="41">
        <v>0</v>
      </c>
      <c r="AE50" s="48">
        <f t="shared" si="61"/>
        <v>217</v>
      </c>
      <c r="AF50" s="48"/>
      <c r="AG50" s="49"/>
      <c r="AH50" s="50">
        <f t="shared" si="2"/>
        <v>217</v>
      </c>
      <c r="AI50" s="41" t="s">
        <v>555</v>
      </c>
      <c r="AJ50" s="51">
        <f t="shared" si="3"/>
        <v>27.986056</v>
      </c>
      <c r="AK50" s="51">
        <f t="shared" si="4"/>
        <v>27.986056</v>
      </c>
      <c r="AL50" s="41">
        <f t="shared" si="5"/>
        <v>26</v>
      </c>
      <c r="AM50" s="41" t="str">
        <f t="shared" si="6"/>
        <v>30天内</v>
      </c>
      <c r="AN50" s="52">
        <f t="shared" si="7"/>
        <v>0</v>
      </c>
      <c r="AO50" s="41" t="s">
        <v>562</v>
      </c>
      <c r="AP50" s="53">
        <f t="shared" si="8"/>
        <v>0</v>
      </c>
      <c r="AQ50" s="16"/>
    </row>
    <row r="51" spans="1:43">
      <c r="A51" s="41">
        <v>202509</v>
      </c>
      <c r="B51" s="54">
        <v>45915</v>
      </c>
      <c r="C51" s="41" t="s">
        <v>600</v>
      </c>
      <c r="D51" s="41" t="str">
        <f t="shared" ref="D51:I51" si="74">D50</f>
        <v>M » N2 - 1</v>
      </c>
      <c r="E51" s="41" t="str">
        <f t="shared" si="74"/>
        <v>YCD-EX:HUPPER TEK</v>
      </c>
      <c r="F51" s="41" t="str">
        <f t="shared" si="74"/>
        <v>MI202508130012</v>
      </c>
      <c r="G51" s="41" t="str">
        <f t="shared" si="74"/>
        <v>DE2508031-G7-MIC</v>
      </c>
      <c r="H51" s="55">
        <f t="shared" si="74"/>
        <v>45889</v>
      </c>
      <c r="I51" s="56" t="str">
        <f t="shared" si="74"/>
        <v>B076THQBHX</v>
      </c>
      <c r="J51" s="41"/>
      <c r="K51" s="57" t="str">
        <f t="shared" si="51"/>
        <v>金属储物柜71英寸灰色</v>
      </c>
      <c r="L51" s="41"/>
      <c r="M51" s="46">
        <f t="shared" si="52"/>
        <v>188</v>
      </c>
      <c r="N51" s="46">
        <f t="shared" si="53"/>
        <v>49</v>
      </c>
      <c r="O51" s="46">
        <f t="shared" si="54"/>
        <v>14</v>
      </c>
      <c r="P51" s="41">
        <f t="shared" si="0"/>
        <v>0.128968</v>
      </c>
      <c r="Q51" s="41"/>
      <c r="R51" s="46">
        <f t="shared" si="55"/>
        <v>188</v>
      </c>
      <c r="S51" s="46">
        <f t="shared" si="56"/>
        <v>49</v>
      </c>
      <c r="T51" s="46">
        <f t="shared" si="57"/>
        <v>14</v>
      </c>
      <c r="U51" s="41">
        <f t="shared" si="1"/>
        <v>0.128968</v>
      </c>
      <c r="V51" s="41"/>
      <c r="W51" s="41"/>
      <c r="X51" s="41"/>
      <c r="Y51" s="41"/>
      <c r="Z51" s="41"/>
      <c r="AA51" s="41">
        <f t="shared" si="58"/>
        <v>19</v>
      </c>
      <c r="AB51" s="41">
        <f t="shared" si="59"/>
        <v>223</v>
      </c>
      <c r="AC51" s="41">
        <f t="shared" si="60"/>
        <v>223</v>
      </c>
      <c r="AD51" s="41">
        <v>0</v>
      </c>
      <c r="AE51" s="48">
        <f t="shared" si="61"/>
        <v>217</v>
      </c>
      <c r="AF51" s="48"/>
      <c r="AG51" s="49">
        <v>6</v>
      </c>
      <c r="AH51" s="50">
        <f t="shared" si="2"/>
        <v>211</v>
      </c>
      <c r="AI51" s="41" t="s">
        <v>555</v>
      </c>
      <c r="AJ51" s="51">
        <f t="shared" si="3"/>
        <v>27.212248</v>
      </c>
      <c r="AK51" s="51">
        <f t="shared" si="4"/>
        <v>27.212248</v>
      </c>
      <c r="AL51" s="41">
        <f t="shared" si="5"/>
        <v>27</v>
      </c>
      <c r="AM51" s="41" t="str">
        <f t="shared" si="6"/>
        <v>30天内</v>
      </c>
      <c r="AN51" s="52">
        <f t="shared" si="7"/>
        <v>0</v>
      </c>
      <c r="AO51" s="41" t="s">
        <v>562</v>
      </c>
      <c r="AP51" s="53">
        <f t="shared" si="8"/>
        <v>0</v>
      </c>
      <c r="AQ51" s="16"/>
    </row>
    <row r="52" spans="1:43">
      <c r="A52" s="41">
        <v>202509</v>
      </c>
      <c r="B52" s="54">
        <v>45916</v>
      </c>
      <c r="C52" s="41" t="s">
        <v>600</v>
      </c>
      <c r="D52" s="41" t="str">
        <f t="shared" ref="D52:I52" si="75">D51</f>
        <v>M » N2 - 1</v>
      </c>
      <c r="E52" s="41" t="str">
        <f t="shared" si="75"/>
        <v>YCD-EX:HUPPER TEK</v>
      </c>
      <c r="F52" s="41" t="str">
        <f t="shared" si="75"/>
        <v>MI202508130012</v>
      </c>
      <c r="G52" s="41" t="str">
        <f t="shared" si="75"/>
        <v>DE2508031-G7-MIC</v>
      </c>
      <c r="H52" s="55">
        <f t="shared" si="75"/>
        <v>45889</v>
      </c>
      <c r="I52" s="56" t="str">
        <f t="shared" si="75"/>
        <v>B076THQBHX</v>
      </c>
      <c r="J52" s="41"/>
      <c r="K52" s="57" t="str">
        <f t="shared" si="51"/>
        <v>金属储物柜71英寸灰色</v>
      </c>
      <c r="L52" s="41"/>
      <c r="M52" s="46">
        <f t="shared" si="52"/>
        <v>188</v>
      </c>
      <c r="N52" s="46">
        <f t="shared" si="53"/>
        <v>49</v>
      </c>
      <c r="O52" s="46">
        <f t="shared" si="54"/>
        <v>14</v>
      </c>
      <c r="P52" s="41">
        <f t="shared" si="0"/>
        <v>0.128968</v>
      </c>
      <c r="Q52" s="41"/>
      <c r="R52" s="46">
        <f t="shared" si="55"/>
        <v>188</v>
      </c>
      <c r="S52" s="46">
        <f t="shared" si="56"/>
        <v>49</v>
      </c>
      <c r="T52" s="46">
        <f t="shared" si="57"/>
        <v>14</v>
      </c>
      <c r="U52" s="41">
        <f t="shared" si="1"/>
        <v>0.128968</v>
      </c>
      <c r="V52" s="41"/>
      <c r="W52" s="41"/>
      <c r="X52" s="41"/>
      <c r="Y52" s="41"/>
      <c r="Z52" s="41"/>
      <c r="AA52" s="41">
        <f t="shared" si="58"/>
        <v>19</v>
      </c>
      <c r="AB52" s="41">
        <f t="shared" si="59"/>
        <v>223</v>
      </c>
      <c r="AC52" s="41">
        <f t="shared" si="60"/>
        <v>223</v>
      </c>
      <c r="AD52" s="41">
        <v>0</v>
      </c>
      <c r="AE52" s="48">
        <f t="shared" si="61"/>
        <v>211</v>
      </c>
      <c r="AF52" s="48"/>
      <c r="AG52" s="49">
        <v>2</v>
      </c>
      <c r="AH52" s="50">
        <f t="shared" si="2"/>
        <v>209</v>
      </c>
      <c r="AI52" s="41" t="s">
        <v>555</v>
      </c>
      <c r="AJ52" s="51">
        <f t="shared" si="3"/>
        <v>26.954312</v>
      </c>
      <c r="AK52" s="51">
        <f t="shared" si="4"/>
        <v>26.954312</v>
      </c>
      <c r="AL52" s="41">
        <f t="shared" si="5"/>
        <v>28</v>
      </c>
      <c r="AM52" s="41" t="str">
        <f t="shared" si="6"/>
        <v>30天内</v>
      </c>
      <c r="AN52" s="52">
        <f t="shared" si="7"/>
        <v>0</v>
      </c>
      <c r="AO52" s="41" t="s">
        <v>562</v>
      </c>
      <c r="AP52" s="53">
        <f t="shared" si="8"/>
        <v>0</v>
      </c>
      <c r="AQ52" s="16"/>
    </row>
    <row r="53" spans="1:43">
      <c r="A53" s="41">
        <v>202509</v>
      </c>
      <c r="B53" s="54">
        <v>45917</v>
      </c>
      <c r="C53" s="41" t="s">
        <v>600</v>
      </c>
      <c r="D53" s="41" t="str">
        <f t="shared" ref="D53:I53" si="76">D52</f>
        <v>M » N2 - 1</v>
      </c>
      <c r="E53" s="41" t="str">
        <f t="shared" si="76"/>
        <v>YCD-EX:HUPPER TEK</v>
      </c>
      <c r="F53" s="41" t="str">
        <f t="shared" si="76"/>
        <v>MI202508130012</v>
      </c>
      <c r="G53" s="41" t="str">
        <f t="shared" si="76"/>
        <v>DE2508031-G7-MIC</v>
      </c>
      <c r="H53" s="55">
        <f t="shared" si="76"/>
        <v>45889</v>
      </c>
      <c r="I53" s="56" t="str">
        <f t="shared" si="76"/>
        <v>B076THQBHX</v>
      </c>
      <c r="J53" s="41"/>
      <c r="K53" s="57" t="str">
        <f t="shared" si="51"/>
        <v>金属储物柜71英寸灰色</v>
      </c>
      <c r="L53" s="41"/>
      <c r="M53" s="46">
        <f t="shared" si="52"/>
        <v>188</v>
      </c>
      <c r="N53" s="46">
        <f t="shared" si="53"/>
        <v>49</v>
      </c>
      <c r="O53" s="46">
        <f t="shared" si="54"/>
        <v>14</v>
      </c>
      <c r="P53" s="41">
        <f t="shared" si="0"/>
        <v>0.128968</v>
      </c>
      <c r="Q53" s="41"/>
      <c r="R53" s="46">
        <f t="shared" si="55"/>
        <v>188</v>
      </c>
      <c r="S53" s="46">
        <f t="shared" si="56"/>
        <v>49</v>
      </c>
      <c r="T53" s="46">
        <f t="shared" si="57"/>
        <v>14</v>
      </c>
      <c r="U53" s="41">
        <f t="shared" si="1"/>
        <v>0.128968</v>
      </c>
      <c r="V53" s="41"/>
      <c r="W53" s="41"/>
      <c r="X53" s="41"/>
      <c r="Y53" s="41"/>
      <c r="Z53" s="41"/>
      <c r="AA53" s="41">
        <f t="shared" si="58"/>
        <v>19</v>
      </c>
      <c r="AB53" s="41">
        <f t="shared" si="59"/>
        <v>223</v>
      </c>
      <c r="AC53" s="41">
        <f t="shared" si="60"/>
        <v>223</v>
      </c>
      <c r="AD53" s="41">
        <v>0</v>
      </c>
      <c r="AE53" s="48">
        <f t="shared" si="61"/>
        <v>209</v>
      </c>
      <c r="AF53" s="48"/>
      <c r="AG53" s="49"/>
      <c r="AH53" s="50">
        <f t="shared" si="2"/>
        <v>209</v>
      </c>
      <c r="AI53" s="41" t="s">
        <v>555</v>
      </c>
      <c r="AJ53" s="51">
        <f t="shared" si="3"/>
        <v>26.954312</v>
      </c>
      <c r="AK53" s="51">
        <f t="shared" si="4"/>
        <v>26.954312</v>
      </c>
      <c r="AL53" s="41">
        <f t="shared" si="5"/>
        <v>29</v>
      </c>
      <c r="AM53" s="41" t="str">
        <f t="shared" si="6"/>
        <v>30天内</v>
      </c>
      <c r="AN53" s="52">
        <f t="shared" si="7"/>
        <v>0</v>
      </c>
      <c r="AO53" s="41" t="s">
        <v>562</v>
      </c>
      <c r="AP53" s="53">
        <f t="shared" si="8"/>
        <v>0</v>
      </c>
      <c r="AQ53" s="16"/>
    </row>
    <row r="54" spans="1:43">
      <c r="A54" s="41">
        <v>202509</v>
      </c>
      <c r="B54" s="54">
        <v>45918</v>
      </c>
      <c r="C54" s="41" t="s">
        <v>600</v>
      </c>
      <c r="D54" s="41" t="str">
        <f t="shared" ref="D54:I54" si="77">D53</f>
        <v>M » N2 - 1</v>
      </c>
      <c r="E54" s="41" t="str">
        <f t="shared" si="77"/>
        <v>YCD-EX:HUPPER TEK</v>
      </c>
      <c r="F54" s="41" t="str">
        <f t="shared" si="77"/>
        <v>MI202508130012</v>
      </c>
      <c r="G54" s="41" t="str">
        <f t="shared" si="77"/>
        <v>DE2508031-G7-MIC</v>
      </c>
      <c r="H54" s="55">
        <f t="shared" si="77"/>
        <v>45889</v>
      </c>
      <c r="I54" s="56" t="str">
        <f t="shared" si="77"/>
        <v>B076THQBHX</v>
      </c>
      <c r="J54" s="41"/>
      <c r="K54" s="57" t="str">
        <f t="shared" si="51"/>
        <v>金属储物柜71英寸灰色</v>
      </c>
      <c r="L54" s="41"/>
      <c r="M54" s="46">
        <f t="shared" si="52"/>
        <v>188</v>
      </c>
      <c r="N54" s="46">
        <f t="shared" si="53"/>
        <v>49</v>
      </c>
      <c r="O54" s="46">
        <f t="shared" si="54"/>
        <v>14</v>
      </c>
      <c r="P54" s="41">
        <f t="shared" si="0"/>
        <v>0.128968</v>
      </c>
      <c r="Q54" s="41"/>
      <c r="R54" s="46">
        <f t="shared" si="55"/>
        <v>188</v>
      </c>
      <c r="S54" s="46">
        <f t="shared" si="56"/>
        <v>49</v>
      </c>
      <c r="T54" s="46">
        <f t="shared" si="57"/>
        <v>14</v>
      </c>
      <c r="U54" s="41">
        <f t="shared" si="1"/>
        <v>0.128968</v>
      </c>
      <c r="V54" s="41"/>
      <c r="W54" s="41"/>
      <c r="X54" s="41"/>
      <c r="Y54" s="41"/>
      <c r="Z54" s="41"/>
      <c r="AA54" s="41">
        <f t="shared" si="58"/>
        <v>19</v>
      </c>
      <c r="AB54" s="41">
        <f t="shared" si="59"/>
        <v>223</v>
      </c>
      <c r="AC54" s="41">
        <f t="shared" si="60"/>
        <v>223</v>
      </c>
      <c r="AD54" s="41">
        <v>0</v>
      </c>
      <c r="AE54" s="48">
        <f t="shared" si="61"/>
        <v>209</v>
      </c>
      <c r="AF54" s="48"/>
      <c r="AG54" s="49"/>
      <c r="AH54" s="50">
        <f t="shared" si="2"/>
        <v>209</v>
      </c>
      <c r="AI54" s="41" t="s">
        <v>555</v>
      </c>
      <c r="AJ54" s="51">
        <f t="shared" si="3"/>
        <v>26.954312</v>
      </c>
      <c r="AK54" s="51">
        <f t="shared" si="4"/>
        <v>26.954312</v>
      </c>
      <c r="AL54" s="41">
        <f t="shared" si="5"/>
        <v>30</v>
      </c>
      <c r="AM54" s="41" t="str">
        <f t="shared" si="6"/>
        <v>30天内</v>
      </c>
      <c r="AN54" s="52">
        <f t="shared" si="7"/>
        <v>0</v>
      </c>
      <c r="AO54" s="41" t="s">
        <v>562</v>
      </c>
      <c r="AP54" s="53">
        <f t="shared" si="8"/>
        <v>0</v>
      </c>
      <c r="AQ54" s="16"/>
    </row>
    <row r="55" ht="16.5" spans="1:43">
      <c r="A55" s="41">
        <v>202509</v>
      </c>
      <c r="B55" s="54">
        <v>45919</v>
      </c>
      <c r="C55" s="41" t="s">
        <v>600</v>
      </c>
      <c r="D55" s="41" t="str">
        <f t="shared" ref="D55:I55" si="78">D54</f>
        <v>M » N2 - 1</v>
      </c>
      <c r="E55" s="41" t="str">
        <f t="shared" si="78"/>
        <v>YCD-EX:HUPPER TEK</v>
      </c>
      <c r="F55" s="41" t="str">
        <f t="shared" si="78"/>
        <v>MI202508130012</v>
      </c>
      <c r="G55" s="41" t="str">
        <f t="shared" si="78"/>
        <v>DE2508031-G7-MIC</v>
      </c>
      <c r="H55" s="55">
        <f t="shared" si="78"/>
        <v>45889</v>
      </c>
      <c r="I55" s="56" t="str">
        <f t="shared" si="78"/>
        <v>B076THQBHX</v>
      </c>
      <c r="J55" s="41"/>
      <c r="K55" s="57" t="str">
        <f t="shared" si="51"/>
        <v>金属储物柜71英寸灰色</v>
      </c>
      <c r="L55" s="41"/>
      <c r="M55" s="46">
        <f t="shared" si="52"/>
        <v>188</v>
      </c>
      <c r="N55" s="46">
        <f t="shared" si="53"/>
        <v>49</v>
      </c>
      <c r="O55" s="46">
        <f t="shared" si="54"/>
        <v>14</v>
      </c>
      <c r="P55" s="41">
        <f t="shared" si="0"/>
        <v>0.128968</v>
      </c>
      <c r="Q55" s="41"/>
      <c r="R55" s="46">
        <f t="shared" si="55"/>
        <v>188</v>
      </c>
      <c r="S55" s="46">
        <f t="shared" si="56"/>
        <v>49</v>
      </c>
      <c r="T55" s="46">
        <f t="shared" si="57"/>
        <v>14</v>
      </c>
      <c r="U55" s="41">
        <f t="shared" si="1"/>
        <v>0.128968</v>
      </c>
      <c r="V55" s="41"/>
      <c r="W55" s="41"/>
      <c r="X55" s="41"/>
      <c r="Y55" s="41"/>
      <c r="Z55" s="41"/>
      <c r="AA55" s="41">
        <f t="shared" si="58"/>
        <v>19</v>
      </c>
      <c r="AB55" s="41">
        <f t="shared" si="59"/>
        <v>223</v>
      </c>
      <c r="AC55" s="41">
        <f t="shared" si="60"/>
        <v>223</v>
      </c>
      <c r="AD55" s="41">
        <v>0</v>
      </c>
      <c r="AE55" s="48">
        <f t="shared" si="61"/>
        <v>209</v>
      </c>
      <c r="AF55" s="48"/>
      <c r="AG55" s="49">
        <v>1</v>
      </c>
      <c r="AH55" s="50">
        <f t="shared" si="2"/>
        <v>208</v>
      </c>
      <c r="AI55" s="41" t="s">
        <v>555</v>
      </c>
      <c r="AJ55" s="51">
        <f t="shared" si="3"/>
        <v>26.825344</v>
      </c>
      <c r="AK55" s="51">
        <f t="shared" si="4"/>
        <v>26.825344</v>
      </c>
      <c r="AL55" s="41">
        <f t="shared" si="5"/>
        <v>31</v>
      </c>
      <c r="AM55" s="41" t="str">
        <f t="shared" si="6"/>
        <v>31-90天</v>
      </c>
      <c r="AN55" s="59">
        <v>0.7</v>
      </c>
      <c r="AO55" s="41" t="s">
        <v>562</v>
      </c>
      <c r="AP55" s="53">
        <f t="shared" si="8"/>
        <v>18.7777408</v>
      </c>
      <c r="AQ55" s="16"/>
    </row>
    <row r="56" ht="16.5" spans="1:43">
      <c r="A56" s="41">
        <v>202509</v>
      </c>
      <c r="B56" s="54">
        <v>45920</v>
      </c>
      <c r="C56" s="41" t="s">
        <v>600</v>
      </c>
      <c r="D56" s="41" t="str">
        <f t="shared" ref="D56:I56" si="79">D55</f>
        <v>M » N2 - 1</v>
      </c>
      <c r="E56" s="41" t="str">
        <f t="shared" si="79"/>
        <v>YCD-EX:HUPPER TEK</v>
      </c>
      <c r="F56" s="41" t="str">
        <f t="shared" si="79"/>
        <v>MI202508130012</v>
      </c>
      <c r="G56" s="41" t="str">
        <f t="shared" si="79"/>
        <v>DE2508031-G7-MIC</v>
      </c>
      <c r="H56" s="55">
        <f t="shared" si="79"/>
        <v>45889</v>
      </c>
      <c r="I56" s="56" t="str">
        <f t="shared" si="79"/>
        <v>B076THQBHX</v>
      </c>
      <c r="J56" s="41"/>
      <c r="K56" s="57" t="str">
        <f t="shared" si="51"/>
        <v>金属储物柜71英寸灰色</v>
      </c>
      <c r="L56" s="41"/>
      <c r="M56" s="46">
        <f t="shared" si="52"/>
        <v>188</v>
      </c>
      <c r="N56" s="46">
        <f t="shared" si="53"/>
        <v>49</v>
      </c>
      <c r="O56" s="46">
        <f t="shared" si="54"/>
        <v>14</v>
      </c>
      <c r="P56" s="41">
        <f t="shared" si="0"/>
        <v>0.128968</v>
      </c>
      <c r="Q56" s="41"/>
      <c r="R56" s="46">
        <f t="shared" si="55"/>
        <v>188</v>
      </c>
      <c r="S56" s="46">
        <f t="shared" si="56"/>
        <v>49</v>
      </c>
      <c r="T56" s="46">
        <f t="shared" si="57"/>
        <v>14</v>
      </c>
      <c r="U56" s="41">
        <f t="shared" si="1"/>
        <v>0.128968</v>
      </c>
      <c r="V56" s="41"/>
      <c r="W56" s="41"/>
      <c r="X56" s="41"/>
      <c r="Y56" s="41"/>
      <c r="Z56" s="41"/>
      <c r="AA56" s="41">
        <f t="shared" si="58"/>
        <v>19</v>
      </c>
      <c r="AB56" s="41">
        <f t="shared" si="59"/>
        <v>223</v>
      </c>
      <c r="AC56" s="41">
        <f t="shared" si="60"/>
        <v>223</v>
      </c>
      <c r="AD56" s="41">
        <v>0</v>
      </c>
      <c r="AE56" s="48">
        <f t="shared" si="61"/>
        <v>208</v>
      </c>
      <c r="AF56" s="48"/>
      <c r="AG56" s="49"/>
      <c r="AH56" s="50">
        <f t="shared" si="2"/>
        <v>208</v>
      </c>
      <c r="AI56" s="41" t="s">
        <v>555</v>
      </c>
      <c r="AJ56" s="51">
        <f t="shared" si="3"/>
        <v>26.825344</v>
      </c>
      <c r="AK56" s="51">
        <f t="shared" si="4"/>
        <v>26.825344</v>
      </c>
      <c r="AL56" s="41">
        <f t="shared" si="5"/>
        <v>32</v>
      </c>
      <c r="AM56" s="41" t="str">
        <f t="shared" si="6"/>
        <v>31-90天</v>
      </c>
      <c r="AN56" s="59">
        <v>0.7</v>
      </c>
      <c r="AO56" s="41" t="s">
        <v>562</v>
      </c>
      <c r="AP56" s="53">
        <f t="shared" si="8"/>
        <v>18.7777408</v>
      </c>
      <c r="AQ56" s="16"/>
    </row>
    <row r="57" ht="16.5" spans="1:43">
      <c r="A57" s="41">
        <v>202509</v>
      </c>
      <c r="B57" s="54">
        <v>45921</v>
      </c>
      <c r="C57" s="41" t="s">
        <v>600</v>
      </c>
      <c r="D57" s="41" t="str">
        <f t="shared" ref="D57:I57" si="80">D56</f>
        <v>M » N2 - 1</v>
      </c>
      <c r="E57" s="41" t="str">
        <f t="shared" si="80"/>
        <v>YCD-EX:HUPPER TEK</v>
      </c>
      <c r="F57" s="41" t="str">
        <f t="shared" si="80"/>
        <v>MI202508130012</v>
      </c>
      <c r="G57" s="41" t="str">
        <f t="shared" si="80"/>
        <v>DE2508031-G7-MIC</v>
      </c>
      <c r="H57" s="55">
        <f t="shared" si="80"/>
        <v>45889</v>
      </c>
      <c r="I57" s="56" t="str">
        <f t="shared" si="80"/>
        <v>B076THQBHX</v>
      </c>
      <c r="J57" s="41"/>
      <c r="K57" s="57" t="str">
        <f t="shared" si="51"/>
        <v>金属储物柜71英寸灰色</v>
      </c>
      <c r="L57" s="41"/>
      <c r="M57" s="46">
        <f t="shared" si="52"/>
        <v>188</v>
      </c>
      <c r="N57" s="46">
        <f t="shared" si="53"/>
        <v>49</v>
      </c>
      <c r="O57" s="46">
        <f t="shared" si="54"/>
        <v>14</v>
      </c>
      <c r="P57" s="41">
        <f t="shared" si="0"/>
        <v>0.128968</v>
      </c>
      <c r="Q57" s="41"/>
      <c r="R57" s="46">
        <f t="shared" si="55"/>
        <v>188</v>
      </c>
      <c r="S57" s="46">
        <f t="shared" si="56"/>
        <v>49</v>
      </c>
      <c r="T57" s="46">
        <f t="shared" si="57"/>
        <v>14</v>
      </c>
      <c r="U57" s="41">
        <f t="shared" si="1"/>
        <v>0.128968</v>
      </c>
      <c r="V57" s="41"/>
      <c r="W57" s="41"/>
      <c r="X57" s="41"/>
      <c r="Y57" s="41"/>
      <c r="Z57" s="41"/>
      <c r="AA57" s="41">
        <f t="shared" si="58"/>
        <v>19</v>
      </c>
      <c r="AB57" s="41">
        <f t="shared" si="59"/>
        <v>223</v>
      </c>
      <c r="AC57" s="41">
        <f t="shared" si="60"/>
        <v>223</v>
      </c>
      <c r="AD57" s="41">
        <v>0</v>
      </c>
      <c r="AE57" s="48">
        <f t="shared" si="61"/>
        <v>208</v>
      </c>
      <c r="AF57" s="48"/>
      <c r="AG57" s="49"/>
      <c r="AH57" s="50">
        <f t="shared" si="2"/>
        <v>208</v>
      </c>
      <c r="AI57" s="41" t="s">
        <v>555</v>
      </c>
      <c r="AJ57" s="51">
        <f t="shared" si="3"/>
        <v>26.825344</v>
      </c>
      <c r="AK57" s="51">
        <f t="shared" si="4"/>
        <v>26.825344</v>
      </c>
      <c r="AL57" s="41">
        <f t="shared" si="5"/>
        <v>33</v>
      </c>
      <c r="AM57" s="41" t="str">
        <f t="shared" si="6"/>
        <v>31-90天</v>
      </c>
      <c r="AN57" s="59">
        <v>0.7</v>
      </c>
      <c r="AO57" s="41" t="s">
        <v>562</v>
      </c>
      <c r="AP57" s="53">
        <f t="shared" si="8"/>
        <v>18.7777408</v>
      </c>
      <c r="AQ57" s="16"/>
    </row>
    <row r="58" ht="16.5" spans="1:43">
      <c r="A58" s="41">
        <v>202509</v>
      </c>
      <c r="B58" s="54">
        <v>45922</v>
      </c>
      <c r="C58" s="41" t="s">
        <v>600</v>
      </c>
      <c r="D58" s="41" t="str">
        <f t="shared" ref="D58:I58" si="81">D57</f>
        <v>M » N2 - 1</v>
      </c>
      <c r="E58" s="41" t="str">
        <f t="shared" si="81"/>
        <v>YCD-EX:HUPPER TEK</v>
      </c>
      <c r="F58" s="41" t="str">
        <f t="shared" si="81"/>
        <v>MI202508130012</v>
      </c>
      <c r="G58" s="41" t="str">
        <f t="shared" si="81"/>
        <v>DE2508031-G7-MIC</v>
      </c>
      <c r="H58" s="55">
        <f t="shared" si="81"/>
        <v>45889</v>
      </c>
      <c r="I58" s="56" t="str">
        <f t="shared" si="81"/>
        <v>B076THQBHX</v>
      </c>
      <c r="J58" s="41"/>
      <c r="K58" s="57" t="str">
        <f t="shared" si="51"/>
        <v>金属储物柜71英寸灰色</v>
      </c>
      <c r="L58" s="41"/>
      <c r="M58" s="46">
        <f t="shared" si="52"/>
        <v>188</v>
      </c>
      <c r="N58" s="46">
        <f t="shared" si="53"/>
        <v>49</v>
      </c>
      <c r="O58" s="46">
        <f t="shared" si="54"/>
        <v>14</v>
      </c>
      <c r="P58" s="41">
        <f t="shared" si="0"/>
        <v>0.128968</v>
      </c>
      <c r="Q58" s="41"/>
      <c r="R58" s="46">
        <f t="shared" si="55"/>
        <v>188</v>
      </c>
      <c r="S58" s="46">
        <f t="shared" si="56"/>
        <v>49</v>
      </c>
      <c r="T58" s="46">
        <f t="shared" si="57"/>
        <v>14</v>
      </c>
      <c r="U58" s="41">
        <f t="shared" si="1"/>
        <v>0.128968</v>
      </c>
      <c r="V58" s="41"/>
      <c r="W58" s="41"/>
      <c r="X58" s="41"/>
      <c r="Y58" s="41"/>
      <c r="Z58" s="41"/>
      <c r="AA58" s="41">
        <f t="shared" si="58"/>
        <v>19</v>
      </c>
      <c r="AB58" s="41">
        <f t="shared" si="59"/>
        <v>223</v>
      </c>
      <c r="AC58" s="41">
        <f t="shared" si="60"/>
        <v>223</v>
      </c>
      <c r="AD58" s="41">
        <v>0</v>
      </c>
      <c r="AE58" s="48">
        <f t="shared" si="61"/>
        <v>208</v>
      </c>
      <c r="AF58" s="48"/>
      <c r="AG58" s="49">
        <v>4</v>
      </c>
      <c r="AH58" s="50">
        <f t="shared" si="2"/>
        <v>204</v>
      </c>
      <c r="AI58" s="41" t="s">
        <v>555</v>
      </c>
      <c r="AJ58" s="51">
        <f t="shared" si="3"/>
        <v>26.309472</v>
      </c>
      <c r="AK58" s="51">
        <f t="shared" si="4"/>
        <v>26.309472</v>
      </c>
      <c r="AL58" s="41">
        <f t="shared" si="5"/>
        <v>34</v>
      </c>
      <c r="AM58" s="41" t="str">
        <f t="shared" si="6"/>
        <v>31-90天</v>
      </c>
      <c r="AN58" s="59">
        <v>0.7</v>
      </c>
      <c r="AO58" s="41" t="s">
        <v>562</v>
      </c>
      <c r="AP58" s="53">
        <f t="shared" si="8"/>
        <v>18.4166304</v>
      </c>
      <c r="AQ58" s="16"/>
    </row>
    <row r="59" ht="16.5" spans="1:43">
      <c r="A59" s="41">
        <v>202509</v>
      </c>
      <c r="B59" s="54">
        <v>45923</v>
      </c>
      <c r="C59" s="41" t="s">
        <v>600</v>
      </c>
      <c r="D59" s="41" t="str">
        <f t="shared" ref="D59:I59" si="82">D58</f>
        <v>M » N2 - 1</v>
      </c>
      <c r="E59" s="41" t="str">
        <f t="shared" si="82"/>
        <v>YCD-EX:HUPPER TEK</v>
      </c>
      <c r="F59" s="41" t="str">
        <f t="shared" si="82"/>
        <v>MI202508130012</v>
      </c>
      <c r="G59" s="41" t="str">
        <f t="shared" si="82"/>
        <v>DE2508031-G7-MIC</v>
      </c>
      <c r="H59" s="55">
        <f t="shared" si="82"/>
        <v>45889</v>
      </c>
      <c r="I59" s="56" t="str">
        <f t="shared" si="82"/>
        <v>B076THQBHX</v>
      </c>
      <c r="J59" s="41"/>
      <c r="K59" s="57" t="str">
        <f t="shared" si="51"/>
        <v>金属储物柜71英寸灰色</v>
      </c>
      <c r="L59" s="41"/>
      <c r="M59" s="46">
        <f t="shared" si="52"/>
        <v>188</v>
      </c>
      <c r="N59" s="46">
        <f t="shared" si="53"/>
        <v>49</v>
      </c>
      <c r="O59" s="46">
        <f t="shared" si="54"/>
        <v>14</v>
      </c>
      <c r="P59" s="41">
        <f t="shared" si="0"/>
        <v>0.128968</v>
      </c>
      <c r="Q59" s="41"/>
      <c r="R59" s="46">
        <f t="shared" si="55"/>
        <v>188</v>
      </c>
      <c r="S59" s="46">
        <f t="shared" si="56"/>
        <v>49</v>
      </c>
      <c r="T59" s="46">
        <f t="shared" si="57"/>
        <v>14</v>
      </c>
      <c r="U59" s="41">
        <f t="shared" si="1"/>
        <v>0.128968</v>
      </c>
      <c r="V59" s="41"/>
      <c r="W59" s="41"/>
      <c r="X59" s="41"/>
      <c r="Y59" s="41"/>
      <c r="Z59" s="41"/>
      <c r="AA59" s="41">
        <f t="shared" si="58"/>
        <v>19</v>
      </c>
      <c r="AB59" s="41">
        <f t="shared" si="59"/>
        <v>223</v>
      </c>
      <c r="AC59" s="41">
        <f t="shared" si="60"/>
        <v>223</v>
      </c>
      <c r="AD59" s="41">
        <v>0</v>
      </c>
      <c r="AE59" s="48">
        <f t="shared" si="61"/>
        <v>204</v>
      </c>
      <c r="AF59" s="48"/>
      <c r="AG59" s="49">
        <v>1</v>
      </c>
      <c r="AH59" s="50">
        <f t="shared" si="2"/>
        <v>203</v>
      </c>
      <c r="AI59" s="41" t="s">
        <v>555</v>
      </c>
      <c r="AJ59" s="51">
        <f t="shared" si="3"/>
        <v>26.180504</v>
      </c>
      <c r="AK59" s="51">
        <f t="shared" si="4"/>
        <v>26.180504</v>
      </c>
      <c r="AL59" s="41">
        <f t="shared" si="5"/>
        <v>35</v>
      </c>
      <c r="AM59" s="41" t="str">
        <f t="shared" si="6"/>
        <v>31-90天</v>
      </c>
      <c r="AN59" s="59">
        <v>0.7</v>
      </c>
      <c r="AO59" s="41" t="s">
        <v>562</v>
      </c>
      <c r="AP59" s="53">
        <f t="shared" si="8"/>
        <v>18.3263528</v>
      </c>
      <c r="AQ59" s="16"/>
    </row>
    <row r="60" ht="16.5" spans="1:43">
      <c r="A60" s="41">
        <v>202509</v>
      </c>
      <c r="B60" s="54">
        <v>45924</v>
      </c>
      <c r="C60" s="41" t="s">
        <v>600</v>
      </c>
      <c r="D60" s="41" t="str">
        <f t="shared" ref="D60:I60" si="83">D59</f>
        <v>M » N2 - 1</v>
      </c>
      <c r="E60" s="41" t="str">
        <f t="shared" si="83"/>
        <v>YCD-EX:HUPPER TEK</v>
      </c>
      <c r="F60" s="41" t="str">
        <f t="shared" si="83"/>
        <v>MI202508130012</v>
      </c>
      <c r="G60" s="41" t="str">
        <f t="shared" si="83"/>
        <v>DE2508031-G7-MIC</v>
      </c>
      <c r="H60" s="55">
        <f t="shared" si="83"/>
        <v>45889</v>
      </c>
      <c r="I60" s="56" t="str">
        <f t="shared" si="83"/>
        <v>B076THQBHX</v>
      </c>
      <c r="J60" s="41"/>
      <c r="K60" s="57" t="str">
        <f t="shared" si="51"/>
        <v>金属储物柜71英寸灰色</v>
      </c>
      <c r="L60" s="41"/>
      <c r="M60" s="46">
        <f t="shared" si="52"/>
        <v>188</v>
      </c>
      <c r="N60" s="46">
        <f t="shared" si="53"/>
        <v>49</v>
      </c>
      <c r="O60" s="46">
        <f t="shared" si="54"/>
        <v>14</v>
      </c>
      <c r="P60" s="41">
        <f t="shared" si="0"/>
        <v>0.128968</v>
      </c>
      <c r="Q60" s="41"/>
      <c r="R60" s="46">
        <f t="shared" si="55"/>
        <v>188</v>
      </c>
      <c r="S60" s="46">
        <f t="shared" si="56"/>
        <v>49</v>
      </c>
      <c r="T60" s="46">
        <f t="shared" si="57"/>
        <v>14</v>
      </c>
      <c r="U60" s="41">
        <f t="shared" si="1"/>
        <v>0.128968</v>
      </c>
      <c r="V60" s="41"/>
      <c r="W60" s="41"/>
      <c r="X60" s="41"/>
      <c r="Y60" s="41"/>
      <c r="Z60" s="41"/>
      <c r="AA60" s="41">
        <f t="shared" si="58"/>
        <v>19</v>
      </c>
      <c r="AB60" s="41">
        <f t="shared" si="59"/>
        <v>223</v>
      </c>
      <c r="AC60" s="41">
        <f t="shared" si="60"/>
        <v>223</v>
      </c>
      <c r="AD60" s="41">
        <v>0</v>
      </c>
      <c r="AE60" s="48">
        <f t="shared" si="61"/>
        <v>203</v>
      </c>
      <c r="AF60" s="48"/>
      <c r="AG60" s="49"/>
      <c r="AH60" s="50">
        <f t="shared" si="2"/>
        <v>203</v>
      </c>
      <c r="AI60" s="41" t="s">
        <v>555</v>
      </c>
      <c r="AJ60" s="51">
        <f t="shared" si="3"/>
        <v>26.180504</v>
      </c>
      <c r="AK60" s="51">
        <f t="shared" si="4"/>
        <v>26.180504</v>
      </c>
      <c r="AL60" s="41">
        <f t="shared" si="5"/>
        <v>36</v>
      </c>
      <c r="AM60" s="41" t="str">
        <f t="shared" si="6"/>
        <v>31-90天</v>
      </c>
      <c r="AN60" s="59">
        <v>0.7</v>
      </c>
      <c r="AO60" s="41" t="s">
        <v>562</v>
      </c>
      <c r="AP60" s="53">
        <f t="shared" si="8"/>
        <v>18.3263528</v>
      </c>
      <c r="AQ60" s="16"/>
    </row>
    <row r="61" ht="16.5" spans="1:43">
      <c r="A61" s="41">
        <v>202509</v>
      </c>
      <c r="B61" s="54">
        <v>45925</v>
      </c>
      <c r="C61" s="41" t="s">
        <v>600</v>
      </c>
      <c r="D61" s="41" t="str">
        <f t="shared" ref="D61:I61" si="84">D60</f>
        <v>M » N2 - 1</v>
      </c>
      <c r="E61" s="41" t="str">
        <f t="shared" si="84"/>
        <v>YCD-EX:HUPPER TEK</v>
      </c>
      <c r="F61" s="41" t="str">
        <f t="shared" si="84"/>
        <v>MI202508130012</v>
      </c>
      <c r="G61" s="41" t="str">
        <f t="shared" si="84"/>
        <v>DE2508031-G7-MIC</v>
      </c>
      <c r="H61" s="55">
        <f t="shared" si="84"/>
        <v>45889</v>
      </c>
      <c r="I61" s="56" t="str">
        <f t="shared" si="84"/>
        <v>B076THQBHX</v>
      </c>
      <c r="J61" s="41"/>
      <c r="K61" s="57" t="str">
        <f t="shared" si="51"/>
        <v>金属储物柜71英寸灰色</v>
      </c>
      <c r="L61" s="41"/>
      <c r="M61" s="46">
        <f t="shared" si="52"/>
        <v>188</v>
      </c>
      <c r="N61" s="46">
        <f t="shared" si="53"/>
        <v>49</v>
      </c>
      <c r="O61" s="46">
        <f t="shared" si="54"/>
        <v>14</v>
      </c>
      <c r="P61" s="41">
        <f t="shared" si="0"/>
        <v>0.128968</v>
      </c>
      <c r="Q61" s="41"/>
      <c r="R61" s="46">
        <f t="shared" si="55"/>
        <v>188</v>
      </c>
      <c r="S61" s="46">
        <f t="shared" si="56"/>
        <v>49</v>
      </c>
      <c r="T61" s="46">
        <f t="shared" si="57"/>
        <v>14</v>
      </c>
      <c r="U61" s="41">
        <f t="shared" si="1"/>
        <v>0.128968</v>
      </c>
      <c r="V61" s="41"/>
      <c r="W61" s="41"/>
      <c r="X61" s="41"/>
      <c r="Y61" s="41"/>
      <c r="Z61" s="41"/>
      <c r="AA61" s="41">
        <f t="shared" si="58"/>
        <v>19</v>
      </c>
      <c r="AB61" s="41">
        <f t="shared" si="59"/>
        <v>223</v>
      </c>
      <c r="AC61" s="41">
        <f t="shared" si="60"/>
        <v>223</v>
      </c>
      <c r="AD61" s="41">
        <v>0</v>
      </c>
      <c r="AE61" s="48">
        <f t="shared" si="61"/>
        <v>203</v>
      </c>
      <c r="AF61" s="60"/>
      <c r="AG61" s="49"/>
      <c r="AH61" s="50">
        <f t="shared" si="2"/>
        <v>203</v>
      </c>
      <c r="AI61" s="41" t="s">
        <v>555</v>
      </c>
      <c r="AJ61" s="51">
        <f t="shared" si="3"/>
        <v>26.180504</v>
      </c>
      <c r="AK61" s="51">
        <f t="shared" si="4"/>
        <v>26.180504</v>
      </c>
      <c r="AL61" s="41">
        <f t="shared" si="5"/>
        <v>37</v>
      </c>
      <c r="AM61" s="41" t="str">
        <f t="shared" si="6"/>
        <v>31-90天</v>
      </c>
      <c r="AN61" s="59">
        <v>0.7</v>
      </c>
      <c r="AO61" s="41" t="s">
        <v>562</v>
      </c>
      <c r="AP61" s="53">
        <f t="shared" si="8"/>
        <v>18.3263528</v>
      </c>
      <c r="AQ61" s="16"/>
    </row>
    <row r="62" ht="16.5" spans="1:43">
      <c r="A62" s="41">
        <v>202509</v>
      </c>
      <c r="B62" s="54">
        <v>45926</v>
      </c>
      <c r="C62" s="41" t="s">
        <v>600</v>
      </c>
      <c r="D62" s="41" t="str">
        <f t="shared" ref="D62:I62" si="85">D61</f>
        <v>M » N2 - 1</v>
      </c>
      <c r="E62" s="41" t="str">
        <f t="shared" si="85"/>
        <v>YCD-EX:HUPPER TEK</v>
      </c>
      <c r="F62" s="41" t="str">
        <f t="shared" si="85"/>
        <v>MI202508130012</v>
      </c>
      <c r="G62" s="41" t="str">
        <f t="shared" si="85"/>
        <v>DE2508031-G7-MIC</v>
      </c>
      <c r="H62" s="55">
        <f t="shared" si="85"/>
        <v>45889</v>
      </c>
      <c r="I62" s="56" t="str">
        <f t="shared" si="85"/>
        <v>B076THQBHX</v>
      </c>
      <c r="J62" s="41"/>
      <c r="K62" s="57" t="str">
        <f t="shared" si="51"/>
        <v>金属储物柜71英寸灰色</v>
      </c>
      <c r="L62" s="41"/>
      <c r="M62" s="46">
        <f t="shared" si="52"/>
        <v>188</v>
      </c>
      <c r="N62" s="46">
        <f t="shared" si="53"/>
        <v>49</v>
      </c>
      <c r="O62" s="46">
        <f t="shared" si="54"/>
        <v>14</v>
      </c>
      <c r="P62" s="41">
        <f t="shared" si="0"/>
        <v>0.128968</v>
      </c>
      <c r="Q62" s="41"/>
      <c r="R62" s="46">
        <f t="shared" si="55"/>
        <v>188</v>
      </c>
      <c r="S62" s="46">
        <f t="shared" si="56"/>
        <v>49</v>
      </c>
      <c r="T62" s="46">
        <f t="shared" si="57"/>
        <v>14</v>
      </c>
      <c r="U62" s="41">
        <f t="shared" si="1"/>
        <v>0.128968</v>
      </c>
      <c r="V62" s="41"/>
      <c r="W62" s="41"/>
      <c r="X62" s="41"/>
      <c r="Y62" s="41"/>
      <c r="Z62" s="41"/>
      <c r="AA62" s="41">
        <f t="shared" si="58"/>
        <v>19</v>
      </c>
      <c r="AB62" s="41">
        <f t="shared" si="59"/>
        <v>223</v>
      </c>
      <c r="AC62" s="41">
        <f t="shared" si="60"/>
        <v>223</v>
      </c>
      <c r="AD62" s="41">
        <v>0</v>
      </c>
      <c r="AE62" s="48">
        <f t="shared" si="61"/>
        <v>203</v>
      </c>
      <c r="AF62" s="60"/>
      <c r="AG62" s="49"/>
      <c r="AH62" s="50">
        <f t="shared" si="2"/>
        <v>203</v>
      </c>
      <c r="AI62" s="41" t="s">
        <v>555</v>
      </c>
      <c r="AJ62" s="51">
        <f t="shared" si="3"/>
        <v>26.180504</v>
      </c>
      <c r="AK62" s="51">
        <f t="shared" si="4"/>
        <v>26.180504</v>
      </c>
      <c r="AL62" s="41">
        <f t="shared" si="5"/>
        <v>38</v>
      </c>
      <c r="AM62" s="41" t="str">
        <f t="shared" si="6"/>
        <v>31-90天</v>
      </c>
      <c r="AN62" s="59">
        <v>0.7</v>
      </c>
      <c r="AO62" s="41" t="s">
        <v>562</v>
      </c>
      <c r="AP62" s="53">
        <f t="shared" si="8"/>
        <v>18.3263528</v>
      </c>
      <c r="AQ62" s="16"/>
    </row>
    <row r="63" ht="16.5" spans="1:43">
      <c r="A63" s="41">
        <v>202509</v>
      </c>
      <c r="B63" s="54">
        <v>45927</v>
      </c>
      <c r="C63" s="41" t="s">
        <v>600</v>
      </c>
      <c r="D63" s="41" t="str">
        <f t="shared" ref="D63:I63" si="86">D62</f>
        <v>M » N2 - 1</v>
      </c>
      <c r="E63" s="41" t="str">
        <f t="shared" si="86"/>
        <v>YCD-EX:HUPPER TEK</v>
      </c>
      <c r="F63" s="41" t="str">
        <f t="shared" si="86"/>
        <v>MI202508130012</v>
      </c>
      <c r="G63" s="41" t="str">
        <f t="shared" si="86"/>
        <v>DE2508031-G7-MIC</v>
      </c>
      <c r="H63" s="55">
        <f t="shared" si="86"/>
        <v>45889</v>
      </c>
      <c r="I63" s="56" t="str">
        <f t="shared" si="86"/>
        <v>B076THQBHX</v>
      </c>
      <c r="J63" s="41"/>
      <c r="K63" s="57" t="str">
        <f t="shared" si="51"/>
        <v>金属储物柜71英寸灰色</v>
      </c>
      <c r="L63" s="41"/>
      <c r="M63" s="46">
        <f t="shared" si="52"/>
        <v>188</v>
      </c>
      <c r="N63" s="46">
        <f t="shared" si="53"/>
        <v>49</v>
      </c>
      <c r="O63" s="46">
        <f t="shared" si="54"/>
        <v>14</v>
      </c>
      <c r="P63" s="41">
        <f t="shared" si="0"/>
        <v>0.128968</v>
      </c>
      <c r="Q63" s="41"/>
      <c r="R63" s="46">
        <f t="shared" si="55"/>
        <v>188</v>
      </c>
      <c r="S63" s="46">
        <f t="shared" si="56"/>
        <v>49</v>
      </c>
      <c r="T63" s="46">
        <f t="shared" si="57"/>
        <v>14</v>
      </c>
      <c r="U63" s="41">
        <f t="shared" si="1"/>
        <v>0.128968</v>
      </c>
      <c r="V63" s="41"/>
      <c r="W63" s="41"/>
      <c r="X63" s="41"/>
      <c r="Y63" s="41"/>
      <c r="Z63" s="41"/>
      <c r="AA63" s="41">
        <f t="shared" si="58"/>
        <v>19</v>
      </c>
      <c r="AB63" s="41">
        <f t="shared" si="59"/>
        <v>223</v>
      </c>
      <c r="AC63" s="41">
        <f t="shared" si="60"/>
        <v>223</v>
      </c>
      <c r="AD63" s="41">
        <v>0</v>
      </c>
      <c r="AE63" s="48">
        <f t="shared" si="61"/>
        <v>203</v>
      </c>
      <c r="AF63" s="48"/>
      <c r="AG63" s="49"/>
      <c r="AH63" s="50">
        <f t="shared" si="2"/>
        <v>203</v>
      </c>
      <c r="AI63" s="41" t="s">
        <v>555</v>
      </c>
      <c r="AJ63" s="51">
        <f t="shared" si="3"/>
        <v>26.180504</v>
      </c>
      <c r="AK63" s="51">
        <f t="shared" si="4"/>
        <v>26.180504</v>
      </c>
      <c r="AL63" s="41">
        <f t="shared" si="5"/>
        <v>39</v>
      </c>
      <c r="AM63" s="41" t="str">
        <f t="shared" si="6"/>
        <v>31-90天</v>
      </c>
      <c r="AN63" s="59">
        <v>0.7</v>
      </c>
      <c r="AO63" s="41" t="s">
        <v>562</v>
      </c>
      <c r="AP63" s="53">
        <f t="shared" si="8"/>
        <v>18.3263528</v>
      </c>
      <c r="AQ63" s="16"/>
    </row>
    <row r="64" ht="16.5" spans="1:43">
      <c r="A64" s="41">
        <v>202509</v>
      </c>
      <c r="B64" s="54">
        <v>45928</v>
      </c>
      <c r="C64" s="41" t="s">
        <v>600</v>
      </c>
      <c r="D64" s="41" t="str">
        <f t="shared" ref="D64:I64" si="87">D63</f>
        <v>M » N2 - 1</v>
      </c>
      <c r="E64" s="41" t="str">
        <f t="shared" si="87"/>
        <v>YCD-EX:HUPPER TEK</v>
      </c>
      <c r="F64" s="41" t="str">
        <f t="shared" si="87"/>
        <v>MI202508130012</v>
      </c>
      <c r="G64" s="41" t="str">
        <f t="shared" si="87"/>
        <v>DE2508031-G7-MIC</v>
      </c>
      <c r="H64" s="55">
        <f t="shared" si="87"/>
        <v>45889</v>
      </c>
      <c r="I64" s="56" t="str">
        <f t="shared" si="87"/>
        <v>B076THQBHX</v>
      </c>
      <c r="J64" s="41"/>
      <c r="K64" s="57" t="str">
        <f t="shared" si="51"/>
        <v>金属储物柜71英寸灰色</v>
      </c>
      <c r="L64" s="41"/>
      <c r="M64" s="46">
        <f t="shared" si="52"/>
        <v>188</v>
      </c>
      <c r="N64" s="46">
        <f t="shared" si="53"/>
        <v>49</v>
      </c>
      <c r="O64" s="46">
        <f t="shared" si="54"/>
        <v>14</v>
      </c>
      <c r="P64" s="41">
        <f t="shared" si="0"/>
        <v>0.128968</v>
      </c>
      <c r="Q64" s="41"/>
      <c r="R64" s="46">
        <f t="shared" si="55"/>
        <v>188</v>
      </c>
      <c r="S64" s="46">
        <f t="shared" si="56"/>
        <v>49</v>
      </c>
      <c r="T64" s="46">
        <f t="shared" si="57"/>
        <v>14</v>
      </c>
      <c r="U64" s="41">
        <f t="shared" si="1"/>
        <v>0.128968</v>
      </c>
      <c r="V64" s="41"/>
      <c r="W64" s="41"/>
      <c r="X64" s="41"/>
      <c r="Y64" s="41"/>
      <c r="Z64" s="41"/>
      <c r="AA64" s="41">
        <f t="shared" si="58"/>
        <v>19</v>
      </c>
      <c r="AB64" s="41">
        <f t="shared" si="59"/>
        <v>223</v>
      </c>
      <c r="AC64" s="41">
        <f t="shared" si="60"/>
        <v>223</v>
      </c>
      <c r="AD64" s="41">
        <v>0</v>
      </c>
      <c r="AE64" s="48">
        <f t="shared" si="61"/>
        <v>203</v>
      </c>
      <c r="AF64" s="48"/>
      <c r="AG64" s="49"/>
      <c r="AH64" s="50">
        <f t="shared" si="2"/>
        <v>203</v>
      </c>
      <c r="AI64" s="41" t="s">
        <v>555</v>
      </c>
      <c r="AJ64" s="51">
        <f t="shared" si="3"/>
        <v>26.180504</v>
      </c>
      <c r="AK64" s="51">
        <f t="shared" si="4"/>
        <v>26.180504</v>
      </c>
      <c r="AL64" s="41">
        <f t="shared" si="5"/>
        <v>40</v>
      </c>
      <c r="AM64" s="41" t="str">
        <f t="shared" si="6"/>
        <v>31-90天</v>
      </c>
      <c r="AN64" s="59">
        <v>0.7</v>
      </c>
      <c r="AO64" s="41" t="s">
        <v>562</v>
      </c>
      <c r="AP64" s="53">
        <f t="shared" si="8"/>
        <v>18.3263528</v>
      </c>
      <c r="AQ64" s="16"/>
    </row>
    <row r="65" ht="16.5" spans="1:43">
      <c r="A65" s="41">
        <v>202509</v>
      </c>
      <c r="B65" s="54">
        <v>45929</v>
      </c>
      <c r="C65" s="41" t="s">
        <v>600</v>
      </c>
      <c r="D65" s="41" t="str">
        <f t="shared" ref="D65:I65" si="88">D64</f>
        <v>M » N2 - 1</v>
      </c>
      <c r="E65" s="41" t="str">
        <f t="shared" si="88"/>
        <v>YCD-EX:HUPPER TEK</v>
      </c>
      <c r="F65" s="41" t="str">
        <f t="shared" si="88"/>
        <v>MI202508130012</v>
      </c>
      <c r="G65" s="41" t="str">
        <f t="shared" si="88"/>
        <v>DE2508031-G7-MIC</v>
      </c>
      <c r="H65" s="55">
        <f t="shared" si="88"/>
        <v>45889</v>
      </c>
      <c r="I65" s="56" t="str">
        <f t="shared" si="88"/>
        <v>B076THQBHX</v>
      </c>
      <c r="J65" s="41"/>
      <c r="K65" s="57" t="str">
        <f t="shared" si="51"/>
        <v>金属储物柜71英寸灰色</v>
      </c>
      <c r="L65" s="41"/>
      <c r="M65" s="46">
        <f t="shared" si="52"/>
        <v>188</v>
      </c>
      <c r="N65" s="46">
        <f t="shared" si="53"/>
        <v>49</v>
      </c>
      <c r="O65" s="46">
        <f t="shared" si="54"/>
        <v>14</v>
      </c>
      <c r="P65" s="41">
        <f t="shared" si="0"/>
        <v>0.128968</v>
      </c>
      <c r="Q65" s="41"/>
      <c r="R65" s="46">
        <f t="shared" si="55"/>
        <v>188</v>
      </c>
      <c r="S65" s="46">
        <f t="shared" si="56"/>
        <v>49</v>
      </c>
      <c r="T65" s="46">
        <f t="shared" si="57"/>
        <v>14</v>
      </c>
      <c r="U65" s="41">
        <f t="shared" si="1"/>
        <v>0.128968</v>
      </c>
      <c r="V65" s="41"/>
      <c r="W65" s="41"/>
      <c r="X65" s="41"/>
      <c r="Y65" s="41"/>
      <c r="Z65" s="41"/>
      <c r="AA65" s="41">
        <f t="shared" si="58"/>
        <v>19</v>
      </c>
      <c r="AB65" s="41">
        <f t="shared" si="59"/>
        <v>223</v>
      </c>
      <c r="AC65" s="41">
        <f t="shared" si="60"/>
        <v>223</v>
      </c>
      <c r="AD65" s="41">
        <v>0</v>
      </c>
      <c r="AE65" s="48">
        <f t="shared" si="61"/>
        <v>203</v>
      </c>
      <c r="AF65" s="48"/>
      <c r="AG65" s="49">
        <v>72</v>
      </c>
      <c r="AH65" s="50">
        <f t="shared" si="2"/>
        <v>131</v>
      </c>
      <c r="AI65" s="41" t="s">
        <v>555</v>
      </c>
      <c r="AJ65" s="51">
        <f t="shared" si="3"/>
        <v>16.894808</v>
      </c>
      <c r="AK65" s="51">
        <f t="shared" si="4"/>
        <v>16.894808</v>
      </c>
      <c r="AL65" s="41">
        <f t="shared" si="5"/>
        <v>41</v>
      </c>
      <c r="AM65" s="41" t="str">
        <f t="shared" si="6"/>
        <v>31-90天</v>
      </c>
      <c r="AN65" s="59">
        <v>0.7</v>
      </c>
      <c r="AO65" s="41" t="s">
        <v>562</v>
      </c>
      <c r="AP65" s="53">
        <f t="shared" si="8"/>
        <v>11.8263656</v>
      </c>
      <c r="AQ65" s="16"/>
    </row>
    <row r="66" ht="16.5" spans="1:43">
      <c r="A66" s="41">
        <v>202509</v>
      </c>
      <c r="B66" s="54">
        <v>45930</v>
      </c>
      <c r="C66" s="41" t="s">
        <v>600</v>
      </c>
      <c r="D66" s="41" t="str">
        <f t="shared" ref="D66:I66" si="89">D65</f>
        <v>M » N2 - 1</v>
      </c>
      <c r="E66" s="41" t="str">
        <f t="shared" si="89"/>
        <v>YCD-EX:HUPPER TEK</v>
      </c>
      <c r="F66" s="41" t="str">
        <f t="shared" si="89"/>
        <v>MI202508130012</v>
      </c>
      <c r="G66" s="41" t="str">
        <f t="shared" si="89"/>
        <v>DE2508031-G7-MIC</v>
      </c>
      <c r="H66" s="55">
        <f t="shared" si="89"/>
        <v>45889</v>
      </c>
      <c r="I66" s="56" t="str">
        <f t="shared" si="89"/>
        <v>B076THQBHX</v>
      </c>
      <c r="J66" s="41"/>
      <c r="K66" s="57" t="str">
        <f t="shared" si="51"/>
        <v>金属储物柜71英寸灰色</v>
      </c>
      <c r="L66" s="41"/>
      <c r="M66" s="46">
        <f t="shared" si="52"/>
        <v>188</v>
      </c>
      <c r="N66" s="46">
        <f t="shared" si="53"/>
        <v>49</v>
      </c>
      <c r="O66" s="46">
        <f t="shared" si="54"/>
        <v>14</v>
      </c>
      <c r="P66" s="41">
        <f t="shared" si="0"/>
        <v>0.128968</v>
      </c>
      <c r="Q66" s="41"/>
      <c r="R66" s="46">
        <f t="shared" si="55"/>
        <v>188</v>
      </c>
      <c r="S66" s="46">
        <f t="shared" si="56"/>
        <v>49</v>
      </c>
      <c r="T66" s="46">
        <f t="shared" si="57"/>
        <v>14</v>
      </c>
      <c r="U66" s="41">
        <f t="shared" si="1"/>
        <v>0.128968</v>
      </c>
      <c r="V66" s="41"/>
      <c r="W66" s="41"/>
      <c r="X66" s="41"/>
      <c r="Y66" s="41"/>
      <c r="Z66" s="41"/>
      <c r="AA66" s="41">
        <f t="shared" si="58"/>
        <v>19</v>
      </c>
      <c r="AB66" s="41">
        <f t="shared" si="59"/>
        <v>223</v>
      </c>
      <c r="AC66" s="41">
        <f t="shared" si="60"/>
        <v>223</v>
      </c>
      <c r="AD66" s="41">
        <v>0</v>
      </c>
      <c r="AE66" s="48">
        <f t="shared" si="61"/>
        <v>131</v>
      </c>
      <c r="AF66" s="48"/>
      <c r="AG66" s="49">
        <v>2</v>
      </c>
      <c r="AH66" s="50">
        <f t="shared" si="2"/>
        <v>129</v>
      </c>
      <c r="AI66" s="41" t="s">
        <v>555</v>
      </c>
      <c r="AJ66" s="51">
        <f t="shared" si="3"/>
        <v>16.636872</v>
      </c>
      <c r="AK66" s="51">
        <f t="shared" si="4"/>
        <v>16.636872</v>
      </c>
      <c r="AL66" s="41">
        <f t="shared" si="5"/>
        <v>42</v>
      </c>
      <c r="AM66" s="41" t="str">
        <f t="shared" si="6"/>
        <v>31-90天</v>
      </c>
      <c r="AN66" s="59">
        <v>0.7</v>
      </c>
      <c r="AO66" s="41" t="s">
        <v>562</v>
      </c>
      <c r="AP66" s="53">
        <f t="shared" si="8"/>
        <v>11.6458104</v>
      </c>
      <c r="AQ66" s="16"/>
    </row>
    <row r="67" spans="1:43">
      <c r="A67" s="41">
        <v>202509</v>
      </c>
      <c r="B67" s="54">
        <v>0</v>
      </c>
      <c r="C67" s="41" t="s">
        <v>600</v>
      </c>
      <c r="D67" s="41" t="str">
        <f t="shared" ref="D67:I67" si="90">D66</f>
        <v>M » N2 - 1</v>
      </c>
      <c r="E67" s="41" t="str">
        <f t="shared" si="90"/>
        <v>YCD-EX:HUPPER TEK</v>
      </c>
      <c r="F67" s="41" t="str">
        <f t="shared" si="90"/>
        <v>MI202508130012</v>
      </c>
      <c r="G67" s="41" t="str">
        <f t="shared" si="90"/>
        <v>DE2508031-G7-MIC</v>
      </c>
      <c r="H67" s="55">
        <f t="shared" si="90"/>
        <v>45889</v>
      </c>
      <c r="I67" s="56" t="str">
        <f t="shared" si="90"/>
        <v>B076THQBHX</v>
      </c>
      <c r="J67" s="41"/>
      <c r="K67" s="57" t="str">
        <f t="shared" si="51"/>
        <v>金属储物柜71英寸灰色</v>
      </c>
      <c r="L67" s="41"/>
      <c r="M67" s="46">
        <f t="shared" si="52"/>
        <v>188</v>
      </c>
      <c r="N67" s="46">
        <f t="shared" si="53"/>
        <v>49</v>
      </c>
      <c r="O67" s="46">
        <f t="shared" si="54"/>
        <v>14</v>
      </c>
      <c r="P67" s="41">
        <f t="shared" si="0"/>
        <v>0.128968</v>
      </c>
      <c r="Q67" s="41"/>
      <c r="R67" s="46">
        <f t="shared" si="55"/>
        <v>188</v>
      </c>
      <c r="S67" s="46">
        <f t="shared" si="56"/>
        <v>49</v>
      </c>
      <c r="T67" s="46">
        <f t="shared" si="57"/>
        <v>14</v>
      </c>
      <c r="U67" s="41">
        <f t="shared" si="1"/>
        <v>0.128968</v>
      </c>
      <c r="V67" s="41"/>
      <c r="W67" s="41"/>
      <c r="X67" s="41"/>
      <c r="Y67" s="41"/>
      <c r="Z67" s="41"/>
      <c r="AA67" s="41">
        <f t="shared" si="58"/>
        <v>19</v>
      </c>
      <c r="AB67" s="41">
        <f t="shared" si="59"/>
        <v>223</v>
      </c>
      <c r="AC67" s="41">
        <f t="shared" si="60"/>
        <v>223</v>
      </c>
      <c r="AD67" s="41">
        <v>0</v>
      </c>
      <c r="AE67" s="48">
        <f t="shared" si="61"/>
        <v>129</v>
      </c>
      <c r="AF67" s="60"/>
      <c r="AG67" s="49"/>
      <c r="AH67" s="61">
        <f t="shared" si="2"/>
        <v>129</v>
      </c>
      <c r="AI67" s="41" t="s">
        <v>555</v>
      </c>
      <c r="AJ67" s="51">
        <f t="shared" si="3"/>
        <v>16.636872</v>
      </c>
      <c r="AK67" s="51">
        <f t="shared" si="4"/>
        <v>16.636872</v>
      </c>
      <c r="AL67" s="41">
        <f t="shared" si="5"/>
        <v>-45888</v>
      </c>
      <c r="AM67" s="41" t="str">
        <f t="shared" si="6"/>
        <v>0天</v>
      </c>
      <c r="AN67" s="52">
        <f t="shared" si="7"/>
        <v>0</v>
      </c>
      <c r="AO67" s="41" t="s">
        <v>562</v>
      </c>
      <c r="AP67" s="53">
        <f t="shared" si="8"/>
        <v>0</v>
      </c>
      <c r="AQ67" s="16"/>
    </row>
    <row r="68" spans="1:43">
      <c r="A68" s="41">
        <v>202509</v>
      </c>
      <c r="B68" s="42">
        <v>45901</v>
      </c>
      <c r="C68" s="41" t="s">
        <v>600</v>
      </c>
      <c r="D68" s="43" t="s">
        <v>601</v>
      </c>
      <c r="E68" s="43" t="s">
        <v>157</v>
      </c>
      <c r="F68" s="43" t="s">
        <v>602</v>
      </c>
      <c r="G68" s="43" t="s">
        <v>603</v>
      </c>
      <c r="H68" s="44">
        <v>45889</v>
      </c>
      <c r="I68" s="43" t="s">
        <v>165</v>
      </c>
      <c r="J68" s="43"/>
      <c r="K68" s="45" t="str">
        <f>VLOOKUP(I68,物品明细!A:B,2,0)</f>
        <v>金属储物柜71英寸高</v>
      </c>
      <c r="L68" s="41"/>
      <c r="M68" s="46">
        <f>VLOOKUP(I68,物品明细!A:E,5,0)</f>
        <v>188</v>
      </c>
      <c r="N68" s="46">
        <f>VLOOKUP(I68,物品明细!A:F,6,0)</f>
        <v>49</v>
      </c>
      <c r="O68" s="46">
        <f>VLOOKUP(I68,物品明细!A:G,7,0)</f>
        <v>14</v>
      </c>
      <c r="P68" s="41">
        <f t="shared" si="0"/>
        <v>0.128968</v>
      </c>
      <c r="Q68" s="41"/>
      <c r="R68" s="46">
        <f>VLOOKUP(I68,物品明细!A:E,5,0)</f>
        <v>188</v>
      </c>
      <c r="S68" s="46">
        <f>VLOOKUP(I68,物品明细!A:F,6,0)</f>
        <v>49</v>
      </c>
      <c r="T68" s="46">
        <f>VLOOKUP(I68,物品明细!A:G,7,0)</f>
        <v>14</v>
      </c>
      <c r="U68" s="41">
        <f t="shared" si="1"/>
        <v>0.128968</v>
      </c>
      <c r="V68" s="41"/>
      <c r="W68" s="41"/>
      <c r="X68" s="41"/>
      <c r="Y68" s="41"/>
      <c r="Z68" s="41"/>
      <c r="AA68" s="47">
        <v>13</v>
      </c>
      <c r="AB68" s="47">
        <v>151</v>
      </c>
      <c r="AC68" s="47">
        <v>151</v>
      </c>
      <c r="AD68" s="41">
        <v>0</v>
      </c>
      <c r="AE68" s="48">
        <v>151</v>
      </c>
      <c r="AF68" s="48"/>
      <c r="AG68" s="49"/>
      <c r="AH68" s="50">
        <f t="shared" si="2"/>
        <v>151</v>
      </c>
      <c r="AI68" s="41" t="s">
        <v>555</v>
      </c>
      <c r="AJ68" s="51">
        <f t="shared" si="3"/>
        <v>19.474168</v>
      </c>
      <c r="AK68" s="51">
        <f t="shared" si="4"/>
        <v>19.474168</v>
      </c>
      <c r="AL68" s="41">
        <f t="shared" si="5"/>
        <v>13</v>
      </c>
      <c r="AM68" s="41" t="str">
        <f t="shared" si="6"/>
        <v>30天内</v>
      </c>
      <c r="AN68" s="52">
        <f t="shared" si="7"/>
        <v>0</v>
      </c>
      <c r="AO68" s="41" t="s">
        <v>562</v>
      </c>
      <c r="AP68" s="53">
        <f t="shared" si="8"/>
        <v>0</v>
      </c>
      <c r="AQ68" s="16"/>
    </row>
    <row r="69" spans="1:43">
      <c r="A69" s="41">
        <v>202509</v>
      </c>
      <c r="B69" s="54">
        <v>45902</v>
      </c>
      <c r="C69" s="41" t="s">
        <v>600</v>
      </c>
      <c r="D69" s="3" t="str">
        <f t="shared" ref="D69:I69" si="91">D68</f>
        <v>M » N2 - 1</v>
      </c>
      <c r="E69" s="41" t="str">
        <f t="shared" si="91"/>
        <v>YCD-EX:HUPPER TEK</v>
      </c>
      <c r="F69" s="41" t="str">
        <f t="shared" si="91"/>
        <v>MI202508130012</v>
      </c>
      <c r="G69" s="41" t="str">
        <f t="shared" si="91"/>
        <v>DE2508031-G7-MIC</v>
      </c>
      <c r="H69" s="55">
        <f t="shared" si="91"/>
        <v>45889</v>
      </c>
      <c r="I69" s="56" t="str">
        <f t="shared" si="91"/>
        <v>B07Q3SQT6C</v>
      </c>
      <c r="J69" s="41"/>
      <c r="K69" s="57" t="str">
        <f t="shared" ref="K69:K98" si="92">K68</f>
        <v>金属储物柜71英寸高</v>
      </c>
      <c r="L69" s="41"/>
      <c r="M69" s="46">
        <f t="shared" ref="M69:M98" si="93">M68</f>
        <v>188</v>
      </c>
      <c r="N69" s="46">
        <f t="shared" ref="N69:N98" si="94">N68</f>
        <v>49</v>
      </c>
      <c r="O69" s="46">
        <f t="shared" ref="O69:O98" si="95">O68</f>
        <v>14</v>
      </c>
      <c r="P69" s="41">
        <f t="shared" si="0"/>
        <v>0.128968</v>
      </c>
      <c r="Q69" s="41"/>
      <c r="R69" s="46">
        <f t="shared" ref="R69:R98" si="96">R68</f>
        <v>188</v>
      </c>
      <c r="S69" s="46">
        <f t="shared" ref="S69:S98" si="97">S68</f>
        <v>49</v>
      </c>
      <c r="T69" s="46">
        <f t="shared" ref="T69:T98" si="98">T68</f>
        <v>14</v>
      </c>
      <c r="U69" s="41">
        <f t="shared" si="1"/>
        <v>0.128968</v>
      </c>
      <c r="V69" s="41"/>
      <c r="W69" s="41"/>
      <c r="X69" s="41"/>
      <c r="Y69" s="41"/>
      <c r="Z69" s="41"/>
      <c r="AA69" s="41">
        <f t="shared" ref="AA69:AA98" si="99">AA68</f>
        <v>13</v>
      </c>
      <c r="AB69" s="41">
        <f t="shared" ref="AB69:AB98" si="100">AB68</f>
        <v>151</v>
      </c>
      <c r="AC69" s="41">
        <f t="shared" ref="AC69:AC98" si="101">AC68</f>
        <v>151</v>
      </c>
      <c r="AD69" s="41">
        <v>0</v>
      </c>
      <c r="AE69" s="48">
        <f t="shared" ref="AE69:AE98" si="102">AH68</f>
        <v>151</v>
      </c>
      <c r="AF69" s="48"/>
      <c r="AG69" s="49">
        <v>2</v>
      </c>
      <c r="AH69" s="50">
        <f t="shared" si="2"/>
        <v>149</v>
      </c>
      <c r="AI69" s="41" t="s">
        <v>555</v>
      </c>
      <c r="AJ69" s="51">
        <f t="shared" si="3"/>
        <v>19.216232</v>
      </c>
      <c r="AK69" s="51">
        <f t="shared" si="4"/>
        <v>19.216232</v>
      </c>
      <c r="AL69" s="41">
        <f t="shared" si="5"/>
        <v>14</v>
      </c>
      <c r="AM69" s="41" t="str">
        <f t="shared" si="6"/>
        <v>30天内</v>
      </c>
      <c r="AN69" s="52">
        <f t="shared" si="7"/>
        <v>0</v>
      </c>
      <c r="AO69" s="41" t="s">
        <v>562</v>
      </c>
      <c r="AP69" s="53">
        <f t="shared" si="8"/>
        <v>0</v>
      </c>
      <c r="AQ69" s="16"/>
    </row>
    <row r="70" spans="1:43">
      <c r="A70" s="41">
        <v>202509</v>
      </c>
      <c r="B70" s="54">
        <v>45903</v>
      </c>
      <c r="C70" s="41" t="s">
        <v>600</v>
      </c>
      <c r="D70" s="41" t="str">
        <f t="shared" ref="D70:I70" si="103">D69</f>
        <v>M » N2 - 1</v>
      </c>
      <c r="E70" s="41" t="str">
        <f t="shared" si="103"/>
        <v>YCD-EX:HUPPER TEK</v>
      </c>
      <c r="F70" s="41" t="str">
        <f t="shared" si="103"/>
        <v>MI202508130012</v>
      </c>
      <c r="G70" s="41" t="str">
        <f t="shared" si="103"/>
        <v>DE2508031-G7-MIC</v>
      </c>
      <c r="H70" s="55">
        <f t="shared" si="103"/>
        <v>45889</v>
      </c>
      <c r="I70" s="56" t="str">
        <f t="shared" si="103"/>
        <v>B07Q3SQT6C</v>
      </c>
      <c r="J70" s="41"/>
      <c r="K70" s="57" t="str">
        <f t="shared" si="92"/>
        <v>金属储物柜71英寸高</v>
      </c>
      <c r="L70" s="41"/>
      <c r="M70" s="46">
        <f t="shared" si="93"/>
        <v>188</v>
      </c>
      <c r="N70" s="46">
        <f t="shared" si="94"/>
        <v>49</v>
      </c>
      <c r="O70" s="46">
        <f t="shared" si="95"/>
        <v>14</v>
      </c>
      <c r="P70" s="41">
        <f t="shared" ref="P70:P129" si="104">M70*N70*O70/1000000</f>
        <v>0.128968</v>
      </c>
      <c r="Q70" s="41"/>
      <c r="R70" s="46">
        <f t="shared" si="96"/>
        <v>188</v>
      </c>
      <c r="S70" s="46">
        <f t="shared" si="97"/>
        <v>49</v>
      </c>
      <c r="T70" s="46">
        <f t="shared" si="98"/>
        <v>14</v>
      </c>
      <c r="U70" s="41">
        <f t="shared" ref="U70:U129" si="105">R70*S70*T70/1000000</f>
        <v>0.128968</v>
      </c>
      <c r="V70" s="41"/>
      <c r="W70" s="41"/>
      <c r="X70" s="41"/>
      <c r="Y70" s="41"/>
      <c r="Z70" s="41"/>
      <c r="AA70" s="41">
        <f t="shared" si="99"/>
        <v>13</v>
      </c>
      <c r="AB70" s="41">
        <f t="shared" si="100"/>
        <v>151</v>
      </c>
      <c r="AC70" s="41">
        <f t="shared" si="101"/>
        <v>151</v>
      </c>
      <c r="AD70" s="41">
        <v>0</v>
      </c>
      <c r="AE70" s="48">
        <f t="shared" si="102"/>
        <v>149</v>
      </c>
      <c r="AF70" s="48"/>
      <c r="AG70" s="49">
        <v>1</v>
      </c>
      <c r="AH70" s="50">
        <f t="shared" ref="AH70:AH129" si="106">AE70+AF70-AG70</f>
        <v>148</v>
      </c>
      <c r="AI70" s="41" t="s">
        <v>555</v>
      </c>
      <c r="AJ70" s="51">
        <f t="shared" ref="AJ70:AJ129" si="107">AH70*P70</f>
        <v>19.087264</v>
      </c>
      <c r="AK70" s="51">
        <f t="shared" ref="AK70:AK129" si="108">AJ70</f>
        <v>19.087264</v>
      </c>
      <c r="AL70" s="41">
        <f t="shared" ref="AL70:AL129" si="109">B70-H70+1</f>
        <v>15</v>
      </c>
      <c r="AM70" s="41" t="str">
        <f t="shared" ref="AM70:AM129" si="110">IF(AL70&lt;=0,"0天",IF(AL70&lt;=30,"30天内",IF(AL70&lt;=90,"31-90天","91天以上")))</f>
        <v>30天内</v>
      </c>
      <c r="AN70" s="52">
        <f t="shared" ref="AN70:AN129" si="111">IF(AM70="0天",0,IF(AM70="30天内",0,IF(AM70="31-90天",0.6,1)))</f>
        <v>0</v>
      </c>
      <c r="AO70" s="41" t="s">
        <v>562</v>
      </c>
      <c r="AP70" s="53">
        <f t="shared" ref="AP70:AP129" si="112">AK70*AN70</f>
        <v>0</v>
      </c>
      <c r="AQ70" s="16"/>
    </row>
    <row r="71" spans="1:43">
      <c r="A71" s="41">
        <v>202509</v>
      </c>
      <c r="B71" s="54">
        <v>45904</v>
      </c>
      <c r="C71" s="41" t="s">
        <v>600</v>
      </c>
      <c r="D71" s="41" t="str">
        <f t="shared" ref="D71:I71" si="113">D70</f>
        <v>M » N2 - 1</v>
      </c>
      <c r="E71" s="41" t="str">
        <f t="shared" si="113"/>
        <v>YCD-EX:HUPPER TEK</v>
      </c>
      <c r="F71" s="41" t="str">
        <f t="shared" si="113"/>
        <v>MI202508130012</v>
      </c>
      <c r="G71" s="41" t="str">
        <f t="shared" si="113"/>
        <v>DE2508031-G7-MIC</v>
      </c>
      <c r="H71" s="55">
        <f t="shared" si="113"/>
        <v>45889</v>
      </c>
      <c r="I71" s="56" t="str">
        <f t="shared" si="113"/>
        <v>B07Q3SQT6C</v>
      </c>
      <c r="J71" s="41"/>
      <c r="K71" s="57" t="str">
        <f t="shared" si="92"/>
        <v>金属储物柜71英寸高</v>
      </c>
      <c r="L71" s="41"/>
      <c r="M71" s="46">
        <f t="shared" si="93"/>
        <v>188</v>
      </c>
      <c r="N71" s="46">
        <f t="shared" si="94"/>
        <v>49</v>
      </c>
      <c r="O71" s="46">
        <f t="shared" si="95"/>
        <v>14</v>
      </c>
      <c r="P71" s="41">
        <f t="shared" si="104"/>
        <v>0.128968</v>
      </c>
      <c r="Q71" s="41"/>
      <c r="R71" s="46">
        <f t="shared" si="96"/>
        <v>188</v>
      </c>
      <c r="S71" s="46">
        <f t="shared" si="97"/>
        <v>49</v>
      </c>
      <c r="T71" s="46">
        <f t="shared" si="98"/>
        <v>14</v>
      </c>
      <c r="U71" s="41">
        <f t="shared" si="105"/>
        <v>0.128968</v>
      </c>
      <c r="V71" s="41"/>
      <c r="W71" s="41"/>
      <c r="X71" s="41"/>
      <c r="Y71" s="41"/>
      <c r="Z71" s="41"/>
      <c r="AA71" s="41">
        <f t="shared" si="99"/>
        <v>13</v>
      </c>
      <c r="AB71" s="41">
        <f t="shared" si="100"/>
        <v>151</v>
      </c>
      <c r="AC71" s="41">
        <f t="shared" si="101"/>
        <v>151</v>
      </c>
      <c r="AD71" s="41">
        <v>0</v>
      </c>
      <c r="AE71" s="48">
        <f t="shared" si="102"/>
        <v>148</v>
      </c>
      <c r="AF71" s="48"/>
      <c r="AG71" s="49"/>
      <c r="AH71" s="50">
        <f t="shared" si="106"/>
        <v>148</v>
      </c>
      <c r="AI71" s="41" t="s">
        <v>555</v>
      </c>
      <c r="AJ71" s="51">
        <f t="shared" si="107"/>
        <v>19.087264</v>
      </c>
      <c r="AK71" s="51">
        <f t="shared" si="108"/>
        <v>19.087264</v>
      </c>
      <c r="AL71" s="41">
        <f t="shared" si="109"/>
        <v>16</v>
      </c>
      <c r="AM71" s="41" t="str">
        <f t="shared" si="110"/>
        <v>30天内</v>
      </c>
      <c r="AN71" s="52">
        <f t="shared" si="111"/>
        <v>0</v>
      </c>
      <c r="AO71" s="41" t="s">
        <v>562</v>
      </c>
      <c r="AP71" s="53">
        <f t="shared" si="112"/>
        <v>0</v>
      </c>
      <c r="AQ71" s="16"/>
    </row>
    <row r="72" spans="1:43">
      <c r="A72" s="41">
        <v>202509</v>
      </c>
      <c r="B72" s="54">
        <v>45905</v>
      </c>
      <c r="C72" s="41" t="s">
        <v>600</v>
      </c>
      <c r="D72" s="41" t="str">
        <f t="shared" ref="D72:I72" si="114">D71</f>
        <v>M » N2 - 1</v>
      </c>
      <c r="E72" s="41" t="str">
        <f t="shared" si="114"/>
        <v>YCD-EX:HUPPER TEK</v>
      </c>
      <c r="F72" s="41" t="str">
        <f t="shared" si="114"/>
        <v>MI202508130012</v>
      </c>
      <c r="G72" s="41" t="str">
        <f t="shared" si="114"/>
        <v>DE2508031-G7-MIC</v>
      </c>
      <c r="H72" s="55">
        <f t="shared" si="114"/>
        <v>45889</v>
      </c>
      <c r="I72" s="56" t="str">
        <f t="shared" si="114"/>
        <v>B07Q3SQT6C</v>
      </c>
      <c r="J72" s="58"/>
      <c r="K72" s="57" t="str">
        <f t="shared" si="92"/>
        <v>金属储物柜71英寸高</v>
      </c>
      <c r="L72" s="41"/>
      <c r="M72" s="46">
        <f t="shared" si="93"/>
        <v>188</v>
      </c>
      <c r="N72" s="46">
        <f t="shared" si="94"/>
        <v>49</v>
      </c>
      <c r="O72" s="46">
        <f t="shared" si="95"/>
        <v>14</v>
      </c>
      <c r="P72" s="41">
        <f t="shared" si="104"/>
        <v>0.128968</v>
      </c>
      <c r="Q72" s="41"/>
      <c r="R72" s="46">
        <f t="shared" si="96"/>
        <v>188</v>
      </c>
      <c r="S72" s="46">
        <f t="shared" si="97"/>
        <v>49</v>
      </c>
      <c r="T72" s="46">
        <f t="shared" si="98"/>
        <v>14</v>
      </c>
      <c r="U72" s="41">
        <f t="shared" si="105"/>
        <v>0.128968</v>
      </c>
      <c r="V72" s="41"/>
      <c r="W72" s="41"/>
      <c r="X72" s="41"/>
      <c r="Y72" s="41"/>
      <c r="Z72" s="41"/>
      <c r="AA72" s="41">
        <f t="shared" si="99"/>
        <v>13</v>
      </c>
      <c r="AB72" s="41">
        <f t="shared" si="100"/>
        <v>151</v>
      </c>
      <c r="AC72" s="41">
        <f t="shared" si="101"/>
        <v>151</v>
      </c>
      <c r="AD72" s="41">
        <v>0</v>
      </c>
      <c r="AE72" s="48">
        <f t="shared" si="102"/>
        <v>148</v>
      </c>
      <c r="AF72" s="48"/>
      <c r="AG72" s="49"/>
      <c r="AH72" s="50">
        <f t="shared" si="106"/>
        <v>148</v>
      </c>
      <c r="AI72" s="41" t="s">
        <v>555</v>
      </c>
      <c r="AJ72" s="51">
        <f t="shared" si="107"/>
        <v>19.087264</v>
      </c>
      <c r="AK72" s="51">
        <f t="shared" si="108"/>
        <v>19.087264</v>
      </c>
      <c r="AL72" s="41">
        <f t="shared" si="109"/>
        <v>17</v>
      </c>
      <c r="AM72" s="41" t="str">
        <f t="shared" si="110"/>
        <v>30天内</v>
      </c>
      <c r="AN72" s="52">
        <f t="shared" si="111"/>
        <v>0</v>
      </c>
      <c r="AO72" s="41" t="s">
        <v>562</v>
      </c>
      <c r="AP72" s="53">
        <f t="shared" si="112"/>
        <v>0</v>
      </c>
      <c r="AQ72" s="16"/>
    </row>
    <row r="73" spans="1:43">
      <c r="A73" s="41">
        <v>202509</v>
      </c>
      <c r="B73" s="54">
        <v>45906</v>
      </c>
      <c r="C73" s="41" t="s">
        <v>600</v>
      </c>
      <c r="D73" s="41" t="str">
        <f t="shared" ref="D73:I73" si="115">D72</f>
        <v>M » N2 - 1</v>
      </c>
      <c r="E73" s="41" t="str">
        <f t="shared" si="115"/>
        <v>YCD-EX:HUPPER TEK</v>
      </c>
      <c r="F73" s="41" t="str">
        <f t="shared" si="115"/>
        <v>MI202508130012</v>
      </c>
      <c r="G73" s="41" t="str">
        <f t="shared" si="115"/>
        <v>DE2508031-G7-MIC</v>
      </c>
      <c r="H73" s="55">
        <f t="shared" si="115"/>
        <v>45889</v>
      </c>
      <c r="I73" s="56" t="str">
        <f t="shared" si="115"/>
        <v>B07Q3SQT6C</v>
      </c>
      <c r="J73" s="41"/>
      <c r="K73" s="57" t="str">
        <f t="shared" si="92"/>
        <v>金属储物柜71英寸高</v>
      </c>
      <c r="L73" s="41"/>
      <c r="M73" s="46">
        <f t="shared" si="93"/>
        <v>188</v>
      </c>
      <c r="N73" s="46">
        <f t="shared" si="94"/>
        <v>49</v>
      </c>
      <c r="O73" s="46">
        <f t="shared" si="95"/>
        <v>14</v>
      </c>
      <c r="P73" s="41">
        <f t="shared" si="104"/>
        <v>0.128968</v>
      </c>
      <c r="Q73" s="41"/>
      <c r="R73" s="46">
        <f t="shared" si="96"/>
        <v>188</v>
      </c>
      <c r="S73" s="46">
        <f t="shared" si="97"/>
        <v>49</v>
      </c>
      <c r="T73" s="46">
        <f t="shared" si="98"/>
        <v>14</v>
      </c>
      <c r="U73" s="41">
        <f t="shared" si="105"/>
        <v>0.128968</v>
      </c>
      <c r="V73" s="41"/>
      <c r="W73" s="41"/>
      <c r="X73" s="41"/>
      <c r="Y73" s="41"/>
      <c r="Z73" s="41"/>
      <c r="AA73" s="41">
        <f t="shared" si="99"/>
        <v>13</v>
      </c>
      <c r="AB73" s="41">
        <f t="shared" si="100"/>
        <v>151</v>
      </c>
      <c r="AC73" s="41">
        <f t="shared" si="101"/>
        <v>151</v>
      </c>
      <c r="AD73" s="41">
        <v>0</v>
      </c>
      <c r="AE73" s="48">
        <f t="shared" si="102"/>
        <v>148</v>
      </c>
      <c r="AF73" s="48"/>
      <c r="AG73" s="49"/>
      <c r="AH73" s="50">
        <f t="shared" si="106"/>
        <v>148</v>
      </c>
      <c r="AI73" s="41" t="s">
        <v>555</v>
      </c>
      <c r="AJ73" s="51">
        <f t="shared" si="107"/>
        <v>19.087264</v>
      </c>
      <c r="AK73" s="51">
        <f t="shared" si="108"/>
        <v>19.087264</v>
      </c>
      <c r="AL73" s="41">
        <f t="shared" si="109"/>
        <v>18</v>
      </c>
      <c r="AM73" s="41" t="str">
        <f t="shared" si="110"/>
        <v>30天内</v>
      </c>
      <c r="AN73" s="52">
        <f t="shared" si="111"/>
        <v>0</v>
      </c>
      <c r="AO73" s="41" t="s">
        <v>562</v>
      </c>
      <c r="AP73" s="53">
        <f t="shared" si="112"/>
        <v>0</v>
      </c>
      <c r="AQ73" s="16"/>
    </row>
    <row r="74" spans="1:43">
      <c r="A74" s="41">
        <v>202509</v>
      </c>
      <c r="B74" s="54">
        <v>45907</v>
      </c>
      <c r="C74" s="41" t="s">
        <v>600</v>
      </c>
      <c r="D74" s="41" t="str">
        <f t="shared" ref="D74:I74" si="116">D73</f>
        <v>M » N2 - 1</v>
      </c>
      <c r="E74" s="41" t="str">
        <f t="shared" si="116"/>
        <v>YCD-EX:HUPPER TEK</v>
      </c>
      <c r="F74" s="41" t="str">
        <f t="shared" si="116"/>
        <v>MI202508130012</v>
      </c>
      <c r="G74" s="41" t="str">
        <f t="shared" si="116"/>
        <v>DE2508031-G7-MIC</v>
      </c>
      <c r="H74" s="55">
        <f t="shared" si="116"/>
        <v>45889</v>
      </c>
      <c r="I74" s="56" t="str">
        <f t="shared" si="116"/>
        <v>B07Q3SQT6C</v>
      </c>
      <c r="J74" s="41"/>
      <c r="K74" s="57" t="str">
        <f t="shared" si="92"/>
        <v>金属储物柜71英寸高</v>
      </c>
      <c r="L74" s="41"/>
      <c r="M74" s="46">
        <f t="shared" si="93"/>
        <v>188</v>
      </c>
      <c r="N74" s="46">
        <f t="shared" si="94"/>
        <v>49</v>
      </c>
      <c r="O74" s="46">
        <f t="shared" si="95"/>
        <v>14</v>
      </c>
      <c r="P74" s="41">
        <f t="shared" si="104"/>
        <v>0.128968</v>
      </c>
      <c r="Q74" s="41"/>
      <c r="R74" s="46">
        <f t="shared" si="96"/>
        <v>188</v>
      </c>
      <c r="S74" s="46">
        <f t="shared" si="97"/>
        <v>49</v>
      </c>
      <c r="T74" s="46">
        <f t="shared" si="98"/>
        <v>14</v>
      </c>
      <c r="U74" s="41">
        <f t="shared" si="105"/>
        <v>0.128968</v>
      </c>
      <c r="V74" s="41"/>
      <c r="W74" s="41"/>
      <c r="X74" s="41"/>
      <c r="Y74" s="41"/>
      <c r="Z74" s="41"/>
      <c r="AA74" s="41">
        <f t="shared" si="99"/>
        <v>13</v>
      </c>
      <c r="AB74" s="41">
        <f t="shared" si="100"/>
        <v>151</v>
      </c>
      <c r="AC74" s="41">
        <f t="shared" si="101"/>
        <v>151</v>
      </c>
      <c r="AD74" s="41">
        <v>0</v>
      </c>
      <c r="AE74" s="48">
        <f t="shared" si="102"/>
        <v>148</v>
      </c>
      <c r="AF74" s="48"/>
      <c r="AG74" s="49"/>
      <c r="AH74" s="50">
        <f t="shared" si="106"/>
        <v>148</v>
      </c>
      <c r="AI74" s="41" t="s">
        <v>555</v>
      </c>
      <c r="AJ74" s="51">
        <f t="shared" si="107"/>
        <v>19.087264</v>
      </c>
      <c r="AK74" s="51">
        <f t="shared" si="108"/>
        <v>19.087264</v>
      </c>
      <c r="AL74" s="41">
        <f t="shared" si="109"/>
        <v>19</v>
      </c>
      <c r="AM74" s="41" t="str">
        <f t="shared" si="110"/>
        <v>30天内</v>
      </c>
      <c r="AN74" s="52">
        <f t="shared" si="111"/>
        <v>0</v>
      </c>
      <c r="AO74" s="41" t="s">
        <v>562</v>
      </c>
      <c r="AP74" s="53">
        <f t="shared" si="112"/>
        <v>0</v>
      </c>
      <c r="AQ74" s="16"/>
    </row>
    <row r="75" spans="1:43">
      <c r="A75" s="41">
        <v>202509</v>
      </c>
      <c r="B75" s="54">
        <v>45908</v>
      </c>
      <c r="C75" s="41" t="s">
        <v>600</v>
      </c>
      <c r="D75" s="41" t="str">
        <f t="shared" ref="D75:I75" si="117">D74</f>
        <v>M » N2 - 1</v>
      </c>
      <c r="E75" s="41" t="str">
        <f t="shared" si="117"/>
        <v>YCD-EX:HUPPER TEK</v>
      </c>
      <c r="F75" s="41" t="str">
        <f t="shared" si="117"/>
        <v>MI202508130012</v>
      </c>
      <c r="G75" s="41" t="str">
        <f t="shared" si="117"/>
        <v>DE2508031-G7-MIC</v>
      </c>
      <c r="H75" s="55">
        <f t="shared" si="117"/>
        <v>45889</v>
      </c>
      <c r="I75" s="56" t="str">
        <f t="shared" si="117"/>
        <v>B07Q3SQT6C</v>
      </c>
      <c r="J75" s="41"/>
      <c r="K75" s="57" t="str">
        <f t="shared" si="92"/>
        <v>金属储物柜71英寸高</v>
      </c>
      <c r="L75" s="41"/>
      <c r="M75" s="46">
        <f t="shared" si="93"/>
        <v>188</v>
      </c>
      <c r="N75" s="46">
        <f t="shared" si="94"/>
        <v>49</v>
      </c>
      <c r="O75" s="46">
        <f t="shared" si="95"/>
        <v>14</v>
      </c>
      <c r="P75" s="41">
        <f t="shared" si="104"/>
        <v>0.128968</v>
      </c>
      <c r="Q75" s="41"/>
      <c r="R75" s="46">
        <f t="shared" si="96"/>
        <v>188</v>
      </c>
      <c r="S75" s="46">
        <f t="shared" si="97"/>
        <v>49</v>
      </c>
      <c r="T75" s="46">
        <f t="shared" si="98"/>
        <v>14</v>
      </c>
      <c r="U75" s="41">
        <f t="shared" si="105"/>
        <v>0.128968</v>
      </c>
      <c r="V75" s="41"/>
      <c r="W75" s="41"/>
      <c r="X75" s="41"/>
      <c r="Y75" s="41"/>
      <c r="Z75" s="41"/>
      <c r="AA75" s="41">
        <f t="shared" si="99"/>
        <v>13</v>
      </c>
      <c r="AB75" s="41">
        <f t="shared" si="100"/>
        <v>151</v>
      </c>
      <c r="AC75" s="41">
        <f t="shared" si="101"/>
        <v>151</v>
      </c>
      <c r="AD75" s="41">
        <v>0</v>
      </c>
      <c r="AE75" s="48">
        <f t="shared" si="102"/>
        <v>148</v>
      </c>
      <c r="AF75" s="48"/>
      <c r="AG75" s="49">
        <v>3</v>
      </c>
      <c r="AH75" s="50">
        <f t="shared" si="106"/>
        <v>145</v>
      </c>
      <c r="AI75" s="41" t="s">
        <v>555</v>
      </c>
      <c r="AJ75" s="51">
        <f t="shared" si="107"/>
        <v>18.70036</v>
      </c>
      <c r="AK75" s="51">
        <f t="shared" si="108"/>
        <v>18.70036</v>
      </c>
      <c r="AL75" s="41">
        <f t="shared" si="109"/>
        <v>20</v>
      </c>
      <c r="AM75" s="41" t="str">
        <f t="shared" si="110"/>
        <v>30天内</v>
      </c>
      <c r="AN75" s="52">
        <f t="shared" si="111"/>
        <v>0</v>
      </c>
      <c r="AO75" s="41" t="s">
        <v>562</v>
      </c>
      <c r="AP75" s="53">
        <f t="shared" si="112"/>
        <v>0</v>
      </c>
      <c r="AQ75" s="16"/>
    </row>
    <row r="76" spans="1:43">
      <c r="A76" s="41">
        <v>202509</v>
      </c>
      <c r="B76" s="54">
        <v>45909</v>
      </c>
      <c r="C76" s="41" t="s">
        <v>600</v>
      </c>
      <c r="D76" s="41" t="str">
        <f t="shared" ref="D76:I76" si="118">D75</f>
        <v>M » N2 - 1</v>
      </c>
      <c r="E76" s="41" t="str">
        <f t="shared" si="118"/>
        <v>YCD-EX:HUPPER TEK</v>
      </c>
      <c r="F76" s="41" t="str">
        <f t="shared" si="118"/>
        <v>MI202508130012</v>
      </c>
      <c r="G76" s="41" t="str">
        <f t="shared" si="118"/>
        <v>DE2508031-G7-MIC</v>
      </c>
      <c r="H76" s="55">
        <f t="shared" si="118"/>
        <v>45889</v>
      </c>
      <c r="I76" s="56" t="str">
        <f t="shared" si="118"/>
        <v>B07Q3SQT6C</v>
      </c>
      <c r="J76" s="41"/>
      <c r="K76" s="57" t="str">
        <f t="shared" si="92"/>
        <v>金属储物柜71英寸高</v>
      </c>
      <c r="L76" s="41"/>
      <c r="M76" s="46">
        <f t="shared" si="93"/>
        <v>188</v>
      </c>
      <c r="N76" s="46">
        <f t="shared" si="94"/>
        <v>49</v>
      </c>
      <c r="O76" s="46">
        <f t="shared" si="95"/>
        <v>14</v>
      </c>
      <c r="P76" s="41">
        <f t="shared" si="104"/>
        <v>0.128968</v>
      </c>
      <c r="Q76" s="41"/>
      <c r="R76" s="46">
        <f t="shared" si="96"/>
        <v>188</v>
      </c>
      <c r="S76" s="46">
        <f t="shared" si="97"/>
        <v>49</v>
      </c>
      <c r="T76" s="46">
        <f t="shared" si="98"/>
        <v>14</v>
      </c>
      <c r="U76" s="41">
        <f t="shared" si="105"/>
        <v>0.128968</v>
      </c>
      <c r="V76" s="41"/>
      <c r="W76" s="41"/>
      <c r="X76" s="41"/>
      <c r="Y76" s="41"/>
      <c r="Z76" s="41"/>
      <c r="AA76" s="41">
        <f t="shared" si="99"/>
        <v>13</v>
      </c>
      <c r="AB76" s="41">
        <f t="shared" si="100"/>
        <v>151</v>
      </c>
      <c r="AC76" s="41">
        <f t="shared" si="101"/>
        <v>151</v>
      </c>
      <c r="AD76" s="41">
        <v>0</v>
      </c>
      <c r="AE76" s="48">
        <f t="shared" si="102"/>
        <v>145</v>
      </c>
      <c r="AF76" s="48"/>
      <c r="AG76" s="49"/>
      <c r="AH76" s="50">
        <f t="shared" si="106"/>
        <v>145</v>
      </c>
      <c r="AI76" s="41" t="s">
        <v>555</v>
      </c>
      <c r="AJ76" s="51">
        <f t="shared" si="107"/>
        <v>18.70036</v>
      </c>
      <c r="AK76" s="51">
        <f t="shared" si="108"/>
        <v>18.70036</v>
      </c>
      <c r="AL76" s="41">
        <f t="shared" si="109"/>
        <v>21</v>
      </c>
      <c r="AM76" s="41" t="str">
        <f t="shared" si="110"/>
        <v>30天内</v>
      </c>
      <c r="AN76" s="52">
        <f t="shared" si="111"/>
        <v>0</v>
      </c>
      <c r="AO76" s="41" t="s">
        <v>562</v>
      </c>
      <c r="AP76" s="53">
        <f t="shared" si="112"/>
        <v>0</v>
      </c>
      <c r="AQ76" s="16"/>
    </row>
    <row r="77" spans="1:43">
      <c r="A77" s="41">
        <v>202509</v>
      </c>
      <c r="B77" s="54">
        <v>45910</v>
      </c>
      <c r="C77" s="41" t="s">
        <v>600</v>
      </c>
      <c r="D77" s="41" t="str">
        <f t="shared" ref="D77:I77" si="119">D76</f>
        <v>M » N2 - 1</v>
      </c>
      <c r="E77" s="41" t="str">
        <f t="shared" si="119"/>
        <v>YCD-EX:HUPPER TEK</v>
      </c>
      <c r="F77" s="41" t="str">
        <f t="shared" si="119"/>
        <v>MI202508130012</v>
      </c>
      <c r="G77" s="41" t="str">
        <f t="shared" si="119"/>
        <v>DE2508031-G7-MIC</v>
      </c>
      <c r="H77" s="55">
        <f t="shared" si="119"/>
        <v>45889</v>
      </c>
      <c r="I77" s="56" t="str">
        <f t="shared" si="119"/>
        <v>B07Q3SQT6C</v>
      </c>
      <c r="J77" s="41"/>
      <c r="K77" s="57" t="str">
        <f t="shared" si="92"/>
        <v>金属储物柜71英寸高</v>
      </c>
      <c r="L77" s="41"/>
      <c r="M77" s="46">
        <f t="shared" si="93"/>
        <v>188</v>
      </c>
      <c r="N77" s="46">
        <f t="shared" si="94"/>
        <v>49</v>
      </c>
      <c r="O77" s="46">
        <f t="shared" si="95"/>
        <v>14</v>
      </c>
      <c r="P77" s="41">
        <f t="shared" si="104"/>
        <v>0.128968</v>
      </c>
      <c r="Q77" s="41"/>
      <c r="R77" s="46">
        <f t="shared" si="96"/>
        <v>188</v>
      </c>
      <c r="S77" s="46">
        <f t="shared" si="97"/>
        <v>49</v>
      </c>
      <c r="T77" s="46">
        <f t="shared" si="98"/>
        <v>14</v>
      </c>
      <c r="U77" s="41">
        <f t="shared" si="105"/>
        <v>0.128968</v>
      </c>
      <c r="V77" s="41"/>
      <c r="W77" s="41"/>
      <c r="X77" s="41"/>
      <c r="Y77" s="41"/>
      <c r="Z77" s="41"/>
      <c r="AA77" s="41">
        <f t="shared" si="99"/>
        <v>13</v>
      </c>
      <c r="AB77" s="41">
        <f t="shared" si="100"/>
        <v>151</v>
      </c>
      <c r="AC77" s="41">
        <f t="shared" si="101"/>
        <v>151</v>
      </c>
      <c r="AD77" s="41">
        <v>0</v>
      </c>
      <c r="AE77" s="48">
        <f t="shared" si="102"/>
        <v>145</v>
      </c>
      <c r="AF77" s="48"/>
      <c r="AG77" s="49"/>
      <c r="AH77" s="50">
        <f t="shared" si="106"/>
        <v>145</v>
      </c>
      <c r="AI77" s="41" t="s">
        <v>555</v>
      </c>
      <c r="AJ77" s="51">
        <f t="shared" si="107"/>
        <v>18.70036</v>
      </c>
      <c r="AK77" s="51">
        <f t="shared" si="108"/>
        <v>18.70036</v>
      </c>
      <c r="AL77" s="41">
        <f t="shared" si="109"/>
        <v>22</v>
      </c>
      <c r="AM77" s="41" t="str">
        <f t="shared" si="110"/>
        <v>30天内</v>
      </c>
      <c r="AN77" s="52">
        <f t="shared" si="111"/>
        <v>0</v>
      </c>
      <c r="AO77" s="41" t="s">
        <v>562</v>
      </c>
      <c r="AP77" s="53">
        <f t="shared" si="112"/>
        <v>0</v>
      </c>
      <c r="AQ77" s="16"/>
    </row>
    <row r="78" spans="1:43">
      <c r="A78" s="41">
        <v>202509</v>
      </c>
      <c r="B78" s="54">
        <v>45911</v>
      </c>
      <c r="C78" s="41" t="s">
        <v>600</v>
      </c>
      <c r="D78" s="41" t="str">
        <f t="shared" ref="D78:I78" si="120">D77</f>
        <v>M » N2 - 1</v>
      </c>
      <c r="E78" s="41" t="str">
        <f t="shared" si="120"/>
        <v>YCD-EX:HUPPER TEK</v>
      </c>
      <c r="F78" s="41" t="str">
        <f t="shared" si="120"/>
        <v>MI202508130012</v>
      </c>
      <c r="G78" s="41" t="str">
        <f t="shared" si="120"/>
        <v>DE2508031-G7-MIC</v>
      </c>
      <c r="H78" s="55">
        <f t="shared" si="120"/>
        <v>45889</v>
      </c>
      <c r="I78" s="56" t="str">
        <f t="shared" si="120"/>
        <v>B07Q3SQT6C</v>
      </c>
      <c r="J78" s="41"/>
      <c r="K78" s="57" t="str">
        <f t="shared" si="92"/>
        <v>金属储物柜71英寸高</v>
      </c>
      <c r="L78" s="41"/>
      <c r="M78" s="46">
        <f t="shared" si="93"/>
        <v>188</v>
      </c>
      <c r="N78" s="46">
        <f t="shared" si="94"/>
        <v>49</v>
      </c>
      <c r="O78" s="46">
        <f t="shared" si="95"/>
        <v>14</v>
      </c>
      <c r="P78" s="41">
        <f t="shared" si="104"/>
        <v>0.128968</v>
      </c>
      <c r="Q78" s="41"/>
      <c r="R78" s="46">
        <f t="shared" si="96"/>
        <v>188</v>
      </c>
      <c r="S78" s="46">
        <f t="shared" si="97"/>
        <v>49</v>
      </c>
      <c r="T78" s="46">
        <f t="shared" si="98"/>
        <v>14</v>
      </c>
      <c r="U78" s="41">
        <f t="shared" si="105"/>
        <v>0.128968</v>
      </c>
      <c r="V78" s="41"/>
      <c r="W78" s="41"/>
      <c r="X78" s="41"/>
      <c r="Y78" s="41"/>
      <c r="Z78" s="41"/>
      <c r="AA78" s="41">
        <f t="shared" si="99"/>
        <v>13</v>
      </c>
      <c r="AB78" s="41">
        <f t="shared" si="100"/>
        <v>151</v>
      </c>
      <c r="AC78" s="41">
        <f t="shared" si="101"/>
        <v>151</v>
      </c>
      <c r="AD78" s="41">
        <v>0</v>
      </c>
      <c r="AE78" s="48">
        <f t="shared" si="102"/>
        <v>145</v>
      </c>
      <c r="AF78" s="48"/>
      <c r="AG78" s="49"/>
      <c r="AH78" s="50">
        <f t="shared" si="106"/>
        <v>145</v>
      </c>
      <c r="AI78" s="41" t="s">
        <v>555</v>
      </c>
      <c r="AJ78" s="51">
        <f t="shared" si="107"/>
        <v>18.70036</v>
      </c>
      <c r="AK78" s="51">
        <f t="shared" si="108"/>
        <v>18.70036</v>
      </c>
      <c r="AL78" s="41">
        <f t="shared" si="109"/>
        <v>23</v>
      </c>
      <c r="AM78" s="41" t="str">
        <f t="shared" si="110"/>
        <v>30天内</v>
      </c>
      <c r="AN78" s="52">
        <f t="shared" si="111"/>
        <v>0</v>
      </c>
      <c r="AO78" s="41" t="s">
        <v>562</v>
      </c>
      <c r="AP78" s="53">
        <f t="shared" si="112"/>
        <v>0</v>
      </c>
      <c r="AQ78" s="16"/>
    </row>
    <row r="79" spans="1:43">
      <c r="A79" s="41">
        <v>202509</v>
      </c>
      <c r="B79" s="54">
        <v>45912</v>
      </c>
      <c r="C79" s="41" t="s">
        <v>600</v>
      </c>
      <c r="D79" s="41" t="str">
        <f t="shared" ref="D79:I79" si="121">D78</f>
        <v>M » N2 - 1</v>
      </c>
      <c r="E79" s="41" t="str">
        <f t="shared" si="121"/>
        <v>YCD-EX:HUPPER TEK</v>
      </c>
      <c r="F79" s="41" t="str">
        <f t="shared" si="121"/>
        <v>MI202508130012</v>
      </c>
      <c r="G79" s="41" t="str">
        <f t="shared" si="121"/>
        <v>DE2508031-G7-MIC</v>
      </c>
      <c r="H79" s="55">
        <f t="shared" si="121"/>
        <v>45889</v>
      </c>
      <c r="I79" s="56" t="str">
        <f t="shared" si="121"/>
        <v>B07Q3SQT6C</v>
      </c>
      <c r="J79" s="41"/>
      <c r="K79" s="57" t="str">
        <f t="shared" si="92"/>
        <v>金属储物柜71英寸高</v>
      </c>
      <c r="L79" s="41"/>
      <c r="M79" s="46">
        <f t="shared" si="93"/>
        <v>188</v>
      </c>
      <c r="N79" s="46">
        <f t="shared" si="94"/>
        <v>49</v>
      </c>
      <c r="O79" s="46">
        <f t="shared" si="95"/>
        <v>14</v>
      </c>
      <c r="P79" s="41">
        <f t="shared" si="104"/>
        <v>0.128968</v>
      </c>
      <c r="Q79" s="41"/>
      <c r="R79" s="46">
        <f t="shared" si="96"/>
        <v>188</v>
      </c>
      <c r="S79" s="46">
        <f t="shared" si="97"/>
        <v>49</v>
      </c>
      <c r="T79" s="46">
        <f t="shared" si="98"/>
        <v>14</v>
      </c>
      <c r="U79" s="41">
        <f t="shared" si="105"/>
        <v>0.128968</v>
      </c>
      <c r="V79" s="41"/>
      <c r="W79" s="41"/>
      <c r="X79" s="41"/>
      <c r="Y79" s="41"/>
      <c r="Z79" s="41"/>
      <c r="AA79" s="41">
        <f t="shared" si="99"/>
        <v>13</v>
      </c>
      <c r="AB79" s="41">
        <f t="shared" si="100"/>
        <v>151</v>
      </c>
      <c r="AC79" s="41">
        <f t="shared" si="101"/>
        <v>151</v>
      </c>
      <c r="AD79" s="41">
        <v>0</v>
      </c>
      <c r="AE79" s="48">
        <f t="shared" si="102"/>
        <v>145</v>
      </c>
      <c r="AF79" s="48"/>
      <c r="AG79" s="49"/>
      <c r="AH79" s="50">
        <f t="shared" si="106"/>
        <v>145</v>
      </c>
      <c r="AI79" s="41" t="s">
        <v>555</v>
      </c>
      <c r="AJ79" s="51">
        <f t="shared" si="107"/>
        <v>18.70036</v>
      </c>
      <c r="AK79" s="51">
        <f t="shared" si="108"/>
        <v>18.70036</v>
      </c>
      <c r="AL79" s="41">
        <f t="shared" si="109"/>
        <v>24</v>
      </c>
      <c r="AM79" s="41" t="str">
        <f t="shared" si="110"/>
        <v>30天内</v>
      </c>
      <c r="AN79" s="52">
        <f t="shared" si="111"/>
        <v>0</v>
      </c>
      <c r="AO79" s="41" t="s">
        <v>562</v>
      </c>
      <c r="AP79" s="53">
        <f t="shared" si="112"/>
        <v>0</v>
      </c>
      <c r="AQ79" s="16"/>
    </row>
    <row r="80" spans="1:43">
      <c r="A80" s="41">
        <v>202509</v>
      </c>
      <c r="B80" s="54">
        <v>45913</v>
      </c>
      <c r="C80" s="41" t="s">
        <v>600</v>
      </c>
      <c r="D80" s="41" t="str">
        <f t="shared" ref="D80:I80" si="122">D79</f>
        <v>M » N2 - 1</v>
      </c>
      <c r="E80" s="41" t="str">
        <f t="shared" si="122"/>
        <v>YCD-EX:HUPPER TEK</v>
      </c>
      <c r="F80" s="41" t="str">
        <f t="shared" si="122"/>
        <v>MI202508130012</v>
      </c>
      <c r="G80" s="41" t="str">
        <f t="shared" si="122"/>
        <v>DE2508031-G7-MIC</v>
      </c>
      <c r="H80" s="55">
        <f t="shared" si="122"/>
        <v>45889</v>
      </c>
      <c r="I80" s="56" t="str">
        <f t="shared" si="122"/>
        <v>B07Q3SQT6C</v>
      </c>
      <c r="J80" s="41"/>
      <c r="K80" s="57" t="str">
        <f t="shared" si="92"/>
        <v>金属储物柜71英寸高</v>
      </c>
      <c r="L80" s="41"/>
      <c r="M80" s="46">
        <f t="shared" si="93"/>
        <v>188</v>
      </c>
      <c r="N80" s="46">
        <f t="shared" si="94"/>
        <v>49</v>
      </c>
      <c r="O80" s="46">
        <f t="shared" si="95"/>
        <v>14</v>
      </c>
      <c r="P80" s="41">
        <f t="shared" si="104"/>
        <v>0.128968</v>
      </c>
      <c r="Q80" s="41"/>
      <c r="R80" s="46">
        <f t="shared" si="96"/>
        <v>188</v>
      </c>
      <c r="S80" s="46">
        <f t="shared" si="97"/>
        <v>49</v>
      </c>
      <c r="T80" s="46">
        <f t="shared" si="98"/>
        <v>14</v>
      </c>
      <c r="U80" s="41">
        <f t="shared" si="105"/>
        <v>0.128968</v>
      </c>
      <c r="V80" s="41"/>
      <c r="W80" s="41"/>
      <c r="X80" s="41"/>
      <c r="Y80" s="41"/>
      <c r="Z80" s="41"/>
      <c r="AA80" s="41">
        <f t="shared" si="99"/>
        <v>13</v>
      </c>
      <c r="AB80" s="41">
        <f t="shared" si="100"/>
        <v>151</v>
      </c>
      <c r="AC80" s="41">
        <f t="shared" si="101"/>
        <v>151</v>
      </c>
      <c r="AD80" s="41">
        <v>0</v>
      </c>
      <c r="AE80" s="48">
        <f t="shared" si="102"/>
        <v>145</v>
      </c>
      <c r="AF80" s="48"/>
      <c r="AG80" s="49"/>
      <c r="AH80" s="50">
        <f t="shared" si="106"/>
        <v>145</v>
      </c>
      <c r="AI80" s="41" t="s">
        <v>555</v>
      </c>
      <c r="AJ80" s="51">
        <f t="shared" si="107"/>
        <v>18.70036</v>
      </c>
      <c r="AK80" s="51">
        <f t="shared" si="108"/>
        <v>18.70036</v>
      </c>
      <c r="AL80" s="41">
        <f t="shared" si="109"/>
        <v>25</v>
      </c>
      <c r="AM80" s="41" t="str">
        <f t="shared" si="110"/>
        <v>30天内</v>
      </c>
      <c r="AN80" s="52">
        <f t="shared" si="111"/>
        <v>0</v>
      </c>
      <c r="AO80" s="41" t="s">
        <v>562</v>
      </c>
      <c r="AP80" s="53">
        <f t="shared" si="112"/>
        <v>0</v>
      </c>
      <c r="AQ80" s="16"/>
    </row>
    <row r="81" spans="1:43">
      <c r="A81" s="41">
        <v>202509</v>
      </c>
      <c r="B81" s="54">
        <v>45914</v>
      </c>
      <c r="C81" s="41" t="s">
        <v>600</v>
      </c>
      <c r="D81" s="41" t="str">
        <f t="shared" ref="D81:I81" si="123">D80</f>
        <v>M » N2 - 1</v>
      </c>
      <c r="E81" s="41" t="str">
        <f t="shared" si="123"/>
        <v>YCD-EX:HUPPER TEK</v>
      </c>
      <c r="F81" s="41" t="str">
        <f t="shared" si="123"/>
        <v>MI202508130012</v>
      </c>
      <c r="G81" s="41" t="str">
        <f t="shared" si="123"/>
        <v>DE2508031-G7-MIC</v>
      </c>
      <c r="H81" s="55">
        <f t="shared" si="123"/>
        <v>45889</v>
      </c>
      <c r="I81" s="56" t="str">
        <f t="shared" si="123"/>
        <v>B07Q3SQT6C</v>
      </c>
      <c r="J81" s="41"/>
      <c r="K81" s="57" t="str">
        <f t="shared" si="92"/>
        <v>金属储物柜71英寸高</v>
      </c>
      <c r="L81" s="41"/>
      <c r="M81" s="46">
        <f t="shared" si="93"/>
        <v>188</v>
      </c>
      <c r="N81" s="46">
        <f t="shared" si="94"/>
        <v>49</v>
      </c>
      <c r="O81" s="46">
        <f t="shared" si="95"/>
        <v>14</v>
      </c>
      <c r="P81" s="41">
        <f t="shared" si="104"/>
        <v>0.128968</v>
      </c>
      <c r="Q81" s="41"/>
      <c r="R81" s="46">
        <f t="shared" si="96"/>
        <v>188</v>
      </c>
      <c r="S81" s="46">
        <f t="shared" si="97"/>
        <v>49</v>
      </c>
      <c r="T81" s="46">
        <f t="shared" si="98"/>
        <v>14</v>
      </c>
      <c r="U81" s="41">
        <f t="shared" si="105"/>
        <v>0.128968</v>
      </c>
      <c r="V81" s="41"/>
      <c r="W81" s="41"/>
      <c r="X81" s="41"/>
      <c r="Y81" s="41"/>
      <c r="Z81" s="41"/>
      <c r="AA81" s="41">
        <f t="shared" si="99"/>
        <v>13</v>
      </c>
      <c r="AB81" s="41">
        <f t="shared" si="100"/>
        <v>151</v>
      </c>
      <c r="AC81" s="41">
        <f t="shared" si="101"/>
        <v>151</v>
      </c>
      <c r="AD81" s="41">
        <v>0</v>
      </c>
      <c r="AE81" s="48">
        <f t="shared" si="102"/>
        <v>145</v>
      </c>
      <c r="AF81" s="48"/>
      <c r="AG81" s="49"/>
      <c r="AH81" s="50">
        <f t="shared" si="106"/>
        <v>145</v>
      </c>
      <c r="AI81" s="41" t="s">
        <v>555</v>
      </c>
      <c r="AJ81" s="51">
        <f t="shared" si="107"/>
        <v>18.70036</v>
      </c>
      <c r="AK81" s="51">
        <f t="shared" si="108"/>
        <v>18.70036</v>
      </c>
      <c r="AL81" s="41">
        <f t="shared" si="109"/>
        <v>26</v>
      </c>
      <c r="AM81" s="41" t="str">
        <f t="shared" si="110"/>
        <v>30天内</v>
      </c>
      <c r="AN81" s="52">
        <f t="shared" si="111"/>
        <v>0</v>
      </c>
      <c r="AO81" s="41" t="s">
        <v>562</v>
      </c>
      <c r="AP81" s="53">
        <f t="shared" si="112"/>
        <v>0</v>
      </c>
      <c r="AQ81" s="16"/>
    </row>
    <row r="82" spans="1:43">
      <c r="A82" s="41">
        <v>202509</v>
      </c>
      <c r="B82" s="54">
        <v>45915</v>
      </c>
      <c r="C82" s="41" t="s">
        <v>600</v>
      </c>
      <c r="D82" s="41" t="str">
        <f t="shared" ref="D82:I82" si="124">D81</f>
        <v>M » N2 - 1</v>
      </c>
      <c r="E82" s="41" t="str">
        <f t="shared" si="124"/>
        <v>YCD-EX:HUPPER TEK</v>
      </c>
      <c r="F82" s="41" t="str">
        <f t="shared" si="124"/>
        <v>MI202508130012</v>
      </c>
      <c r="G82" s="41" t="str">
        <f t="shared" si="124"/>
        <v>DE2508031-G7-MIC</v>
      </c>
      <c r="H82" s="55">
        <f t="shared" si="124"/>
        <v>45889</v>
      </c>
      <c r="I82" s="56" t="str">
        <f t="shared" si="124"/>
        <v>B07Q3SQT6C</v>
      </c>
      <c r="J82" s="41"/>
      <c r="K82" s="57" t="str">
        <f t="shared" si="92"/>
        <v>金属储物柜71英寸高</v>
      </c>
      <c r="L82" s="41"/>
      <c r="M82" s="46">
        <f t="shared" si="93"/>
        <v>188</v>
      </c>
      <c r="N82" s="46">
        <f t="shared" si="94"/>
        <v>49</v>
      </c>
      <c r="O82" s="46">
        <f t="shared" si="95"/>
        <v>14</v>
      </c>
      <c r="P82" s="41">
        <f t="shared" si="104"/>
        <v>0.128968</v>
      </c>
      <c r="Q82" s="41"/>
      <c r="R82" s="46">
        <f t="shared" si="96"/>
        <v>188</v>
      </c>
      <c r="S82" s="46">
        <f t="shared" si="97"/>
        <v>49</v>
      </c>
      <c r="T82" s="46">
        <f t="shared" si="98"/>
        <v>14</v>
      </c>
      <c r="U82" s="41">
        <f t="shared" si="105"/>
        <v>0.128968</v>
      </c>
      <c r="V82" s="41"/>
      <c r="W82" s="41"/>
      <c r="X82" s="41"/>
      <c r="Y82" s="41"/>
      <c r="Z82" s="41"/>
      <c r="AA82" s="41">
        <f t="shared" si="99"/>
        <v>13</v>
      </c>
      <c r="AB82" s="41">
        <f t="shared" si="100"/>
        <v>151</v>
      </c>
      <c r="AC82" s="41">
        <f t="shared" si="101"/>
        <v>151</v>
      </c>
      <c r="AD82" s="41">
        <v>0</v>
      </c>
      <c r="AE82" s="48">
        <f t="shared" si="102"/>
        <v>145</v>
      </c>
      <c r="AF82" s="48"/>
      <c r="AG82" s="49">
        <v>4</v>
      </c>
      <c r="AH82" s="50">
        <f t="shared" si="106"/>
        <v>141</v>
      </c>
      <c r="AI82" s="41" t="s">
        <v>555</v>
      </c>
      <c r="AJ82" s="51">
        <f t="shared" si="107"/>
        <v>18.184488</v>
      </c>
      <c r="AK82" s="51">
        <f t="shared" si="108"/>
        <v>18.184488</v>
      </c>
      <c r="AL82" s="41">
        <f t="shared" si="109"/>
        <v>27</v>
      </c>
      <c r="AM82" s="41" t="str">
        <f t="shared" si="110"/>
        <v>30天内</v>
      </c>
      <c r="AN82" s="52">
        <f t="shared" si="111"/>
        <v>0</v>
      </c>
      <c r="AO82" s="41" t="s">
        <v>562</v>
      </c>
      <c r="AP82" s="53">
        <f t="shared" si="112"/>
        <v>0</v>
      </c>
      <c r="AQ82" s="16"/>
    </row>
    <row r="83" spans="1:43">
      <c r="A83" s="41">
        <v>202509</v>
      </c>
      <c r="B83" s="54">
        <v>45916</v>
      </c>
      <c r="C83" s="41" t="s">
        <v>600</v>
      </c>
      <c r="D83" s="41" t="str">
        <f t="shared" ref="D83:I83" si="125">D82</f>
        <v>M » N2 - 1</v>
      </c>
      <c r="E83" s="41" t="str">
        <f t="shared" si="125"/>
        <v>YCD-EX:HUPPER TEK</v>
      </c>
      <c r="F83" s="41" t="str">
        <f t="shared" si="125"/>
        <v>MI202508130012</v>
      </c>
      <c r="G83" s="41" t="str">
        <f t="shared" si="125"/>
        <v>DE2508031-G7-MIC</v>
      </c>
      <c r="H83" s="55">
        <f t="shared" si="125"/>
        <v>45889</v>
      </c>
      <c r="I83" s="56" t="str">
        <f t="shared" si="125"/>
        <v>B07Q3SQT6C</v>
      </c>
      <c r="J83" s="41"/>
      <c r="K83" s="57" t="str">
        <f t="shared" si="92"/>
        <v>金属储物柜71英寸高</v>
      </c>
      <c r="L83" s="41"/>
      <c r="M83" s="46">
        <f t="shared" si="93"/>
        <v>188</v>
      </c>
      <c r="N83" s="46">
        <f t="shared" si="94"/>
        <v>49</v>
      </c>
      <c r="O83" s="46">
        <f t="shared" si="95"/>
        <v>14</v>
      </c>
      <c r="P83" s="41">
        <f t="shared" si="104"/>
        <v>0.128968</v>
      </c>
      <c r="Q83" s="41"/>
      <c r="R83" s="46">
        <f t="shared" si="96"/>
        <v>188</v>
      </c>
      <c r="S83" s="46">
        <f t="shared" si="97"/>
        <v>49</v>
      </c>
      <c r="T83" s="46">
        <f t="shared" si="98"/>
        <v>14</v>
      </c>
      <c r="U83" s="41">
        <f t="shared" si="105"/>
        <v>0.128968</v>
      </c>
      <c r="V83" s="41"/>
      <c r="W83" s="41"/>
      <c r="X83" s="41"/>
      <c r="Y83" s="41"/>
      <c r="Z83" s="41"/>
      <c r="AA83" s="41">
        <f t="shared" si="99"/>
        <v>13</v>
      </c>
      <c r="AB83" s="41">
        <f t="shared" si="100"/>
        <v>151</v>
      </c>
      <c r="AC83" s="41">
        <f t="shared" si="101"/>
        <v>151</v>
      </c>
      <c r="AD83" s="41">
        <v>0</v>
      </c>
      <c r="AE83" s="48">
        <f t="shared" si="102"/>
        <v>141</v>
      </c>
      <c r="AF83" s="48"/>
      <c r="AG83" s="49"/>
      <c r="AH83" s="50">
        <f t="shared" si="106"/>
        <v>141</v>
      </c>
      <c r="AI83" s="41" t="s">
        <v>555</v>
      </c>
      <c r="AJ83" s="51">
        <f t="shared" si="107"/>
        <v>18.184488</v>
      </c>
      <c r="AK83" s="51">
        <f t="shared" si="108"/>
        <v>18.184488</v>
      </c>
      <c r="AL83" s="41">
        <f t="shared" si="109"/>
        <v>28</v>
      </c>
      <c r="AM83" s="41" t="str">
        <f t="shared" si="110"/>
        <v>30天内</v>
      </c>
      <c r="AN83" s="52">
        <f t="shared" si="111"/>
        <v>0</v>
      </c>
      <c r="AO83" s="41" t="s">
        <v>562</v>
      </c>
      <c r="AP83" s="53">
        <f t="shared" si="112"/>
        <v>0</v>
      </c>
      <c r="AQ83" s="16"/>
    </row>
    <row r="84" spans="1:43">
      <c r="A84" s="41">
        <v>202509</v>
      </c>
      <c r="B84" s="54">
        <v>45917</v>
      </c>
      <c r="C84" s="41" t="s">
        <v>600</v>
      </c>
      <c r="D84" s="41" t="str">
        <f t="shared" ref="D84:I84" si="126">D83</f>
        <v>M » N2 - 1</v>
      </c>
      <c r="E84" s="41" t="str">
        <f t="shared" si="126"/>
        <v>YCD-EX:HUPPER TEK</v>
      </c>
      <c r="F84" s="41" t="str">
        <f t="shared" si="126"/>
        <v>MI202508130012</v>
      </c>
      <c r="G84" s="41" t="str">
        <f t="shared" si="126"/>
        <v>DE2508031-G7-MIC</v>
      </c>
      <c r="H84" s="55">
        <f t="shared" si="126"/>
        <v>45889</v>
      </c>
      <c r="I84" s="56" t="str">
        <f t="shared" si="126"/>
        <v>B07Q3SQT6C</v>
      </c>
      <c r="J84" s="41"/>
      <c r="K84" s="57" t="str">
        <f t="shared" si="92"/>
        <v>金属储物柜71英寸高</v>
      </c>
      <c r="L84" s="41"/>
      <c r="M84" s="46">
        <f t="shared" si="93"/>
        <v>188</v>
      </c>
      <c r="N84" s="46">
        <f t="shared" si="94"/>
        <v>49</v>
      </c>
      <c r="O84" s="46">
        <f t="shared" si="95"/>
        <v>14</v>
      </c>
      <c r="P84" s="41">
        <f t="shared" si="104"/>
        <v>0.128968</v>
      </c>
      <c r="Q84" s="41"/>
      <c r="R84" s="46">
        <f t="shared" si="96"/>
        <v>188</v>
      </c>
      <c r="S84" s="46">
        <f t="shared" si="97"/>
        <v>49</v>
      </c>
      <c r="T84" s="46">
        <f t="shared" si="98"/>
        <v>14</v>
      </c>
      <c r="U84" s="41">
        <f t="shared" si="105"/>
        <v>0.128968</v>
      </c>
      <c r="V84" s="41"/>
      <c r="W84" s="41"/>
      <c r="X84" s="41"/>
      <c r="Y84" s="41"/>
      <c r="Z84" s="41"/>
      <c r="AA84" s="41">
        <f t="shared" si="99"/>
        <v>13</v>
      </c>
      <c r="AB84" s="41">
        <f t="shared" si="100"/>
        <v>151</v>
      </c>
      <c r="AC84" s="41">
        <f t="shared" si="101"/>
        <v>151</v>
      </c>
      <c r="AD84" s="41">
        <v>0</v>
      </c>
      <c r="AE84" s="48">
        <f t="shared" si="102"/>
        <v>141</v>
      </c>
      <c r="AF84" s="48"/>
      <c r="AG84" s="49"/>
      <c r="AH84" s="50">
        <f t="shared" si="106"/>
        <v>141</v>
      </c>
      <c r="AI84" s="41" t="s">
        <v>555</v>
      </c>
      <c r="AJ84" s="51">
        <f t="shared" si="107"/>
        <v>18.184488</v>
      </c>
      <c r="AK84" s="51">
        <f t="shared" si="108"/>
        <v>18.184488</v>
      </c>
      <c r="AL84" s="41">
        <f t="shared" si="109"/>
        <v>29</v>
      </c>
      <c r="AM84" s="41" t="str">
        <f t="shared" si="110"/>
        <v>30天内</v>
      </c>
      <c r="AN84" s="52">
        <f t="shared" si="111"/>
        <v>0</v>
      </c>
      <c r="AO84" s="41" t="s">
        <v>562</v>
      </c>
      <c r="AP84" s="53">
        <f t="shared" si="112"/>
        <v>0</v>
      </c>
      <c r="AQ84" s="16"/>
    </row>
    <row r="85" spans="1:43">
      <c r="A85" s="41">
        <v>202509</v>
      </c>
      <c r="B85" s="54">
        <v>45918</v>
      </c>
      <c r="C85" s="41" t="s">
        <v>600</v>
      </c>
      <c r="D85" s="41" t="str">
        <f t="shared" ref="D85:I85" si="127">D84</f>
        <v>M » N2 - 1</v>
      </c>
      <c r="E85" s="41" t="str">
        <f t="shared" si="127"/>
        <v>YCD-EX:HUPPER TEK</v>
      </c>
      <c r="F85" s="41" t="str">
        <f t="shared" si="127"/>
        <v>MI202508130012</v>
      </c>
      <c r="G85" s="41" t="str">
        <f t="shared" si="127"/>
        <v>DE2508031-G7-MIC</v>
      </c>
      <c r="H85" s="55">
        <f t="shared" si="127"/>
        <v>45889</v>
      </c>
      <c r="I85" s="56" t="str">
        <f t="shared" si="127"/>
        <v>B07Q3SQT6C</v>
      </c>
      <c r="J85" s="41"/>
      <c r="K85" s="57" t="str">
        <f t="shared" si="92"/>
        <v>金属储物柜71英寸高</v>
      </c>
      <c r="L85" s="41"/>
      <c r="M85" s="46">
        <f t="shared" si="93"/>
        <v>188</v>
      </c>
      <c r="N85" s="46">
        <f t="shared" si="94"/>
        <v>49</v>
      </c>
      <c r="O85" s="46">
        <f t="shared" si="95"/>
        <v>14</v>
      </c>
      <c r="P85" s="41">
        <f t="shared" si="104"/>
        <v>0.128968</v>
      </c>
      <c r="Q85" s="41"/>
      <c r="R85" s="46">
        <f t="shared" si="96"/>
        <v>188</v>
      </c>
      <c r="S85" s="46">
        <f t="shared" si="97"/>
        <v>49</v>
      </c>
      <c r="T85" s="46">
        <f t="shared" si="98"/>
        <v>14</v>
      </c>
      <c r="U85" s="41">
        <f t="shared" si="105"/>
        <v>0.128968</v>
      </c>
      <c r="V85" s="41"/>
      <c r="W85" s="41"/>
      <c r="X85" s="41"/>
      <c r="Y85" s="41"/>
      <c r="Z85" s="41"/>
      <c r="AA85" s="41">
        <f t="shared" si="99"/>
        <v>13</v>
      </c>
      <c r="AB85" s="41">
        <f t="shared" si="100"/>
        <v>151</v>
      </c>
      <c r="AC85" s="41">
        <f t="shared" si="101"/>
        <v>151</v>
      </c>
      <c r="AD85" s="41">
        <v>0</v>
      </c>
      <c r="AE85" s="48">
        <f t="shared" si="102"/>
        <v>141</v>
      </c>
      <c r="AF85" s="48"/>
      <c r="AG85" s="49">
        <v>4</v>
      </c>
      <c r="AH85" s="50">
        <f t="shared" si="106"/>
        <v>137</v>
      </c>
      <c r="AI85" s="41" t="s">
        <v>555</v>
      </c>
      <c r="AJ85" s="51">
        <f t="shared" si="107"/>
        <v>17.668616</v>
      </c>
      <c r="AK85" s="51">
        <f t="shared" si="108"/>
        <v>17.668616</v>
      </c>
      <c r="AL85" s="41">
        <f t="shared" si="109"/>
        <v>30</v>
      </c>
      <c r="AM85" s="41" t="str">
        <f t="shared" si="110"/>
        <v>30天内</v>
      </c>
      <c r="AN85" s="52">
        <f t="shared" si="111"/>
        <v>0</v>
      </c>
      <c r="AO85" s="41" t="s">
        <v>562</v>
      </c>
      <c r="AP85" s="53">
        <f t="shared" si="112"/>
        <v>0</v>
      </c>
      <c r="AQ85" s="16"/>
    </row>
    <row r="86" ht="16.5" spans="1:43">
      <c r="A86" s="41">
        <v>202509</v>
      </c>
      <c r="B86" s="54">
        <v>45919</v>
      </c>
      <c r="C86" s="41" t="s">
        <v>600</v>
      </c>
      <c r="D86" s="41" t="str">
        <f t="shared" ref="D86:I86" si="128">D85</f>
        <v>M » N2 - 1</v>
      </c>
      <c r="E86" s="41" t="str">
        <f t="shared" si="128"/>
        <v>YCD-EX:HUPPER TEK</v>
      </c>
      <c r="F86" s="41" t="str">
        <f t="shared" si="128"/>
        <v>MI202508130012</v>
      </c>
      <c r="G86" s="41" t="str">
        <f t="shared" si="128"/>
        <v>DE2508031-G7-MIC</v>
      </c>
      <c r="H86" s="55">
        <f t="shared" si="128"/>
        <v>45889</v>
      </c>
      <c r="I86" s="56" t="str">
        <f t="shared" si="128"/>
        <v>B07Q3SQT6C</v>
      </c>
      <c r="J86" s="41"/>
      <c r="K86" s="57" t="str">
        <f t="shared" si="92"/>
        <v>金属储物柜71英寸高</v>
      </c>
      <c r="L86" s="41"/>
      <c r="M86" s="46">
        <f t="shared" si="93"/>
        <v>188</v>
      </c>
      <c r="N86" s="46">
        <f t="shared" si="94"/>
        <v>49</v>
      </c>
      <c r="O86" s="46">
        <f t="shared" si="95"/>
        <v>14</v>
      </c>
      <c r="P86" s="41">
        <f t="shared" si="104"/>
        <v>0.128968</v>
      </c>
      <c r="Q86" s="41"/>
      <c r="R86" s="46">
        <f t="shared" si="96"/>
        <v>188</v>
      </c>
      <c r="S86" s="46">
        <f t="shared" si="97"/>
        <v>49</v>
      </c>
      <c r="T86" s="46">
        <f t="shared" si="98"/>
        <v>14</v>
      </c>
      <c r="U86" s="41">
        <f t="shared" si="105"/>
        <v>0.128968</v>
      </c>
      <c r="V86" s="41"/>
      <c r="W86" s="41"/>
      <c r="X86" s="41"/>
      <c r="Y86" s="41"/>
      <c r="Z86" s="41"/>
      <c r="AA86" s="41">
        <f t="shared" si="99"/>
        <v>13</v>
      </c>
      <c r="AB86" s="41">
        <f t="shared" si="100"/>
        <v>151</v>
      </c>
      <c r="AC86" s="41">
        <f t="shared" si="101"/>
        <v>151</v>
      </c>
      <c r="AD86" s="41">
        <v>0</v>
      </c>
      <c r="AE86" s="48">
        <f t="shared" si="102"/>
        <v>137</v>
      </c>
      <c r="AF86" s="48"/>
      <c r="AG86" s="49">
        <v>2</v>
      </c>
      <c r="AH86" s="50">
        <f t="shared" ref="AH86:AH98" si="129">AE86+AF86-AG86</f>
        <v>135</v>
      </c>
      <c r="AI86" s="41" t="s">
        <v>555</v>
      </c>
      <c r="AJ86" s="51">
        <f t="shared" si="107"/>
        <v>17.41068</v>
      </c>
      <c r="AK86" s="51">
        <f t="shared" si="108"/>
        <v>17.41068</v>
      </c>
      <c r="AL86" s="41">
        <f t="shared" si="109"/>
        <v>31</v>
      </c>
      <c r="AM86" s="41" t="str">
        <f t="shared" si="110"/>
        <v>31-90天</v>
      </c>
      <c r="AN86" s="59">
        <v>0.7</v>
      </c>
      <c r="AO86" s="41" t="s">
        <v>562</v>
      </c>
      <c r="AP86" s="53">
        <f t="shared" si="112"/>
        <v>12.187476</v>
      </c>
      <c r="AQ86" s="16"/>
    </row>
    <row r="87" ht="16.5" spans="1:43">
      <c r="A87" s="41">
        <v>202509</v>
      </c>
      <c r="B87" s="54">
        <v>45920</v>
      </c>
      <c r="C87" s="41" t="s">
        <v>600</v>
      </c>
      <c r="D87" s="41" t="str">
        <f t="shared" ref="D87:I87" si="130">D86</f>
        <v>M » N2 - 1</v>
      </c>
      <c r="E87" s="41" t="str">
        <f t="shared" si="130"/>
        <v>YCD-EX:HUPPER TEK</v>
      </c>
      <c r="F87" s="41" t="str">
        <f t="shared" si="130"/>
        <v>MI202508130012</v>
      </c>
      <c r="G87" s="41" t="str">
        <f t="shared" si="130"/>
        <v>DE2508031-G7-MIC</v>
      </c>
      <c r="H87" s="55">
        <f t="shared" si="130"/>
        <v>45889</v>
      </c>
      <c r="I87" s="56" t="str">
        <f t="shared" si="130"/>
        <v>B07Q3SQT6C</v>
      </c>
      <c r="J87" s="41"/>
      <c r="K87" s="57" t="str">
        <f t="shared" si="92"/>
        <v>金属储物柜71英寸高</v>
      </c>
      <c r="L87" s="41"/>
      <c r="M87" s="46">
        <f t="shared" si="93"/>
        <v>188</v>
      </c>
      <c r="N87" s="46">
        <f t="shared" si="94"/>
        <v>49</v>
      </c>
      <c r="O87" s="46">
        <f t="shared" si="95"/>
        <v>14</v>
      </c>
      <c r="P87" s="41">
        <f t="shared" si="104"/>
        <v>0.128968</v>
      </c>
      <c r="Q87" s="41"/>
      <c r="R87" s="46">
        <f t="shared" si="96"/>
        <v>188</v>
      </c>
      <c r="S87" s="46">
        <f t="shared" si="97"/>
        <v>49</v>
      </c>
      <c r="T87" s="46">
        <f t="shared" si="98"/>
        <v>14</v>
      </c>
      <c r="U87" s="41">
        <f t="shared" si="105"/>
        <v>0.128968</v>
      </c>
      <c r="V87" s="41"/>
      <c r="W87" s="41"/>
      <c r="X87" s="41"/>
      <c r="Y87" s="41"/>
      <c r="Z87" s="41"/>
      <c r="AA87" s="41">
        <f t="shared" si="99"/>
        <v>13</v>
      </c>
      <c r="AB87" s="41">
        <f t="shared" si="100"/>
        <v>151</v>
      </c>
      <c r="AC87" s="41">
        <f t="shared" si="101"/>
        <v>151</v>
      </c>
      <c r="AD87" s="41">
        <v>0</v>
      </c>
      <c r="AE87" s="48">
        <f t="shared" si="102"/>
        <v>135</v>
      </c>
      <c r="AF87" s="48"/>
      <c r="AG87" s="49"/>
      <c r="AH87" s="50">
        <f t="shared" si="129"/>
        <v>135</v>
      </c>
      <c r="AI87" s="41" t="s">
        <v>555</v>
      </c>
      <c r="AJ87" s="51">
        <f t="shared" si="107"/>
        <v>17.41068</v>
      </c>
      <c r="AK87" s="51">
        <f t="shared" si="108"/>
        <v>17.41068</v>
      </c>
      <c r="AL87" s="41">
        <f t="shared" si="109"/>
        <v>32</v>
      </c>
      <c r="AM87" s="41" t="str">
        <f t="shared" si="110"/>
        <v>31-90天</v>
      </c>
      <c r="AN87" s="59">
        <v>0.7</v>
      </c>
      <c r="AO87" s="41" t="s">
        <v>562</v>
      </c>
      <c r="AP87" s="53">
        <f t="shared" si="112"/>
        <v>12.187476</v>
      </c>
      <c r="AQ87" s="16"/>
    </row>
    <row r="88" ht="16.5" spans="1:43">
      <c r="A88" s="41">
        <v>202509</v>
      </c>
      <c r="B88" s="54">
        <v>45921</v>
      </c>
      <c r="C88" s="41" t="s">
        <v>600</v>
      </c>
      <c r="D88" s="41" t="str">
        <f t="shared" ref="D88:I88" si="131">D87</f>
        <v>M » N2 - 1</v>
      </c>
      <c r="E88" s="41" t="str">
        <f t="shared" si="131"/>
        <v>YCD-EX:HUPPER TEK</v>
      </c>
      <c r="F88" s="41" t="str">
        <f t="shared" si="131"/>
        <v>MI202508130012</v>
      </c>
      <c r="G88" s="41" t="str">
        <f t="shared" si="131"/>
        <v>DE2508031-G7-MIC</v>
      </c>
      <c r="H88" s="55">
        <f t="shared" si="131"/>
        <v>45889</v>
      </c>
      <c r="I88" s="56" t="str">
        <f t="shared" si="131"/>
        <v>B07Q3SQT6C</v>
      </c>
      <c r="J88" s="41"/>
      <c r="K88" s="57" t="str">
        <f t="shared" si="92"/>
        <v>金属储物柜71英寸高</v>
      </c>
      <c r="L88" s="41"/>
      <c r="M88" s="46">
        <f t="shared" si="93"/>
        <v>188</v>
      </c>
      <c r="N88" s="46">
        <f t="shared" si="94"/>
        <v>49</v>
      </c>
      <c r="O88" s="46">
        <f t="shared" si="95"/>
        <v>14</v>
      </c>
      <c r="P88" s="41">
        <f t="shared" si="104"/>
        <v>0.128968</v>
      </c>
      <c r="Q88" s="41"/>
      <c r="R88" s="46">
        <f t="shared" si="96"/>
        <v>188</v>
      </c>
      <c r="S88" s="46">
        <f t="shared" si="97"/>
        <v>49</v>
      </c>
      <c r="T88" s="46">
        <f t="shared" si="98"/>
        <v>14</v>
      </c>
      <c r="U88" s="41">
        <f t="shared" si="105"/>
        <v>0.128968</v>
      </c>
      <c r="V88" s="41"/>
      <c r="W88" s="41"/>
      <c r="X88" s="41"/>
      <c r="Y88" s="41"/>
      <c r="Z88" s="41"/>
      <c r="AA88" s="41">
        <f t="shared" si="99"/>
        <v>13</v>
      </c>
      <c r="AB88" s="41">
        <f t="shared" si="100"/>
        <v>151</v>
      </c>
      <c r="AC88" s="41">
        <f t="shared" si="101"/>
        <v>151</v>
      </c>
      <c r="AD88" s="41">
        <v>0</v>
      </c>
      <c r="AE88" s="48">
        <f t="shared" si="102"/>
        <v>135</v>
      </c>
      <c r="AF88" s="48"/>
      <c r="AG88" s="49"/>
      <c r="AH88" s="50">
        <f t="shared" si="129"/>
        <v>135</v>
      </c>
      <c r="AI88" s="41" t="s">
        <v>555</v>
      </c>
      <c r="AJ88" s="51">
        <f t="shared" si="107"/>
        <v>17.41068</v>
      </c>
      <c r="AK88" s="51">
        <f t="shared" si="108"/>
        <v>17.41068</v>
      </c>
      <c r="AL88" s="41">
        <f t="shared" si="109"/>
        <v>33</v>
      </c>
      <c r="AM88" s="41" t="str">
        <f t="shared" si="110"/>
        <v>31-90天</v>
      </c>
      <c r="AN88" s="59">
        <v>0.7</v>
      </c>
      <c r="AO88" s="41" t="s">
        <v>562</v>
      </c>
      <c r="AP88" s="53">
        <f t="shared" si="112"/>
        <v>12.187476</v>
      </c>
      <c r="AQ88" s="16"/>
    </row>
    <row r="89" ht="16.5" spans="1:43">
      <c r="A89" s="41">
        <v>202509</v>
      </c>
      <c r="B89" s="54">
        <v>45922</v>
      </c>
      <c r="C89" s="41" t="s">
        <v>600</v>
      </c>
      <c r="D89" s="41" t="str">
        <f t="shared" ref="D89:I89" si="132">D88</f>
        <v>M » N2 - 1</v>
      </c>
      <c r="E89" s="41" t="str">
        <f t="shared" si="132"/>
        <v>YCD-EX:HUPPER TEK</v>
      </c>
      <c r="F89" s="41" t="str">
        <f t="shared" si="132"/>
        <v>MI202508130012</v>
      </c>
      <c r="G89" s="41" t="str">
        <f t="shared" si="132"/>
        <v>DE2508031-G7-MIC</v>
      </c>
      <c r="H89" s="55">
        <f t="shared" si="132"/>
        <v>45889</v>
      </c>
      <c r="I89" s="56" t="str">
        <f t="shared" si="132"/>
        <v>B07Q3SQT6C</v>
      </c>
      <c r="J89" s="41"/>
      <c r="K89" s="57" t="str">
        <f t="shared" si="92"/>
        <v>金属储物柜71英寸高</v>
      </c>
      <c r="L89" s="41"/>
      <c r="M89" s="46">
        <f t="shared" si="93"/>
        <v>188</v>
      </c>
      <c r="N89" s="46">
        <f t="shared" si="94"/>
        <v>49</v>
      </c>
      <c r="O89" s="46">
        <f t="shared" si="95"/>
        <v>14</v>
      </c>
      <c r="P89" s="41">
        <f t="shared" si="104"/>
        <v>0.128968</v>
      </c>
      <c r="Q89" s="41"/>
      <c r="R89" s="46">
        <f t="shared" si="96"/>
        <v>188</v>
      </c>
      <c r="S89" s="46">
        <f t="shared" si="97"/>
        <v>49</v>
      </c>
      <c r="T89" s="46">
        <f t="shared" si="98"/>
        <v>14</v>
      </c>
      <c r="U89" s="41">
        <f t="shared" si="105"/>
        <v>0.128968</v>
      </c>
      <c r="V89" s="41"/>
      <c r="W89" s="41"/>
      <c r="X89" s="41"/>
      <c r="Y89" s="41"/>
      <c r="Z89" s="41"/>
      <c r="AA89" s="41">
        <f t="shared" si="99"/>
        <v>13</v>
      </c>
      <c r="AB89" s="41">
        <f t="shared" si="100"/>
        <v>151</v>
      </c>
      <c r="AC89" s="41">
        <f t="shared" si="101"/>
        <v>151</v>
      </c>
      <c r="AD89" s="41">
        <v>0</v>
      </c>
      <c r="AE89" s="48">
        <f t="shared" si="102"/>
        <v>135</v>
      </c>
      <c r="AF89" s="48"/>
      <c r="AG89" s="49">
        <v>2</v>
      </c>
      <c r="AH89" s="50">
        <f t="shared" si="129"/>
        <v>133</v>
      </c>
      <c r="AI89" s="41" t="s">
        <v>555</v>
      </c>
      <c r="AJ89" s="51">
        <f t="shared" si="107"/>
        <v>17.152744</v>
      </c>
      <c r="AK89" s="51">
        <f t="shared" si="108"/>
        <v>17.152744</v>
      </c>
      <c r="AL89" s="41">
        <f t="shared" si="109"/>
        <v>34</v>
      </c>
      <c r="AM89" s="41" t="str">
        <f t="shared" si="110"/>
        <v>31-90天</v>
      </c>
      <c r="AN89" s="59">
        <v>0.7</v>
      </c>
      <c r="AO89" s="41" t="s">
        <v>562</v>
      </c>
      <c r="AP89" s="53">
        <f t="shared" si="112"/>
        <v>12.0069208</v>
      </c>
      <c r="AQ89" s="16"/>
    </row>
    <row r="90" ht="16.5" spans="1:43">
      <c r="A90" s="41">
        <v>202509</v>
      </c>
      <c r="B90" s="54">
        <v>45923</v>
      </c>
      <c r="C90" s="41" t="s">
        <v>600</v>
      </c>
      <c r="D90" s="41" t="str">
        <f t="shared" ref="D90:I90" si="133">D89</f>
        <v>M » N2 - 1</v>
      </c>
      <c r="E90" s="41" t="str">
        <f t="shared" si="133"/>
        <v>YCD-EX:HUPPER TEK</v>
      </c>
      <c r="F90" s="41" t="str">
        <f t="shared" si="133"/>
        <v>MI202508130012</v>
      </c>
      <c r="G90" s="41" t="str">
        <f t="shared" si="133"/>
        <v>DE2508031-G7-MIC</v>
      </c>
      <c r="H90" s="55">
        <f t="shared" si="133"/>
        <v>45889</v>
      </c>
      <c r="I90" s="56" t="str">
        <f t="shared" si="133"/>
        <v>B07Q3SQT6C</v>
      </c>
      <c r="J90" s="41"/>
      <c r="K90" s="57" t="str">
        <f t="shared" si="92"/>
        <v>金属储物柜71英寸高</v>
      </c>
      <c r="L90" s="41"/>
      <c r="M90" s="46">
        <f t="shared" si="93"/>
        <v>188</v>
      </c>
      <c r="N90" s="46">
        <f t="shared" si="94"/>
        <v>49</v>
      </c>
      <c r="O90" s="46">
        <f t="shared" si="95"/>
        <v>14</v>
      </c>
      <c r="P90" s="41">
        <f t="shared" si="104"/>
        <v>0.128968</v>
      </c>
      <c r="Q90" s="41"/>
      <c r="R90" s="46">
        <f t="shared" si="96"/>
        <v>188</v>
      </c>
      <c r="S90" s="46">
        <f t="shared" si="97"/>
        <v>49</v>
      </c>
      <c r="T90" s="46">
        <f t="shared" si="98"/>
        <v>14</v>
      </c>
      <c r="U90" s="41">
        <f t="shared" si="105"/>
        <v>0.128968</v>
      </c>
      <c r="V90" s="41"/>
      <c r="W90" s="41"/>
      <c r="X90" s="41"/>
      <c r="Y90" s="41"/>
      <c r="Z90" s="41"/>
      <c r="AA90" s="41">
        <f t="shared" si="99"/>
        <v>13</v>
      </c>
      <c r="AB90" s="41">
        <f t="shared" si="100"/>
        <v>151</v>
      </c>
      <c r="AC90" s="41">
        <f t="shared" si="101"/>
        <v>151</v>
      </c>
      <c r="AD90" s="41">
        <v>0</v>
      </c>
      <c r="AE90" s="48">
        <f t="shared" si="102"/>
        <v>133</v>
      </c>
      <c r="AF90" s="48"/>
      <c r="AG90" s="49">
        <v>1</v>
      </c>
      <c r="AH90" s="50">
        <f t="shared" si="129"/>
        <v>132</v>
      </c>
      <c r="AI90" s="41" t="s">
        <v>555</v>
      </c>
      <c r="AJ90" s="51">
        <f t="shared" si="107"/>
        <v>17.023776</v>
      </c>
      <c r="AK90" s="51">
        <f t="shared" si="108"/>
        <v>17.023776</v>
      </c>
      <c r="AL90" s="41">
        <f t="shared" si="109"/>
        <v>35</v>
      </c>
      <c r="AM90" s="41" t="str">
        <f t="shared" si="110"/>
        <v>31-90天</v>
      </c>
      <c r="AN90" s="59">
        <v>0.7</v>
      </c>
      <c r="AO90" s="41" t="s">
        <v>562</v>
      </c>
      <c r="AP90" s="53">
        <f t="shared" si="112"/>
        <v>11.9166432</v>
      </c>
      <c r="AQ90" s="16"/>
    </row>
    <row r="91" ht="16.5" spans="1:43">
      <c r="A91" s="41">
        <v>202509</v>
      </c>
      <c r="B91" s="54">
        <v>45924</v>
      </c>
      <c r="C91" s="41" t="s">
        <v>600</v>
      </c>
      <c r="D91" s="41" t="str">
        <f t="shared" ref="D91:I91" si="134">D90</f>
        <v>M » N2 - 1</v>
      </c>
      <c r="E91" s="41" t="str">
        <f t="shared" si="134"/>
        <v>YCD-EX:HUPPER TEK</v>
      </c>
      <c r="F91" s="41" t="str">
        <f t="shared" si="134"/>
        <v>MI202508130012</v>
      </c>
      <c r="G91" s="41" t="str">
        <f t="shared" si="134"/>
        <v>DE2508031-G7-MIC</v>
      </c>
      <c r="H91" s="55">
        <f t="shared" si="134"/>
        <v>45889</v>
      </c>
      <c r="I91" s="56" t="str">
        <f t="shared" si="134"/>
        <v>B07Q3SQT6C</v>
      </c>
      <c r="J91" s="41"/>
      <c r="K91" s="57" t="str">
        <f t="shared" si="92"/>
        <v>金属储物柜71英寸高</v>
      </c>
      <c r="L91" s="41"/>
      <c r="M91" s="46">
        <f t="shared" si="93"/>
        <v>188</v>
      </c>
      <c r="N91" s="46">
        <f t="shared" si="94"/>
        <v>49</v>
      </c>
      <c r="O91" s="46">
        <f t="shared" si="95"/>
        <v>14</v>
      </c>
      <c r="P91" s="41">
        <f t="shared" si="104"/>
        <v>0.128968</v>
      </c>
      <c r="Q91" s="41"/>
      <c r="R91" s="46">
        <f t="shared" si="96"/>
        <v>188</v>
      </c>
      <c r="S91" s="46">
        <f t="shared" si="97"/>
        <v>49</v>
      </c>
      <c r="T91" s="46">
        <f t="shared" si="98"/>
        <v>14</v>
      </c>
      <c r="U91" s="41">
        <f t="shared" si="105"/>
        <v>0.128968</v>
      </c>
      <c r="V91" s="41"/>
      <c r="W91" s="41"/>
      <c r="X91" s="41"/>
      <c r="Y91" s="41"/>
      <c r="Z91" s="41"/>
      <c r="AA91" s="41">
        <f t="shared" si="99"/>
        <v>13</v>
      </c>
      <c r="AB91" s="41">
        <f t="shared" si="100"/>
        <v>151</v>
      </c>
      <c r="AC91" s="41">
        <f t="shared" si="101"/>
        <v>151</v>
      </c>
      <c r="AD91" s="41">
        <v>0</v>
      </c>
      <c r="AE91" s="48">
        <f t="shared" si="102"/>
        <v>132</v>
      </c>
      <c r="AF91" s="48"/>
      <c r="AG91" s="49">
        <v>4</v>
      </c>
      <c r="AH91" s="50">
        <f t="shared" si="129"/>
        <v>128</v>
      </c>
      <c r="AI91" s="41" t="s">
        <v>555</v>
      </c>
      <c r="AJ91" s="51">
        <f t="shared" si="107"/>
        <v>16.507904</v>
      </c>
      <c r="AK91" s="51">
        <f t="shared" si="108"/>
        <v>16.507904</v>
      </c>
      <c r="AL91" s="41">
        <f t="shared" si="109"/>
        <v>36</v>
      </c>
      <c r="AM91" s="41" t="str">
        <f t="shared" si="110"/>
        <v>31-90天</v>
      </c>
      <c r="AN91" s="59">
        <v>0.7</v>
      </c>
      <c r="AO91" s="41" t="s">
        <v>562</v>
      </c>
      <c r="AP91" s="53">
        <f t="shared" si="112"/>
        <v>11.5555328</v>
      </c>
      <c r="AQ91" s="16"/>
    </row>
    <row r="92" ht="16.5" spans="1:43">
      <c r="A92" s="41">
        <v>202509</v>
      </c>
      <c r="B92" s="54">
        <v>45925</v>
      </c>
      <c r="C92" s="41" t="s">
        <v>600</v>
      </c>
      <c r="D92" s="41" t="str">
        <f t="shared" ref="D92:I92" si="135">D91</f>
        <v>M » N2 - 1</v>
      </c>
      <c r="E92" s="41" t="str">
        <f t="shared" si="135"/>
        <v>YCD-EX:HUPPER TEK</v>
      </c>
      <c r="F92" s="41" t="str">
        <f t="shared" si="135"/>
        <v>MI202508130012</v>
      </c>
      <c r="G92" s="41" t="str">
        <f t="shared" si="135"/>
        <v>DE2508031-G7-MIC</v>
      </c>
      <c r="H92" s="55">
        <f t="shared" si="135"/>
        <v>45889</v>
      </c>
      <c r="I92" s="56" t="str">
        <f t="shared" si="135"/>
        <v>B07Q3SQT6C</v>
      </c>
      <c r="J92" s="41"/>
      <c r="K92" s="57" t="str">
        <f t="shared" si="92"/>
        <v>金属储物柜71英寸高</v>
      </c>
      <c r="L92" s="41"/>
      <c r="M92" s="46">
        <f t="shared" si="93"/>
        <v>188</v>
      </c>
      <c r="N92" s="46">
        <f t="shared" si="94"/>
        <v>49</v>
      </c>
      <c r="O92" s="46">
        <f t="shared" si="95"/>
        <v>14</v>
      </c>
      <c r="P92" s="41">
        <f t="shared" si="104"/>
        <v>0.128968</v>
      </c>
      <c r="Q92" s="41"/>
      <c r="R92" s="46">
        <f t="shared" si="96"/>
        <v>188</v>
      </c>
      <c r="S92" s="46">
        <f t="shared" si="97"/>
        <v>49</v>
      </c>
      <c r="T92" s="46">
        <f t="shared" si="98"/>
        <v>14</v>
      </c>
      <c r="U92" s="41">
        <f t="shared" si="105"/>
        <v>0.128968</v>
      </c>
      <c r="V92" s="41"/>
      <c r="W92" s="41"/>
      <c r="X92" s="41"/>
      <c r="Y92" s="41"/>
      <c r="Z92" s="41"/>
      <c r="AA92" s="41">
        <f t="shared" si="99"/>
        <v>13</v>
      </c>
      <c r="AB92" s="41">
        <f t="shared" si="100"/>
        <v>151</v>
      </c>
      <c r="AC92" s="41">
        <f t="shared" si="101"/>
        <v>151</v>
      </c>
      <c r="AD92" s="41">
        <v>0</v>
      </c>
      <c r="AE92" s="48">
        <f t="shared" si="102"/>
        <v>128</v>
      </c>
      <c r="AF92" s="60"/>
      <c r="AG92" s="49">
        <v>4</v>
      </c>
      <c r="AH92" s="50">
        <f t="shared" si="129"/>
        <v>124</v>
      </c>
      <c r="AI92" s="41" t="s">
        <v>555</v>
      </c>
      <c r="AJ92" s="51">
        <f t="shared" si="107"/>
        <v>15.992032</v>
      </c>
      <c r="AK92" s="51">
        <f t="shared" si="108"/>
        <v>15.992032</v>
      </c>
      <c r="AL92" s="41">
        <f t="shared" si="109"/>
        <v>37</v>
      </c>
      <c r="AM92" s="41" t="str">
        <f t="shared" si="110"/>
        <v>31-90天</v>
      </c>
      <c r="AN92" s="59">
        <v>0.7</v>
      </c>
      <c r="AO92" s="41" t="s">
        <v>562</v>
      </c>
      <c r="AP92" s="53">
        <f t="shared" si="112"/>
        <v>11.1944224</v>
      </c>
      <c r="AQ92" s="16"/>
    </row>
    <row r="93" ht="16.5" spans="1:43">
      <c r="A93" s="41">
        <v>202509</v>
      </c>
      <c r="B93" s="54">
        <v>45926</v>
      </c>
      <c r="C93" s="41" t="s">
        <v>600</v>
      </c>
      <c r="D93" s="41" t="str">
        <f t="shared" ref="D93:I93" si="136">D92</f>
        <v>M » N2 - 1</v>
      </c>
      <c r="E93" s="41" t="str">
        <f t="shared" si="136"/>
        <v>YCD-EX:HUPPER TEK</v>
      </c>
      <c r="F93" s="41" t="str">
        <f t="shared" si="136"/>
        <v>MI202508130012</v>
      </c>
      <c r="G93" s="41" t="str">
        <f t="shared" si="136"/>
        <v>DE2508031-G7-MIC</v>
      </c>
      <c r="H93" s="55">
        <f t="shared" si="136"/>
        <v>45889</v>
      </c>
      <c r="I93" s="56" t="str">
        <f t="shared" si="136"/>
        <v>B07Q3SQT6C</v>
      </c>
      <c r="J93" s="41"/>
      <c r="K93" s="57" t="str">
        <f t="shared" si="92"/>
        <v>金属储物柜71英寸高</v>
      </c>
      <c r="L93" s="41"/>
      <c r="M93" s="46">
        <f t="shared" si="93"/>
        <v>188</v>
      </c>
      <c r="N93" s="46">
        <f t="shared" si="94"/>
        <v>49</v>
      </c>
      <c r="O93" s="46">
        <f t="shared" si="95"/>
        <v>14</v>
      </c>
      <c r="P93" s="41">
        <f t="shared" si="104"/>
        <v>0.128968</v>
      </c>
      <c r="Q93" s="41"/>
      <c r="R93" s="46">
        <f t="shared" si="96"/>
        <v>188</v>
      </c>
      <c r="S93" s="46">
        <f t="shared" si="97"/>
        <v>49</v>
      </c>
      <c r="T93" s="46">
        <f t="shared" si="98"/>
        <v>14</v>
      </c>
      <c r="U93" s="41">
        <f t="shared" si="105"/>
        <v>0.128968</v>
      </c>
      <c r="V93" s="41"/>
      <c r="W93" s="41"/>
      <c r="X93" s="41"/>
      <c r="Y93" s="41"/>
      <c r="Z93" s="41"/>
      <c r="AA93" s="41">
        <f t="shared" si="99"/>
        <v>13</v>
      </c>
      <c r="AB93" s="41">
        <f t="shared" si="100"/>
        <v>151</v>
      </c>
      <c r="AC93" s="41">
        <f t="shared" si="101"/>
        <v>151</v>
      </c>
      <c r="AD93" s="41">
        <v>0</v>
      </c>
      <c r="AE93" s="48">
        <f t="shared" si="102"/>
        <v>124</v>
      </c>
      <c r="AF93" s="60"/>
      <c r="AG93" s="49">
        <v>2</v>
      </c>
      <c r="AH93" s="50">
        <f t="shared" si="129"/>
        <v>122</v>
      </c>
      <c r="AI93" s="41" t="s">
        <v>555</v>
      </c>
      <c r="AJ93" s="51">
        <f t="shared" si="107"/>
        <v>15.734096</v>
      </c>
      <c r="AK93" s="51">
        <f t="shared" si="108"/>
        <v>15.734096</v>
      </c>
      <c r="AL93" s="41">
        <f t="shared" si="109"/>
        <v>38</v>
      </c>
      <c r="AM93" s="41" t="str">
        <f t="shared" si="110"/>
        <v>31-90天</v>
      </c>
      <c r="AN93" s="59">
        <v>0.7</v>
      </c>
      <c r="AO93" s="41" t="s">
        <v>562</v>
      </c>
      <c r="AP93" s="53">
        <f t="shared" si="112"/>
        <v>11.0138672</v>
      </c>
      <c r="AQ93" s="16"/>
    </row>
    <row r="94" ht="16.5" spans="1:43">
      <c r="A94" s="41">
        <v>202509</v>
      </c>
      <c r="B94" s="54">
        <v>45927</v>
      </c>
      <c r="C94" s="41" t="s">
        <v>600</v>
      </c>
      <c r="D94" s="41" t="str">
        <f t="shared" ref="D94:I94" si="137">D93</f>
        <v>M » N2 - 1</v>
      </c>
      <c r="E94" s="41" t="str">
        <f t="shared" si="137"/>
        <v>YCD-EX:HUPPER TEK</v>
      </c>
      <c r="F94" s="41" t="str">
        <f t="shared" si="137"/>
        <v>MI202508130012</v>
      </c>
      <c r="G94" s="41" t="str">
        <f t="shared" si="137"/>
        <v>DE2508031-G7-MIC</v>
      </c>
      <c r="H94" s="55">
        <f t="shared" si="137"/>
        <v>45889</v>
      </c>
      <c r="I94" s="56" t="str">
        <f t="shared" si="137"/>
        <v>B07Q3SQT6C</v>
      </c>
      <c r="J94" s="41"/>
      <c r="K94" s="57" t="str">
        <f t="shared" si="92"/>
        <v>金属储物柜71英寸高</v>
      </c>
      <c r="L94" s="41"/>
      <c r="M94" s="46">
        <f t="shared" si="93"/>
        <v>188</v>
      </c>
      <c r="N94" s="46">
        <f t="shared" si="94"/>
        <v>49</v>
      </c>
      <c r="O94" s="46">
        <f t="shared" si="95"/>
        <v>14</v>
      </c>
      <c r="P94" s="41">
        <f t="shared" si="104"/>
        <v>0.128968</v>
      </c>
      <c r="Q94" s="41"/>
      <c r="R94" s="46">
        <f t="shared" si="96"/>
        <v>188</v>
      </c>
      <c r="S94" s="46">
        <f t="shared" si="97"/>
        <v>49</v>
      </c>
      <c r="T94" s="46">
        <f t="shared" si="98"/>
        <v>14</v>
      </c>
      <c r="U94" s="41">
        <f t="shared" si="105"/>
        <v>0.128968</v>
      </c>
      <c r="V94" s="41"/>
      <c r="W94" s="41"/>
      <c r="X94" s="41"/>
      <c r="Y94" s="41"/>
      <c r="Z94" s="41"/>
      <c r="AA94" s="41">
        <f t="shared" si="99"/>
        <v>13</v>
      </c>
      <c r="AB94" s="41">
        <f t="shared" si="100"/>
        <v>151</v>
      </c>
      <c r="AC94" s="41">
        <f t="shared" si="101"/>
        <v>151</v>
      </c>
      <c r="AD94" s="41">
        <v>0</v>
      </c>
      <c r="AE94" s="48">
        <f t="shared" si="102"/>
        <v>122</v>
      </c>
      <c r="AF94" s="48"/>
      <c r="AG94" s="49"/>
      <c r="AH94" s="50">
        <f t="shared" si="129"/>
        <v>122</v>
      </c>
      <c r="AI94" s="41" t="s">
        <v>555</v>
      </c>
      <c r="AJ94" s="51">
        <f t="shared" si="107"/>
        <v>15.734096</v>
      </c>
      <c r="AK94" s="51">
        <f t="shared" si="108"/>
        <v>15.734096</v>
      </c>
      <c r="AL94" s="41">
        <f t="shared" si="109"/>
        <v>39</v>
      </c>
      <c r="AM94" s="41" t="str">
        <f t="shared" si="110"/>
        <v>31-90天</v>
      </c>
      <c r="AN94" s="59">
        <v>0.7</v>
      </c>
      <c r="AO94" s="41" t="s">
        <v>562</v>
      </c>
      <c r="AP94" s="53">
        <f t="shared" si="112"/>
        <v>11.0138672</v>
      </c>
      <c r="AQ94" s="16"/>
    </row>
    <row r="95" ht="16.5" spans="1:43">
      <c r="A95" s="41">
        <v>202509</v>
      </c>
      <c r="B95" s="54">
        <v>45928</v>
      </c>
      <c r="C95" s="41" t="s">
        <v>600</v>
      </c>
      <c r="D95" s="41" t="str">
        <f t="shared" ref="D95:I95" si="138">D94</f>
        <v>M » N2 - 1</v>
      </c>
      <c r="E95" s="41" t="str">
        <f t="shared" si="138"/>
        <v>YCD-EX:HUPPER TEK</v>
      </c>
      <c r="F95" s="41" t="str">
        <f t="shared" si="138"/>
        <v>MI202508130012</v>
      </c>
      <c r="G95" s="41" t="str">
        <f t="shared" si="138"/>
        <v>DE2508031-G7-MIC</v>
      </c>
      <c r="H95" s="55">
        <f t="shared" si="138"/>
        <v>45889</v>
      </c>
      <c r="I95" s="56" t="str">
        <f t="shared" si="138"/>
        <v>B07Q3SQT6C</v>
      </c>
      <c r="J95" s="41"/>
      <c r="K95" s="57" t="str">
        <f t="shared" si="92"/>
        <v>金属储物柜71英寸高</v>
      </c>
      <c r="L95" s="41"/>
      <c r="M95" s="46">
        <f t="shared" si="93"/>
        <v>188</v>
      </c>
      <c r="N95" s="46">
        <f t="shared" si="94"/>
        <v>49</v>
      </c>
      <c r="O95" s="46">
        <f t="shared" si="95"/>
        <v>14</v>
      </c>
      <c r="P95" s="41">
        <f t="shared" si="104"/>
        <v>0.128968</v>
      </c>
      <c r="Q95" s="41"/>
      <c r="R95" s="46">
        <f t="shared" si="96"/>
        <v>188</v>
      </c>
      <c r="S95" s="46">
        <f t="shared" si="97"/>
        <v>49</v>
      </c>
      <c r="T95" s="46">
        <f t="shared" si="98"/>
        <v>14</v>
      </c>
      <c r="U95" s="41">
        <f t="shared" si="105"/>
        <v>0.128968</v>
      </c>
      <c r="V95" s="41"/>
      <c r="W95" s="41"/>
      <c r="X95" s="41"/>
      <c r="Y95" s="41"/>
      <c r="Z95" s="41"/>
      <c r="AA95" s="41">
        <f t="shared" si="99"/>
        <v>13</v>
      </c>
      <c r="AB95" s="41">
        <f t="shared" si="100"/>
        <v>151</v>
      </c>
      <c r="AC95" s="41">
        <f t="shared" si="101"/>
        <v>151</v>
      </c>
      <c r="AD95" s="41">
        <v>0</v>
      </c>
      <c r="AE95" s="48">
        <f t="shared" si="102"/>
        <v>122</v>
      </c>
      <c r="AF95" s="48"/>
      <c r="AG95" s="49"/>
      <c r="AH95" s="50">
        <f t="shared" si="129"/>
        <v>122</v>
      </c>
      <c r="AI95" s="41" t="s">
        <v>555</v>
      </c>
      <c r="AJ95" s="51">
        <f t="shared" si="107"/>
        <v>15.734096</v>
      </c>
      <c r="AK95" s="51">
        <f t="shared" si="108"/>
        <v>15.734096</v>
      </c>
      <c r="AL95" s="41">
        <f t="shared" si="109"/>
        <v>40</v>
      </c>
      <c r="AM95" s="41" t="str">
        <f t="shared" si="110"/>
        <v>31-90天</v>
      </c>
      <c r="AN95" s="59">
        <v>0.7</v>
      </c>
      <c r="AO95" s="41" t="s">
        <v>562</v>
      </c>
      <c r="AP95" s="53">
        <f t="shared" si="112"/>
        <v>11.0138672</v>
      </c>
      <c r="AQ95" s="16"/>
    </row>
    <row r="96" ht="16.5" spans="1:43">
      <c r="A96" s="41">
        <v>202509</v>
      </c>
      <c r="B96" s="54">
        <v>45929</v>
      </c>
      <c r="C96" s="41" t="s">
        <v>600</v>
      </c>
      <c r="D96" s="41" t="str">
        <f t="shared" ref="D96:I96" si="139">D95</f>
        <v>M » N2 - 1</v>
      </c>
      <c r="E96" s="41" t="str">
        <f t="shared" si="139"/>
        <v>YCD-EX:HUPPER TEK</v>
      </c>
      <c r="F96" s="41" t="str">
        <f t="shared" si="139"/>
        <v>MI202508130012</v>
      </c>
      <c r="G96" s="41" t="str">
        <f t="shared" si="139"/>
        <v>DE2508031-G7-MIC</v>
      </c>
      <c r="H96" s="55">
        <f t="shared" si="139"/>
        <v>45889</v>
      </c>
      <c r="I96" s="56" t="str">
        <f t="shared" si="139"/>
        <v>B07Q3SQT6C</v>
      </c>
      <c r="J96" s="41"/>
      <c r="K96" s="57" t="str">
        <f t="shared" si="92"/>
        <v>金属储物柜71英寸高</v>
      </c>
      <c r="L96" s="41"/>
      <c r="M96" s="46">
        <f t="shared" si="93"/>
        <v>188</v>
      </c>
      <c r="N96" s="46">
        <f t="shared" si="94"/>
        <v>49</v>
      </c>
      <c r="O96" s="46">
        <f t="shared" si="95"/>
        <v>14</v>
      </c>
      <c r="P96" s="41">
        <f t="shared" si="104"/>
        <v>0.128968</v>
      </c>
      <c r="Q96" s="41"/>
      <c r="R96" s="46">
        <f t="shared" si="96"/>
        <v>188</v>
      </c>
      <c r="S96" s="46">
        <f t="shared" si="97"/>
        <v>49</v>
      </c>
      <c r="T96" s="46">
        <f t="shared" si="98"/>
        <v>14</v>
      </c>
      <c r="U96" s="41">
        <f t="shared" si="105"/>
        <v>0.128968</v>
      </c>
      <c r="V96" s="41"/>
      <c r="W96" s="41"/>
      <c r="X96" s="41"/>
      <c r="Y96" s="41"/>
      <c r="Z96" s="41"/>
      <c r="AA96" s="41">
        <f t="shared" si="99"/>
        <v>13</v>
      </c>
      <c r="AB96" s="41">
        <f t="shared" si="100"/>
        <v>151</v>
      </c>
      <c r="AC96" s="41">
        <f t="shared" si="101"/>
        <v>151</v>
      </c>
      <c r="AD96" s="41">
        <v>0</v>
      </c>
      <c r="AE96" s="48">
        <f t="shared" si="102"/>
        <v>122</v>
      </c>
      <c r="AF96" s="48"/>
      <c r="AG96" s="49">
        <v>65</v>
      </c>
      <c r="AH96" s="50">
        <f t="shared" si="129"/>
        <v>57</v>
      </c>
      <c r="AI96" s="41" t="s">
        <v>555</v>
      </c>
      <c r="AJ96" s="51">
        <f t="shared" si="107"/>
        <v>7.351176</v>
      </c>
      <c r="AK96" s="51">
        <f t="shared" si="108"/>
        <v>7.351176</v>
      </c>
      <c r="AL96" s="41">
        <f t="shared" si="109"/>
        <v>41</v>
      </c>
      <c r="AM96" s="41" t="str">
        <f t="shared" si="110"/>
        <v>31-90天</v>
      </c>
      <c r="AN96" s="59">
        <v>0.7</v>
      </c>
      <c r="AO96" s="41" t="s">
        <v>562</v>
      </c>
      <c r="AP96" s="53">
        <f t="shared" si="112"/>
        <v>5.1458232</v>
      </c>
      <c r="AQ96" s="16"/>
    </row>
    <row r="97" ht="16.5" spans="1:43">
      <c r="A97" s="41">
        <v>202509</v>
      </c>
      <c r="B97" s="54">
        <v>45930</v>
      </c>
      <c r="C97" s="41" t="s">
        <v>600</v>
      </c>
      <c r="D97" s="41" t="str">
        <f t="shared" ref="D97:I97" si="140">D96</f>
        <v>M » N2 - 1</v>
      </c>
      <c r="E97" s="41" t="str">
        <f t="shared" si="140"/>
        <v>YCD-EX:HUPPER TEK</v>
      </c>
      <c r="F97" s="41" t="str">
        <f t="shared" si="140"/>
        <v>MI202508130012</v>
      </c>
      <c r="G97" s="41" t="str">
        <f t="shared" si="140"/>
        <v>DE2508031-G7-MIC</v>
      </c>
      <c r="H97" s="55">
        <f t="shared" si="140"/>
        <v>45889</v>
      </c>
      <c r="I97" s="56" t="str">
        <f t="shared" si="140"/>
        <v>B07Q3SQT6C</v>
      </c>
      <c r="J97" s="41"/>
      <c r="K97" s="57" t="str">
        <f t="shared" si="92"/>
        <v>金属储物柜71英寸高</v>
      </c>
      <c r="L97" s="41"/>
      <c r="M97" s="46">
        <f t="shared" si="93"/>
        <v>188</v>
      </c>
      <c r="N97" s="46">
        <f t="shared" si="94"/>
        <v>49</v>
      </c>
      <c r="O97" s="46">
        <f t="shared" si="95"/>
        <v>14</v>
      </c>
      <c r="P97" s="41">
        <f t="shared" si="104"/>
        <v>0.128968</v>
      </c>
      <c r="Q97" s="41"/>
      <c r="R97" s="46">
        <f t="shared" si="96"/>
        <v>188</v>
      </c>
      <c r="S97" s="46">
        <f t="shared" si="97"/>
        <v>49</v>
      </c>
      <c r="T97" s="46">
        <f t="shared" si="98"/>
        <v>14</v>
      </c>
      <c r="U97" s="41">
        <f t="shared" si="105"/>
        <v>0.128968</v>
      </c>
      <c r="V97" s="41"/>
      <c r="W97" s="41"/>
      <c r="X97" s="41"/>
      <c r="Y97" s="41"/>
      <c r="Z97" s="41"/>
      <c r="AA97" s="41">
        <f t="shared" si="99"/>
        <v>13</v>
      </c>
      <c r="AB97" s="41">
        <f t="shared" si="100"/>
        <v>151</v>
      </c>
      <c r="AC97" s="41">
        <f t="shared" si="101"/>
        <v>151</v>
      </c>
      <c r="AD97" s="41">
        <v>0</v>
      </c>
      <c r="AE97" s="48">
        <f t="shared" si="102"/>
        <v>57</v>
      </c>
      <c r="AF97" s="48"/>
      <c r="AH97" s="50">
        <f t="shared" si="129"/>
        <v>57</v>
      </c>
      <c r="AI97" s="41" t="s">
        <v>555</v>
      </c>
      <c r="AJ97" s="51">
        <f t="shared" si="107"/>
        <v>7.351176</v>
      </c>
      <c r="AK97" s="51">
        <f t="shared" si="108"/>
        <v>7.351176</v>
      </c>
      <c r="AL97" s="41">
        <f t="shared" si="109"/>
        <v>42</v>
      </c>
      <c r="AM97" s="41" t="str">
        <f t="shared" si="110"/>
        <v>31-90天</v>
      </c>
      <c r="AN97" s="59">
        <v>0.7</v>
      </c>
      <c r="AO97" s="41" t="s">
        <v>562</v>
      </c>
      <c r="AP97" s="53">
        <f t="shared" si="112"/>
        <v>5.1458232</v>
      </c>
      <c r="AQ97" s="16"/>
    </row>
    <row r="98" spans="1:43">
      <c r="A98" s="41">
        <v>202509</v>
      </c>
      <c r="B98" s="54">
        <v>0</v>
      </c>
      <c r="C98" s="41" t="s">
        <v>600</v>
      </c>
      <c r="D98" s="41" t="str">
        <f t="shared" ref="D98:I98" si="141">D97</f>
        <v>M » N2 - 1</v>
      </c>
      <c r="E98" s="41" t="str">
        <f t="shared" si="141"/>
        <v>YCD-EX:HUPPER TEK</v>
      </c>
      <c r="F98" s="41" t="str">
        <f t="shared" si="141"/>
        <v>MI202508130012</v>
      </c>
      <c r="G98" s="41" t="str">
        <f t="shared" si="141"/>
        <v>DE2508031-G7-MIC</v>
      </c>
      <c r="H98" s="55">
        <f t="shared" si="141"/>
        <v>45889</v>
      </c>
      <c r="I98" s="56" t="str">
        <f t="shared" si="141"/>
        <v>B07Q3SQT6C</v>
      </c>
      <c r="J98" s="41"/>
      <c r="K98" s="57" t="str">
        <f t="shared" si="92"/>
        <v>金属储物柜71英寸高</v>
      </c>
      <c r="L98" s="41"/>
      <c r="M98" s="46">
        <f t="shared" si="93"/>
        <v>188</v>
      </c>
      <c r="N98" s="46">
        <f t="shared" si="94"/>
        <v>49</v>
      </c>
      <c r="O98" s="46">
        <f t="shared" si="95"/>
        <v>14</v>
      </c>
      <c r="P98" s="41">
        <f t="shared" si="104"/>
        <v>0.128968</v>
      </c>
      <c r="Q98" s="41"/>
      <c r="R98" s="46">
        <f t="shared" si="96"/>
        <v>188</v>
      </c>
      <c r="S98" s="46">
        <f t="shared" si="97"/>
        <v>49</v>
      </c>
      <c r="T98" s="46">
        <f t="shared" si="98"/>
        <v>14</v>
      </c>
      <c r="U98" s="41">
        <f t="shared" si="105"/>
        <v>0.128968</v>
      </c>
      <c r="V98" s="41"/>
      <c r="W98" s="41"/>
      <c r="X98" s="41"/>
      <c r="Y98" s="41"/>
      <c r="Z98" s="41"/>
      <c r="AA98" s="41">
        <f t="shared" si="99"/>
        <v>13</v>
      </c>
      <c r="AB98" s="41">
        <f t="shared" si="100"/>
        <v>151</v>
      </c>
      <c r="AC98" s="41">
        <f t="shared" si="101"/>
        <v>151</v>
      </c>
      <c r="AD98" s="41">
        <v>0</v>
      </c>
      <c r="AE98" s="48">
        <f t="shared" si="102"/>
        <v>57</v>
      </c>
      <c r="AF98" s="60"/>
      <c r="AG98" s="49">
        <v>1</v>
      </c>
      <c r="AH98" s="50">
        <f t="shared" si="129"/>
        <v>56</v>
      </c>
      <c r="AI98" s="41" t="s">
        <v>555</v>
      </c>
      <c r="AJ98" s="51">
        <f t="shared" si="107"/>
        <v>7.222208</v>
      </c>
      <c r="AK98" s="51">
        <f t="shared" si="108"/>
        <v>7.222208</v>
      </c>
      <c r="AL98" s="41">
        <f t="shared" si="109"/>
        <v>-45888</v>
      </c>
      <c r="AM98" s="41" t="str">
        <f t="shared" si="110"/>
        <v>0天</v>
      </c>
      <c r="AN98" s="52">
        <f t="shared" si="111"/>
        <v>0</v>
      </c>
      <c r="AO98" s="41" t="s">
        <v>562</v>
      </c>
      <c r="AP98" s="53">
        <f t="shared" si="112"/>
        <v>0</v>
      </c>
      <c r="AQ98" s="16"/>
    </row>
    <row r="99" spans="1:43">
      <c r="A99" s="41">
        <v>202509</v>
      </c>
      <c r="B99" s="42">
        <v>45901</v>
      </c>
      <c r="C99" s="41" t="s">
        <v>600</v>
      </c>
      <c r="D99" s="43" t="s">
        <v>601</v>
      </c>
      <c r="E99" s="43" t="s">
        <v>157</v>
      </c>
      <c r="F99" s="43" t="s">
        <v>602</v>
      </c>
      <c r="G99" s="43" t="s">
        <v>603</v>
      </c>
      <c r="H99" s="44">
        <v>45889</v>
      </c>
      <c r="I99" s="43" t="s">
        <v>170</v>
      </c>
      <c r="J99" s="43"/>
      <c r="K99" s="45" t="str">
        <f>VLOOKUP(I99,物品明细!A:B,2,0)</f>
        <v>德国联邦快递金属储物柜</v>
      </c>
      <c r="L99" s="41"/>
      <c r="M99" s="46">
        <f>VLOOKUP(I99,物品明细!A:E,5,0)</f>
        <v>188</v>
      </c>
      <c r="N99" s="46">
        <f>VLOOKUP(I99,物品明细!A:F,6,0)</f>
        <v>49</v>
      </c>
      <c r="O99" s="46">
        <f>VLOOKUP(I99,物品明细!A:G,7,0)</f>
        <v>14</v>
      </c>
      <c r="P99" s="41">
        <f t="shared" si="104"/>
        <v>0.128968</v>
      </c>
      <c r="Q99" s="41"/>
      <c r="R99" s="46">
        <f>VLOOKUP(I99,物品明细!A:E,5,0)</f>
        <v>188</v>
      </c>
      <c r="S99" s="46">
        <f>VLOOKUP(I99,物品明细!A:F,6,0)</f>
        <v>49</v>
      </c>
      <c r="T99" s="46">
        <f>VLOOKUP(I99,物品明细!A:G,7,0)</f>
        <v>14</v>
      </c>
      <c r="U99" s="41">
        <f t="shared" si="105"/>
        <v>0.128968</v>
      </c>
      <c r="V99" s="41"/>
      <c r="W99" s="41"/>
      <c r="X99" s="41"/>
      <c r="Y99" s="41"/>
      <c r="Z99" s="41"/>
      <c r="AA99" s="47">
        <v>10</v>
      </c>
      <c r="AB99" s="47">
        <v>117</v>
      </c>
      <c r="AC99" s="47">
        <v>117</v>
      </c>
      <c r="AD99" s="41">
        <v>0</v>
      </c>
      <c r="AE99" s="48">
        <v>117</v>
      </c>
      <c r="AF99" s="48"/>
      <c r="AG99" s="49"/>
      <c r="AH99" s="50">
        <f t="shared" si="106"/>
        <v>117</v>
      </c>
      <c r="AI99" s="41" t="s">
        <v>555</v>
      </c>
      <c r="AJ99" s="51">
        <f t="shared" si="107"/>
        <v>15.089256</v>
      </c>
      <c r="AK99" s="51">
        <f t="shared" si="108"/>
        <v>15.089256</v>
      </c>
      <c r="AL99" s="41">
        <f t="shared" si="109"/>
        <v>13</v>
      </c>
      <c r="AM99" s="41" t="str">
        <f t="shared" si="110"/>
        <v>30天内</v>
      </c>
      <c r="AN99" s="52">
        <f t="shared" si="111"/>
        <v>0</v>
      </c>
      <c r="AO99" s="41" t="s">
        <v>562</v>
      </c>
      <c r="AP99" s="53">
        <f t="shared" si="112"/>
        <v>0</v>
      </c>
      <c r="AQ99" s="16"/>
    </row>
    <row r="100" spans="1:43">
      <c r="A100" s="41">
        <v>202509</v>
      </c>
      <c r="B100" s="54">
        <v>45902</v>
      </c>
      <c r="C100" s="41" t="s">
        <v>600</v>
      </c>
      <c r="D100" s="3" t="str">
        <f t="shared" ref="D100:I100" si="142">D99</f>
        <v>M » N2 - 1</v>
      </c>
      <c r="E100" s="41" t="str">
        <f t="shared" si="142"/>
        <v>YCD-EX:HUPPER TEK</v>
      </c>
      <c r="F100" s="41" t="str">
        <f t="shared" si="142"/>
        <v>MI202508130012</v>
      </c>
      <c r="G100" s="41" t="str">
        <f t="shared" si="142"/>
        <v>DE2508031-G7-MIC</v>
      </c>
      <c r="H100" s="55">
        <f t="shared" si="142"/>
        <v>45889</v>
      </c>
      <c r="I100" s="56" t="str">
        <f t="shared" si="142"/>
        <v>B077RVYZRF</v>
      </c>
      <c r="J100" s="41"/>
      <c r="K100" s="57" t="str">
        <f t="shared" ref="K100:K129" si="143">K99</f>
        <v>德国联邦快递金属储物柜</v>
      </c>
      <c r="L100" s="41"/>
      <c r="M100" s="46">
        <f t="shared" ref="M100:M129" si="144">M99</f>
        <v>188</v>
      </c>
      <c r="N100" s="46">
        <f t="shared" ref="N100:N129" si="145">N99</f>
        <v>49</v>
      </c>
      <c r="O100" s="46">
        <f t="shared" ref="O100:O129" si="146">O99</f>
        <v>14</v>
      </c>
      <c r="P100" s="41">
        <f t="shared" si="104"/>
        <v>0.128968</v>
      </c>
      <c r="Q100" s="41"/>
      <c r="R100" s="46">
        <f t="shared" ref="R100:R129" si="147">R99</f>
        <v>188</v>
      </c>
      <c r="S100" s="46">
        <f t="shared" ref="S100:S129" si="148">S99</f>
        <v>49</v>
      </c>
      <c r="T100" s="46">
        <f t="shared" ref="T100:T129" si="149">T99</f>
        <v>14</v>
      </c>
      <c r="U100" s="41">
        <f t="shared" si="105"/>
        <v>0.128968</v>
      </c>
      <c r="V100" s="41"/>
      <c r="W100" s="41"/>
      <c r="X100" s="41"/>
      <c r="Y100" s="41"/>
      <c r="Z100" s="41"/>
      <c r="AA100" s="41">
        <f t="shared" ref="AA100:AA129" si="150">AA99</f>
        <v>10</v>
      </c>
      <c r="AB100" s="41">
        <f t="shared" ref="AB100:AB129" si="151">AB99</f>
        <v>117</v>
      </c>
      <c r="AC100" s="41">
        <f t="shared" ref="AC100:AC129" si="152">AC99</f>
        <v>117</v>
      </c>
      <c r="AD100" s="41">
        <v>0</v>
      </c>
      <c r="AE100" s="48">
        <f t="shared" ref="AE100:AE129" si="153">AH99</f>
        <v>117</v>
      </c>
      <c r="AF100" s="48"/>
      <c r="AG100" s="49"/>
      <c r="AH100" s="50">
        <f t="shared" si="106"/>
        <v>117</v>
      </c>
      <c r="AI100" s="41" t="s">
        <v>555</v>
      </c>
      <c r="AJ100" s="51">
        <f t="shared" si="107"/>
        <v>15.089256</v>
      </c>
      <c r="AK100" s="51">
        <f t="shared" si="108"/>
        <v>15.089256</v>
      </c>
      <c r="AL100" s="41">
        <f t="shared" si="109"/>
        <v>14</v>
      </c>
      <c r="AM100" s="41" t="str">
        <f t="shared" si="110"/>
        <v>30天内</v>
      </c>
      <c r="AN100" s="52">
        <f t="shared" si="111"/>
        <v>0</v>
      </c>
      <c r="AO100" s="41" t="s">
        <v>562</v>
      </c>
      <c r="AP100" s="53">
        <f t="shared" si="112"/>
        <v>0</v>
      </c>
      <c r="AQ100" s="16"/>
    </row>
    <row r="101" spans="1:43">
      <c r="A101" s="41">
        <v>202509</v>
      </c>
      <c r="B101" s="54">
        <v>45903</v>
      </c>
      <c r="C101" s="41" t="s">
        <v>600</v>
      </c>
      <c r="D101" s="41" t="str">
        <f t="shared" ref="D101:I101" si="154">D100</f>
        <v>M » N2 - 1</v>
      </c>
      <c r="E101" s="41" t="str">
        <f t="shared" si="154"/>
        <v>YCD-EX:HUPPER TEK</v>
      </c>
      <c r="F101" s="41" t="str">
        <f t="shared" si="154"/>
        <v>MI202508130012</v>
      </c>
      <c r="G101" s="41" t="str">
        <f t="shared" si="154"/>
        <v>DE2508031-G7-MIC</v>
      </c>
      <c r="H101" s="55">
        <f t="shared" si="154"/>
        <v>45889</v>
      </c>
      <c r="I101" s="56" t="str">
        <f t="shared" si="154"/>
        <v>B077RVYZRF</v>
      </c>
      <c r="J101" s="41"/>
      <c r="K101" s="57" t="str">
        <f t="shared" si="143"/>
        <v>德国联邦快递金属储物柜</v>
      </c>
      <c r="L101" s="41"/>
      <c r="M101" s="46">
        <f t="shared" si="144"/>
        <v>188</v>
      </c>
      <c r="N101" s="46">
        <f t="shared" si="145"/>
        <v>49</v>
      </c>
      <c r="O101" s="46">
        <f t="shared" si="146"/>
        <v>14</v>
      </c>
      <c r="P101" s="41">
        <f t="shared" si="104"/>
        <v>0.128968</v>
      </c>
      <c r="Q101" s="41"/>
      <c r="R101" s="46">
        <f t="shared" si="147"/>
        <v>188</v>
      </c>
      <c r="S101" s="46">
        <f t="shared" si="148"/>
        <v>49</v>
      </c>
      <c r="T101" s="46">
        <f t="shared" si="149"/>
        <v>14</v>
      </c>
      <c r="U101" s="41">
        <f t="shared" si="105"/>
        <v>0.128968</v>
      </c>
      <c r="V101" s="41"/>
      <c r="W101" s="41"/>
      <c r="X101" s="41"/>
      <c r="Y101" s="41"/>
      <c r="Z101" s="41"/>
      <c r="AA101" s="41">
        <f t="shared" si="150"/>
        <v>10</v>
      </c>
      <c r="AB101" s="41">
        <f t="shared" si="151"/>
        <v>117</v>
      </c>
      <c r="AC101" s="41">
        <f t="shared" si="152"/>
        <v>117</v>
      </c>
      <c r="AD101" s="41">
        <v>0</v>
      </c>
      <c r="AE101" s="48">
        <f t="shared" si="153"/>
        <v>117</v>
      </c>
      <c r="AF101" s="48"/>
      <c r="AG101" s="49">
        <v>1</v>
      </c>
      <c r="AH101" s="50">
        <f t="shared" si="106"/>
        <v>116</v>
      </c>
      <c r="AI101" s="41" t="s">
        <v>555</v>
      </c>
      <c r="AJ101" s="51">
        <f t="shared" si="107"/>
        <v>14.960288</v>
      </c>
      <c r="AK101" s="51">
        <f t="shared" si="108"/>
        <v>14.960288</v>
      </c>
      <c r="AL101" s="41">
        <f t="shared" si="109"/>
        <v>15</v>
      </c>
      <c r="AM101" s="41" t="str">
        <f t="shared" si="110"/>
        <v>30天内</v>
      </c>
      <c r="AN101" s="52">
        <f t="shared" si="111"/>
        <v>0</v>
      </c>
      <c r="AO101" s="41" t="s">
        <v>562</v>
      </c>
      <c r="AP101" s="53">
        <f t="shared" si="112"/>
        <v>0</v>
      </c>
      <c r="AQ101" s="16"/>
    </row>
    <row r="102" spans="1:43">
      <c r="A102" s="41">
        <v>202509</v>
      </c>
      <c r="B102" s="54">
        <v>45904</v>
      </c>
      <c r="C102" s="41" t="s">
        <v>600</v>
      </c>
      <c r="D102" s="41" t="str">
        <f t="shared" ref="D102:I102" si="155">D101</f>
        <v>M » N2 - 1</v>
      </c>
      <c r="E102" s="41" t="str">
        <f t="shared" si="155"/>
        <v>YCD-EX:HUPPER TEK</v>
      </c>
      <c r="F102" s="41" t="str">
        <f t="shared" si="155"/>
        <v>MI202508130012</v>
      </c>
      <c r="G102" s="41" t="str">
        <f t="shared" si="155"/>
        <v>DE2508031-G7-MIC</v>
      </c>
      <c r="H102" s="55">
        <f t="shared" si="155"/>
        <v>45889</v>
      </c>
      <c r="I102" s="56" t="str">
        <f t="shared" si="155"/>
        <v>B077RVYZRF</v>
      </c>
      <c r="J102" s="41"/>
      <c r="K102" s="57" t="str">
        <f t="shared" si="143"/>
        <v>德国联邦快递金属储物柜</v>
      </c>
      <c r="L102" s="41"/>
      <c r="M102" s="46">
        <f t="shared" si="144"/>
        <v>188</v>
      </c>
      <c r="N102" s="46">
        <f t="shared" si="145"/>
        <v>49</v>
      </c>
      <c r="O102" s="46">
        <f t="shared" si="146"/>
        <v>14</v>
      </c>
      <c r="P102" s="41">
        <f t="shared" si="104"/>
        <v>0.128968</v>
      </c>
      <c r="Q102" s="41"/>
      <c r="R102" s="46">
        <f t="shared" si="147"/>
        <v>188</v>
      </c>
      <c r="S102" s="46">
        <f t="shared" si="148"/>
        <v>49</v>
      </c>
      <c r="T102" s="46">
        <f t="shared" si="149"/>
        <v>14</v>
      </c>
      <c r="U102" s="41">
        <f t="shared" si="105"/>
        <v>0.128968</v>
      </c>
      <c r="V102" s="41"/>
      <c r="W102" s="41"/>
      <c r="X102" s="41"/>
      <c r="Y102" s="41"/>
      <c r="Z102" s="41"/>
      <c r="AA102" s="41">
        <f t="shared" si="150"/>
        <v>10</v>
      </c>
      <c r="AB102" s="41">
        <f t="shared" si="151"/>
        <v>117</v>
      </c>
      <c r="AC102" s="41">
        <f t="shared" si="152"/>
        <v>117</v>
      </c>
      <c r="AD102" s="41">
        <v>0</v>
      </c>
      <c r="AE102" s="48">
        <f t="shared" si="153"/>
        <v>116</v>
      </c>
      <c r="AF102" s="48"/>
      <c r="AG102" s="49"/>
      <c r="AH102" s="50">
        <f t="shared" si="106"/>
        <v>116</v>
      </c>
      <c r="AI102" s="41" t="s">
        <v>555</v>
      </c>
      <c r="AJ102" s="51">
        <f t="shared" si="107"/>
        <v>14.960288</v>
      </c>
      <c r="AK102" s="51">
        <f t="shared" si="108"/>
        <v>14.960288</v>
      </c>
      <c r="AL102" s="41">
        <f t="shared" si="109"/>
        <v>16</v>
      </c>
      <c r="AM102" s="41" t="str">
        <f t="shared" si="110"/>
        <v>30天内</v>
      </c>
      <c r="AN102" s="52">
        <f t="shared" si="111"/>
        <v>0</v>
      </c>
      <c r="AO102" s="41" t="s">
        <v>562</v>
      </c>
      <c r="AP102" s="53">
        <f t="shared" si="112"/>
        <v>0</v>
      </c>
      <c r="AQ102" s="16"/>
    </row>
    <row r="103" spans="1:43">
      <c r="A103" s="41">
        <v>202509</v>
      </c>
      <c r="B103" s="54">
        <v>45905</v>
      </c>
      <c r="C103" s="41" t="s">
        <v>600</v>
      </c>
      <c r="D103" s="41" t="str">
        <f t="shared" ref="D103:I103" si="156">D102</f>
        <v>M » N2 - 1</v>
      </c>
      <c r="E103" s="41" t="str">
        <f t="shared" si="156"/>
        <v>YCD-EX:HUPPER TEK</v>
      </c>
      <c r="F103" s="41" t="str">
        <f t="shared" si="156"/>
        <v>MI202508130012</v>
      </c>
      <c r="G103" s="41" t="str">
        <f t="shared" si="156"/>
        <v>DE2508031-G7-MIC</v>
      </c>
      <c r="H103" s="55">
        <f t="shared" si="156"/>
        <v>45889</v>
      </c>
      <c r="I103" s="56" t="str">
        <f t="shared" si="156"/>
        <v>B077RVYZRF</v>
      </c>
      <c r="J103" s="58"/>
      <c r="K103" s="57" t="str">
        <f t="shared" si="143"/>
        <v>德国联邦快递金属储物柜</v>
      </c>
      <c r="L103" s="41"/>
      <c r="M103" s="46">
        <f t="shared" si="144"/>
        <v>188</v>
      </c>
      <c r="N103" s="46">
        <f t="shared" si="145"/>
        <v>49</v>
      </c>
      <c r="O103" s="46">
        <f t="shared" si="146"/>
        <v>14</v>
      </c>
      <c r="P103" s="41">
        <f t="shared" si="104"/>
        <v>0.128968</v>
      </c>
      <c r="Q103" s="41"/>
      <c r="R103" s="46">
        <f t="shared" si="147"/>
        <v>188</v>
      </c>
      <c r="S103" s="46">
        <f t="shared" si="148"/>
        <v>49</v>
      </c>
      <c r="T103" s="46">
        <f t="shared" si="149"/>
        <v>14</v>
      </c>
      <c r="U103" s="41">
        <f t="shared" si="105"/>
        <v>0.128968</v>
      </c>
      <c r="V103" s="41"/>
      <c r="W103" s="41"/>
      <c r="X103" s="41"/>
      <c r="Y103" s="41"/>
      <c r="Z103" s="41"/>
      <c r="AA103" s="41">
        <f t="shared" si="150"/>
        <v>10</v>
      </c>
      <c r="AB103" s="41">
        <f t="shared" si="151"/>
        <v>117</v>
      </c>
      <c r="AC103" s="41">
        <f t="shared" si="152"/>
        <v>117</v>
      </c>
      <c r="AD103" s="41">
        <v>0</v>
      </c>
      <c r="AE103" s="48">
        <f t="shared" si="153"/>
        <v>116</v>
      </c>
      <c r="AF103" s="48"/>
      <c r="AG103" s="49"/>
      <c r="AH103" s="50">
        <f t="shared" si="106"/>
        <v>116</v>
      </c>
      <c r="AI103" s="41" t="s">
        <v>555</v>
      </c>
      <c r="AJ103" s="51">
        <f t="shared" si="107"/>
        <v>14.960288</v>
      </c>
      <c r="AK103" s="51">
        <f t="shared" si="108"/>
        <v>14.960288</v>
      </c>
      <c r="AL103" s="41">
        <f t="shared" si="109"/>
        <v>17</v>
      </c>
      <c r="AM103" s="41" t="str">
        <f t="shared" si="110"/>
        <v>30天内</v>
      </c>
      <c r="AN103" s="52">
        <f t="shared" si="111"/>
        <v>0</v>
      </c>
      <c r="AO103" s="41" t="s">
        <v>562</v>
      </c>
      <c r="AP103" s="53">
        <f t="shared" si="112"/>
        <v>0</v>
      </c>
      <c r="AQ103" s="16"/>
    </row>
    <row r="104" spans="1:43">
      <c r="A104" s="41">
        <v>202509</v>
      </c>
      <c r="B104" s="54">
        <v>45906</v>
      </c>
      <c r="C104" s="41" t="s">
        <v>600</v>
      </c>
      <c r="D104" s="41" t="str">
        <f t="shared" ref="D104:I104" si="157">D103</f>
        <v>M » N2 - 1</v>
      </c>
      <c r="E104" s="41" t="str">
        <f t="shared" si="157"/>
        <v>YCD-EX:HUPPER TEK</v>
      </c>
      <c r="F104" s="41" t="str">
        <f t="shared" si="157"/>
        <v>MI202508130012</v>
      </c>
      <c r="G104" s="41" t="str">
        <f t="shared" si="157"/>
        <v>DE2508031-G7-MIC</v>
      </c>
      <c r="H104" s="55">
        <f t="shared" si="157"/>
        <v>45889</v>
      </c>
      <c r="I104" s="56" t="str">
        <f t="shared" si="157"/>
        <v>B077RVYZRF</v>
      </c>
      <c r="J104" s="41"/>
      <c r="K104" s="57" t="str">
        <f t="shared" si="143"/>
        <v>德国联邦快递金属储物柜</v>
      </c>
      <c r="L104" s="41"/>
      <c r="M104" s="46">
        <f t="shared" si="144"/>
        <v>188</v>
      </c>
      <c r="N104" s="46">
        <f t="shared" si="145"/>
        <v>49</v>
      </c>
      <c r="O104" s="46">
        <f t="shared" si="146"/>
        <v>14</v>
      </c>
      <c r="P104" s="41">
        <f t="shared" si="104"/>
        <v>0.128968</v>
      </c>
      <c r="Q104" s="41"/>
      <c r="R104" s="46">
        <f t="shared" si="147"/>
        <v>188</v>
      </c>
      <c r="S104" s="46">
        <f t="shared" si="148"/>
        <v>49</v>
      </c>
      <c r="T104" s="46">
        <f t="shared" si="149"/>
        <v>14</v>
      </c>
      <c r="U104" s="41">
        <f t="shared" si="105"/>
        <v>0.128968</v>
      </c>
      <c r="V104" s="41"/>
      <c r="W104" s="41"/>
      <c r="X104" s="41"/>
      <c r="Y104" s="41"/>
      <c r="Z104" s="41"/>
      <c r="AA104" s="41">
        <f t="shared" si="150"/>
        <v>10</v>
      </c>
      <c r="AB104" s="41">
        <f t="shared" si="151"/>
        <v>117</v>
      </c>
      <c r="AC104" s="41">
        <f t="shared" si="152"/>
        <v>117</v>
      </c>
      <c r="AD104" s="41">
        <v>0</v>
      </c>
      <c r="AE104" s="48">
        <f t="shared" si="153"/>
        <v>116</v>
      </c>
      <c r="AF104" s="48"/>
      <c r="AG104" s="49"/>
      <c r="AH104" s="50">
        <f t="shared" si="106"/>
        <v>116</v>
      </c>
      <c r="AI104" s="41" t="s">
        <v>555</v>
      </c>
      <c r="AJ104" s="51">
        <f t="shared" si="107"/>
        <v>14.960288</v>
      </c>
      <c r="AK104" s="51">
        <f t="shared" si="108"/>
        <v>14.960288</v>
      </c>
      <c r="AL104" s="41">
        <f t="shared" si="109"/>
        <v>18</v>
      </c>
      <c r="AM104" s="41" t="str">
        <f t="shared" si="110"/>
        <v>30天内</v>
      </c>
      <c r="AN104" s="52">
        <f t="shared" si="111"/>
        <v>0</v>
      </c>
      <c r="AO104" s="41" t="s">
        <v>562</v>
      </c>
      <c r="AP104" s="53">
        <f t="shared" si="112"/>
        <v>0</v>
      </c>
      <c r="AQ104" s="16"/>
    </row>
    <row r="105" spans="1:43">
      <c r="A105" s="41">
        <v>202509</v>
      </c>
      <c r="B105" s="54">
        <v>45907</v>
      </c>
      <c r="C105" s="41" t="s">
        <v>600</v>
      </c>
      <c r="D105" s="41" t="str">
        <f t="shared" ref="D105:I105" si="158">D104</f>
        <v>M » N2 - 1</v>
      </c>
      <c r="E105" s="41" t="str">
        <f t="shared" si="158"/>
        <v>YCD-EX:HUPPER TEK</v>
      </c>
      <c r="F105" s="41" t="str">
        <f t="shared" si="158"/>
        <v>MI202508130012</v>
      </c>
      <c r="G105" s="41" t="str">
        <f t="shared" si="158"/>
        <v>DE2508031-G7-MIC</v>
      </c>
      <c r="H105" s="55">
        <f t="shared" si="158"/>
        <v>45889</v>
      </c>
      <c r="I105" s="56" t="str">
        <f t="shared" si="158"/>
        <v>B077RVYZRF</v>
      </c>
      <c r="J105" s="41"/>
      <c r="K105" s="57" t="str">
        <f t="shared" si="143"/>
        <v>德国联邦快递金属储物柜</v>
      </c>
      <c r="L105" s="41"/>
      <c r="M105" s="46">
        <f t="shared" si="144"/>
        <v>188</v>
      </c>
      <c r="N105" s="46">
        <f t="shared" si="145"/>
        <v>49</v>
      </c>
      <c r="O105" s="46">
        <f t="shared" si="146"/>
        <v>14</v>
      </c>
      <c r="P105" s="41">
        <f t="shared" si="104"/>
        <v>0.128968</v>
      </c>
      <c r="Q105" s="41"/>
      <c r="R105" s="46">
        <f t="shared" si="147"/>
        <v>188</v>
      </c>
      <c r="S105" s="46">
        <f t="shared" si="148"/>
        <v>49</v>
      </c>
      <c r="T105" s="46">
        <f t="shared" si="149"/>
        <v>14</v>
      </c>
      <c r="U105" s="41">
        <f t="shared" si="105"/>
        <v>0.128968</v>
      </c>
      <c r="V105" s="41"/>
      <c r="W105" s="41"/>
      <c r="X105" s="41"/>
      <c r="Y105" s="41"/>
      <c r="Z105" s="41"/>
      <c r="AA105" s="41">
        <f t="shared" si="150"/>
        <v>10</v>
      </c>
      <c r="AB105" s="41">
        <f t="shared" si="151"/>
        <v>117</v>
      </c>
      <c r="AC105" s="41">
        <f t="shared" si="152"/>
        <v>117</v>
      </c>
      <c r="AD105" s="41">
        <v>0</v>
      </c>
      <c r="AE105" s="48">
        <f t="shared" si="153"/>
        <v>116</v>
      </c>
      <c r="AF105" s="48"/>
      <c r="AG105" s="49"/>
      <c r="AH105" s="50">
        <f t="shared" si="106"/>
        <v>116</v>
      </c>
      <c r="AI105" s="41" t="s">
        <v>555</v>
      </c>
      <c r="AJ105" s="51">
        <f t="shared" si="107"/>
        <v>14.960288</v>
      </c>
      <c r="AK105" s="51">
        <f t="shared" si="108"/>
        <v>14.960288</v>
      </c>
      <c r="AL105" s="41">
        <f t="shared" si="109"/>
        <v>19</v>
      </c>
      <c r="AM105" s="41" t="str">
        <f t="shared" si="110"/>
        <v>30天内</v>
      </c>
      <c r="AN105" s="52">
        <f t="shared" si="111"/>
        <v>0</v>
      </c>
      <c r="AO105" s="41" t="s">
        <v>562</v>
      </c>
      <c r="AP105" s="53">
        <f t="shared" si="112"/>
        <v>0</v>
      </c>
      <c r="AQ105" s="16"/>
    </row>
    <row r="106" spans="1:43">
      <c r="A106" s="41">
        <v>202509</v>
      </c>
      <c r="B106" s="54">
        <v>45908</v>
      </c>
      <c r="C106" s="41" t="s">
        <v>600</v>
      </c>
      <c r="D106" s="41" t="str">
        <f t="shared" ref="D106:I106" si="159">D105</f>
        <v>M » N2 - 1</v>
      </c>
      <c r="E106" s="41" t="str">
        <f t="shared" si="159"/>
        <v>YCD-EX:HUPPER TEK</v>
      </c>
      <c r="F106" s="41" t="str">
        <f t="shared" si="159"/>
        <v>MI202508130012</v>
      </c>
      <c r="G106" s="41" t="str">
        <f t="shared" si="159"/>
        <v>DE2508031-G7-MIC</v>
      </c>
      <c r="H106" s="55">
        <f t="shared" si="159"/>
        <v>45889</v>
      </c>
      <c r="I106" s="56" t="str">
        <f t="shared" si="159"/>
        <v>B077RVYZRF</v>
      </c>
      <c r="J106" s="41"/>
      <c r="K106" s="57" t="str">
        <f t="shared" si="143"/>
        <v>德国联邦快递金属储物柜</v>
      </c>
      <c r="L106" s="41"/>
      <c r="M106" s="46">
        <f t="shared" si="144"/>
        <v>188</v>
      </c>
      <c r="N106" s="46">
        <f t="shared" si="145"/>
        <v>49</v>
      </c>
      <c r="O106" s="46">
        <f t="shared" si="146"/>
        <v>14</v>
      </c>
      <c r="P106" s="41">
        <f t="shared" si="104"/>
        <v>0.128968</v>
      </c>
      <c r="Q106" s="41"/>
      <c r="R106" s="46">
        <f t="shared" si="147"/>
        <v>188</v>
      </c>
      <c r="S106" s="46">
        <f t="shared" si="148"/>
        <v>49</v>
      </c>
      <c r="T106" s="46">
        <f t="shared" si="149"/>
        <v>14</v>
      </c>
      <c r="U106" s="41">
        <f t="shared" si="105"/>
        <v>0.128968</v>
      </c>
      <c r="V106" s="41"/>
      <c r="W106" s="41"/>
      <c r="X106" s="41"/>
      <c r="Y106" s="41"/>
      <c r="Z106" s="41"/>
      <c r="AA106" s="41">
        <f t="shared" si="150"/>
        <v>10</v>
      </c>
      <c r="AB106" s="41">
        <f t="shared" si="151"/>
        <v>117</v>
      </c>
      <c r="AC106" s="41">
        <f t="shared" si="152"/>
        <v>117</v>
      </c>
      <c r="AD106" s="41">
        <v>0</v>
      </c>
      <c r="AE106" s="48">
        <f t="shared" si="153"/>
        <v>116</v>
      </c>
      <c r="AF106" s="48"/>
      <c r="AG106" s="49">
        <v>1</v>
      </c>
      <c r="AH106" s="50">
        <f t="shared" si="106"/>
        <v>115</v>
      </c>
      <c r="AI106" s="41" t="s">
        <v>555</v>
      </c>
      <c r="AJ106" s="51">
        <f t="shared" si="107"/>
        <v>14.83132</v>
      </c>
      <c r="AK106" s="51">
        <f t="shared" si="108"/>
        <v>14.83132</v>
      </c>
      <c r="AL106" s="41">
        <f t="shared" si="109"/>
        <v>20</v>
      </c>
      <c r="AM106" s="41" t="str">
        <f t="shared" si="110"/>
        <v>30天内</v>
      </c>
      <c r="AN106" s="52">
        <f t="shared" si="111"/>
        <v>0</v>
      </c>
      <c r="AO106" s="41" t="s">
        <v>562</v>
      </c>
      <c r="AP106" s="53">
        <f t="shared" si="112"/>
        <v>0</v>
      </c>
      <c r="AQ106" s="16"/>
    </row>
    <row r="107" spans="1:43">
      <c r="A107" s="41">
        <v>202509</v>
      </c>
      <c r="B107" s="54">
        <v>45909</v>
      </c>
      <c r="C107" s="41" t="s">
        <v>600</v>
      </c>
      <c r="D107" s="41" t="str">
        <f t="shared" ref="D107:I107" si="160">D106</f>
        <v>M » N2 - 1</v>
      </c>
      <c r="E107" s="41" t="str">
        <f t="shared" si="160"/>
        <v>YCD-EX:HUPPER TEK</v>
      </c>
      <c r="F107" s="41" t="str">
        <f t="shared" si="160"/>
        <v>MI202508130012</v>
      </c>
      <c r="G107" s="41" t="str">
        <f t="shared" si="160"/>
        <v>DE2508031-G7-MIC</v>
      </c>
      <c r="H107" s="55">
        <f t="shared" si="160"/>
        <v>45889</v>
      </c>
      <c r="I107" s="56" t="str">
        <f t="shared" si="160"/>
        <v>B077RVYZRF</v>
      </c>
      <c r="J107" s="41"/>
      <c r="K107" s="57" t="str">
        <f t="shared" si="143"/>
        <v>德国联邦快递金属储物柜</v>
      </c>
      <c r="L107" s="41"/>
      <c r="M107" s="46">
        <f t="shared" si="144"/>
        <v>188</v>
      </c>
      <c r="N107" s="46">
        <f t="shared" si="145"/>
        <v>49</v>
      </c>
      <c r="O107" s="46">
        <f t="shared" si="146"/>
        <v>14</v>
      </c>
      <c r="P107" s="41">
        <f t="shared" si="104"/>
        <v>0.128968</v>
      </c>
      <c r="Q107" s="41"/>
      <c r="R107" s="46">
        <f t="shared" si="147"/>
        <v>188</v>
      </c>
      <c r="S107" s="46">
        <f t="shared" si="148"/>
        <v>49</v>
      </c>
      <c r="T107" s="46">
        <f t="shared" si="149"/>
        <v>14</v>
      </c>
      <c r="U107" s="41">
        <f t="shared" si="105"/>
        <v>0.128968</v>
      </c>
      <c r="V107" s="41"/>
      <c r="W107" s="41"/>
      <c r="X107" s="41"/>
      <c r="Y107" s="41"/>
      <c r="Z107" s="41"/>
      <c r="AA107" s="41">
        <f t="shared" si="150"/>
        <v>10</v>
      </c>
      <c r="AB107" s="41">
        <f t="shared" si="151"/>
        <v>117</v>
      </c>
      <c r="AC107" s="41">
        <f t="shared" si="152"/>
        <v>117</v>
      </c>
      <c r="AD107" s="41">
        <v>0</v>
      </c>
      <c r="AE107" s="48">
        <f t="shared" si="153"/>
        <v>115</v>
      </c>
      <c r="AF107" s="48"/>
      <c r="AG107" s="49"/>
      <c r="AH107" s="50">
        <f t="shared" si="106"/>
        <v>115</v>
      </c>
      <c r="AI107" s="41" t="s">
        <v>555</v>
      </c>
      <c r="AJ107" s="51">
        <f t="shared" si="107"/>
        <v>14.83132</v>
      </c>
      <c r="AK107" s="51">
        <f t="shared" si="108"/>
        <v>14.83132</v>
      </c>
      <c r="AL107" s="41">
        <f t="shared" si="109"/>
        <v>21</v>
      </c>
      <c r="AM107" s="41" t="str">
        <f t="shared" si="110"/>
        <v>30天内</v>
      </c>
      <c r="AN107" s="52">
        <f t="shared" si="111"/>
        <v>0</v>
      </c>
      <c r="AO107" s="41" t="s">
        <v>562</v>
      </c>
      <c r="AP107" s="53">
        <f t="shared" si="112"/>
        <v>0</v>
      </c>
      <c r="AQ107" s="16"/>
    </row>
    <row r="108" spans="1:43">
      <c r="A108" s="41">
        <v>202509</v>
      </c>
      <c r="B108" s="54">
        <v>45910</v>
      </c>
      <c r="C108" s="41" t="s">
        <v>600</v>
      </c>
      <c r="D108" s="41" t="str">
        <f t="shared" ref="D108:I108" si="161">D107</f>
        <v>M » N2 - 1</v>
      </c>
      <c r="E108" s="41" t="str">
        <f t="shared" si="161"/>
        <v>YCD-EX:HUPPER TEK</v>
      </c>
      <c r="F108" s="41" t="str">
        <f t="shared" si="161"/>
        <v>MI202508130012</v>
      </c>
      <c r="G108" s="41" t="str">
        <f t="shared" si="161"/>
        <v>DE2508031-G7-MIC</v>
      </c>
      <c r="H108" s="55">
        <f t="shared" si="161"/>
        <v>45889</v>
      </c>
      <c r="I108" s="56" t="str">
        <f t="shared" si="161"/>
        <v>B077RVYZRF</v>
      </c>
      <c r="J108" s="41"/>
      <c r="K108" s="57" t="str">
        <f t="shared" si="143"/>
        <v>德国联邦快递金属储物柜</v>
      </c>
      <c r="L108" s="41"/>
      <c r="M108" s="46">
        <f t="shared" si="144"/>
        <v>188</v>
      </c>
      <c r="N108" s="46">
        <f t="shared" si="145"/>
        <v>49</v>
      </c>
      <c r="O108" s="46">
        <f t="shared" si="146"/>
        <v>14</v>
      </c>
      <c r="P108" s="41">
        <f t="shared" si="104"/>
        <v>0.128968</v>
      </c>
      <c r="Q108" s="41"/>
      <c r="R108" s="46">
        <f t="shared" si="147"/>
        <v>188</v>
      </c>
      <c r="S108" s="46">
        <f t="shared" si="148"/>
        <v>49</v>
      </c>
      <c r="T108" s="46">
        <f t="shared" si="149"/>
        <v>14</v>
      </c>
      <c r="U108" s="41">
        <f t="shared" si="105"/>
        <v>0.128968</v>
      </c>
      <c r="V108" s="41"/>
      <c r="W108" s="41"/>
      <c r="X108" s="41"/>
      <c r="Y108" s="41"/>
      <c r="Z108" s="41"/>
      <c r="AA108" s="41">
        <f t="shared" si="150"/>
        <v>10</v>
      </c>
      <c r="AB108" s="41">
        <f t="shared" si="151"/>
        <v>117</v>
      </c>
      <c r="AC108" s="41">
        <f t="shared" si="152"/>
        <v>117</v>
      </c>
      <c r="AD108" s="41">
        <v>0</v>
      </c>
      <c r="AE108" s="48">
        <f t="shared" si="153"/>
        <v>115</v>
      </c>
      <c r="AF108" s="48"/>
      <c r="AG108" s="49"/>
      <c r="AH108" s="50">
        <f t="shared" si="106"/>
        <v>115</v>
      </c>
      <c r="AI108" s="41" t="s">
        <v>555</v>
      </c>
      <c r="AJ108" s="51">
        <f t="shared" si="107"/>
        <v>14.83132</v>
      </c>
      <c r="AK108" s="51">
        <f t="shared" si="108"/>
        <v>14.83132</v>
      </c>
      <c r="AL108" s="41">
        <f t="shared" si="109"/>
        <v>22</v>
      </c>
      <c r="AM108" s="41" t="str">
        <f t="shared" si="110"/>
        <v>30天内</v>
      </c>
      <c r="AN108" s="52">
        <f t="shared" si="111"/>
        <v>0</v>
      </c>
      <c r="AO108" s="41" t="s">
        <v>562</v>
      </c>
      <c r="AP108" s="53">
        <f t="shared" si="112"/>
        <v>0</v>
      </c>
      <c r="AQ108" s="16"/>
    </row>
    <row r="109" spans="1:43">
      <c r="A109" s="41">
        <v>202509</v>
      </c>
      <c r="B109" s="54">
        <v>45911</v>
      </c>
      <c r="C109" s="41" t="s">
        <v>600</v>
      </c>
      <c r="D109" s="41" t="str">
        <f t="shared" ref="D109:I109" si="162">D108</f>
        <v>M » N2 - 1</v>
      </c>
      <c r="E109" s="41" t="str">
        <f t="shared" si="162"/>
        <v>YCD-EX:HUPPER TEK</v>
      </c>
      <c r="F109" s="41" t="str">
        <f t="shared" si="162"/>
        <v>MI202508130012</v>
      </c>
      <c r="G109" s="41" t="str">
        <f t="shared" si="162"/>
        <v>DE2508031-G7-MIC</v>
      </c>
      <c r="H109" s="55">
        <f t="shared" si="162"/>
        <v>45889</v>
      </c>
      <c r="I109" s="56" t="str">
        <f t="shared" si="162"/>
        <v>B077RVYZRF</v>
      </c>
      <c r="J109" s="41"/>
      <c r="K109" s="57" t="str">
        <f t="shared" si="143"/>
        <v>德国联邦快递金属储物柜</v>
      </c>
      <c r="L109" s="41"/>
      <c r="M109" s="46">
        <f t="shared" si="144"/>
        <v>188</v>
      </c>
      <c r="N109" s="46">
        <f t="shared" si="145"/>
        <v>49</v>
      </c>
      <c r="O109" s="46">
        <f t="shared" si="146"/>
        <v>14</v>
      </c>
      <c r="P109" s="41">
        <f t="shared" si="104"/>
        <v>0.128968</v>
      </c>
      <c r="Q109" s="41"/>
      <c r="R109" s="46">
        <f t="shared" si="147"/>
        <v>188</v>
      </c>
      <c r="S109" s="46">
        <f t="shared" si="148"/>
        <v>49</v>
      </c>
      <c r="T109" s="46">
        <f t="shared" si="149"/>
        <v>14</v>
      </c>
      <c r="U109" s="41">
        <f t="shared" si="105"/>
        <v>0.128968</v>
      </c>
      <c r="V109" s="41"/>
      <c r="W109" s="41"/>
      <c r="X109" s="41"/>
      <c r="Y109" s="41"/>
      <c r="Z109" s="41"/>
      <c r="AA109" s="41">
        <f t="shared" si="150"/>
        <v>10</v>
      </c>
      <c r="AB109" s="41">
        <f t="shared" si="151"/>
        <v>117</v>
      </c>
      <c r="AC109" s="41">
        <f t="shared" si="152"/>
        <v>117</v>
      </c>
      <c r="AD109" s="41">
        <v>0</v>
      </c>
      <c r="AE109" s="48">
        <f t="shared" si="153"/>
        <v>115</v>
      </c>
      <c r="AF109" s="48"/>
      <c r="AG109" s="49"/>
      <c r="AH109" s="50">
        <f t="shared" si="106"/>
        <v>115</v>
      </c>
      <c r="AI109" s="41" t="s">
        <v>555</v>
      </c>
      <c r="AJ109" s="51">
        <f t="shared" si="107"/>
        <v>14.83132</v>
      </c>
      <c r="AK109" s="51">
        <f t="shared" si="108"/>
        <v>14.83132</v>
      </c>
      <c r="AL109" s="41">
        <f t="shared" si="109"/>
        <v>23</v>
      </c>
      <c r="AM109" s="41" t="str">
        <f t="shared" si="110"/>
        <v>30天内</v>
      </c>
      <c r="AN109" s="52">
        <f t="shared" si="111"/>
        <v>0</v>
      </c>
      <c r="AO109" s="41" t="s">
        <v>562</v>
      </c>
      <c r="AP109" s="53">
        <f t="shared" si="112"/>
        <v>0</v>
      </c>
      <c r="AQ109" s="16"/>
    </row>
    <row r="110" spans="1:43">
      <c r="A110" s="41">
        <v>202509</v>
      </c>
      <c r="B110" s="54">
        <v>45912</v>
      </c>
      <c r="C110" s="41" t="s">
        <v>600</v>
      </c>
      <c r="D110" s="41" t="str">
        <f t="shared" ref="D110:I110" si="163">D109</f>
        <v>M » N2 - 1</v>
      </c>
      <c r="E110" s="41" t="str">
        <f t="shared" si="163"/>
        <v>YCD-EX:HUPPER TEK</v>
      </c>
      <c r="F110" s="41" t="str">
        <f t="shared" si="163"/>
        <v>MI202508130012</v>
      </c>
      <c r="G110" s="41" t="str">
        <f t="shared" si="163"/>
        <v>DE2508031-G7-MIC</v>
      </c>
      <c r="H110" s="55">
        <f t="shared" si="163"/>
        <v>45889</v>
      </c>
      <c r="I110" s="56" t="str">
        <f t="shared" si="163"/>
        <v>B077RVYZRF</v>
      </c>
      <c r="J110" s="41"/>
      <c r="K110" s="57" t="str">
        <f t="shared" si="143"/>
        <v>德国联邦快递金属储物柜</v>
      </c>
      <c r="L110" s="41"/>
      <c r="M110" s="46">
        <f t="shared" si="144"/>
        <v>188</v>
      </c>
      <c r="N110" s="46">
        <f t="shared" si="145"/>
        <v>49</v>
      </c>
      <c r="O110" s="46">
        <f t="shared" si="146"/>
        <v>14</v>
      </c>
      <c r="P110" s="41">
        <f t="shared" si="104"/>
        <v>0.128968</v>
      </c>
      <c r="Q110" s="41"/>
      <c r="R110" s="46">
        <f t="shared" si="147"/>
        <v>188</v>
      </c>
      <c r="S110" s="46">
        <f t="shared" si="148"/>
        <v>49</v>
      </c>
      <c r="T110" s="46">
        <f t="shared" si="149"/>
        <v>14</v>
      </c>
      <c r="U110" s="41">
        <f t="shared" si="105"/>
        <v>0.128968</v>
      </c>
      <c r="V110" s="41"/>
      <c r="W110" s="41"/>
      <c r="X110" s="41"/>
      <c r="Y110" s="41"/>
      <c r="Z110" s="41"/>
      <c r="AA110" s="41">
        <f t="shared" si="150"/>
        <v>10</v>
      </c>
      <c r="AB110" s="41">
        <f t="shared" si="151"/>
        <v>117</v>
      </c>
      <c r="AC110" s="41">
        <f t="shared" si="152"/>
        <v>117</v>
      </c>
      <c r="AD110" s="41">
        <v>0</v>
      </c>
      <c r="AE110" s="48">
        <f t="shared" si="153"/>
        <v>115</v>
      </c>
      <c r="AF110" s="48"/>
      <c r="AG110" s="49"/>
      <c r="AH110" s="50">
        <f t="shared" si="106"/>
        <v>115</v>
      </c>
      <c r="AI110" s="41" t="s">
        <v>555</v>
      </c>
      <c r="AJ110" s="51">
        <f t="shared" si="107"/>
        <v>14.83132</v>
      </c>
      <c r="AK110" s="51">
        <f t="shared" si="108"/>
        <v>14.83132</v>
      </c>
      <c r="AL110" s="41">
        <f t="shared" si="109"/>
        <v>24</v>
      </c>
      <c r="AM110" s="41" t="str">
        <f t="shared" si="110"/>
        <v>30天内</v>
      </c>
      <c r="AN110" s="52">
        <f t="shared" si="111"/>
        <v>0</v>
      </c>
      <c r="AO110" s="41" t="s">
        <v>562</v>
      </c>
      <c r="AP110" s="53">
        <f t="shared" si="112"/>
        <v>0</v>
      </c>
      <c r="AQ110" s="16"/>
    </row>
    <row r="111" spans="1:43">
      <c r="A111" s="41">
        <v>202509</v>
      </c>
      <c r="B111" s="54">
        <v>45913</v>
      </c>
      <c r="C111" s="41" t="s">
        <v>600</v>
      </c>
      <c r="D111" s="41" t="str">
        <f t="shared" ref="D111:I111" si="164">D110</f>
        <v>M » N2 - 1</v>
      </c>
      <c r="E111" s="41" t="str">
        <f t="shared" si="164"/>
        <v>YCD-EX:HUPPER TEK</v>
      </c>
      <c r="F111" s="41" t="str">
        <f t="shared" si="164"/>
        <v>MI202508130012</v>
      </c>
      <c r="G111" s="41" t="str">
        <f t="shared" si="164"/>
        <v>DE2508031-G7-MIC</v>
      </c>
      <c r="H111" s="55">
        <f t="shared" si="164"/>
        <v>45889</v>
      </c>
      <c r="I111" s="56" t="str">
        <f t="shared" si="164"/>
        <v>B077RVYZRF</v>
      </c>
      <c r="J111" s="41"/>
      <c r="K111" s="57" t="str">
        <f t="shared" si="143"/>
        <v>德国联邦快递金属储物柜</v>
      </c>
      <c r="L111" s="41"/>
      <c r="M111" s="46">
        <f t="shared" si="144"/>
        <v>188</v>
      </c>
      <c r="N111" s="46">
        <f t="shared" si="145"/>
        <v>49</v>
      </c>
      <c r="O111" s="46">
        <f t="shared" si="146"/>
        <v>14</v>
      </c>
      <c r="P111" s="41">
        <f t="shared" si="104"/>
        <v>0.128968</v>
      </c>
      <c r="Q111" s="41"/>
      <c r="R111" s="46">
        <f t="shared" si="147"/>
        <v>188</v>
      </c>
      <c r="S111" s="46">
        <f t="shared" si="148"/>
        <v>49</v>
      </c>
      <c r="T111" s="46">
        <f t="shared" si="149"/>
        <v>14</v>
      </c>
      <c r="U111" s="41">
        <f t="shared" si="105"/>
        <v>0.128968</v>
      </c>
      <c r="V111" s="41"/>
      <c r="W111" s="41"/>
      <c r="X111" s="41"/>
      <c r="Y111" s="41"/>
      <c r="Z111" s="41"/>
      <c r="AA111" s="41">
        <f t="shared" si="150"/>
        <v>10</v>
      </c>
      <c r="AB111" s="41">
        <f t="shared" si="151"/>
        <v>117</v>
      </c>
      <c r="AC111" s="41">
        <f t="shared" si="152"/>
        <v>117</v>
      </c>
      <c r="AD111" s="41">
        <v>0</v>
      </c>
      <c r="AE111" s="48">
        <f t="shared" si="153"/>
        <v>115</v>
      </c>
      <c r="AF111" s="48"/>
      <c r="AG111" s="49"/>
      <c r="AH111" s="50">
        <f t="shared" si="106"/>
        <v>115</v>
      </c>
      <c r="AI111" s="41" t="s">
        <v>555</v>
      </c>
      <c r="AJ111" s="51">
        <f t="shared" si="107"/>
        <v>14.83132</v>
      </c>
      <c r="AK111" s="51">
        <f t="shared" si="108"/>
        <v>14.83132</v>
      </c>
      <c r="AL111" s="41">
        <f t="shared" si="109"/>
        <v>25</v>
      </c>
      <c r="AM111" s="41" t="str">
        <f t="shared" si="110"/>
        <v>30天内</v>
      </c>
      <c r="AN111" s="52">
        <f t="shared" si="111"/>
        <v>0</v>
      </c>
      <c r="AO111" s="41" t="s">
        <v>562</v>
      </c>
      <c r="AP111" s="53">
        <f t="shared" si="112"/>
        <v>0</v>
      </c>
      <c r="AQ111" s="16"/>
    </row>
    <row r="112" spans="1:43">
      <c r="A112" s="41">
        <v>202509</v>
      </c>
      <c r="B112" s="54">
        <v>45914</v>
      </c>
      <c r="C112" s="41" t="s">
        <v>600</v>
      </c>
      <c r="D112" s="41" t="str">
        <f t="shared" ref="D112:I112" si="165">D111</f>
        <v>M » N2 - 1</v>
      </c>
      <c r="E112" s="41" t="str">
        <f t="shared" si="165"/>
        <v>YCD-EX:HUPPER TEK</v>
      </c>
      <c r="F112" s="41" t="str">
        <f t="shared" si="165"/>
        <v>MI202508130012</v>
      </c>
      <c r="G112" s="41" t="str">
        <f t="shared" si="165"/>
        <v>DE2508031-G7-MIC</v>
      </c>
      <c r="H112" s="55">
        <f t="shared" si="165"/>
        <v>45889</v>
      </c>
      <c r="I112" s="56" t="str">
        <f t="shared" si="165"/>
        <v>B077RVYZRF</v>
      </c>
      <c r="J112" s="41"/>
      <c r="K112" s="57" t="str">
        <f t="shared" si="143"/>
        <v>德国联邦快递金属储物柜</v>
      </c>
      <c r="L112" s="41"/>
      <c r="M112" s="46">
        <f t="shared" si="144"/>
        <v>188</v>
      </c>
      <c r="N112" s="46">
        <f t="shared" si="145"/>
        <v>49</v>
      </c>
      <c r="O112" s="46">
        <f t="shared" si="146"/>
        <v>14</v>
      </c>
      <c r="P112" s="41">
        <f t="shared" si="104"/>
        <v>0.128968</v>
      </c>
      <c r="Q112" s="41"/>
      <c r="R112" s="46">
        <f t="shared" si="147"/>
        <v>188</v>
      </c>
      <c r="S112" s="46">
        <f t="shared" si="148"/>
        <v>49</v>
      </c>
      <c r="T112" s="46">
        <f t="shared" si="149"/>
        <v>14</v>
      </c>
      <c r="U112" s="41">
        <f t="shared" si="105"/>
        <v>0.128968</v>
      </c>
      <c r="V112" s="41"/>
      <c r="W112" s="41"/>
      <c r="X112" s="41"/>
      <c r="Y112" s="41"/>
      <c r="Z112" s="41"/>
      <c r="AA112" s="41">
        <f t="shared" si="150"/>
        <v>10</v>
      </c>
      <c r="AB112" s="41">
        <f t="shared" si="151"/>
        <v>117</v>
      </c>
      <c r="AC112" s="41">
        <f t="shared" si="152"/>
        <v>117</v>
      </c>
      <c r="AD112" s="41">
        <v>0</v>
      </c>
      <c r="AE112" s="48">
        <f t="shared" si="153"/>
        <v>115</v>
      </c>
      <c r="AF112" s="48"/>
      <c r="AG112" s="49"/>
      <c r="AH112" s="50">
        <f t="shared" si="106"/>
        <v>115</v>
      </c>
      <c r="AI112" s="41" t="s">
        <v>555</v>
      </c>
      <c r="AJ112" s="51">
        <f t="shared" si="107"/>
        <v>14.83132</v>
      </c>
      <c r="AK112" s="51">
        <f t="shared" si="108"/>
        <v>14.83132</v>
      </c>
      <c r="AL112" s="41">
        <f t="shared" si="109"/>
        <v>26</v>
      </c>
      <c r="AM112" s="41" t="str">
        <f t="shared" si="110"/>
        <v>30天内</v>
      </c>
      <c r="AN112" s="52">
        <f t="shared" si="111"/>
        <v>0</v>
      </c>
      <c r="AO112" s="41" t="s">
        <v>562</v>
      </c>
      <c r="AP112" s="53">
        <f t="shared" si="112"/>
        <v>0</v>
      </c>
      <c r="AQ112" s="16"/>
    </row>
    <row r="113" spans="1:43">
      <c r="A113" s="41">
        <v>202509</v>
      </c>
      <c r="B113" s="54">
        <v>45915</v>
      </c>
      <c r="C113" s="41" t="s">
        <v>600</v>
      </c>
      <c r="D113" s="41" t="str">
        <f t="shared" ref="D113:I113" si="166">D112</f>
        <v>M » N2 - 1</v>
      </c>
      <c r="E113" s="41" t="str">
        <f t="shared" si="166"/>
        <v>YCD-EX:HUPPER TEK</v>
      </c>
      <c r="F113" s="41" t="str">
        <f t="shared" si="166"/>
        <v>MI202508130012</v>
      </c>
      <c r="G113" s="41" t="str">
        <f t="shared" si="166"/>
        <v>DE2508031-G7-MIC</v>
      </c>
      <c r="H113" s="55">
        <f t="shared" si="166"/>
        <v>45889</v>
      </c>
      <c r="I113" s="56" t="str">
        <f t="shared" si="166"/>
        <v>B077RVYZRF</v>
      </c>
      <c r="J113" s="41"/>
      <c r="K113" s="57" t="str">
        <f t="shared" si="143"/>
        <v>德国联邦快递金属储物柜</v>
      </c>
      <c r="L113" s="41"/>
      <c r="M113" s="46">
        <f t="shared" si="144"/>
        <v>188</v>
      </c>
      <c r="N113" s="46">
        <f t="shared" si="145"/>
        <v>49</v>
      </c>
      <c r="O113" s="46">
        <f t="shared" si="146"/>
        <v>14</v>
      </c>
      <c r="P113" s="41">
        <f t="shared" si="104"/>
        <v>0.128968</v>
      </c>
      <c r="Q113" s="41"/>
      <c r="R113" s="46">
        <f t="shared" si="147"/>
        <v>188</v>
      </c>
      <c r="S113" s="46">
        <f t="shared" si="148"/>
        <v>49</v>
      </c>
      <c r="T113" s="46">
        <f t="shared" si="149"/>
        <v>14</v>
      </c>
      <c r="U113" s="41">
        <f t="shared" si="105"/>
        <v>0.128968</v>
      </c>
      <c r="V113" s="41"/>
      <c r="W113" s="41"/>
      <c r="X113" s="41"/>
      <c r="Y113" s="41"/>
      <c r="Z113" s="41"/>
      <c r="AA113" s="41">
        <f t="shared" si="150"/>
        <v>10</v>
      </c>
      <c r="AB113" s="41">
        <f t="shared" si="151"/>
        <v>117</v>
      </c>
      <c r="AC113" s="41">
        <f t="shared" si="152"/>
        <v>117</v>
      </c>
      <c r="AD113" s="41">
        <v>0</v>
      </c>
      <c r="AE113" s="48">
        <f t="shared" si="153"/>
        <v>115</v>
      </c>
      <c r="AF113" s="48"/>
      <c r="AG113" s="49"/>
      <c r="AH113" s="50">
        <f t="shared" si="106"/>
        <v>115</v>
      </c>
      <c r="AI113" s="41" t="s">
        <v>555</v>
      </c>
      <c r="AJ113" s="51">
        <f t="shared" si="107"/>
        <v>14.83132</v>
      </c>
      <c r="AK113" s="51">
        <f t="shared" si="108"/>
        <v>14.83132</v>
      </c>
      <c r="AL113" s="41">
        <f t="shared" si="109"/>
        <v>27</v>
      </c>
      <c r="AM113" s="41" t="str">
        <f t="shared" si="110"/>
        <v>30天内</v>
      </c>
      <c r="AN113" s="52">
        <f t="shared" si="111"/>
        <v>0</v>
      </c>
      <c r="AO113" s="41" t="s">
        <v>562</v>
      </c>
      <c r="AP113" s="53">
        <f t="shared" si="112"/>
        <v>0</v>
      </c>
      <c r="AQ113" s="16"/>
    </row>
    <row r="114" spans="1:43">
      <c r="A114" s="41">
        <v>202509</v>
      </c>
      <c r="B114" s="54">
        <v>45916</v>
      </c>
      <c r="C114" s="41" t="s">
        <v>600</v>
      </c>
      <c r="D114" s="41" t="str">
        <f t="shared" ref="D114:I114" si="167">D113</f>
        <v>M » N2 - 1</v>
      </c>
      <c r="E114" s="41" t="str">
        <f t="shared" si="167"/>
        <v>YCD-EX:HUPPER TEK</v>
      </c>
      <c r="F114" s="41" t="str">
        <f t="shared" si="167"/>
        <v>MI202508130012</v>
      </c>
      <c r="G114" s="41" t="str">
        <f t="shared" si="167"/>
        <v>DE2508031-G7-MIC</v>
      </c>
      <c r="H114" s="55">
        <f t="shared" si="167"/>
        <v>45889</v>
      </c>
      <c r="I114" s="56" t="str">
        <f t="shared" si="167"/>
        <v>B077RVYZRF</v>
      </c>
      <c r="J114" s="41"/>
      <c r="K114" s="57" t="str">
        <f t="shared" si="143"/>
        <v>德国联邦快递金属储物柜</v>
      </c>
      <c r="L114" s="41"/>
      <c r="M114" s="46">
        <f t="shared" si="144"/>
        <v>188</v>
      </c>
      <c r="N114" s="46">
        <f t="shared" si="145"/>
        <v>49</v>
      </c>
      <c r="O114" s="46">
        <f t="shared" si="146"/>
        <v>14</v>
      </c>
      <c r="P114" s="41">
        <f t="shared" si="104"/>
        <v>0.128968</v>
      </c>
      <c r="Q114" s="41"/>
      <c r="R114" s="46">
        <f t="shared" si="147"/>
        <v>188</v>
      </c>
      <c r="S114" s="46">
        <f t="shared" si="148"/>
        <v>49</v>
      </c>
      <c r="T114" s="46">
        <f t="shared" si="149"/>
        <v>14</v>
      </c>
      <c r="U114" s="41">
        <f t="shared" si="105"/>
        <v>0.128968</v>
      </c>
      <c r="V114" s="41"/>
      <c r="W114" s="41"/>
      <c r="X114" s="41"/>
      <c r="Y114" s="41"/>
      <c r="Z114" s="41"/>
      <c r="AA114" s="41">
        <f t="shared" si="150"/>
        <v>10</v>
      </c>
      <c r="AB114" s="41">
        <f t="shared" si="151"/>
        <v>117</v>
      </c>
      <c r="AC114" s="41">
        <f t="shared" si="152"/>
        <v>117</v>
      </c>
      <c r="AD114" s="41">
        <v>0</v>
      </c>
      <c r="AE114" s="48">
        <f t="shared" si="153"/>
        <v>115</v>
      </c>
      <c r="AF114" s="48"/>
      <c r="AG114" s="49"/>
      <c r="AH114" s="50">
        <f t="shared" si="106"/>
        <v>115</v>
      </c>
      <c r="AI114" s="41" t="s">
        <v>555</v>
      </c>
      <c r="AJ114" s="51">
        <f t="shared" si="107"/>
        <v>14.83132</v>
      </c>
      <c r="AK114" s="51">
        <f t="shared" si="108"/>
        <v>14.83132</v>
      </c>
      <c r="AL114" s="41">
        <f t="shared" si="109"/>
        <v>28</v>
      </c>
      <c r="AM114" s="41" t="str">
        <f t="shared" si="110"/>
        <v>30天内</v>
      </c>
      <c r="AN114" s="52">
        <f t="shared" si="111"/>
        <v>0</v>
      </c>
      <c r="AO114" s="41" t="s">
        <v>562</v>
      </c>
      <c r="AP114" s="53">
        <f t="shared" si="112"/>
        <v>0</v>
      </c>
      <c r="AQ114" s="16"/>
    </row>
    <row r="115" spans="1:43">
      <c r="A115" s="41">
        <v>202509</v>
      </c>
      <c r="B115" s="54">
        <v>45917</v>
      </c>
      <c r="C115" s="41" t="s">
        <v>600</v>
      </c>
      <c r="D115" s="41" t="str">
        <f t="shared" ref="D115:I115" si="168">D114</f>
        <v>M » N2 - 1</v>
      </c>
      <c r="E115" s="41" t="str">
        <f t="shared" si="168"/>
        <v>YCD-EX:HUPPER TEK</v>
      </c>
      <c r="F115" s="41" t="str">
        <f t="shared" si="168"/>
        <v>MI202508130012</v>
      </c>
      <c r="G115" s="41" t="str">
        <f t="shared" si="168"/>
        <v>DE2508031-G7-MIC</v>
      </c>
      <c r="H115" s="55">
        <f t="shared" si="168"/>
        <v>45889</v>
      </c>
      <c r="I115" s="56" t="str">
        <f t="shared" si="168"/>
        <v>B077RVYZRF</v>
      </c>
      <c r="J115" s="41"/>
      <c r="K115" s="57" t="str">
        <f t="shared" si="143"/>
        <v>德国联邦快递金属储物柜</v>
      </c>
      <c r="L115" s="41"/>
      <c r="M115" s="46">
        <f t="shared" si="144"/>
        <v>188</v>
      </c>
      <c r="N115" s="46">
        <f t="shared" si="145"/>
        <v>49</v>
      </c>
      <c r="O115" s="46">
        <f t="shared" si="146"/>
        <v>14</v>
      </c>
      <c r="P115" s="41">
        <f t="shared" si="104"/>
        <v>0.128968</v>
      </c>
      <c r="Q115" s="41"/>
      <c r="R115" s="46">
        <f t="shared" si="147"/>
        <v>188</v>
      </c>
      <c r="S115" s="46">
        <f t="shared" si="148"/>
        <v>49</v>
      </c>
      <c r="T115" s="46">
        <f t="shared" si="149"/>
        <v>14</v>
      </c>
      <c r="U115" s="41">
        <f t="shared" si="105"/>
        <v>0.128968</v>
      </c>
      <c r="V115" s="41"/>
      <c r="W115" s="41"/>
      <c r="X115" s="41"/>
      <c r="Y115" s="41"/>
      <c r="Z115" s="41"/>
      <c r="AA115" s="41">
        <f t="shared" si="150"/>
        <v>10</v>
      </c>
      <c r="AB115" s="41">
        <f t="shared" si="151"/>
        <v>117</v>
      </c>
      <c r="AC115" s="41">
        <f t="shared" si="152"/>
        <v>117</v>
      </c>
      <c r="AD115" s="41">
        <v>0</v>
      </c>
      <c r="AE115" s="48">
        <f t="shared" si="153"/>
        <v>115</v>
      </c>
      <c r="AF115" s="48"/>
      <c r="AG115" s="49"/>
      <c r="AH115" s="50">
        <f t="shared" si="106"/>
        <v>115</v>
      </c>
      <c r="AI115" s="41" t="s">
        <v>555</v>
      </c>
      <c r="AJ115" s="51">
        <f t="shared" si="107"/>
        <v>14.83132</v>
      </c>
      <c r="AK115" s="51">
        <f t="shared" si="108"/>
        <v>14.83132</v>
      </c>
      <c r="AL115" s="41">
        <f t="shared" si="109"/>
        <v>29</v>
      </c>
      <c r="AM115" s="41" t="str">
        <f t="shared" si="110"/>
        <v>30天内</v>
      </c>
      <c r="AN115" s="52">
        <f t="shared" si="111"/>
        <v>0</v>
      </c>
      <c r="AO115" s="41" t="s">
        <v>562</v>
      </c>
      <c r="AP115" s="53">
        <f t="shared" si="112"/>
        <v>0</v>
      </c>
      <c r="AQ115" s="16"/>
    </row>
    <row r="116" spans="1:43">
      <c r="A116" s="41">
        <v>202509</v>
      </c>
      <c r="B116" s="54">
        <v>45918</v>
      </c>
      <c r="C116" s="41" t="s">
        <v>600</v>
      </c>
      <c r="D116" s="41" t="str">
        <f t="shared" ref="D116:I116" si="169">D115</f>
        <v>M » N2 - 1</v>
      </c>
      <c r="E116" s="41" t="str">
        <f t="shared" si="169"/>
        <v>YCD-EX:HUPPER TEK</v>
      </c>
      <c r="F116" s="41" t="str">
        <f t="shared" si="169"/>
        <v>MI202508130012</v>
      </c>
      <c r="G116" s="41" t="str">
        <f t="shared" si="169"/>
        <v>DE2508031-G7-MIC</v>
      </c>
      <c r="H116" s="55">
        <f t="shared" si="169"/>
        <v>45889</v>
      </c>
      <c r="I116" s="56" t="str">
        <f t="shared" si="169"/>
        <v>B077RVYZRF</v>
      </c>
      <c r="J116" s="41"/>
      <c r="K116" s="57" t="str">
        <f t="shared" si="143"/>
        <v>德国联邦快递金属储物柜</v>
      </c>
      <c r="L116" s="41"/>
      <c r="M116" s="46">
        <f t="shared" si="144"/>
        <v>188</v>
      </c>
      <c r="N116" s="46">
        <f t="shared" si="145"/>
        <v>49</v>
      </c>
      <c r="O116" s="46">
        <f t="shared" si="146"/>
        <v>14</v>
      </c>
      <c r="P116" s="41">
        <f t="shared" si="104"/>
        <v>0.128968</v>
      </c>
      <c r="Q116" s="41"/>
      <c r="R116" s="46">
        <f t="shared" si="147"/>
        <v>188</v>
      </c>
      <c r="S116" s="46">
        <f t="shared" si="148"/>
        <v>49</v>
      </c>
      <c r="T116" s="46">
        <f t="shared" si="149"/>
        <v>14</v>
      </c>
      <c r="U116" s="41">
        <f t="shared" si="105"/>
        <v>0.128968</v>
      </c>
      <c r="V116" s="41"/>
      <c r="W116" s="41"/>
      <c r="X116" s="41"/>
      <c r="Y116" s="41"/>
      <c r="Z116" s="41"/>
      <c r="AA116" s="41">
        <f t="shared" si="150"/>
        <v>10</v>
      </c>
      <c r="AB116" s="41">
        <f t="shared" si="151"/>
        <v>117</v>
      </c>
      <c r="AC116" s="41">
        <f t="shared" si="152"/>
        <v>117</v>
      </c>
      <c r="AD116" s="41">
        <v>0</v>
      </c>
      <c r="AE116" s="48">
        <f t="shared" si="153"/>
        <v>115</v>
      </c>
      <c r="AF116" s="48"/>
      <c r="AG116" s="49"/>
      <c r="AH116" s="50">
        <f t="shared" si="106"/>
        <v>115</v>
      </c>
      <c r="AI116" s="41" t="s">
        <v>555</v>
      </c>
      <c r="AJ116" s="51">
        <f t="shared" si="107"/>
        <v>14.83132</v>
      </c>
      <c r="AK116" s="51">
        <f t="shared" si="108"/>
        <v>14.83132</v>
      </c>
      <c r="AL116" s="41">
        <f t="shared" si="109"/>
        <v>30</v>
      </c>
      <c r="AM116" s="41" t="str">
        <f t="shared" si="110"/>
        <v>30天内</v>
      </c>
      <c r="AN116" s="52">
        <f t="shared" si="111"/>
        <v>0</v>
      </c>
      <c r="AO116" s="41" t="s">
        <v>562</v>
      </c>
      <c r="AP116" s="53">
        <f t="shared" si="112"/>
        <v>0</v>
      </c>
      <c r="AQ116" s="16"/>
    </row>
    <row r="117" ht="16.5" spans="1:43">
      <c r="A117" s="41">
        <v>202509</v>
      </c>
      <c r="B117" s="54">
        <v>45919</v>
      </c>
      <c r="C117" s="41" t="s">
        <v>600</v>
      </c>
      <c r="D117" s="41" t="str">
        <f t="shared" ref="D117:I117" si="170">D116</f>
        <v>M » N2 - 1</v>
      </c>
      <c r="E117" s="41" t="str">
        <f t="shared" si="170"/>
        <v>YCD-EX:HUPPER TEK</v>
      </c>
      <c r="F117" s="41" t="str">
        <f t="shared" si="170"/>
        <v>MI202508130012</v>
      </c>
      <c r="G117" s="41" t="str">
        <f t="shared" si="170"/>
        <v>DE2508031-G7-MIC</v>
      </c>
      <c r="H117" s="55">
        <f t="shared" si="170"/>
        <v>45889</v>
      </c>
      <c r="I117" s="56" t="str">
        <f t="shared" si="170"/>
        <v>B077RVYZRF</v>
      </c>
      <c r="J117" s="41"/>
      <c r="K117" s="57" t="str">
        <f t="shared" si="143"/>
        <v>德国联邦快递金属储物柜</v>
      </c>
      <c r="L117" s="41"/>
      <c r="M117" s="46">
        <f t="shared" si="144"/>
        <v>188</v>
      </c>
      <c r="N117" s="46">
        <f t="shared" si="145"/>
        <v>49</v>
      </c>
      <c r="O117" s="46">
        <f t="shared" si="146"/>
        <v>14</v>
      </c>
      <c r="P117" s="41">
        <f t="shared" si="104"/>
        <v>0.128968</v>
      </c>
      <c r="Q117" s="41"/>
      <c r="R117" s="46">
        <f t="shared" si="147"/>
        <v>188</v>
      </c>
      <c r="S117" s="46">
        <f t="shared" si="148"/>
        <v>49</v>
      </c>
      <c r="T117" s="46">
        <f t="shared" si="149"/>
        <v>14</v>
      </c>
      <c r="U117" s="41">
        <f t="shared" si="105"/>
        <v>0.128968</v>
      </c>
      <c r="V117" s="41"/>
      <c r="W117" s="41"/>
      <c r="X117" s="41"/>
      <c r="Y117" s="41"/>
      <c r="Z117" s="41"/>
      <c r="AA117" s="41">
        <f t="shared" si="150"/>
        <v>10</v>
      </c>
      <c r="AB117" s="41">
        <f t="shared" si="151"/>
        <v>117</v>
      </c>
      <c r="AC117" s="41">
        <f t="shared" si="152"/>
        <v>117</v>
      </c>
      <c r="AD117" s="41">
        <v>0</v>
      </c>
      <c r="AE117" s="48">
        <f t="shared" si="153"/>
        <v>115</v>
      </c>
      <c r="AF117" s="48"/>
      <c r="AG117" s="49"/>
      <c r="AH117" s="50">
        <f t="shared" si="106"/>
        <v>115</v>
      </c>
      <c r="AI117" s="41" t="s">
        <v>555</v>
      </c>
      <c r="AJ117" s="51">
        <f t="shared" si="107"/>
        <v>14.83132</v>
      </c>
      <c r="AK117" s="51">
        <f t="shared" si="108"/>
        <v>14.83132</v>
      </c>
      <c r="AL117" s="41">
        <f t="shared" si="109"/>
        <v>31</v>
      </c>
      <c r="AM117" s="41" t="str">
        <f t="shared" si="110"/>
        <v>31-90天</v>
      </c>
      <c r="AN117" s="59">
        <v>0.7</v>
      </c>
      <c r="AO117" s="41" t="s">
        <v>562</v>
      </c>
      <c r="AP117" s="53">
        <f t="shared" si="112"/>
        <v>10.381924</v>
      </c>
      <c r="AQ117" s="16"/>
    </row>
    <row r="118" ht="16.5" spans="1:43">
      <c r="A118" s="41">
        <v>202509</v>
      </c>
      <c r="B118" s="54">
        <v>45920</v>
      </c>
      <c r="C118" s="41" t="s">
        <v>600</v>
      </c>
      <c r="D118" s="41" t="str">
        <f t="shared" ref="D118:I118" si="171">D117</f>
        <v>M » N2 - 1</v>
      </c>
      <c r="E118" s="41" t="str">
        <f t="shared" si="171"/>
        <v>YCD-EX:HUPPER TEK</v>
      </c>
      <c r="F118" s="41" t="str">
        <f t="shared" si="171"/>
        <v>MI202508130012</v>
      </c>
      <c r="G118" s="41" t="str">
        <f t="shared" si="171"/>
        <v>DE2508031-G7-MIC</v>
      </c>
      <c r="H118" s="55">
        <f t="shared" si="171"/>
        <v>45889</v>
      </c>
      <c r="I118" s="56" t="str">
        <f t="shared" si="171"/>
        <v>B077RVYZRF</v>
      </c>
      <c r="J118" s="41"/>
      <c r="K118" s="57" t="str">
        <f t="shared" si="143"/>
        <v>德国联邦快递金属储物柜</v>
      </c>
      <c r="L118" s="41"/>
      <c r="M118" s="46">
        <f t="shared" si="144"/>
        <v>188</v>
      </c>
      <c r="N118" s="46">
        <f t="shared" si="145"/>
        <v>49</v>
      </c>
      <c r="O118" s="46">
        <f t="shared" si="146"/>
        <v>14</v>
      </c>
      <c r="P118" s="41">
        <f t="shared" si="104"/>
        <v>0.128968</v>
      </c>
      <c r="Q118" s="41"/>
      <c r="R118" s="46">
        <f t="shared" si="147"/>
        <v>188</v>
      </c>
      <c r="S118" s="46">
        <f t="shared" si="148"/>
        <v>49</v>
      </c>
      <c r="T118" s="46">
        <f t="shared" si="149"/>
        <v>14</v>
      </c>
      <c r="U118" s="41">
        <f t="shared" si="105"/>
        <v>0.128968</v>
      </c>
      <c r="V118" s="41"/>
      <c r="W118" s="41"/>
      <c r="X118" s="41"/>
      <c r="Y118" s="41"/>
      <c r="Z118" s="41"/>
      <c r="AA118" s="41">
        <f t="shared" si="150"/>
        <v>10</v>
      </c>
      <c r="AB118" s="41">
        <f t="shared" si="151"/>
        <v>117</v>
      </c>
      <c r="AC118" s="41">
        <f t="shared" si="152"/>
        <v>117</v>
      </c>
      <c r="AD118" s="41">
        <v>0</v>
      </c>
      <c r="AE118" s="48">
        <f t="shared" si="153"/>
        <v>115</v>
      </c>
      <c r="AF118" s="48"/>
      <c r="AG118" s="49"/>
      <c r="AH118" s="50">
        <f t="shared" si="106"/>
        <v>115</v>
      </c>
      <c r="AI118" s="41" t="s">
        <v>555</v>
      </c>
      <c r="AJ118" s="51">
        <f t="shared" si="107"/>
        <v>14.83132</v>
      </c>
      <c r="AK118" s="51">
        <f t="shared" si="108"/>
        <v>14.83132</v>
      </c>
      <c r="AL118" s="41">
        <f t="shared" si="109"/>
        <v>32</v>
      </c>
      <c r="AM118" s="41" t="str">
        <f t="shared" si="110"/>
        <v>31-90天</v>
      </c>
      <c r="AN118" s="59">
        <v>0.7</v>
      </c>
      <c r="AO118" s="41" t="s">
        <v>562</v>
      </c>
      <c r="AP118" s="53">
        <f t="shared" si="112"/>
        <v>10.381924</v>
      </c>
      <c r="AQ118" s="16"/>
    </row>
    <row r="119" ht="16.5" spans="1:43">
      <c r="A119" s="41">
        <v>202509</v>
      </c>
      <c r="B119" s="54">
        <v>45921</v>
      </c>
      <c r="C119" s="41" t="s">
        <v>600</v>
      </c>
      <c r="D119" s="41" t="str">
        <f t="shared" ref="D119:I119" si="172">D118</f>
        <v>M » N2 - 1</v>
      </c>
      <c r="E119" s="41" t="str">
        <f t="shared" si="172"/>
        <v>YCD-EX:HUPPER TEK</v>
      </c>
      <c r="F119" s="41" t="str">
        <f t="shared" si="172"/>
        <v>MI202508130012</v>
      </c>
      <c r="G119" s="41" t="str">
        <f t="shared" si="172"/>
        <v>DE2508031-G7-MIC</v>
      </c>
      <c r="H119" s="55">
        <f t="shared" si="172"/>
        <v>45889</v>
      </c>
      <c r="I119" s="56" t="str">
        <f t="shared" si="172"/>
        <v>B077RVYZRF</v>
      </c>
      <c r="J119" s="41"/>
      <c r="K119" s="57" t="str">
        <f t="shared" si="143"/>
        <v>德国联邦快递金属储物柜</v>
      </c>
      <c r="L119" s="41"/>
      <c r="M119" s="46">
        <f t="shared" si="144"/>
        <v>188</v>
      </c>
      <c r="N119" s="46">
        <f t="shared" si="145"/>
        <v>49</v>
      </c>
      <c r="O119" s="46">
        <f t="shared" si="146"/>
        <v>14</v>
      </c>
      <c r="P119" s="41">
        <f t="shared" si="104"/>
        <v>0.128968</v>
      </c>
      <c r="Q119" s="41"/>
      <c r="R119" s="46">
        <f t="shared" si="147"/>
        <v>188</v>
      </c>
      <c r="S119" s="46">
        <f t="shared" si="148"/>
        <v>49</v>
      </c>
      <c r="T119" s="46">
        <f t="shared" si="149"/>
        <v>14</v>
      </c>
      <c r="U119" s="41">
        <f t="shared" si="105"/>
        <v>0.128968</v>
      </c>
      <c r="V119" s="41"/>
      <c r="W119" s="41"/>
      <c r="X119" s="41"/>
      <c r="Y119" s="41"/>
      <c r="Z119" s="41"/>
      <c r="AA119" s="41">
        <f t="shared" si="150"/>
        <v>10</v>
      </c>
      <c r="AB119" s="41">
        <f t="shared" si="151"/>
        <v>117</v>
      </c>
      <c r="AC119" s="41">
        <f t="shared" si="152"/>
        <v>117</v>
      </c>
      <c r="AD119" s="41">
        <v>0</v>
      </c>
      <c r="AE119" s="48">
        <f t="shared" si="153"/>
        <v>115</v>
      </c>
      <c r="AF119" s="48"/>
      <c r="AG119" s="49"/>
      <c r="AH119" s="50">
        <f t="shared" si="106"/>
        <v>115</v>
      </c>
      <c r="AI119" s="41" t="s">
        <v>555</v>
      </c>
      <c r="AJ119" s="51">
        <f t="shared" si="107"/>
        <v>14.83132</v>
      </c>
      <c r="AK119" s="51">
        <f t="shared" si="108"/>
        <v>14.83132</v>
      </c>
      <c r="AL119" s="41">
        <f t="shared" si="109"/>
        <v>33</v>
      </c>
      <c r="AM119" s="41" t="str">
        <f t="shared" si="110"/>
        <v>31-90天</v>
      </c>
      <c r="AN119" s="59">
        <v>0.7</v>
      </c>
      <c r="AO119" s="41" t="s">
        <v>562</v>
      </c>
      <c r="AP119" s="53">
        <f t="shared" si="112"/>
        <v>10.381924</v>
      </c>
      <c r="AQ119" s="16"/>
    </row>
    <row r="120" ht="16.5" spans="1:43">
      <c r="A120" s="41">
        <v>202509</v>
      </c>
      <c r="B120" s="54">
        <v>45922</v>
      </c>
      <c r="C120" s="41" t="s">
        <v>600</v>
      </c>
      <c r="D120" s="41" t="str">
        <f t="shared" ref="D120:I120" si="173">D119</f>
        <v>M » N2 - 1</v>
      </c>
      <c r="E120" s="41" t="str">
        <f t="shared" si="173"/>
        <v>YCD-EX:HUPPER TEK</v>
      </c>
      <c r="F120" s="41" t="str">
        <f t="shared" si="173"/>
        <v>MI202508130012</v>
      </c>
      <c r="G120" s="41" t="str">
        <f t="shared" si="173"/>
        <v>DE2508031-G7-MIC</v>
      </c>
      <c r="H120" s="55">
        <f t="shared" si="173"/>
        <v>45889</v>
      </c>
      <c r="I120" s="56" t="str">
        <f t="shared" si="173"/>
        <v>B077RVYZRF</v>
      </c>
      <c r="J120" s="41"/>
      <c r="K120" s="57" t="str">
        <f t="shared" si="143"/>
        <v>德国联邦快递金属储物柜</v>
      </c>
      <c r="L120" s="41"/>
      <c r="M120" s="46">
        <f t="shared" si="144"/>
        <v>188</v>
      </c>
      <c r="N120" s="46">
        <f t="shared" si="145"/>
        <v>49</v>
      </c>
      <c r="O120" s="46">
        <f t="shared" si="146"/>
        <v>14</v>
      </c>
      <c r="P120" s="41">
        <f t="shared" si="104"/>
        <v>0.128968</v>
      </c>
      <c r="Q120" s="41"/>
      <c r="R120" s="46">
        <f t="shared" si="147"/>
        <v>188</v>
      </c>
      <c r="S120" s="46">
        <f t="shared" si="148"/>
        <v>49</v>
      </c>
      <c r="T120" s="46">
        <f t="shared" si="149"/>
        <v>14</v>
      </c>
      <c r="U120" s="41">
        <f t="shared" si="105"/>
        <v>0.128968</v>
      </c>
      <c r="V120" s="41"/>
      <c r="W120" s="41"/>
      <c r="X120" s="41"/>
      <c r="Y120" s="41"/>
      <c r="Z120" s="41"/>
      <c r="AA120" s="41">
        <f t="shared" si="150"/>
        <v>10</v>
      </c>
      <c r="AB120" s="41">
        <f t="shared" si="151"/>
        <v>117</v>
      </c>
      <c r="AC120" s="41">
        <f t="shared" si="152"/>
        <v>117</v>
      </c>
      <c r="AD120" s="41">
        <v>0</v>
      </c>
      <c r="AE120" s="48">
        <f t="shared" si="153"/>
        <v>115</v>
      </c>
      <c r="AF120" s="48"/>
      <c r="AG120" s="49">
        <v>1</v>
      </c>
      <c r="AH120" s="50">
        <f t="shared" si="106"/>
        <v>114</v>
      </c>
      <c r="AI120" s="41" t="s">
        <v>555</v>
      </c>
      <c r="AJ120" s="51">
        <f t="shared" si="107"/>
        <v>14.702352</v>
      </c>
      <c r="AK120" s="51">
        <f t="shared" si="108"/>
        <v>14.702352</v>
      </c>
      <c r="AL120" s="41">
        <f t="shared" si="109"/>
        <v>34</v>
      </c>
      <c r="AM120" s="41" t="str">
        <f t="shared" si="110"/>
        <v>31-90天</v>
      </c>
      <c r="AN120" s="59">
        <v>0.7</v>
      </c>
      <c r="AO120" s="41" t="s">
        <v>562</v>
      </c>
      <c r="AP120" s="53">
        <f t="shared" si="112"/>
        <v>10.2916464</v>
      </c>
      <c r="AQ120" s="16"/>
    </row>
    <row r="121" ht="16.5" spans="1:43">
      <c r="A121" s="41">
        <v>202509</v>
      </c>
      <c r="B121" s="54">
        <v>45923</v>
      </c>
      <c r="C121" s="41" t="s">
        <v>600</v>
      </c>
      <c r="D121" s="41" t="str">
        <f t="shared" ref="D121:I121" si="174">D120</f>
        <v>M » N2 - 1</v>
      </c>
      <c r="E121" s="41" t="str">
        <f t="shared" si="174"/>
        <v>YCD-EX:HUPPER TEK</v>
      </c>
      <c r="F121" s="41" t="str">
        <f t="shared" si="174"/>
        <v>MI202508130012</v>
      </c>
      <c r="G121" s="41" t="str">
        <f t="shared" si="174"/>
        <v>DE2508031-G7-MIC</v>
      </c>
      <c r="H121" s="55">
        <f t="shared" si="174"/>
        <v>45889</v>
      </c>
      <c r="I121" s="56" t="str">
        <f t="shared" si="174"/>
        <v>B077RVYZRF</v>
      </c>
      <c r="J121" s="41"/>
      <c r="K121" s="57" t="str">
        <f t="shared" si="143"/>
        <v>德国联邦快递金属储物柜</v>
      </c>
      <c r="L121" s="41"/>
      <c r="M121" s="46">
        <f t="shared" si="144"/>
        <v>188</v>
      </c>
      <c r="N121" s="46">
        <f t="shared" si="145"/>
        <v>49</v>
      </c>
      <c r="O121" s="46">
        <f t="shared" si="146"/>
        <v>14</v>
      </c>
      <c r="P121" s="41">
        <f t="shared" si="104"/>
        <v>0.128968</v>
      </c>
      <c r="Q121" s="41"/>
      <c r="R121" s="46">
        <f t="shared" si="147"/>
        <v>188</v>
      </c>
      <c r="S121" s="46">
        <f t="shared" si="148"/>
        <v>49</v>
      </c>
      <c r="T121" s="46">
        <f t="shared" si="149"/>
        <v>14</v>
      </c>
      <c r="U121" s="41">
        <f t="shared" si="105"/>
        <v>0.128968</v>
      </c>
      <c r="V121" s="41"/>
      <c r="W121" s="41"/>
      <c r="X121" s="41"/>
      <c r="Y121" s="41"/>
      <c r="Z121" s="41"/>
      <c r="AA121" s="41">
        <f t="shared" si="150"/>
        <v>10</v>
      </c>
      <c r="AB121" s="41">
        <f t="shared" si="151"/>
        <v>117</v>
      </c>
      <c r="AC121" s="41">
        <f t="shared" si="152"/>
        <v>117</v>
      </c>
      <c r="AD121" s="41">
        <v>0</v>
      </c>
      <c r="AE121" s="48">
        <f t="shared" si="153"/>
        <v>114</v>
      </c>
      <c r="AF121" s="48"/>
      <c r="AG121" s="49"/>
      <c r="AH121" s="50">
        <f t="shared" si="106"/>
        <v>114</v>
      </c>
      <c r="AI121" s="41" t="s">
        <v>555</v>
      </c>
      <c r="AJ121" s="51">
        <f t="shared" si="107"/>
        <v>14.702352</v>
      </c>
      <c r="AK121" s="51">
        <f t="shared" si="108"/>
        <v>14.702352</v>
      </c>
      <c r="AL121" s="41">
        <f t="shared" si="109"/>
        <v>35</v>
      </c>
      <c r="AM121" s="41" t="str">
        <f t="shared" si="110"/>
        <v>31-90天</v>
      </c>
      <c r="AN121" s="59">
        <v>0.7</v>
      </c>
      <c r="AO121" s="41" t="s">
        <v>562</v>
      </c>
      <c r="AP121" s="53">
        <f t="shared" si="112"/>
        <v>10.2916464</v>
      </c>
      <c r="AQ121" s="16"/>
    </row>
    <row r="122" ht="16.5" spans="1:43">
      <c r="A122" s="41">
        <v>202509</v>
      </c>
      <c r="B122" s="54">
        <v>45924</v>
      </c>
      <c r="C122" s="41" t="s">
        <v>600</v>
      </c>
      <c r="D122" s="41" t="str">
        <f t="shared" ref="D122:I122" si="175">D121</f>
        <v>M » N2 - 1</v>
      </c>
      <c r="E122" s="41" t="str">
        <f t="shared" si="175"/>
        <v>YCD-EX:HUPPER TEK</v>
      </c>
      <c r="F122" s="41" t="str">
        <f t="shared" si="175"/>
        <v>MI202508130012</v>
      </c>
      <c r="G122" s="41" t="str">
        <f t="shared" si="175"/>
        <v>DE2508031-G7-MIC</v>
      </c>
      <c r="H122" s="55">
        <f t="shared" si="175"/>
        <v>45889</v>
      </c>
      <c r="I122" s="56" t="str">
        <f t="shared" si="175"/>
        <v>B077RVYZRF</v>
      </c>
      <c r="J122" s="41"/>
      <c r="K122" s="57" t="str">
        <f t="shared" si="143"/>
        <v>德国联邦快递金属储物柜</v>
      </c>
      <c r="L122" s="41"/>
      <c r="M122" s="46">
        <f t="shared" si="144"/>
        <v>188</v>
      </c>
      <c r="N122" s="46">
        <f t="shared" si="145"/>
        <v>49</v>
      </c>
      <c r="O122" s="46">
        <f t="shared" si="146"/>
        <v>14</v>
      </c>
      <c r="P122" s="41">
        <f t="shared" si="104"/>
        <v>0.128968</v>
      </c>
      <c r="Q122" s="41"/>
      <c r="R122" s="46">
        <f t="shared" si="147"/>
        <v>188</v>
      </c>
      <c r="S122" s="46">
        <f t="shared" si="148"/>
        <v>49</v>
      </c>
      <c r="T122" s="46">
        <f t="shared" si="149"/>
        <v>14</v>
      </c>
      <c r="U122" s="41">
        <f t="shared" si="105"/>
        <v>0.128968</v>
      </c>
      <c r="V122" s="41"/>
      <c r="W122" s="41"/>
      <c r="X122" s="41"/>
      <c r="Y122" s="41"/>
      <c r="Z122" s="41"/>
      <c r="AA122" s="41">
        <f t="shared" si="150"/>
        <v>10</v>
      </c>
      <c r="AB122" s="41">
        <f t="shared" si="151"/>
        <v>117</v>
      </c>
      <c r="AC122" s="41">
        <f t="shared" si="152"/>
        <v>117</v>
      </c>
      <c r="AD122" s="41">
        <v>0</v>
      </c>
      <c r="AE122" s="48">
        <f t="shared" si="153"/>
        <v>114</v>
      </c>
      <c r="AF122" s="48"/>
      <c r="AG122" s="49"/>
      <c r="AH122" s="50">
        <f t="shared" si="106"/>
        <v>114</v>
      </c>
      <c r="AI122" s="41" t="s">
        <v>555</v>
      </c>
      <c r="AJ122" s="51">
        <f t="shared" si="107"/>
        <v>14.702352</v>
      </c>
      <c r="AK122" s="51">
        <f t="shared" si="108"/>
        <v>14.702352</v>
      </c>
      <c r="AL122" s="41">
        <f t="shared" si="109"/>
        <v>36</v>
      </c>
      <c r="AM122" s="41" t="str">
        <f t="shared" si="110"/>
        <v>31-90天</v>
      </c>
      <c r="AN122" s="59">
        <v>0.7</v>
      </c>
      <c r="AO122" s="41" t="s">
        <v>562</v>
      </c>
      <c r="AP122" s="53">
        <f t="shared" si="112"/>
        <v>10.2916464</v>
      </c>
      <c r="AQ122" s="16"/>
    </row>
    <row r="123" ht="16.5" spans="1:43">
      <c r="A123" s="41">
        <v>202509</v>
      </c>
      <c r="B123" s="54">
        <v>45925</v>
      </c>
      <c r="C123" s="41" t="s">
        <v>600</v>
      </c>
      <c r="D123" s="41" t="str">
        <f t="shared" ref="D123:I123" si="176">D122</f>
        <v>M » N2 - 1</v>
      </c>
      <c r="E123" s="41" t="str">
        <f t="shared" si="176"/>
        <v>YCD-EX:HUPPER TEK</v>
      </c>
      <c r="F123" s="41" t="str">
        <f t="shared" si="176"/>
        <v>MI202508130012</v>
      </c>
      <c r="G123" s="41" t="str">
        <f t="shared" si="176"/>
        <v>DE2508031-G7-MIC</v>
      </c>
      <c r="H123" s="55">
        <f t="shared" si="176"/>
        <v>45889</v>
      </c>
      <c r="I123" s="56" t="str">
        <f t="shared" si="176"/>
        <v>B077RVYZRF</v>
      </c>
      <c r="J123" s="41"/>
      <c r="K123" s="57" t="str">
        <f t="shared" si="143"/>
        <v>德国联邦快递金属储物柜</v>
      </c>
      <c r="L123" s="41"/>
      <c r="M123" s="46">
        <f t="shared" si="144"/>
        <v>188</v>
      </c>
      <c r="N123" s="46">
        <f t="shared" si="145"/>
        <v>49</v>
      </c>
      <c r="O123" s="46">
        <f t="shared" si="146"/>
        <v>14</v>
      </c>
      <c r="P123" s="41">
        <f t="shared" si="104"/>
        <v>0.128968</v>
      </c>
      <c r="Q123" s="41"/>
      <c r="R123" s="46">
        <f t="shared" si="147"/>
        <v>188</v>
      </c>
      <c r="S123" s="46">
        <f t="shared" si="148"/>
        <v>49</v>
      </c>
      <c r="T123" s="46">
        <f t="shared" si="149"/>
        <v>14</v>
      </c>
      <c r="U123" s="41">
        <f t="shared" si="105"/>
        <v>0.128968</v>
      </c>
      <c r="V123" s="41"/>
      <c r="W123" s="41"/>
      <c r="X123" s="41"/>
      <c r="Y123" s="41"/>
      <c r="Z123" s="41"/>
      <c r="AA123" s="41">
        <f t="shared" si="150"/>
        <v>10</v>
      </c>
      <c r="AB123" s="41">
        <f t="shared" si="151"/>
        <v>117</v>
      </c>
      <c r="AC123" s="41">
        <f t="shared" si="152"/>
        <v>117</v>
      </c>
      <c r="AD123" s="41">
        <v>0</v>
      </c>
      <c r="AE123" s="48">
        <f t="shared" si="153"/>
        <v>114</v>
      </c>
      <c r="AF123" s="60"/>
      <c r="AG123" s="49">
        <v>1</v>
      </c>
      <c r="AH123" s="50">
        <f t="shared" si="106"/>
        <v>113</v>
      </c>
      <c r="AI123" s="41" t="s">
        <v>555</v>
      </c>
      <c r="AJ123" s="51">
        <f t="shared" si="107"/>
        <v>14.573384</v>
      </c>
      <c r="AK123" s="51">
        <f t="shared" si="108"/>
        <v>14.573384</v>
      </c>
      <c r="AL123" s="41">
        <f t="shared" si="109"/>
        <v>37</v>
      </c>
      <c r="AM123" s="41" t="str">
        <f t="shared" si="110"/>
        <v>31-90天</v>
      </c>
      <c r="AN123" s="59">
        <v>0.7</v>
      </c>
      <c r="AO123" s="41" t="s">
        <v>562</v>
      </c>
      <c r="AP123" s="53">
        <f t="shared" si="112"/>
        <v>10.2013688</v>
      </c>
      <c r="AQ123" s="16"/>
    </row>
    <row r="124" ht="16.5" spans="1:43">
      <c r="A124" s="41">
        <v>202509</v>
      </c>
      <c r="B124" s="54">
        <v>45926</v>
      </c>
      <c r="C124" s="41" t="s">
        <v>600</v>
      </c>
      <c r="D124" s="41" t="str">
        <f t="shared" ref="D124:I124" si="177">D123</f>
        <v>M » N2 - 1</v>
      </c>
      <c r="E124" s="41" t="str">
        <f t="shared" si="177"/>
        <v>YCD-EX:HUPPER TEK</v>
      </c>
      <c r="F124" s="41" t="str">
        <f t="shared" si="177"/>
        <v>MI202508130012</v>
      </c>
      <c r="G124" s="41" t="str">
        <f t="shared" si="177"/>
        <v>DE2508031-G7-MIC</v>
      </c>
      <c r="H124" s="55">
        <f t="shared" si="177"/>
        <v>45889</v>
      </c>
      <c r="I124" s="56" t="str">
        <f t="shared" si="177"/>
        <v>B077RVYZRF</v>
      </c>
      <c r="J124" s="41"/>
      <c r="K124" s="57" t="str">
        <f t="shared" si="143"/>
        <v>德国联邦快递金属储物柜</v>
      </c>
      <c r="L124" s="41"/>
      <c r="M124" s="46">
        <f t="shared" si="144"/>
        <v>188</v>
      </c>
      <c r="N124" s="46">
        <f t="shared" si="145"/>
        <v>49</v>
      </c>
      <c r="O124" s="46">
        <f t="shared" si="146"/>
        <v>14</v>
      </c>
      <c r="P124" s="41">
        <f t="shared" si="104"/>
        <v>0.128968</v>
      </c>
      <c r="Q124" s="41"/>
      <c r="R124" s="46">
        <f t="shared" si="147"/>
        <v>188</v>
      </c>
      <c r="S124" s="46">
        <f t="shared" si="148"/>
        <v>49</v>
      </c>
      <c r="T124" s="46">
        <f t="shared" si="149"/>
        <v>14</v>
      </c>
      <c r="U124" s="41">
        <f t="shared" si="105"/>
        <v>0.128968</v>
      </c>
      <c r="V124" s="41"/>
      <c r="W124" s="41"/>
      <c r="X124" s="41"/>
      <c r="Y124" s="41"/>
      <c r="Z124" s="41"/>
      <c r="AA124" s="41">
        <f t="shared" si="150"/>
        <v>10</v>
      </c>
      <c r="AB124" s="41">
        <f t="shared" si="151"/>
        <v>117</v>
      </c>
      <c r="AC124" s="41">
        <f t="shared" si="152"/>
        <v>117</v>
      </c>
      <c r="AD124" s="41">
        <v>0</v>
      </c>
      <c r="AE124" s="48">
        <f t="shared" si="153"/>
        <v>113</v>
      </c>
      <c r="AF124" s="60"/>
      <c r="AG124" s="49"/>
      <c r="AH124" s="50">
        <f t="shared" si="106"/>
        <v>113</v>
      </c>
      <c r="AI124" s="41" t="s">
        <v>555</v>
      </c>
      <c r="AJ124" s="51">
        <f t="shared" si="107"/>
        <v>14.573384</v>
      </c>
      <c r="AK124" s="51">
        <f t="shared" si="108"/>
        <v>14.573384</v>
      </c>
      <c r="AL124" s="41">
        <f t="shared" si="109"/>
        <v>38</v>
      </c>
      <c r="AM124" s="41" t="str">
        <f t="shared" si="110"/>
        <v>31-90天</v>
      </c>
      <c r="AN124" s="59">
        <v>0.7</v>
      </c>
      <c r="AO124" s="41" t="s">
        <v>562</v>
      </c>
      <c r="AP124" s="53">
        <f t="shared" si="112"/>
        <v>10.2013688</v>
      </c>
      <c r="AQ124" s="16"/>
    </row>
    <row r="125" ht="16.5" spans="1:43">
      <c r="A125" s="41">
        <v>202509</v>
      </c>
      <c r="B125" s="54">
        <v>45927</v>
      </c>
      <c r="C125" s="41" t="s">
        <v>600</v>
      </c>
      <c r="D125" s="41" t="str">
        <f t="shared" ref="D125:I125" si="178">D124</f>
        <v>M » N2 - 1</v>
      </c>
      <c r="E125" s="41" t="str">
        <f t="shared" si="178"/>
        <v>YCD-EX:HUPPER TEK</v>
      </c>
      <c r="F125" s="41" t="str">
        <f t="shared" si="178"/>
        <v>MI202508130012</v>
      </c>
      <c r="G125" s="41" t="str">
        <f t="shared" si="178"/>
        <v>DE2508031-G7-MIC</v>
      </c>
      <c r="H125" s="55">
        <f t="shared" si="178"/>
        <v>45889</v>
      </c>
      <c r="I125" s="56" t="str">
        <f t="shared" si="178"/>
        <v>B077RVYZRF</v>
      </c>
      <c r="J125" s="41"/>
      <c r="K125" s="57" t="str">
        <f t="shared" si="143"/>
        <v>德国联邦快递金属储物柜</v>
      </c>
      <c r="L125" s="41"/>
      <c r="M125" s="46">
        <f t="shared" si="144"/>
        <v>188</v>
      </c>
      <c r="N125" s="46">
        <f t="shared" si="145"/>
        <v>49</v>
      </c>
      <c r="O125" s="46">
        <f t="shared" si="146"/>
        <v>14</v>
      </c>
      <c r="P125" s="41">
        <f t="shared" si="104"/>
        <v>0.128968</v>
      </c>
      <c r="Q125" s="41"/>
      <c r="R125" s="46">
        <f t="shared" si="147"/>
        <v>188</v>
      </c>
      <c r="S125" s="46">
        <f t="shared" si="148"/>
        <v>49</v>
      </c>
      <c r="T125" s="46">
        <f t="shared" si="149"/>
        <v>14</v>
      </c>
      <c r="U125" s="41">
        <f t="shared" si="105"/>
        <v>0.128968</v>
      </c>
      <c r="V125" s="41"/>
      <c r="W125" s="41"/>
      <c r="X125" s="41"/>
      <c r="Y125" s="41"/>
      <c r="Z125" s="41"/>
      <c r="AA125" s="41">
        <f t="shared" si="150"/>
        <v>10</v>
      </c>
      <c r="AB125" s="41">
        <f t="shared" si="151"/>
        <v>117</v>
      </c>
      <c r="AC125" s="41">
        <f t="shared" si="152"/>
        <v>117</v>
      </c>
      <c r="AD125" s="41">
        <v>0</v>
      </c>
      <c r="AE125" s="48">
        <f t="shared" si="153"/>
        <v>113</v>
      </c>
      <c r="AF125" s="48"/>
      <c r="AG125" s="49"/>
      <c r="AH125" s="50">
        <f t="shared" si="106"/>
        <v>113</v>
      </c>
      <c r="AI125" s="41" t="s">
        <v>555</v>
      </c>
      <c r="AJ125" s="51">
        <f t="shared" si="107"/>
        <v>14.573384</v>
      </c>
      <c r="AK125" s="51">
        <f t="shared" si="108"/>
        <v>14.573384</v>
      </c>
      <c r="AL125" s="41">
        <f t="shared" si="109"/>
        <v>39</v>
      </c>
      <c r="AM125" s="41" t="str">
        <f t="shared" si="110"/>
        <v>31-90天</v>
      </c>
      <c r="AN125" s="59">
        <v>0.7</v>
      </c>
      <c r="AO125" s="41" t="s">
        <v>562</v>
      </c>
      <c r="AP125" s="53">
        <f t="shared" si="112"/>
        <v>10.2013688</v>
      </c>
      <c r="AQ125" s="16"/>
    </row>
    <row r="126" ht="16.5" spans="1:43">
      <c r="A126" s="41">
        <v>202509</v>
      </c>
      <c r="B126" s="54">
        <v>45928</v>
      </c>
      <c r="C126" s="41" t="s">
        <v>600</v>
      </c>
      <c r="D126" s="41" t="str">
        <f t="shared" ref="D126:I126" si="179">D125</f>
        <v>M » N2 - 1</v>
      </c>
      <c r="E126" s="41" t="str">
        <f t="shared" si="179"/>
        <v>YCD-EX:HUPPER TEK</v>
      </c>
      <c r="F126" s="41" t="str">
        <f t="shared" si="179"/>
        <v>MI202508130012</v>
      </c>
      <c r="G126" s="41" t="str">
        <f t="shared" si="179"/>
        <v>DE2508031-G7-MIC</v>
      </c>
      <c r="H126" s="55">
        <f t="shared" si="179"/>
        <v>45889</v>
      </c>
      <c r="I126" s="56" t="str">
        <f t="shared" si="179"/>
        <v>B077RVYZRF</v>
      </c>
      <c r="J126" s="41"/>
      <c r="K126" s="57" t="str">
        <f t="shared" si="143"/>
        <v>德国联邦快递金属储物柜</v>
      </c>
      <c r="L126" s="41"/>
      <c r="M126" s="46">
        <f t="shared" si="144"/>
        <v>188</v>
      </c>
      <c r="N126" s="46">
        <f t="shared" si="145"/>
        <v>49</v>
      </c>
      <c r="O126" s="46">
        <f t="shared" si="146"/>
        <v>14</v>
      </c>
      <c r="P126" s="41">
        <f t="shared" si="104"/>
        <v>0.128968</v>
      </c>
      <c r="Q126" s="41"/>
      <c r="R126" s="46">
        <f t="shared" si="147"/>
        <v>188</v>
      </c>
      <c r="S126" s="46">
        <f t="shared" si="148"/>
        <v>49</v>
      </c>
      <c r="T126" s="46">
        <f t="shared" si="149"/>
        <v>14</v>
      </c>
      <c r="U126" s="41">
        <f t="shared" si="105"/>
        <v>0.128968</v>
      </c>
      <c r="V126" s="41"/>
      <c r="W126" s="41"/>
      <c r="X126" s="41"/>
      <c r="Y126" s="41"/>
      <c r="Z126" s="41"/>
      <c r="AA126" s="41">
        <f t="shared" si="150"/>
        <v>10</v>
      </c>
      <c r="AB126" s="41">
        <f t="shared" si="151"/>
        <v>117</v>
      </c>
      <c r="AC126" s="41">
        <f t="shared" si="152"/>
        <v>117</v>
      </c>
      <c r="AD126" s="41">
        <v>0</v>
      </c>
      <c r="AE126" s="48">
        <f t="shared" si="153"/>
        <v>113</v>
      </c>
      <c r="AF126" s="48"/>
      <c r="AG126" s="49"/>
      <c r="AH126" s="50">
        <f t="shared" si="106"/>
        <v>113</v>
      </c>
      <c r="AI126" s="41" t="s">
        <v>555</v>
      </c>
      <c r="AJ126" s="51">
        <f t="shared" si="107"/>
        <v>14.573384</v>
      </c>
      <c r="AK126" s="51">
        <f t="shared" si="108"/>
        <v>14.573384</v>
      </c>
      <c r="AL126" s="41">
        <f t="shared" si="109"/>
        <v>40</v>
      </c>
      <c r="AM126" s="41" t="str">
        <f t="shared" si="110"/>
        <v>31-90天</v>
      </c>
      <c r="AN126" s="59">
        <v>0.7</v>
      </c>
      <c r="AO126" s="41" t="s">
        <v>562</v>
      </c>
      <c r="AP126" s="53">
        <f t="shared" si="112"/>
        <v>10.2013688</v>
      </c>
      <c r="AQ126" s="16"/>
    </row>
    <row r="127" ht="16.5" spans="1:43">
      <c r="A127" s="41">
        <v>202509</v>
      </c>
      <c r="B127" s="54">
        <v>45929</v>
      </c>
      <c r="C127" s="41" t="s">
        <v>600</v>
      </c>
      <c r="D127" s="41" t="str">
        <f t="shared" ref="D127:I127" si="180">D126</f>
        <v>M » N2 - 1</v>
      </c>
      <c r="E127" s="41" t="str">
        <f t="shared" si="180"/>
        <v>YCD-EX:HUPPER TEK</v>
      </c>
      <c r="F127" s="41" t="str">
        <f t="shared" si="180"/>
        <v>MI202508130012</v>
      </c>
      <c r="G127" s="41" t="str">
        <f t="shared" si="180"/>
        <v>DE2508031-G7-MIC</v>
      </c>
      <c r="H127" s="55">
        <f t="shared" si="180"/>
        <v>45889</v>
      </c>
      <c r="I127" s="56" t="str">
        <f t="shared" si="180"/>
        <v>B077RVYZRF</v>
      </c>
      <c r="J127" s="41"/>
      <c r="K127" s="57" t="str">
        <f t="shared" si="143"/>
        <v>德国联邦快递金属储物柜</v>
      </c>
      <c r="L127" s="41"/>
      <c r="M127" s="46">
        <f t="shared" si="144"/>
        <v>188</v>
      </c>
      <c r="N127" s="46">
        <f t="shared" si="145"/>
        <v>49</v>
      </c>
      <c r="O127" s="46">
        <f t="shared" si="146"/>
        <v>14</v>
      </c>
      <c r="P127" s="41">
        <f t="shared" si="104"/>
        <v>0.128968</v>
      </c>
      <c r="Q127" s="41"/>
      <c r="R127" s="46">
        <f t="shared" si="147"/>
        <v>188</v>
      </c>
      <c r="S127" s="46">
        <f t="shared" si="148"/>
        <v>49</v>
      </c>
      <c r="T127" s="46">
        <f t="shared" si="149"/>
        <v>14</v>
      </c>
      <c r="U127" s="41">
        <f t="shared" si="105"/>
        <v>0.128968</v>
      </c>
      <c r="V127" s="41"/>
      <c r="W127" s="41"/>
      <c r="X127" s="41"/>
      <c r="Y127" s="41"/>
      <c r="Z127" s="41"/>
      <c r="AA127" s="41">
        <f t="shared" si="150"/>
        <v>10</v>
      </c>
      <c r="AB127" s="41">
        <f t="shared" si="151"/>
        <v>117</v>
      </c>
      <c r="AC127" s="41">
        <f t="shared" si="152"/>
        <v>117</v>
      </c>
      <c r="AD127" s="41">
        <v>0</v>
      </c>
      <c r="AE127" s="48">
        <f t="shared" si="153"/>
        <v>113</v>
      </c>
      <c r="AF127" s="48"/>
      <c r="AG127" s="49">
        <v>73</v>
      </c>
      <c r="AH127" s="50">
        <f t="shared" si="106"/>
        <v>40</v>
      </c>
      <c r="AI127" s="41" t="s">
        <v>555</v>
      </c>
      <c r="AJ127" s="51">
        <f t="shared" si="107"/>
        <v>5.15872</v>
      </c>
      <c r="AK127" s="51">
        <f t="shared" si="108"/>
        <v>5.15872</v>
      </c>
      <c r="AL127" s="41">
        <f t="shared" si="109"/>
        <v>41</v>
      </c>
      <c r="AM127" s="41" t="str">
        <f t="shared" si="110"/>
        <v>31-90天</v>
      </c>
      <c r="AN127" s="59">
        <v>0.7</v>
      </c>
      <c r="AO127" s="41" t="s">
        <v>562</v>
      </c>
      <c r="AP127" s="53">
        <f t="shared" si="112"/>
        <v>3.611104</v>
      </c>
      <c r="AQ127" s="16"/>
    </row>
    <row r="128" ht="16.5" spans="1:43">
      <c r="A128" s="41">
        <v>202509</v>
      </c>
      <c r="B128" s="54">
        <v>45930</v>
      </c>
      <c r="C128" s="41" t="s">
        <v>600</v>
      </c>
      <c r="D128" s="41" t="str">
        <f t="shared" ref="D128:I128" si="181">D127</f>
        <v>M » N2 - 1</v>
      </c>
      <c r="E128" s="41" t="str">
        <f t="shared" si="181"/>
        <v>YCD-EX:HUPPER TEK</v>
      </c>
      <c r="F128" s="41" t="str">
        <f t="shared" si="181"/>
        <v>MI202508130012</v>
      </c>
      <c r="G128" s="41" t="str">
        <f t="shared" si="181"/>
        <v>DE2508031-G7-MIC</v>
      </c>
      <c r="H128" s="55">
        <f t="shared" si="181"/>
        <v>45889</v>
      </c>
      <c r="I128" s="56" t="str">
        <f t="shared" si="181"/>
        <v>B077RVYZRF</v>
      </c>
      <c r="J128" s="41"/>
      <c r="K128" s="57" t="str">
        <f t="shared" si="143"/>
        <v>德国联邦快递金属储物柜</v>
      </c>
      <c r="L128" s="41"/>
      <c r="M128" s="46">
        <f t="shared" si="144"/>
        <v>188</v>
      </c>
      <c r="N128" s="46">
        <f t="shared" si="145"/>
        <v>49</v>
      </c>
      <c r="O128" s="46">
        <f t="shared" si="146"/>
        <v>14</v>
      </c>
      <c r="P128" s="41">
        <f t="shared" si="104"/>
        <v>0.128968</v>
      </c>
      <c r="Q128" s="41"/>
      <c r="R128" s="46">
        <f t="shared" si="147"/>
        <v>188</v>
      </c>
      <c r="S128" s="46">
        <f t="shared" si="148"/>
        <v>49</v>
      </c>
      <c r="T128" s="46">
        <f t="shared" si="149"/>
        <v>14</v>
      </c>
      <c r="U128" s="41">
        <f t="shared" si="105"/>
        <v>0.128968</v>
      </c>
      <c r="V128" s="41"/>
      <c r="W128" s="41"/>
      <c r="X128" s="41"/>
      <c r="Y128" s="41"/>
      <c r="Z128" s="41"/>
      <c r="AA128" s="41">
        <f t="shared" si="150"/>
        <v>10</v>
      </c>
      <c r="AB128" s="41">
        <f t="shared" si="151"/>
        <v>117</v>
      </c>
      <c r="AC128" s="41">
        <f t="shared" si="152"/>
        <v>117</v>
      </c>
      <c r="AD128" s="41">
        <v>0</v>
      </c>
      <c r="AE128" s="48">
        <f t="shared" si="153"/>
        <v>40</v>
      </c>
      <c r="AF128" s="48"/>
      <c r="AG128" s="49"/>
      <c r="AH128" s="50">
        <f t="shared" si="106"/>
        <v>40</v>
      </c>
      <c r="AI128" s="41" t="s">
        <v>555</v>
      </c>
      <c r="AJ128" s="51">
        <f t="shared" si="107"/>
        <v>5.15872</v>
      </c>
      <c r="AK128" s="51">
        <f t="shared" si="108"/>
        <v>5.15872</v>
      </c>
      <c r="AL128" s="41">
        <f t="shared" si="109"/>
        <v>42</v>
      </c>
      <c r="AM128" s="41" t="str">
        <f t="shared" si="110"/>
        <v>31-90天</v>
      </c>
      <c r="AN128" s="59">
        <v>0.7</v>
      </c>
      <c r="AO128" s="41" t="s">
        <v>562</v>
      </c>
      <c r="AP128" s="53">
        <f t="shared" si="112"/>
        <v>3.611104</v>
      </c>
      <c r="AQ128" s="16"/>
    </row>
    <row r="129" spans="1:43">
      <c r="A129" s="41">
        <v>202509</v>
      </c>
      <c r="B129" s="54">
        <v>0</v>
      </c>
      <c r="C129" s="41" t="s">
        <v>600</v>
      </c>
      <c r="D129" s="41" t="str">
        <f t="shared" ref="D129:I129" si="182">D128</f>
        <v>M » N2 - 1</v>
      </c>
      <c r="E129" s="41" t="str">
        <f t="shared" si="182"/>
        <v>YCD-EX:HUPPER TEK</v>
      </c>
      <c r="F129" s="41" t="str">
        <f t="shared" si="182"/>
        <v>MI202508130012</v>
      </c>
      <c r="G129" s="41" t="str">
        <f t="shared" si="182"/>
        <v>DE2508031-G7-MIC</v>
      </c>
      <c r="H129" s="55">
        <f t="shared" si="182"/>
        <v>45889</v>
      </c>
      <c r="I129" s="56" t="str">
        <f t="shared" si="182"/>
        <v>B077RVYZRF</v>
      </c>
      <c r="J129" s="41"/>
      <c r="K129" s="57" t="str">
        <f t="shared" si="143"/>
        <v>德国联邦快递金属储物柜</v>
      </c>
      <c r="L129" s="41"/>
      <c r="M129" s="46">
        <f t="shared" si="144"/>
        <v>188</v>
      </c>
      <c r="N129" s="46">
        <f t="shared" si="145"/>
        <v>49</v>
      </c>
      <c r="O129" s="46">
        <f t="shared" si="146"/>
        <v>14</v>
      </c>
      <c r="P129" s="41">
        <f t="shared" si="104"/>
        <v>0.128968</v>
      </c>
      <c r="Q129" s="41"/>
      <c r="R129" s="46">
        <f t="shared" si="147"/>
        <v>188</v>
      </c>
      <c r="S129" s="46">
        <f t="shared" si="148"/>
        <v>49</v>
      </c>
      <c r="T129" s="46">
        <f t="shared" si="149"/>
        <v>14</v>
      </c>
      <c r="U129" s="41">
        <f t="shared" si="105"/>
        <v>0.128968</v>
      </c>
      <c r="V129" s="41"/>
      <c r="W129" s="41"/>
      <c r="X129" s="41"/>
      <c r="Y129" s="41"/>
      <c r="Z129" s="41"/>
      <c r="AA129" s="41">
        <f t="shared" si="150"/>
        <v>10</v>
      </c>
      <c r="AB129" s="41">
        <f t="shared" si="151"/>
        <v>117</v>
      </c>
      <c r="AC129" s="41">
        <f t="shared" si="152"/>
        <v>117</v>
      </c>
      <c r="AD129" s="41">
        <v>0</v>
      </c>
      <c r="AE129" s="48">
        <f t="shared" si="153"/>
        <v>40</v>
      </c>
      <c r="AF129" s="60"/>
      <c r="AG129" s="49"/>
      <c r="AH129" s="61">
        <f t="shared" si="106"/>
        <v>40</v>
      </c>
      <c r="AI129" s="41" t="s">
        <v>555</v>
      </c>
      <c r="AJ129" s="51">
        <f t="shared" si="107"/>
        <v>5.15872</v>
      </c>
      <c r="AK129" s="51">
        <f t="shared" si="108"/>
        <v>5.15872</v>
      </c>
      <c r="AL129" s="41">
        <f t="shared" si="109"/>
        <v>-45888</v>
      </c>
      <c r="AM129" s="41" t="str">
        <f t="shared" si="110"/>
        <v>0天</v>
      </c>
      <c r="AN129" s="52">
        <f t="shared" si="111"/>
        <v>0</v>
      </c>
      <c r="AO129" s="41" t="s">
        <v>562</v>
      </c>
      <c r="AP129" s="53">
        <f t="shared" si="112"/>
        <v>0</v>
      </c>
      <c r="AQ129" s="16"/>
    </row>
  </sheetData>
  <autoFilter xmlns:etc="http://www.wps.cn/officeDocument/2017/etCustomData" ref="A5:AQ129" etc:filterBottomFollowUsedRange="0">
    <sortState ref="A5:AQ129">
      <sortCondition ref="H5:H129"/>
    </sortState>
    <extLst/>
  </autoFilter>
  <mergeCells count="9">
    <mergeCell ref="A2:B2"/>
    <mergeCell ref="C2:H2"/>
    <mergeCell ref="I2:P2"/>
    <mergeCell ref="Q2:U2"/>
    <mergeCell ref="V2:Z2"/>
    <mergeCell ref="AA2:AD2"/>
    <mergeCell ref="AE2:AH2"/>
    <mergeCell ref="AJ2:AP2"/>
    <mergeCell ref="AQ2:AQ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I20" sqref="I20"/>
    </sheetView>
  </sheetViews>
  <sheetFormatPr defaultColWidth="8.8" defaultRowHeight="14.25" outlineLevelRow="4"/>
  <cols>
    <col min="1" max="1" width="23.1916666666667" customWidth="1"/>
    <col min="2" max="2" width="24.2583333333333" customWidth="1"/>
    <col min="3" max="3" width="14.4416666666667" customWidth="1"/>
    <col min="9" max="9" width="13.5666666666667" customWidth="1"/>
    <col min="10" max="10" width="9.03333333333333"/>
    <col min="11" max="11" width="12.6916666666667" customWidth="1"/>
  </cols>
  <sheetData>
    <row r="1" ht="18.75" spans="1:12">
      <c r="A1" s="1" t="s">
        <v>116</v>
      </c>
      <c r="B1" s="1" t="s">
        <v>604</v>
      </c>
      <c r="C1" s="1" t="s">
        <v>572</v>
      </c>
      <c r="D1" s="1" t="s">
        <v>605</v>
      </c>
      <c r="E1" s="1" t="s">
        <v>606</v>
      </c>
      <c r="F1" s="1" t="s">
        <v>576</v>
      </c>
      <c r="G1" s="1" t="s">
        <v>577</v>
      </c>
      <c r="H1" s="1" t="s">
        <v>607</v>
      </c>
      <c r="I1" s="1" t="s">
        <v>608</v>
      </c>
      <c r="J1" s="2" t="s">
        <v>609</v>
      </c>
      <c r="K1" s="1" t="s">
        <v>610</v>
      </c>
      <c r="L1" t="s">
        <v>536</v>
      </c>
    </row>
    <row r="2" spans="1:12">
      <c r="A2" s="3" t="s">
        <v>169</v>
      </c>
      <c r="B2" s="4" t="s">
        <v>611</v>
      </c>
      <c r="C2" s="3" t="s">
        <v>612</v>
      </c>
      <c r="D2" s="3">
        <v>47.4</v>
      </c>
      <c r="E2" s="3">
        <v>188</v>
      </c>
      <c r="F2" s="3">
        <v>49</v>
      </c>
      <c r="G2" s="3">
        <v>14</v>
      </c>
      <c r="H2" s="5"/>
      <c r="I2" s="3" t="str">
        <f>E2&amp;"x"&amp;F2&amp;"x"&amp;G2</f>
        <v>188x49x14</v>
      </c>
      <c r="J2" s="6">
        <f>E2*F2*G2/1000000</f>
        <v>0.128968</v>
      </c>
      <c r="K2" s="3" t="s">
        <v>613</v>
      </c>
      <c r="L2" t="s">
        <v>614</v>
      </c>
    </row>
    <row r="3" spans="1:12">
      <c r="A3" s="3" t="s">
        <v>168</v>
      </c>
      <c r="B3" s="4" t="s">
        <v>615</v>
      </c>
      <c r="C3" s="3" t="s">
        <v>616</v>
      </c>
      <c r="D3" s="3">
        <v>47.4</v>
      </c>
      <c r="E3" s="3">
        <v>188</v>
      </c>
      <c r="F3" s="3">
        <v>49</v>
      </c>
      <c r="G3" s="3">
        <v>14</v>
      </c>
      <c r="H3" s="5"/>
      <c r="I3" s="3" t="str">
        <f>E3&amp;"x"&amp;F3&amp;"x"&amp;G3</f>
        <v>188x49x14</v>
      </c>
      <c r="J3" s="6">
        <f>E3*F3*G3/1000000</f>
        <v>0.128968</v>
      </c>
      <c r="K3" s="3" t="s">
        <v>617</v>
      </c>
      <c r="L3" t="s">
        <v>614</v>
      </c>
    </row>
    <row r="4" spans="1:12">
      <c r="A4" s="3" t="s">
        <v>170</v>
      </c>
      <c r="B4" s="4" t="s">
        <v>618</v>
      </c>
      <c r="C4" s="3" t="s">
        <v>619</v>
      </c>
      <c r="D4" s="3">
        <v>47.4</v>
      </c>
      <c r="E4" s="3">
        <v>188</v>
      </c>
      <c r="F4" s="3">
        <v>49</v>
      </c>
      <c r="G4" s="3">
        <v>14</v>
      </c>
      <c r="H4" s="5"/>
      <c r="I4" s="3" t="str">
        <f>E4&amp;"x"&amp;F4&amp;"x"&amp;G4</f>
        <v>188x49x14</v>
      </c>
      <c r="J4" s="6">
        <f>E4*F4*G4/1000000</f>
        <v>0.128968</v>
      </c>
      <c r="K4" s="3" t="s">
        <v>620</v>
      </c>
      <c r="L4" t="s">
        <v>614</v>
      </c>
    </row>
    <row r="5" spans="1:12">
      <c r="A5" s="3" t="s">
        <v>165</v>
      </c>
      <c r="B5" s="4" t="s">
        <v>621</v>
      </c>
      <c r="C5" s="3" t="s">
        <v>622</v>
      </c>
      <c r="D5" s="3">
        <v>47.4</v>
      </c>
      <c r="E5" s="3">
        <v>188</v>
      </c>
      <c r="F5" s="3">
        <v>49</v>
      </c>
      <c r="G5" s="3">
        <v>14</v>
      </c>
      <c r="H5" s="5"/>
      <c r="I5" s="3" t="str">
        <f>E5&amp;"x"&amp;F5&amp;"x"&amp;G5</f>
        <v>188x49x14</v>
      </c>
      <c r="J5" s="6">
        <f>E5*F5*G5/1000000</f>
        <v>0.128968</v>
      </c>
      <c r="K5" s="3" t="s">
        <v>623</v>
      </c>
      <c r="L5" t="s">
        <v>614</v>
      </c>
    </row>
  </sheetData>
  <autoFilter xmlns:etc="http://www.wps.cn/officeDocument/2017/etCustomData" ref="A1:K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对账单-汇总页</vt:lpstr>
      <vt:lpstr>1.1 正向-入库</vt:lpstr>
      <vt:lpstr>2.1 正向-2B</vt:lpstr>
      <vt:lpstr>2.2 正向-2C-GEL</vt:lpstr>
      <vt:lpstr>3.1 正向-普货-仓储费 </vt:lpstr>
      <vt:lpstr>物品明细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albert.liao</dc:creator>
  <cp:lastModifiedBy>蓓蓓</cp:lastModifiedBy>
  <dcterms:created xsi:type="dcterms:W3CDTF">2025-07-29T11:59:00Z</dcterms:created>
  <dcterms:modified xsi:type="dcterms:W3CDTF">2026-01-04T01:49:22Z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EFE7E7F6CDBD4DD38A00FEE3BAAFB361_13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