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tabRatio="699" firstSheet="1" activeTab="4"/>
  </bookViews>
  <sheets>
    <sheet name="2025年应收汇总表" sheetId="20" r:id="rId1"/>
    <sheet name="对账单-汇总页" sheetId="8" r:id="rId2"/>
    <sheet name="1.1 正向-入库" sheetId="7" r:id="rId3"/>
    <sheet name="2.1 正向-2B" sheetId="16" r:id="rId4"/>
    <sheet name="2.2 正向-2C-GEL" sheetId="2" r:id="rId5"/>
    <sheet name="2.3 正向-2C-DHL" sheetId="18" r:id="rId6"/>
    <sheet name="2.4 正向-2C-PlanB " sheetId="17" r:id="rId7"/>
    <sheet name="3.1 正向-普货-仓储费 " sheetId="14" r:id="rId8"/>
    <sheet name="4.1 逆向退货&amp;仓租费" sheetId="19" r:id="rId9"/>
    <sheet name="物品明细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2" hidden="1">'1.1 正向-入库'!$A$3:$AA$4</definedName>
    <definedName name="_xlnm._FilterDatabase" localSheetId="3" hidden="1">'2.1 正向-2B'!$A$4:$CD$9</definedName>
    <definedName name="_xlnm._FilterDatabase" localSheetId="4" hidden="1">'2.2 正向-2C-GEL'!$A$4:$BS$71</definedName>
    <definedName name="_xlnm._FilterDatabase" localSheetId="5" hidden="1">'2.3 正向-2C-DHL'!$A$4:$BL$10</definedName>
    <definedName name="_xlnm._FilterDatabase" localSheetId="6" hidden="1">'2.4 正向-2C-PlanB '!$A$4:$BH$6</definedName>
    <definedName name="_xlnm._FilterDatabase" localSheetId="7" hidden="1">'3.1 正向-普货-仓储费 '!$A$5:$AQ$160</definedName>
    <definedName name="_xlnm._FilterDatabase" localSheetId="9" hidden="1">物品明细!$A$1:$K$7</definedName>
    <definedName name="_Key2" hidden="1">[1]Zones!#REF!</definedName>
    <definedName name="_dpx2">'[2]DHL City to Zone OB Vol'!$AF$7:$AO$45</definedName>
    <definedName name="_Order1" hidden="1">255</definedName>
    <definedName name="_Key2" localSheetId="0" hidden="1">[3]Zones!#REF!</definedName>
    <definedName name="_dpx2" localSheetId="0">'[4]DHL City to Zone OB Vol'!$AF$7:$AO$45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anllen.wang</author>
    <author>a2015</author>
  </authors>
  <commentList>
    <comment ref="AT3" authorId="0">
      <text>
        <r>
          <rPr>
            <b/>
            <sz val="10"/>
            <rFont val="宋体"/>
            <charset val="134"/>
          </rPr>
          <t>箱标/托标、运单标等
包含运单、LOGO标、超重&amp;易碎标等，若需要把原来标签去除再贴新的标签，需单独报价</t>
        </r>
      </text>
    </comment>
    <comment ref="BW4" authorId="1">
      <text>
        <r>
          <rPr>
            <b/>
            <sz val="12"/>
            <rFont val="宋体"/>
            <charset val="134"/>
          </rPr>
          <t xml:space="preserve">
含GEL大城市附加费偏远岛屿附加费,超大件附加费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境外私人地址附加</t>
        </r>
        <r>
          <rPr>
            <sz val="9"/>
            <rFont val="宋体"/>
            <charset val="134"/>
          </rPr>
          <t xml:space="preserve">
    </t>
        </r>
      </text>
    </comment>
  </commentList>
</comments>
</file>

<file path=xl/comments2.xml><?xml version="1.0" encoding="utf-8"?>
<comments xmlns="http://schemas.openxmlformats.org/spreadsheetml/2006/main">
  <authors>
    <author>anllen.wang</author>
    <author>a2015</author>
  </authors>
  <commentList>
    <comment ref="AQ3" authorId="0">
      <text>
        <r>
          <rPr>
            <b/>
            <sz val="10"/>
            <rFont val="宋体"/>
            <charset val="134"/>
          </rPr>
          <t>箱标/托标、运单标等
包含运单、LOGO标、超重&amp;易碎标等，若需要把原来标签去除再贴新的标签，需单独报价</t>
        </r>
      </text>
    </comment>
    <comment ref="BM4" authorId="1">
      <text>
        <r>
          <rPr>
            <b/>
            <sz val="12"/>
            <rFont val="宋体"/>
            <charset val="134"/>
          </rPr>
          <t xml:space="preserve">
含GEL大城市附加费偏远岛屿附加费,超大件附加费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境外私人地址附加</t>
        </r>
        <r>
          <rPr>
            <sz val="9"/>
            <rFont val="宋体"/>
            <charset val="134"/>
          </rPr>
          <t xml:space="preserve">
    </t>
        </r>
      </text>
    </comment>
  </commentList>
</comments>
</file>

<file path=xl/comments3.xml><?xml version="1.0" encoding="utf-8"?>
<comments xmlns="http://schemas.openxmlformats.org/spreadsheetml/2006/main">
  <authors>
    <author>anllen.wang</author>
    <author>a2015</author>
  </authors>
  <commentList>
    <comment ref="AQ3" authorId="0">
      <text>
        <r>
          <rPr>
            <b/>
            <sz val="10"/>
            <rFont val="宋体"/>
            <charset val="134"/>
          </rPr>
          <t>箱标/托标、运单标等
包含运单、LOGO标、超重&amp;易碎标等，若需要把原来标签去除再贴新的标签，需单独报价</t>
        </r>
      </text>
    </comment>
    <comment ref="BH4" authorId="1">
      <text>
        <r>
          <rPr>
            <sz val="9"/>
            <rFont val="宋体"/>
            <charset val="134"/>
          </rPr>
          <t xml:space="preserve">超规附加费
    </t>
        </r>
      </text>
    </comment>
    <comment ref="BI4" authorId="0">
      <text>
        <r>
          <rPr>
            <b/>
            <sz val="9"/>
            <rFont val="宋体"/>
            <charset val="134"/>
          </rPr>
          <t>1.25%*尾程费用总和</t>
        </r>
      </text>
    </comment>
  </commentList>
</comments>
</file>

<file path=xl/comments4.xml><?xml version="1.0" encoding="utf-8"?>
<comments xmlns="http://schemas.openxmlformats.org/spreadsheetml/2006/main">
  <authors>
    <author>a2015</author>
  </authors>
  <commentList>
    <comment ref="BC4" authorId="0">
      <text>
        <r>
          <rPr>
            <b/>
            <sz val="12"/>
            <rFont val="宋体"/>
            <charset val="134"/>
          </rPr>
          <t xml:space="preserve">
含GEL大城市附加费偏远岛屿附加费,超大件附加费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境外私人地址附加</t>
        </r>
        <r>
          <rPr>
            <sz val="9"/>
            <rFont val="宋体"/>
            <charset val="134"/>
          </rPr>
          <t xml:space="preserve">
    </t>
        </r>
      </text>
    </comment>
  </commentList>
</comments>
</file>

<file path=xl/comments5.xml><?xml version="1.0" encoding="utf-8"?>
<comments xmlns="http://schemas.openxmlformats.org/spreadsheetml/2006/main">
  <authors>
    <author>a2015</author>
  </authors>
  <commentList>
    <comment ref="F3" authorId="0">
      <text>
        <r>
          <rPr>
            <sz val="9"/>
            <rFont val="宋体"/>
            <charset val="134"/>
          </rPr>
          <t>MIC入库任务号</t>
        </r>
      </text>
    </comment>
    <comment ref="G3" authorId="0">
      <text>
        <r>
          <rPr>
            <sz val="9"/>
            <rFont val="宋体"/>
            <charset val="134"/>
          </rPr>
          <t>客户批次号</t>
        </r>
      </text>
    </comment>
    <comment ref="L3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  <comment ref="AE3" authorId="0">
      <text>
        <r>
          <rPr>
            <sz val="9"/>
            <rFont val="宋体"/>
            <charset val="134"/>
          </rPr>
          <t>上一天库存</t>
        </r>
      </text>
    </comment>
    <comment ref="AK3" authorId="0">
      <text>
        <r>
          <rPr>
            <sz val="9"/>
            <rFont val="宋体"/>
            <charset val="134"/>
          </rPr>
          <t>根据计费规则/最低计费单位来核算</t>
        </r>
      </text>
    </comment>
    <comment ref="L4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  <comment ref="AC4" authorId="0">
      <text>
        <r>
          <rPr>
            <sz val="9"/>
            <rFont val="宋体"/>
            <charset val="134"/>
          </rPr>
          <t>上一天库存</t>
        </r>
      </text>
    </comment>
    <comment ref="F5" authorId="0">
      <text>
        <r>
          <rPr>
            <sz val="9"/>
            <rFont val="宋体"/>
            <charset val="134"/>
          </rPr>
          <t>MIC入库任务号</t>
        </r>
      </text>
    </comment>
    <comment ref="G5" authorId="0">
      <text>
        <r>
          <rPr>
            <sz val="9"/>
            <rFont val="宋体"/>
            <charset val="134"/>
          </rPr>
          <t>客户批次号</t>
        </r>
      </text>
    </comment>
    <comment ref="L5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</commentList>
</comments>
</file>

<file path=xl/comments6.xml><?xml version="1.0" encoding="utf-8"?>
<comments xmlns="http://schemas.openxmlformats.org/spreadsheetml/2006/main">
  <authors>
    <author>21240</author>
    <author>a2015</author>
    <author>anllen.wang</author>
  </authors>
  <commentList>
    <comment ref="AX4" authorId="0">
      <text>
        <r>
          <rPr>
            <sz val="9"/>
            <rFont val="宋体"/>
            <charset val="134"/>
          </rPr>
          <t xml:space="preserve">1.异形件,2.标签不可读，标签不在最大面的包裹，3.长度长于1.2米，高度小于0.3米的包裹
收取3.05欧/件
</t>
        </r>
      </text>
    </comment>
    <comment ref="BA4" authorId="1">
      <text>
        <r>
          <rPr>
            <b/>
            <sz val="9"/>
            <rFont val="宋体"/>
            <charset val="134"/>
          </rPr>
          <t>GEL强制收取</t>
        </r>
      </text>
    </comment>
    <comment ref="BD4" authorId="0">
      <text>
        <r>
          <rPr>
            <sz val="9"/>
            <rFont val="宋体"/>
            <charset val="134"/>
          </rPr>
          <t>客户退货逆向物流上门取货服务附加费=运费*20%，最低收取10欧</t>
        </r>
      </text>
    </comment>
    <comment ref="BG4" authorId="2">
      <text>
        <r>
          <rPr>
            <sz val="9"/>
            <rFont val="宋体"/>
            <charset val="134"/>
          </rPr>
          <t xml:space="preserve">含GEL大城市附加费偏远岛屿附加费,超大件附加费
境外私人地址附加
</t>
        </r>
      </text>
    </comment>
    <comment ref="BT4" authorId="2">
      <text>
        <r>
          <rPr>
            <sz val="9"/>
            <rFont val="宋体"/>
            <charset val="134"/>
          </rPr>
          <t xml:space="preserve">计费体积=平均体积=平均库存*单品体积
</t>
        </r>
      </text>
    </comment>
  </commentList>
</comments>
</file>

<file path=xl/comments7.xml><?xml version="1.0" encoding="utf-8"?>
<comments xmlns="http://schemas.openxmlformats.org/spreadsheetml/2006/main">
  <authors>
    <author>anllen.wang</author>
  </authors>
  <commentList>
    <comment ref="I1" authorId="0">
      <text>
        <r>
          <rPr>
            <sz val="9"/>
            <rFont val="宋体"/>
            <charset val="134"/>
          </rPr>
          <t>公式
=E1&amp;"x"&amp;F1&amp;"x"&amp;G1</t>
        </r>
      </text>
    </comment>
  </commentList>
</comments>
</file>

<file path=xl/sharedStrings.xml><?xml version="1.0" encoding="utf-8"?>
<sst xmlns="http://schemas.openxmlformats.org/spreadsheetml/2006/main" count="2710" uniqueCount="717">
  <si>
    <t>对账单汇总</t>
  </si>
  <si>
    <t>客户名称：</t>
  </si>
  <si>
    <t>哈贝尔（HUPPER TEK)</t>
  </si>
  <si>
    <t>序号</t>
  </si>
  <si>
    <t>账单日期</t>
  </si>
  <si>
    <t>充值日期</t>
  </si>
  <si>
    <t>充值金额</t>
  </si>
  <si>
    <t>账单金额</t>
  </si>
  <si>
    <t>应收总额</t>
  </si>
  <si>
    <t>备注</t>
  </si>
  <si>
    <t>8月账单</t>
  </si>
  <si>
    <t>9月账单</t>
  </si>
  <si>
    <t>10月账单</t>
  </si>
  <si>
    <t>应收汇总：</t>
  </si>
  <si>
    <t>负数为欠费</t>
  </si>
  <si>
    <t>MIC Logistik GmbH对账单</t>
  </si>
  <si>
    <t>客户</t>
  </si>
  <si>
    <t>海外仓地点</t>
  </si>
  <si>
    <t>德国北威州门兴格拉德巴赫</t>
  </si>
  <si>
    <t>报价生效日期</t>
  </si>
  <si>
    <t>公司邮箱</t>
  </si>
  <si>
    <t>info@miclogistik.de</t>
  </si>
  <si>
    <t>对账期</t>
  </si>
  <si>
    <t>2025.10.01~2025.10.31</t>
  </si>
  <si>
    <t>公司网页</t>
  </si>
  <si>
    <t>www.miclogistik.de</t>
  </si>
  <si>
    <t>一、服务内容及对账明细</t>
  </si>
  <si>
    <r>
      <rPr>
        <b/>
        <sz val="11"/>
        <color theme="1"/>
        <rFont val="Microsoft YaHei"/>
        <charset val="134"/>
      </rPr>
      <t>计费币种：</t>
    </r>
    <r>
      <rPr>
        <sz val="11"/>
        <color theme="1"/>
        <rFont val="Microsoft YaHei"/>
        <charset val="134"/>
      </rPr>
      <t>欧元/Euro</t>
    </r>
  </si>
  <si>
    <t>业务场景</t>
  </si>
  <si>
    <t>费用项</t>
  </si>
  <si>
    <t>库内基础费用
A</t>
  </si>
  <si>
    <t>运输基础费用
B</t>
  </si>
  <si>
    <t>附加费
C</t>
  </si>
  <si>
    <t>开票费用合计
A-B+C</t>
  </si>
  <si>
    <t>1. 正向</t>
  </si>
  <si>
    <t>1.1 入库</t>
  </si>
  <si>
    <t>2.1  2B</t>
  </si>
  <si>
    <t>10月无2B</t>
  </si>
  <si>
    <t>2.2  2C订单-GEL</t>
  </si>
  <si>
    <t>2.3  2C订单-DHL</t>
  </si>
  <si>
    <t>2.4  2C订单-PlanB</t>
  </si>
  <si>
    <t>2. 仓储费</t>
  </si>
  <si>
    <t>3.1 正向仓储费(10月）</t>
  </si>
  <si>
    <t>每月月底统一核算</t>
  </si>
  <si>
    <t>3. 逆向退货</t>
  </si>
  <si>
    <t>4.1 逆向退货费</t>
  </si>
  <si>
    <t>4.1 逆向退货仓租费</t>
  </si>
  <si>
    <t>4. 其他</t>
  </si>
  <si>
    <t>合计</t>
  </si>
  <si>
    <t>截止到9月30日余额</t>
  </si>
  <si>
    <t>10.9日充值</t>
  </si>
  <si>
    <t>10.29日充值</t>
  </si>
  <si>
    <t>截止到10月31日余额</t>
  </si>
  <si>
    <t>10月已欠费（建议充值）</t>
  </si>
  <si>
    <t>关键说明</t>
  </si>
  <si>
    <t>1. 报价：</t>
  </si>
  <si>
    <t>不含德国VAT，相关的附加费具体详见每项报价说明。</t>
  </si>
  <si>
    <t>2. 账号使用前提：</t>
  </si>
  <si>
    <r>
      <rPr>
        <sz val="11"/>
        <color theme="1"/>
        <rFont val="Microsoft YaHei"/>
        <charset val="134"/>
      </rPr>
      <t xml:space="preserve">采用预充值+保证金的方式：
</t>
    </r>
    <r>
      <rPr>
        <b/>
        <sz val="11"/>
        <color rgb="FF0000FF"/>
        <rFont val="Microsoft YaHei"/>
        <charset val="134"/>
      </rPr>
      <t>预充值：</t>
    </r>
    <r>
      <rPr>
        <sz val="11"/>
        <color theme="1"/>
        <rFont val="Microsoft YaHei"/>
        <charset val="134"/>
      </rPr>
      <t xml:space="preserve">根据未来2周或1个月预测消费额提前充值，按照不同重量段及对应报价，出单时进行预扣（含退货），充值余额不足则暂停出单；
</t>
    </r>
    <r>
      <rPr>
        <b/>
        <sz val="11"/>
        <color rgb="FFC00000"/>
        <rFont val="Microsoft YaHei"/>
        <charset val="134"/>
      </rPr>
      <t>保证金：</t>
    </r>
    <r>
      <rPr>
        <sz val="11"/>
        <color theme="1"/>
        <rFont val="Microsoft YaHei"/>
        <charset val="134"/>
      </rPr>
      <t>主要是应对相关异常费用，不含常规的出单基础费、附加费，具体额度按月度预充值*15%来收取。</t>
    </r>
  </si>
  <si>
    <t>3. 结算：</t>
  </si>
  <si>
    <t>结算币种为欧元，月结，开票与预充值核销。</t>
  </si>
  <si>
    <t>4. 运输保险：</t>
  </si>
  <si>
    <t>建议购买，发送丢失或损毁，按商业发票金额（需含运费）赔偿；若不购买，只能按照德国道理运输法则，货物实际重量*8.33欧/kg进行赔偿，运费也不赔偿。</t>
  </si>
  <si>
    <t>5. 服务时间：</t>
  </si>
  <si>
    <t>若遇当地国法定节假日，导致服务商不收货，我司会提前知会客户。</t>
  </si>
  <si>
    <t>6. 报价申明：</t>
  </si>
  <si>
    <t>卡派运输市场价格波动大，若变化浮动超过10%，MIC提前一个月书面/邮件通知确认。</t>
  </si>
  <si>
    <t>客户签章</t>
  </si>
  <si>
    <t>MIC Logistik GmbH</t>
  </si>
  <si>
    <t xml:space="preserve">日期： </t>
  </si>
  <si>
    <t xml:space="preserve"> 日期：</t>
  </si>
  <si>
    <r>
      <rPr>
        <b/>
        <sz val="16"/>
        <color rgb="FF000000"/>
        <rFont val="Arial"/>
        <charset val="134"/>
      </rPr>
      <t>MIC</t>
    </r>
    <r>
      <rPr>
        <b/>
        <sz val="16"/>
        <color rgb="FF000000"/>
        <rFont val="Microsoft YaHei"/>
        <charset val="134"/>
      </rPr>
      <t>德国海外仓到货</t>
    </r>
    <r>
      <rPr>
        <b/>
        <sz val="16"/>
        <color rgb="FF000000"/>
        <rFont val="Arial"/>
        <charset val="134"/>
      </rPr>
      <t>&amp;</t>
    </r>
    <r>
      <rPr>
        <b/>
        <sz val="16"/>
        <color rgb="FF000000"/>
        <rFont val="Microsoft YaHei"/>
        <charset val="134"/>
      </rPr>
      <t>收货</t>
    </r>
    <r>
      <rPr>
        <b/>
        <sz val="16"/>
        <color rgb="FF000000"/>
        <rFont val="Arial"/>
        <charset val="134"/>
      </rPr>
      <t>&amp;</t>
    </r>
    <r>
      <rPr>
        <b/>
        <sz val="16"/>
        <color rgb="FF000000"/>
        <rFont val="Microsoft YaHei"/>
        <charset val="134"/>
      </rPr>
      <t>入库明细表</t>
    </r>
  </si>
  <si>
    <r>
      <rPr>
        <b/>
        <sz val="10"/>
        <color rgb="FF000000"/>
        <rFont val="Microsoft YaHei"/>
        <charset val="134"/>
      </rPr>
      <t>退货信息</t>
    </r>
  </si>
  <si>
    <r>
      <rPr>
        <b/>
        <sz val="11"/>
        <color theme="0"/>
        <rFont val="Microsoft YaHei"/>
        <charset val="134"/>
      </rPr>
      <t>卸货</t>
    </r>
    <r>
      <rPr>
        <b/>
        <sz val="11"/>
        <color theme="0"/>
        <rFont val="Arial"/>
        <charset val="134"/>
      </rPr>
      <t>&amp;</t>
    </r>
    <r>
      <rPr>
        <b/>
        <sz val="11"/>
        <color theme="0"/>
        <rFont val="SimSun"/>
        <charset val="134"/>
      </rPr>
      <t>收货费</t>
    </r>
  </si>
  <si>
    <r>
      <rPr>
        <b/>
        <sz val="11"/>
        <color theme="0"/>
        <rFont val="Microsoft YaHei"/>
        <charset val="134"/>
      </rPr>
      <t>合计</t>
    </r>
  </si>
  <si>
    <t>任务号</t>
  </si>
  <si>
    <t>入库月份</t>
  </si>
  <si>
    <t>Carrier</t>
  </si>
  <si>
    <t>收货日期</t>
  </si>
  <si>
    <t>入库状态</t>
  </si>
  <si>
    <t>批次号</t>
  </si>
  <si>
    <t>批次号行数</t>
  </si>
  <si>
    <t>批次数</t>
  </si>
  <si>
    <t>类型</t>
  </si>
  <si>
    <t>物品SKU</t>
  </si>
  <si>
    <t>物品描述</t>
  </si>
  <si>
    <t>物品
总数</t>
  </si>
  <si>
    <t>货位</t>
  </si>
  <si>
    <t>箱数</t>
  </si>
  <si>
    <t>托盘数</t>
  </si>
  <si>
    <t>Remark</t>
  </si>
  <si>
    <t>单价</t>
  </si>
  <si>
    <t>金额</t>
  </si>
  <si>
    <t>MI202510300003</t>
  </si>
  <si>
    <t>Truck</t>
  </si>
  <si>
    <t>2025-10-30 12:57:02</t>
  </si>
  <si>
    <t>Inbound Completed</t>
  </si>
  <si>
    <t>YCD-EX:HUPPER TEK</t>
  </si>
  <si>
    <t>易仓入库单号：RVABM0009-251021-0001</t>
  </si>
  <si>
    <t>ABM0009-B07GSF11XX</t>
  </si>
  <si>
    <t>白板</t>
  </si>
  <si>
    <t>M » Vir1</t>
  </si>
  <si>
    <t>MIC德国海外仓一件代发明细表</t>
  </si>
  <si>
    <t>,1m,</t>
  </si>
  <si>
    <t>尾程运输费</t>
  </si>
  <si>
    <t>费用合计</t>
  </si>
  <si>
    <t>出库指令</t>
  </si>
  <si>
    <r>
      <rPr>
        <b/>
        <sz val="11"/>
        <rFont val="Microsoft YaHei"/>
        <charset val="134"/>
      </rPr>
      <t>物品</t>
    </r>
    <r>
      <rPr>
        <b/>
        <sz val="11"/>
        <rFont val="Arial"/>
        <charset val="134"/>
      </rPr>
      <t>-</t>
    </r>
    <r>
      <rPr>
        <b/>
        <sz val="11"/>
        <rFont val="Microsoft YaHei"/>
        <charset val="134"/>
      </rPr>
      <t>拣料及最小包装</t>
    </r>
  </si>
  <si>
    <r>
      <rPr>
        <b/>
        <sz val="11"/>
        <color theme="0"/>
        <rFont val="Microsoft YaHei"/>
        <charset val="134"/>
      </rPr>
      <t>拣货</t>
    </r>
    <r>
      <rPr>
        <b/>
        <sz val="11"/>
        <color theme="0"/>
        <rFont val="Arial"/>
        <charset val="134"/>
      </rPr>
      <t>&amp;</t>
    </r>
    <r>
      <rPr>
        <b/>
        <sz val="11"/>
        <color theme="0"/>
        <rFont val="Microsoft YaHei"/>
        <charset val="134"/>
      </rPr>
      <t>包装费</t>
    </r>
  </si>
  <si>
    <t>拣货续件费</t>
  </si>
  <si>
    <t>贴标费</t>
  </si>
  <si>
    <r>
      <rPr>
        <b/>
        <sz val="11"/>
        <color theme="0"/>
        <rFont val="Microsoft YaHei"/>
        <charset val="134"/>
      </rPr>
      <t>包材费</t>
    </r>
    <r>
      <rPr>
        <b/>
        <sz val="11"/>
        <color theme="0"/>
        <rFont val="Arial"/>
        <charset val="134"/>
      </rPr>
      <t>-</t>
    </r>
    <r>
      <rPr>
        <b/>
        <sz val="11"/>
        <color theme="0"/>
        <rFont val="Microsoft YaHei"/>
        <charset val="134"/>
      </rPr>
      <t>包裹</t>
    </r>
  </si>
  <si>
    <t>装车费</t>
  </si>
  <si>
    <t>自提附加费</t>
  </si>
  <si>
    <t>基础费</t>
  </si>
  <si>
    <r>
      <rPr>
        <b/>
        <sz val="11"/>
        <color rgb="FFFFFFFF"/>
        <rFont val="Microsoft YaHei"/>
        <charset val="134"/>
      </rPr>
      <t>续重费（超</t>
    </r>
    <r>
      <rPr>
        <b/>
        <sz val="11"/>
        <color rgb="FFFFFFFF"/>
        <rFont val="Arial"/>
        <charset val="134"/>
      </rPr>
      <t>300</t>
    </r>
    <r>
      <rPr>
        <b/>
        <sz val="11"/>
        <color rgb="FFFFFFFF"/>
        <rFont val="Microsoft YaHei"/>
        <charset val="134"/>
      </rPr>
      <t>公斤）</t>
    </r>
  </si>
  <si>
    <t>附加费</t>
  </si>
  <si>
    <r>
      <rPr>
        <b/>
        <sz val="11"/>
        <color theme="0"/>
        <rFont val="Arial"/>
        <charset val="134"/>
      </rPr>
      <t>3</t>
    </r>
    <r>
      <rPr>
        <b/>
        <sz val="11"/>
        <color theme="0"/>
        <rFont val="Microsoft YaHei"/>
        <charset val="134"/>
      </rPr>
      <t>件包裹以上运输续件费</t>
    </r>
  </si>
  <si>
    <t>Order No.</t>
  </si>
  <si>
    <r>
      <rPr>
        <b/>
        <sz val="11"/>
        <color theme="0"/>
        <rFont val="Microsoft YaHei"/>
        <charset val="134"/>
      </rPr>
      <t>订单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行数</t>
    </r>
  </si>
  <si>
    <t>订单数</t>
  </si>
  <si>
    <t>对账</t>
  </si>
  <si>
    <t>Warehouse</t>
  </si>
  <si>
    <t>月份</t>
  </si>
  <si>
    <t>Order Created At</t>
  </si>
  <si>
    <t>Shipped At</t>
  </si>
  <si>
    <t>Status</t>
  </si>
  <si>
    <t>Customer</t>
  </si>
  <si>
    <t>Original Reference</t>
  </si>
  <si>
    <t>Business Type</t>
  </si>
  <si>
    <t>Channel</t>
  </si>
  <si>
    <t>Creator</t>
  </si>
  <si>
    <t>运单数</t>
  </si>
  <si>
    <t>Priority</t>
  </si>
  <si>
    <t>weight</t>
  </si>
  <si>
    <t>Carrier
Return</t>
  </si>
  <si>
    <t>Shipments No1</t>
  </si>
  <si>
    <t>Shipments No2</t>
  </si>
  <si>
    <t>Retour No</t>
  </si>
  <si>
    <t>Postal Code</t>
  </si>
  <si>
    <t>城市</t>
  </si>
  <si>
    <t>Country</t>
  </si>
  <si>
    <t>Item ID</t>
  </si>
  <si>
    <r>
      <rPr>
        <b/>
        <sz val="11"/>
        <color theme="0"/>
        <rFont val="Microsoft YaHei"/>
        <charset val="134"/>
      </rPr>
      <t>物品尺寸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长宽高</t>
    </r>
    <r>
      <rPr>
        <b/>
        <sz val="11"/>
        <color theme="0"/>
        <rFont val="Arial"/>
        <charset val="134"/>
      </rPr>
      <t>cm</t>
    </r>
  </si>
  <si>
    <r>
      <rPr>
        <b/>
        <sz val="11"/>
        <color theme="0"/>
        <rFont val="Microsoft YaHei"/>
        <charset val="134"/>
      </rPr>
      <t>单个物品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重量</t>
    </r>
    <r>
      <rPr>
        <b/>
        <sz val="11"/>
        <color theme="0"/>
        <rFont val="Arial"/>
        <charset val="134"/>
      </rPr>
      <t>kg</t>
    </r>
  </si>
  <si>
    <t>Item Batch</t>
  </si>
  <si>
    <t>Item Qty</t>
  </si>
  <si>
    <r>
      <rPr>
        <b/>
        <sz val="11"/>
        <color theme="0"/>
        <rFont val="Microsoft YaHei"/>
        <charset val="134"/>
      </rPr>
      <t>订单重量</t>
    </r>
    <r>
      <rPr>
        <b/>
        <sz val="11"/>
        <color theme="0"/>
        <rFont val="Arial"/>
        <charset val="134"/>
      </rPr>
      <t xml:space="preserve">
kg</t>
    </r>
  </si>
  <si>
    <t>PltQty</t>
  </si>
  <si>
    <t>PltDim</t>
  </si>
  <si>
    <t>PltWeight</t>
  </si>
  <si>
    <t>BoxQty</t>
  </si>
  <si>
    <t>BoxDim</t>
  </si>
  <si>
    <t>BoxWeight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</si>
  <si>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套</t>
    </r>
  </si>
  <si>
    <r>
      <rPr>
        <b/>
        <sz val="11"/>
        <color theme="0"/>
        <rFont val="Microsoft YaHei"/>
        <charset val="134"/>
      </rPr>
      <t>单价</t>
    </r>
    <r>
      <rPr>
        <b/>
        <sz val="11"/>
        <color theme="0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</si>
  <si>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金额</t>
    </r>
    <r>
      <rPr>
        <b/>
        <sz val="11"/>
        <color theme="0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</si>
  <si>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pcs</t>
    </r>
  </si>
  <si>
    <t>标签/张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</si>
  <si>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/</t>
    </r>
    <r>
      <rPr>
        <b/>
        <sz val="11"/>
        <color theme="0"/>
        <rFont val="宋体"/>
        <charset val="134"/>
      </rPr>
      <t>托</t>
    </r>
  </si>
  <si>
    <t>库内小计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</si>
  <si>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票</t>
    </r>
  </si>
  <si>
    <r>
      <rPr>
        <b/>
        <sz val="11"/>
        <color theme="0"/>
        <rFont val="Microsoft YaHei"/>
        <charset val="134"/>
      </rPr>
      <t>实际重</t>
    </r>
    <r>
      <rPr>
        <b/>
        <sz val="11"/>
        <color theme="0"/>
        <rFont val="Arial"/>
        <charset val="134"/>
      </rPr>
      <t>kg</t>
    </r>
  </si>
  <si>
    <r>
      <rPr>
        <b/>
        <sz val="11"/>
        <color theme="0"/>
        <rFont val="Microsoft YaHei"/>
        <charset val="134"/>
      </rPr>
      <t>体积重</t>
    </r>
    <r>
      <rPr>
        <b/>
        <sz val="11"/>
        <color theme="0"/>
        <rFont val="Arial"/>
        <charset val="134"/>
      </rPr>
      <t>KG</t>
    </r>
  </si>
  <si>
    <r>
      <rPr>
        <b/>
        <sz val="11"/>
        <color theme="0"/>
        <rFont val="Microsoft YaHei"/>
        <charset val="134"/>
      </rPr>
      <t>计费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重量</t>
    </r>
    <r>
      <rPr>
        <b/>
        <sz val="11"/>
        <color theme="0"/>
        <rFont val="Arial"/>
        <charset val="134"/>
      </rPr>
      <t xml:space="preserve">
kg</t>
    </r>
  </si>
  <si>
    <t>邮编所属区域</t>
  </si>
  <si>
    <t>国家</t>
  </si>
  <si>
    <r>
      <rPr>
        <b/>
        <sz val="11"/>
        <color rgb="FFFFFFFF"/>
        <rFont val="Microsoft YaHei"/>
        <charset val="134"/>
      </rPr>
      <t>单价</t>
    </r>
    <r>
      <rPr>
        <b/>
        <sz val="11"/>
        <color rgb="FFFFFFFF"/>
        <rFont val="Arial"/>
        <charset val="134"/>
      </rPr>
      <t xml:space="preserve">
Euro</t>
    </r>
  </si>
  <si>
    <r>
      <rPr>
        <b/>
        <sz val="11"/>
        <color rgb="FFFFFFFF"/>
        <rFont val="Microsoft YaHei"/>
        <charset val="134"/>
      </rPr>
      <t>金额</t>
    </r>
    <r>
      <rPr>
        <b/>
        <sz val="11"/>
        <color rgb="FFFFFFFF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</si>
  <si>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运输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订单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管理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</si>
  <si>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燃油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附加费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</si>
  <si>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过路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过桥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</si>
  <si>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运输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保险</t>
    </r>
  </si>
  <si>
    <r>
      <rPr>
        <b/>
        <sz val="11"/>
        <color theme="0"/>
        <rFont val="Microsoft YaHei"/>
        <charset val="134"/>
      </rPr>
      <t>预约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通知</t>
    </r>
    <r>
      <rPr>
        <b/>
        <sz val="11"/>
        <color theme="0"/>
        <rFont val="Arial"/>
        <charset val="134"/>
      </rPr>
      <t xml:space="preserve">
*</t>
    </r>
  </si>
  <si>
    <t>其它</t>
  </si>
  <si>
    <t>附加费小计</t>
  </si>
  <si>
    <r>
      <rPr>
        <b/>
        <sz val="11"/>
        <color theme="0"/>
        <rFont val="Microsoft YaHei"/>
        <charset val="134"/>
      </rPr>
      <t>包裹数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个</t>
    </r>
  </si>
  <si>
    <t>MIC回复</t>
  </si>
  <si>
    <t>10月无2B订单</t>
  </si>
  <si>
    <t>总费用合计</t>
  </si>
  <si>
    <t>装车费/搬运到卡车</t>
  </si>
  <si>
    <t>尾程费用合计</t>
  </si>
  <si>
    <t>sndZip</t>
  </si>
  <si>
    <t>sndCity</t>
  </si>
  <si>
    <t>sndCountry</t>
  </si>
  <si>
    <t>RefOnLabel</t>
  </si>
  <si>
    <t>托盘或散件</t>
  </si>
  <si>
    <t>ABM0009-251001-0002</t>
  </si>
  <si>
    <t>M</t>
  </si>
  <si>
    <t>2025-10-01</t>
  </si>
  <si>
    <t>Delivered</t>
  </si>
  <si>
    <t>B2C</t>
  </si>
  <si>
    <t>qianhui.xu@miclogistik.de</t>
  </si>
  <si>
    <t>NORMAL</t>
  </si>
  <si>
    <t>GELF-EML_HUPPERTEK</t>
  </si>
  <si>
    <t>RetourHermes_M</t>
  </si>
  <si>
    <t>4618276352</t>
  </si>
  <si>
    <t>45699</t>
  </si>
  <si>
    <t>Herten</t>
  </si>
  <si>
    <t>DE</t>
  </si>
  <si>
    <t>B07BK8W5MF</t>
  </si>
  <si>
    <r>
      <rPr>
        <sz val="10"/>
        <color theme="1"/>
        <rFont val="宋体"/>
        <charset val="134"/>
      </rPr>
      <t>金属储物柜</t>
    </r>
    <r>
      <rPr>
        <sz val="11"/>
        <color theme="1"/>
        <rFont val="Arial"/>
        <charset val="134"/>
      </rPr>
      <t>71</t>
    </r>
    <r>
      <rPr>
        <sz val="11"/>
        <color theme="1"/>
        <rFont val="宋体"/>
        <charset val="134"/>
      </rPr>
      <t>英寸银色</t>
    </r>
  </si>
  <si>
    <t>188x49x14</t>
  </si>
  <si>
    <t>ABM0009-251001-0001</t>
  </si>
  <si>
    <t>4618276345</t>
  </si>
  <si>
    <t>B077RVYZRF</t>
  </si>
  <si>
    <t>德国联邦快递金属储物柜</t>
  </si>
  <si>
    <t>ABM0009-251006-0003</t>
  </si>
  <si>
    <t>2025-10-06</t>
  </si>
  <si>
    <t>4618295421</t>
  </si>
  <si>
    <t>17033</t>
  </si>
  <si>
    <t>Neubrandenburg</t>
  </si>
  <si>
    <t>B07Q3SQT6C</t>
  </si>
  <si>
    <r>
      <rPr>
        <sz val="10"/>
        <color theme="1"/>
        <rFont val="宋体"/>
        <charset val="134"/>
      </rPr>
      <t>金属储物柜</t>
    </r>
    <r>
      <rPr>
        <sz val="11"/>
        <color theme="1"/>
        <rFont val="Arial"/>
        <charset val="134"/>
      </rPr>
      <t>71</t>
    </r>
    <r>
      <rPr>
        <sz val="11"/>
        <color theme="1"/>
        <rFont val="宋体"/>
        <charset val="134"/>
      </rPr>
      <t>英寸高</t>
    </r>
  </si>
  <si>
    <t>ABM0009-251006-0002</t>
  </si>
  <si>
    <t>4618295414</t>
  </si>
  <si>
    <t>86169</t>
  </si>
  <si>
    <t>Augsburg</t>
  </si>
  <si>
    <t>ABM0009-251006-0001</t>
  </si>
  <si>
    <t>4618295407</t>
  </si>
  <si>
    <t>8626</t>
  </si>
  <si>
    <t>Adorf/Vogtl.</t>
  </si>
  <si>
    <t>ABM0009-251005-0005</t>
  </si>
  <si>
    <t>4618295391</t>
  </si>
  <si>
    <t>65618</t>
  </si>
  <si>
    <t>Selters (taunus)</t>
  </si>
  <si>
    <t>ABM0009-251005-0004</t>
  </si>
  <si>
    <t>4618295384</t>
  </si>
  <si>
    <t>47226</t>
  </si>
  <si>
    <t>Duisburg</t>
  </si>
  <si>
    <t>ABM0009-251005-0003</t>
  </si>
  <si>
    <t>Delivery Notify</t>
  </si>
  <si>
    <t>4618295377</t>
  </si>
  <si>
    <t>10997</t>
  </si>
  <si>
    <t>Berlin</t>
  </si>
  <si>
    <t>ABM0009-251005-0002</t>
  </si>
  <si>
    <t>4618295360</t>
  </si>
  <si>
    <t>78073</t>
  </si>
  <si>
    <t>Bad Dürrheim</t>
  </si>
  <si>
    <t>ABM0009-251005-0001</t>
  </si>
  <si>
    <t>4618295353</t>
  </si>
  <si>
    <t>52399</t>
  </si>
  <si>
    <t>Merzenich</t>
  </si>
  <si>
    <t>B076THQBHX</t>
  </si>
  <si>
    <r>
      <rPr>
        <sz val="10"/>
        <color theme="1"/>
        <rFont val="宋体"/>
        <charset val="134"/>
      </rPr>
      <t>金属储物柜</t>
    </r>
    <r>
      <rPr>
        <sz val="11"/>
        <color theme="1"/>
        <rFont val="Arial"/>
        <charset val="134"/>
      </rPr>
      <t>71</t>
    </r>
    <r>
      <rPr>
        <sz val="11"/>
        <color theme="1"/>
        <rFont val="宋体"/>
        <charset val="134"/>
      </rPr>
      <t>英寸灰色</t>
    </r>
  </si>
  <si>
    <t>ABM0009-251004-0002</t>
  </si>
  <si>
    <t>4618295346</t>
  </si>
  <si>
    <t>21073</t>
  </si>
  <si>
    <t>Hamburg</t>
  </si>
  <si>
    <t>ABM0009-251004-0001</t>
  </si>
  <si>
    <t>4618295339</t>
  </si>
  <si>
    <t>37120</t>
  </si>
  <si>
    <t>Bovenden</t>
  </si>
  <si>
    <t>ABM0009-251002-0007</t>
  </si>
  <si>
    <t>4618295322</t>
  </si>
  <si>
    <t>23758</t>
  </si>
  <si>
    <t>Oldenburg in Holstein</t>
  </si>
  <si>
    <t>ABM0009-251002-0006</t>
  </si>
  <si>
    <t>4618295315</t>
  </si>
  <si>
    <t>ABM0009-251002-0005</t>
  </si>
  <si>
    <t>4618295308</t>
  </si>
  <si>
    <t>93170</t>
  </si>
  <si>
    <t>Bernhardswald</t>
  </si>
  <si>
    <t>ABM0009-251002-0004</t>
  </si>
  <si>
    <t>4618295292</t>
  </si>
  <si>
    <t>ABM0009-251002-0003</t>
  </si>
  <si>
    <t>4618295285</t>
  </si>
  <si>
    <t>37308</t>
  </si>
  <si>
    <t>Bodenrode-Westhausen</t>
  </si>
  <si>
    <t>ABM0009-251002-0002</t>
  </si>
  <si>
    <t>4618295278</t>
  </si>
  <si>
    <t>97494</t>
  </si>
  <si>
    <t>Bundorf</t>
  </si>
  <si>
    <t>ABM0009-251002-0001</t>
  </si>
  <si>
    <t>4618295247</t>
  </si>
  <si>
    <t>83620</t>
  </si>
  <si>
    <t>Feldkirchen-westerham</t>
  </si>
  <si>
    <t>ABM0009-251007-0002</t>
  </si>
  <si>
    <t>2025-10-07</t>
  </si>
  <si>
    <t>4618302853</t>
  </si>
  <si>
    <t>26871</t>
  </si>
  <si>
    <t>Aschendorf</t>
  </si>
  <si>
    <t>ABM0009-251007-0001</t>
  </si>
  <si>
    <t>4618302846</t>
  </si>
  <si>
    <t>85375</t>
  </si>
  <si>
    <t>Neufahrn b. Freising</t>
  </si>
  <si>
    <t>ABM0009-251008-0003</t>
  </si>
  <si>
    <t>2025-10-08</t>
  </si>
  <si>
    <t>4618317444</t>
  </si>
  <si>
    <t>45145</t>
  </si>
  <si>
    <t>Essen</t>
  </si>
  <si>
    <t>ABM0009-251008-0002</t>
  </si>
  <si>
    <t>4618317437</t>
  </si>
  <si>
    <t>ABM0009-251008-0001</t>
  </si>
  <si>
    <t>4618317420</t>
  </si>
  <si>
    <t>94149</t>
  </si>
  <si>
    <t>Kößlarn</t>
  </si>
  <si>
    <t>ABM0009-251009-0001</t>
  </si>
  <si>
    <t>2025-10-09</t>
  </si>
  <si>
    <t>4618336032</t>
  </si>
  <si>
    <t>86748</t>
  </si>
  <si>
    <t>Marktoffingen</t>
  </si>
  <si>
    <t>ABM0009-251010-0001</t>
  </si>
  <si>
    <t>2025-10-10</t>
  </si>
  <si>
    <t>4618341074</t>
  </si>
  <si>
    <t>54290</t>
  </si>
  <si>
    <t>Trier</t>
  </si>
  <si>
    <t>ABM0009-251013-0006</t>
  </si>
  <si>
    <t>2025-10-13</t>
  </si>
  <si>
    <t>4618357242</t>
  </si>
  <si>
    <t>44263</t>
  </si>
  <si>
    <t>Dortmund</t>
  </si>
  <si>
    <t>ABM0009-251013-0005</t>
  </si>
  <si>
    <t>4618357235</t>
  </si>
  <si>
    <t>76131</t>
  </si>
  <si>
    <t>Karlsruhe</t>
  </si>
  <si>
    <t>ABM0009-251013-0004</t>
  </si>
  <si>
    <t>4618357228</t>
  </si>
  <si>
    <t>99996</t>
  </si>
  <si>
    <t>Unstruttal</t>
  </si>
  <si>
    <t>ABM0009-251013-0003</t>
  </si>
  <si>
    <t>4618357211</t>
  </si>
  <si>
    <t>96231</t>
  </si>
  <si>
    <t>Bad Staffelstein</t>
  </si>
  <si>
    <t>ABM0009-251013-0002</t>
  </si>
  <si>
    <t>4618357204</t>
  </si>
  <si>
    <t>61130</t>
  </si>
  <si>
    <t>Nidderau</t>
  </si>
  <si>
    <t>ABM0009-251013-0001</t>
  </si>
  <si>
    <t>4618357198</t>
  </si>
  <si>
    <t>23569</t>
  </si>
  <si>
    <t>Lübeck</t>
  </si>
  <si>
    <t>ABM0009-251011-0002</t>
  </si>
  <si>
    <t>4618357181</t>
  </si>
  <si>
    <t>23843</t>
  </si>
  <si>
    <t>Bad Oldesloe</t>
  </si>
  <si>
    <t>ABM0009-251011-0001</t>
  </si>
  <si>
    <t>4618357174</t>
  </si>
  <si>
    <t>ABM0009-251014-0002</t>
  </si>
  <si>
    <t>2025-10-14</t>
  </si>
  <si>
    <t>4618363328</t>
  </si>
  <si>
    <t>73079</t>
  </si>
  <si>
    <t>Süßen</t>
  </si>
  <si>
    <t>ABM0009-251014-0001</t>
  </si>
  <si>
    <t>4618363311</t>
  </si>
  <si>
    <t>78054</t>
  </si>
  <si>
    <t>Villingen-Schwenningen</t>
  </si>
  <si>
    <t>ABM0009-251017-0002</t>
  </si>
  <si>
    <t>2025-10-17</t>
  </si>
  <si>
    <t>4618375932</t>
  </si>
  <si>
    <t>72766</t>
  </si>
  <si>
    <t>Reutlingen</t>
  </si>
  <si>
    <t>ABM0009-251017-0001</t>
  </si>
  <si>
    <t>4618375925</t>
  </si>
  <si>
    <t>27777</t>
  </si>
  <si>
    <t>Ganderkesee</t>
  </si>
  <si>
    <t>ABM0009-251020-0009</t>
  </si>
  <si>
    <t>2025-10-20</t>
  </si>
  <si>
    <t>4618385870</t>
  </si>
  <si>
    <t>21502</t>
  </si>
  <si>
    <t>Geesthacht</t>
  </si>
  <si>
    <t>ABM0009-251020-0008</t>
  </si>
  <si>
    <t>4618385863</t>
  </si>
  <si>
    <t>ABM0009-251020-0007</t>
  </si>
  <si>
    <t>4618385856</t>
  </si>
  <si>
    <t>84092</t>
  </si>
  <si>
    <t>Bayerbach b. Ergoldsbach</t>
  </si>
  <si>
    <t>ABM0009-251020-0006</t>
  </si>
  <si>
    <t>4618385849</t>
  </si>
  <si>
    <t>ABM0009-251020-0005</t>
  </si>
  <si>
    <t>4618385832</t>
  </si>
  <si>
    <t>81245</t>
  </si>
  <si>
    <t>München</t>
  </si>
  <si>
    <t>ABM0009-251020-0004</t>
  </si>
  <si>
    <t>4618385825</t>
  </si>
  <si>
    <t>34587</t>
  </si>
  <si>
    <t>Felsberg</t>
  </si>
  <si>
    <t>ABM0009-251020-0003</t>
  </si>
  <si>
    <t>4618385818</t>
  </si>
  <si>
    <t>91301</t>
  </si>
  <si>
    <t>Forchheim</t>
  </si>
  <si>
    <t>ABM0009-251020-0002</t>
  </si>
  <si>
    <t>4618385801</t>
  </si>
  <si>
    <t>95652</t>
  </si>
  <si>
    <t>Waldsassen</t>
  </si>
  <si>
    <t>ABM0009-251020-0001</t>
  </si>
  <si>
    <t xml:space="preserve">4618385788
</t>
  </si>
  <si>
    <t>16-13714-19478</t>
  </si>
  <si>
    <t>89257</t>
  </si>
  <si>
    <t>Illertissen</t>
  </si>
  <si>
    <t>ABM0009-251017-0003</t>
  </si>
  <si>
    <t>4618385771</t>
  </si>
  <si>
    <t>ABM0009-251021-0001</t>
  </si>
  <si>
    <t>2025-10-21</t>
  </si>
  <si>
    <t>4618392564</t>
  </si>
  <si>
    <t>95152</t>
  </si>
  <si>
    <t>Selbitz</t>
  </si>
  <si>
    <t>ABM0009-251022-0002</t>
  </si>
  <si>
    <t>2025-10-22</t>
  </si>
  <si>
    <t>4618397668</t>
  </si>
  <si>
    <t>71144</t>
  </si>
  <si>
    <t>Steinenbronn</t>
  </si>
  <si>
    <t>ABM0009-251022-0001</t>
  </si>
  <si>
    <t>4618397651</t>
  </si>
  <si>
    <t>6179</t>
  </si>
  <si>
    <t>Teutschenthal</t>
  </si>
  <si>
    <t>ABM0009-251023-0002</t>
  </si>
  <si>
    <t>2025-10-23</t>
  </si>
  <si>
    <t>4618401976</t>
  </si>
  <si>
    <t>78166</t>
  </si>
  <si>
    <t>Donaueschingen</t>
  </si>
  <si>
    <t>ABM0009-251023-0001</t>
  </si>
  <si>
    <t>4618401969</t>
  </si>
  <si>
    <t>9518</t>
  </si>
  <si>
    <t>Großrückerswalde</t>
  </si>
  <si>
    <t>ABM0009-251024-0001</t>
  </si>
  <si>
    <t>2025-10-24</t>
  </si>
  <si>
    <t xml:space="preserve">4618407107
</t>
  </si>
  <si>
    <t>02-13750-15412</t>
  </si>
  <si>
    <t>27246</t>
  </si>
  <si>
    <t>Borstel</t>
  </si>
  <si>
    <t>ABM0009-251027-0006</t>
  </si>
  <si>
    <t>2025-10-27</t>
  </si>
  <si>
    <t>Shipped</t>
  </si>
  <si>
    <t>4618415140</t>
  </si>
  <si>
    <t>59329</t>
  </si>
  <si>
    <t>Wadersloh</t>
  </si>
  <si>
    <t>ABM0009-251027-0005</t>
  </si>
  <si>
    <t>4618415133</t>
  </si>
  <si>
    <t>ABM0009-251027-0004</t>
  </si>
  <si>
    <t>4618415126</t>
  </si>
  <si>
    <t>93483</t>
  </si>
  <si>
    <t>Pösing</t>
  </si>
  <si>
    <t>ABM0009-251027-0003</t>
  </si>
  <si>
    <t>4618415119</t>
  </si>
  <si>
    <t>80937</t>
  </si>
  <si>
    <t>ABM0009-251027-0002</t>
  </si>
  <si>
    <t>4618415102</t>
  </si>
  <si>
    <t>45891</t>
  </si>
  <si>
    <t>Gelsenkirchen</t>
  </si>
  <si>
    <t>ABM0009-251027-0001</t>
  </si>
  <si>
    <t xml:space="preserve">4618415089
</t>
  </si>
  <si>
    <t>07-13750-59151</t>
  </si>
  <si>
    <t>71282</t>
  </si>
  <si>
    <t>Hemmingen</t>
  </si>
  <si>
    <t>ABM0009-251029-0001</t>
  </si>
  <si>
    <t>2025-10-29</t>
  </si>
  <si>
    <t xml:space="preserve">4618425231
</t>
  </si>
  <si>
    <t>05-13769-25366</t>
  </si>
  <si>
    <t>94060</t>
  </si>
  <si>
    <t>Pocking</t>
  </si>
  <si>
    <t>ABM0009-251030-0003</t>
  </si>
  <si>
    <t>2025-10-30</t>
  </si>
  <si>
    <t>4618429406</t>
  </si>
  <si>
    <t>24937</t>
  </si>
  <si>
    <t>Flensburg</t>
  </si>
  <si>
    <t>ABM0009-251030-0002</t>
  </si>
  <si>
    <t>4618429390</t>
  </si>
  <si>
    <t>52382</t>
  </si>
  <si>
    <t>Niederzier</t>
  </si>
  <si>
    <t>ABM0009-251030-0001</t>
  </si>
  <si>
    <t>4618429383</t>
  </si>
  <si>
    <t>36199</t>
  </si>
  <si>
    <t>Rotenburg</t>
  </si>
  <si>
    <t>ABM0009-251029-0002</t>
  </si>
  <si>
    <t>4618429376</t>
  </si>
  <si>
    <t>83126</t>
  </si>
  <si>
    <t>Flintsbach  a. Inn</t>
  </si>
  <si>
    <t>ABM0009-251031-0001</t>
  </si>
  <si>
    <t>2025-10-31</t>
  </si>
  <si>
    <t>klee.cao@miclogistik.de</t>
  </si>
  <si>
    <t>4618433557</t>
  </si>
  <si>
    <t>8223</t>
  </si>
  <si>
    <t>Falkenstein /Vogtl.</t>
  </si>
  <si>
    <t>ABM0009-251030-0004</t>
  </si>
  <si>
    <t xml:space="preserve">4618433564
</t>
  </si>
  <si>
    <t>13-13763-08698</t>
  </si>
  <si>
    <t>66119</t>
  </si>
  <si>
    <t>Saarbrücken</t>
  </si>
  <si>
    <r>
      <rPr>
        <b/>
        <sz val="11"/>
        <color theme="0"/>
        <rFont val="Microsoft YaHei"/>
        <charset val="134"/>
      </rPr>
      <t>拣货</t>
    </r>
    <r>
      <rPr>
        <b/>
        <sz val="11"/>
        <color theme="0"/>
        <rFont val="宋体"/>
        <charset val="134"/>
      </rPr>
      <t>费</t>
    </r>
  </si>
  <si>
    <r>
      <rPr>
        <b/>
        <sz val="11"/>
        <color theme="0"/>
        <rFont val="Microsoft YaHei"/>
        <charset val="134"/>
      </rPr>
      <t>打包费</t>
    </r>
    <r>
      <rPr>
        <b/>
        <sz val="11"/>
        <color theme="0"/>
        <rFont val="Arial"/>
        <charset val="134"/>
      </rPr>
      <t>-</t>
    </r>
    <r>
      <rPr>
        <b/>
        <sz val="11"/>
        <color theme="0"/>
        <rFont val="Microsoft YaHei"/>
        <charset val="134"/>
      </rPr>
      <t>包裹</t>
    </r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</si>
  <si>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/包裹</t>
    </r>
  </si>
  <si>
    <t>燃油&amp;路桥费</t>
  </si>
  <si>
    <t>能源附加费</t>
  </si>
  <si>
    <t>ABM0009-251031-0009</t>
  </si>
  <si>
    <t>DHL_M2CEU_M</t>
  </si>
  <si>
    <t>00340434789991020630</t>
  </si>
  <si>
    <t>ST-PO-076-04282019543672524</t>
  </si>
  <si>
    <t>23556</t>
  </si>
  <si>
    <t>B07GSF11XX</t>
  </si>
  <si>
    <t>ABM0009-251031-0008</t>
  </si>
  <si>
    <t>00340434789991020623</t>
  </si>
  <si>
    <t>97846</t>
  </si>
  <si>
    <t>Partenstein</t>
  </si>
  <si>
    <t>ABM0009-251031-0007</t>
  </si>
  <si>
    <t>00340434789991020616</t>
  </si>
  <si>
    <t>1762</t>
  </si>
  <si>
    <t>Hartmannsdorf-Reichenau</t>
  </si>
  <si>
    <t>ABM0009-251031-0006</t>
  </si>
  <si>
    <t>00340434789991020609</t>
  </si>
  <si>
    <t>2977</t>
  </si>
  <si>
    <t>Hoyerswerda</t>
  </si>
  <si>
    <t>ABM0009-251031-0005</t>
  </si>
  <si>
    <t>00340434789991020593</t>
  </si>
  <si>
    <t>73230</t>
  </si>
  <si>
    <t>Kirchheim unter Teck</t>
  </si>
  <si>
    <t>ABM0009-251031-0004</t>
  </si>
  <si>
    <t>00340434789991020586</t>
  </si>
  <si>
    <t>14770</t>
  </si>
  <si>
    <t>Brandenburg an der Havel</t>
  </si>
  <si>
    <t>托盘数量</t>
  </si>
  <si>
    <t>打托规格</t>
  </si>
  <si>
    <t>单托重</t>
  </si>
  <si>
    <t>MO202510240161</t>
  </si>
  <si>
    <t>0001-01-01</t>
  </si>
  <si>
    <t>FinWithoutOutbound</t>
  </si>
  <si>
    <t>Transport</t>
  </si>
  <si>
    <t>vicky.peng@miclogistik.de</t>
  </si>
  <si>
    <t>PlanB</t>
  </si>
  <si>
    <t>40670</t>
  </si>
  <si>
    <t>Meerbusch</t>
  </si>
  <si>
    <t>47533</t>
  </si>
  <si>
    <t>Kleve</t>
  </si>
  <si>
    <t>132.5X87X210</t>
  </si>
  <si>
    <r>
      <rPr>
        <b/>
        <sz val="10"/>
        <color theme="1"/>
        <rFont val="等线"/>
        <charset val="134"/>
      </rPr>
      <t>计费时间</t>
    </r>
    <r>
      <rPr>
        <b/>
        <sz val="10"/>
        <color theme="1"/>
        <rFont val="Arial"/>
        <charset val="134"/>
      </rPr>
      <t>IStorage Charge Date</t>
    </r>
  </si>
  <si>
    <r>
      <rPr>
        <b/>
        <sz val="10"/>
        <color theme="1"/>
        <rFont val="等线"/>
        <charset val="134"/>
      </rPr>
      <t>入仓信息</t>
    </r>
    <r>
      <rPr>
        <b/>
        <sz val="10"/>
        <color theme="1"/>
        <rFont val="Arial"/>
        <charset val="134"/>
      </rPr>
      <t>Inbound Information</t>
    </r>
  </si>
  <si>
    <r>
      <rPr>
        <b/>
        <sz val="10"/>
        <color theme="1"/>
        <rFont val="等线"/>
        <charset val="134"/>
      </rPr>
      <t>商品信息</t>
    </r>
    <r>
      <rPr>
        <b/>
        <sz val="10"/>
        <color theme="1"/>
        <rFont val="Arial"/>
        <charset val="134"/>
      </rPr>
      <t>Product Information</t>
    </r>
  </si>
  <si>
    <t>装箱信息</t>
  </si>
  <si>
    <t>打托信息</t>
  </si>
  <si>
    <t>原始入仓数量</t>
  </si>
  <si>
    <t>进销存信息</t>
  </si>
  <si>
    <r>
      <rPr>
        <b/>
        <sz val="10"/>
        <color theme="1"/>
        <rFont val="等线"/>
        <charset val="134"/>
      </rPr>
      <t>仓储费计费信息</t>
    </r>
    <r>
      <rPr>
        <b/>
        <sz val="10"/>
        <color theme="1"/>
        <rFont val="Arial"/>
        <charset val="134"/>
      </rPr>
      <t>/Storage Charge Infromation</t>
    </r>
  </si>
  <si>
    <t>日期</t>
  </si>
  <si>
    <t>仓库名称</t>
  </si>
  <si>
    <t>仓库编码</t>
  </si>
  <si>
    <t>客户代码</t>
  </si>
  <si>
    <t>入库任务号</t>
  </si>
  <si>
    <t>原始参考号</t>
  </si>
  <si>
    <t>入库上架时间</t>
  </si>
  <si>
    <t>编码</t>
  </si>
  <si>
    <t>条码</t>
  </si>
  <si>
    <t>商品名称</t>
  </si>
  <si>
    <t>件型</t>
  </si>
  <si>
    <t>长</t>
  </si>
  <si>
    <t>宽</t>
  </si>
  <si>
    <t>高</t>
  </si>
  <si>
    <r>
      <rPr>
        <b/>
        <sz val="10"/>
        <color theme="1"/>
        <rFont val="SimSun"/>
        <charset val="134"/>
      </rPr>
      <t>单品体积</t>
    </r>
    <r>
      <rPr>
        <b/>
        <sz val="10"/>
        <color rgb="FF0000FF"/>
        <rFont val="Arial"/>
        <charset val="134"/>
      </rPr>
      <t>A</t>
    </r>
  </si>
  <si>
    <t>装箱数</t>
  </si>
  <si>
    <t>单箱体积B</t>
  </si>
  <si>
    <t>打托数</t>
  </si>
  <si>
    <t>单托体积C</t>
  </si>
  <si>
    <t>托数</t>
  </si>
  <si>
    <t>总数</t>
  </si>
  <si>
    <t>期初库存数</t>
  </si>
  <si>
    <t>入库数</t>
  </si>
  <si>
    <t>出库数</t>
  </si>
  <si>
    <t>期末库存数</t>
  </si>
  <si>
    <t>计费单元</t>
  </si>
  <si>
    <t>库存体积E</t>
  </si>
  <si>
    <t>实际计费体积F</t>
  </si>
  <si>
    <t>库龄</t>
  </si>
  <si>
    <t>库龄段</t>
  </si>
  <si>
    <t>计费单价</t>
  </si>
  <si>
    <t>币种</t>
  </si>
  <si>
    <t>仓储费</t>
  </si>
  <si>
    <t>/</t>
  </si>
  <si>
    <t>cm</t>
  </si>
  <si>
    <t>CBM/m³</t>
  </si>
  <si>
    <t>pcs</t>
  </si>
  <si>
    <t>pcs/box</t>
  </si>
  <si>
    <r>
      <rPr>
        <b/>
        <sz val="10"/>
        <color theme="1"/>
        <rFont val="等线"/>
        <charset val="134"/>
      </rPr>
      <t>托</t>
    </r>
    <r>
      <rPr>
        <b/>
        <sz val="10"/>
        <color theme="1"/>
        <rFont val="Arial"/>
        <charset val="134"/>
      </rPr>
      <t>/Pallet</t>
    </r>
  </si>
  <si>
    <r>
      <rPr>
        <b/>
        <sz val="10"/>
        <color theme="1"/>
        <rFont val="SimSun"/>
        <charset val="134"/>
      </rPr>
      <t>箱</t>
    </r>
    <r>
      <rPr>
        <b/>
        <sz val="10"/>
        <color theme="1"/>
        <rFont val="Arial"/>
        <charset val="134"/>
      </rPr>
      <t>/Box</t>
    </r>
  </si>
  <si>
    <r>
      <rPr>
        <b/>
        <sz val="10"/>
        <color theme="1"/>
        <rFont val="等线"/>
        <charset val="134"/>
      </rPr>
      <t>件</t>
    </r>
    <r>
      <rPr>
        <b/>
        <sz val="10"/>
        <color theme="1"/>
        <rFont val="Arial"/>
        <charset val="134"/>
      </rPr>
      <t>/pcs</t>
    </r>
  </si>
  <si>
    <t>pcs/box/pallet</t>
  </si>
  <si>
    <r>
      <rPr>
        <b/>
        <sz val="10"/>
        <color theme="1"/>
        <rFont val="等线"/>
        <charset val="134"/>
      </rPr>
      <t>天</t>
    </r>
    <r>
      <rPr>
        <b/>
        <sz val="10"/>
        <color theme="1"/>
        <rFont val="Arial"/>
        <charset val="134"/>
      </rPr>
      <t>/day</t>
    </r>
  </si>
  <si>
    <t>Euro</t>
  </si>
  <si>
    <t>Month</t>
  </si>
  <si>
    <t>Date</t>
  </si>
  <si>
    <t>Warehouse Name</t>
  </si>
  <si>
    <t>Warehouse Code</t>
  </si>
  <si>
    <t>Client Code</t>
  </si>
  <si>
    <t>Task No.</t>
  </si>
  <si>
    <t>Original Ref.  No.</t>
  </si>
  <si>
    <t>Inbound Time</t>
  </si>
  <si>
    <t xml:space="preserve">SKU </t>
  </si>
  <si>
    <t>Barcode</t>
  </si>
  <si>
    <t>Product Name</t>
  </si>
  <si>
    <t>Product Type</t>
  </si>
  <si>
    <t>Lenth</t>
  </si>
  <si>
    <t>Width</t>
  </si>
  <si>
    <t>Height</t>
  </si>
  <si>
    <t>Product
Volume-A</t>
  </si>
  <si>
    <t>Qty per Box</t>
  </si>
  <si>
    <t>Box
Volume-B</t>
  </si>
  <si>
    <t>Qty per Pallet</t>
  </si>
  <si>
    <t>Pallet
Volume-B</t>
  </si>
  <si>
    <t>Qty of Pallet</t>
  </si>
  <si>
    <t>Qty of Carton</t>
  </si>
  <si>
    <t>Total Qty.</t>
  </si>
  <si>
    <t>Batch No.</t>
  </si>
  <si>
    <t>Beginning Inv</t>
  </si>
  <si>
    <t>Inbound</t>
  </si>
  <si>
    <t>Outbound</t>
  </si>
  <si>
    <t>Ending Inv.</t>
  </si>
  <si>
    <t>Charge Unit</t>
  </si>
  <si>
    <t>INV Volume-E</t>
  </si>
  <si>
    <t>Charge Volume-F</t>
  </si>
  <si>
    <t>Storage
Age</t>
  </si>
  <si>
    <t>Storage 
Age Range</t>
  </si>
  <si>
    <t>Charge Price</t>
  </si>
  <si>
    <t>Curreny</t>
  </si>
  <si>
    <t>Storage Amount</t>
  </si>
  <si>
    <t>Rermar</t>
  </si>
  <si>
    <r>
      <rPr>
        <sz val="11"/>
        <color theme="1"/>
        <rFont val="Arial"/>
        <charset val="134"/>
      </rPr>
      <t>MIC</t>
    </r>
    <r>
      <rPr>
        <sz val="11"/>
        <color theme="1"/>
        <rFont val="SimSun"/>
        <charset val="134"/>
      </rPr>
      <t>德国仓</t>
    </r>
  </si>
  <si>
    <t>M » N2 - 1</t>
  </si>
  <si>
    <t>MI202508130012</t>
  </si>
  <si>
    <t>DE2508031-G7-MIC</t>
  </si>
  <si>
    <t>退货基础信息</t>
  </si>
  <si>
    <t>逆向入库（同正向）-库内操作费一口价</t>
  </si>
  <si>
    <t>退货运输费用</t>
  </si>
  <si>
    <r>
      <rPr>
        <b/>
        <sz val="12"/>
        <color theme="0"/>
        <rFont val="Arial"/>
        <charset val="134"/>
      </rPr>
      <t>2025.10</t>
    </r>
    <r>
      <rPr>
        <b/>
        <sz val="12"/>
        <color theme="0"/>
        <rFont val="宋体"/>
        <charset val="134"/>
      </rPr>
      <t>月逆向</t>
    </r>
    <r>
      <rPr>
        <b/>
        <sz val="12"/>
        <color theme="0"/>
        <rFont val="Arial"/>
        <charset val="134"/>
      </rPr>
      <t>-</t>
    </r>
    <r>
      <rPr>
        <b/>
        <sz val="12"/>
        <color theme="0"/>
        <rFont val="宋体"/>
        <charset val="134"/>
      </rPr>
      <t>仓储费</t>
    </r>
  </si>
  <si>
    <r>
      <rPr>
        <b/>
        <sz val="12"/>
        <color theme="1"/>
        <rFont val="Microsoft YaHei"/>
        <charset val="134"/>
      </rPr>
      <t>逆向</t>
    </r>
    <r>
      <rPr>
        <b/>
        <sz val="12"/>
        <color theme="1"/>
        <rFont val="Arial"/>
        <charset val="134"/>
      </rPr>
      <t xml:space="preserve">
</t>
    </r>
    <r>
      <rPr>
        <b/>
        <sz val="12"/>
        <color theme="1"/>
        <rFont val="Microsoft YaHei"/>
        <charset val="134"/>
      </rPr>
      <t>费用总计</t>
    </r>
  </si>
  <si>
    <t>原始订单数据</t>
  </si>
  <si>
    <t>逆向收货小计</t>
  </si>
  <si>
    <t>基础运费</t>
  </si>
  <si>
    <r>
      <rPr>
        <b/>
        <sz val="10"/>
        <color theme="0"/>
        <rFont val="Microsoft YaHei"/>
        <charset val="134"/>
      </rPr>
      <t>附加费</t>
    </r>
  </si>
  <si>
    <r>
      <rPr>
        <b/>
        <sz val="10"/>
        <color theme="0"/>
        <rFont val="Microsoft YaHei"/>
        <charset val="134"/>
      </rPr>
      <t>运费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合计</t>
    </r>
  </si>
  <si>
    <t>库存</t>
  </si>
  <si>
    <t>Tracking Number</t>
  </si>
  <si>
    <t>Original Order No.</t>
  </si>
  <si>
    <r>
      <rPr>
        <b/>
        <sz val="10"/>
        <color theme="0"/>
        <rFont val="Microsoft YaHei"/>
        <charset val="134"/>
      </rPr>
      <t>订单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行数</t>
    </r>
  </si>
  <si>
    <t>Source</t>
  </si>
  <si>
    <r>
      <rPr>
        <b/>
        <sz val="10"/>
        <color theme="0"/>
        <rFont val="Microsoft YaHei"/>
        <charset val="134"/>
      </rPr>
      <t>退货类型</t>
    </r>
    <r>
      <rPr>
        <b/>
        <sz val="10"/>
        <color theme="0"/>
        <rFont val="Arial"/>
        <charset val="134"/>
      </rPr>
      <t>1</t>
    </r>
  </si>
  <si>
    <r>
      <rPr>
        <b/>
        <sz val="10"/>
        <color theme="0"/>
        <rFont val="Microsoft YaHei"/>
        <charset val="134"/>
      </rPr>
      <t>上架情况</t>
    </r>
  </si>
  <si>
    <r>
      <rPr>
        <b/>
        <sz val="10"/>
        <color theme="0"/>
        <rFont val="Microsoft YaHei"/>
        <charset val="134"/>
      </rPr>
      <t>渠道</t>
    </r>
  </si>
  <si>
    <r>
      <rPr>
        <b/>
        <sz val="10"/>
        <color theme="0"/>
        <rFont val="Microsoft YaHei"/>
        <charset val="134"/>
      </rPr>
      <t>物品描述</t>
    </r>
  </si>
  <si>
    <r>
      <rPr>
        <b/>
        <sz val="10"/>
        <color theme="0"/>
        <rFont val="Microsoft YaHei"/>
        <charset val="134"/>
      </rPr>
      <t>单品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重量</t>
    </r>
    <r>
      <rPr>
        <b/>
        <sz val="10"/>
        <color theme="0"/>
        <rFont val="Arial"/>
        <charset val="134"/>
      </rPr>
      <t xml:space="preserve">
kg</t>
    </r>
  </si>
  <si>
    <r>
      <rPr>
        <b/>
        <sz val="10"/>
        <color theme="0"/>
        <rFont val="Microsoft YaHei"/>
        <charset val="134"/>
      </rPr>
      <t>订单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重量</t>
    </r>
    <r>
      <rPr>
        <b/>
        <sz val="10"/>
        <color theme="0"/>
        <rFont val="Arial"/>
        <charset val="134"/>
      </rPr>
      <t xml:space="preserve">
kg</t>
    </r>
  </si>
  <si>
    <r>
      <rPr>
        <b/>
        <sz val="10"/>
        <color theme="0"/>
        <rFont val="Microsoft YaHei"/>
        <charset val="134"/>
      </rPr>
      <t>收货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月份</t>
    </r>
  </si>
  <si>
    <t>RecDate</t>
  </si>
  <si>
    <t>邮编</t>
  </si>
  <si>
    <r>
      <rPr>
        <b/>
        <sz val="10"/>
        <color theme="0"/>
        <rFont val="Microsoft YaHei"/>
        <charset val="134"/>
      </rPr>
      <t>国家</t>
    </r>
  </si>
  <si>
    <t>体积</t>
  </si>
  <si>
    <r>
      <rPr>
        <b/>
        <sz val="10"/>
        <color theme="0"/>
        <rFont val="SimSun"/>
        <charset val="134"/>
      </rPr>
      <t>包裹重量</t>
    </r>
    <r>
      <rPr>
        <b/>
        <sz val="10"/>
        <color theme="0"/>
        <rFont val="Arial"/>
        <charset val="134"/>
      </rPr>
      <t xml:space="preserve">
kg</t>
    </r>
  </si>
  <si>
    <t>原始订单
托盘尺寸
cm</t>
  </si>
  <si>
    <t>原始订单打托重量
kg</t>
  </si>
  <si>
    <t>托盘重</t>
  </si>
  <si>
    <r>
      <rPr>
        <b/>
        <sz val="10"/>
        <color theme="0"/>
        <rFont val="Microsoft YaHei"/>
        <charset val="134"/>
      </rPr>
      <t>备注</t>
    </r>
  </si>
  <si>
    <t>PCS</t>
  </si>
  <si>
    <r>
      <rPr>
        <b/>
        <sz val="10"/>
        <color theme="0"/>
        <rFont val="Microsoft YaHei"/>
        <charset val="134"/>
      </rPr>
      <t>单价</t>
    </r>
  </si>
  <si>
    <r>
      <rPr>
        <b/>
        <sz val="10"/>
        <color theme="0"/>
        <rFont val="Microsoft YaHei"/>
        <charset val="134"/>
      </rPr>
      <t>金额</t>
    </r>
  </si>
  <si>
    <r>
      <rPr>
        <b/>
        <sz val="10"/>
        <color theme="0"/>
        <rFont val="Microsoft YaHei"/>
        <charset val="134"/>
      </rPr>
      <t>数量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票</t>
    </r>
  </si>
  <si>
    <t>实际重量
KG</t>
  </si>
  <si>
    <t>卡派体积重KG</t>
  </si>
  <si>
    <t>邮编开头前两位</t>
  </si>
  <si>
    <r>
      <rPr>
        <b/>
        <sz val="10"/>
        <color theme="0"/>
        <rFont val="Microsoft YaHei"/>
        <charset val="134"/>
      </rPr>
      <t>计费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重量</t>
    </r>
    <r>
      <rPr>
        <b/>
        <sz val="10"/>
        <color theme="0"/>
        <rFont val="Arial"/>
        <charset val="134"/>
      </rPr>
      <t xml:space="preserve">
kg</t>
    </r>
  </si>
  <si>
    <r>
      <rPr>
        <b/>
        <sz val="10"/>
        <color theme="0"/>
        <rFont val="Microsoft YaHei"/>
        <charset val="134"/>
      </rPr>
      <t>单价</t>
    </r>
    <r>
      <rPr>
        <b/>
        <sz val="10"/>
        <color theme="0"/>
        <rFont val="Arial"/>
        <charset val="134"/>
      </rPr>
      <t xml:space="preserve">
Euro</t>
    </r>
  </si>
  <si>
    <r>
      <rPr>
        <b/>
        <sz val="10"/>
        <color theme="0"/>
        <rFont val="Microsoft YaHei"/>
        <charset val="134"/>
      </rPr>
      <t>运输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订单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管理</t>
    </r>
    <r>
      <rPr>
        <b/>
        <sz val="10"/>
        <color theme="0"/>
        <rFont val="Arial"/>
        <charset val="134"/>
      </rPr>
      <t xml:space="preserve">
*</t>
    </r>
  </si>
  <si>
    <t>私人地址附加费</t>
  </si>
  <si>
    <t>道路附加费&amp;安检费</t>
  </si>
  <si>
    <r>
      <rPr>
        <b/>
        <sz val="10"/>
        <color theme="0"/>
        <rFont val="Microsoft YaHei"/>
        <charset val="134"/>
      </rPr>
      <t>燃油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附加费</t>
    </r>
    <r>
      <rPr>
        <b/>
        <sz val="10"/>
        <color theme="0"/>
        <rFont val="Arial"/>
        <charset val="134"/>
      </rPr>
      <t xml:space="preserve">
&amp;</t>
    </r>
    <r>
      <rPr>
        <b/>
        <sz val="10"/>
        <color theme="0"/>
        <rFont val="宋体"/>
        <charset val="134"/>
      </rPr>
      <t>环保费</t>
    </r>
  </si>
  <si>
    <r>
      <rPr>
        <b/>
        <sz val="10"/>
        <color theme="0"/>
        <rFont val="Microsoft YaHei"/>
        <charset val="134"/>
      </rPr>
      <t>燃油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附加费</t>
    </r>
    <r>
      <rPr>
        <b/>
        <sz val="10"/>
        <color theme="0"/>
        <rFont val="Arial"/>
        <charset val="134"/>
      </rPr>
      <t xml:space="preserve">
*</t>
    </r>
  </si>
  <si>
    <r>
      <rPr>
        <b/>
        <sz val="10"/>
        <color theme="0"/>
        <rFont val="Microsoft YaHei"/>
        <charset val="134"/>
      </rPr>
      <t>过路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过桥</t>
    </r>
    <r>
      <rPr>
        <b/>
        <sz val="10"/>
        <color theme="0"/>
        <rFont val="Arial"/>
        <charset val="134"/>
      </rPr>
      <t xml:space="preserve">
*</t>
    </r>
  </si>
  <si>
    <t>NC件</t>
  </si>
  <si>
    <t>安保费</t>
  </si>
  <si>
    <r>
      <rPr>
        <b/>
        <sz val="10"/>
        <color theme="0"/>
        <rFont val="Microsoft YaHei"/>
        <charset val="134"/>
      </rPr>
      <t>运输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保险</t>
    </r>
  </si>
  <si>
    <t>电话预约</t>
  </si>
  <si>
    <t>DSV环境费</t>
  </si>
  <si>
    <t>上门取货</t>
  </si>
  <si>
    <r>
      <rPr>
        <b/>
        <sz val="10"/>
        <color theme="0"/>
        <rFont val="Microsoft YaHei"/>
        <charset val="134"/>
      </rPr>
      <t>旺季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Microsoft YaHei"/>
        <charset val="134"/>
      </rPr>
      <t>附加费</t>
    </r>
  </si>
  <si>
    <t>危险品&amp;ADR文件制作费</t>
  </si>
  <si>
    <r>
      <rPr>
        <b/>
        <sz val="10"/>
        <color theme="0"/>
        <rFont val="SimSun"/>
        <charset val="134"/>
      </rPr>
      <t>期初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SimSun"/>
        <charset val="134"/>
      </rPr>
      <t>库存</t>
    </r>
  </si>
  <si>
    <t>入库</t>
  </si>
  <si>
    <t>出库</t>
  </si>
  <si>
    <r>
      <rPr>
        <b/>
        <sz val="10"/>
        <color theme="0"/>
        <rFont val="SimSun"/>
        <charset val="134"/>
      </rPr>
      <t>期末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SimSun"/>
        <charset val="134"/>
      </rPr>
      <t>库存</t>
    </r>
  </si>
  <si>
    <r>
      <rPr>
        <b/>
        <sz val="10"/>
        <color rgb="FFFFFFFF"/>
        <rFont val="Microsoft YaHei"/>
        <charset val="134"/>
      </rPr>
      <t>平均</t>
    </r>
    <r>
      <rPr>
        <b/>
        <sz val="10"/>
        <color rgb="FFFFFFFF"/>
        <rFont val="Arial"/>
        <charset val="134"/>
      </rPr>
      <t xml:space="preserve">
</t>
    </r>
    <r>
      <rPr>
        <b/>
        <sz val="10"/>
        <color rgb="FFFFFFFF"/>
        <rFont val="Microsoft YaHei"/>
        <charset val="134"/>
      </rPr>
      <t>库存</t>
    </r>
  </si>
  <si>
    <t>计费起始日</t>
  </si>
  <si>
    <t>计费截止日</t>
  </si>
  <si>
    <t>累计存储天数</t>
  </si>
  <si>
    <t>计费天数</t>
  </si>
  <si>
    <r>
      <rPr>
        <b/>
        <sz val="10"/>
        <color theme="0"/>
        <rFont val="SimSun"/>
        <charset val="134"/>
      </rPr>
      <t>单品</t>
    </r>
    <r>
      <rPr>
        <b/>
        <sz val="10"/>
        <color theme="0"/>
        <rFont val="Arial"/>
        <charset val="134"/>
      </rPr>
      <t xml:space="preserve">
</t>
    </r>
    <r>
      <rPr>
        <b/>
        <sz val="10"/>
        <color theme="0"/>
        <rFont val="SimSun"/>
        <charset val="134"/>
      </rPr>
      <t>体积m³</t>
    </r>
  </si>
  <si>
    <t>计费体积</t>
  </si>
  <si>
    <t>计费单价段</t>
  </si>
  <si>
    <r>
      <rPr>
        <b/>
        <sz val="10"/>
        <color rgb="FFFFFFFF"/>
        <rFont val="Microsoft YaHei"/>
        <charset val="134"/>
      </rPr>
      <t>单价</t>
    </r>
  </si>
  <si>
    <t>逆向仓租费</t>
  </si>
  <si>
    <t>4618237520</t>
  </si>
  <si>
    <t>ABM0009-250922-0003</t>
  </si>
  <si>
    <t>Customer Retour</t>
  </si>
  <si>
    <t>物流退货</t>
  </si>
  <si>
    <t>Valid</t>
  </si>
  <si>
    <t>2025-10</t>
  </si>
  <si>
    <t>12559</t>
  </si>
  <si>
    <t>4618242524</t>
  </si>
  <si>
    <t>ABM0009-250923-0002</t>
  </si>
  <si>
    <t>4618251434</t>
  </si>
  <si>
    <t>ABM0009-250925-0017</t>
  </si>
  <si>
    <t>Lüneburg</t>
  </si>
  <si>
    <t>Name</t>
  </si>
  <si>
    <t>Weight</t>
  </si>
  <si>
    <t>Length</t>
  </si>
  <si>
    <t>HS Code</t>
  </si>
  <si>
    <r>
      <rPr>
        <b/>
        <sz val="14"/>
        <color theme="1"/>
        <rFont val="宋体"/>
        <charset val="134"/>
      </rPr>
      <t>规格</t>
    </r>
  </si>
  <si>
    <r>
      <rPr>
        <b/>
        <sz val="14"/>
        <color theme="1"/>
        <rFont val="宋体"/>
        <charset val="134"/>
      </rPr>
      <t>体积</t>
    </r>
  </si>
  <si>
    <r>
      <rPr>
        <b/>
        <sz val="14"/>
        <color theme="1"/>
        <rFont val="宋体"/>
        <charset val="134"/>
      </rPr>
      <t>原始名称</t>
    </r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</si>
  <si>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英寸灰色</t>
    </r>
  </si>
  <si>
    <t>7434503987965</t>
  </si>
  <si>
    <t>Metal Storage Cabinet 71 inches Gray</t>
  </si>
  <si>
    <t>12个/托</t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</si>
  <si>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英寸银色</t>
    </r>
  </si>
  <si>
    <t>7434503791791</t>
  </si>
  <si>
    <t>Metal Storage Cabinet 71 inches Silver</t>
  </si>
  <si>
    <t>7434503188171</t>
  </si>
  <si>
    <t>DE - Fedmax Metal Storage Cabinet</t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</si>
  <si>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英寸高</t>
    </r>
  </si>
  <si>
    <t>600413399021</t>
  </si>
  <si>
    <t>Metal Storage Cabinet 71" Tall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</si>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</sst>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m&quot;月&quot;d&quot;日&quot;;@"/>
    <numFmt numFmtId="178" formatCode="0_ "/>
    <numFmt numFmtId="179" formatCode="0.00_ "/>
    <numFmt numFmtId="180" formatCode="0.00_ ;\-0.00\ "/>
    <numFmt numFmtId="181" formatCode="0.000"/>
    <numFmt numFmtId="182" formatCode="0_);\(0\)"/>
    <numFmt numFmtId="183" formatCode="0.0_ "/>
    <numFmt numFmtId="184" formatCode="dd/mm/yyyy;@"/>
    <numFmt numFmtId="185" formatCode="0.0"/>
    <numFmt numFmtId="186" formatCode="[$-409]yyyy/mm/dd;@"/>
    <numFmt numFmtId="187" formatCode="0_ ;\-0\ "/>
    <numFmt numFmtId="188" formatCode="#,##0.00_ "/>
    <numFmt numFmtId="189" formatCode="0.00_);[Red]\(0.00\)"/>
    <numFmt numFmtId="190" formatCode="yyyy/m/d;@"/>
    <numFmt numFmtId="191" formatCode="#,##0.00\ &quot;€&quot;;\-#,##0.00\ &quot;€&quot;"/>
  </numFmts>
  <fonts count="94">
    <font>
      <sz val="12"/>
      <color theme="1"/>
      <name val="宋体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2"/>
      <color theme="0"/>
      <name val="Microsoft YaHei"/>
      <charset val="134"/>
    </font>
    <font>
      <b/>
      <sz val="12"/>
      <color theme="0"/>
      <name val="Arial"/>
      <charset val="134"/>
    </font>
    <font>
      <b/>
      <sz val="12"/>
      <color theme="1"/>
      <name val="Microsoft YaHei"/>
      <charset val="134"/>
    </font>
    <font>
      <b/>
      <sz val="10"/>
      <color theme="0"/>
      <name val="Microsoft YaHei"/>
      <charset val="134"/>
    </font>
    <font>
      <b/>
      <sz val="10"/>
      <color theme="0"/>
      <name val="Arial"/>
      <charset val="134"/>
    </font>
    <font>
      <b/>
      <sz val="10"/>
      <color theme="0"/>
      <name val="SimSun"/>
      <charset val="134"/>
    </font>
    <font>
      <b/>
      <sz val="10"/>
      <color theme="1"/>
      <name val="Arial"/>
      <charset val="134"/>
    </font>
    <font>
      <b/>
      <sz val="10"/>
      <color theme="0"/>
      <name val="宋体"/>
      <charset val="134"/>
    </font>
    <font>
      <b/>
      <sz val="10"/>
      <color theme="0"/>
      <name val="Microsoft YaHei UI Light"/>
      <charset val="134"/>
    </font>
    <font>
      <sz val="11"/>
      <color rgb="FF000000"/>
      <name val="Microsoft YaHei"/>
      <charset val="134"/>
    </font>
    <font>
      <b/>
      <sz val="10"/>
      <color theme="0"/>
      <name val="Microsoft YaHei UI"/>
      <charset val="134"/>
    </font>
    <font>
      <b/>
      <sz val="11"/>
      <color rgb="FFFFFFFF"/>
      <name val="Microsoft YaHei"/>
      <charset val="134"/>
    </font>
    <font>
      <b/>
      <sz val="10"/>
      <color rgb="FFFFFFFF"/>
      <name val="宋体"/>
      <charset val="134"/>
    </font>
    <font>
      <b/>
      <sz val="10"/>
      <color rgb="FFFFFFFF"/>
      <name val="Arial"/>
      <charset val="134"/>
    </font>
    <font>
      <sz val="11"/>
      <color indexed="8"/>
      <name val="Calibri"/>
      <charset val="0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b/>
      <sz val="11"/>
      <color rgb="FF0000FF"/>
      <name val="Arial"/>
      <charset val="134"/>
    </font>
    <font>
      <b/>
      <sz val="10"/>
      <color theme="1"/>
      <name val="等线"/>
      <charset val="134"/>
    </font>
    <font>
      <b/>
      <sz val="10"/>
      <color theme="1"/>
      <name val="SimSun"/>
      <charset val="134"/>
    </font>
    <font>
      <b/>
      <sz val="10"/>
      <color theme="0"/>
      <name val="等线"/>
      <charset val="134"/>
    </font>
    <font>
      <sz val="11"/>
      <color rgb="FF606266"/>
      <name val="宋体"/>
      <charset val="134"/>
    </font>
    <font>
      <sz val="11"/>
      <color rgb="FF000000"/>
      <name val="Arial"/>
      <charset val="134"/>
    </font>
    <font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6"/>
      <color rgb="FF000000"/>
      <name val="Microsoft YaHei"/>
      <charset val="134"/>
    </font>
    <font>
      <b/>
      <sz val="10"/>
      <color rgb="FF0000FF"/>
      <name val="Microsoft YaHei"/>
      <charset val="134"/>
    </font>
    <font>
      <b/>
      <sz val="11"/>
      <color rgb="FF000000"/>
      <name val="Arial"/>
      <charset val="134"/>
    </font>
    <font>
      <b/>
      <sz val="11"/>
      <color theme="0"/>
      <name val="Microsoft YaHei"/>
      <charset val="134"/>
    </font>
    <font>
      <b/>
      <sz val="11"/>
      <color theme="0"/>
      <name val="Arial"/>
      <charset val="134"/>
    </font>
    <font>
      <b/>
      <sz val="11"/>
      <name val="Microsoft YaHei"/>
      <charset val="134"/>
    </font>
    <font>
      <b/>
      <sz val="11"/>
      <name val="Arial"/>
      <charset val="134"/>
    </font>
    <font>
      <b/>
      <sz val="11"/>
      <color theme="0"/>
      <name val="宋体"/>
      <charset val="134"/>
    </font>
    <font>
      <sz val="9"/>
      <color rgb="FF666666"/>
      <name val="微软雅黑"/>
      <charset val="134"/>
    </font>
    <font>
      <b/>
      <sz val="11"/>
      <color rgb="FFFFFFFF"/>
      <name val="Arial"/>
      <charset val="134"/>
    </font>
    <font>
      <b/>
      <sz val="16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Microsoft YaHei"/>
      <charset val="134"/>
    </font>
    <font>
      <b/>
      <u/>
      <sz val="22"/>
      <color theme="3"/>
      <name val="Microsoft YaHei"/>
      <charset val="134"/>
    </font>
    <font>
      <b/>
      <sz val="12"/>
      <color theme="3"/>
      <name val="Microsoft YaHei"/>
      <charset val="134"/>
    </font>
    <font>
      <sz val="12"/>
      <color theme="1"/>
      <name val="Microsoft YaHei"/>
      <charset val="134"/>
    </font>
    <font>
      <u/>
      <sz val="14"/>
      <color rgb="FF0000FF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Microsoft YaHei"/>
      <charset val="134"/>
    </font>
    <font>
      <b/>
      <sz val="11"/>
      <color rgb="FFFF0000"/>
      <name val="Microsoft YaHei"/>
      <charset val="134"/>
    </font>
    <font>
      <b/>
      <sz val="14"/>
      <color theme="0"/>
      <name val="Microsoft YaHei"/>
      <charset val="134"/>
    </font>
    <font>
      <b/>
      <sz val="11"/>
      <color theme="0" tint="-0.14996795556505"/>
      <name val="Microsoft YaHei"/>
      <charset val="134"/>
    </font>
    <font>
      <sz val="9"/>
      <color rgb="FF000000"/>
      <name val="微软雅黑"/>
      <charset val="134"/>
    </font>
    <font>
      <b/>
      <sz val="18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</font>
    <font>
      <b/>
      <sz val="11"/>
      <color rgb="FF0000FF"/>
      <name val="Microsoft YaHei"/>
      <charset val="134"/>
    </font>
    <font>
      <b/>
      <sz val="11"/>
      <color rgb="FFC00000"/>
      <name val="Microsoft YaHei"/>
      <charset val="134"/>
    </font>
    <font>
      <b/>
      <sz val="10"/>
      <color rgb="FF0000FF"/>
      <name val="Arial"/>
      <charset val="134"/>
    </font>
    <font>
      <b/>
      <sz val="14"/>
      <color theme="1"/>
      <name val="宋体"/>
      <charset val="134"/>
    </font>
    <font>
      <sz val="11"/>
      <color theme="1"/>
      <name val="SimSun"/>
      <charset val="134"/>
    </font>
    <font>
      <b/>
      <sz val="10"/>
      <color rgb="FF000000"/>
      <name val="Microsoft YaHei"/>
      <charset val="134"/>
    </font>
    <font>
      <b/>
      <sz val="11"/>
      <color theme="0"/>
      <name val="SimSun"/>
      <charset val="134"/>
    </font>
    <font>
      <b/>
      <sz val="12"/>
      <color theme="0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26" borderId="14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15" applyNumberFormat="0" applyFill="0" applyAlignment="0" applyProtection="0">
      <alignment vertical="center"/>
    </xf>
    <xf numFmtId="0" fontId="67" fillId="0" borderId="15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7" borderId="17" applyNumberFormat="0" applyAlignment="0" applyProtection="0">
      <alignment vertical="center"/>
    </xf>
    <xf numFmtId="0" fontId="70" fillId="28" borderId="18" applyNumberFormat="0" applyAlignment="0" applyProtection="0">
      <alignment vertical="center"/>
    </xf>
    <xf numFmtId="0" fontId="71" fillId="28" borderId="17" applyNumberFormat="0" applyAlignment="0" applyProtection="0">
      <alignment vertical="center"/>
    </xf>
    <xf numFmtId="0" fontId="72" fillId="21" borderId="19" applyNumberFormat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4" fillId="0" borderId="21" applyNumberFormat="0" applyFill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9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25" fillId="0" borderId="0"/>
    <xf numFmtId="0" fontId="80" fillId="0" borderId="0" applyNumberFormat="0" applyFill="0" applyBorder="0" applyAlignment="0" applyProtection="0">
      <alignment vertical="top"/>
      <protection locked="0"/>
    </xf>
    <xf numFmtId="0" fontId="25" fillId="0" borderId="0"/>
  </cellStyleXfs>
  <cellXfs count="380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Fill="1" applyAlignment="1"/>
    <xf numFmtId="0" fontId="2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Continuous" vertical="center"/>
    </xf>
    <xf numFmtId="0" fontId="7" fillId="3" borderId="1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Continuous" vertical="center"/>
    </xf>
    <xf numFmtId="178" fontId="7" fillId="3" borderId="1" xfId="0" applyNumberFormat="1" applyFont="1" applyFill="1" applyBorder="1" applyAlignment="1">
      <alignment horizontal="centerContinuous" vertical="center"/>
    </xf>
    <xf numFmtId="0" fontId="7" fillId="3" borderId="1" xfId="0" applyFont="1" applyFill="1" applyBorder="1" applyAlignment="1">
      <alignment horizontal="centerContinuous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Continuous" vertical="center"/>
    </xf>
    <xf numFmtId="0" fontId="9" fillId="4" borderId="1" xfId="0" applyFont="1" applyFill="1" applyBorder="1" applyAlignment="1">
      <alignment horizontal="centerContinuous" vertical="center"/>
    </xf>
    <xf numFmtId="178" fontId="9" fillId="4" borderId="1" xfId="0" applyNumberFormat="1" applyFont="1" applyFill="1" applyBorder="1" applyAlignment="1">
      <alignment horizontal="centerContinuous" vertical="center"/>
    </xf>
    <xf numFmtId="179" fontId="10" fillId="5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79" fontId="12" fillId="8" borderId="1" xfId="0" applyNumberFormat="1" applyFont="1" applyFill="1" applyBorder="1" applyAlignment="1">
      <alignment horizontal="center" vertical="center"/>
    </xf>
    <xf numFmtId="179" fontId="11" fillId="7" borderId="1" xfId="0" applyNumberFormat="1" applyFont="1" applyFill="1" applyBorder="1" applyAlignment="1">
      <alignment horizontal="center" vertical="center" wrapText="1"/>
    </xf>
    <xf numFmtId="178" fontId="13" fillId="8" borderId="1" xfId="0" applyNumberFormat="1" applyFont="1" applyFill="1" applyBorder="1" applyAlignment="1">
      <alignment horizontal="center" vertical="center"/>
    </xf>
    <xf numFmtId="179" fontId="13" fillId="8" borderId="1" xfId="0" applyNumberFormat="1" applyFont="1" applyFill="1" applyBorder="1" applyAlignment="1">
      <alignment horizontal="center" vertical="center"/>
    </xf>
    <xf numFmtId="179" fontId="14" fillId="5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77" fontId="12" fillId="8" borderId="1" xfId="0" applyNumberFormat="1" applyFont="1" applyFill="1" applyBorder="1" applyAlignment="1">
      <alignment horizontal="center" vertical="center" wrapText="1"/>
    </xf>
    <xf numFmtId="178" fontId="13" fillId="8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79" fontId="12" fillId="8" borderId="1" xfId="0" applyNumberFormat="1" applyFont="1" applyFill="1" applyBorder="1" applyAlignment="1">
      <alignment horizontal="center" vertical="center" wrapText="1"/>
    </xf>
    <xf numFmtId="179" fontId="12" fillId="3" borderId="1" xfId="0" applyNumberFormat="1" applyFont="1" applyFill="1" applyBorder="1" applyAlignment="1">
      <alignment horizontal="center" vertical="center" wrapText="1"/>
    </xf>
    <xf numFmtId="180" fontId="12" fillId="8" borderId="1" xfId="0" applyNumberFormat="1" applyFont="1" applyFill="1" applyBorder="1" applyAlignment="1">
      <alignment horizontal="center" vertical="center" wrapText="1"/>
    </xf>
    <xf numFmtId="180" fontId="13" fillId="8" borderId="1" xfId="0" applyNumberFormat="1" applyFont="1" applyFill="1" applyBorder="1" applyAlignment="1">
      <alignment horizontal="center" vertical="center" wrapText="1"/>
    </xf>
    <xf numFmtId="180" fontId="12" fillId="10" borderId="1" xfId="0" applyNumberFormat="1" applyFont="1" applyFill="1" applyBorder="1" applyAlignment="1">
      <alignment horizontal="center" vertical="center" wrapText="1"/>
    </xf>
    <xf numFmtId="179" fontId="16" fillId="8" borderId="1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179" fontId="11" fillId="8" borderId="1" xfId="0" applyNumberFormat="1" applyFont="1" applyFill="1" applyBorder="1" applyAlignment="1">
      <alignment horizontal="center" vertical="center" wrapText="1"/>
    </xf>
    <xf numFmtId="179" fontId="18" fillId="8" borderId="1" xfId="0" applyNumberFormat="1" applyFont="1" applyFill="1" applyBorder="1" applyAlignment="1">
      <alignment horizontal="center" vertical="center" wrapText="1"/>
    </xf>
    <xf numFmtId="179" fontId="15" fillId="8" borderId="1" xfId="0" applyNumberFormat="1" applyFont="1" applyFill="1" applyBorder="1" applyAlignment="1">
      <alignment horizontal="center" vertical="center" wrapText="1"/>
    </xf>
    <xf numFmtId="180" fontId="19" fillId="11" borderId="1" xfId="0" applyNumberFormat="1" applyFont="1" applyFill="1" applyBorder="1" applyAlignment="1">
      <alignment horizontal="center" vertical="center" wrapText="1"/>
    </xf>
    <xf numFmtId="179" fontId="12" fillId="7" borderId="1" xfId="0" applyNumberFormat="1" applyFont="1" applyFill="1" applyBorder="1" applyAlignment="1">
      <alignment horizontal="center" vertical="center"/>
    </xf>
    <xf numFmtId="179" fontId="13" fillId="8" borderId="1" xfId="0" applyNumberFormat="1" applyFont="1" applyFill="1" applyBorder="1" applyAlignment="1">
      <alignment horizontal="center" vertical="center" wrapText="1"/>
    </xf>
    <xf numFmtId="179" fontId="20" fillId="11" borderId="1" xfId="0" applyNumberFormat="1" applyFont="1" applyFill="1" applyBorder="1" applyAlignment="1">
      <alignment horizontal="center" vertical="center" wrapText="1"/>
    </xf>
    <xf numFmtId="179" fontId="21" fillId="11" borderId="1" xfId="0" applyNumberFormat="1" applyFont="1" applyFill="1" applyBorder="1" applyAlignment="1">
      <alignment horizontal="center" vertical="center"/>
    </xf>
    <xf numFmtId="179" fontId="20" fillId="7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179" fontId="14" fillId="12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 applyProtection="1">
      <alignment horizontal="center" vertical="center"/>
    </xf>
    <xf numFmtId="181" fontId="2" fillId="0" borderId="1" xfId="0" applyNumberFormat="1" applyFont="1" applyFill="1" applyBorder="1" applyAlignment="1" applyProtection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/>
    </xf>
    <xf numFmtId="2" fontId="24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179" fontId="25" fillId="0" borderId="1" xfId="0" applyNumberFormat="1" applyFont="1" applyFill="1" applyBorder="1" applyAlignment="1">
      <alignment horizontal="center" vertical="center"/>
    </xf>
    <xf numFmtId="179" fontId="14" fillId="1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14" fillId="0" borderId="0" xfId="0" applyFont="1" applyFill="1" applyAlignment="1">
      <alignment horizontal="center" vertical="center"/>
    </xf>
    <xf numFmtId="177" fontId="14" fillId="0" borderId="0" xfId="0" applyNumberFormat="1" applyFont="1" applyFill="1" applyAlignment="1">
      <alignment horizontal="center" vertical="center"/>
    </xf>
    <xf numFmtId="184" fontId="14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176" fontId="14" fillId="0" borderId="0" xfId="0" applyNumberFormat="1" applyFont="1" applyFill="1" applyAlignment="1">
      <alignment horizontal="center" vertical="center"/>
    </xf>
    <xf numFmtId="179" fontId="26" fillId="14" borderId="0" xfId="0" applyNumberFormat="1" applyFont="1" applyFill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77" fontId="27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184" fontId="27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center" wrapText="1"/>
    </xf>
    <xf numFmtId="184" fontId="28" fillId="15" borderId="1" xfId="0" applyNumberFormat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176" fontId="27" fillId="0" borderId="1" xfId="0" applyNumberFormat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184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184" fontId="14" fillId="15" borderId="1" xfId="0" applyNumberFormat="1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vertical="center" wrapText="1"/>
    </xf>
    <xf numFmtId="177" fontId="25" fillId="7" borderId="1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Alignment="1"/>
    <xf numFmtId="0" fontId="30" fillId="0" borderId="1" xfId="0" applyFont="1" applyFill="1" applyBorder="1" applyAlignment="1">
      <alignment horizontal="left" vertical="center"/>
    </xf>
    <xf numFmtId="185" fontId="31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Alignment="1"/>
    <xf numFmtId="0" fontId="25" fillId="17" borderId="1" xfId="0" applyNumberFormat="1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5" fillId="18" borderId="1" xfId="0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176" fontId="25" fillId="0" borderId="1" xfId="0" applyNumberFormat="1" applyFont="1" applyFill="1" applyBorder="1" applyAlignment="1">
      <alignment horizontal="center" vertical="center"/>
    </xf>
    <xf numFmtId="176" fontId="25" fillId="12" borderId="1" xfId="0" applyNumberFormat="1" applyFont="1" applyFill="1" applyBorder="1" applyAlignment="1">
      <alignment horizontal="center" vertical="center"/>
    </xf>
    <xf numFmtId="177" fontId="25" fillId="20" borderId="1" xfId="0" applyNumberFormat="1" applyFont="1" applyFill="1" applyBorder="1" applyAlignment="1">
      <alignment horizontal="center" vertical="center"/>
    </xf>
    <xf numFmtId="58" fontId="25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25" fillId="9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 vertical="center"/>
    </xf>
    <xf numFmtId="186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 wrapText="1"/>
    </xf>
    <xf numFmtId="182" fontId="32" fillId="0" borderId="0" xfId="0" applyNumberFormat="1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/>
    </xf>
    <xf numFmtId="182" fontId="32" fillId="0" borderId="0" xfId="0" applyNumberFormat="1" applyFont="1" applyFill="1" applyBorder="1" applyAlignment="1">
      <alignment horizontal="center" vertical="center"/>
    </xf>
    <xf numFmtId="180" fontId="32" fillId="0" borderId="0" xfId="0" applyNumberFormat="1" applyFont="1" applyFill="1" applyBorder="1" applyAlignment="1">
      <alignment horizontal="center" vertical="center"/>
    </xf>
    <xf numFmtId="179" fontId="32" fillId="0" borderId="0" xfId="0" applyNumberFormat="1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center" vertical="center"/>
    </xf>
    <xf numFmtId="186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 wrapText="1"/>
    </xf>
    <xf numFmtId="182" fontId="34" fillId="0" borderId="0" xfId="0" applyNumberFormat="1" applyFont="1" applyFill="1" applyBorder="1" applyAlignment="1">
      <alignment horizontal="center" vertical="center" wrapText="1"/>
    </xf>
    <xf numFmtId="180" fontId="35" fillId="2" borderId="0" xfId="0" applyNumberFormat="1" applyFont="1" applyFill="1" applyBorder="1" applyAlignment="1">
      <alignment horizontal="center" vertical="center"/>
    </xf>
    <xf numFmtId="182" fontId="35" fillId="2" borderId="0" xfId="0" applyNumberFormat="1" applyFont="1" applyFill="1" applyBorder="1" applyAlignment="1">
      <alignment horizontal="center" vertical="center"/>
    </xf>
    <xf numFmtId="179" fontId="35" fillId="2" borderId="0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186" fontId="36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left" vertical="center" wrapText="1"/>
    </xf>
    <xf numFmtId="182" fontId="36" fillId="0" borderId="1" xfId="0" applyNumberFormat="1" applyFont="1" applyFill="1" applyBorder="1" applyAlignment="1">
      <alignment horizontal="center" vertical="center" wrapText="1"/>
    </xf>
    <xf numFmtId="180" fontId="37" fillId="9" borderId="1" xfId="0" applyNumberFormat="1" applyFont="1" applyFill="1" applyBorder="1" applyAlignment="1">
      <alignment horizontal="center" vertical="center"/>
    </xf>
    <xf numFmtId="180" fontId="38" fillId="9" borderId="1" xfId="0" applyNumberFormat="1" applyFont="1" applyFill="1" applyBorder="1" applyAlignment="1">
      <alignment horizontal="center" vertical="center"/>
    </xf>
    <xf numFmtId="182" fontId="38" fillId="9" borderId="1" xfId="0" applyNumberFormat="1" applyFont="1" applyFill="1" applyBorder="1" applyAlignment="1">
      <alignment horizontal="center" vertical="center"/>
    </xf>
    <xf numFmtId="179" fontId="38" fillId="9" borderId="1" xfId="0" applyNumberFormat="1" applyFont="1" applyFill="1" applyBorder="1" applyAlignment="1">
      <alignment horizontal="center" vertical="center"/>
    </xf>
    <xf numFmtId="0" fontId="39" fillId="21" borderId="1" xfId="0" applyNumberFormat="1" applyFont="1" applyFill="1" applyBorder="1" applyAlignment="1">
      <alignment horizontal="left" vertical="center"/>
    </xf>
    <xf numFmtId="0" fontId="40" fillId="21" borderId="1" xfId="0" applyNumberFormat="1" applyFont="1" applyFill="1" applyBorder="1" applyAlignment="1">
      <alignment horizontal="center" vertical="center"/>
    </xf>
    <xf numFmtId="186" fontId="40" fillId="21" borderId="1" xfId="0" applyNumberFormat="1" applyFont="1" applyFill="1" applyBorder="1" applyAlignment="1">
      <alignment horizontal="center" vertical="center"/>
    </xf>
    <xf numFmtId="0" fontId="40" fillId="21" borderId="1" xfId="0" applyNumberFormat="1" applyFont="1" applyFill="1" applyBorder="1" applyAlignment="1">
      <alignment horizontal="left" vertical="center"/>
    </xf>
    <xf numFmtId="182" fontId="40" fillId="21" borderId="1" xfId="0" applyNumberFormat="1" applyFont="1" applyFill="1" applyBorder="1" applyAlignment="1">
      <alignment horizontal="center" vertical="center"/>
    </xf>
    <xf numFmtId="0" fontId="39" fillId="21" borderId="1" xfId="0" applyNumberFormat="1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182" fontId="38" fillId="8" borderId="1" xfId="0" applyNumberFormat="1" applyFont="1" applyFill="1" applyBorder="1" applyAlignment="1">
      <alignment horizontal="center" vertical="center"/>
    </xf>
    <xf numFmtId="180" fontId="38" fillId="8" borderId="1" xfId="0" applyNumberFormat="1" applyFont="1" applyFill="1" applyBorder="1" applyAlignment="1">
      <alignment horizontal="center" vertical="center"/>
    </xf>
    <xf numFmtId="179" fontId="38" fillId="8" borderId="1" xfId="0" applyNumberFormat="1" applyFont="1" applyFill="1" applyBorder="1" applyAlignment="1">
      <alignment horizontal="center" vertical="center"/>
    </xf>
    <xf numFmtId="180" fontId="37" fillId="8" borderId="1" xfId="0" applyNumberFormat="1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left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186" fontId="38" fillId="8" borderId="1" xfId="0" applyNumberFormat="1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/>
    </xf>
    <xf numFmtId="182" fontId="38" fillId="8" borderId="1" xfId="0" applyNumberFormat="1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80" fontId="37" fillId="10" borderId="1" xfId="0" applyNumberFormat="1" applyFont="1" applyFill="1" applyBorder="1" applyAlignment="1">
      <alignment horizontal="center" vertical="center" wrapText="1"/>
    </xf>
    <xf numFmtId="182" fontId="37" fillId="8" borderId="1" xfId="0" applyNumberFormat="1" applyFont="1" applyFill="1" applyBorder="1" applyAlignment="1">
      <alignment horizontal="center" vertical="center" wrapText="1"/>
    </xf>
    <xf numFmtId="180" fontId="37" fillId="7" borderId="1" xfId="0" applyNumberFormat="1" applyFont="1" applyFill="1" applyBorder="1" applyAlignment="1">
      <alignment horizontal="center" vertical="center" wrapText="1"/>
    </xf>
    <xf numFmtId="179" fontId="37" fillId="8" borderId="1" xfId="0" applyNumberFormat="1" applyFont="1" applyFill="1" applyBorder="1" applyAlignment="1">
      <alignment horizontal="center" vertical="center" wrapText="1"/>
    </xf>
    <xf numFmtId="180" fontId="38" fillId="8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/>
    <xf numFmtId="0" fontId="32" fillId="0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87" fontId="2" fillId="0" borderId="1" xfId="0" applyNumberFormat="1" applyFont="1" applyFill="1" applyBorder="1" applyAlignment="1">
      <alignment horizontal="center" vertical="center"/>
    </xf>
    <xf numFmtId="180" fontId="2" fillId="6" borderId="1" xfId="0" applyNumberFormat="1" applyFont="1" applyFill="1" applyBorder="1" applyAlignment="1">
      <alignment horizontal="center" vertical="center"/>
    </xf>
    <xf numFmtId="178" fontId="32" fillId="0" borderId="0" xfId="0" applyNumberFormat="1" applyFont="1" applyFill="1" applyBorder="1" applyAlignment="1">
      <alignment horizontal="center" vertical="center"/>
    </xf>
    <xf numFmtId="178" fontId="35" fillId="2" borderId="0" xfId="0" applyNumberFormat="1" applyFont="1" applyFill="1" applyBorder="1" applyAlignment="1">
      <alignment horizontal="center" vertical="center"/>
    </xf>
    <xf numFmtId="180" fontId="35" fillId="2" borderId="1" xfId="0" applyNumberFormat="1" applyFont="1" applyFill="1" applyBorder="1" applyAlignment="1">
      <alignment horizontal="center" vertical="center"/>
    </xf>
    <xf numFmtId="180" fontId="38" fillId="7" borderId="2" xfId="0" applyNumberFormat="1" applyFont="1" applyFill="1" applyBorder="1" applyAlignment="1">
      <alignment horizontal="center" vertical="center"/>
    </xf>
    <xf numFmtId="180" fontId="38" fillId="7" borderId="3" xfId="0" applyNumberFormat="1" applyFont="1" applyFill="1" applyBorder="1" applyAlignment="1">
      <alignment horizontal="center" vertical="center"/>
    </xf>
    <xf numFmtId="179" fontId="38" fillId="2" borderId="1" xfId="0" applyNumberFormat="1" applyFont="1" applyFill="1" applyBorder="1" applyAlignment="1">
      <alignment horizontal="center" vertical="center"/>
    </xf>
    <xf numFmtId="178" fontId="37" fillId="8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180" fontId="37" fillId="8" borderId="4" xfId="0" applyNumberFormat="1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179" fontId="37" fillId="7" borderId="1" xfId="0" applyNumberFormat="1" applyFont="1" applyFill="1" applyBorder="1" applyAlignment="1">
      <alignment horizontal="center" vertical="center" wrapText="1"/>
    </xf>
    <xf numFmtId="178" fontId="37" fillId="8" borderId="1" xfId="0" applyNumberFormat="1" applyFont="1" applyFill="1" applyBorder="1" applyAlignment="1">
      <alignment horizontal="center" vertical="center" wrapText="1"/>
    </xf>
    <xf numFmtId="180" fontId="37" fillId="8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2" fillId="0" borderId="0" xfId="0" applyFont="1">
      <alignment vertical="center"/>
    </xf>
    <xf numFmtId="178" fontId="2" fillId="9" borderId="1" xfId="0" applyNumberFormat="1" applyFont="1" applyFill="1" applyBorder="1" applyAlignment="1">
      <alignment horizontal="center" vertical="center"/>
    </xf>
    <xf numFmtId="179" fontId="2" fillId="9" borderId="1" xfId="0" applyNumberFormat="1" applyFont="1" applyFill="1" applyBorder="1" applyAlignment="1">
      <alignment horizontal="center" vertical="center"/>
    </xf>
    <xf numFmtId="188" fontId="2" fillId="0" borderId="1" xfId="0" applyNumberFormat="1" applyFont="1" applyFill="1" applyBorder="1" applyAlignment="1">
      <alignment horizontal="center" vertical="center"/>
    </xf>
    <xf numFmtId="179" fontId="2" fillId="12" borderId="1" xfId="0" applyNumberFormat="1" applyFont="1" applyFill="1" applyBorder="1" applyAlignment="1">
      <alignment horizontal="center" vertical="center"/>
    </xf>
    <xf numFmtId="2" fontId="24" fillId="22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vertical="center"/>
    </xf>
    <xf numFmtId="186" fontId="36" fillId="0" borderId="1" xfId="0" applyNumberFormat="1" applyFont="1" applyFill="1" applyBorder="1" applyAlignment="1">
      <alignment vertical="center"/>
    </xf>
    <xf numFmtId="0" fontId="36" fillId="0" borderId="1" xfId="0" applyFont="1" applyFill="1" applyBorder="1" applyAlignment="1">
      <alignment vertical="center" wrapText="1"/>
    </xf>
    <xf numFmtId="182" fontId="36" fillId="0" borderId="1" xfId="0" applyNumberFormat="1" applyFont="1" applyFill="1" applyBorder="1" applyAlignment="1">
      <alignment vertical="center" wrapText="1"/>
    </xf>
    <xf numFmtId="180" fontId="38" fillId="7" borderId="2" xfId="0" applyNumberFormat="1" applyFont="1" applyFill="1" applyBorder="1" applyAlignment="1">
      <alignment vertical="center"/>
    </xf>
    <xf numFmtId="180" fontId="38" fillId="7" borderId="3" xfId="0" applyNumberFormat="1" applyFont="1" applyFill="1" applyBorder="1" applyAlignment="1">
      <alignment vertical="center"/>
    </xf>
    <xf numFmtId="180" fontId="37" fillId="9" borderId="1" xfId="0" applyNumberFormat="1" applyFont="1" applyFill="1" applyBorder="1" applyAlignment="1">
      <alignment vertical="center"/>
    </xf>
    <xf numFmtId="0" fontId="37" fillId="7" borderId="1" xfId="0" applyFont="1" applyFill="1" applyBorder="1" applyAlignment="1">
      <alignment vertical="center" wrapText="1"/>
    </xf>
    <xf numFmtId="0" fontId="39" fillId="21" borderId="1" xfId="0" applyNumberFormat="1" applyFont="1" applyFill="1" applyBorder="1" applyAlignment="1">
      <alignment vertical="center"/>
    </xf>
    <xf numFmtId="0" fontId="40" fillId="21" borderId="1" xfId="0" applyNumberFormat="1" applyFont="1" applyFill="1" applyBorder="1" applyAlignment="1">
      <alignment vertical="center"/>
    </xf>
    <xf numFmtId="0" fontId="37" fillId="8" borderId="1" xfId="0" applyFont="1" applyFill="1" applyBorder="1" applyAlignment="1">
      <alignment vertical="center"/>
    </xf>
    <xf numFmtId="179" fontId="37" fillId="8" borderId="1" xfId="0" applyNumberFormat="1" applyFont="1" applyFill="1" applyBorder="1" applyAlignment="1">
      <alignment vertical="center"/>
    </xf>
    <xf numFmtId="178" fontId="37" fillId="8" borderId="1" xfId="0" applyNumberFormat="1" applyFont="1" applyFill="1" applyBorder="1" applyAlignment="1">
      <alignment vertical="center"/>
    </xf>
    <xf numFmtId="0" fontId="37" fillId="10" borderId="1" xfId="0" applyFont="1" applyFill="1" applyBorder="1" applyAlignment="1">
      <alignment vertical="center"/>
    </xf>
    <xf numFmtId="180" fontId="37" fillId="8" borderId="4" xfId="0" applyNumberFormat="1" applyFont="1" applyFill="1" applyBorder="1" applyAlignment="1">
      <alignment vertical="center" wrapText="1"/>
    </xf>
    <xf numFmtId="182" fontId="37" fillId="8" borderId="1" xfId="0" applyNumberFormat="1" applyFont="1" applyFill="1" applyBorder="1" applyAlignment="1">
      <alignment vertical="center"/>
    </xf>
    <xf numFmtId="180" fontId="37" fillId="8" borderId="1" xfId="0" applyNumberFormat="1" applyFont="1" applyFill="1" applyBorder="1" applyAlignment="1">
      <alignment vertical="center"/>
    </xf>
    <xf numFmtId="0" fontId="38" fillId="8" borderId="1" xfId="0" applyFont="1" applyFill="1" applyBorder="1" applyAlignment="1">
      <alignment vertical="center"/>
    </xf>
    <xf numFmtId="180" fontId="37" fillId="8" borderId="1" xfId="0" applyNumberFormat="1" applyFont="1" applyFill="1" applyBorder="1" applyAlignment="1">
      <alignment vertical="center" wrapText="1"/>
    </xf>
    <xf numFmtId="0" fontId="38" fillId="8" borderId="1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vertical="center" wrapText="1"/>
    </xf>
    <xf numFmtId="186" fontId="38" fillId="8" borderId="1" xfId="0" applyNumberFormat="1" applyFont="1" applyFill="1" applyBorder="1" applyAlignment="1">
      <alignment vertical="center" wrapText="1"/>
    </xf>
    <xf numFmtId="0" fontId="38" fillId="7" borderId="1" xfId="0" applyFont="1" applyFill="1" applyBorder="1" applyAlignment="1">
      <alignment vertical="center"/>
    </xf>
    <xf numFmtId="182" fontId="38" fillId="8" borderId="1" xfId="0" applyNumberFormat="1" applyFont="1" applyFill="1" applyBorder="1" applyAlignment="1">
      <alignment vertical="center" wrapText="1"/>
    </xf>
    <xf numFmtId="0" fontId="37" fillId="10" borderId="1" xfId="0" applyFont="1" applyFill="1" applyBorder="1" applyAlignment="1">
      <alignment vertical="center" wrapText="1"/>
    </xf>
    <xf numFmtId="179" fontId="37" fillId="8" borderId="1" xfId="0" applyNumberFormat="1" applyFont="1" applyFill="1" applyBorder="1" applyAlignment="1">
      <alignment vertical="center" wrapText="1"/>
    </xf>
    <xf numFmtId="179" fontId="37" fillId="7" borderId="1" xfId="0" applyNumberFormat="1" applyFont="1" applyFill="1" applyBorder="1" applyAlignment="1">
      <alignment vertical="center" wrapText="1"/>
    </xf>
    <xf numFmtId="178" fontId="37" fillId="8" borderId="1" xfId="0" applyNumberFormat="1" applyFont="1" applyFill="1" applyBorder="1" applyAlignment="1">
      <alignment vertical="center" wrapText="1"/>
    </xf>
    <xf numFmtId="180" fontId="37" fillId="7" borderId="1" xfId="0" applyNumberFormat="1" applyFont="1" applyFill="1" applyBorder="1" applyAlignment="1">
      <alignment vertical="center" wrapText="1"/>
    </xf>
    <xf numFmtId="180" fontId="37" fillId="8" borderId="5" xfId="0" applyNumberFormat="1" applyFont="1" applyFill="1" applyBorder="1" applyAlignment="1">
      <alignment vertical="center" wrapText="1"/>
    </xf>
    <xf numFmtId="180" fontId="37" fillId="10" borderId="1" xfId="0" applyNumberFormat="1" applyFont="1" applyFill="1" applyBorder="1" applyAlignment="1">
      <alignment vertical="center" wrapText="1"/>
    </xf>
    <xf numFmtId="182" fontId="37" fillId="8" borderId="1" xfId="0" applyNumberFormat="1" applyFont="1" applyFill="1" applyBorder="1" applyAlignment="1">
      <alignment vertical="center" wrapText="1"/>
    </xf>
    <xf numFmtId="18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189" fontId="32" fillId="0" borderId="0" xfId="0" applyNumberFormat="1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189" fontId="38" fillId="9" borderId="1" xfId="0" applyNumberFormat="1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180" fontId="37" fillId="8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89" fontId="43" fillId="11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89" fontId="19" fillId="2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left" vertical="center"/>
    </xf>
    <xf numFmtId="178" fontId="0" fillId="0" borderId="0" xfId="0" applyNumberFormat="1">
      <alignment vertical="center"/>
    </xf>
    <xf numFmtId="0" fontId="25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0" fontId="25" fillId="0" borderId="0" xfId="0" applyFont="1" applyFill="1" applyAlignment="1">
      <alignment horizontal="center" vertical="center"/>
    </xf>
    <xf numFmtId="178" fontId="25" fillId="0" borderId="0" xfId="0" applyNumberFormat="1" applyFont="1" applyFill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178" fontId="44" fillId="0" borderId="0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 wrapText="1"/>
    </xf>
    <xf numFmtId="2" fontId="26" fillId="2" borderId="0" xfId="0" applyNumberFormat="1" applyFont="1" applyFill="1" applyAlignment="1">
      <alignment horizontal="center" vertical="center"/>
    </xf>
    <xf numFmtId="0" fontId="45" fillId="21" borderId="7" xfId="0" applyFont="1" applyFill="1" applyBorder="1" applyAlignment="1">
      <alignment horizontal="center" vertical="center"/>
    </xf>
    <xf numFmtId="0" fontId="45" fillId="21" borderId="8" xfId="0" applyFont="1" applyFill="1" applyBorder="1" applyAlignment="1">
      <alignment horizontal="center" vertical="center"/>
    </xf>
    <xf numFmtId="178" fontId="45" fillId="21" borderId="8" xfId="0" applyNumberFormat="1" applyFont="1" applyFill="1" applyBorder="1" applyAlignment="1">
      <alignment horizontal="center" vertical="center"/>
    </xf>
    <xf numFmtId="0" fontId="45" fillId="21" borderId="8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/>
    </xf>
    <xf numFmtId="0" fontId="38" fillId="8" borderId="2" xfId="0" applyFont="1" applyFill="1" applyBorder="1" applyAlignment="1">
      <alignment horizontal="center" vertical="center"/>
    </xf>
    <xf numFmtId="0" fontId="38" fillId="8" borderId="3" xfId="0" applyFont="1" applyFill="1" applyBorder="1" applyAlignment="1">
      <alignment horizontal="center" vertical="center"/>
    </xf>
    <xf numFmtId="0" fontId="46" fillId="11" borderId="1" xfId="0" applyNumberFormat="1" applyFont="1" applyFill="1" applyBorder="1" applyAlignment="1">
      <alignment horizontal="center" vertical="center" wrapText="1"/>
    </xf>
    <xf numFmtId="0" fontId="46" fillId="7" borderId="1" xfId="0" applyNumberFormat="1" applyFont="1" applyFill="1" applyBorder="1" applyAlignment="1">
      <alignment horizontal="center" vertical="center" wrapText="1"/>
    </xf>
    <xf numFmtId="178" fontId="46" fillId="11" borderId="1" xfId="0" applyNumberFormat="1" applyFont="1" applyFill="1" applyBorder="1" applyAlignment="1">
      <alignment horizontal="center" vertical="center" wrapText="1"/>
    </xf>
    <xf numFmtId="178" fontId="46" fillId="3" borderId="1" xfId="0" applyNumberFormat="1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32" fillId="20" borderId="0" xfId="50" applyFont="1" applyFill="1" applyAlignment="1">
      <alignment vertical="center"/>
    </xf>
    <xf numFmtId="0" fontId="32" fillId="20" borderId="0" xfId="49" applyFont="1" applyFill="1" applyAlignment="1">
      <alignment vertical="center"/>
    </xf>
    <xf numFmtId="0" fontId="32" fillId="20" borderId="0" xfId="53" applyFont="1" applyFill="1" applyAlignment="1">
      <alignment vertical="center"/>
    </xf>
    <xf numFmtId="179" fontId="32" fillId="20" borderId="0" xfId="50" applyNumberFormat="1" applyFont="1" applyFill="1" applyAlignment="1">
      <alignment vertical="center"/>
    </xf>
    <xf numFmtId="0" fontId="32" fillId="20" borderId="0" xfId="50" applyFont="1" applyFill="1" applyAlignment="1">
      <alignment horizontal="center" vertical="center"/>
    </xf>
    <xf numFmtId="179" fontId="32" fillId="20" borderId="0" xfId="50" applyNumberFormat="1" applyFont="1" applyFill="1" applyAlignment="1">
      <alignment horizontal="center" vertical="center"/>
    </xf>
    <xf numFmtId="179" fontId="47" fillId="20" borderId="9" xfId="50" applyNumberFormat="1" applyFont="1" applyFill="1" applyBorder="1" applyAlignment="1">
      <alignment horizontal="center" vertical="center"/>
    </xf>
    <xf numFmtId="0" fontId="47" fillId="20" borderId="0" xfId="50" applyFont="1" applyFill="1" applyBorder="1" applyAlignment="1">
      <alignment horizontal="center" vertical="center"/>
    </xf>
    <xf numFmtId="179" fontId="47" fillId="20" borderId="0" xfId="50" applyNumberFormat="1" applyFont="1" applyFill="1" applyBorder="1" applyAlignment="1">
      <alignment horizontal="center" vertical="center"/>
    </xf>
    <xf numFmtId="0" fontId="48" fillId="20" borderId="0" xfId="50" applyFont="1" applyFill="1" applyBorder="1" applyAlignment="1">
      <alignment horizontal="right" vertical="center"/>
    </xf>
    <xf numFmtId="0" fontId="48" fillId="20" borderId="0" xfId="0" applyFont="1" applyFill="1" applyBorder="1" applyAlignment="1">
      <alignment horizontal="center" vertical="center"/>
    </xf>
    <xf numFmtId="0" fontId="33" fillId="20" borderId="1" xfId="50" applyFont="1" applyFill="1" applyBorder="1" applyAlignment="1">
      <alignment horizontal="center" vertical="center"/>
    </xf>
    <xf numFmtId="0" fontId="49" fillId="20" borderId="1" xfId="51" applyFont="1" applyFill="1" applyBorder="1" applyAlignment="1">
      <alignment horizontal="center" vertical="center" wrapText="1"/>
    </xf>
    <xf numFmtId="179" fontId="49" fillId="20" borderId="1" xfId="51" applyNumberFormat="1" applyFont="1" applyFill="1" applyBorder="1" applyAlignment="1">
      <alignment horizontal="center" vertical="center"/>
    </xf>
    <xf numFmtId="179" fontId="33" fillId="20" borderId="1" xfId="50" applyNumberFormat="1" applyFont="1" applyFill="1" applyBorder="1" applyAlignment="1">
      <alignment horizontal="center" vertical="center"/>
    </xf>
    <xf numFmtId="0" fontId="32" fillId="20" borderId="1" xfId="50" applyFont="1" applyFill="1" applyBorder="1" applyAlignment="1">
      <alignment horizontal="center" vertical="center"/>
    </xf>
    <xf numFmtId="179" fontId="32" fillId="20" borderId="1" xfId="50" applyNumberFormat="1" applyFont="1" applyFill="1" applyBorder="1" applyAlignment="1">
      <alignment horizontal="center" vertical="center"/>
    </xf>
    <xf numFmtId="0" fontId="49" fillId="20" borderId="1" xfId="49" applyFont="1" applyFill="1" applyBorder="1" applyAlignment="1">
      <alignment horizontal="center" vertical="center"/>
    </xf>
    <xf numFmtId="179" fontId="49" fillId="20" borderId="1" xfId="49" applyNumberFormat="1" applyFont="1" applyFill="1" applyBorder="1" applyAlignment="1">
      <alignment horizontal="center" vertical="center"/>
    </xf>
    <xf numFmtId="0" fontId="50" fillId="20" borderId="1" xfId="52" applyFont="1" applyFill="1" applyBorder="1" applyAlignment="1" applyProtection="1">
      <alignment horizontal="center" vertical="center"/>
    </xf>
    <xf numFmtId="179" fontId="51" fillId="20" borderId="1" xfId="50" applyNumberFormat="1" applyFont="1" applyFill="1" applyBorder="1" applyAlignment="1">
      <alignment horizontal="center" vertical="center"/>
    </xf>
    <xf numFmtId="0" fontId="51" fillId="20" borderId="1" xfId="50" applyFont="1" applyFill="1" applyBorder="1" applyAlignment="1">
      <alignment horizontal="center" vertical="center"/>
    </xf>
    <xf numFmtId="0" fontId="33" fillId="20" borderId="1" xfId="49" applyFont="1" applyFill="1" applyBorder="1" applyAlignment="1">
      <alignment horizontal="center" vertical="center"/>
    </xf>
    <xf numFmtId="179" fontId="33" fillId="20" borderId="1" xfId="49" applyNumberFormat="1" applyFont="1" applyFill="1" applyBorder="1" applyAlignment="1">
      <alignment horizontal="center" vertical="center"/>
    </xf>
    <xf numFmtId="0" fontId="52" fillId="20" borderId="0" xfId="50" applyFont="1" applyFill="1" applyAlignment="1">
      <alignment vertical="center"/>
    </xf>
    <xf numFmtId="0" fontId="33" fillId="20" borderId="0" xfId="50" applyFont="1" applyFill="1" applyAlignment="1">
      <alignment horizontal="left" vertical="center"/>
    </xf>
    <xf numFmtId="0" fontId="33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vertical="center"/>
    </xf>
    <xf numFmtId="179" fontId="33" fillId="24" borderId="1" xfId="0" applyNumberFormat="1" applyFont="1" applyFill="1" applyBorder="1" applyAlignment="1">
      <alignment horizontal="center" vertical="center"/>
    </xf>
    <xf numFmtId="179" fontId="33" fillId="0" borderId="1" xfId="0" applyNumberFormat="1" applyFont="1" applyFill="1" applyBorder="1" applyAlignment="1">
      <alignment horizontal="center" vertical="center"/>
    </xf>
    <xf numFmtId="188" fontId="33" fillId="24" borderId="1" xfId="0" applyNumberFormat="1" applyFont="1" applyFill="1" applyBorder="1" applyAlignment="1">
      <alignment horizontal="center" vertical="center"/>
    </xf>
    <xf numFmtId="179" fontId="33" fillId="6" borderId="1" xfId="0" applyNumberFormat="1" applyFont="1" applyFill="1" applyBorder="1" applyAlignment="1">
      <alignment horizontal="center" vertical="center" wrapText="1"/>
    </xf>
    <xf numFmtId="2" fontId="32" fillId="20" borderId="1" xfId="0" applyNumberFormat="1" applyFont="1" applyFill="1" applyBorder="1" applyAlignment="1">
      <alignment horizontal="left" vertical="center" wrapText="1"/>
    </xf>
    <xf numFmtId="0" fontId="33" fillId="0" borderId="4" xfId="0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/>
    </xf>
    <xf numFmtId="179" fontId="33" fillId="22" borderId="1" xfId="0" applyNumberFormat="1" applyFont="1" applyFill="1" applyBorder="1" applyAlignment="1">
      <alignment horizontal="center" vertical="center"/>
    </xf>
    <xf numFmtId="188" fontId="33" fillId="22" borderId="1" xfId="0" applyNumberFormat="1" applyFont="1" applyFill="1" applyBorder="1" applyAlignment="1">
      <alignment horizontal="center" vertical="center"/>
    </xf>
    <xf numFmtId="2" fontId="32" fillId="20" borderId="3" xfId="0" applyNumberFormat="1" applyFont="1" applyFill="1" applyBorder="1" applyAlignment="1">
      <alignment horizontal="center" vertical="center" wrapText="1"/>
    </xf>
    <xf numFmtId="2" fontId="32" fillId="20" borderId="1" xfId="0" applyNumberFormat="1" applyFont="1" applyFill="1" applyBorder="1" applyAlignment="1">
      <alignment horizontal="center" vertical="center" wrapText="1"/>
    </xf>
    <xf numFmtId="0" fontId="33" fillId="22" borderId="1" xfId="0" applyFont="1" applyFill="1" applyBorder="1" applyAlignment="1">
      <alignment horizontal="center" vertical="center"/>
    </xf>
    <xf numFmtId="0" fontId="33" fillId="0" borderId="1" xfId="50" applyFont="1" applyFill="1" applyBorder="1" applyAlignment="1">
      <alignment horizontal="left" vertical="center"/>
    </xf>
    <xf numFmtId="0" fontId="33" fillId="20" borderId="6" xfId="50" applyFont="1" applyFill="1" applyBorder="1" applyAlignment="1">
      <alignment horizontal="center" vertical="center"/>
    </xf>
    <xf numFmtId="0" fontId="33" fillId="20" borderId="3" xfId="50" applyFont="1" applyFill="1" applyBorder="1" applyAlignment="1">
      <alignment horizontal="center" vertical="center"/>
    </xf>
    <xf numFmtId="179" fontId="39" fillId="20" borderId="1" xfId="50" applyNumberFormat="1" applyFont="1" applyFill="1" applyBorder="1" applyAlignment="1">
      <alignment horizontal="center" vertical="center"/>
    </xf>
    <xf numFmtId="179" fontId="53" fillId="20" borderId="2" xfId="50" applyNumberFormat="1" applyFont="1" applyFill="1" applyBorder="1" applyAlignment="1">
      <alignment horizontal="center" vertical="center"/>
    </xf>
    <xf numFmtId="179" fontId="53" fillId="20" borderId="3" xfId="50" applyNumberFormat="1" applyFont="1" applyFill="1" applyBorder="1" applyAlignment="1">
      <alignment horizontal="center" vertical="center"/>
    </xf>
    <xf numFmtId="179" fontId="53" fillId="20" borderId="1" xfId="50" applyNumberFormat="1" applyFont="1" applyFill="1" applyBorder="1" applyAlignment="1">
      <alignment horizontal="center" vertical="center"/>
    </xf>
    <xf numFmtId="179" fontId="53" fillId="20" borderId="10" xfId="50" applyNumberFormat="1" applyFont="1" applyFill="1" applyBorder="1" applyAlignment="1">
      <alignment horizontal="center" vertical="center"/>
    </xf>
    <xf numFmtId="179" fontId="53" fillId="20" borderId="11" xfId="50" applyNumberFormat="1" applyFont="1" applyFill="1" applyBorder="1" applyAlignment="1">
      <alignment horizontal="center" vertical="center"/>
    </xf>
    <xf numFmtId="0" fontId="54" fillId="0" borderId="0" xfId="53" applyFont="1" applyFill="1" applyAlignment="1">
      <alignment horizontal="left" vertical="center"/>
    </xf>
    <xf numFmtId="0" fontId="54" fillId="8" borderId="0" xfId="53" applyFont="1" applyFill="1" applyAlignment="1">
      <alignment horizontal="left" vertical="center"/>
    </xf>
    <xf numFmtId="0" fontId="33" fillId="20" borderId="7" xfId="53" applyFont="1" applyFill="1" applyBorder="1" applyAlignment="1">
      <alignment vertical="center"/>
    </xf>
    <xf numFmtId="0" fontId="32" fillId="20" borderId="8" xfId="53" applyFont="1" applyFill="1" applyBorder="1" applyAlignment="1">
      <alignment horizontal="left" vertical="center"/>
    </xf>
    <xf numFmtId="0" fontId="33" fillId="20" borderId="12" xfId="53" applyFont="1" applyFill="1" applyBorder="1" applyAlignment="1">
      <alignment vertical="center"/>
    </xf>
    <xf numFmtId="0" fontId="32" fillId="20" borderId="0" xfId="53" applyFont="1" applyFill="1" applyBorder="1" applyAlignment="1">
      <alignment horizontal="left" vertical="center" wrapText="1"/>
    </xf>
    <xf numFmtId="0" fontId="33" fillId="20" borderId="12" xfId="53" applyFont="1" applyFill="1" applyBorder="1" applyAlignment="1">
      <alignment horizontal="left" vertical="center"/>
    </xf>
    <xf numFmtId="0" fontId="32" fillId="20" borderId="0" xfId="53" applyFont="1" applyFill="1" applyBorder="1" applyAlignment="1">
      <alignment horizontal="left" vertical="center"/>
    </xf>
    <xf numFmtId="0" fontId="33" fillId="20" borderId="13" xfId="53" applyFont="1" applyFill="1" applyBorder="1" applyAlignment="1">
      <alignment vertical="center"/>
    </xf>
    <xf numFmtId="0" fontId="32" fillId="20" borderId="10" xfId="53" applyFont="1" applyFill="1" applyBorder="1" applyAlignment="1">
      <alignment horizontal="left" vertical="center" wrapText="1"/>
    </xf>
    <xf numFmtId="0" fontId="32" fillId="20" borderId="0" xfId="49" applyFont="1" applyFill="1" applyBorder="1" applyAlignment="1">
      <alignment vertical="center"/>
    </xf>
    <xf numFmtId="0" fontId="52" fillId="20" borderId="0" xfId="49" applyFont="1" applyFill="1" applyBorder="1" applyAlignment="1">
      <alignment horizontal="center" vertical="center"/>
    </xf>
    <xf numFmtId="0" fontId="33" fillId="20" borderId="0" xfId="49" applyFont="1" applyFill="1" applyBorder="1" applyAlignment="1">
      <alignment horizontal="center" vertical="center"/>
    </xf>
    <xf numFmtId="58" fontId="55" fillId="20" borderId="0" xfId="49" applyNumberFormat="1" applyFont="1" applyFill="1" applyBorder="1" applyAlignment="1">
      <alignment horizontal="center" vertical="center"/>
    </xf>
    <xf numFmtId="0" fontId="33" fillId="20" borderId="0" xfId="49" applyFont="1" applyFill="1" applyBorder="1" applyAlignment="1">
      <alignment vertical="center"/>
    </xf>
    <xf numFmtId="58" fontId="32" fillId="20" borderId="0" xfId="49" applyNumberFormat="1" applyFont="1" applyFill="1" applyBorder="1" applyAlignment="1">
      <alignment horizontal="center" vertical="center"/>
    </xf>
    <xf numFmtId="0" fontId="32" fillId="20" borderId="0" xfId="49" applyFont="1" applyFill="1" applyBorder="1" applyAlignment="1">
      <alignment horizontal="center" vertical="center"/>
    </xf>
    <xf numFmtId="0" fontId="56" fillId="0" borderId="0" xfId="0" applyFont="1" applyFill="1" applyAlignment="1" applyProtection="1"/>
    <xf numFmtId="190" fontId="56" fillId="0" borderId="0" xfId="0" applyNumberFormat="1" applyFont="1" applyFill="1" applyAlignment="1" applyProtection="1"/>
    <xf numFmtId="191" fontId="56" fillId="0" borderId="0" xfId="0" applyNumberFormat="1" applyFont="1" applyFill="1" applyAlignment="1" applyProtection="1"/>
    <xf numFmtId="191" fontId="56" fillId="0" borderId="0" xfId="0" applyNumberFormat="1" applyFont="1" applyFill="1" applyAlignment="1" applyProtection="1">
      <alignment horizontal="center"/>
    </xf>
    <xf numFmtId="49" fontId="57" fillId="0" borderId="0" xfId="0" applyNumberFormat="1" applyFont="1" applyFill="1" applyAlignment="1" applyProtection="1">
      <alignment horizontal="center" vertical="center"/>
    </xf>
    <xf numFmtId="190" fontId="57" fillId="0" borderId="0" xfId="0" applyNumberFormat="1" applyFont="1" applyFill="1" applyAlignment="1" applyProtection="1">
      <alignment horizontal="center" vertical="center"/>
    </xf>
    <xf numFmtId="191" fontId="57" fillId="0" borderId="0" xfId="0" applyNumberFormat="1" applyFont="1" applyFill="1" applyAlignment="1" applyProtection="1">
      <alignment horizontal="center" vertical="center"/>
    </xf>
    <xf numFmtId="0" fontId="58" fillId="0" borderId="0" xfId="0" applyFont="1" applyFill="1" applyAlignment="1" applyProtection="1">
      <alignment horizontal="center" vertical="center"/>
    </xf>
    <xf numFmtId="0" fontId="59" fillId="0" borderId="0" xfId="0" applyFont="1" applyFill="1" applyAlignment="1" applyProtection="1">
      <alignment horizontal="center" vertical="center"/>
    </xf>
    <xf numFmtId="190" fontId="58" fillId="0" borderId="0" xfId="0" applyNumberFormat="1" applyFont="1" applyFill="1" applyAlignment="1" applyProtection="1">
      <alignment horizontal="center" vertical="center"/>
    </xf>
    <xf numFmtId="191" fontId="58" fillId="0" borderId="0" xfId="0" applyNumberFormat="1" applyFont="1" applyFill="1" applyAlignment="1" applyProtection="1">
      <alignment horizontal="center" vertical="center"/>
    </xf>
    <xf numFmtId="0" fontId="60" fillId="0" borderId="1" xfId="0" applyFont="1" applyFill="1" applyBorder="1" applyAlignment="1" applyProtection="1">
      <alignment horizontal="center" vertical="center"/>
    </xf>
    <xf numFmtId="0" fontId="60" fillId="25" borderId="1" xfId="0" applyFont="1" applyFill="1" applyBorder="1" applyAlignment="1" applyProtection="1">
      <alignment horizontal="center" vertical="center"/>
    </xf>
    <xf numFmtId="190" fontId="60" fillId="25" borderId="1" xfId="0" applyNumberFormat="1" applyFont="1" applyFill="1" applyBorder="1" applyAlignment="1" applyProtection="1">
      <alignment horizontal="center" vertical="center"/>
    </xf>
    <xf numFmtId="191" fontId="60" fillId="0" borderId="1" xfId="0" applyNumberFormat="1" applyFont="1" applyFill="1" applyBorder="1" applyAlignment="1" applyProtection="1">
      <alignment horizontal="center" vertical="center"/>
    </xf>
    <xf numFmtId="0" fontId="56" fillId="0" borderId="1" xfId="0" applyFont="1" applyFill="1" applyBorder="1" applyAlignment="1" applyProtection="1">
      <alignment horizontal="center"/>
    </xf>
    <xf numFmtId="0" fontId="58" fillId="0" borderId="1" xfId="0" applyFont="1" applyFill="1" applyBorder="1" applyAlignment="1" applyProtection="1">
      <alignment horizontal="center" vertical="center"/>
    </xf>
    <xf numFmtId="190" fontId="58" fillId="0" borderId="1" xfId="0" applyNumberFormat="1" applyFont="1" applyFill="1" applyBorder="1" applyAlignment="1" applyProtection="1">
      <alignment horizontal="center" vertical="center"/>
    </xf>
    <xf numFmtId="191" fontId="58" fillId="0" borderId="1" xfId="0" applyNumberFormat="1" applyFont="1" applyFill="1" applyBorder="1" applyAlignment="1" applyProtection="1">
      <alignment horizontal="center" vertical="center"/>
    </xf>
    <xf numFmtId="191" fontId="0" fillId="0" borderId="0" xfId="0" applyNumberFormat="1" applyFont="1" applyFill="1" applyAlignment="1">
      <alignment horizontal="center" vertical="center"/>
    </xf>
    <xf numFmtId="0" fontId="56" fillId="0" borderId="1" xfId="0" applyFont="1" applyFill="1" applyBorder="1" applyAlignment="1" applyProtection="1"/>
    <xf numFmtId="0" fontId="60" fillId="2" borderId="6" xfId="0" applyFont="1" applyFill="1" applyBorder="1" applyAlignment="1" applyProtection="1">
      <alignment horizontal="center" vertical="center"/>
    </xf>
    <xf numFmtId="0" fontId="60" fillId="2" borderId="2" xfId="0" applyFont="1" applyFill="1" applyBorder="1" applyAlignment="1" applyProtection="1">
      <alignment horizontal="center" vertical="center"/>
    </xf>
    <xf numFmtId="190" fontId="60" fillId="2" borderId="2" xfId="0" applyNumberFormat="1" applyFont="1" applyFill="1" applyBorder="1" applyAlignment="1" applyProtection="1">
      <alignment horizontal="center" vertical="center"/>
    </xf>
    <xf numFmtId="191" fontId="60" fillId="2" borderId="2" xfId="0" applyNumberFormat="1" applyFont="1" applyFill="1" applyBorder="1" applyAlignment="1" applyProtection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3" xfId="50"/>
    <cellStyle name="常规 8" xfId="51"/>
    <cellStyle name="超链接 2" xfId="52"/>
    <cellStyle name="常规 3 2" xfId="53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FF"/>
      <color rgb="00ED7D31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8890</xdr:colOff>
      <xdr:row>0</xdr:row>
      <xdr:rowOff>30480</xdr:rowOff>
    </xdr:from>
    <xdr:to>
      <xdr:col>2</xdr:col>
      <xdr:colOff>1024255</xdr:colOff>
      <xdr:row>1</xdr:row>
      <xdr:rowOff>167005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" y="30480"/>
          <a:ext cx="388620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</xdr:colOff>
      <xdr:row>0</xdr:row>
      <xdr:rowOff>91440</xdr:rowOff>
    </xdr:from>
    <xdr:to>
      <xdr:col>3</xdr:col>
      <xdr:colOff>26035</xdr:colOff>
      <xdr:row>2</xdr:row>
      <xdr:rowOff>67945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100" y="91440"/>
          <a:ext cx="4083050" cy="898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MIC&amp;YCD&#36134;&#21333;&#32467;&#31639;\\\shadc\Operation\Working_files\Mrg\UAE%20T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MIC&amp;YCD&#36134;&#21333;&#32467;&#31639;\\Users\anker\Downloads\shadc\Operation\DOCUME~1\User\LOCALS~1\Temp\China%20City%20Pair%20Mix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9&#26376;&#23545;&#36134;&#21333;\shadc\Operation\Working_files\Mrg\UAE%20T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9&#26376;&#23545;&#36134;&#21333;\Users\anker\Downloads\shadc\Operation\DOCUME~1\User\LOCALS~1\Temp\China%20City%20Pair%20Mix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che\Downloads\semitemu_order_export_251110144837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che\Downloads\ebay_order_export_251110145132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Discount Policy"/>
      <sheetName val="DOMES"/>
      <sheetName val="Print Dox"/>
      <sheetName val="Print WPX"/>
      <sheetName val="Zone &amp; Transit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Module13"/>
      <sheetName val="Module14"/>
      <sheetName val="Module15"/>
      <sheetName val="Module16"/>
      <sheetName val="Module17"/>
      <sheetName val="Module18"/>
      <sheetName val="Module19"/>
      <sheetName val="Module20"/>
      <sheetName val="Module21"/>
      <sheetName val="Module22"/>
      <sheetName val="DHL City to Zone OB 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ction 1 Output"/>
      <sheetName val="DATA FOR PRICING"/>
      <sheetName val="Paired vol Y1 2003"/>
      <sheetName val="Paired vol Y2 2004"/>
      <sheetName val="Section 2 Input"/>
      <sheetName val="DHL Addressable City OB Vol"/>
      <sheetName val="Zone to Zone Allocation"/>
      <sheetName val="City GDP CAGR"/>
      <sheetName val="City Income Base Level "/>
      <sheetName val="Section 3 Analysis"/>
      <sheetName val="City to Zone Allocation"/>
      <sheetName val="DHL City to Zone OB Vol"/>
      <sheetName val="City Income Level Proj 2003"/>
      <sheetName val="City Income Level Proj 2004"/>
      <sheetName val="City Income Level Proj 2005"/>
      <sheetName val="City Income Level Proj 2006"/>
      <sheetName val="Section 4 Check Sheet"/>
      <sheetName val="DHL Actual City Rev"/>
      <sheetName val="DHL Actual City OB Vol"/>
      <sheetName val="DHL Actual RP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Discount Policy"/>
      <sheetName val="DOMES"/>
      <sheetName val="Print Dox"/>
      <sheetName val="Print WPX"/>
      <sheetName val="Zone &amp; Transit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Module13"/>
      <sheetName val="Module14"/>
      <sheetName val="Module15"/>
      <sheetName val="Module16"/>
      <sheetName val="Module17"/>
      <sheetName val="Module18"/>
      <sheetName val="Module19"/>
      <sheetName val="Module20"/>
      <sheetName val="Module21"/>
      <sheetName val="Module22"/>
      <sheetName val="DHL City to Zone OB 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ection 1 Output"/>
      <sheetName val="DATA FOR PRICING"/>
      <sheetName val="Paired vol Y1 2003"/>
      <sheetName val="Paired vol Y2 2004"/>
      <sheetName val="Section 2 Input"/>
      <sheetName val="DHL Addressable City OB Vol"/>
      <sheetName val="Zone to Zone Allocation"/>
      <sheetName val="City GDP CAGR"/>
      <sheetName val="City Income Base Level "/>
      <sheetName val="Section 3 Analysis"/>
      <sheetName val="City to Zone Allocation"/>
      <sheetName val="DHL City to Zone OB Vol"/>
      <sheetName val="City Income Level Proj 2003"/>
      <sheetName val="City Income Level Proj 2004"/>
      <sheetName val="City Income Level Proj 2005"/>
      <sheetName val="City Income Level Proj 2006"/>
      <sheetName val="Section 4 Check Sheet"/>
      <sheetName val="DHL Actual City Rev"/>
      <sheetName val="DHL Actual City OB Vol"/>
      <sheetName val="DHL Actual RP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emitemu_order_export_251110144"/>
    </sheetNames>
    <sheetDataSet>
      <sheetData sheetId="0">
        <row r="1">
          <cell r="R1" t="str">
            <v>跟踪号</v>
          </cell>
          <cell r="S1" t="str">
            <v>平台参考号</v>
          </cell>
        </row>
        <row r="2">
          <cell r="S2" t="str">
            <v>PO-076-09411217055350369</v>
          </cell>
        </row>
        <row r="3">
          <cell r="S3" t="str">
            <v>PO-076-18206857014393463</v>
          </cell>
        </row>
        <row r="4">
          <cell r="S4" t="str">
            <v>PO-076-18206857014393463</v>
          </cell>
        </row>
        <row r="5">
          <cell r="S5" t="str">
            <v>PO-076-18206857014393463</v>
          </cell>
        </row>
        <row r="6">
          <cell r="S6" t="str">
            <v>PO-076-18042923546233702</v>
          </cell>
        </row>
        <row r="7">
          <cell r="S7" t="str">
            <v>PO-076-18042923546233702</v>
          </cell>
        </row>
        <row r="8">
          <cell r="S8" t="str">
            <v>PO-076-14832414559350822</v>
          </cell>
        </row>
        <row r="9">
          <cell r="S9" t="str">
            <v>PO-076-14766993193593516</v>
          </cell>
        </row>
        <row r="10">
          <cell r="S10" t="str">
            <v>PO-076-14864244199030123</v>
          </cell>
        </row>
        <row r="11">
          <cell r="S11" t="str">
            <v>PO-076-03983130522231747</v>
          </cell>
        </row>
        <row r="12">
          <cell r="S12" t="str">
            <v>PO-076-03796290407030525</v>
          </cell>
        </row>
        <row r="13">
          <cell r="S13" t="str">
            <v>PO-076-18206857014393463</v>
          </cell>
        </row>
        <row r="14">
          <cell r="S14" t="str">
            <v>PO-076-18042923546233702</v>
          </cell>
        </row>
        <row r="15">
          <cell r="R15" t="str">
            <v>00340434789991028445</v>
          </cell>
          <cell r="S15" t="str">
            <v>PO-076-07463557214071960</v>
          </cell>
        </row>
        <row r="16">
          <cell r="R16" t="str">
            <v>00340434789991028452</v>
          </cell>
          <cell r="S16" t="str">
            <v>PO-076-07182494567033413</v>
          </cell>
        </row>
        <row r="17">
          <cell r="R17" t="str">
            <v>00340434789991027509</v>
          </cell>
          <cell r="S17" t="str">
            <v>PO-076-12922142902391715</v>
          </cell>
        </row>
        <row r="18">
          <cell r="R18" t="str">
            <v>4618453586</v>
          </cell>
          <cell r="S18" t="str">
            <v>PO-076-02001648919671268</v>
          </cell>
        </row>
        <row r="19">
          <cell r="R19" t="str">
            <v>4618447363</v>
          </cell>
          <cell r="S19" t="str">
            <v>PO-076-20879277289593148</v>
          </cell>
        </row>
        <row r="20">
          <cell r="R20" t="str">
            <v>4618442269</v>
          </cell>
          <cell r="S20" t="str">
            <v>PO-076-09693982354553034</v>
          </cell>
        </row>
        <row r="21">
          <cell r="R21" t="str">
            <v>4618442276</v>
          </cell>
          <cell r="S21" t="str">
            <v>PO-076-09693982354553034</v>
          </cell>
        </row>
        <row r="22">
          <cell r="R22" t="str">
            <v>4618442238</v>
          </cell>
          <cell r="S22" t="str">
            <v>PO-076-09918766607993230</v>
          </cell>
        </row>
        <row r="23">
          <cell r="R23" t="str">
            <v>00340434789991023617</v>
          </cell>
          <cell r="S23" t="str">
            <v>PO-076-10159021775991766</v>
          </cell>
        </row>
        <row r="24">
          <cell r="R24" t="str">
            <v>00340434789991023600</v>
          </cell>
          <cell r="S24" t="str">
            <v>PO-076-09764962473592357</v>
          </cell>
        </row>
        <row r="25">
          <cell r="S25" t="str">
            <v>PO-076-09693982354553034</v>
          </cell>
        </row>
        <row r="26">
          <cell r="R26" t="str">
            <v>00340434789991023587</v>
          </cell>
          <cell r="S26" t="str">
            <v>PO-076-10287900626551510</v>
          </cell>
        </row>
        <row r="27">
          <cell r="R27" t="str">
            <v>00340434789991023624</v>
          </cell>
          <cell r="S27" t="str">
            <v>PO-076-15230214180472293</v>
          </cell>
        </row>
        <row r="28">
          <cell r="R28" t="str">
            <v>4618442245</v>
          </cell>
          <cell r="S28" t="str">
            <v>PO-076-15681527752311907</v>
          </cell>
        </row>
        <row r="29">
          <cell r="R29" t="str">
            <v>00340434789991023631</v>
          </cell>
          <cell r="S29" t="str">
            <v>PO-076-15200780754552949</v>
          </cell>
        </row>
        <row r="30">
          <cell r="R30" t="str">
            <v>4618442252</v>
          </cell>
          <cell r="S30" t="str">
            <v>PO-076-04313267861113587</v>
          </cell>
        </row>
        <row r="31">
          <cell r="S31" t="str">
            <v>PO-076-04282019543672524</v>
          </cell>
        </row>
        <row r="32">
          <cell r="R32" t="str">
            <v>00340434789991020593</v>
          </cell>
          <cell r="S32" t="str">
            <v>PO-076-16606314678392251</v>
          </cell>
        </row>
        <row r="33">
          <cell r="R33" t="str">
            <v>4618429406</v>
          </cell>
          <cell r="S33" t="str">
            <v>PO-076-16633170412152347</v>
          </cell>
        </row>
        <row r="34">
          <cell r="R34" t="str">
            <v>00340434789991020609</v>
          </cell>
          <cell r="S34" t="str">
            <v>PO-076-05547350851192886</v>
          </cell>
        </row>
        <row r="35">
          <cell r="R35" t="str">
            <v>00340434789991020623</v>
          </cell>
          <cell r="S35" t="str">
            <v>PO-076-11313748040313333</v>
          </cell>
        </row>
        <row r="36">
          <cell r="R36" t="str">
            <v>00340434789991020616</v>
          </cell>
          <cell r="S36" t="str">
            <v>PO-076-11441826061430008</v>
          </cell>
        </row>
        <row r="37">
          <cell r="R37" t="str">
            <v>4618415140</v>
          </cell>
          <cell r="S37" t="str">
            <v>PO-076-08702302439030243</v>
          </cell>
        </row>
        <row r="38">
          <cell r="R38" t="str">
            <v>4618415133</v>
          </cell>
          <cell r="S38" t="str">
            <v>PO-076-08702302439030243</v>
          </cell>
        </row>
        <row r="39">
          <cell r="R39" t="str">
            <v>00340434789991020586</v>
          </cell>
          <cell r="S39" t="str">
            <v>PO-076-19667027295350902</v>
          </cell>
        </row>
        <row r="40">
          <cell r="R40" t="str">
            <v>4618415102</v>
          </cell>
          <cell r="S40" t="str">
            <v>PO-076-19521457761913306</v>
          </cell>
        </row>
        <row r="41">
          <cell r="R41" t="str">
            <v>4618415119</v>
          </cell>
          <cell r="S41" t="str">
            <v>PO-076-08266268639352584</v>
          </cell>
        </row>
        <row r="42">
          <cell r="S42" t="str">
            <v>PO-076-08702302439030243</v>
          </cell>
        </row>
        <row r="43">
          <cell r="R43" t="str">
            <v>4618415126</v>
          </cell>
          <cell r="S43" t="str">
            <v>PO-076-14226271655030341</v>
          </cell>
        </row>
        <row r="44">
          <cell r="R44" t="str">
            <v>4618401976</v>
          </cell>
          <cell r="S44" t="str">
            <v>PO-076-19048890705272538</v>
          </cell>
        </row>
        <row r="45">
          <cell r="R45" t="str">
            <v>4618397651</v>
          </cell>
          <cell r="S45" t="str">
            <v>PO-076-08223921815673348</v>
          </cell>
        </row>
        <row r="46">
          <cell r="R46" t="str">
            <v>4618397668</v>
          </cell>
          <cell r="S46" t="str">
            <v>PO-076-08120084790393937</v>
          </cell>
        </row>
        <row r="47">
          <cell r="R47" t="str">
            <v>4618385863</v>
          </cell>
          <cell r="S47" t="str">
            <v>PO-076-21635569651831488</v>
          </cell>
        </row>
        <row r="48">
          <cell r="R48" t="str">
            <v>4618385870</v>
          </cell>
          <cell r="S48" t="str">
            <v>PO-076-21635569651831488</v>
          </cell>
        </row>
        <row r="49">
          <cell r="R49" t="str">
            <v>4618385856</v>
          </cell>
          <cell r="S49" t="str">
            <v>PO-076-02633160077433872</v>
          </cell>
        </row>
        <row r="50">
          <cell r="R50" t="str">
            <v>4618385849</v>
          </cell>
          <cell r="S50" t="str">
            <v>PO-076-02633160077433872</v>
          </cell>
        </row>
        <row r="51">
          <cell r="R51" t="str">
            <v>4618385818</v>
          </cell>
          <cell r="S51" t="str">
            <v>PO-076-02385536233591508</v>
          </cell>
        </row>
        <row r="52">
          <cell r="R52" t="str">
            <v>4618385825</v>
          </cell>
          <cell r="S52" t="str">
            <v>PO-076-02712126638713403</v>
          </cell>
        </row>
        <row r="53">
          <cell r="S53" t="str">
            <v>PO-076-02633160077433872</v>
          </cell>
        </row>
        <row r="54">
          <cell r="S54" t="str">
            <v>PO-076-21635569651831488</v>
          </cell>
        </row>
        <row r="55">
          <cell r="R55" t="str">
            <v>4618385832</v>
          </cell>
          <cell r="S55" t="str">
            <v>PO-076-10937699783033271</v>
          </cell>
        </row>
        <row r="56">
          <cell r="R56" t="str">
            <v>4618385771</v>
          </cell>
          <cell r="S56" t="str">
            <v>PO-076-10884624877433843</v>
          </cell>
        </row>
        <row r="57">
          <cell r="R57" t="str">
            <v>4618375932</v>
          </cell>
          <cell r="S57" t="str">
            <v>PO-076-16156623279992626</v>
          </cell>
        </row>
        <row r="58">
          <cell r="R58" t="str">
            <v>4618363311</v>
          </cell>
          <cell r="S58" t="str">
            <v>PO-076-06750099461753911</v>
          </cell>
        </row>
        <row r="59">
          <cell r="R59" t="str">
            <v>4618363328</v>
          </cell>
          <cell r="S59" t="str">
            <v>PO-076-06372173758071587</v>
          </cell>
        </row>
        <row r="60">
          <cell r="R60" t="str">
            <v>4618357204</v>
          </cell>
          <cell r="S60" t="str">
            <v>PO-076-11763896474230904</v>
          </cell>
        </row>
        <row r="61">
          <cell r="R61" t="str">
            <v>4618357211</v>
          </cell>
          <cell r="S61" t="str">
            <v>PO-076-11767835346550915</v>
          </cell>
        </row>
        <row r="62">
          <cell r="R62" t="str">
            <v>4618357228</v>
          </cell>
          <cell r="S62" t="str">
            <v>PO-076-01143136474232291</v>
          </cell>
        </row>
        <row r="63">
          <cell r="R63" t="str">
            <v>4618357235</v>
          </cell>
          <cell r="S63" t="str">
            <v>PO-076-01103378473593038</v>
          </cell>
        </row>
        <row r="64">
          <cell r="R64" t="str">
            <v>4618357242</v>
          </cell>
          <cell r="S64" t="str">
            <v>PO-076-01295480405113143</v>
          </cell>
        </row>
        <row r="65">
          <cell r="R65" t="str">
            <v>4618357181</v>
          </cell>
          <cell r="S65" t="str">
            <v>PO-076-20612291739513460</v>
          </cell>
        </row>
        <row r="66">
          <cell r="R66" t="str">
            <v>4618357174</v>
          </cell>
          <cell r="S66" t="str">
            <v>PO-076-20612291739513460</v>
          </cell>
        </row>
        <row r="67">
          <cell r="S67" t="str">
            <v>PO-076-20612291739513460</v>
          </cell>
        </row>
        <row r="68">
          <cell r="R68" t="str">
            <v>4618341074</v>
          </cell>
          <cell r="S68" t="str">
            <v>PO-076-09259918478071527</v>
          </cell>
        </row>
        <row r="69">
          <cell r="R69" t="str">
            <v>4618336032</v>
          </cell>
          <cell r="S69" t="str">
            <v>PO-076-14890195748472270</v>
          </cell>
        </row>
        <row r="70">
          <cell r="R70" t="str">
            <v>4618317444</v>
          </cell>
          <cell r="S70" t="str">
            <v>PO-076-03898465820792218</v>
          </cell>
        </row>
        <row r="71">
          <cell r="R71" t="str">
            <v>4618317437</v>
          </cell>
          <cell r="S71" t="str">
            <v>PO-076-03898465820792218</v>
          </cell>
        </row>
        <row r="72">
          <cell r="R72" t="str">
            <v>4618317420</v>
          </cell>
          <cell r="S72" t="str">
            <v>PO-076-03629263678071774</v>
          </cell>
        </row>
        <row r="73">
          <cell r="S73" t="str">
            <v>PO-076-03898465820792218</v>
          </cell>
        </row>
        <row r="74">
          <cell r="R74" t="str">
            <v>4618302846</v>
          </cell>
          <cell r="S74" t="str">
            <v>PO-076-18438716672633873</v>
          </cell>
        </row>
        <row r="75">
          <cell r="R75" t="str">
            <v>4618302853</v>
          </cell>
          <cell r="S75" t="str">
            <v>PO-076-18114922916471963</v>
          </cell>
        </row>
        <row r="76">
          <cell r="R76" t="str">
            <v>4618295407</v>
          </cell>
          <cell r="S76" t="str">
            <v>PO-076-07324324385912278</v>
          </cell>
        </row>
        <row r="77">
          <cell r="R77" t="str">
            <v>4618295414</v>
          </cell>
          <cell r="S77" t="str">
            <v>PO-076-07375657288312516</v>
          </cell>
        </row>
        <row r="78">
          <cell r="R78" t="str">
            <v>4618295421</v>
          </cell>
          <cell r="S78" t="str">
            <v>PO-076-07335299241592215</v>
          </cell>
        </row>
        <row r="79">
          <cell r="R79" t="str">
            <v>4618295353</v>
          </cell>
          <cell r="S79" t="str">
            <v>PO-076-13035591900793564</v>
          </cell>
        </row>
        <row r="80">
          <cell r="R80" t="str">
            <v>4618295360</v>
          </cell>
          <cell r="S80" t="str">
            <v>PO-076-12550580616311625</v>
          </cell>
        </row>
        <row r="81">
          <cell r="R81" t="str">
            <v>4618295377</v>
          </cell>
          <cell r="S81" t="str">
            <v>PO-076-12663615570551207</v>
          </cell>
        </row>
        <row r="82">
          <cell r="R82" t="str">
            <v>4618295384</v>
          </cell>
          <cell r="S82" t="str">
            <v>PO-076-13025640325753368</v>
          </cell>
        </row>
        <row r="83">
          <cell r="R83" t="str">
            <v>4618295391</v>
          </cell>
          <cell r="S83" t="str">
            <v>PO-076-12849033505912372</v>
          </cell>
        </row>
        <row r="84">
          <cell r="R84" t="str">
            <v>4618295339</v>
          </cell>
          <cell r="S84" t="str">
            <v>PO-076-01536533002870424</v>
          </cell>
        </row>
        <row r="85">
          <cell r="R85" t="str">
            <v>4618295346</v>
          </cell>
          <cell r="S85" t="str">
            <v>PO-076-01386897395830548</v>
          </cell>
        </row>
        <row r="86">
          <cell r="R86" t="str">
            <v>4618295322</v>
          </cell>
          <cell r="S86" t="str">
            <v>PO-076-10112202624632335</v>
          </cell>
        </row>
        <row r="87">
          <cell r="R87" t="str">
            <v>4618295315</v>
          </cell>
          <cell r="S87" t="str">
            <v>PO-076-10112202624632335</v>
          </cell>
        </row>
        <row r="88">
          <cell r="R88" t="str">
            <v>4618295247</v>
          </cell>
          <cell r="S88" t="str">
            <v>PO-076-20903654042231245</v>
          </cell>
        </row>
        <row r="89">
          <cell r="S89" t="str">
            <v>PO-076-10112202624632335</v>
          </cell>
        </row>
        <row r="90">
          <cell r="R90" t="str">
            <v>4618295278</v>
          </cell>
          <cell r="S90" t="str">
            <v>PO-076-10301733824633509</v>
          </cell>
        </row>
        <row r="91">
          <cell r="R91" t="str">
            <v>4618295285</v>
          </cell>
          <cell r="S91" t="str">
            <v>PO-076-09867602550392001</v>
          </cell>
        </row>
        <row r="92">
          <cell r="R92" t="str">
            <v>4618295292</v>
          </cell>
          <cell r="S92" t="str">
            <v>PO-076-10100283011192372</v>
          </cell>
        </row>
        <row r="93">
          <cell r="R93" t="str">
            <v>4618295308</v>
          </cell>
          <cell r="S93" t="str">
            <v>PO-076-10197391601273843</v>
          </cell>
        </row>
        <row r="94">
          <cell r="R94" t="str">
            <v>4618276345</v>
          </cell>
          <cell r="S94" t="str">
            <v>PO-076-15674190083193743</v>
          </cell>
        </row>
        <row r="95">
          <cell r="R95" t="str">
            <v>4618276352</v>
          </cell>
          <cell r="S95" t="str">
            <v>PO-076-15674187067513743</v>
          </cell>
        </row>
        <row r="96">
          <cell r="R96" t="str">
            <v>4618271227</v>
          </cell>
          <cell r="S96" t="str">
            <v>PO-076-04265452259190318</v>
          </cell>
        </row>
        <row r="97">
          <cell r="R97" t="str">
            <v>4618271234</v>
          </cell>
          <cell r="S97" t="str">
            <v>PO-076-04454493423991496</v>
          </cell>
        </row>
        <row r="98">
          <cell r="R98" t="str">
            <v>4618271241</v>
          </cell>
          <cell r="S98" t="str">
            <v>PO-076-04707168872314086</v>
          </cell>
        </row>
        <row r="99">
          <cell r="R99" t="str">
            <v>4618271258</v>
          </cell>
          <cell r="S99" t="str">
            <v>PO-076-04789341097593564</v>
          </cell>
        </row>
        <row r="100">
          <cell r="R100" t="str">
            <v>4618264809</v>
          </cell>
          <cell r="S100" t="str">
            <v>PO-076-04602798431352372</v>
          </cell>
        </row>
        <row r="101">
          <cell r="R101" t="str">
            <v>4618264748</v>
          </cell>
          <cell r="S101" t="str">
            <v>PO-076-16905611699833059</v>
          </cell>
        </row>
        <row r="102">
          <cell r="R102" t="str">
            <v>4618264755</v>
          </cell>
          <cell r="S102" t="str">
            <v>PO-076-16878425075832709</v>
          </cell>
        </row>
        <row r="103">
          <cell r="R103" t="str">
            <v>4618264779</v>
          </cell>
          <cell r="S103" t="str">
            <v>PO-076-16662535404150410</v>
          </cell>
        </row>
        <row r="104">
          <cell r="R104" t="str">
            <v>4618264731</v>
          </cell>
          <cell r="S104" t="str">
            <v>PO-076-05977213240952372</v>
          </cell>
        </row>
        <row r="105">
          <cell r="R105" t="str">
            <v>4618264762</v>
          </cell>
          <cell r="S105" t="str">
            <v>PO-076-05520897321590741</v>
          </cell>
        </row>
        <row r="106">
          <cell r="R106" t="str">
            <v>4618264793</v>
          </cell>
          <cell r="S106" t="str">
            <v>PO-076-11323638344311480</v>
          </cell>
        </row>
        <row r="107">
          <cell r="R107" t="str">
            <v>4618264786</v>
          </cell>
          <cell r="S107" t="str">
            <v>PO-076-11157307405430424</v>
          </cell>
        </row>
        <row r="108">
          <cell r="R108" t="str">
            <v>4618255449</v>
          </cell>
          <cell r="S108" t="str">
            <v>PO-076-00605858428793189</v>
          </cell>
        </row>
        <row r="109">
          <cell r="R109" t="str">
            <v>4618255456</v>
          </cell>
          <cell r="S109" t="str">
            <v>PO-076-00410615278713041</v>
          </cell>
        </row>
        <row r="110">
          <cell r="R110" t="str">
            <v>4618251397</v>
          </cell>
          <cell r="S110" t="str">
            <v>PO-076-00576706936953843</v>
          </cell>
        </row>
        <row r="111">
          <cell r="R111" t="str">
            <v>4618251380</v>
          </cell>
          <cell r="S111" t="str">
            <v>PO-076-19836665875834021</v>
          </cell>
        </row>
        <row r="112">
          <cell r="R112" t="str">
            <v>4618251403</v>
          </cell>
          <cell r="S112" t="str">
            <v>PO-076-19585307390072671</v>
          </cell>
        </row>
        <row r="113">
          <cell r="R113" t="str">
            <v>4618251410</v>
          </cell>
          <cell r="S113" t="str">
            <v>PO-076-19721020342392372</v>
          </cell>
        </row>
        <row r="114">
          <cell r="R114" t="str">
            <v>4618251427</v>
          </cell>
          <cell r="S114" t="str">
            <v>PO-076-19249634581110606</v>
          </cell>
        </row>
        <row r="115">
          <cell r="R115" t="str">
            <v>4618246539</v>
          </cell>
          <cell r="S115" t="str">
            <v>PO-076-08830487749754087</v>
          </cell>
        </row>
        <row r="116">
          <cell r="R116" t="str">
            <v>4618246546</v>
          </cell>
          <cell r="S116" t="str">
            <v>PO-076-08803531722873735</v>
          </cell>
        </row>
        <row r="117">
          <cell r="R117" t="str">
            <v>4618246553</v>
          </cell>
          <cell r="S117" t="str">
            <v>PO-076-08535651535991234</v>
          </cell>
        </row>
        <row r="118">
          <cell r="S118" t="str">
            <v>PO-076-08369187446390178</v>
          </cell>
        </row>
        <row r="119">
          <cell r="R119" t="str">
            <v>4618246522</v>
          </cell>
          <cell r="S119" t="str">
            <v>PO-076-08737813089912335</v>
          </cell>
        </row>
        <row r="120">
          <cell r="R120" t="str">
            <v>4618242517</v>
          </cell>
          <cell r="S120" t="str">
            <v>PO-076-14142381415032857</v>
          </cell>
        </row>
        <row r="121">
          <cell r="R121" t="str">
            <v>4618242524</v>
          </cell>
          <cell r="S121" t="str">
            <v>PO-076-14223417948792372</v>
          </cell>
        </row>
        <row r="122">
          <cell r="R122" t="str">
            <v>4618237506</v>
          </cell>
          <cell r="S122" t="str">
            <v>PO-076-03226296708472416</v>
          </cell>
        </row>
        <row r="123">
          <cell r="R123" t="str">
            <v>4618237513</v>
          </cell>
          <cell r="S123" t="str">
            <v>PO-076-18939303015031177</v>
          </cell>
        </row>
        <row r="124">
          <cell r="R124" t="str">
            <v>4618237520</v>
          </cell>
          <cell r="S124" t="str">
            <v>PO-076-07584966483833319</v>
          </cell>
        </row>
        <row r="125">
          <cell r="R125" t="str">
            <v>4618237537</v>
          </cell>
          <cell r="S125" t="str">
            <v>PO-076-08156116709750392</v>
          </cell>
        </row>
        <row r="126">
          <cell r="R126" t="str">
            <v>4618237544</v>
          </cell>
          <cell r="S126" t="str">
            <v>PO-076-07673437792633783</v>
          </cell>
        </row>
        <row r="127">
          <cell r="R127" t="str">
            <v>4618237551</v>
          </cell>
          <cell r="S127" t="str">
            <v>PO-076-08001531091831570</v>
          </cell>
        </row>
        <row r="128">
          <cell r="R128" t="str">
            <v>4618227866,4618227873</v>
          </cell>
          <cell r="S128" t="str">
            <v>PO-076-13136460598393509</v>
          </cell>
        </row>
        <row r="129">
          <cell r="R129" t="str">
            <v>4618223318,4618223325</v>
          </cell>
          <cell r="S129" t="str">
            <v>PO-076-02267180256632215</v>
          </cell>
        </row>
        <row r="130">
          <cell r="R130" t="str">
            <v>4618227477</v>
          </cell>
          <cell r="S130" t="str">
            <v>PO-076-02235417614712146</v>
          </cell>
        </row>
        <row r="131">
          <cell r="R131" t="str">
            <v>4618223301</v>
          </cell>
          <cell r="S131" t="str">
            <v>PO-076-02460724385911317</v>
          </cell>
        </row>
        <row r="132">
          <cell r="R132" t="str">
            <v>4618219038</v>
          </cell>
          <cell r="S132" t="str">
            <v>PO-076-21633730360953037</v>
          </cell>
        </row>
        <row r="133">
          <cell r="R133" t="str">
            <v>4618219007</v>
          </cell>
          <cell r="S133" t="str">
            <v>PO-076-21687629141111178</v>
          </cell>
        </row>
        <row r="134">
          <cell r="R134" t="str">
            <v>4618214088
4618214095</v>
          </cell>
          <cell r="S134" t="str">
            <v>PO-076-10935247831670757</v>
          </cell>
        </row>
        <row r="135">
          <cell r="R135" t="str">
            <v>4618207912</v>
          </cell>
          <cell r="S135" t="str">
            <v>PO-076-10501377900152287</v>
          </cell>
        </row>
        <row r="136">
          <cell r="R136" t="str">
            <v>4618207929</v>
          </cell>
          <cell r="S136" t="str">
            <v>PO-076-10899553557110424</v>
          </cell>
        </row>
        <row r="137">
          <cell r="R137" t="str">
            <v>4618207936</v>
          </cell>
          <cell r="S137" t="str">
            <v>PO-076-16205294719351313</v>
          </cell>
        </row>
        <row r="138">
          <cell r="R138" t="str">
            <v>4618207943</v>
          </cell>
          <cell r="S138" t="str">
            <v>PO-076-15883118501753488</v>
          </cell>
        </row>
        <row r="139">
          <cell r="R139" t="str">
            <v>4618207950</v>
          </cell>
          <cell r="S139" t="str">
            <v>PO-076-15968084031354007</v>
          </cell>
        </row>
        <row r="140">
          <cell r="R140" t="str">
            <v>4618207967</v>
          </cell>
          <cell r="S140" t="str">
            <v>PO-076-16003746842232291</v>
          </cell>
        </row>
        <row r="141">
          <cell r="R141" t="str">
            <v>4618207974</v>
          </cell>
          <cell r="S141" t="str">
            <v>PO-076-15865387379833339</v>
          </cell>
        </row>
        <row r="142">
          <cell r="R142" t="str">
            <v>4618207981</v>
          </cell>
          <cell r="S142" t="str">
            <v>PO-076-16085325066872794</v>
          </cell>
        </row>
        <row r="143">
          <cell r="R143" t="str">
            <v>4618207998</v>
          </cell>
          <cell r="S143" t="str">
            <v>PO-076-17336534190714043</v>
          </cell>
        </row>
        <row r="144">
          <cell r="R144" t="str">
            <v>4618180710</v>
          </cell>
          <cell r="S144" t="str">
            <v>PO-076-20390142055031744</v>
          </cell>
        </row>
        <row r="145">
          <cell r="R145" t="str">
            <v>4618172968</v>
          </cell>
          <cell r="S145" t="str">
            <v>PO-076-09412637668471865</v>
          </cell>
        </row>
        <row r="146">
          <cell r="R146" t="str">
            <v>4618172951</v>
          </cell>
          <cell r="S146" t="str">
            <v>PO-076-09080733322873843</v>
          </cell>
        </row>
        <row r="147">
          <cell r="R147" t="str">
            <v>4618172944</v>
          </cell>
          <cell r="S147" t="str">
            <v>PO-076-14513305964153460</v>
          </cell>
        </row>
        <row r="148">
          <cell r="R148" t="str">
            <v>4618172937</v>
          </cell>
          <cell r="S148" t="str">
            <v>PO-076-15048957921910524</v>
          </cell>
        </row>
        <row r="149">
          <cell r="R149" t="str">
            <v>4618172920</v>
          </cell>
          <cell r="S149" t="str">
            <v>PO-076-14897119923831719</v>
          </cell>
        </row>
        <row r="150">
          <cell r="R150" t="str">
            <v>4618159570</v>
          </cell>
          <cell r="S150" t="str">
            <v>PO-076-18014211876473843</v>
          </cell>
        </row>
        <row r="151">
          <cell r="R151" t="str">
            <v>4618152489</v>
          </cell>
          <cell r="S151" t="str">
            <v>PO-076-12612912981112500</v>
          </cell>
        </row>
        <row r="152">
          <cell r="R152" t="str">
            <v>4618152496</v>
          </cell>
          <cell r="S152" t="str">
            <v>PO-076-12903771914870030</v>
          </cell>
        </row>
        <row r="153">
          <cell r="R153" t="str">
            <v>4618152502</v>
          </cell>
          <cell r="S153" t="str">
            <v>PO-076-12499994650233943</v>
          </cell>
        </row>
        <row r="154">
          <cell r="R154" t="str">
            <v>4618148741</v>
          </cell>
          <cell r="S154" t="str">
            <v>PO-076-12878415094391975</v>
          </cell>
        </row>
        <row r="155">
          <cell r="R155" t="str">
            <v>4618148758</v>
          </cell>
          <cell r="S155" t="str">
            <v>PO-076-12878415094391975</v>
          </cell>
        </row>
        <row r="156">
          <cell r="R156" t="str">
            <v>4618148529</v>
          </cell>
          <cell r="S156" t="str">
            <v>PO-076-01718713105271130</v>
          </cell>
        </row>
        <row r="157">
          <cell r="R157" t="str">
            <v>4618131446</v>
          </cell>
          <cell r="S157" t="str">
            <v>PO-076-10226771743350626</v>
          </cell>
        </row>
        <row r="158">
          <cell r="S158" t="str">
            <v>PO-076-09977348467831059</v>
          </cell>
        </row>
        <row r="159">
          <cell r="R159" t="str">
            <v>4618131460</v>
          </cell>
          <cell r="S159" t="str">
            <v>PO-076-10182554455670378</v>
          </cell>
        </row>
        <row r="160">
          <cell r="R160" t="str">
            <v>4618130043</v>
          </cell>
          <cell r="S160" t="str">
            <v>PO-076-04297086148472146</v>
          </cell>
        </row>
        <row r="161">
          <cell r="R161" t="str">
            <v>4618131309</v>
          </cell>
          <cell r="S161" t="str">
            <v>PO-076-04170828474233442</v>
          </cell>
        </row>
        <row r="162">
          <cell r="R162" t="str">
            <v>4618129764</v>
          </cell>
          <cell r="S162" t="str">
            <v>PO-076-04557322616951653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bay_order_export_251110145132"/>
    </sheetNames>
    <sheetDataSet>
      <sheetData sheetId="0">
        <row r="1">
          <cell r="S1" t="str">
            <v>跟踪号</v>
          </cell>
          <cell r="T1" t="str">
            <v>平台参考号</v>
          </cell>
        </row>
        <row r="2">
          <cell r="T2" t="str">
            <v>27-13788-54013</v>
          </cell>
        </row>
        <row r="3">
          <cell r="T3" t="str">
            <v>23-13790-86794</v>
          </cell>
        </row>
        <row r="4">
          <cell r="S4" t="str">
            <v>4618462601</v>
          </cell>
          <cell r="T4" t="str">
            <v>22-13782-40582</v>
          </cell>
        </row>
        <row r="5">
          <cell r="S5" t="str">
            <v>4618462588
4618462595</v>
          </cell>
          <cell r="T5" t="str">
            <v>20-13784-52314</v>
          </cell>
        </row>
        <row r="6">
          <cell r="S6" t="str">
            <v>4618458291 
4618458307</v>
          </cell>
          <cell r="T6" t="str">
            <v>02-13805-50770</v>
          </cell>
        </row>
        <row r="7">
          <cell r="S7" t="str">
            <v>4618453562
4618453579</v>
          </cell>
          <cell r="T7" t="str">
            <v>12-13786-29679</v>
          </cell>
        </row>
        <row r="8">
          <cell r="S8" t="str">
            <v>00340434789991023594</v>
          </cell>
          <cell r="T8" t="str">
            <v>04-13787-92393</v>
          </cell>
        </row>
        <row r="9">
          <cell r="S9" t="str">
            <v>4618442221</v>
          </cell>
          <cell r="T9" t="str">
            <v>08-13779-60003</v>
          </cell>
        </row>
        <row r="10">
          <cell r="S10" t="str">
            <v>4618442214</v>
          </cell>
          <cell r="T10" t="str">
            <v>03-13782-79011</v>
          </cell>
        </row>
        <row r="11">
          <cell r="S11" t="str">
            <v>4618433557</v>
          </cell>
          <cell r="T11" t="str">
            <v>14-13763-61044</v>
          </cell>
        </row>
        <row r="12">
          <cell r="S12" t="str">
            <v>4618433564</v>
          </cell>
          <cell r="T12" t="str">
            <v>13-13763-08698</v>
          </cell>
        </row>
        <row r="13">
          <cell r="S13" t="str">
            <v>4618429390</v>
          </cell>
          <cell r="T13" t="str">
            <v>20-13751-77631</v>
          </cell>
        </row>
        <row r="14">
          <cell r="S14" t="str">
            <v>4618429383</v>
          </cell>
          <cell r="T14" t="str">
            <v>18-13753-94406</v>
          </cell>
        </row>
        <row r="15">
          <cell r="S15" t="str">
            <v>4618429376</v>
          </cell>
          <cell r="T15" t="str">
            <v>09-13764-00607</v>
          </cell>
        </row>
        <row r="16">
          <cell r="S16" t="str">
            <v>4618425231
4618425248</v>
          </cell>
          <cell r="T16" t="str">
            <v>05-13769-25366</v>
          </cell>
        </row>
        <row r="17">
          <cell r="S17" t="str">
            <v>4618415089
4618415096</v>
          </cell>
          <cell r="T17" t="str">
            <v>07-13750-59151</v>
          </cell>
        </row>
        <row r="18">
          <cell r="S18" t="str">
            <v>4618407107
4618407114</v>
          </cell>
          <cell r="T18" t="str">
            <v>02-13750-15412</v>
          </cell>
        </row>
        <row r="19">
          <cell r="S19" t="str">
            <v>4618401969</v>
          </cell>
          <cell r="T19" t="str">
            <v>18-13724-67036</v>
          </cell>
        </row>
        <row r="20">
          <cell r="S20" t="str">
            <v>4618392564</v>
          </cell>
          <cell r="T20" t="str">
            <v>24-13723-93482</v>
          </cell>
        </row>
        <row r="21">
          <cell r="S21" t="str">
            <v>4618385788
4618385795</v>
          </cell>
          <cell r="T21" t="str">
            <v>16-13714-19478</v>
          </cell>
        </row>
        <row r="22">
          <cell r="S22" t="str">
            <v>4618385801</v>
          </cell>
          <cell r="T22" t="str">
            <v>12-13717-51641</v>
          </cell>
        </row>
        <row r="23">
          <cell r="S23" t="str">
            <v>4618375925</v>
          </cell>
          <cell r="T23" t="str">
            <v>20-13696-61877</v>
          </cell>
        </row>
        <row r="24">
          <cell r="S24" t="str">
            <v>4618357198</v>
          </cell>
          <cell r="T24" t="str">
            <v>14-13687-11781</v>
          </cell>
        </row>
        <row r="25">
          <cell r="S25" t="str">
            <v>4618251434</v>
          </cell>
          <cell r="T25" t="str">
            <v>25-13593-78819</v>
          </cell>
        </row>
        <row r="26">
          <cell r="S26" t="str">
            <v>4618237568,4618237575,4618237582,4618237599</v>
          </cell>
          <cell r="T26" t="str">
            <v>10-13605-20397</v>
          </cell>
        </row>
        <row r="27">
          <cell r="S27" t="str">
            <v>4618237605</v>
          </cell>
          <cell r="T27" t="str">
            <v>27-13582-41377</v>
          </cell>
        </row>
        <row r="28">
          <cell r="S28" t="str">
            <v>4618199033</v>
          </cell>
          <cell r="T28" t="str">
            <v>21-13561-72553</v>
          </cell>
        </row>
        <row r="29">
          <cell r="S29" t="str">
            <v>4618199040</v>
          </cell>
          <cell r="T29" t="str">
            <v>21-13559-99138</v>
          </cell>
        </row>
        <row r="30">
          <cell r="S30" t="str">
            <v>4618199057</v>
          </cell>
          <cell r="T30" t="str">
            <v>25-13546-23182</v>
          </cell>
        </row>
        <row r="31">
          <cell r="T31" t="str">
            <v>11-13526-16962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miclogistik.de" TargetMode="External"/><Relationship Id="rId2" Type="http://schemas.openxmlformats.org/officeDocument/2006/relationships/hyperlink" Target="http://www.miclogistik.de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F25" sqref="F25"/>
    </sheetView>
  </sheetViews>
  <sheetFormatPr defaultColWidth="9.14166666666667" defaultRowHeight="14.25" outlineLevelCol="6"/>
  <cols>
    <col min="1" max="1" width="10.7166666666667" style="355" customWidth="1"/>
    <col min="2" max="2" width="21.1416666666667" style="355" customWidth="1"/>
    <col min="3" max="3" width="21.1416666666667" style="356" customWidth="1"/>
    <col min="4" max="4" width="21.1416666666667" style="357" customWidth="1"/>
    <col min="5" max="5" width="21.1416666666667" style="358" customWidth="1"/>
    <col min="6" max="6" width="21.1416666666667" style="357" customWidth="1"/>
    <col min="7" max="7" width="20.825" style="355" customWidth="1"/>
  </cols>
  <sheetData>
    <row r="1" ht="24.75" spans="1:7">
      <c r="A1" s="359" t="s">
        <v>0</v>
      </c>
      <c r="B1" s="359"/>
      <c r="C1" s="360"/>
      <c r="D1" s="361"/>
      <c r="E1" s="361"/>
      <c r="F1" s="361"/>
      <c r="G1" s="359"/>
    </row>
    <row r="2" ht="16.5" spans="1:7">
      <c r="A2" s="362" t="s">
        <v>1</v>
      </c>
      <c r="B2" s="363" t="s">
        <v>2</v>
      </c>
      <c r="C2" s="364"/>
      <c r="D2" s="365"/>
      <c r="E2" s="365"/>
      <c r="F2" s="365"/>
      <c r="G2" s="362"/>
    </row>
    <row r="3" ht="15" spans="1:7">
      <c r="A3" s="366" t="s">
        <v>3</v>
      </c>
      <c r="B3" s="367" t="s">
        <v>4</v>
      </c>
      <c r="C3" s="368" t="s">
        <v>5</v>
      </c>
      <c r="D3" s="369" t="s">
        <v>6</v>
      </c>
      <c r="E3" s="369" t="s">
        <v>7</v>
      </c>
      <c r="F3" s="369" t="s">
        <v>8</v>
      </c>
      <c r="G3" s="366" t="s">
        <v>9</v>
      </c>
    </row>
    <row r="4" ht="16.5" spans="1:7">
      <c r="A4" s="370">
        <v>1</v>
      </c>
      <c r="B4" s="371" t="s">
        <v>10</v>
      </c>
      <c r="C4" s="372"/>
      <c r="D4" s="373"/>
      <c r="E4" s="373">
        <v>1632</v>
      </c>
      <c r="F4" s="373">
        <f>D4-E4</f>
        <v>-1632</v>
      </c>
      <c r="G4" s="371"/>
    </row>
    <row r="5" ht="16.5" spans="1:7">
      <c r="A5" s="370">
        <v>2</v>
      </c>
      <c r="B5" s="371" t="s">
        <v>11</v>
      </c>
      <c r="C5" s="372">
        <v>45928</v>
      </c>
      <c r="D5" s="373">
        <f>4000+2700</f>
        <v>6700</v>
      </c>
      <c r="E5" s="373">
        <v>5868.69196</v>
      </c>
      <c r="F5" s="373">
        <f t="shared" ref="F5:F23" si="0">F4+D5-E5</f>
        <v>-800.69196</v>
      </c>
      <c r="G5" s="371"/>
    </row>
    <row r="6" ht="16.5" spans="1:7">
      <c r="A6" s="370">
        <v>3</v>
      </c>
      <c r="B6" s="370" t="s">
        <v>12</v>
      </c>
      <c r="C6" s="372">
        <v>45959</v>
      </c>
      <c r="D6" s="373">
        <f>2500+3000</f>
        <v>5500</v>
      </c>
      <c r="E6" s="374">
        <f>'对账单-汇总页'!F18</f>
        <v>5902.577667775</v>
      </c>
      <c r="F6" s="373">
        <f t="shared" si="0"/>
        <v>-1203.269627775</v>
      </c>
      <c r="G6" s="371"/>
    </row>
    <row r="7" ht="16.5" spans="1:7">
      <c r="A7" s="370">
        <v>4</v>
      </c>
      <c r="B7" s="375"/>
      <c r="C7" s="372"/>
      <c r="D7" s="373"/>
      <c r="E7" s="373"/>
      <c r="F7" s="373">
        <f t="shared" si="0"/>
        <v>-1203.269627775</v>
      </c>
      <c r="G7" s="371"/>
    </row>
    <row r="8" ht="16.5" spans="1:7">
      <c r="A8" s="370">
        <v>5</v>
      </c>
      <c r="B8" s="375"/>
      <c r="C8" s="372"/>
      <c r="D8" s="373"/>
      <c r="E8" s="373"/>
      <c r="F8" s="373">
        <f t="shared" si="0"/>
        <v>-1203.269627775</v>
      </c>
      <c r="G8" s="371"/>
    </row>
    <row r="9" ht="16.5" spans="1:7">
      <c r="A9" s="370">
        <v>6</v>
      </c>
      <c r="B9" s="375"/>
      <c r="C9" s="372"/>
      <c r="D9" s="373"/>
      <c r="E9" s="373"/>
      <c r="F9" s="373">
        <f t="shared" si="0"/>
        <v>-1203.269627775</v>
      </c>
      <c r="G9" s="371"/>
    </row>
    <row r="10" ht="16.5" spans="1:7">
      <c r="A10" s="370">
        <v>7</v>
      </c>
      <c r="B10" s="375"/>
      <c r="C10" s="372"/>
      <c r="D10" s="373"/>
      <c r="E10" s="373"/>
      <c r="F10" s="373">
        <f t="shared" si="0"/>
        <v>-1203.269627775</v>
      </c>
      <c r="G10" s="371"/>
    </row>
    <row r="11" ht="16.5" spans="1:7">
      <c r="A11" s="370">
        <v>8</v>
      </c>
      <c r="B11" s="375"/>
      <c r="C11" s="372"/>
      <c r="D11" s="373"/>
      <c r="E11" s="373"/>
      <c r="F11" s="373">
        <f t="shared" si="0"/>
        <v>-1203.269627775</v>
      </c>
      <c r="G11" s="371"/>
    </row>
    <row r="12" ht="16.5" spans="1:7">
      <c r="A12" s="370">
        <v>9</v>
      </c>
      <c r="B12" s="375"/>
      <c r="C12" s="372"/>
      <c r="D12" s="373"/>
      <c r="E12" s="373"/>
      <c r="F12" s="373">
        <f t="shared" si="0"/>
        <v>-1203.269627775</v>
      </c>
      <c r="G12" s="371"/>
    </row>
    <row r="13" ht="16.5" spans="1:7">
      <c r="A13" s="370">
        <v>10</v>
      </c>
      <c r="B13" s="375"/>
      <c r="C13" s="372"/>
      <c r="D13" s="373"/>
      <c r="E13" s="373"/>
      <c r="F13" s="373">
        <f t="shared" si="0"/>
        <v>-1203.269627775</v>
      </c>
      <c r="G13" s="371"/>
    </row>
    <row r="14" ht="16.5" spans="1:7">
      <c r="A14" s="370">
        <v>11</v>
      </c>
      <c r="B14" s="375"/>
      <c r="C14" s="372"/>
      <c r="D14" s="373"/>
      <c r="E14" s="373"/>
      <c r="F14" s="373">
        <f t="shared" si="0"/>
        <v>-1203.269627775</v>
      </c>
      <c r="G14" s="371"/>
    </row>
    <row r="15" ht="16.5" spans="1:7">
      <c r="A15" s="370">
        <v>12</v>
      </c>
      <c r="B15" s="375"/>
      <c r="C15" s="372"/>
      <c r="D15" s="373"/>
      <c r="E15" s="373"/>
      <c r="F15" s="373">
        <f t="shared" si="0"/>
        <v>-1203.269627775</v>
      </c>
      <c r="G15" s="371"/>
    </row>
    <row r="16" ht="16.5" spans="1:7">
      <c r="A16" s="370">
        <v>13</v>
      </c>
      <c r="B16" s="375"/>
      <c r="C16" s="372"/>
      <c r="D16" s="373"/>
      <c r="E16" s="373"/>
      <c r="F16" s="373">
        <f t="shared" si="0"/>
        <v>-1203.269627775</v>
      </c>
      <c r="G16" s="371"/>
    </row>
    <row r="17" ht="16.5" spans="1:7">
      <c r="A17" s="370">
        <v>14</v>
      </c>
      <c r="B17" s="375"/>
      <c r="C17" s="372"/>
      <c r="D17" s="373"/>
      <c r="E17" s="373"/>
      <c r="F17" s="373">
        <f t="shared" si="0"/>
        <v>-1203.269627775</v>
      </c>
      <c r="G17" s="371"/>
    </row>
    <row r="18" ht="16.5" spans="1:7">
      <c r="A18" s="370">
        <v>15</v>
      </c>
      <c r="B18" s="375"/>
      <c r="C18" s="372"/>
      <c r="D18" s="373"/>
      <c r="E18" s="373"/>
      <c r="F18" s="373">
        <f t="shared" si="0"/>
        <v>-1203.269627775</v>
      </c>
      <c r="G18" s="371"/>
    </row>
    <row r="19" ht="16.5" spans="1:7">
      <c r="A19" s="370">
        <v>16</v>
      </c>
      <c r="B19" s="375"/>
      <c r="C19" s="372"/>
      <c r="D19" s="373"/>
      <c r="E19" s="373"/>
      <c r="F19" s="373">
        <f t="shared" si="0"/>
        <v>-1203.269627775</v>
      </c>
      <c r="G19" s="371"/>
    </row>
    <row r="20" ht="16.5" spans="1:7">
      <c r="A20" s="370">
        <v>17</v>
      </c>
      <c r="B20" s="375"/>
      <c r="C20" s="372"/>
      <c r="D20" s="373"/>
      <c r="E20" s="373"/>
      <c r="F20" s="373">
        <f t="shared" si="0"/>
        <v>-1203.269627775</v>
      </c>
      <c r="G20" s="371"/>
    </row>
    <row r="21" ht="16.5" spans="1:7">
      <c r="A21" s="370">
        <v>18</v>
      </c>
      <c r="B21" s="375"/>
      <c r="C21" s="372"/>
      <c r="D21" s="373"/>
      <c r="E21" s="373"/>
      <c r="F21" s="373">
        <f t="shared" si="0"/>
        <v>-1203.269627775</v>
      </c>
      <c r="G21" s="371"/>
    </row>
    <row r="22" ht="16.5" spans="1:7">
      <c r="A22" s="370">
        <v>19</v>
      </c>
      <c r="B22" s="375"/>
      <c r="C22" s="372"/>
      <c r="D22" s="373"/>
      <c r="E22" s="373"/>
      <c r="F22" s="373">
        <f t="shared" si="0"/>
        <v>-1203.269627775</v>
      </c>
      <c r="G22" s="371"/>
    </row>
    <row r="23" ht="16.5" spans="1:7">
      <c r="A23" s="376" t="s">
        <v>13</v>
      </c>
      <c r="B23" s="377"/>
      <c r="C23" s="378"/>
      <c r="D23" s="379"/>
      <c r="E23" s="379"/>
      <c r="F23" s="373">
        <f t="shared" si="0"/>
        <v>-1203.269627775</v>
      </c>
      <c r="G23" s="375" t="s">
        <v>14</v>
      </c>
    </row>
  </sheetData>
  <mergeCells count="2">
    <mergeCell ref="A1:G1"/>
    <mergeCell ref="A23:D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zoomScale="85" zoomScaleNormal="85" workbookViewId="0">
      <selection activeCell="K23" sqref="K23"/>
    </sheetView>
  </sheetViews>
  <sheetFormatPr defaultColWidth="8.35833333333333" defaultRowHeight="16.5" outlineLevelCol="7"/>
  <cols>
    <col min="1" max="1" width="15.3916666666667" style="289" customWidth="1"/>
    <col min="2" max="2" width="22.2833333333333" style="289" customWidth="1"/>
    <col min="3" max="3" width="16.0666666666667" style="292" customWidth="1"/>
    <col min="4" max="4" width="15.275" style="292" customWidth="1"/>
    <col min="5" max="5" width="12.0666666666667" style="289" customWidth="1"/>
    <col min="6" max="6" width="17.2833333333333" style="292" customWidth="1"/>
    <col min="7" max="7" width="11.5083333333333" style="289" customWidth="1"/>
    <col min="8" max="8" width="22.0666666666667" style="289" customWidth="1"/>
    <col min="9" max="16384" width="8.35833333333333" style="289"/>
  </cols>
  <sheetData>
    <row r="1" s="289" customFormat="1" ht="51.6" customHeight="1" spans="1:8">
      <c r="A1" s="293"/>
      <c r="B1" s="293"/>
      <c r="C1" s="294"/>
      <c r="D1" s="295" t="s">
        <v>15</v>
      </c>
      <c r="E1" s="296"/>
      <c r="F1" s="297"/>
      <c r="G1" s="296"/>
      <c r="H1" s="296"/>
    </row>
    <row r="2" s="289" customFormat="1" ht="21" customHeight="1" spans="1:8">
      <c r="A2" s="293"/>
      <c r="B2" s="293"/>
      <c r="C2" s="294"/>
      <c r="D2" s="297"/>
      <c r="E2" s="296"/>
      <c r="F2" s="297"/>
      <c r="G2" s="298"/>
      <c r="H2" s="299"/>
    </row>
    <row r="3" s="289" customFormat="1" ht="42" customHeight="1" spans="1:8">
      <c r="A3" s="300" t="s">
        <v>16</v>
      </c>
      <c r="B3" s="301" t="s">
        <v>2</v>
      </c>
      <c r="C3" s="302"/>
      <c r="D3" s="303" t="s">
        <v>17</v>
      </c>
      <c r="E3" s="304" t="s">
        <v>18</v>
      </c>
      <c r="F3" s="305"/>
      <c r="G3" s="304"/>
      <c r="H3" s="304"/>
    </row>
    <row r="4" s="289" customFormat="1" ht="24.6" customHeight="1" spans="1:8">
      <c r="A4" s="300" t="s">
        <v>19</v>
      </c>
      <c r="B4" s="306"/>
      <c r="C4" s="307"/>
      <c r="D4" s="303" t="s">
        <v>20</v>
      </c>
      <c r="E4" s="308" t="s">
        <v>21</v>
      </c>
      <c r="F4" s="309"/>
      <c r="G4" s="310"/>
      <c r="H4" s="310"/>
    </row>
    <row r="5" s="289" customFormat="1" ht="24.6" customHeight="1" spans="1:8">
      <c r="A5" s="300" t="s">
        <v>22</v>
      </c>
      <c r="B5" s="311" t="s">
        <v>23</v>
      </c>
      <c r="C5" s="312"/>
      <c r="D5" s="303" t="s">
        <v>24</v>
      </c>
      <c r="E5" s="308" t="s">
        <v>25</v>
      </c>
      <c r="F5" s="309"/>
      <c r="G5" s="310"/>
      <c r="H5" s="310"/>
    </row>
    <row r="6" s="289" customFormat="1" spans="1:8">
      <c r="C6" s="292"/>
      <c r="D6" s="292"/>
      <c r="E6" s="289"/>
      <c r="F6" s="292"/>
    </row>
    <row r="7" s="289" customFormat="1" ht="21" spans="1:8">
      <c r="A7" s="313" t="s">
        <v>26</v>
      </c>
      <c r="B7" s="289"/>
      <c r="C7" s="292"/>
      <c r="D7" s="292"/>
      <c r="E7" s="289"/>
      <c r="F7" s="292"/>
      <c r="G7" s="314" t="s">
        <v>27</v>
      </c>
    </row>
    <row r="8" s="289" customFormat="1" ht="37" customHeight="1" spans="1:8">
      <c r="A8" s="181" t="s">
        <v>28</v>
      </c>
      <c r="B8" s="181" t="s">
        <v>29</v>
      </c>
      <c r="C8" s="190" t="s">
        <v>30</v>
      </c>
      <c r="D8" s="190" t="s">
        <v>31</v>
      </c>
      <c r="E8" s="181" t="s">
        <v>32</v>
      </c>
      <c r="F8" s="190" t="s">
        <v>33</v>
      </c>
      <c r="G8" s="181" t="s">
        <v>9</v>
      </c>
      <c r="H8" s="238"/>
    </row>
    <row r="9" s="289" customFormat="1" spans="1:8">
      <c r="A9" s="315" t="s">
        <v>34</v>
      </c>
      <c r="B9" s="316" t="s">
        <v>35</v>
      </c>
      <c r="C9" s="317">
        <f>'1.1 正向-入库'!V1</f>
        <v>70</v>
      </c>
      <c r="D9" s="318">
        <v>0</v>
      </c>
      <c r="E9" s="319">
        <v>0</v>
      </c>
      <c r="F9" s="320">
        <f t="shared" ref="F9:F17" si="0">C9+D9+E9</f>
        <v>70</v>
      </c>
      <c r="G9" s="321"/>
      <c r="H9" s="321"/>
    </row>
    <row r="10" s="289" customFormat="1" spans="1:8">
      <c r="A10" s="315"/>
      <c r="B10" s="316" t="s">
        <v>36</v>
      </c>
      <c r="C10" s="317">
        <v>0</v>
      </c>
      <c r="D10" s="318">
        <v>0</v>
      </c>
      <c r="E10" s="319">
        <f>'2.1 正向-2B'!BX1+'2.1 正向-2B'!CA1</f>
        <v>0</v>
      </c>
      <c r="F10" s="320">
        <f t="shared" si="0"/>
        <v>0</v>
      </c>
      <c r="G10" s="321" t="s">
        <v>37</v>
      </c>
      <c r="H10" s="321"/>
    </row>
    <row r="11" s="289" customFormat="1" spans="1:8">
      <c r="A11" s="315"/>
      <c r="B11" s="316" t="s">
        <v>38</v>
      </c>
      <c r="C11" s="317">
        <f>'2.2 正向-2C-GEL'!AZ1</f>
        <v>573.05</v>
      </c>
      <c r="D11" s="318">
        <f>'2.2 正向-2C-GEL'!BI1</f>
        <v>3296.574225</v>
      </c>
      <c r="E11" s="319">
        <f>'2.2 正向-2C-GEL'!BR1-'2.2 正向-2C-GEL'!BI1</f>
        <v>462.799999999997</v>
      </c>
      <c r="F11" s="320">
        <f t="shared" si="0"/>
        <v>4332.424225</v>
      </c>
      <c r="G11" s="321"/>
      <c r="H11" s="321"/>
    </row>
    <row r="12" s="289" customFormat="1" spans="1:8">
      <c r="A12" s="315"/>
      <c r="B12" s="316" t="s">
        <v>39</v>
      </c>
      <c r="C12" s="317">
        <f>'2.3 正向-2C-DHL'!AZ1</f>
        <v>4.8</v>
      </c>
      <c r="D12" s="318">
        <f>'2.3 正向-2C-DHL'!BF1</f>
        <v>33.14115</v>
      </c>
      <c r="E12" s="319">
        <f>'2.3 正向-2C-DHL'!BJ1</f>
        <v>123.068514375</v>
      </c>
      <c r="F12" s="320">
        <f t="shared" si="0"/>
        <v>161.009664375</v>
      </c>
      <c r="G12" s="321"/>
      <c r="H12" s="321"/>
    </row>
    <row r="13" s="289" customFormat="1" spans="1:8">
      <c r="A13" s="315"/>
      <c r="B13" s="316" t="s">
        <v>40</v>
      </c>
      <c r="C13" s="317">
        <v>0</v>
      </c>
      <c r="D13" s="318">
        <f>'2.4 正向-2C-PlanB '!AY1</f>
        <v>264</v>
      </c>
      <c r="E13" s="319">
        <f>'2.4 正向-2C-PlanB '!BH1-'2.4 正向-2C-PlanB '!AY1</f>
        <v>0</v>
      </c>
      <c r="F13" s="320">
        <f t="shared" si="0"/>
        <v>264</v>
      </c>
      <c r="G13" s="321"/>
      <c r="H13" s="321"/>
    </row>
    <row r="14" s="289" customFormat="1" spans="1:8">
      <c r="A14" s="315" t="s">
        <v>41</v>
      </c>
      <c r="B14" s="316" t="s">
        <v>42</v>
      </c>
      <c r="C14" s="317">
        <f>'3.1 正向-普货-仓储费 '!AP1</f>
        <v>829.1094784</v>
      </c>
      <c r="D14" s="318">
        <v>0</v>
      </c>
      <c r="E14" s="319">
        <v>0</v>
      </c>
      <c r="F14" s="320">
        <f t="shared" si="0"/>
        <v>829.1094784</v>
      </c>
      <c r="G14" s="321" t="s">
        <v>43</v>
      </c>
      <c r="H14" s="321"/>
    </row>
    <row r="15" s="289" customFormat="1" spans="1:8">
      <c r="A15" s="322" t="s">
        <v>44</v>
      </c>
      <c r="B15" s="316" t="s">
        <v>45</v>
      </c>
      <c r="C15" s="317">
        <f>'4.1 逆向退货&amp;仓租费'!AJ1</f>
        <v>19.4</v>
      </c>
      <c r="D15" s="318">
        <f>'4.1 逆向退货&amp;仓租费'!AQ1</f>
        <v>186.2343</v>
      </c>
      <c r="E15" s="319">
        <f>'4.1 逆向退货&amp;仓租费'!BH1</f>
        <v>40.4</v>
      </c>
      <c r="F15" s="320">
        <f t="shared" si="0"/>
        <v>246.0343</v>
      </c>
      <c r="G15" s="321" t="s">
        <v>43</v>
      </c>
      <c r="H15" s="321"/>
    </row>
    <row r="16" s="289" customFormat="1" spans="1:8">
      <c r="A16" s="323"/>
      <c r="B16" s="316" t="s">
        <v>46</v>
      </c>
      <c r="C16" s="324">
        <f>'4.1 逆向退货&amp;仓租费'!BW1</f>
        <v>0</v>
      </c>
      <c r="D16" s="324">
        <v>0</v>
      </c>
      <c r="E16" s="325">
        <f>'4.1 逆向退货&amp;仓租费'!BW1</f>
        <v>0</v>
      </c>
      <c r="F16" s="320">
        <f t="shared" si="0"/>
        <v>0</v>
      </c>
      <c r="G16" s="321" t="s">
        <v>43</v>
      </c>
      <c r="H16" s="321"/>
    </row>
    <row r="17" s="289" customFormat="1" spans="1:8">
      <c r="A17" s="315" t="s">
        <v>47</v>
      </c>
      <c r="B17" s="316"/>
      <c r="C17" s="324">
        <v>0</v>
      </c>
      <c r="D17" s="324">
        <v>0</v>
      </c>
      <c r="E17" s="325">
        <v>0</v>
      </c>
      <c r="F17" s="320">
        <f t="shared" si="0"/>
        <v>0</v>
      </c>
      <c r="G17" s="326"/>
      <c r="H17" s="327"/>
    </row>
    <row r="18" s="289" customFormat="1" spans="1:8">
      <c r="A18" s="328" t="s">
        <v>48</v>
      </c>
      <c r="B18" s="328"/>
      <c r="C18" s="325">
        <f>SUM(C9:C17)</f>
        <v>1496.3594784</v>
      </c>
      <c r="D18" s="325">
        <f>SUM(D9:D17)</f>
        <v>3779.949675</v>
      </c>
      <c r="E18" s="325">
        <f>SUM(E9:E17)</f>
        <v>626.268514374997</v>
      </c>
      <c r="F18" s="325">
        <f>SUM(F9:F17)</f>
        <v>5902.577667775</v>
      </c>
      <c r="G18" s="326"/>
      <c r="H18" s="327"/>
    </row>
    <row r="19" s="289" customFormat="1" spans="1:8">
      <c r="A19" s="300" t="s">
        <v>49</v>
      </c>
      <c r="B19" s="300"/>
      <c r="C19" s="303">
        <f>'2025年应收汇总表'!F5</f>
        <v>-800.69196</v>
      </c>
      <c r="D19" s="303"/>
      <c r="E19" s="303"/>
      <c r="F19" s="303"/>
      <c r="G19" s="329"/>
      <c r="H19" s="329"/>
    </row>
    <row r="20" s="289" customFormat="1" spans="1:8">
      <c r="A20" s="330" t="s">
        <v>50</v>
      </c>
      <c r="B20" s="331"/>
      <c r="C20" s="332">
        <v>2500</v>
      </c>
      <c r="D20" s="332"/>
      <c r="E20" s="332"/>
      <c r="F20" s="332"/>
      <c r="G20" s="333"/>
      <c r="H20" s="334"/>
    </row>
    <row r="21" s="289" customFormat="1" spans="1:8">
      <c r="A21" s="330" t="s">
        <v>51</v>
      </c>
      <c r="B21" s="331"/>
      <c r="C21" s="332">
        <v>3000</v>
      </c>
      <c r="D21" s="332"/>
      <c r="E21" s="332"/>
      <c r="F21" s="332"/>
      <c r="G21" s="333"/>
      <c r="H21" s="334"/>
    </row>
    <row r="22" s="289" customFormat="1" spans="1:8">
      <c r="A22" s="300" t="s">
        <v>52</v>
      </c>
      <c r="B22" s="300"/>
      <c r="C22" s="335">
        <f>C21+C20+C19-F18</f>
        <v>-1203.269627775</v>
      </c>
      <c r="D22" s="335"/>
      <c r="E22" s="335"/>
      <c r="F22" s="335"/>
      <c r="G22" s="336" t="s">
        <v>53</v>
      </c>
      <c r="H22" s="337"/>
    </row>
    <row r="23" s="290" customFormat="1" ht="28.2" customHeight="1" spans="1:8">
      <c r="A23" s="338"/>
      <c r="B23" s="338"/>
      <c r="C23" s="338"/>
      <c r="D23" s="338"/>
      <c r="E23" s="338"/>
      <c r="F23" s="338"/>
      <c r="G23" s="338"/>
      <c r="H23" s="338"/>
    </row>
    <row r="24" s="290" customFormat="1" ht="28.2" customHeight="1" spans="1:8">
      <c r="A24" s="339" t="s">
        <v>54</v>
      </c>
      <c r="B24" s="339"/>
      <c r="C24" s="339"/>
      <c r="D24" s="339"/>
      <c r="E24" s="339"/>
      <c r="F24" s="339"/>
      <c r="G24" s="339"/>
      <c r="H24" s="339"/>
    </row>
    <row r="25" s="291" customFormat="1" ht="22.05" customHeight="1" spans="1:8">
      <c r="A25" s="340" t="s">
        <v>55</v>
      </c>
      <c r="B25" s="341" t="s">
        <v>56</v>
      </c>
      <c r="C25" s="341"/>
      <c r="D25" s="341"/>
      <c r="E25" s="341"/>
      <c r="F25" s="341"/>
      <c r="G25" s="341"/>
      <c r="H25" s="341"/>
    </row>
    <row r="26" s="291" customFormat="1" ht="47" customHeight="1" spans="1:8">
      <c r="A26" s="342" t="s">
        <v>57</v>
      </c>
      <c r="B26" s="343" t="s">
        <v>58</v>
      </c>
      <c r="C26" s="343"/>
      <c r="D26" s="343"/>
      <c r="E26" s="343"/>
      <c r="F26" s="343"/>
      <c r="G26" s="343"/>
      <c r="H26" s="343"/>
    </row>
    <row r="27" s="291" customFormat="1" spans="1:8">
      <c r="A27" s="342" t="s">
        <v>59</v>
      </c>
      <c r="B27" s="343" t="s">
        <v>60</v>
      </c>
      <c r="C27" s="343"/>
      <c r="D27" s="343"/>
      <c r="E27" s="343"/>
      <c r="F27" s="343"/>
      <c r="G27" s="343"/>
      <c r="H27" s="343"/>
    </row>
    <row r="28" s="291" customFormat="1" ht="30" customHeight="1" spans="1:8">
      <c r="A28" s="342" t="s">
        <v>61</v>
      </c>
      <c r="B28" s="343" t="s">
        <v>62</v>
      </c>
      <c r="C28" s="343"/>
      <c r="D28" s="343"/>
      <c r="E28" s="343"/>
      <c r="F28" s="343"/>
      <c r="G28" s="343"/>
      <c r="H28" s="343"/>
    </row>
    <row r="29" s="291" customFormat="1" spans="1:8">
      <c r="A29" s="344" t="s">
        <v>63</v>
      </c>
      <c r="B29" s="345" t="s">
        <v>64</v>
      </c>
      <c r="C29" s="345"/>
      <c r="D29" s="345"/>
      <c r="E29" s="345"/>
      <c r="F29" s="345"/>
      <c r="G29" s="345"/>
      <c r="H29" s="345"/>
    </row>
    <row r="30" s="291" customFormat="1" spans="1:8">
      <c r="A30" s="346" t="s">
        <v>65</v>
      </c>
      <c r="B30" s="347" t="s">
        <v>66</v>
      </c>
      <c r="C30" s="347"/>
      <c r="D30" s="347"/>
      <c r="E30" s="347"/>
      <c r="F30" s="347"/>
      <c r="G30" s="347"/>
      <c r="H30" s="347"/>
    </row>
    <row r="31" s="290" customFormat="1" spans="1:8">
      <c r="A31" s="348"/>
      <c r="B31" s="348"/>
      <c r="C31" s="348"/>
      <c r="D31" s="348"/>
      <c r="E31" s="348"/>
      <c r="F31" s="348"/>
      <c r="G31" s="348"/>
      <c r="H31" s="348"/>
    </row>
    <row r="32" s="290" customFormat="1" ht="21" spans="1:8">
      <c r="A32" s="349" t="s">
        <v>67</v>
      </c>
      <c r="B32" s="349"/>
      <c r="C32" s="349"/>
      <c r="D32" s="348"/>
      <c r="E32" s="348"/>
      <c r="F32" s="350" t="s">
        <v>68</v>
      </c>
      <c r="G32" s="350"/>
      <c r="H32" s="350"/>
    </row>
    <row r="33" s="290" customFormat="1" spans="1:8">
      <c r="A33" s="348"/>
      <c r="B33" s="348"/>
      <c r="C33" s="348"/>
      <c r="D33" s="348"/>
      <c r="E33" s="348"/>
      <c r="F33" s="348"/>
      <c r="G33" s="348"/>
      <c r="H33" s="348"/>
    </row>
    <row r="34" s="290" customFormat="1" spans="1:8">
      <c r="A34" s="348"/>
      <c r="B34" s="348"/>
      <c r="C34" s="348"/>
      <c r="D34" s="348"/>
      <c r="E34" s="348"/>
      <c r="F34" s="348"/>
      <c r="G34" s="348"/>
      <c r="H34" s="348"/>
    </row>
    <row r="35" s="290" customFormat="1" spans="1:8">
      <c r="A35" s="348"/>
      <c r="B35" s="348"/>
      <c r="C35" s="348"/>
      <c r="D35" s="348"/>
      <c r="E35" s="348"/>
      <c r="F35" s="348"/>
      <c r="G35" s="348"/>
      <c r="H35" s="348"/>
    </row>
    <row r="36" s="290" customFormat="1" spans="1:8">
      <c r="A36" s="348"/>
      <c r="B36" s="348"/>
      <c r="C36" s="348"/>
      <c r="D36" s="348"/>
      <c r="E36" s="348"/>
      <c r="F36" s="348"/>
      <c r="G36" s="348"/>
      <c r="H36" s="348"/>
    </row>
    <row r="37" s="290" customFormat="1" spans="1:8">
      <c r="A37" s="350" t="s">
        <v>69</v>
      </c>
      <c r="B37" s="351">
        <v>45965</v>
      </c>
      <c r="C37" s="352"/>
      <c r="D37" s="348"/>
      <c r="E37" s="348"/>
      <c r="F37" s="350" t="s">
        <v>70</v>
      </c>
      <c r="G37" s="353">
        <f>B37</f>
        <v>45965</v>
      </c>
      <c r="H37" s="354"/>
    </row>
    <row r="38" s="289" customFormat="1" spans="1:8">
      <c r="C38" s="292"/>
      <c r="D38" s="292"/>
      <c r="E38" s="289"/>
      <c r="F38" s="292"/>
    </row>
    <row r="39" s="289" customFormat="1" spans="1:8">
      <c r="C39" s="292"/>
      <c r="D39" s="292"/>
      <c r="F39" s="292"/>
    </row>
    <row r="40" s="289" customFormat="1" spans="1:8">
      <c r="C40" s="292"/>
      <c r="D40" s="292"/>
      <c r="E40" s="289"/>
      <c r="F40" s="292"/>
    </row>
    <row r="41" s="289" customFormat="1" spans="1:8">
      <c r="C41" s="292"/>
      <c r="D41" s="292"/>
      <c r="E41" s="289"/>
      <c r="F41" s="292"/>
    </row>
    <row r="42" s="289" customFormat="1" spans="1:8">
      <c r="C42" s="292"/>
      <c r="D42" s="292"/>
      <c r="E42" s="289"/>
      <c r="F42" s="292"/>
    </row>
    <row r="43" s="289" customFormat="1" spans="1:8">
      <c r="C43" s="292"/>
      <c r="D43" s="292"/>
      <c r="E43" s="289"/>
      <c r="F43" s="292"/>
    </row>
    <row r="44" s="289" customFormat="1" spans="1:8">
      <c r="C44" s="292"/>
      <c r="D44" s="292"/>
      <c r="E44" s="289"/>
      <c r="F44" s="292"/>
    </row>
    <row r="45" s="289" customFormat="1" spans="1:8">
      <c r="C45" s="292"/>
      <c r="D45" s="292"/>
      <c r="E45" s="289"/>
      <c r="F45" s="292"/>
    </row>
    <row r="46" s="289" customFormat="1" spans="1:8">
      <c r="C46" s="292"/>
      <c r="D46" s="292"/>
      <c r="E46" s="289"/>
      <c r="F46" s="292"/>
    </row>
    <row r="47" s="289" customFormat="1" spans="1:8">
      <c r="C47" s="292"/>
      <c r="D47" s="292"/>
      <c r="E47" s="289"/>
      <c r="F47" s="292"/>
    </row>
    <row r="48" s="289" customFormat="1" spans="1:8">
      <c r="C48" s="292"/>
      <c r="D48" s="292"/>
      <c r="E48" s="289"/>
      <c r="F48" s="292"/>
    </row>
    <row r="49" s="289" customFormat="1" spans="3:6">
      <c r="C49" s="292"/>
      <c r="D49" s="292"/>
      <c r="E49" s="289"/>
      <c r="F49" s="292"/>
    </row>
    <row r="50" s="289" customFormat="1" spans="3:6">
      <c r="C50" s="292"/>
      <c r="D50" s="292"/>
      <c r="E50" s="289"/>
      <c r="F50" s="292"/>
    </row>
    <row r="51" s="289" customFormat="1" spans="3:6">
      <c r="C51" s="292"/>
      <c r="D51" s="292"/>
      <c r="E51" s="289"/>
      <c r="F51" s="292"/>
    </row>
    <row r="52" s="289" customFormat="1" spans="3:6">
      <c r="C52" s="292"/>
      <c r="D52" s="292"/>
      <c r="E52" s="289"/>
      <c r="F52" s="292"/>
    </row>
    <row r="53" s="289" customFormat="1" spans="3:6">
      <c r="C53" s="292"/>
      <c r="D53" s="292"/>
      <c r="E53" s="289"/>
      <c r="F53" s="292"/>
    </row>
  </sheetData>
  <mergeCells count="38">
    <mergeCell ref="A1:C1"/>
    <mergeCell ref="D1:H1"/>
    <mergeCell ref="B3:C3"/>
    <mergeCell ref="E3:H3"/>
    <mergeCell ref="B4:C4"/>
    <mergeCell ref="E4:H4"/>
    <mergeCell ref="B5:C5"/>
    <mergeCell ref="E5:H5"/>
    <mergeCell ref="G8:H8"/>
    <mergeCell ref="G9:H9"/>
    <mergeCell ref="G11:H11"/>
    <mergeCell ref="G14:H14"/>
    <mergeCell ref="G15:H15"/>
    <mergeCell ref="G16:H16"/>
    <mergeCell ref="A18:B18"/>
    <mergeCell ref="G18:H18"/>
    <mergeCell ref="A19:B19"/>
    <mergeCell ref="C19:F19"/>
    <mergeCell ref="G19:H19"/>
    <mergeCell ref="A20:B20"/>
    <mergeCell ref="C20:F20"/>
    <mergeCell ref="A21:B21"/>
    <mergeCell ref="C21:F21"/>
    <mergeCell ref="A22:B22"/>
    <mergeCell ref="C22:F22"/>
    <mergeCell ref="G22:H22"/>
    <mergeCell ref="A24:H24"/>
    <mergeCell ref="B25:H25"/>
    <mergeCell ref="B26:H26"/>
    <mergeCell ref="B27:H27"/>
    <mergeCell ref="B28:H28"/>
    <mergeCell ref="B29:H29"/>
    <mergeCell ref="B30:H30"/>
    <mergeCell ref="A32:C32"/>
    <mergeCell ref="F32:H32"/>
    <mergeCell ref="G37:H37"/>
    <mergeCell ref="A9:A13"/>
    <mergeCell ref="A15:A16"/>
  </mergeCells>
  <hyperlinks>
    <hyperlink ref="E5" r:id="rId2" display="www.miclogistik.de" tooltip="http://www.miclogistik.de"/>
    <hyperlink ref="E4" r:id="rId3" display="info@miclogistik.de"/>
  </hyperlink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opLeftCell="F1" workbookViewId="0">
      <selection activeCell="V4" sqref="V4"/>
    </sheetView>
  </sheetViews>
  <sheetFormatPr defaultColWidth="8.35833333333333" defaultRowHeight="14.25" outlineLevelRow="3"/>
  <cols>
    <col min="1" max="1" width="16.6916666666667" style="270" customWidth="1"/>
    <col min="2" max="3" width="7.45" style="270" customWidth="1"/>
    <col min="4" max="4" width="13.5" style="270" customWidth="1"/>
    <col min="5" max="5" width="18.6333333333333" style="270" customWidth="1" outlineLevel="1"/>
    <col min="6" max="6" width="8.25" style="270" customWidth="1" outlineLevel="1"/>
    <col min="7" max="7" width="18.3833333333333" style="270" customWidth="1"/>
    <col min="8" max="8" width="12.3166666666667" style="270" customWidth="1" outlineLevel="1"/>
    <col min="9" max="9" width="6" style="270" customWidth="1" outlineLevel="1"/>
    <col min="10" max="10" width="5.69166666666667" style="270" customWidth="1" outlineLevel="1"/>
    <col min="11" max="11" width="19.3166666666667" style="270" customWidth="1"/>
    <col min="12" max="12" width="11.825" style="270" customWidth="1"/>
    <col min="13" max="13" width="10.1333333333333" style="270" customWidth="1"/>
    <col min="14" max="14" width="13.1916666666667" style="270" customWidth="1" outlineLevel="1"/>
    <col min="15" max="15" width="5.34166666666667" style="271" customWidth="1"/>
    <col min="16" max="16" width="6.8" style="271" customWidth="1"/>
    <col min="17" max="17" width="7.95" style="270" customWidth="1"/>
    <col min="18" max="18" width="6.38333333333333" style="270" customWidth="1"/>
    <col min="19" max="19" width="5.025" style="270" customWidth="1"/>
    <col min="20" max="20" width="7.11666666666667" style="270" customWidth="1"/>
    <col min="21" max="22" width="9" style="270" customWidth="1"/>
    <col min="23" max="23" width="7.21666666666667" style="270" customWidth="1"/>
    <col min="24" max="24" width="9.1" style="268" customWidth="1"/>
    <col min="25" max="25" width="9.73333333333333" style="268" customWidth="1"/>
    <col min="26" max="26" width="9.1" style="268" customWidth="1"/>
    <col min="27" max="27" width="9.1" style="270" customWidth="1"/>
    <col min="28" max="28" width="9.1" style="268" customWidth="1"/>
    <col min="29" max="29" width="17.3666666666667" style="268" customWidth="1"/>
    <col min="30" max="16384" width="8.35833333333333" style="268"/>
  </cols>
  <sheetData>
    <row r="1" s="268" customFormat="1" ht="22.5" spans="1:27">
      <c r="A1" s="272" t="s">
        <v>71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  <c r="P1" s="273"/>
      <c r="Q1" s="274"/>
      <c r="R1" s="275"/>
      <c r="S1" s="275"/>
      <c r="T1" s="275"/>
      <c r="U1" s="275">
        <f>SUM(U4:U4)</f>
        <v>70</v>
      </c>
      <c r="V1" s="275">
        <f>SUM(V4:V4)</f>
        <v>70</v>
      </c>
      <c r="W1" s="270"/>
      <c r="AA1" s="270"/>
    </row>
    <row r="2" s="268" customFormat="1" ht="16.5" spans="1:27">
      <c r="A2" s="276" t="s">
        <v>72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8"/>
      <c r="P2" s="278"/>
      <c r="Q2" s="279"/>
      <c r="R2" s="280" t="s">
        <v>73</v>
      </c>
      <c r="S2" s="281"/>
      <c r="T2" s="281"/>
      <c r="U2" s="282"/>
      <c r="V2" s="173" t="s">
        <v>74</v>
      </c>
      <c r="W2" s="270"/>
      <c r="AA2" s="270"/>
    </row>
    <row r="3" s="269" customFormat="1" ht="33" spans="1:27">
      <c r="A3" s="283" t="s">
        <v>75</v>
      </c>
      <c r="B3" s="284" t="s">
        <v>76</v>
      </c>
      <c r="C3" s="283" t="s">
        <v>77</v>
      </c>
      <c r="D3" s="284" t="s">
        <v>78</v>
      </c>
      <c r="E3" s="283" t="s">
        <v>79</v>
      </c>
      <c r="F3" s="283" t="s">
        <v>16</v>
      </c>
      <c r="G3" s="283" t="s">
        <v>80</v>
      </c>
      <c r="H3" s="283" t="s">
        <v>81</v>
      </c>
      <c r="I3" s="283" t="s">
        <v>82</v>
      </c>
      <c r="J3" s="283" t="s">
        <v>83</v>
      </c>
      <c r="K3" s="283" t="s">
        <v>84</v>
      </c>
      <c r="L3" s="283" t="s">
        <v>85</v>
      </c>
      <c r="M3" s="285" t="s">
        <v>86</v>
      </c>
      <c r="N3" s="283" t="s">
        <v>87</v>
      </c>
      <c r="O3" s="286" t="s">
        <v>88</v>
      </c>
      <c r="P3" s="285" t="s">
        <v>89</v>
      </c>
      <c r="Q3" s="283" t="s">
        <v>90</v>
      </c>
      <c r="R3" s="181" t="s">
        <v>89</v>
      </c>
      <c r="S3" s="181" t="s">
        <v>88</v>
      </c>
      <c r="T3" s="181" t="s">
        <v>91</v>
      </c>
      <c r="U3" s="181" t="s">
        <v>92</v>
      </c>
      <c r="V3" s="181"/>
      <c r="W3" s="287"/>
      <c r="AA3" s="287"/>
    </row>
    <row r="4" spans="1:27">
      <c r="A4" s="288" t="s">
        <v>93</v>
      </c>
      <c r="B4" s="3">
        <v>202510</v>
      </c>
      <c r="C4" s="288" t="s">
        <v>94</v>
      </c>
      <c r="D4" s="288" t="s">
        <v>95</v>
      </c>
      <c r="E4" s="288" t="s">
        <v>96</v>
      </c>
      <c r="F4" s="288" t="s">
        <v>97</v>
      </c>
      <c r="G4" s="288" t="s">
        <v>98</v>
      </c>
      <c r="H4" s="288"/>
      <c r="I4" s="3"/>
      <c r="J4" s="4"/>
      <c r="K4" s="288" t="s">
        <v>99</v>
      </c>
      <c r="L4" s="3" t="s">
        <v>100</v>
      </c>
      <c r="M4" s="288">
        <v>87</v>
      </c>
      <c r="N4" s="288" t="s">
        <v>101</v>
      </c>
      <c r="O4" s="288">
        <v>87</v>
      </c>
      <c r="P4" s="288">
        <v>5</v>
      </c>
      <c r="Q4" s="3"/>
      <c r="R4" s="3">
        <f>P4</f>
        <v>5</v>
      </c>
      <c r="S4" s="3"/>
      <c r="T4" s="70">
        <v>14</v>
      </c>
      <c r="U4" s="70">
        <f>T4*R4</f>
        <v>70</v>
      </c>
      <c r="V4" s="215">
        <f>U4+Q4</f>
        <v>70</v>
      </c>
    </row>
  </sheetData>
  <autoFilter xmlns:etc="http://www.wps.cn/officeDocument/2017/etCustomData" ref="A3:AA4" etc:filterBottomFollowUsedRange="0">
    <extLst/>
  </autoFilter>
  <mergeCells count="4">
    <mergeCell ref="A1:Q1"/>
    <mergeCell ref="A2:Q2"/>
    <mergeCell ref="R2:U2"/>
    <mergeCell ref="V2:V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68224"/>
  <sheetViews>
    <sheetView workbookViewId="0">
      <pane xSplit="4" ySplit="4" topLeftCell="BN5" activePane="bottomRight" state="frozen"/>
      <selection/>
      <selection pane="topRight"/>
      <selection pane="bottomLeft"/>
      <selection pane="bottomRight" activeCell="BV13" sqref="BV13"/>
    </sheetView>
  </sheetViews>
  <sheetFormatPr defaultColWidth="8.8" defaultRowHeight="16.5"/>
  <cols>
    <col min="1" max="1" width="17.3833333333333" style="139" customWidth="1"/>
    <col min="2" max="2" width="4.75" style="140" customWidth="1"/>
    <col min="3" max="3" width="5.05" style="140" customWidth="1"/>
    <col min="4" max="4" width="3.94166666666667" style="140" customWidth="1"/>
    <col min="5" max="5" width="7.875" style="140" customWidth="1"/>
    <col min="6" max="6" width="8.8" style="140"/>
    <col min="7" max="7" width="12.6916666666667" style="140" customWidth="1"/>
    <col min="8" max="8" width="12.375" style="141" customWidth="1"/>
    <col min="9" max="9" width="12" style="140" customWidth="1"/>
    <col min="10" max="10" width="9.7" style="140" customWidth="1" outlineLevel="1"/>
    <col min="11" max="13" width="8.8" style="140" outlineLevel="1"/>
    <col min="14" max="14" width="19.4" style="140" customWidth="1" outlineLevel="1"/>
    <col min="15" max="15" width="5.31666666666667" style="140" customWidth="1"/>
    <col min="16" max="18" width="8.8" style="140" outlineLevel="1"/>
    <col min="19" max="19" width="32.75" style="140" customWidth="1"/>
    <col min="20" max="20" width="18.1916666666667" style="139" customWidth="1"/>
    <col min="21" max="21" width="6" style="139" customWidth="1"/>
    <col min="22" max="22" width="8.8" style="142"/>
    <col min="23" max="23" width="8.8" style="143"/>
    <col min="24" max="25" width="8.8" style="140"/>
    <col min="26" max="26" width="13.4416666666667" style="140" customWidth="1"/>
    <col min="27" max="27" width="22.8166666666667" style="139" customWidth="1"/>
    <col min="28" max="29" width="10.5" style="140"/>
    <col min="30" max="31" width="6.00833333333333" style="140" customWidth="1"/>
    <col min="32" max="33" width="8.8" style="144" outlineLevel="1"/>
    <col min="34" max="34" width="14.0083333333333" style="144" customWidth="1" outlineLevel="1"/>
    <col min="35" max="39" width="8.8" style="144" outlineLevel="1"/>
    <col min="40" max="40" width="6.06666666666667" style="140" customWidth="1" outlineLevel="1"/>
    <col min="41" max="41" width="6.06666666666667" style="147" customWidth="1"/>
    <col min="42" max="42" width="9.13333333333333" style="147" customWidth="1" outlineLevel="1"/>
    <col min="43" max="43" width="5.38333333333333" style="197" customWidth="1" outlineLevel="1"/>
    <col min="44" max="44" width="5.38333333333333" style="140" customWidth="1" outlineLevel="1"/>
    <col min="45" max="45" width="8.8" style="140" outlineLevel="1"/>
    <col min="46" max="46" width="4.31666666666667" style="140" customWidth="1" outlineLevel="1"/>
    <col min="47" max="47" width="4.31666666666667" style="140" customWidth="1"/>
    <col min="48" max="48" width="8.8" style="140" outlineLevel="1"/>
    <col min="49" max="50" width="4.25833333333333" style="140" customWidth="1"/>
    <col min="51" max="51" width="8.8" style="140"/>
    <col min="52" max="52" width="4.81666666666667" style="140" customWidth="1" outlineLevel="1"/>
    <col min="53" max="53" width="8.25833333333333" style="140" customWidth="1"/>
    <col min="54" max="54" width="8.38333333333333" style="140" customWidth="1"/>
    <col min="55" max="55" width="7.325" style="140" customWidth="1"/>
    <col min="56" max="57" width="8.38333333333333" style="140" customWidth="1"/>
    <col min="58" max="58" width="12.8833333333333" style="140" customWidth="1"/>
    <col min="59" max="62" width="4.69166666666667" style="140" customWidth="1"/>
    <col min="63" max="63" width="6.56666666666667" style="145" customWidth="1"/>
    <col min="64" max="64" width="11.0666666666667" style="140" customWidth="1"/>
    <col min="65" max="65" width="5.56666666666667" style="140" customWidth="1"/>
    <col min="66" max="66" width="7.63333333333333" style="146" customWidth="1"/>
    <col min="67" max="67" width="10.6916666666667" style="140" customWidth="1"/>
    <col min="68" max="68" width="5.31666666666667" style="140" customWidth="1"/>
    <col min="69" max="69" width="8.8" style="253"/>
    <col min="70" max="70" width="6.81666666666667" style="140" customWidth="1"/>
    <col min="71" max="71" width="5.75833333333333" style="140" customWidth="1"/>
    <col min="72" max="72" width="7.25" style="140" customWidth="1"/>
    <col min="73" max="74" width="5.81666666666667" style="140" customWidth="1"/>
    <col min="75" max="75" width="7.69166666666667" style="147" customWidth="1"/>
    <col min="76" max="76" width="8.825" style="140" customWidth="1"/>
    <col min="77" max="78" width="5.625" style="140" customWidth="1"/>
    <col min="79" max="79" width="11.0666666666667" style="148" customWidth="1"/>
    <col min="80" max="80" width="9.19166666666667" style="148" customWidth="1"/>
    <col min="81" max="81" width="10.1333333333333" style="148" customWidth="1"/>
    <col min="82" max="82" width="11.0666666666667" style="10" customWidth="1"/>
  </cols>
  <sheetData>
    <row r="1" s="10" customFormat="1" ht="22.5" spans="1:82">
      <c r="A1" s="149" t="s">
        <v>102</v>
      </c>
      <c r="B1" s="150"/>
      <c r="C1" s="150"/>
      <c r="D1" s="150"/>
      <c r="E1" s="150"/>
      <c r="F1" s="150"/>
      <c r="G1" s="150"/>
      <c r="H1" s="151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49"/>
      <c r="U1" s="149"/>
      <c r="V1" s="152"/>
      <c r="W1" s="153"/>
      <c r="X1" s="150"/>
      <c r="Y1" s="150"/>
      <c r="Z1" s="150"/>
      <c r="AA1" s="149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4"/>
      <c r="AO1" s="156"/>
      <c r="AP1" s="154">
        <f>SUM(AP5:AP8)</f>
        <v>0</v>
      </c>
      <c r="AQ1" s="198"/>
      <c r="AR1" s="154"/>
      <c r="AS1" s="154">
        <f>SUM(AS5:AS8)</f>
        <v>0</v>
      </c>
      <c r="AT1" s="154"/>
      <c r="AU1" s="154"/>
      <c r="AV1" s="154">
        <f>SUM(AV5:AV8)</f>
        <v>0</v>
      </c>
      <c r="AW1" s="154"/>
      <c r="AX1" s="154"/>
      <c r="AY1" s="154">
        <f>SUM(AY5:AY8)</f>
        <v>0</v>
      </c>
      <c r="AZ1" s="154"/>
      <c r="BA1" s="154"/>
      <c r="BB1" s="154">
        <f>SUM(BB5:BB8)</f>
        <v>0</v>
      </c>
      <c r="BC1" s="154"/>
      <c r="BD1" s="154"/>
      <c r="BE1" s="154">
        <f>SUM(BE5:BE8)</f>
        <v>0</v>
      </c>
      <c r="BF1" s="154">
        <f>SUM(BF5:BF8)</f>
        <v>0</v>
      </c>
      <c r="BG1" s="154"/>
      <c r="BH1" s="154"/>
      <c r="BI1" s="154"/>
      <c r="BJ1" s="154"/>
      <c r="BK1" s="155"/>
      <c r="BL1" s="154"/>
      <c r="BM1" s="154"/>
      <c r="BN1" s="154"/>
      <c r="BO1" s="154">
        <f>SUM(BO5:BO8)</f>
        <v>0</v>
      </c>
      <c r="BP1" s="154"/>
      <c r="BQ1" s="154">
        <f>SUM(BQ5:BQ8)</f>
        <v>0</v>
      </c>
      <c r="BR1" s="154"/>
      <c r="BS1" s="154"/>
      <c r="BT1" s="154"/>
      <c r="BU1" s="154"/>
      <c r="BV1" s="154"/>
      <c r="BW1" s="156"/>
      <c r="BX1" s="154">
        <f>SUM(BX5:BX8)</f>
        <v>0</v>
      </c>
      <c r="BY1" s="154"/>
      <c r="BZ1" s="154"/>
      <c r="CA1" s="154">
        <f>SUM(CA5:CA8)</f>
        <v>0</v>
      </c>
      <c r="CB1" s="154">
        <f>SUM(CB5:CB8)</f>
        <v>0</v>
      </c>
      <c r="CC1" s="154">
        <v>0</v>
      </c>
    </row>
    <row r="2" s="10" customFormat="1" ht="15" spans="1:82">
      <c r="A2" s="133" t="s">
        <v>103</v>
      </c>
      <c r="B2" s="80"/>
      <c r="C2" s="80"/>
      <c r="D2" s="80"/>
      <c r="E2" s="80"/>
      <c r="F2" s="80"/>
      <c r="G2" s="157"/>
      <c r="H2" s="158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9"/>
      <c r="U2" s="159"/>
      <c r="V2" s="160"/>
      <c r="W2" s="161"/>
      <c r="X2" s="157"/>
      <c r="Y2" s="157"/>
      <c r="Z2" s="157"/>
      <c r="AA2" s="159"/>
      <c r="AB2" s="157"/>
      <c r="AC2" s="157"/>
      <c r="AD2" s="157"/>
      <c r="AE2" s="157"/>
      <c r="AF2" s="157"/>
      <c r="AG2" s="254"/>
      <c r="AH2" s="254"/>
      <c r="AI2" s="254"/>
      <c r="AJ2" s="254"/>
      <c r="AK2" s="254"/>
      <c r="AL2" s="254"/>
      <c r="AM2" s="255"/>
      <c r="AN2" s="200"/>
      <c r="AO2" s="200"/>
      <c r="AP2" s="200"/>
      <c r="AQ2" s="200"/>
      <c r="AR2" s="200"/>
      <c r="AS2" s="200"/>
      <c r="AT2" s="200"/>
      <c r="AU2" s="200"/>
      <c r="AV2" s="200"/>
      <c r="AW2" s="200"/>
      <c r="AX2" s="200"/>
      <c r="AY2" s="200"/>
      <c r="AZ2" s="200"/>
      <c r="BA2" s="200"/>
      <c r="BB2" s="200"/>
      <c r="BC2" s="200"/>
      <c r="BD2" s="200"/>
      <c r="BE2" s="200"/>
      <c r="BF2" s="201"/>
      <c r="BG2" s="162" t="s">
        <v>104</v>
      </c>
      <c r="BH2" s="163"/>
      <c r="BI2" s="163"/>
      <c r="BJ2" s="163"/>
      <c r="BK2" s="164"/>
      <c r="BL2" s="163"/>
      <c r="BM2" s="163"/>
      <c r="BN2" s="163"/>
      <c r="BO2" s="163"/>
      <c r="BP2" s="163"/>
      <c r="BQ2" s="256"/>
      <c r="BR2" s="163"/>
      <c r="BS2" s="163"/>
      <c r="BT2" s="163"/>
      <c r="BU2" s="163"/>
      <c r="BV2" s="163"/>
      <c r="BW2" s="165"/>
      <c r="BX2" s="163"/>
      <c r="BY2" s="163"/>
      <c r="BZ2" s="163"/>
      <c r="CA2" s="163"/>
      <c r="CB2" s="163"/>
      <c r="CC2" s="257" t="s">
        <v>105</v>
      </c>
    </row>
    <row r="3" s="10" customFormat="1" ht="15" spans="1:82">
      <c r="A3" s="166" t="s">
        <v>106</v>
      </c>
      <c r="B3" s="167"/>
      <c r="C3" s="167"/>
      <c r="D3" s="167"/>
      <c r="E3" s="167"/>
      <c r="F3" s="167"/>
      <c r="G3" s="167"/>
      <c r="H3" s="168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9"/>
      <c r="U3" s="169"/>
      <c r="V3" s="169"/>
      <c r="W3" s="170"/>
      <c r="X3" s="167"/>
      <c r="Y3" s="167"/>
      <c r="Z3" s="171" t="s">
        <v>107</v>
      </c>
      <c r="AA3" s="169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72" t="s">
        <v>108</v>
      </c>
      <c r="AO3" s="176"/>
      <c r="AP3" s="202"/>
      <c r="AQ3" s="203" t="s">
        <v>109</v>
      </c>
      <c r="AR3" s="173"/>
      <c r="AS3" s="204"/>
      <c r="AT3" s="203" t="s">
        <v>110</v>
      </c>
      <c r="AU3" s="173"/>
      <c r="AV3" s="204"/>
      <c r="AW3" s="172" t="s">
        <v>111</v>
      </c>
      <c r="AX3" s="173"/>
      <c r="AY3" s="173"/>
      <c r="AZ3" s="258" t="s">
        <v>112</v>
      </c>
      <c r="BA3" s="259"/>
      <c r="BB3" s="259"/>
      <c r="BC3" s="258" t="s">
        <v>113</v>
      </c>
      <c r="BD3" s="259"/>
      <c r="BE3" s="259"/>
      <c r="BF3" s="260" t="s">
        <v>48</v>
      </c>
      <c r="BG3" s="172" t="s">
        <v>114</v>
      </c>
      <c r="BH3" s="173"/>
      <c r="BI3" s="173"/>
      <c r="BJ3" s="173"/>
      <c r="BK3" s="174"/>
      <c r="BL3" s="173"/>
      <c r="BM3" s="173"/>
      <c r="BN3" s="175"/>
      <c r="BO3" s="173"/>
      <c r="BP3" s="261" t="s">
        <v>115</v>
      </c>
      <c r="BQ3" s="262"/>
      <c r="BR3" s="172" t="s">
        <v>116</v>
      </c>
      <c r="BS3" s="173"/>
      <c r="BT3" s="173"/>
      <c r="BU3" s="173"/>
      <c r="BV3" s="173"/>
      <c r="BW3" s="176"/>
      <c r="BX3" s="173"/>
      <c r="BY3" s="173" t="s">
        <v>117</v>
      </c>
      <c r="BZ3" s="173"/>
      <c r="CA3" s="173"/>
      <c r="CB3" s="260" t="s">
        <v>48</v>
      </c>
      <c r="CC3" s="183"/>
    </row>
    <row r="4" s="10" customFormat="1" ht="60" spans="1:82">
      <c r="A4" s="178" t="s">
        <v>118</v>
      </c>
      <c r="B4" s="179" t="s">
        <v>119</v>
      </c>
      <c r="C4" s="179" t="s">
        <v>120</v>
      </c>
      <c r="D4" s="179" t="s">
        <v>121</v>
      </c>
      <c r="E4" s="180" t="s">
        <v>122</v>
      </c>
      <c r="F4" s="181" t="s">
        <v>123</v>
      </c>
      <c r="G4" s="180" t="s">
        <v>124</v>
      </c>
      <c r="H4" s="182" t="s">
        <v>125</v>
      </c>
      <c r="I4" s="180" t="s">
        <v>126</v>
      </c>
      <c r="J4" s="180" t="s">
        <v>127</v>
      </c>
      <c r="K4" s="180" t="s">
        <v>128</v>
      </c>
      <c r="L4" s="180" t="s">
        <v>129</v>
      </c>
      <c r="M4" s="180" t="s">
        <v>130</v>
      </c>
      <c r="N4" s="183" t="s">
        <v>131</v>
      </c>
      <c r="O4" s="179" t="s">
        <v>132</v>
      </c>
      <c r="P4" s="180" t="s">
        <v>133</v>
      </c>
      <c r="Q4" s="180" t="s">
        <v>134</v>
      </c>
      <c r="R4" s="180" t="s">
        <v>77</v>
      </c>
      <c r="S4" s="180" t="s">
        <v>135</v>
      </c>
      <c r="T4" s="178" t="s">
        <v>136</v>
      </c>
      <c r="U4" s="178" t="s">
        <v>137</v>
      </c>
      <c r="V4" s="178" t="s">
        <v>138</v>
      </c>
      <c r="W4" s="184" t="s">
        <v>139</v>
      </c>
      <c r="X4" s="179" t="s">
        <v>140</v>
      </c>
      <c r="Y4" s="180" t="s">
        <v>141</v>
      </c>
      <c r="Z4" s="180" t="s">
        <v>142</v>
      </c>
      <c r="AA4" s="181" t="s">
        <v>85</v>
      </c>
      <c r="AB4" s="181" t="s">
        <v>143</v>
      </c>
      <c r="AC4" s="181" t="s">
        <v>144</v>
      </c>
      <c r="AD4" s="180" t="s">
        <v>145</v>
      </c>
      <c r="AE4" s="180" t="s">
        <v>146</v>
      </c>
      <c r="AF4" s="186" t="s">
        <v>147</v>
      </c>
      <c r="AG4" s="263" t="s">
        <v>148</v>
      </c>
      <c r="AH4" s="263" t="s">
        <v>149</v>
      </c>
      <c r="AI4" s="263" t="s">
        <v>150</v>
      </c>
      <c r="AJ4" s="263" t="s">
        <v>151</v>
      </c>
      <c r="AK4" s="263" t="s">
        <v>152</v>
      </c>
      <c r="AL4" s="263" t="s">
        <v>153</v>
      </c>
      <c r="AM4" s="263" t="s">
        <v>9</v>
      </c>
      <c r="AN4" s="177" t="s">
        <v>154</v>
      </c>
      <c r="AO4" s="190" t="s">
        <v>155</v>
      </c>
      <c r="AP4" s="207" t="s">
        <v>156</v>
      </c>
      <c r="AQ4" s="208" t="s">
        <v>157</v>
      </c>
      <c r="AR4" s="177" t="s">
        <v>155</v>
      </c>
      <c r="AS4" s="189" t="s">
        <v>156</v>
      </c>
      <c r="AT4" s="190" t="s">
        <v>158</v>
      </c>
      <c r="AU4" s="190" t="s">
        <v>91</v>
      </c>
      <c r="AV4" s="207" t="s">
        <v>92</v>
      </c>
      <c r="AW4" s="177" t="s">
        <v>157</v>
      </c>
      <c r="AX4" s="177" t="s">
        <v>155</v>
      </c>
      <c r="AY4" s="189" t="s">
        <v>156</v>
      </c>
      <c r="AZ4" s="177" t="s">
        <v>159</v>
      </c>
      <c r="BA4" s="177" t="s">
        <v>155</v>
      </c>
      <c r="BB4" s="189" t="s">
        <v>156</v>
      </c>
      <c r="BC4" s="177" t="s">
        <v>159</v>
      </c>
      <c r="BD4" s="177" t="s">
        <v>155</v>
      </c>
      <c r="BE4" s="189" t="s">
        <v>156</v>
      </c>
      <c r="BF4" s="177" t="s">
        <v>160</v>
      </c>
      <c r="BG4" s="177" t="s">
        <v>161</v>
      </c>
      <c r="BH4" s="177" t="s">
        <v>162</v>
      </c>
      <c r="BI4" s="177" t="s">
        <v>163</v>
      </c>
      <c r="BJ4" s="187" t="s">
        <v>164</v>
      </c>
      <c r="BK4" s="188" t="s">
        <v>165</v>
      </c>
      <c r="BL4" s="177" t="s">
        <v>140</v>
      </c>
      <c r="BM4" s="177" t="s">
        <v>166</v>
      </c>
      <c r="BN4" s="177" t="s">
        <v>155</v>
      </c>
      <c r="BO4" s="189" t="s">
        <v>156</v>
      </c>
      <c r="BP4" s="60" t="s">
        <v>167</v>
      </c>
      <c r="BQ4" s="264" t="s">
        <v>168</v>
      </c>
      <c r="BR4" s="177" t="s">
        <v>169</v>
      </c>
      <c r="BS4" s="177" t="s">
        <v>170</v>
      </c>
      <c r="BT4" s="177" t="s">
        <v>171</v>
      </c>
      <c r="BU4" s="177" t="s">
        <v>172</v>
      </c>
      <c r="BV4" s="177" t="s">
        <v>173</v>
      </c>
      <c r="BW4" s="190" t="s">
        <v>174</v>
      </c>
      <c r="BX4" s="189" t="s">
        <v>175</v>
      </c>
      <c r="BY4" s="177" t="s">
        <v>176</v>
      </c>
      <c r="BZ4" s="177" t="s">
        <v>155</v>
      </c>
      <c r="CA4" s="189" t="s">
        <v>156</v>
      </c>
      <c r="CB4" s="191"/>
      <c r="CC4" s="206"/>
      <c r="CD4" s="10" t="s">
        <v>177</v>
      </c>
    </row>
    <row r="5" ht="14.25" spans="1:82">
      <c r="A5" s="67"/>
      <c r="B5" s="3"/>
      <c r="C5" s="3"/>
      <c r="D5" s="3"/>
      <c r="E5" s="67"/>
      <c r="F5" s="3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4"/>
      <c r="AB5" s="3"/>
      <c r="AC5" s="3"/>
      <c r="AD5" s="3"/>
      <c r="AE5" s="67"/>
      <c r="AF5" s="3"/>
      <c r="AG5" s="67"/>
      <c r="AH5" s="67"/>
      <c r="AI5" s="67"/>
      <c r="AJ5" s="67"/>
      <c r="AK5" s="67"/>
      <c r="AL5" s="67"/>
      <c r="AM5" s="265"/>
      <c r="AN5" s="3"/>
      <c r="AO5" s="213"/>
      <c r="AP5" s="70"/>
      <c r="AQ5" s="68"/>
      <c r="AR5" s="70"/>
      <c r="AS5" s="70"/>
      <c r="AT5" s="212"/>
      <c r="AU5" s="213"/>
      <c r="AV5" s="70"/>
      <c r="AW5" s="3"/>
      <c r="AX5" s="214"/>
      <c r="AY5" s="70"/>
      <c r="AZ5" s="3"/>
      <c r="BA5" s="70"/>
      <c r="BB5" s="70"/>
      <c r="BC5" s="68"/>
      <c r="BD5" s="70"/>
      <c r="BE5" s="70"/>
      <c r="BF5" s="215"/>
      <c r="BG5" s="3"/>
      <c r="BH5" s="3"/>
      <c r="BI5" s="3"/>
      <c r="BJ5" s="3"/>
      <c r="BK5" s="76"/>
      <c r="BL5" s="3"/>
      <c r="BM5" s="194"/>
      <c r="BN5" s="194"/>
      <c r="BO5" s="194"/>
      <c r="BP5" s="3"/>
      <c r="BQ5" s="194"/>
      <c r="BR5" s="194"/>
      <c r="BS5" s="194"/>
      <c r="BT5" s="194"/>
      <c r="BU5" s="194"/>
      <c r="BV5" s="194"/>
      <c r="BW5" s="194"/>
      <c r="BX5" s="194"/>
      <c r="BY5" s="195"/>
      <c r="BZ5" s="194"/>
      <c r="CA5" s="194"/>
      <c r="CB5" s="196"/>
      <c r="CC5" s="216"/>
    </row>
    <row r="6" ht="14.25" spans="1:82">
      <c r="A6" s="67"/>
      <c r="B6" s="3"/>
      <c r="C6" s="3"/>
      <c r="D6" s="3"/>
      <c r="E6" s="67"/>
      <c r="F6" s="3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4"/>
      <c r="AB6" s="3"/>
      <c r="AC6" s="3"/>
      <c r="AD6" s="3"/>
      <c r="AE6" s="67"/>
      <c r="AF6" s="3"/>
      <c r="AG6" s="67"/>
      <c r="AH6" s="67"/>
      <c r="AI6" s="67"/>
      <c r="AJ6" s="67"/>
      <c r="AK6" s="67"/>
      <c r="AL6" s="67"/>
      <c r="AM6" s="265"/>
      <c r="AN6" s="3"/>
      <c r="AO6" s="213"/>
      <c r="AP6" s="70"/>
      <c r="AQ6" s="68"/>
      <c r="AR6" s="70"/>
      <c r="AS6" s="70"/>
      <c r="AT6" s="212"/>
      <c r="AU6" s="213"/>
      <c r="AV6" s="70"/>
      <c r="AW6" s="3"/>
      <c r="AX6" s="214"/>
      <c r="AY6" s="70"/>
      <c r="AZ6" s="3"/>
      <c r="BA6" s="70"/>
      <c r="BB6" s="70"/>
      <c r="BC6" s="68"/>
      <c r="BD6" s="70"/>
      <c r="BE6" s="70"/>
      <c r="BF6" s="215"/>
      <c r="BG6" s="3"/>
      <c r="BH6" s="3"/>
      <c r="BI6" s="3"/>
      <c r="BJ6" s="3"/>
      <c r="BK6" s="76"/>
      <c r="BL6" s="3"/>
      <c r="BM6" s="194"/>
      <c r="BN6" s="194"/>
      <c r="BO6" s="194"/>
      <c r="BP6" s="3"/>
      <c r="BQ6" s="194"/>
      <c r="BR6" s="194"/>
      <c r="BS6" s="194"/>
      <c r="BT6" s="194"/>
      <c r="BU6" s="194"/>
      <c r="BV6" s="194"/>
      <c r="BW6" s="194"/>
      <c r="BX6" s="194"/>
      <c r="BY6" s="195"/>
      <c r="BZ6" s="194"/>
      <c r="CA6" s="194"/>
      <c r="CB6" s="196"/>
      <c r="CC6" s="216"/>
    </row>
    <row r="7" ht="14.25" spans="1:82">
      <c r="A7" s="67"/>
      <c r="B7" s="3"/>
      <c r="C7" s="3"/>
      <c r="D7" s="3"/>
      <c r="E7" s="67"/>
      <c r="F7" s="3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4"/>
      <c r="AB7" s="3"/>
      <c r="AC7" s="3"/>
      <c r="AD7" s="3"/>
      <c r="AE7" s="67"/>
      <c r="AF7" s="3"/>
      <c r="AG7" s="67"/>
      <c r="AH7" s="67"/>
      <c r="AI7" s="67"/>
      <c r="AJ7" s="67"/>
      <c r="AK7" s="67"/>
      <c r="AL7" s="67"/>
      <c r="AM7" s="265"/>
      <c r="AN7" s="3"/>
      <c r="AO7" s="213"/>
      <c r="AP7" s="70"/>
      <c r="AQ7" s="68"/>
      <c r="AR7" s="70"/>
      <c r="AS7" s="70"/>
      <c r="AT7" s="212"/>
      <c r="AU7" s="213"/>
      <c r="AV7" s="70"/>
      <c r="AW7" s="3"/>
      <c r="AX7" s="214"/>
      <c r="AY7" s="70"/>
      <c r="AZ7" s="3"/>
      <c r="BA7" s="70"/>
      <c r="BB7" s="70"/>
      <c r="BC7" s="68"/>
      <c r="BD7" s="70"/>
      <c r="BE7" s="70"/>
      <c r="BF7" s="215"/>
      <c r="BG7" s="3"/>
      <c r="BH7" s="3"/>
      <c r="BI7" s="3"/>
      <c r="BJ7" s="3"/>
      <c r="BK7" s="76"/>
      <c r="BL7" s="3"/>
      <c r="BM7" s="194"/>
      <c r="BN7" s="194"/>
      <c r="BO7" s="194"/>
      <c r="BP7" s="3"/>
      <c r="BQ7" s="194"/>
      <c r="BR7" s="194"/>
      <c r="BS7" s="194"/>
      <c r="BT7" s="194"/>
      <c r="BU7" s="194"/>
      <c r="BV7" s="194"/>
      <c r="BW7" s="194"/>
      <c r="BX7" s="194"/>
      <c r="BY7" s="195"/>
      <c r="BZ7" s="194"/>
      <c r="CA7" s="194"/>
      <c r="CB7" s="196"/>
      <c r="CC7" s="216"/>
    </row>
    <row r="8" ht="14.25" spans="1:82">
      <c r="A8" s="67"/>
      <c r="B8" s="3"/>
      <c r="C8" s="3"/>
      <c r="D8" s="3"/>
      <c r="E8" s="67"/>
      <c r="F8" s="3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4"/>
      <c r="AB8" s="3"/>
      <c r="AC8" s="3"/>
      <c r="AD8" s="3"/>
      <c r="AE8" s="67"/>
      <c r="AF8" s="3"/>
      <c r="AG8" s="67"/>
      <c r="AH8" s="67"/>
      <c r="AI8" s="67"/>
      <c r="AJ8" s="67"/>
      <c r="AK8" s="67"/>
      <c r="AL8" s="67"/>
      <c r="AM8" s="265"/>
      <c r="AN8" s="3"/>
      <c r="AO8" s="213"/>
      <c r="AP8" s="70"/>
      <c r="AQ8" s="68"/>
      <c r="AR8" s="70"/>
      <c r="AS8" s="70"/>
      <c r="AT8" s="212"/>
      <c r="AU8" s="213"/>
      <c r="AV8" s="70"/>
      <c r="AW8" s="3"/>
      <c r="AX8" s="214"/>
      <c r="AY8" s="70"/>
      <c r="AZ8" s="3"/>
      <c r="BA8" s="70"/>
      <c r="BB8" s="70"/>
      <c r="BC8" s="68"/>
      <c r="BD8" s="70"/>
      <c r="BE8" s="70"/>
      <c r="BF8" s="215"/>
      <c r="BG8" s="3"/>
      <c r="BH8" s="3"/>
      <c r="BI8" s="3"/>
      <c r="BJ8" s="3"/>
      <c r="BK8" s="76"/>
      <c r="BL8" s="3"/>
      <c r="BM8" s="194"/>
      <c r="BN8" s="194"/>
      <c r="BO8" s="194"/>
      <c r="BP8" s="3"/>
      <c r="BQ8" s="194"/>
      <c r="BR8" s="194"/>
      <c r="BS8" s="194"/>
      <c r="BT8" s="194"/>
      <c r="BU8" s="194"/>
      <c r="BV8" s="194"/>
      <c r="BW8" s="194"/>
      <c r="BX8" s="194"/>
      <c r="BY8" s="195"/>
      <c r="BZ8" s="194"/>
      <c r="CA8" s="194"/>
      <c r="CB8" s="196"/>
      <c r="CC8" s="216"/>
    </row>
    <row r="9" spans="1:82">
      <c r="A9" s="266" t="s">
        <v>178</v>
      </c>
    </row>
    <row r="766065" customFormat="1" ht="14.25" spans="80:80">
      <c r="CB766065" s="267"/>
    </row>
    <row r="766066" customFormat="1" ht="14.25" spans="80:80">
      <c r="CB766066" s="267"/>
    </row>
    <row r="766067" customFormat="1" ht="14.25" spans="80:80">
      <c r="CB766067" s="267"/>
    </row>
    <row r="766068" customFormat="1" ht="14.25" spans="80:80">
      <c r="CB766068" s="267"/>
    </row>
    <row r="766069" customFormat="1" ht="14.25" spans="80:80">
      <c r="CB766069" s="267"/>
    </row>
    <row r="766070" customFormat="1" ht="14.25" spans="80:80">
      <c r="CB766070" s="267"/>
    </row>
    <row r="766071" customFormat="1" ht="14.25" spans="80:80">
      <c r="CB766071" s="267"/>
    </row>
    <row r="766072" customFormat="1" ht="14.25" spans="80:80">
      <c r="CB766072" s="267"/>
    </row>
    <row r="766073" customFormat="1" ht="14.25" spans="80:80">
      <c r="CB766073" s="267"/>
    </row>
    <row r="766074" customFormat="1" ht="14.25" spans="80:80">
      <c r="CB766074" s="267"/>
    </row>
    <row r="766075" customFormat="1" ht="14.25" spans="80:80">
      <c r="CB766075" s="267"/>
    </row>
    <row r="766076" customFormat="1" ht="14.25" spans="80:80">
      <c r="CB766076" s="267"/>
    </row>
    <row r="766077" customFormat="1" ht="14.25" spans="80:80">
      <c r="CB766077" s="267"/>
    </row>
    <row r="766078" customFormat="1" ht="14.25" spans="80:80">
      <c r="CB766078" s="267"/>
    </row>
    <row r="766079" customFormat="1" ht="14.25" spans="80:80">
      <c r="CB766079" s="267"/>
    </row>
    <row r="766080" customFormat="1" ht="14.25" spans="80:80">
      <c r="CB766080" s="267"/>
    </row>
    <row r="766081" customFormat="1" ht="14.25" spans="80:80">
      <c r="CB766081" s="267"/>
    </row>
    <row r="766082" customFormat="1" ht="14.25" spans="80:80">
      <c r="CB766082" s="267"/>
    </row>
    <row r="766083" customFormat="1" ht="14.25" spans="80:80">
      <c r="CB766083" s="267"/>
    </row>
    <row r="766084" customFormat="1" ht="14.25" spans="80:80">
      <c r="CB766084" s="267"/>
    </row>
    <row r="766085" customFormat="1" ht="14.25" spans="80:80">
      <c r="CB766085" s="267"/>
    </row>
    <row r="766086" customFormat="1" ht="14.25" spans="80:80">
      <c r="CB766086" s="267"/>
    </row>
    <row r="766087" customFormat="1" ht="14.25" spans="80:80">
      <c r="CB766087" s="267"/>
    </row>
    <row r="766088" customFormat="1" ht="14.25" spans="80:80">
      <c r="CB766088" s="267"/>
    </row>
    <row r="766089" customFormat="1" ht="14.25" spans="80:80">
      <c r="CB766089" s="267"/>
    </row>
    <row r="766090" customFormat="1" ht="14.25" spans="80:80">
      <c r="CB766090" s="267"/>
    </row>
    <row r="766091" customFormat="1" ht="14.25" spans="80:80">
      <c r="CB766091" s="267"/>
    </row>
    <row r="766092" customFormat="1" ht="14.25" spans="80:80">
      <c r="CB766092" s="267"/>
    </row>
    <row r="766093" customFormat="1" ht="14.25" spans="80:80">
      <c r="CB766093" s="267"/>
    </row>
    <row r="766094" customFormat="1" ht="14.25" spans="80:80">
      <c r="CB766094" s="267"/>
    </row>
    <row r="766095" customFormat="1" ht="14.25" spans="80:80">
      <c r="CB766095" s="267"/>
    </row>
    <row r="766096" customFormat="1" ht="14.25" spans="80:80">
      <c r="CB766096" s="267"/>
    </row>
    <row r="766097" customFormat="1" ht="14.25" spans="80:80">
      <c r="CB766097" s="267"/>
    </row>
    <row r="766098" customFormat="1" ht="14.25" spans="80:80">
      <c r="CB766098" s="267"/>
    </row>
    <row r="766099" customFormat="1" ht="14.25" spans="80:80">
      <c r="CB766099" s="267"/>
    </row>
    <row r="766100" customFormat="1" ht="14.25" spans="80:80">
      <c r="CB766100" s="267"/>
    </row>
    <row r="766101" customFormat="1" ht="14.25" spans="80:80">
      <c r="CB766101" s="267"/>
    </row>
    <row r="766102" customFormat="1" ht="14.25" spans="80:80">
      <c r="CB766102" s="267"/>
    </row>
    <row r="766103" customFormat="1" ht="14.25" spans="80:80">
      <c r="CB766103" s="267"/>
    </row>
    <row r="766104" customFormat="1" ht="14.25" spans="80:80">
      <c r="CB766104" s="267"/>
    </row>
    <row r="766105" customFormat="1" ht="14.25" spans="80:80">
      <c r="CB766105" s="267"/>
    </row>
    <row r="766106" customFormat="1" ht="14.25" spans="80:80">
      <c r="CB766106" s="267"/>
    </row>
    <row r="766107" customFormat="1" ht="14.25" spans="80:80">
      <c r="CB766107" s="267"/>
    </row>
    <row r="766108" customFormat="1" ht="14.25" spans="80:80">
      <c r="CB766108" s="267"/>
    </row>
    <row r="766109" customFormat="1" ht="14.25" spans="80:80">
      <c r="CB766109" s="267"/>
    </row>
    <row r="766110" customFormat="1" ht="14.25" spans="80:80">
      <c r="CB766110" s="267"/>
    </row>
    <row r="766111" customFormat="1" ht="14.25" spans="80:80">
      <c r="CB766111" s="267"/>
    </row>
    <row r="766112" customFormat="1" ht="14.25" spans="80:80">
      <c r="CB766112" s="267"/>
    </row>
    <row r="766113" customFormat="1" ht="14.25" spans="80:80">
      <c r="CB766113" s="267"/>
    </row>
    <row r="766114" customFormat="1" ht="14.25" spans="80:80">
      <c r="CB766114" s="267"/>
    </row>
    <row r="766115" customFormat="1" ht="14.25" spans="80:80">
      <c r="CB766115" s="267"/>
    </row>
    <row r="766116" customFormat="1" ht="14.25" spans="80:80">
      <c r="CB766116" s="267"/>
    </row>
    <row r="766117" customFormat="1" ht="14.25" spans="80:80">
      <c r="CB766117" s="267"/>
    </row>
    <row r="766118" customFormat="1" ht="14.25" spans="80:80">
      <c r="CB766118" s="267"/>
    </row>
    <row r="766119" customFormat="1" ht="14.25" spans="80:80">
      <c r="CB766119" s="267"/>
    </row>
    <row r="766120" customFormat="1" ht="14.25" spans="80:80">
      <c r="CB766120" s="267"/>
    </row>
    <row r="766121" customFormat="1" ht="14.25" spans="80:80">
      <c r="CB766121" s="267"/>
    </row>
    <row r="766122" customFormat="1" ht="14.25" spans="80:80">
      <c r="CB766122" s="267"/>
    </row>
    <row r="766123" customFormat="1" ht="14.25" spans="80:80">
      <c r="CB766123" s="267"/>
    </row>
    <row r="766124" customFormat="1" ht="14.25" spans="80:80">
      <c r="CB766124" s="267"/>
    </row>
    <row r="766125" customFormat="1" ht="14.25" spans="80:80">
      <c r="CB766125" s="267"/>
    </row>
    <row r="766126" customFormat="1" ht="14.25" spans="80:80">
      <c r="CB766126" s="267"/>
    </row>
    <row r="766127" customFormat="1" ht="14.25" spans="80:80">
      <c r="CB766127" s="267"/>
    </row>
    <row r="766128" customFormat="1" ht="14.25" spans="80:80">
      <c r="CB766128" s="267"/>
    </row>
    <row r="766129" customFormat="1" ht="14.25" spans="80:80">
      <c r="CB766129" s="267"/>
    </row>
    <row r="766130" customFormat="1" ht="14.25" spans="80:80">
      <c r="CB766130" s="267"/>
    </row>
    <row r="766131" customFormat="1" ht="14.25" spans="80:80">
      <c r="CB766131" s="267"/>
    </row>
    <row r="766132" customFormat="1" ht="14.25" spans="80:80">
      <c r="CB766132" s="267"/>
    </row>
    <row r="766133" customFormat="1" ht="14.25" spans="80:80">
      <c r="CB766133" s="267"/>
    </row>
    <row r="766134" customFormat="1" ht="14.25" spans="80:80">
      <c r="CB766134" s="267"/>
    </row>
    <row r="766135" customFormat="1" ht="14.25" spans="80:80">
      <c r="CB766135" s="267"/>
    </row>
    <row r="766136" customFormat="1" ht="14.25" spans="80:80">
      <c r="CB766136" s="267"/>
    </row>
    <row r="766137" customFormat="1" ht="14.25" spans="80:80">
      <c r="CB766137" s="267"/>
    </row>
    <row r="766138" customFormat="1" ht="14.25" spans="80:80">
      <c r="CB766138" s="267"/>
    </row>
    <row r="766139" customFormat="1" ht="14.25" spans="80:80">
      <c r="CB766139" s="267"/>
    </row>
    <row r="766140" customFormat="1" ht="14.25" spans="80:80">
      <c r="CB766140" s="267"/>
    </row>
    <row r="766141" customFormat="1" ht="14.25" spans="80:80">
      <c r="CB766141" s="267"/>
    </row>
    <row r="766142" customFormat="1" ht="14.25" spans="80:80">
      <c r="CB766142" s="267"/>
    </row>
    <row r="766143" customFormat="1" ht="14.25" spans="80:80">
      <c r="CB766143" s="267"/>
    </row>
    <row r="766144" customFormat="1" ht="14.25" spans="80:80">
      <c r="CB766144" s="267"/>
    </row>
    <row r="766145" customFormat="1" ht="14.25" spans="80:80">
      <c r="CB766145" s="267"/>
    </row>
    <row r="766146" customFormat="1" ht="14.25" spans="80:80">
      <c r="CB766146" s="267"/>
    </row>
    <row r="766147" customFormat="1" ht="14.25" spans="80:80">
      <c r="CB766147" s="267"/>
    </row>
    <row r="766148" customFormat="1" ht="14.25" spans="80:80">
      <c r="CB766148" s="267"/>
    </row>
    <row r="766149" customFormat="1" ht="14.25" spans="80:80">
      <c r="CB766149" s="267"/>
    </row>
    <row r="766150" customFormat="1" ht="14.25" spans="80:80">
      <c r="CB766150" s="267"/>
    </row>
    <row r="766151" customFormat="1" ht="14.25" spans="80:80">
      <c r="CB766151" s="267"/>
    </row>
    <row r="766152" customFormat="1" ht="14.25" spans="80:80">
      <c r="CB766152" s="267"/>
    </row>
    <row r="766153" customFormat="1" ht="14.25" spans="80:80">
      <c r="CB766153" s="267"/>
    </row>
    <row r="766154" customFormat="1" ht="14.25" spans="80:80">
      <c r="CB766154" s="267"/>
    </row>
    <row r="766155" customFormat="1" ht="14.25" spans="80:80">
      <c r="CB766155" s="267"/>
    </row>
    <row r="766156" customFormat="1" ht="14.25" spans="80:80">
      <c r="CB766156" s="267"/>
    </row>
    <row r="766157" customFormat="1" ht="14.25" spans="80:80">
      <c r="CB766157" s="267"/>
    </row>
    <row r="766158" customFormat="1" ht="14.25" spans="80:80">
      <c r="CB766158" s="267"/>
    </row>
    <row r="766159" customFormat="1" ht="14.25" spans="80:80">
      <c r="CB766159" s="267"/>
    </row>
    <row r="766160" customFormat="1" ht="14.25" spans="80:80">
      <c r="CB766160" s="267"/>
    </row>
    <row r="766161" customFormat="1" ht="14.25" spans="80:80">
      <c r="CB766161" s="267"/>
    </row>
    <row r="766162" customFormat="1" ht="14.25" spans="80:80">
      <c r="CB766162" s="267"/>
    </row>
    <row r="766163" customFormat="1" ht="14.25" spans="80:80">
      <c r="CB766163" s="267"/>
    </row>
    <row r="766164" customFormat="1" ht="14.25" spans="80:80">
      <c r="CB766164" s="267"/>
    </row>
    <row r="766165" customFormat="1" ht="14.25" spans="80:80">
      <c r="CB766165" s="267"/>
    </row>
    <row r="766166" customFormat="1" ht="14.25" spans="80:80">
      <c r="CB766166" s="267"/>
    </row>
    <row r="766167" customFormat="1" ht="14.25" spans="80:80">
      <c r="CB766167" s="267"/>
    </row>
    <row r="766168" customFormat="1" ht="14.25" spans="80:80">
      <c r="CB766168" s="267"/>
    </row>
    <row r="766169" customFormat="1" ht="14.25" spans="80:80">
      <c r="CB766169" s="267"/>
    </row>
    <row r="766170" customFormat="1" ht="14.25" spans="80:80">
      <c r="CB766170" s="267"/>
    </row>
    <row r="766171" customFormat="1" ht="14.25" spans="80:80">
      <c r="CB766171" s="267"/>
    </row>
    <row r="766172" customFormat="1" ht="14.25" spans="80:80">
      <c r="CB766172" s="267"/>
    </row>
    <row r="766173" customFormat="1" ht="14.25" spans="80:80">
      <c r="CB766173" s="267"/>
    </row>
    <row r="766174" customFormat="1" ht="14.25" spans="80:80">
      <c r="CB766174" s="267"/>
    </row>
    <row r="766175" customFormat="1" ht="14.25" spans="80:80">
      <c r="CB766175" s="267"/>
    </row>
    <row r="766176" customFormat="1" ht="14.25" spans="80:80">
      <c r="CB766176" s="267"/>
    </row>
    <row r="766177" customFormat="1" ht="14.25" spans="80:80">
      <c r="CB766177" s="267"/>
    </row>
    <row r="766178" customFormat="1" ht="14.25" spans="80:80">
      <c r="CB766178" s="267"/>
    </row>
    <row r="766179" customFormat="1" ht="14.25" spans="80:80">
      <c r="CB766179" s="267"/>
    </row>
    <row r="766180" customFormat="1" ht="14.25" spans="80:80">
      <c r="CB766180" s="267"/>
    </row>
    <row r="766181" customFormat="1" ht="14.25" spans="80:80">
      <c r="CB766181" s="267"/>
    </row>
    <row r="766182" customFormat="1" ht="14.25" spans="80:80">
      <c r="CB766182" s="267"/>
    </row>
    <row r="766183" customFormat="1" ht="14.25" spans="80:80">
      <c r="CB766183" s="267"/>
    </row>
    <row r="766184" customFormat="1" ht="14.25" spans="80:80">
      <c r="CB766184" s="267"/>
    </row>
    <row r="766185" customFormat="1" ht="14.25" spans="80:80">
      <c r="CB766185" s="267"/>
    </row>
    <row r="766186" customFormat="1" ht="14.25" spans="80:80">
      <c r="CB766186" s="267"/>
    </row>
    <row r="766187" customFormat="1" ht="14.25" spans="80:80">
      <c r="CB766187" s="267"/>
    </row>
    <row r="766188" customFormat="1" ht="14.25" spans="80:80">
      <c r="CB766188" s="267"/>
    </row>
    <row r="766189" customFormat="1" ht="14.25" spans="80:80">
      <c r="CB766189" s="267"/>
    </row>
    <row r="766190" customFormat="1" ht="14.25" spans="80:80">
      <c r="CB766190" s="267"/>
    </row>
    <row r="766191" customFormat="1" ht="14.25" spans="80:80">
      <c r="CB766191" s="267"/>
    </row>
    <row r="766192" customFormat="1" ht="14.25" spans="80:80">
      <c r="CB766192" s="267"/>
    </row>
    <row r="766193" customFormat="1" ht="14.25" spans="80:80">
      <c r="CB766193" s="267"/>
    </row>
    <row r="766194" customFormat="1" ht="14.25" spans="80:80">
      <c r="CB766194" s="267"/>
    </row>
    <row r="766195" customFormat="1" ht="14.25" spans="80:80">
      <c r="CB766195" s="267"/>
    </row>
    <row r="766196" customFormat="1" ht="14.25" spans="80:80">
      <c r="CB766196" s="267"/>
    </row>
    <row r="766197" customFormat="1" ht="14.25" spans="80:80">
      <c r="CB766197" s="267"/>
    </row>
    <row r="766198" customFormat="1" ht="14.25" spans="80:80">
      <c r="CB766198" s="267"/>
    </row>
    <row r="766199" customFormat="1" ht="14.25" spans="80:80">
      <c r="CB766199" s="267"/>
    </row>
    <row r="766200" customFormat="1" ht="14.25" spans="80:80">
      <c r="CB766200" s="267"/>
    </row>
    <row r="766201" customFormat="1" ht="14.25" spans="80:80">
      <c r="CB766201" s="267"/>
    </row>
    <row r="766202" customFormat="1" ht="14.25" spans="80:80">
      <c r="CB766202" s="267"/>
    </row>
    <row r="766203" customFormat="1" ht="14.25" spans="80:80">
      <c r="CB766203" s="267"/>
    </row>
    <row r="766204" customFormat="1" ht="14.25" spans="80:80">
      <c r="CB766204" s="267"/>
    </row>
    <row r="766205" customFormat="1" ht="14.25" spans="80:80">
      <c r="CB766205" s="267"/>
    </row>
    <row r="766206" customFormat="1" ht="14.25" spans="80:80">
      <c r="CB766206" s="267"/>
    </row>
    <row r="766207" customFormat="1" ht="14.25" spans="80:80">
      <c r="CB766207" s="267"/>
    </row>
    <row r="766208" customFormat="1" ht="14.25" spans="80:80">
      <c r="CB766208" s="267"/>
    </row>
    <row r="766209" customFormat="1" ht="14.25" spans="80:80">
      <c r="CB766209" s="267"/>
    </row>
    <row r="766210" customFormat="1" ht="14.25" spans="80:80">
      <c r="CB766210" s="267"/>
    </row>
    <row r="766211" customFormat="1" ht="14.25" spans="80:80">
      <c r="CB766211" s="267"/>
    </row>
    <row r="766212" customFormat="1" ht="14.25" spans="80:80">
      <c r="CB766212" s="267"/>
    </row>
    <row r="766213" customFormat="1" ht="14.25" spans="80:80">
      <c r="CB766213" s="267"/>
    </row>
    <row r="766214" customFormat="1" ht="14.25" spans="80:80">
      <c r="CB766214" s="267"/>
    </row>
    <row r="766215" customFormat="1" ht="14.25" spans="80:80">
      <c r="CB766215" s="267"/>
    </row>
    <row r="766216" customFormat="1" ht="14.25" spans="80:80">
      <c r="CB766216" s="267"/>
    </row>
    <row r="766217" customFormat="1" ht="14.25" spans="80:80">
      <c r="CB766217" s="267"/>
    </row>
    <row r="766218" customFormat="1" ht="14.25" spans="80:80">
      <c r="CB766218" s="267"/>
    </row>
    <row r="766219" customFormat="1" ht="14.25" spans="80:80">
      <c r="CB766219" s="267"/>
    </row>
    <row r="766220" customFormat="1" ht="14.25" spans="80:80">
      <c r="CB766220" s="267"/>
    </row>
    <row r="766221" customFormat="1" ht="14.25" spans="80:80">
      <c r="CB766221" s="267"/>
    </row>
    <row r="766222" customFormat="1" ht="14.25" spans="80:80">
      <c r="CB766222" s="267"/>
    </row>
    <row r="766223" customFormat="1" ht="14.25" spans="80:80">
      <c r="CB766223" s="267"/>
    </row>
    <row r="766224" customFormat="1" ht="14.25" spans="80:80">
      <c r="CB766224" s="267"/>
    </row>
    <row r="766225" customFormat="1" ht="14.25" spans="80:80">
      <c r="CB766225" s="267"/>
    </row>
    <row r="766226" customFormat="1" ht="14.25" spans="80:80">
      <c r="CB766226" s="267"/>
    </row>
    <row r="766227" customFormat="1" ht="14.25" spans="80:80">
      <c r="CB766227" s="267"/>
    </row>
    <row r="766228" customFormat="1" ht="14.25" spans="80:80">
      <c r="CB766228" s="267"/>
    </row>
    <row r="766229" customFormat="1" ht="14.25" spans="80:80">
      <c r="CB766229" s="267"/>
    </row>
    <row r="766230" customFormat="1" ht="14.25" spans="80:80">
      <c r="CB766230" s="267"/>
    </row>
    <row r="766231" customFormat="1" ht="14.25" spans="80:80">
      <c r="CB766231" s="267"/>
    </row>
    <row r="766232" customFormat="1" ht="14.25" spans="80:80">
      <c r="CB766232" s="267"/>
    </row>
    <row r="766233" customFormat="1" ht="14.25" spans="80:80">
      <c r="CB766233" s="267"/>
    </row>
    <row r="766234" customFormat="1" ht="14.25" spans="80:80">
      <c r="CB766234" s="267"/>
    </row>
    <row r="766235" customFormat="1" ht="14.25" spans="80:80">
      <c r="CB766235" s="267"/>
    </row>
    <row r="766236" customFormat="1" ht="14.25" spans="80:80">
      <c r="CB766236" s="267"/>
    </row>
    <row r="766237" customFormat="1" ht="14.25" spans="80:80">
      <c r="CB766237" s="267"/>
    </row>
    <row r="766238" customFormat="1" ht="14.25" spans="80:80">
      <c r="CB766238" s="267"/>
    </row>
    <row r="766239" customFormat="1" ht="14.25" spans="80:80">
      <c r="CB766239" s="267"/>
    </row>
    <row r="766240" customFormat="1" ht="14.25" spans="80:80">
      <c r="CB766240" s="267"/>
    </row>
    <row r="766241" customFormat="1" ht="14.25" spans="80:80">
      <c r="CB766241" s="267"/>
    </row>
    <row r="766242" customFormat="1" ht="14.25" spans="80:80">
      <c r="CB766242" s="267"/>
    </row>
    <row r="766243" customFormat="1" ht="14.25" spans="80:80">
      <c r="CB766243" s="267"/>
    </row>
    <row r="766244" customFormat="1" ht="14.25" spans="80:80">
      <c r="CB766244" s="267"/>
    </row>
    <row r="766245" customFormat="1" ht="14.25" spans="80:80">
      <c r="CB766245" s="267"/>
    </row>
    <row r="766246" customFormat="1" ht="14.25" spans="80:80">
      <c r="CB766246" s="267"/>
    </row>
    <row r="766247" customFormat="1" ht="14.25" spans="80:80">
      <c r="CB766247" s="267"/>
    </row>
    <row r="766248" customFormat="1" ht="14.25" spans="80:80">
      <c r="CB766248" s="267"/>
    </row>
    <row r="766249" customFormat="1" ht="14.25" spans="80:80">
      <c r="CB766249" s="267"/>
    </row>
    <row r="766250" customFormat="1" ht="14.25" spans="80:80">
      <c r="CB766250" s="267"/>
    </row>
    <row r="766251" customFormat="1" ht="14.25" spans="80:80">
      <c r="CB766251" s="267"/>
    </row>
    <row r="766252" customFormat="1" ht="14.25" spans="80:80">
      <c r="CB766252" s="267"/>
    </row>
    <row r="766253" customFormat="1" ht="14.25" spans="80:80">
      <c r="CB766253" s="267"/>
    </row>
    <row r="766254" customFormat="1" ht="14.25" spans="80:80">
      <c r="CB766254" s="267"/>
    </row>
    <row r="766255" customFormat="1" ht="14.25" spans="80:80">
      <c r="CB766255" s="267"/>
    </row>
    <row r="766256" customFormat="1" ht="14.25" spans="80:80">
      <c r="CB766256" s="267"/>
    </row>
    <row r="766257" customFormat="1" ht="14.25" spans="80:80">
      <c r="CB766257" s="267"/>
    </row>
    <row r="766258" customFormat="1" ht="14.25" spans="80:80">
      <c r="CB766258" s="267"/>
    </row>
    <row r="766259" customFormat="1" ht="14.25" spans="80:80">
      <c r="CB766259" s="267"/>
    </row>
    <row r="766260" customFormat="1" ht="14.25" spans="80:80">
      <c r="CB766260" s="267"/>
    </row>
    <row r="766261" customFormat="1" ht="14.25" spans="80:80">
      <c r="CB766261" s="267"/>
    </row>
    <row r="766262" customFormat="1" ht="14.25" spans="80:80">
      <c r="CB766262" s="267"/>
    </row>
    <row r="766263" customFormat="1" ht="14.25" spans="80:80">
      <c r="CB766263" s="267"/>
    </row>
    <row r="766264" customFormat="1" ht="14.25" spans="80:80">
      <c r="CB766264" s="267"/>
    </row>
    <row r="766265" customFormat="1" ht="14.25" spans="80:80">
      <c r="CB766265" s="267"/>
    </row>
    <row r="766266" customFormat="1" ht="14.25" spans="80:80">
      <c r="CB766266" s="267"/>
    </row>
    <row r="766267" customFormat="1" ht="14.25" spans="80:80">
      <c r="CB766267" s="267"/>
    </row>
    <row r="766268" customFormat="1" ht="14.25" spans="80:80">
      <c r="CB766268" s="267"/>
    </row>
    <row r="766269" customFormat="1" ht="14.25" spans="80:80">
      <c r="CB766269" s="267"/>
    </row>
    <row r="766270" customFormat="1" ht="14.25" spans="80:80">
      <c r="CB766270" s="267"/>
    </row>
    <row r="766271" customFormat="1" ht="14.25" spans="80:80">
      <c r="CB766271" s="267"/>
    </row>
    <row r="766272" customFormat="1" ht="14.25" spans="80:80">
      <c r="CB766272" s="267"/>
    </row>
    <row r="766273" customFormat="1" ht="14.25" spans="80:80">
      <c r="CB766273" s="267"/>
    </row>
    <row r="766274" customFormat="1" ht="14.25" spans="80:80">
      <c r="CB766274" s="267"/>
    </row>
    <row r="766275" customFormat="1" ht="14.25" spans="80:80">
      <c r="CB766275" s="267"/>
    </row>
    <row r="766276" customFormat="1" ht="14.25" spans="80:80">
      <c r="CB766276" s="267"/>
    </row>
    <row r="766277" customFormat="1" ht="14.25" spans="80:80">
      <c r="CB766277" s="267"/>
    </row>
    <row r="766278" customFormat="1" ht="14.25" spans="80:80">
      <c r="CB766278" s="267"/>
    </row>
    <row r="766279" customFormat="1" ht="14.25" spans="80:80">
      <c r="CB766279" s="267"/>
    </row>
    <row r="766280" customFormat="1" ht="14.25" spans="80:80">
      <c r="CB766280" s="267"/>
    </row>
    <row r="766281" customFormat="1" ht="14.25" spans="80:80">
      <c r="CB766281" s="267"/>
    </row>
    <row r="766282" customFormat="1" ht="14.25" spans="80:80">
      <c r="CB766282" s="267"/>
    </row>
    <row r="766283" customFormat="1" ht="14.25" spans="80:80">
      <c r="CB766283" s="267"/>
    </row>
    <row r="766284" customFormat="1" ht="14.25" spans="80:80">
      <c r="CB766284" s="267"/>
    </row>
    <row r="766285" customFormat="1" ht="14.25" spans="80:80">
      <c r="CB766285" s="267"/>
    </row>
    <row r="766286" customFormat="1" ht="14.25" spans="80:80">
      <c r="CB766286" s="267"/>
    </row>
    <row r="766287" customFormat="1" ht="14.25" spans="80:80">
      <c r="CB766287" s="267"/>
    </row>
    <row r="766288" customFormat="1" ht="14.25" spans="80:80">
      <c r="CB766288" s="267"/>
    </row>
    <row r="766289" customFormat="1" ht="14.25" spans="80:80">
      <c r="CB766289" s="267"/>
    </row>
    <row r="766290" customFormat="1" ht="14.25" spans="80:80">
      <c r="CB766290" s="267"/>
    </row>
    <row r="766291" customFormat="1" ht="14.25" spans="80:80">
      <c r="CB766291" s="267"/>
    </row>
    <row r="766292" customFormat="1" ht="14.25" spans="80:80">
      <c r="CB766292" s="267"/>
    </row>
    <row r="766293" customFormat="1" ht="14.25" spans="80:80">
      <c r="CB766293" s="267"/>
    </row>
    <row r="766294" customFormat="1" ht="14.25" spans="80:80">
      <c r="CB766294" s="267"/>
    </row>
    <row r="766295" customFormat="1" ht="14.25" spans="80:80">
      <c r="CB766295" s="267"/>
    </row>
    <row r="766296" customFormat="1" ht="14.25" spans="80:80">
      <c r="CB766296" s="267"/>
    </row>
    <row r="766297" customFormat="1" ht="14.25" spans="80:80">
      <c r="CB766297" s="267"/>
    </row>
    <row r="766298" customFormat="1" ht="14.25" spans="80:80">
      <c r="CB766298" s="267"/>
    </row>
    <row r="766299" customFormat="1" ht="14.25" spans="80:80">
      <c r="CB766299" s="267"/>
    </row>
    <row r="766300" customFormat="1" ht="14.25" spans="80:80">
      <c r="CB766300" s="267"/>
    </row>
    <row r="766301" customFormat="1" ht="14.25" spans="80:80">
      <c r="CB766301" s="267"/>
    </row>
    <row r="766302" customFormat="1" ht="14.25" spans="80:80">
      <c r="CB766302" s="267"/>
    </row>
    <row r="766303" customFormat="1" ht="14.25" spans="80:80">
      <c r="CB766303" s="267"/>
    </row>
    <row r="766304" customFormat="1" ht="14.25" spans="80:80">
      <c r="CB766304" s="267"/>
    </row>
    <row r="766305" customFormat="1" ht="14.25" spans="80:80">
      <c r="CB766305" s="267"/>
    </row>
    <row r="766306" customFormat="1" ht="14.25" spans="80:80">
      <c r="CB766306" s="267"/>
    </row>
    <row r="766307" customFormat="1" ht="14.25" spans="80:80">
      <c r="CB766307" s="267"/>
    </row>
    <row r="766308" customFormat="1" ht="14.25" spans="80:80">
      <c r="CB766308" s="267"/>
    </row>
    <row r="766309" customFormat="1" ht="14.25" spans="80:80">
      <c r="CB766309" s="267"/>
    </row>
    <row r="766310" customFormat="1" ht="14.25" spans="80:80">
      <c r="CB766310" s="267"/>
    </row>
    <row r="766311" customFormat="1" ht="14.25" spans="80:80">
      <c r="CB766311" s="267"/>
    </row>
    <row r="766312" customFormat="1" ht="14.25" spans="80:80">
      <c r="CB766312" s="267"/>
    </row>
    <row r="766313" customFormat="1" ht="14.25" spans="80:80">
      <c r="CB766313" s="267"/>
    </row>
    <row r="766314" customFormat="1" ht="14.25" spans="80:80">
      <c r="CB766314" s="267"/>
    </row>
    <row r="766315" customFormat="1" ht="14.25" spans="80:80">
      <c r="CB766315" s="267"/>
    </row>
    <row r="766316" customFormat="1" ht="14.25" spans="80:80">
      <c r="CB766316" s="267"/>
    </row>
    <row r="766317" customFormat="1" ht="14.25" spans="80:80">
      <c r="CB766317" s="267"/>
    </row>
    <row r="766318" customFormat="1" ht="14.25" spans="80:80">
      <c r="CB766318" s="267"/>
    </row>
    <row r="766319" customFormat="1" ht="14.25" spans="80:80">
      <c r="CB766319" s="267"/>
    </row>
    <row r="766320" customFormat="1" ht="14.25" spans="80:80">
      <c r="CB766320" s="267"/>
    </row>
    <row r="766321" customFormat="1" ht="14.25" spans="80:80">
      <c r="CB766321" s="267"/>
    </row>
    <row r="766322" customFormat="1" ht="14.25" spans="80:80">
      <c r="CB766322" s="267"/>
    </row>
    <row r="766323" customFormat="1" ht="14.25" spans="80:80">
      <c r="CB766323" s="267"/>
    </row>
    <row r="766324" customFormat="1" ht="14.25" spans="80:80">
      <c r="CB766324" s="267"/>
    </row>
    <row r="766325" customFormat="1" ht="14.25" spans="80:80">
      <c r="CB766325" s="267"/>
    </row>
    <row r="766326" customFormat="1" ht="14.25" spans="80:80">
      <c r="CB766326" s="267"/>
    </row>
    <row r="766327" customFormat="1" ht="14.25" spans="80:80">
      <c r="CB766327" s="267"/>
    </row>
    <row r="766328" customFormat="1" ht="14.25" spans="80:80">
      <c r="CB766328" s="267"/>
    </row>
    <row r="766329" customFormat="1" ht="14.25" spans="80:80">
      <c r="CB766329" s="267"/>
    </row>
    <row r="766330" customFormat="1" ht="14.25" spans="80:80">
      <c r="CB766330" s="267"/>
    </row>
    <row r="766331" customFormat="1" ht="14.25" spans="80:80">
      <c r="CB766331" s="267"/>
    </row>
    <row r="766332" customFormat="1" ht="14.25" spans="80:80">
      <c r="CB766332" s="267"/>
    </row>
    <row r="766333" customFormat="1" ht="14.25" spans="80:80">
      <c r="CB766333" s="267"/>
    </row>
    <row r="766334" customFormat="1" ht="14.25" spans="80:80">
      <c r="CB766334" s="267"/>
    </row>
    <row r="766335" customFormat="1" ht="14.25" spans="80:80">
      <c r="CB766335" s="267"/>
    </row>
    <row r="766336" customFormat="1" ht="14.25" spans="80:80">
      <c r="CB766336" s="267"/>
    </row>
    <row r="766337" customFormat="1" ht="14.25" spans="80:80">
      <c r="CB766337" s="267"/>
    </row>
    <row r="766338" customFormat="1" ht="14.25" spans="80:80">
      <c r="CB766338" s="267"/>
    </row>
    <row r="766339" customFormat="1" ht="14.25" spans="80:80">
      <c r="CB766339" s="267"/>
    </row>
    <row r="766340" customFormat="1" ht="14.25" spans="80:80">
      <c r="CB766340" s="267"/>
    </row>
    <row r="766341" customFormat="1" ht="14.25" spans="80:80">
      <c r="CB766341" s="267"/>
    </row>
    <row r="766342" customFormat="1" ht="14.25" spans="80:80">
      <c r="CB766342" s="267"/>
    </row>
    <row r="766343" customFormat="1" ht="14.25" spans="80:80">
      <c r="CB766343" s="267"/>
    </row>
    <row r="766344" customFormat="1" ht="14.25" spans="80:80">
      <c r="CB766344" s="267"/>
    </row>
    <row r="766345" customFormat="1" ht="14.25" spans="80:80">
      <c r="CB766345" s="267"/>
    </row>
    <row r="766346" customFormat="1" ht="14.25" spans="80:80">
      <c r="CB766346" s="267"/>
    </row>
    <row r="766347" customFormat="1" ht="14.25" spans="80:80">
      <c r="CB766347" s="267"/>
    </row>
    <row r="766348" customFormat="1" ht="14.25" spans="80:80">
      <c r="CB766348" s="267"/>
    </row>
    <row r="766349" customFormat="1" ht="14.25" spans="80:80">
      <c r="CB766349" s="267"/>
    </row>
    <row r="766350" customFormat="1" ht="14.25" spans="80:80">
      <c r="CB766350" s="267"/>
    </row>
    <row r="766351" customFormat="1" ht="14.25" spans="80:80">
      <c r="CB766351" s="267"/>
    </row>
    <row r="766352" customFormat="1" ht="14.25" spans="80:80">
      <c r="CB766352" s="267"/>
    </row>
    <row r="766353" customFormat="1" ht="14.25" spans="80:80">
      <c r="CB766353" s="267"/>
    </row>
    <row r="766354" customFormat="1" ht="14.25" spans="80:80">
      <c r="CB766354" s="267"/>
    </row>
    <row r="766355" customFormat="1" ht="14.25" spans="80:80">
      <c r="CB766355" s="267"/>
    </row>
    <row r="766356" customFormat="1" ht="14.25" spans="80:80">
      <c r="CB766356" s="267"/>
    </row>
    <row r="766357" customFormat="1" ht="14.25" spans="80:80">
      <c r="CB766357" s="267"/>
    </row>
    <row r="766358" customFormat="1" ht="14.25" spans="80:80">
      <c r="CB766358" s="267"/>
    </row>
    <row r="766359" customFormat="1" ht="14.25" spans="80:80">
      <c r="CB766359" s="267"/>
    </row>
    <row r="766360" customFormat="1" ht="14.25" spans="80:80">
      <c r="CB766360" s="267"/>
    </row>
    <row r="766361" customFormat="1" ht="14.25" spans="80:80">
      <c r="CB766361" s="267"/>
    </row>
    <row r="766362" customFormat="1" ht="14.25" spans="80:80">
      <c r="CB766362" s="267"/>
    </row>
    <row r="766363" customFormat="1" ht="14.25" spans="80:80">
      <c r="CB766363" s="267"/>
    </row>
    <row r="766364" customFormat="1" ht="14.25" spans="80:80">
      <c r="CB766364" s="267"/>
    </row>
    <row r="766365" customFormat="1" ht="14.25" spans="80:80">
      <c r="CB766365" s="267"/>
    </row>
    <row r="766366" customFormat="1" ht="14.25" spans="80:80">
      <c r="CB766366" s="267"/>
    </row>
    <row r="766367" customFormat="1" ht="14.25" spans="80:80">
      <c r="CB766367" s="267"/>
    </row>
    <row r="766368" customFormat="1" ht="14.25" spans="80:80">
      <c r="CB766368" s="267"/>
    </row>
    <row r="766369" customFormat="1" ht="14.25" spans="80:80">
      <c r="CB766369" s="267"/>
    </row>
    <row r="766370" customFormat="1" ht="14.25" spans="80:80">
      <c r="CB766370" s="267"/>
    </row>
    <row r="766371" customFormat="1" ht="14.25" spans="80:80">
      <c r="CB766371" s="267"/>
    </row>
    <row r="766372" customFormat="1" ht="14.25" spans="80:80">
      <c r="CB766372" s="267"/>
    </row>
    <row r="766373" customFormat="1" ht="14.25" spans="80:80">
      <c r="CB766373" s="267"/>
    </row>
    <row r="766374" customFormat="1" ht="14.25" spans="80:80">
      <c r="CB766374" s="267"/>
    </row>
    <row r="766375" customFormat="1" ht="14.25" spans="80:80">
      <c r="CB766375" s="267"/>
    </row>
    <row r="766376" customFormat="1" ht="14.25" spans="80:80">
      <c r="CB766376" s="267"/>
    </row>
    <row r="766377" customFormat="1" ht="14.25" spans="80:80">
      <c r="CB766377" s="267"/>
    </row>
    <row r="766378" customFormat="1" ht="14.25" spans="80:80">
      <c r="CB766378" s="267"/>
    </row>
    <row r="766379" customFormat="1" ht="14.25" spans="80:80">
      <c r="CB766379" s="267"/>
    </row>
    <row r="766380" customFormat="1" ht="14.25" spans="80:80">
      <c r="CB766380" s="267"/>
    </row>
    <row r="766381" customFormat="1" ht="14.25" spans="80:80">
      <c r="CB766381" s="267"/>
    </row>
    <row r="766382" customFormat="1" ht="14.25" spans="80:80">
      <c r="CB766382" s="267"/>
    </row>
    <row r="766383" customFormat="1" ht="14.25" spans="80:80">
      <c r="CB766383" s="267"/>
    </row>
    <row r="766384" customFormat="1" ht="14.25" spans="80:80">
      <c r="CB766384" s="267"/>
    </row>
    <row r="766385" customFormat="1" ht="14.25" spans="80:80">
      <c r="CB766385" s="267"/>
    </row>
    <row r="766386" customFormat="1" ht="14.25" spans="80:80">
      <c r="CB766386" s="267"/>
    </row>
    <row r="766387" customFormat="1" ht="14.25" spans="80:80">
      <c r="CB766387" s="267"/>
    </row>
    <row r="766388" customFormat="1" ht="14.25" spans="80:80">
      <c r="CB766388" s="267"/>
    </row>
    <row r="766389" customFormat="1" ht="14.25" spans="80:80">
      <c r="CB766389" s="267"/>
    </row>
    <row r="766390" customFormat="1" ht="14.25" spans="80:80">
      <c r="CB766390" s="267"/>
    </row>
    <row r="766391" customFormat="1" ht="14.25" spans="80:80">
      <c r="CB766391" s="267"/>
    </row>
    <row r="766392" customFormat="1" ht="14.25" spans="80:80">
      <c r="CB766392" s="267"/>
    </row>
    <row r="766393" customFormat="1" ht="14.25" spans="80:80">
      <c r="CB766393" s="267"/>
    </row>
    <row r="766394" customFormat="1" ht="14.25" spans="80:80">
      <c r="CB766394" s="267"/>
    </row>
    <row r="766395" customFormat="1" ht="14.25" spans="80:80">
      <c r="CB766395" s="267"/>
    </row>
    <row r="766396" customFormat="1" ht="14.25" spans="80:80">
      <c r="CB766396" s="267"/>
    </row>
    <row r="766397" customFormat="1" ht="14.25" spans="80:80">
      <c r="CB766397" s="267"/>
    </row>
    <row r="766398" customFormat="1" ht="14.25" spans="80:80">
      <c r="CB766398" s="267"/>
    </row>
    <row r="766399" customFormat="1" ht="14.25" spans="80:80">
      <c r="CB766399" s="267"/>
    </row>
    <row r="766400" customFormat="1" ht="14.25" spans="80:80">
      <c r="CB766400" s="267"/>
    </row>
    <row r="766401" customFormat="1" ht="14.25" spans="80:80">
      <c r="CB766401" s="267"/>
    </row>
    <row r="766402" customFormat="1" ht="14.25" spans="80:80">
      <c r="CB766402" s="267"/>
    </row>
    <row r="766403" customFormat="1" ht="14.25" spans="80:80">
      <c r="CB766403" s="267"/>
    </row>
    <row r="766404" customFormat="1" ht="14.25" spans="80:80">
      <c r="CB766404" s="267"/>
    </row>
    <row r="766405" customFormat="1" ht="14.25" spans="80:80">
      <c r="CB766405" s="267"/>
    </row>
    <row r="766406" customFormat="1" ht="14.25" spans="80:80">
      <c r="CB766406" s="267"/>
    </row>
    <row r="766407" customFormat="1" ht="14.25" spans="80:80">
      <c r="CB766407" s="267"/>
    </row>
    <row r="766408" customFormat="1" ht="14.25" spans="80:80">
      <c r="CB766408" s="267"/>
    </row>
    <row r="766409" customFormat="1" ht="14.25" spans="80:80">
      <c r="CB766409" s="267"/>
    </row>
    <row r="766410" customFormat="1" ht="14.25" spans="80:80">
      <c r="CB766410" s="267"/>
    </row>
    <row r="766411" customFormat="1" ht="14.25" spans="80:80">
      <c r="CB766411" s="267"/>
    </row>
    <row r="766412" customFormat="1" ht="14.25" spans="80:80">
      <c r="CB766412" s="267"/>
    </row>
    <row r="766413" customFormat="1" ht="14.25" spans="80:80">
      <c r="CB766413" s="267"/>
    </row>
    <row r="766414" customFormat="1" ht="14.25" spans="80:80">
      <c r="CB766414" s="267"/>
    </row>
    <row r="766415" customFormat="1" ht="14.25" spans="80:80">
      <c r="CB766415" s="267"/>
    </row>
    <row r="766416" customFormat="1" ht="14.25" spans="80:80">
      <c r="CB766416" s="267"/>
    </row>
    <row r="766417" customFormat="1" ht="14.25" spans="80:80">
      <c r="CB766417" s="267"/>
    </row>
    <row r="766418" customFormat="1" ht="14.25" spans="80:80">
      <c r="CB766418" s="267"/>
    </row>
    <row r="766419" customFormat="1" ht="14.25" spans="80:80">
      <c r="CB766419" s="267"/>
    </row>
    <row r="766420" customFormat="1" ht="14.25" spans="80:80">
      <c r="CB766420" s="267"/>
    </row>
    <row r="766421" customFormat="1" ht="14.25" spans="80:80">
      <c r="CB766421" s="267"/>
    </row>
    <row r="766422" customFormat="1" ht="14.25" spans="80:80">
      <c r="CB766422" s="267"/>
    </row>
    <row r="766423" customFormat="1" ht="14.25" spans="80:80">
      <c r="CB766423" s="267"/>
    </row>
    <row r="766424" customFormat="1" ht="14.25" spans="80:80">
      <c r="CB766424" s="267"/>
    </row>
    <row r="766425" customFormat="1" ht="14.25" spans="80:80">
      <c r="CB766425" s="267"/>
    </row>
    <row r="766426" customFormat="1" ht="14.25" spans="80:80">
      <c r="CB766426" s="267"/>
    </row>
    <row r="766427" customFormat="1" ht="14.25" spans="80:80">
      <c r="CB766427" s="267"/>
    </row>
    <row r="766428" customFormat="1" ht="14.25" spans="80:80">
      <c r="CB766428" s="267"/>
    </row>
    <row r="766429" customFormat="1" ht="14.25" spans="80:80">
      <c r="CB766429" s="267"/>
    </row>
    <row r="766430" customFormat="1" ht="14.25" spans="80:80">
      <c r="CB766430" s="267"/>
    </row>
    <row r="766431" customFormat="1" ht="14.25" spans="80:80">
      <c r="CB766431" s="267"/>
    </row>
    <row r="766432" customFormat="1" ht="14.25" spans="80:80">
      <c r="CB766432" s="267"/>
    </row>
    <row r="766433" customFormat="1" ht="14.25" spans="80:80">
      <c r="CB766433" s="267"/>
    </row>
    <row r="766434" customFormat="1" ht="14.25" spans="80:80">
      <c r="CB766434" s="267"/>
    </row>
    <row r="766435" customFormat="1" ht="14.25" spans="80:80">
      <c r="CB766435" s="267"/>
    </row>
    <row r="766436" customFormat="1" ht="14.25" spans="80:80">
      <c r="CB766436" s="267"/>
    </row>
    <row r="766437" customFormat="1" ht="14.25" spans="80:80">
      <c r="CB766437" s="267"/>
    </row>
    <row r="766438" customFormat="1" ht="14.25" spans="80:80">
      <c r="CB766438" s="267"/>
    </row>
    <row r="766439" customFormat="1" ht="14.25" spans="80:80">
      <c r="CB766439" s="267"/>
    </row>
    <row r="766440" customFormat="1" ht="14.25" spans="80:80">
      <c r="CB766440" s="267"/>
    </row>
    <row r="766441" customFormat="1" ht="14.25" spans="80:80">
      <c r="CB766441" s="267"/>
    </row>
    <row r="766442" customFormat="1" ht="14.25" spans="80:80">
      <c r="CB766442" s="267"/>
    </row>
    <row r="766443" customFormat="1" ht="14.25" spans="80:80">
      <c r="CB766443" s="267"/>
    </row>
    <row r="766444" customFormat="1" ht="14.25" spans="80:80">
      <c r="CB766444" s="267"/>
    </row>
    <row r="766445" customFormat="1" ht="14.25" spans="80:80">
      <c r="CB766445" s="267"/>
    </row>
    <row r="766446" customFormat="1" ht="14.25" spans="80:80">
      <c r="CB766446" s="267"/>
    </row>
    <row r="766447" customFormat="1" ht="14.25" spans="80:80">
      <c r="CB766447" s="267"/>
    </row>
    <row r="766448" customFormat="1" ht="14.25" spans="80:80">
      <c r="CB766448" s="267"/>
    </row>
    <row r="766449" customFormat="1" ht="14.25" spans="80:80">
      <c r="CB766449" s="267"/>
    </row>
    <row r="766450" customFormat="1" ht="14.25" spans="80:80">
      <c r="CB766450" s="267"/>
    </row>
    <row r="766451" customFormat="1" ht="14.25" spans="80:80">
      <c r="CB766451" s="267"/>
    </row>
    <row r="766452" customFormat="1" ht="14.25" spans="80:80">
      <c r="CB766452" s="267"/>
    </row>
    <row r="766453" customFormat="1" ht="14.25" spans="80:80">
      <c r="CB766453" s="267"/>
    </row>
    <row r="766454" customFormat="1" ht="14.25" spans="80:80">
      <c r="CB766454" s="267"/>
    </row>
    <row r="766455" customFormat="1" ht="14.25" spans="80:80">
      <c r="CB766455" s="267"/>
    </row>
    <row r="766456" customFormat="1" ht="14.25" spans="80:80">
      <c r="CB766456" s="267"/>
    </row>
    <row r="766457" customFormat="1" ht="14.25" spans="80:80">
      <c r="CB766457" s="267"/>
    </row>
    <row r="766458" customFormat="1" ht="14.25" spans="80:80">
      <c r="CB766458" s="267"/>
    </row>
    <row r="766459" customFormat="1" ht="14.25" spans="80:80">
      <c r="CB766459" s="267"/>
    </row>
    <row r="766460" customFormat="1" ht="14.25" spans="80:80">
      <c r="CB766460" s="267"/>
    </row>
    <row r="766461" customFormat="1" ht="14.25" spans="80:80">
      <c r="CB766461" s="267"/>
    </row>
    <row r="766462" customFormat="1" ht="14.25" spans="80:80">
      <c r="CB766462" s="267"/>
    </row>
    <row r="766463" customFormat="1" ht="14.25" spans="80:80">
      <c r="CB766463" s="267"/>
    </row>
    <row r="766464" customFormat="1" ht="14.25" spans="80:80">
      <c r="CB766464" s="267"/>
    </row>
    <row r="766465" customFormat="1" ht="14.25" spans="80:80">
      <c r="CB766465" s="267"/>
    </row>
    <row r="766466" customFormat="1" ht="14.25" spans="80:80">
      <c r="CB766466" s="267"/>
    </row>
    <row r="766467" customFormat="1" ht="14.25" spans="80:80">
      <c r="CB766467" s="267"/>
    </row>
    <row r="766468" customFormat="1" ht="14.25" spans="80:80">
      <c r="CB766468" s="267"/>
    </row>
    <row r="766469" customFormat="1" ht="14.25" spans="80:80">
      <c r="CB766469" s="267"/>
    </row>
    <row r="766470" customFormat="1" ht="14.25" spans="80:80">
      <c r="CB766470" s="267"/>
    </row>
    <row r="766471" customFormat="1" ht="14.25" spans="80:80">
      <c r="CB766471" s="267"/>
    </row>
    <row r="766472" customFormat="1" ht="14.25" spans="80:80">
      <c r="CB766472" s="267"/>
    </row>
    <row r="766473" customFormat="1" ht="14.25" spans="80:80">
      <c r="CB766473" s="267"/>
    </row>
    <row r="766474" customFormat="1" ht="14.25" spans="80:80">
      <c r="CB766474" s="267"/>
    </row>
    <row r="766475" customFormat="1" ht="14.25" spans="80:80">
      <c r="CB766475" s="267"/>
    </row>
    <row r="766476" customFormat="1" ht="14.25" spans="80:80">
      <c r="CB766476" s="267"/>
    </row>
    <row r="766477" customFormat="1" ht="14.25" spans="80:80">
      <c r="CB766477" s="267"/>
    </row>
    <row r="766478" customFormat="1" ht="14.25" spans="80:80">
      <c r="CB766478" s="267"/>
    </row>
    <row r="766479" customFormat="1" ht="14.25" spans="80:80">
      <c r="CB766479" s="267"/>
    </row>
    <row r="766480" customFormat="1" ht="14.25" spans="80:80">
      <c r="CB766480" s="267"/>
    </row>
    <row r="766481" customFormat="1" ht="14.25" spans="80:80">
      <c r="CB766481" s="267"/>
    </row>
    <row r="766482" customFormat="1" ht="14.25" spans="80:80">
      <c r="CB766482" s="267"/>
    </row>
    <row r="766483" customFormat="1" ht="14.25" spans="80:80">
      <c r="CB766483" s="267"/>
    </row>
    <row r="766484" customFormat="1" ht="14.25" spans="80:80">
      <c r="CB766484" s="267"/>
    </row>
    <row r="766485" customFormat="1" ht="14.25" spans="80:80">
      <c r="CB766485" s="267"/>
    </row>
    <row r="766486" customFormat="1" ht="14.25" spans="80:80">
      <c r="CB766486" s="267"/>
    </row>
    <row r="766487" customFormat="1" ht="14.25" spans="80:80">
      <c r="CB766487" s="267"/>
    </row>
    <row r="766488" customFormat="1" ht="14.25" spans="80:80">
      <c r="CB766488" s="267"/>
    </row>
    <row r="766489" customFormat="1" ht="14.25" spans="80:80">
      <c r="CB766489" s="267"/>
    </row>
    <row r="766490" customFormat="1" ht="14.25" spans="80:80">
      <c r="CB766490" s="267"/>
    </row>
    <row r="766491" customFormat="1" ht="14.25" spans="80:80">
      <c r="CB766491" s="267"/>
    </row>
    <row r="766492" customFormat="1" ht="14.25" spans="80:80">
      <c r="CB766492" s="267"/>
    </row>
    <row r="766493" customFormat="1" ht="14.25" spans="80:80">
      <c r="CB766493" s="267"/>
    </row>
    <row r="766494" customFormat="1" ht="14.25" spans="80:80">
      <c r="CB766494" s="267"/>
    </row>
    <row r="766495" customFormat="1" ht="14.25" spans="80:80">
      <c r="CB766495" s="267"/>
    </row>
    <row r="766496" customFormat="1" ht="14.25" spans="80:80">
      <c r="CB766496" s="267"/>
    </row>
    <row r="766497" customFormat="1" ht="14.25" spans="80:80">
      <c r="CB766497" s="267"/>
    </row>
    <row r="766498" customFormat="1" ht="14.25" spans="80:80">
      <c r="CB766498" s="267"/>
    </row>
    <row r="766499" customFormat="1" ht="14.25" spans="80:80">
      <c r="CB766499" s="267"/>
    </row>
    <row r="766500" customFormat="1" ht="14.25" spans="80:80">
      <c r="CB766500" s="267"/>
    </row>
    <row r="766501" customFormat="1" ht="14.25" spans="80:80">
      <c r="CB766501" s="267"/>
    </row>
    <row r="766502" customFormat="1" ht="14.25" spans="80:80">
      <c r="CB766502" s="267"/>
    </row>
    <row r="766503" customFormat="1" ht="14.25" spans="80:80">
      <c r="CB766503" s="267"/>
    </row>
    <row r="766504" customFormat="1" ht="14.25" spans="80:80">
      <c r="CB766504" s="267"/>
    </row>
    <row r="766505" customFormat="1" ht="14.25" spans="80:80">
      <c r="CB766505" s="267"/>
    </row>
    <row r="766506" customFormat="1" ht="14.25" spans="80:80">
      <c r="CB766506" s="267"/>
    </row>
    <row r="766507" customFormat="1" ht="14.25" spans="80:80">
      <c r="CB766507" s="267"/>
    </row>
    <row r="766508" customFormat="1" ht="14.25" spans="80:80">
      <c r="CB766508" s="267"/>
    </row>
    <row r="766509" customFormat="1" ht="14.25" spans="80:80">
      <c r="CB766509" s="267"/>
    </row>
    <row r="766510" customFormat="1" ht="14.25" spans="80:80">
      <c r="CB766510" s="267"/>
    </row>
    <row r="766511" customFormat="1" ht="14.25" spans="80:80">
      <c r="CB766511" s="267"/>
    </row>
    <row r="766512" customFormat="1" ht="14.25" spans="80:80">
      <c r="CB766512" s="267"/>
    </row>
    <row r="766513" customFormat="1" ht="14.25" spans="80:80">
      <c r="CB766513" s="267"/>
    </row>
    <row r="766514" customFormat="1" ht="14.25" spans="80:80">
      <c r="CB766514" s="267"/>
    </row>
    <row r="766515" customFormat="1" ht="14.25" spans="80:80">
      <c r="CB766515" s="267"/>
    </row>
    <row r="766516" customFormat="1" ht="14.25" spans="80:80">
      <c r="CB766516" s="267"/>
    </row>
    <row r="766517" customFormat="1" ht="14.25" spans="80:80">
      <c r="CB766517" s="267"/>
    </row>
    <row r="766518" customFormat="1" ht="14.25" spans="80:80">
      <c r="CB766518" s="267"/>
    </row>
    <row r="766519" customFormat="1" ht="14.25" spans="80:80">
      <c r="CB766519" s="267"/>
    </row>
    <row r="766520" customFormat="1" ht="14.25" spans="80:80">
      <c r="CB766520" s="267"/>
    </row>
    <row r="766521" customFormat="1" ht="14.25" spans="80:80">
      <c r="CB766521" s="267"/>
    </row>
    <row r="766522" customFormat="1" ht="14.25" spans="80:80">
      <c r="CB766522" s="267"/>
    </row>
    <row r="766523" customFormat="1" ht="14.25" spans="80:80">
      <c r="CB766523" s="267"/>
    </row>
    <row r="766524" customFormat="1" ht="14.25" spans="80:80">
      <c r="CB766524" s="267"/>
    </row>
    <row r="766525" customFormat="1" ht="14.25" spans="80:80">
      <c r="CB766525" s="267"/>
    </row>
    <row r="766526" customFormat="1" ht="14.25" spans="80:80">
      <c r="CB766526" s="267"/>
    </row>
    <row r="766527" customFormat="1" ht="14.25" spans="80:80">
      <c r="CB766527" s="267"/>
    </row>
    <row r="766528" customFormat="1" ht="14.25" spans="80:80">
      <c r="CB766528" s="267"/>
    </row>
    <row r="766529" customFormat="1" ht="14.25" spans="80:80">
      <c r="CB766529" s="267"/>
    </row>
    <row r="766530" customFormat="1" ht="14.25" spans="80:80">
      <c r="CB766530" s="267"/>
    </row>
    <row r="766531" customFormat="1" ht="14.25" spans="80:80">
      <c r="CB766531" s="267"/>
    </row>
    <row r="766532" customFormat="1" ht="14.25" spans="80:80">
      <c r="CB766532" s="267"/>
    </row>
    <row r="766533" customFormat="1" ht="14.25" spans="80:80">
      <c r="CB766533" s="267"/>
    </row>
    <row r="766534" customFormat="1" ht="14.25" spans="80:80">
      <c r="CB766534" s="267"/>
    </row>
    <row r="766535" customFormat="1" ht="14.25" spans="80:80">
      <c r="CB766535" s="267"/>
    </row>
    <row r="766536" customFormat="1" ht="14.25" spans="80:80">
      <c r="CB766536" s="267"/>
    </row>
    <row r="766537" customFormat="1" ht="14.25" spans="80:80">
      <c r="CB766537" s="267"/>
    </row>
    <row r="766538" customFormat="1" ht="14.25" spans="80:80">
      <c r="CB766538" s="267"/>
    </row>
    <row r="766539" customFormat="1" ht="14.25" spans="80:80">
      <c r="CB766539" s="267"/>
    </row>
    <row r="766540" customFormat="1" ht="14.25" spans="80:80">
      <c r="CB766540" s="267"/>
    </row>
    <row r="766541" customFormat="1" ht="14.25" spans="80:80">
      <c r="CB766541" s="267"/>
    </row>
    <row r="766542" customFormat="1" ht="14.25" spans="80:80">
      <c r="CB766542" s="267"/>
    </row>
    <row r="766543" customFormat="1" ht="14.25" spans="80:80">
      <c r="CB766543" s="267"/>
    </row>
    <row r="766544" customFormat="1" ht="14.25" spans="80:80">
      <c r="CB766544" s="267"/>
    </row>
    <row r="766545" customFormat="1" ht="14.25" spans="80:80">
      <c r="CB766545" s="267"/>
    </row>
    <row r="766546" customFormat="1" ht="14.25" spans="80:80">
      <c r="CB766546" s="267"/>
    </row>
    <row r="766547" customFormat="1" ht="14.25" spans="80:80">
      <c r="CB766547" s="267"/>
    </row>
    <row r="766548" customFormat="1" ht="14.25" spans="80:80">
      <c r="CB766548" s="267"/>
    </row>
    <row r="766549" customFormat="1" ht="14.25" spans="80:80">
      <c r="CB766549" s="267"/>
    </row>
    <row r="766550" customFormat="1" ht="14.25" spans="80:80">
      <c r="CB766550" s="267"/>
    </row>
    <row r="766551" customFormat="1" ht="14.25" spans="80:80">
      <c r="CB766551" s="267"/>
    </row>
    <row r="766552" customFormat="1" ht="14.25" spans="80:80">
      <c r="CB766552" s="267"/>
    </row>
    <row r="766553" customFormat="1" ht="14.25" spans="80:80">
      <c r="CB766553" s="267"/>
    </row>
    <row r="766554" customFormat="1" ht="14.25" spans="80:80">
      <c r="CB766554" s="267"/>
    </row>
    <row r="766555" customFormat="1" ht="14.25" spans="80:80">
      <c r="CB766555" s="267"/>
    </row>
    <row r="766556" customFormat="1" ht="14.25" spans="80:80">
      <c r="CB766556" s="267"/>
    </row>
    <row r="766557" customFormat="1" ht="14.25" spans="80:80">
      <c r="CB766557" s="267"/>
    </row>
    <row r="766558" customFormat="1" ht="14.25" spans="80:80">
      <c r="CB766558" s="267"/>
    </row>
    <row r="766559" customFormat="1" ht="14.25" spans="80:80">
      <c r="CB766559" s="267"/>
    </row>
    <row r="766560" customFormat="1" ht="14.25" spans="80:80">
      <c r="CB766560" s="267"/>
    </row>
    <row r="766561" customFormat="1" ht="14.25" spans="80:80">
      <c r="CB766561" s="267"/>
    </row>
    <row r="766562" customFormat="1" ht="14.25" spans="80:80">
      <c r="CB766562" s="267"/>
    </row>
    <row r="766563" customFormat="1" ht="14.25" spans="80:80">
      <c r="CB766563" s="267"/>
    </row>
    <row r="766564" customFormat="1" ht="14.25" spans="80:80">
      <c r="CB766564" s="267"/>
    </row>
    <row r="766565" customFormat="1" ht="14.25" spans="80:80">
      <c r="CB766565" s="267"/>
    </row>
    <row r="766566" customFormat="1" ht="14.25" spans="80:80">
      <c r="CB766566" s="267"/>
    </row>
    <row r="766567" customFormat="1" ht="14.25" spans="80:80">
      <c r="CB766567" s="267"/>
    </row>
    <row r="766568" customFormat="1" ht="14.25" spans="80:80">
      <c r="CB766568" s="267"/>
    </row>
    <row r="766569" customFormat="1" ht="14.25" spans="80:80">
      <c r="CB766569" s="267"/>
    </row>
    <row r="766570" customFormat="1" ht="14.25" spans="80:80">
      <c r="CB766570" s="267"/>
    </row>
    <row r="766571" customFormat="1" ht="14.25" spans="80:80">
      <c r="CB766571" s="267"/>
    </row>
    <row r="766572" customFormat="1" ht="14.25" spans="80:80">
      <c r="CB766572" s="267"/>
    </row>
    <row r="766573" customFormat="1" ht="14.25" spans="80:80">
      <c r="CB766573" s="267"/>
    </row>
    <row r="766574" customFormat="1" ht="14.25" spans="80:80">
      <c r="CB766574" s="267"/>
    </row>
    <row r="766575" customFormat="1" ht="14.25" spans="80:80">
      <c r="CB766575" s="267"/>
    </row>
    <row r="766576" customFormat="1" ht="14.25" spans="80:80">
      <c r="CB766576" s="267"/>
    </row>
    <row r="766577" customFormat="1" ht="14.25" spans="80:80">
      <c r="CB766577" s="267"/>
    </row>
    <row r="766578" customFormat="1" ht="14.25" spans="80:80">
      <c r="CB766578" s="267"/>
    </row>
    <row r="766579" customFormat="1" ht="14.25" spans="80:80">
      <c r="CB766579" s="267"/>
    </row>
    <row r="766580" customFormat="1" ht="14.25" spans="80:80">
      <c r="CB766580" s="267"/>
    </row>
    <row r="766581" customFormat="1" ht="14.25" spans="80:80">
      <c r="CB766581" s="267"/>
    </row>
    <row r="766582" customFormat="1" ht="14.25" spans="80:80">
      <c r="CB766582" s="267"/>
    </row>
    <row r="766583" customFormat="1" ht="14.25" spans="80:80">
      <c r="CB766583" s="267"/>
    </row>
    <row r="766584" customFormat="1" ht="14.25" spans="80:80">
      <c r="CB766584" s="267"/>
    </row>
    <row r="766585" customFormat="1" ht="14.25" spans="80:80">
      <c r="CB766585" s="267"/>
    </row>
    <row r="766586" customFormat="1" ht="14.25" spans="80:80">
      <c r="CB766586" s="267"/>
    </row>
    <row r="766587" customFormat="1" ht="14.25" spans="80:80">
      <c r="CB766587" s="267"/>
    </row>
    <row r="766588" customFormat="1" ht="14.25" spans="80:80">
      <c r="CB766588" s="267"/>
    </row>
    <row r="766589" customFormat="1" ht="14.25" spans="80:80">
      <c r="CB766589" s="267"/>
    </row>
    <row r="766590" customFormat="1" ht="14.25" spans="80:80">
      <c r="CB766590" s="267"/>
    </row>
    <row r="766591" customFormat="1" ht="14.25" spans="80:80">
      <c r="CB766591" s="267"/>
    </row>
    <row r="766592" customFormat="1" ht="14.25" spans="80:80">
      <c r="CB766592" s="267"/>
    </row>
    <row r="766593" customFormat="1" ht="14.25" spans="80:80">
      <c r="CB766593" s="267"/>
    </row>
    <row r="766594" customFormat="1" ht="14.25" spans="80:80">
      <c r="CB766594" s="267"/>
    </row>
    <row r="766595" customFormat="1" ht="14.25" spans="80:80">
      <c r="CB766595" s="267"/>
    </row>
    <row r="766596" customFormat="1" ht="14.25" spans="80:80">
      <c r="CB766596" s="267"/>
    </row>
    <row r="766597" customFormat="1" ht="14.25" spans="80:80">
      <c r="CB766597" s="267"/>
    </row>
    <row r="766598" customFormat="1" ht="14.25" spans="80:80">
      <c r="CB766598" s="267"/>
    </row>
    <row r="766599" customFormat="1" ht="14.25" spans="80:80">
      <c r="CB766599" s="267"/>
    </row>
    <row r="766600" customFormat="1" ht="14.25" spans="80:80">
      <c r="CB766600" s="267"/>
    </row>
    <row r="766601" customFormat="1" ht="14.25" spans="80:80">
      <c r="CB766601" s="267"/>
    </row>
    <row r="766602" customFormat="1" ht="14.25" spans="80:80">
      <c r="CB766602" s="267"/>
    </row>
    <row r="766603" customFormat="1" ht="14.25" spans="80:80">
      <c r="CB766603" s="267"/>
    </row>
    <row r="766604" customFormat="1" ht="14.25" spans="80:80">
      <c r="CB766604" s="267"/>
    </row>
    <row r="766605" customFormat="1" ht="14.25" spans="80:80">
      <c r="CB766605" s="267"/>
    </row>
    <row r="766606" customFormat="1" ht="14.25" spans="80:80">
      <c r="CB766606" s="267"/>
    </row>
    <row r="766607" customFormat="1" ht="14.25" spans="80:80">
      <c r="CB766607" s="267"/>
    </row>
    <row r="766608" customFormat="1" ht="14.25" spans="80:80">
      <c r="CB766608" s="267"/>
    </row>
    <row r="766609" customFormat="1" ht="14.25" spans="80:80">
      <c r="CB766609" s="267"/>
    </row>
    <row r="766610" customFormat="1" ht="14.25" spans="80:80">
      <c r="CB766610" s="267"/>
    </row>
    <row r="766611" customFormat="1" ht="14.25" spans="80:80">
      <c r="CB766611" s="267"/>
    </row>
    <row r="766612" customFormat="1" ht="14.25" spans="80:80">
      <c r="CB766612" s="267"/>
    </row>
    <row r="766613" customFormat="1" ht="14.25" spans="80:80">
      <c r="CB766613" s="267"/>
    </row>
    <row r="766614" customFormat="1" ht="14.25" spans="80:80">
      <c r="CB766614" s="267"/>
    </row>
    <row r="766615" customFormat="1" ht="14.25" spans="80:80">
      <c r="CB766615" s="267"/>
    </row>
    <row r="766616" customFormat="1" ht="14.25" spans="80:80">
      <c r="CB766616" s="267"/>
    </row>
    <row r="766617" customFormat="1" ht="14.25" spans="80:80">
      <c r="CB766617" s="267"/>
    </row>
    <row r="766618" customFormat="1" ht="14.25" spans="80:80">
      <c r="CB766618" s="267"/>
    </row>
    <row r="766619" customFormat="1" ht="14.25" spans="80:80">
      <c r="CB766619" s="267"/>
    </row>
    <row r="766620" customFormat="1" ht="14.25" spans="80:80">
      <c r="CB766620" s="267"/>
    </row>
    <row r="766621" customFormat="1" ht="14.25" spans="80:80">
      <c r="CB766621" s="267"/>
    </row>
    <row r="766622" customFormat="1" ht="14.25" spans="80:80">
      <c r="CB766622" s="267"/>
    </row>
    <row r="766623" customFormat="1" ht="14.25" spans="80:80">
      <c r="CB766623" s="267"/>
    </row>
    <row r="766624" customFormat="1" ht="14.25" spans="80:80">
      <c r="CB766624" s="267"/>
    </row>
    <row r="766625" customFormat="1" ht="14.25" spans="80:80">
      <c r="CB766625" s="267"/>
    </row>
    <row r="766626" customFormat="1" ht="14.25" spans="80:80">
      <c r="CB766626" s="267"/>
    </row>
    <row r="766627" customFormat="1" ht="14.25" spans="80:80">
      <c r="CB766627" s="267"/>
    </row>
    <row r="766628" customFormat="1" ht="14.25" spans="80:80">
      <c r="CB766628" s="267"/>
    </row>
    <row r="766629" customFormat="1" ht="14.25" spans="80:80">
      <c r="CB766629" s="267"/>
    </row>
    <row r="766630" customFormat="1" ht="14.25" spans="80:80">
      <c r="CB766630" s="267"/>
    </row>
    <row r="766631" customFormat="1" ht="14.25" spans="80:80">
      <c r="CB766631" s="267"/>
    </row>
    <row r="766632" customFormat="1" ht="14.25" spans="80:80">
      <c r="CB766632" s="267"/>
    </row>
    <row r="766633" customFormat="1" ht="14.25" spans="80:80">
      <c r="CB766633" s="267"/>
    </row>
    <row r="766634" customFormat="1" ht="14.25" spans="80:80">
      <c r="CB766634" s="267"/>
    </row>
    <row r="766635" customFormat="1" ht="14.25" spans="80:80">
      <c r="CB766635" s="267"/>
    </row>
    <row r="766636" customFormat="1" ht="14.25" spans="80:80">
      <c r="CB766636" s="267"/>
    </row>
    <row r="766637" customFormat="1" ht="14.25" spans="80:80">
      <c r="CB766637" s="267"/>
    </row>
    <row r="766638" customFormat="1" ht="14.25" spans="80:80">
      <c r="CB766638" s="267"/>
    </row>
    <row r="766639" customFormat="1" ht="14.25" spans="80:80">
      <c r="CB766639" s="267"/>
    </row>
    <row r="766640" customFormat="1" ht="14.25" spans="80:80">
      <c r="CB766640" s="267"/>
    </row>
    <row r="766641" customFormat="1" ht="14.25" spans="80:80">
      <c r="CB766641" s="267"/>
    </row>
    <row r="766642" customFormat="1" ht="14.25" spans="80:80">
      <c r="CB766642" s="267"/>
    </row>
    <row r="766643" customFormat="1" ht="14.25" spans="80:80">
      <c r="CB766643" s="267"/>
    </row>
    <row r="766644" customFormat="1" ht="14.25" spans="80:80">
      <c r="CB766644" s="267"/>
    </row>
    <row r="766645" customFormat="1" ht="14.25" spans="80:80">
      <c r="CB766645" s="267"/>
    </row>
    <row r="766646" customFormat="1" ht="14.25" spans="80:80">
      <c r="CB766646" s="267"/>
    </row>
    <row r="766647" customFormat="1" ht="14.25" spans="80:80">
      <c r="CB766647" s="267"/>
    </row>
    <row r="766648" customFormat="1" ht="14.25" spans="80:80">
      <c r="CB766648" s="267"/>
    </row>
    <row r="766649" customFormat="1" ht="14.25" spans="80:80">
      <c r="CB766649" s="267"/>
    </row>
    <row r="766650" customFormat="1" ht="14.25" spans="80:80">
      <c r="CB766650" s="267"/>
    </row>
    <row r="766651" customFormat="1" ht="14.25" spans="80:80">
      <c r="CB766651" s="267"/>
    </row>
    <row r="766652" customFormat="1" ht="14.25" spans="80:80">
      <c r="CB766652" s="267"/>
    </row>
    <row r="766653" customFormat="1" ht="14.25" spans="80:80">
      <c r="CB766653" s="267"/>
    </row>
    <row r="766654" customFormat="1" ht="14.25" spans="80:80">
      <c r="CB766654" s="267"/>
    </row>
    <row r="766655" customFormat="1" ht="14.25" spans="80:80">
      <c r="CB766655" s="267"/>
    </row>
    <row r="766656" customFormat="1" ht="14.25" spans="80:80">
      <c r="CB766656" s="267"/>
    </row>
    <row r="766657" customFormat="1" ht="14.25" spans="80:80">
      <c r="CB766657" s="267"/>
    </row>
    <row r="766658" customFormat="1" ht="14.25" spans="80:80">
      <c r="CB766658" s="267"/>
    </row>
    <row r="766659" customFormat="1" ht="14.25" spans="80:80">
      <c r="CB766659" s="267"/>
    </row>
    <row r="766660" customFormat="1" ht="14.25" spans="80:80">
      <c r="CB766660" s="267"/>
    </row>
    <row r="766661" customFormat="1" ht="14.25" spans="80:80">
      <c r="CB766661" s="267"/>
    </row>
    <row r="766662" customFormat="1" ht="14.25" spans="80:80">
      <c r="CB766662" s="267"/>
    </row>
    <row r="766663" customFormat="1" ht="14.25" spans="80:80">
      <c r="CB766663" s="267"/>
    </row>
    <row r="766664" customFormat="1" ht="14.25" spans="80:80">
      <c r="CB766664" s="267"/>
    </row>
    <row r="766665" customFormat="1" ht="14.25" spans="80:80">
      <c r="CB766665" s="267"/>
    </row>
    <row r="766666" customFormat="1" ht="14.25" spans="80:80">
      <c r="CB766666" s="267"/>
    </row>
    <row r="766667" customFormat="1" ht="14.25" spans="80:80">
      <c r="CB766667" s="267"/>
    </row>
    <row r="766668" customFormat="1" ht="14.25" spans="80:80">
      <c r="CB766668" s="267"/>
    </row>
    <row r="766669" customFormat="1" ht="14.25" spans="80:80">
      <c r="CB766669" s="267"/>
    </row>
    <row r="766670" customFormat="1" ht="14.25" spans="80:80">
      <c r="CB766670" s="267"/>
    </row>
    <row r="766671" customFormat="1" ht="14.25" spans="80:80">
      <c r="CB766671" s="267"/>
    </row>
    <row r="766672" customFormat="1" ht="14.25" spans="80:80">
      <c r="CB766672" s="267"/>
    </row>
    <row r="766673" customFormat="1" ht="14.25" spans="80:80">
      <c r="CB766673" s="267"/>
    </row>
    <row r="766674" customFormat="1" ht="14.25" spans="80:80">
      <c r="CB766674" s="267"/>
    </row>
    <row r="766675" customFormat="1" ht="14.25" spans="80:80">
      <c r="CB766675" s="267"/>
    </row>
    <row r="766676" customFormat="1" ht="14.25" spans="80:80">
      <c r="CB766676" s="267"/>
    </row>
    <row r="766677" customFormat="1" ht="14.25" spans="80:80">
      <c r="CB766677" s="267"/>
    </row>
    <row r="766678" customFormat="1" ht="14.25" spans="80:80">
      <c r="CB766678" s="267"/>
    </row>
    <row r="766679" customFormat="1" ht="14.25" spans="80:80">
      <c r="CB766679" s="267"/>
    </row>
    <row r="766680" customFormat="1" ht="14.25" spans="80:80">
      <c r="CB766680" s="267"/>
    </row>
    <row r="766681" customFormat="1" ht="14.25" spans="80:80">
      <c r="CB766681" s="267"/>
    </row>
    <row r="766682" customFormat="1" ht="14.25" spans="80:80">
      <c r="CB766682" s="267"/>
    </row>
    <row r="766683" customFormat="1" ht="14.25" spans="80:80">
      <c r="CB766683" s="267"/>
    </row>
    <row r="766684" customFormat="1" ht="14.25" spans="80:80">
      <c r="CB766684" s="267"/>
    </row>
    <row r="766685" customFormat="1" ht="14.25" spans="80:80">
      <c r="CB766685" s="267"/>
    </row>
    <row r="766686" customFormat="1" ht="14.25" spans="80:80">
      <c r="CB766686" s="267"/>
    </row>
    <row r="766687" customFormat="1" ht="14.25" spans="80:80">
      <c r="CB766687" s="267"/>
    </row>
    <row r="766688" customFormat="1" ht="14.25" spans="80:80">
      <c r="CB766688" s="267"/>
    </row>
    <row r="766689" customFormat="1" ht="14.25" spans="80:80">
      <c r="CB766689" s="267"/>
    </row>
    <row r="766690" customFormat="1" ht="14.25" spans="80:80">
      <c r="CB766690" s="267"/>
    </row>
    <row r="766691" customFormat="1" ht="14.25" spans="80:80">
      <c r="CB766691" s="267"/>
    </row>
    <row r="766692" customFormat="1" ht="14.25" spans="80:80">
      <c r="CB766692" s="267"/>
    </row>
    <row r="766693" customFormat="1" ht="14.25" spans="80:80">
      <c r="CB766693" s="267"/>
    </row>
    <row r="766694" customFormat="1" ht="14.25" spans="80:80">
      <c r="CB766694" s="267"/>
    </row>
    <row r="766695" customFormat="1" ht="14.25" spans="80:80">
      <c r="CB766695" s="267"/>
    </row>
    <row r="766696" customFormat="1" ht="14.25" spans="80:80">
      <c r="CB766696" s="267"/>
    </row>
    <row r="766697" customFormat="1" ht="14.25" spans="80:80">
      <c r="CB766697" s="267"/>
    </row>
    <row r="766698" customFormat="1" ht="14.25" spans="80:80">
      <c r="CB766698" s="267"/>
    </row>
    <row r="766699" customFormat="1" ht="14.25" spans="80:80">
      <c r="CB766699" s="267"/>
    </row>
    <row r="766700" customFormat="1" ht="14.25" spans="80:80">
      <c r="CB766700" s="267"/>
    </row>
    <row r="766701" customFormat="1" ht="14.25" spans="80:80">
      <c r="CB766701" s="267"/>
    </row>
    <row r="766702" customFormat="1" ht="14.25" spans="80:80">
      <c r="CB766702" s="267"/>
    </row>
    <row r="766703" customFormat="1" ht="14.25" spans="80:80">
      <c r="CB766703" s="267"/>
    </row>
    <row r="766704" customFormat="1" ht="14.25" spans="80:80">
      <c r="CB766704" s="267"/>
    </row>
    <row r="766705" customFormat="1" ht="14.25" spans="80:80">
      <c r="CB766705" s="267"/>
    </row>
    <row r="766706" customFormat="1" ht="14.25" spans="80:80">
      <c r="CB766706" s="267"/>
    </row>
    <row r="766707" customFormat="1" ht="14.25" spans="80:80">
      <c r="CB766707" s="267"/>
    </row>
    <row r="766708" customFormat="1" ht="14.25" spans="80:80">
      <c r="CB766708" s="267"/>
    </row>
    <row r="766709" customFormat="1" ht="14.25" spans="80:80">
      <c r="CB766709" s="267"/>
    </row>
    <row r="766710" customFormat="1" ht="14.25" spans="80:80">
      <c r="CB766710" s="267"/>
    </row>
    <row r="766711" customFormat="1" ht="14.25" spans="80:80">
      <c r="CB766711" s="267"/>
    </row>
    <row r="766712" customFormat="1" ht="14.25" spans="80:80">
      <c r="CB766712" s="267"/>
    </row>
    <row r="766713" customFormat="1" ht="14.25" spans="80:80">
      <c r="CB766713" s="267"/>
    </row>
    <row r="766714" customFormat="1" ht="14.25" spans="80:80">
      <c r="CB766714" s="267"/>
    </row>
    <row r="766715" customFormat="1" ht="14.25" spans="80:80">
      <c r="CB766715" s="267"/>
    </row>
    <row r="766716" customFormat="1" ht="14.25" spans="80:80">
      <c r="CB766716" s="267"/>
    </row>
    <row r="766717" customFormat="1" ht="14.25" spans="80:80">
      <c r="CB766717" s="267"/>
    </row>
    <row r="766718" customFormat="1" ht="14.25" spans="80:80">
      <c r="CB766718" s="267"/>
    </row>
    <row r="766719" customFormat="1" ht="14.25" spans="80:80">
      <c r="CB766719" s="267"/>
    </row>
    <row r="766720" customFormat="1" ht="14.25" spans="80:80">
      <c r="CB766720" s="267"/>
    </row>
    <row r="766721" customFormat="1" ht="14.25" spans="80:80">
      <c r="CB766721" s="267"/>
    </row>
    <row r="766722" customFormat="1" ht="14.25" spans="80:80">
      <c r="CB766722" s="267"/>
    </row>
    <row r="766723" customFormat="1" ht="14.25" spans="80:80">
      <c r="CB766723" s="267"/>
    </row>
    <row r="766724" customFormat="1" ht="14.25" spans="80:80">
      <c r="CB766724" s="267"/>
    </row>
    <row r="766725" customFormat="1" ht="14.25" spans="80:80">
      <c r="CB766725" s="267"/>
    </row>
    <row r="766726" customFormat="1" ht="14.25" spans="80:80">
      <c r="CB766726" s="267"/>
    </row>
    <row r="766727" customFormat="1" ht="14.25" spans="80:80">
      <c r="CB766727" s="267"/>
    </row>
    <row r="766728" customFormat="1" ht="14.25" spans="80:80">
      <c r="CB766728" s="267"/>
    </row>
    <row r="766729" customFormat="1" ht="14.25" spans="80:80">
      <c r="CB766729" s="267"/>
    </row>
    <row r="766730" customFormat="1" ht="14.25" spans="80:80">
      <c r="CB766730" s="267"/>
    </row>
    <row r="766731" customFormat="1" ht="14.25" spans="80:80">
      <c r="CB766731" s="267"/>
    </row>
    <row r="766732" customFormat="1" ht="14.25" spans="80:80">
      <c r="CB766732" s="267"/>
    </row>
    <row r="766733" customFormat="1" ht="14.25" spans="80:80">
      <c r="CB766733" s="267"/>
    </row>
    <row r="766734" customFormat="1" ht="14.25" spans="80:80">
      <c r="CB766734" s="267"/>
    </row>
    <row r="766735" customFormat="1" ht="14.25" spans="80:80">
      <c r="CB766735" s="267"/>
    </row>
    <row r="766736" customFormat="1" ht="14.25" spans="80:80">
      <c r="CB766736" s="267"/>
    </row>
    <row r="766737" customFormat="1" ht="14.25" spans="80:80">
      <c r="CB766737" s="267"/>
    </row>
    <row r="766738" customFormat="1" ht="14.25" spans="80:80">
      <c r="CB766738" s="267"/>
    </row>
    <row r="766739" customFormat="1" ht="14.25" spans="80:80">
      <c r="CB766739" s="267"/>
    </row>
    <row r="766740" customFormat="1" ht="14.25" spans="80:80">
      <c r="CB766740" s="267"/>
    </row>
    <row r="766741" customFormat="1" ht="14.25" spans="80:80">
      <c r="CB766741" s="267"/>
    </row>
    <row r="766742" customFormat="1" ht="14.25" spans="80:80">
      <c r="CB766742" s="267"/>
    </row>
    <row r="766743" customFormat="1" ht="14.25" spans="80:80">
      <c r="CB766743" s="267"/>
    </row>
    <row r="766744" customFormat="1" ht="14.25" spans="80:80">
      <c r="CB766744" s="267"/>
    </row>
    <row r="766745" customFormat="1" ht="14.25" spans="80:80">
      <c r="CB766745" s="267"/>
    </row>
    <row r="766746" customFormat="1" ht="14.25" spans="80:80">
      <c r="CB766746" s="267"/>
    </row>
    <row r="766747" customFormat="1" ht="14.25" spans="80:80">
      <c r="CB766747" s="267"/>
    </row>
    <row r="766748" customFormat="1" ht="14.25" spans="80:80">
      <c r="CB766748" s="267"/>
    </row>
    <row r="766749" customFormat="1" ht="14.25" spans="80:80">
      <c r="CB766749" s="267"/>
    </row>
    <row r="766750" customFormat="1" ht="14.25" spans="80:80">
      <c r="CB766750" s="267"/>
    </row>
    <row r="766751" customFormat="1" ht="14.25" spans="80:80">
      <c r="CB766751" s="267"/>
    </row>
    <row r="766752" customFormat="1" ht="14.25" spans="80:80">
      <c r="CB766752" s="267"/>
    </row>
    <row r="766753" customFormat="1" ht="14.25" spans="80:80">
      <c r="CB766753" s="267"/>
    </row>
    <row r="766754" customFormat="1" ht="14.25" spans="80:80">
      <c r="CB766754" s="267"/>
    </row>
    <row r="766755" customFormat="1" ht="14.25" spans="80:80">
      <c r="CB766755" s="267"/>
    </row>
    <row r="766756" customFormat="1" ht="14.25" spans="80:80">
      <c r="CB766756" s="267"/>
    </row>
    <row r="766757" customFormat="1" ht="14.25" spans="80:80">
      <c r="CB766757" s="267"/>
    </row>
    <row r="766758" customFormat="1" ht="14.25" spans="80:80">
      <c r="CB766758" s="267"/>
    </row>
    <row r="766759" customFormat="1" ht="14.25" spans="80:80">
      <c r="CB766759" s="267"/>
    </row>
    <row r="766760" customFormat="1" ht="14.25" spans="80:80">
      <c r="CB766760" s="267"/>
    </row>
    <row r="766761" customFormat="1" ht="14.25" spans="80:80">
      <c r="CB766761" s="267"/>
    </row>
    <row r="766762" customFormat="1" ht="14.25" spans="80:80">
      <c r="CB766762" s="267"/>
    </row>
    <row r="766763" customFormat="1" ht="14.25" spans="80:80">
      <c r="CB766763" s="267"/>
    </row>
    <row r="766764" customFormat="1" ht="14.25" spans="80:80">
      <c r="CB766764" s="267"/>
    </row>
    <row r="766765" customFormat="1" ht="14.25" spans="80:80">
      <c r="CB766765" s="267"/>
    </row>
    <row r="766766" customFormat="1" ht="14.25" spans="80:80">
      <c r="CB766766" s="267"/>
    </row>
    <row r="766767" customFormat="1" ht="14.25" spans="80:80">
      <c r="CB766767" s="267"/>
    </row>
    <row r="766768" customFormat="1" ht="14.25" spans="80:80">
      <c r="CB766768" s="267"/>
    </row>
    <row r="766769" customFormat="1" ht="14.25" spans="80:80">
      <c r="CB766769" s="267"/>
    </row>
    <row r="766770" customFormat="1" ht="14.25" spans="80:80">
      <c r="CB766770" s="267"/>
    </row>
    <row r="766771" customFormat="1" ht="14.25" spans="80:80">
      <c r="CB766771" s="267"/>
    </row>
    <row r="766772" customFormat="1" ht="14.25" spans="80:80">
      <c r="CB766772" s="267"/>
    </row>
    <row r="766773" customFormat="1" ht="14.25" spans="80:80">
      <c r="CB766773" s="267"/>
    </row>
    <row r="766774" customFormat="1" ht="14.25" spans="80:80">
      <c r="CB766774" s="267"/>
    </row>
    <row r="766775" customFormat="1" ht="14.25" spans="80:80">
      <c r="CB766775" s="267"/>
    </row>
    <row r="766776" customFormat="1" ht="14.25" spans="80:80">
      <c r="CB766776" s="267"/>
    </row>
    <row r="766777" customFormat="1" ht="14.25" spans="80:80">
      <c r="CB766777" s="267"/>
    </row>
    <row r="766778" customFormat="1" ht="14.25" spans="80:80">
      <c r="CB766778" s="267"/>
    </row>
    <row r="766779" customFormat="1" ht="14.25" spans="80:80">
      <c r="CB766779" s="267"/>
    </row>
    <row r="766780" customFormat="1" ht="14.25" spans="80:80">
      <c r="CB766780" s="267"/>
    </row>
    <row r="766781" customFormat="1" ht="14.25" spans="80:80">
      <c r="CB766781" s="267"/>
    </row>
    <row r="766782" customFormat="1" ht="14.25" spans="80:80">
      <c r="CB766782" s="267"/>
    </row>
    <row r="766783" customFormat="1" ht="14.25" spans="80:80">
      <c r="CB766783" s="267"/>
    </row>
    <row r="766784" customFormat="1" ht="14.25" spans="80:80">
      <c r="CB766784" s="267"/>
    </row>
    <row r="766785" customFormat="1" ht="14.25" spans="80:80">
      <c r="CB766785" s="267"/>
    </row>
    <row r="766786" customFormat="1" ht="14.25" spans="80:80">
      <c r="CB766786" s="267"/>
    </row>
    <row r="766787" customFormat="1" ht="14.25" spans="80:80">
      <c r="CB766787" s="267"/>
    </row>
    <row r="766788" customFormat="1" ht="14.25" spans="80:80">
      <c r="CB766788" s="267"/>
    </row>
    <row r="766789" customFormat="1" ht="14.25" spans="80:80">
      <c r="CB766789" s="267"/>
    </row>
    <row r="766790" customFormat="1" ht="14.25" spans="80:80">
      <c r="CB766790" s="267"/>
    </row>
    <row r="766791" customFormat="1" ht="14.25" spans="80:80">
      <c r="CB766791" s="267"/>
    </row>
    <row r="766792" customFormat="1" ht="14.25" spans="80:80">
      <c r="CB766792" s="267"/>
    </row>
    <row r="766793" customFormat="1" ht="14.25" spans="80:80">
      <c r="CB766793" s="267"/>
    </row>
    <row r="766794" customFormat="1" ht="14.25" spans="80:80">
      <c r="CB766794" s="267"/>
    </row>
    <row r="766795" customFormat="1" ht="14.25" spans="80:80">
      <c r="CB766795" s="267"/>
    </row>
    <row r="766796" customFormat="1" ht="14.25" spans="80:80">
      <c r="CB766796" s="267"/>
    </row>
    <row r="766797" customFormat="1" ht="14.25" spans="80:80">
      <c r="CB766797" s="267"/>
    </row>
    <row r="766798" customFormat="1" ht="14.25" spans="80:80">
      <c r="CB766798" s="267"/>
    </row>
    <row r="766799" customFormat="1" ht="14.25" spans="80:80">
      <c r="CB766799" s="267"/>
    </row>
    <row r="766800" customFormat="1" ht="14.25" spans="80:80">
      <c r="CB766800" s="267"/>
    </row>
    <row r="766801" customFormat="1" ht="14.25" spans="80:80">
      <c r="CB766801" s="267"/>
    </row>
    <row r="766802" customFormat="1" ht="14.25" spans="80:80">
      <c r="CB766802" s="267"/>
    </row>
    <row r="766803" customFormat="1" ht="14.25" spans="80:80">
      <c r="CB766803" s="267"/>
    </row>
    <row r="766804" customFormat="1" ht="14.25" spans="80:80">
      <c r="CB766804" s="267"/>
    </row>
    <row r="766805" customFormat="1" ht="14.25" spans="80:80">
      <c r="CB766805" s="267"/>
    </row>
    <row r="766806" customFormat="1" ht="14.25" spans="80:80">
      <c r="CB766806" s="267"/>
    </row>
    <row r="766807" customFormat="1" ht="14.25" spans="80:80">
      <c r="CB766807" s="267"/>
    </row>
    <row r="766808" customFormat="1" ht="14.25" spans="80:80">
      <c r="CB766808" s="267"/>
    </row>
    <row r="766809" customFormat="1" ht="14.25" spans="80:80">
      <c r="CB766809" s="267"/>
    </row>
    <row r="766810" customFormat="1" ht="14.25" spans="80:80">
      <c r="CB766810" s="267"/>
    </row>
    <row r="766811" customFormat="1" ht="14.25" spans="80:80">
      <c r="CB766811" s="267"/>
    </row>
    <row r="766812" customFormat="1" ht="14.25" spans="80:80">
      <c r="CB766812" s="267"/>
    </row>
    <row r="766813" customFormat="1" ht="14.25" spans="80:80">
      <c r="CB766813" s="267"/>
    </row>
    <row r="766814" customFormat="1" ht="14.25" spans="80:80">
      <c r="CB766814" s="267"/>
    </row>
    <row r="766815" customFormat="1" ht="14.25" spans="80:80">
      <c r="CB766815" s="267"/>
    </row>
    <row r="766816" customFormat="1" ht="14.25" spans="80:80">
      <c r="CB766816" s="267"/>
    </row>
    <row r="766817" customFormat="1" ht="14.25" spans="80:80">
      <c r="CB766817" s="267"/>
    </row>
    <row r="766818" customFormat="1" ht="14.25" spans="80:80">
      <c r="CB766818" s="267"/>
    </row>
    <row r="766819" customFormat="1" ht="14.25" spans="80:80">
      <c r="CB766819" s="267"/>
    </row>
    <row r="766820" customFormat="1" ht="14.25" spans="80:80">
      <c r="CB766820" s="267"/>
    </row>
    <row r="766821" customFormat="1" ht="14.25" spans="80:80">
      <c r="CB766821" s="267"/>
    </row>
    <row r="766822" customFormat="1" ht="14.25" spans="80:80">
      <c r="CB766822" s="267"/>
    </row>
    <row r="766823" customFormat="1" ht="14.25" spans="80:80">
      <c r="CB766823" s="267"/>
    </row>
    <row r="766824" customFormat="1" ht="14.25" spans="80:80">
      <c r="CB766824" s="267"/>
    </row>
    <row r="766825" customFormat="1" ht="14.25" spans="80:80">
      <c r="CB766825" s="267"/>
    </row>
    <row r="766826" customFormat="1" ht="14.25" spans="80:80">
      <c r="CB766826" s="267"/>
    </row>
    <row r="766827" customFormat="1" ht="14.25" spans="80:80">
      <c r="CB766827" s="267"/>
    </row>
    <row r="766828" customFormat="1" ht="14.25" spans="80:80">
      <c r="CB766828" s="267"/>
    </row>
    <row r="766829" customFormat="1" ht="14.25" spans="80:80">
      <c r="CB766829" s="267"/>
    </row>
    <row r="766830" customFormat="1" ht="14.25" spans="80:80">
      <c r="CB766830" s="267"/>
    </row>
    <row r="766831" customFormat="1" ht="14.25" spans="80:80">
      <c r="CB766831" s="267"/>
    </row>
    <row r="766832" customFormat="1" ht="14.25" spans="80:80">
      <c r="CB766832" s="267"/>
    </row>
    <row r="766833" customFormat="1" ht="14.25" spans="80:80">
      <c r="CB766833" s="267"/>
    </row>
    <row r="766834" customFormat="1" ht="14.25" spans="80:80">
      <c r="CB766834" s="267"/>
    </row>
    <row r="766835" customFormat="1" ht="14.25" spans="80:80">
      <c r="CB766835" s="267"/>
    </row>
    <row r="766836" customFormat="1" ht="14.25" spans="80:80">
      <c r="CB766836" s="267"/>
    </row>
    <row r="766837" customFormat="1" ht="14.25" spans="80:80">
      <c r="CB766837" s="267"/>
    </row>
    <row r="766838" customFormat="1" ht="14.25" spans="80:80">
      <c r="CB766838" s="267"/>
    </row>
    <row r="766839" customFormat="1" ht="14.25" spans="80:80">
      <c r="CB766839" s="267"/>
    </row>
    <row r="766840" customFormat="1" ht="14.25" spans="80:80">
      <c r="CB766840" s="267"/>
    </row>
    <row r="766841" customFormat="1" ht="14.25" spans="80:80">
      <c r="CB766841" s="267"/>
    </row>
    <row r="766842" customFormat="1" ht="14.25" spans="80:80">
      <c r="CB766842" s="267"/>
    </row>
    <row r="766843" customFormat="1" ht="14.25" spans="80:80">
      <c r="CB766843" s="267"/>
    </row>
    <row r="766844" customFormat="1" ht="14.25" spans="80:80">
      <c r="CB766844" s="267"/>
    </row>
    <row r="766845" customFormat="1" ht="14.25" spans="80:80">
      <c r="CB766845" s="267"/>
    </row>
    <row r="766846" customFormat="1" ht="14.25" spans="80:80">
      <c r="CB766846" s="267"/>
    </row>
    <row r="766847" customFormat="1" ht="14.25" spans="80:80">
      <c r="CB766847" s="267"/>
    </row>
    <row r="766848" customFormat="1" ht="14.25" spans="80:80">
      <c r="CB766848" s="267"/>
    </row>
    <row r="766849" customFormat="1" ht="14.25" spans="80:80">
      <c r="CB766849" s="267"/>
    </row>
    <row r="766850" customFormat="1" ht="14.25" spans="80:80">
      <c r="CB766850" s="267"/>
    </row>
    <row r="766851" customFormat="1" ht="14.25" spans="80:80">
      <c r="CB766851" s="267"/>
    </row>
    <row r="766852" customFormat="1" ht="14.25" spans="80:80">
      <c r="CB766852" s="267"/>
    </row>
    <row r="766853" customFormat="1" ht="14.25" spans="80:80">
      <c r="CB766853" s="267"/>
    </row>
    <row r="766854" customFormat="1" ht="14.25" spans="80:80">
      <c r="CB766854" s="267"/>
    </row>
    <row r="766855" customFormat="1" ht="14.25" spans="80:80">
      <c r="CB766855" s="267"/>
    </row>
    <row r="766856" customFormat="1" ht="14.25" spans="80:80">
      <c r="CB766856" s="267"/>
    </row>
    <row r="766857" customFormat="1" ht="14.25" spans="80:80">
      <c r="CB766857" s="267"/>
    </row>
    <row r="766858" customFormat="1" ht="14.25" spans="80:80">
      <c r="CB766858" s="267"/>
    </row>
    <row r="766859" customFormat="1" ht="14.25" spans="80:80">
      <c r="CB766859" s="267"/>
    </row>
    <row r="766860" customFormat="1" ht="14.25" spans="80:80">
      <c r="CB766860" s="267"/>
    </row>
    <row r="766861" customFormat="1" ht="14.25" spans="80:80">
      <c r="CB766861" s="267"/>
    </row>
    <row r="766862" customFormat="1" ht="14.25" spans="80:80">
      <c r="CB766862" s="267"/>
    </row>
    <row r="766863" customFormat="1" ht="14.25" spans="80:80">
      <c r="CB766863" s="267"/>
    </row>
    <row r="766864" customFormat="1" ht="14.25" spans="80:80">
      <c r="CB766864" s="267"/>
    </row>
    <row r="766865" customFormat="1" ht="14.25" spans="80:80">
      <c r="CB766865" s="267"/>
    </row>
    <row r="766866" customFormat="1" ht="14.25" spans="80:80">
      <c r="CB766866" s="267"/>
    </row>
    <row r="766867" customFormat="1" ht="14.25" spans="80:80">
      <c r="CB766867" s="267"/>
    </row>
    <row r="766868" customFormat="1" ht="14.25" spans="80:80">
      <c r="CB766868" s="267"/>
    </row>
    <row r="766869" customFormat="1" ht="14.25" spans="80:80">
      <c r="CB766869" s="267"/>
    </row>
    <row r="766870" customFormat="1" ht="14.25" spans="80:80">
      <c r="CB766870" s="267"/>
    </row>
    <row r="766871" customFormat="1" ht="14.25" spans="80:80">
      <c r="CB766871" s="267"/>
    </row>
    <row r="766872" customFormat="1" ht="14.25" spans="80:80">
      <c r="CB766872" s="267"/>
    </row>
    <row r="766873" customFormat="1" ht="14.25" spans="80:80">
      <c r="CB766873" s="267"/>
    </row>
    <row r="766874" customFormat="1" ht="14.25" spans="80:80">
      <c r="CB766874" s="267"/>
    </row>
    <row r="766875" customFormat="1" ht="14.25" spans="80:80">
      <c r="CB766875" s="267"/>
    </row>
    <row r="766876" customFormat="1" ht="14.25" spans="80:80">
      <c r="CB766876" s="267"/>
    </row>
    <row r="766877" customFormat="1" ht="14.25" spans="80:80">
      <c r="CB766877" s="267"/>
    </row>
    <row r="766878" customFormat="1" ht="14.25" spans="80:80">
      <c r="CB766878" s="267"/>
    </row>
    <row r="766879" customFormat="1" ht="14.25" spans="80:80">
      <c r="CB766879" s="267"/>
    </row>
    <row r="766880" customFormat="1" ht="14.25" spans="80:80">
      <c r="CB766880" s="267"/>
    </row>
    <row r="766881" customFormat="1" ht="14.25" spans="80:80">
      <c r="CB766881" s="267"/>
    </row>
    <row r="766882" customFormat="1" ht="14.25" spans="80:80">
      <c r="CB766882" s="267"/>
    </row>
    <row r="766883" customFormat="1" ht="14.25" spans="80:80">
      <c r="CB766883" s="267"/>
    </row>
    <row r="766884" customFormat="1" ht="14.25" spans="80:80">
      <c r="CB766884" s="267"/>
    </row>
    <row r="766885" customFormat="1" ht="14.25" spans="80:80">
      <c r="CB766885" s="267"/>
    </row>
    <row r="766886" customFormat="1" ht="14.25" spans="80:80">
      <c r="CB766886" s="267"/>
    </row>
    <row r="766887" customFormat="1" ht="14.25" spans="80:80">
      <c r="CB766887" s="267"/>
    </row>
    <row r="766888" customFormat="1" ht="14.25" spans="80:80">
      <c r="CB766888" s="267"/>
    </row>
    <row r="766889" customFormat="1" ht="14.25" spans="80:80">
      <c r="CB766889" s="267"/>
    </row>
    <row r="766890" customFormat="1" ht="14.25" spans="80:80">
      <c r="CB766890" s="267"/>
    </row>
    <row r="766891" customFormat="1" ht="14.25" spans="80:80">
      <c r="CB766891" s="267"/>
    </row>
    <row r="766892" customFormat="1" ht="14.25" spans="80:80">
      <c r="CB766892" s="267"/>
    </row>
    <row r="766893" customFormat="1" ht="14.25" spans="80:80">
      <c r="CB766893" s="267"/>
    </row>
    <row r="766894" customFormat="1" ht="14.25" spans="80:80">
      <c r="CB766894" s="267"/>
    </row>
    <row r="766895" customFormat="1" ht="14.25" spans="80:80">
      <c r="CB766895" s="267"/>
    </row>
    <row r="766896" customFormat="1" ht="14.25" spans="80:80">
      <c r="CB766896" s="267"/>
    </row>
    <row r="766897" customFormat="1" ht="14.25" spans="80:80">
      <c r="CB766897" s="267"/>
    </row>
    <row r="766898" customFormat="1" ht="14.25" spans="80:80">
      <c r="CB766898" s="267"/>
    </row>
    <row r="766899" customFormat="1" ht="14.25" spans="80:80">
      <c r="CB766899" s="267"/>
    </row>
    <row r="766900" customFormat="1" ht="14.25" spans="80:80">
      <c r="CB766900" s="267"/>
    </row>
    <row r="766901" customFormat="1" ht="14.25" spans="80:80">
      <c r="CB766901" s="267"/>
    </row>
    <row r="766902" customFormat="1" ht="14.25" spans="80:80">
      <c r="CB766902" s="267"/>
    </row>
    <row r="766903" customFormat="1" ht="14.25" spans="80:80">
      <c r="CB766903" s="267"/>
    </row>
    <row r="766904" customFormat="1" ht="14.25" spans="80:80">
      <c r="CB766904" s="267"/>
    </row>
    <row r="766905" customFormat="1" ht="14.25" spans="80:80">
      <c r="CB766905" s="267"/>
    </row>
    <row r="766906" customFormat="1" ht="14.25" spans="80:80">
      <c r="CB766906" s="267"/>
    </row>
    <row r="766907" customFormat="1" ht="14.25" spans="80:80">
      <c r="CB766907" s="267"/>
    </row>
    <row r="766908" customFormat="1" ht="14.25" spans="80:80">
      <c r="CB766908" s="267"/>
    </row>
    <row r="766909" customFormat="1" ht="14.25" spans="80:80">
      <c r="CB766909" s="267"/>
    </row>
    <row r="766910" customFormat="1" ht="14.25" spans="80:80">
      <c r="CB766910" s="267"/>
    </row>
    <row r="766911" customFormat="1" ht="14.25" spans="80:80">
      <c r="CB766911" s="267"/>
    </row>
    <row r="766912" customFormat="1" ht="14.25" spans="80:80">
      <c r="CB766912" s="267"/>
    </row>
    <row r="766913" customFormat="1" ht="14.25" spans="80:80">
      <c r="CB766913" s="267"/>
    </row>
    <row r="766914" customFormat="1" ht="14.25" spans="80:80">
      <c r="CB766914" s="267"/>
    </row>
    <row r="766915" customFormat="1" ht="14.25" spans="80:80">
      <c r="CB766915" s="267"/>
    </row>
    <row r="766916" customFormat="1" ht="14.25" spans="80:80">
      <c r="CB766916" s="267"/>
    </row>
    <row r="766917" customFormat="1" ht="14.25" spans="80:80">
      <c r="CB766917" s="267"/>
    </row>
    <row r="766918" customFormat="1" ht="14.25" spans="80:80">
      <c r="CB766918" s="267"/>
    </row>
    <row r="766919" customFormat="1" ht="14.25" spans="80:80">
      <c r="CB766919" s="267"/>
    </row>
    <row r="766920" customFormat="1" ht="14.25" spans="80:80">
      <c r="CB766920" s="267"/>
    </row>
    <row r="766921" customFormat="1" ht="14.25" spans="80:80">
      <c r="CB766921" s="267"/>
    </row>
    <row r="766922" customFormat="1" ht="14.25" spans="80:80">
      <c r="CB766922" s="267"/>
    </row>
    <row r="766923" customFormat="1" ht="14.25" spans="80:80">
      <c r="CB766923" s="267"/>
    </row>
    <row r="766924" customFormat="1" ht="14.25" spans="80:80">
      <c r="CB766924" s="267"/>
    </row>
    <row r="766925" customFormat="1" ht="14.25" spans="80:80">
      <c r="CB766925" s="267"/>
    </row>
    <row r="766926" customFormat="1" ht="14.25" spans="80:80">
      <c r="CB766926" s="267"/>
    </row>
    <row r="766927" customFormat="1" ht="14.25" spans="80:80">
      <c r="CB766927" s="267"/>
    </row>
    <row r="766928" customFormat="1" ht="14.25" spans="80:80">
      <c r="CB766928" s="267"/>
    </row>
    <row r="766929" customFormat="1" ht="14.25" spans="80:80">
      <c r="CB766929" s="267"/>
    </row>
    <row r="766930" customFormat="1" ht="14.25" spans="80:80">
      <c r="CB766930" s="267"/>
    </row>
    <row r="766931" customFormat="1" ht="14.25" spans="80:80">
      <c r="CB766931" s="267"/>
    </row>
    <row r="766932" customFormat="1" ht="14.25" spans="80:80">
      <c r="CB766932" s="267"/>
    </row>
    <row r="766933" customFormat="1" ht="14.25" spans="80:80">
      <c r="CB766933" s="267"/>
    </row>
    <row r="766934" customFormat="1" ht="14.25" spans="80:80">
      <c r="CB766934" s="267"/>
    </row>
    <row r="766935" customFormat="1" ht="14.25" spans="80:80">
      <c r="CB766935" s="267"/>
    </row>
    <row r="766936" customFormat="1" ht="14.25" spans="80:80">
      <c r="CB766936" s="267"/>
    </row>
    <row r="766937" customFormat="1" ht="14.25" spans="80:80">
      <c r="CB766937" s="267"/>
    </row>
    <row r="766938" customFormat="1" ht="14.25" spans="80:80">
      <c r="CB766938" s="267"/>
    </row>
    <row r="766939" customFormat="1" ht="14.25" spans="80:80">
      <c r="CB766939" s="267"/>
    </row>
    <row r="766940" customFormat="1" ht="14.25" spans="80:80">
      <c r="CB766940" s="267"/>
    </row>
    <row r="766941" customFormat="1" ht="14.25" spans="80:80">
      <c r="CB766941" s="267"/>
    </row>
    <row r="766942" customFormat="1" ht="14.25" spans="80:80">
      <c r="CB766942" s="267"/>
    </row>
    <row r="766943" customFormat="1" ht="14.25" spans="80:80">
      <c r="CB766943" s="267"/>
    </row>
    <row r="766944" customFormat="1" ht="14.25" spans="80:80">
      <c r="CB766944" s="267"/>
    </row>
    <row r="766945" customFormat="1" ht="14.25" spans="80:80">
      <c r="CB766945" s="267"/>
    </row>
    <row r="766946" customFormat="1" ht="14.25" spans="80:80">
      <c r="CB766946" s="267"/>
    </row>
    <row r="766947" customFormat="1" ht="14.25" spans="80:80">
      <c r="CB766947" s="267"/>
    </row>
    <row r="766948" customFormat="1" ht="14.25" spans="80:80">
      <c r="CB766948" s="267"/>
    </row>
    <row r="766949" customFormat="1" ht="14.25" spans="80:80">
      <c r="CB766949" s="267"/>
    </row>
    <row r="766950" customFormat="1" ht="14.25" spans="80:80">
      <c r="CB766950" s="267"/>
    </row>
    <row r="766951" customFormat="1" ht="14.25" spans="80:80">
      <c r="CB766951" s="267"/>
    </row>
    <row r="766952" customFormat="1" ht="14.25" spans="80:80">
      <c r="CB766952" s="267"/>
    </row>
    <row r="766953" customFormat="1" ht="14.25" spans="80:80">
      <c r="CB766953" s="267"/>
    </row>
    <row r="766954" customFormat="1" ht="14.25" spans="80:80">
      <c r="CB766954" s="267"/>
    </row>
    <row r="766955" customFormat="1" ht="14.25" spans="80:80">
      <c r="CB766955" s="267"/>
    </row>
    <row r="766956" customFormat="1" ht="14.25" spans="80:80">
      <c r="CB766956" s="267"/>
    </row>
    <row r="766957" customFormat="1" ht="14.25" spans="80:80">
      <c r="CB766957" s="267"/>
    </row>
    <row r="766958" customFormat="1" ht="14.25" spans="80:80">
      <c r="CB766958" s="267"/>
    </row>
    <row r="766959" customFormat="1" ht="14.25" spans="80:80">
      <c r="CB766959" s="267"/>
    </row>
    <row r="766960" customFormat="1" ht="14.25" spans="80:80">
      <c r="CB766960" s="267"/>
    </row>
    <row r="766961" customFormat="1" ht="14.25" spans="80:80">
      <c r="CB766961" s="267"/>
    </row>
    <row r="766962" customFormat="1" ht="14.25" spans="80:80">
      <c r="CB766962" s="267"/>
    </row>
    <row r="766963" customFormat="1" ht="14.25" spans="80:80">
      <c r="CB766963" s="267"/>
    </row>
    <row r="766964" customFormat="1" ht="14.25" spans="80:80">
      <c r="CB766964" s="267"/>
    </row>
    <row r="766965" customFormat="1" ht="14.25" spans="80:80">
      <c r="CB766965" s="267"/>
    </row>
    <row r="766966" customFormat="1" ht="14.25" spans="80:80">
      <c r="CB766966" s="267"/>
    </row>
    <row r="766967" customFormat="1" ht="14.25" spans="80:80">
      <c r="CB766967" s="267"/>
    </row>
    <row r="766968" customFormat="1" ht="14.25" spans="80:80">
      <c r="CB766968" s="267"/>
    </row>
    <row r="766969" customFormat="1" ht="14.25" spans="80:80">
      <c r="CB766969" s="267"/>
    </row>
    <row r="766970" customFormat="1" ht="14.25" spans="80:80">
      <c r="CB766970" s="267"/>
    </row>
    <row r="766971" customFormat="1" ht="14.25" spans="80:80">
      <c r="CB766971" s="267"/>
    </row>
    <row r="766972" customFormat="1" ht="14.25" spans="80:80">
      <c r="CB766972" s="267"/>
    </row>
    <row r="766973" customFormat="1" ht="14.25" spans="80:80">
      <c r="CB766973" s="267"/>
    </row>
    <row r="766974" customFormat="1" ht="14.25" spans="80:80">
      <c r="CB766974" s="267"/>
    </row>
    <row r="766975" customFormat="1" ht="14.25" spans="80:80">
      <c r="CB766975" s="267"/>
    </row>
    <row r="766976" customFormat="1" ht="14.25" spans="80:80">
      <c r="CB766976" s="267"/>
    </row>
    <row r="766977" customFormat="1" ht="14.25" spans="80:80">
      <c r="CB766977" s="267"/>
    </row>
    <row r="766978" customFormat="1" ht="14.25" spans="80:80">
      <c r="CB766978" s="267"/>
    </row>
    <row r="766979" customFormat="1" ht="14.25" spans="80:80">
      <c r="CB766979" s="267"/>
    </row>
    <row r="766980" customFormat="1" ht="14.25" spans="80:80">
      <c r="CB766980" s="267"/>
    </row>
    <row r="766981" customFormat="1" ht="14.25" spans="80:80">
      <c r="CB766981" s="267"/>
    </row>
    <row r="766982" customFormat="1" ht="14.25" spans="80:80">
      <c r="CB766982" s="267"/>
    </row>
    <row r="766983" customFormat="1" ht="14.25" spans="80:80">
      <c r="CB766983" s="267"/>
    </row>
    <row r="766984" customFormat="1" ht="14.25" spans="80:80">
      <c r="CB766984" s="267"/>
    </row>
    <row r="766985" customFormat="1" ht="14.25" spans="80:80">
      <c r="CB766985" s="267"/>
    </row>
    <row r="766986" customFormat="1" ht="14.25" spans="80:80">
      <c r="CB766986" s="267"/>
    </row>
    <row r="766987" customFormat="1" ht="14.25" spans="80:80">
      <c r="CB766987" s="267"/>
    </row>
    <row r="766988" customFormat="1" ht="14.25" spans="80:80">
      <c r="CB766988" s="267"/>
    </row>
    <row r="766989" customFormat="1" ht="14.25" spans="80:80">
      <c r="CB766989" s="267"/>
    </row>
    <row r="766990" customFormat="1" ht="14.25" spans="80:80">
      <c r="CB766990" s="267"/>
    </row>
    <row r="766991" customFormat="1" ht="14.25" spans="80:80">
      <c r="CB766991" s="267"/>
    </row>
    <row r="766992" customFormat="1" ht="14.25" spans="80:80">
      <c r="CB766992" s="267"/>
    </row>
    <row r="766993" customFormat="1" ht="14.25" spans="80:80">
      <c r="CB766993" s="267"/>
    </row>
    <row r="766994" customFormat="1" ht="14.25" spans="80:80">
      <c r="CB766994" s="267"/>
    </row>
    <row r="766995" customFormat="1" ht="14.25" spans="80:80">
      <c r="CB766995" s="267"/>
    </row>
    <row r="766996" customFormat="1" ht="14.25" spans="80:80">
      <c r="CB766996" s="267"/>
    </row>
    <row r="766997" customFormat="1" ht="14.25" spans="80:80">
      <c r="CB766997" s="267"/>
    </row>
    <row r="766998" customFormat="1" ht="14.25" spans="80:80">
      <c r="CB766998" s="267"/>
    </row>
    <row r="766999" customFormat="1" ht="14.25" spans="80:80">
      <c r="CB766999" s="267"/>
    </row>
    <row r="767000" customFormat="1" ht="14.25" spans="80:80">
      <c r="CB767000" s="267"/>
    </row>
    <row r="767001" customFormat="1" ht="14.25" spans="80:80">
      <c r="CB767001" s="267"/>
    </row>
    <row r="767002" customFormat="1" ht="14.25" spans="80:80">
      <c r="CB767002" s="267"/>
    </row>
    <row r="767003" customFormat="1" ht="14.25" spans="80:80">
      <c r="CB767003" s="267"/>
    </row>
    <row r="767004" customFormat="1" ht="14.25" spans="80:80">
      <c r="CB767004" s="267"/>
    </row>
    <row r="767005" customFormat="1" ht="14.25" spans="80:80">
      <c r="CB767005" s="267"/>
    </row>
    <row r="767006" customFormat="1" ht="14.25" spans="80:80">
      <c r="CB767006" s="267"/>
    </row>
    <row r="767007" customFormat="1" ht="14.25" spans="80:80">
      <c r="CB767007" s="267"/>
    </row>
    <row r="767008" customFormat="1" ht="14.25" spans="80:80">
      <c r="CB767008" s="267"/>
    </row>
    <row r="767009" customFormat="1" ht="14.25" spans="80:80">
      <c r="CB767009" s="267"/>
    </row>
    <row r="767010" customFormat="1" ht="14.25" spans="80:80">
      <c r="CB767010" s="267"/>
    </row>
    <row r="767011" customFormat="1" ht="14.25" spans="80:80">
      <c r="CB767011" s="267"/>
    </row>
    <row r="767012" customFormat="1" ht="14.25" spans="80:80">
      <c r="CB767012" s="267"/>
    </row>
    <row r="767013" customFormat="1" ht="14.25" spans="80:80">
      <c r="CB767013" s="267"/>
    </row>
    <row r="767014" customFormat="1" ht="14.25" spans="80:80">
      <c r="CB767014" s="267"/>
    </row>
    <row r="767015" customFormat="1" ht="14.25" spans="80:80">
      <c r="CB767015" s="267"/>
    </row>
    <row r="767016" customFormat="1" ht="14.25" spans="80:80">
      <c r="CB767016" s="267"/>
    </row>
    <row r="767017" customFormat="1" ht="14.25" spans="80:80">
      <c r="CB767017" s="267"/>
    </row>
    <row r="767018" customFormat="1" ht="14.25" spans="80:80">
      <c r="CB767018" s="267"/>
    </row>
    <row r="767019" customFormat="1" ht="14.25" spans="80:80">
      <c r="CB767019" s="267"/>
    </row>
    <row r="767020" customFormat="1" ht="14.25" spans="80:80">
      <c r="CB767020" s="267"/>
    </row>
    <row r="767021" customFormat="1" ht="14.25" spans="80:80">
      <c r="CB767021" s="267"/>
    </row>
    <row r="767022" customFormat="1" ht="14.25" spans="80:80">
      <c r="CB767022" s="267"/>
    </row>
    <row r="767023" customFormat="1" ht="14.25" spans="80:80">
      <c r="CB767023" s="267"/>
    </row>
    <row r="767024" customFormat="1" ht="14.25" spans="80:80">
      <c r="CB767024" s="267"/>
    </row>
    <row r="767025" customFormat="1" ht="14.25" spans="80:80">
      <c r="CB767025" s="267"/>
    </row>
    <row r="767026" customFormat="1" ht="14.25" spans="80:80">
      <c r="CB767026" s="267"/>
    </row>
    <row r="767027" customFormat="1" ht="14.25" spans="80:80">
      <c r="CB767027" s="267"/>
    </row>
    <row r="767028" customFormat="1" ht="14.25" spans="80:80">
      <c r="CB767028" s="267"/>
    </row>
    <row r="767029" customFormat="1" ht="14.25" spans="80:80">
      <c r="CB767029" s="267"/>
    </row>
    <row r="767030" customFormat="1" ht="14.25" spans="80:80">
      <c r="CB767030" s="267"/>
    </row>
    <row r="767031" customFormat="1" ht="14.25" spans="80:80">
      <c r="CB767031" s="267"/>
    </row>
    <row r="767032" customFormat="1" ht="14.25" spans="80:80">
      <c r="CB767032" s="267"/>
    </row>
    <row r="767033" customFormat="1" ht="14.25" spans="80:80">
      <c r="CB767033" s="267"/>
    </row>
    <row r="767034" customFormat="1" ht="14.25" spans="80:80">
      <c r="CB767034" s="267"/>
    </row>
    <row r="767035" customFormat="1" ht="14.25" spans="80:80">
      <c r="CB767035" s="267"/>
    </row>
    <row r="767036" customFormat="1" ht="14.25" spans="80:80">
      <c r="CB767036" s="267"/>
    </row>
    <row r="767037" customFormat="1" ht="14.25" spans="80:80">
      <c r="CB767037" s="267"/>
    </row>
    <row r="767038" customFormat="1" ht="14.25" spans="80:80">
      <c r="CB767038" s="267"/>
    </row>
    <row r="767039" customFormat="1" ht="14.25" spans="80:80">
      <c r="CB767039" s="267"/>
    </row>
    <row r="767040" customFormat="1" ht="14.25" spans="80:80">
      <c r="CB767040" s="267"/>
    </row>
    <row r="767041" customFormat="1" ht="14.25" spans="80:80">
      <c r="CB767041" s="267"/>
    </row>
    <row r="767042" customFormat="1" ht="14.25" spans="80:80">
      <c r="CB767042" s="267"/>
    </row>
    <row r="767043" customFormat="1" ht="14.25" spans="80:80">
      <c r="CB767043" s="267"/>
    </row>
    <row r="767044" customFormat="1" ht="14.25" spans="80:80">
      <c r="CB767044" s="267"/>
    </row>
    <row r="767045" customFormat="1" ht="14.25" spans="80:80">
      <c r="CB767045" s="267"/>
    </row>
    <row r="767046" customFormat="1" ht="14.25" spans="80:80">
      <c r="CB767046" s="267"/>
    </row>
    <row r="767047" customFormat="1" ht="14.25" spans="80:80">
      <c r="CB767047" s="267"/>
    </row>
    <row r="767048" customFormat="1" ht="14.25" spans="80:80">
      <c r="CB767048" s="267"/>
    </row>
    <row r="767049" customFormat="1" ht="14.25" spans="80:80">
      <c r="CB767049" s="267"/>
    </row>
    <row r="767050" customFormat="1" ht="14.25" spans="80:80">
      <c r="CB767050" s="267"/>
    </row>
    <row r="767051" customFormat="1" ht="14.25" spans="80:80">
      <c r="CB767051" s="267"/>
    </row>
    <row r="767052" customFormat="1" ht="14.25" spans="80:80">
      <c r="CB767052" s="267"/>
    </row>
    <row r="767053" customFormat="1" ht="14.25" spans="80:80">
      <c r="CB767053" s="267"/>
    </row>
    <row r="767054" customFormat="1" ht="14.25" spans="80:80">
      <c r="CB767054" s="267"/>
    </row>
    <row r="767055" customFormat="1" ht="14.25" spans="80:80">
      <c r="CB767055" s="267"/>
    </row>
    <row r="767056" customFormat="1" ht="14.25" spans="80:80">
      <c r="CB767056" s="267"/>
    </row>
    <row r="767057" customFormat="1" ht="14.25" spans="80:80">
      <c r="CB767057" s="267"/>
    </row>
    <row r="767058" customFormat="1" ht="14.25" spans="80:80">
      <c r="CB767058" s="267"/>
    </row>
    <row r="767059" customFormat="1" ht="14.25" spans="80:80">
      <c r="CB767059" s="267"/>
    </row>
    <row r="767060" customFormat="1" ht="14.25" spans="80:80">
      <c r="CB767060" s="267"/>
    </row>
    <row r="767061" customFormat="1" ht="14.25" spans="80:80">
      <c r="CB767061" s="267"/>
    </row>
    <row r="767062" customFormat="1" ht="14.25" spans="80:80">
      <c r="CB767062" s="267"/>
    </row>
    <row r="767063" customFormat="1" ht="14.25" spans="80:80">
      <c r="CB767063" s="267"/>
    </row>
    <row r="767064" customFormat="1" ht="14.25" spans="80:80">
      <c r="CB767064" s="267"/>
    </row>
    <row r="767065" customFormat="1" ht="14.25" spans="80:80">
      <c r="CB767065" s="267"/>
    </row>
    <row r="767066" customFormat="1" ht="14.25" spans="80:80">
      <c r="CB767066" s="267"/>
    </row>
    <row r="767067" customFormat="1" ht="14.25" spans="80:80">
      <c r="CB767067" s="267"/>
    </row>
    <row r="767068" customFormat="1" ht="14.25" spans="80:80">
      <c r="CB767068" s="267"/>
    </row>
    <row r="767069" customFormat="1" ht="14.25" spans="80:80">
      <c r="CB767069" s="267"/>
    </row>
    <row r="767070" customFormat="1" ht="14.25" spans="80:80">
      <c r="CB767070" s="267"/>
    </row>
    <row r="767071" customFormat="1" ht="14.25" spans="80:80">
      <c r="CB767071" s="267"/>
    </row>
    <row r="767072" customFormat="1" ht="14.25" spans="80:80">
      <c r="CB767072" s="267"/>
    </row>
    <row r="767073" customFormat="1" ht="14.25" spans="80:80">
      <c r="CB767073" s="267"/>
    </row>
    <row r="767074" customFormat="1" ht="14.25" spans="80:80">
      <c r="CB767074" s="267"/>
    </row>
    <row r="767075" customFormat="1" ht="14.25" spans="80:80">
      <c r="CB767075" s="267"/>
    </row>
    <row r="767076" customFormat="1" ht="14.25" spans="80:80">
      <c r="CB767076" s="267"/>
    </row>
    <row r="767077" customFormat="1" ht="14.25" spans="80:80">
      <c r="CB767077" s="267"/>
    </row>
    <row r="767078" customFormat="1" ht="14.25" spans="80:80">
      <c r="CB767078" s="267"/>
    </row>
    <row r="767079" customFormat="1" ht="14.25" spans="80:80">
      <c r="CB767079" s="267"/>
    </row>
    <row r="767080" customFormat="1" ht="14.25" spans="80:80">
      <c r="CB767080" s="267"/>
    </row>
    <row r="767081" customFormat="1" ht="14.25" spans="80:80">
      <c r="CB767081" s="267"/>
    </row>
    <row r="767082" customFormat="1" ht="14.25" spans="80:80">
      <c r="CB767082" s="267"/>
    </row>
    <row r="767083" customFormat="1" ht="14.25" spans="80:80">
      <c r="CB767083" s="267"/>
    </row>
    <row r="767084" customFormat="1" ht="14.25" spans="80:80">
      <c r="CB767084" s="267"/>
    </row>
    <row r="767085" customFormat="1" ht="14.25" spans="80:80">
      <c r="CB767085" s="267"/>
    </row>
    <row r="767086" customFormat="1" ht="14.25" spans="80:80">
      <c r="CB767086" s="267"/>
    </row>
    <row r="767087" customFormat="1" ht="14.25" spans="80:80">
      <c r="CB767087" s="267"/>
    </row>
    <row r="767088" customFormat="1" ht="14.25" spans="80:80">
      <c r="CB767088" s="267"/>
    </row>
    <row r="767089" customFormat="1" ht="14.25" spans="80:80">
      <c r="CB767089" s="267"/>
    </row>
    <row r="767090" customFormat="1" ht="14.25" spans="80:80">
      <c r="CB767090" s="267"/>
    </row>
    <row r="767091" customFormat="1" ht="14.25" spans="80:80">
      <c r="CB767091" s="267"/>
    </row>
    <row r="767092" customFormat="1" ht="14.25" spans="80:80">
      <c r="CB767092" s="267"/>
    </row>
    <row r="767093" customFormat="1" ht="14.25" spans="80:80">
      <c r="CB767093" s="267"/>
    </row>
    <row r="767094" customFormat="1" ht="14.25" spans="80:80">
      <c r="CB767094" s="267"/>
    </row>
    <row r="767095" customFormat="1" ht="14.25" spans="80:80">
      <c r="CB767095" s="267"/>
    </row>
    <row r="767096" customFormat="1" ht="14.25" spans="80:80">
      <c r="CB767096" s="267"/>
    </row>
    <row r="767097" customFormat="1" ht="14.25" spans="80:80">
      <c r="CB767097" s="267"/>
    </row>
    <row r="767098" customFormat="1" ht="14.25" spans="80:80">
      <c r="CB767098" s="267"/>
    </row>
    <row r="767099" customFormat="1" ht="14.25" spans="80:80">
      <c r="CB767099" s="267"/>
    </row>
    <row r="767100" customFormat="1" ht="14.25" spans="80:80">
      <c r="CB767100" s="267"/>
    </row>
    <row r="767101" customFormat="1" ht="14.25" spans="80:80">
      <c r="CB767101" s="267"/>
    </row>
    <row r="767102" customFormat="1" ht="14.25" spans="80:80">
      <c r="CB767102" s="267"/>
    </row>
    <row r="767103" customFormat="1" ht="14.25" spans="80:80">
      <c r="CB767103" s="267"/>
    </row>
    <row r="767104" customFormat="1" ht="14.25" spans="80:80">
      <c r="CB767104" s="267"/>
    </row>
    <row r="767105" customFormat="1" ht="14.25" spans="80:80">
      <c r="CB767105" s="267"/>
    </row>
    <row r="767106" customFormat="1" ht="14.25" spans="80:80">
      <c r="CB767106" s="267"/>
    </row>
    <row r="767107" customFormat="1" ht="14.25" spans="80:80">
      <c r="CB767107" s="267"/>
    </row>
    <row r="767108" customFormat="1" ht="14.25" spans="80:80">
      <c r="CB767108" s="267"/>
    </row>
    <row r="767109" customFormat="1" ht="14.25" spans="80:80">
      <c r="CB767109" s="267"/>
    </row>
    <row r="767110" customFormat="1" ht="14.25" spans="80:80">
      <c r="CB767110" s="267"/>
    </row>
    <row r="767111" customFormat="1" ht="14.25" spans="80:80">
      <c r="CB767111" s="267"/>
    </row>
    <row r="767112" customFormat="1" ht="14.25" spans="80:80">
      <c r="CB767112" s="267"/>
    </row>
    <row r="767113" customFormat="1" ht="14.25" spans="80:80">
      <c r="CB767113" s="267"/>
    </row>
    <row r="767114" customFormat="1" ht="14.25" spans="80:80">
      <c r="CB767114" s="267"/>
    </row>
    <row r="767115" customFormat="1" ht="14.25" spans="80:80">
      <c r="CB767115" s="267"/>
    </row>
    <row r="767116" customFormat="1" ht="14.25" spans="80:80">
      <c r="CB767116" s="267"/>
    </row>
    <row r="767117" customFormat="1" ht="14.25" spans="80:80">
      <c r="CB767117" s="267"/>
    </row>
    <row r="767118" customFormat="1" ht="14.25" spans="80:80">
      <c r="CB767118" s="267"/>
    </row>
    <row r="767119" customFormat="1" ht="14.25" spans="80:80">
      <c r="CB767119" s="267"/>
    </row>
    <row r="767120" customFormat="1" ht="14.25" spans="80:80">
      <c r="CB767120" s="267"/>
    </row>
    <row r="767121" customFormat="1" ht="14.25" spans="80:80">
      <c r="CB767121" s="267"/>
    </row>
    <row r="767122" customFormat="1" ht="14.25" spans="80:80">
      <c r="CB767122" s="267"/>
    </row>
    <row r="767123" customFormat="1" ht="14.25" spans="80:80">
      <c r="CB767123" s="267"/>
    </row>
    <row r="767124" customFormat="1" ht="14.25" spans="80:80">
      <c r="CB767124" s="267"/>
    </row>
    <row r="767125" customFormat="1" ht="14.25" spans="80:80">
      <c r="CB767125" s="267"/>
    </row>
    <row r="767126" customFormat="1" ht="14.25" spans="80:80">
      <c r="CB767126" s="267"/>
    </row>
    <row r="767127" customFormat="1" ht="14.25" spans="80:80">
      <c r="CB767127" s="267"/>
    </row>
    <row r="767128" customFormat="1" ht="14.25" spans="80:80">
      <c r="CB767128" s="267"/>
    </row>
    <row r="767129" customFormat="1" ht="14.25" spans="80:80">
      <c r="CB767129" s="267"/>
    </row>
    <row r="767130" customFormat="1" ht="14.25" spans="80:80">
      <c r="CB767130" s="267"/>
    </row>
    <row r="767131" customFormat="1" ht="14.25" spans="80:80">
      <c r="CB767131" s="267"/>
    </row>
    <row r="767132" customFormat="1" ht="14.25" spans="80:80">
      <c r="CB767132" s="267"/>
    </row>
    <row r="767133" customFormat="1" ht="14.25" spans="80:80">
      <c r="CB767133" s="267"/>
    </row>
    <row r="767134" customFormat="1" ht="14.25" spans="80:80">
      <c r="CB767134" s="267"/>
    </row>
    <row r="767135" customFormat="1" ht="14.25" spans="80:80">
      <c r="CB767135" s="267"/>
    </row>
    <row r="767136" customFormat="1" ht="14.25" spans="80:80">
      <c r="CB767136" s="267"/>
    </row>
    <row r="767137" customFormat="1" ht="14.25" spans="80:80">
      <c r="CB767137" s="267"/>
    </row>
    <row r="767138" customFormat="1" ht="14.25" spans="80:80">
      <c r="CB767138" s="267"/>
    </row>
    <row r="767139" customFormat="1" ht="14.25" spans="80:80">
      <c r="CB767139" s="267"/>
    </row>
    <row r="767140" customFormat="1" ht="14.25" spans="80:80">
      <c r="CB767140" s="267"/>
    </row>
    <row r="767141" customFormat="1" ht="14.25" spans="80:80">
      <c r="CB767141" s="267"/>
    </row>
    <row r="767142" customFormat="1" ht="14.25" spans="80:80">
      <c r="CB767142" s="267"/>
    </row>
    <row r="767143" customFormat="1" ht="14.25" spans="80:80">
      <c r="CB767143" s="267"/>
    </row>
    <row r="767144" customFormat="1" ht="14.25" spans="80:80">
      <c r="CB767144" s="267"/>
    </row>
    <row r="767145" customFormat="1" ht="14.25" spans="80:80">
      <c r="CB767145" s="267"/>
    </row>
    <row r="767146" customFormat="1" ht="14.25" spans="80:80">
      <c r="CB767146" s="267"/>
    </row>
    <row r="767147" customFormat="1" ht="14.25" spans="80:80">
      <c r="CB767147" s="267"/>
    </row>
    <row r="767148" customFormat="1" ht="14.25" spans="80:80">
      <c r="CB767148" s="267"/>
    </row>
    <row r="767149" customFormat="1" ht="14.25" spans="80:80">
      <c r="CB767149" s="267"/>
    </row>
    <row r="767150" customFormat="1" ht="14.25" spans="80:80">
      <c r="CB767150" s="267"/>
    </row>
    <row r="767151" customFormat="1" ht="14.25" spans="80:80">
      <c r="CB767151" s="267"/>
    </row>
    <row r="767152" customFormat="1" ht="14.25" spans="80:80">
      <c r="CB767152" s="267"/>
    </row>
    <row r="767153" customFormat="1" ht="14.25" spans="80:80">
      <c r="CB767153" s="267"/>
    </row>
    <row r="767154" customFormat="1" ht="14.25" spans="80:80">
      <c r="CB767154" s="267"/>
    </row>
    <row r="767155" customFormat="1" ht="14.25" spans="80:80">
      <c r="CB767155" s="267"/>
    </row>
    <row r="767156" customFormat="1" ht="14.25" spans="80:80">
      <c r="CB767156" s="267"/>
    </row>
    <row r="767157" customFormat="1" ht="14.25" spans="80:80">
      <c r="CB767157" s="267"/>
    </row>
    <row r="767158" customFormat="1" ht="14.25" spans="80:80">
      <c r="CB767158" s="267"/>
    </row>
    <row r="767159" customFormat="1" ht="14.25" spans="80:80">
      <c r="CB767159" s="267"/>
    </row>
    <row r="767160" customFormat="1" ht="14.25" spans="80:80">
      <c r="CB767160" s="267"/>
    </row>
    <row r="767161" customFormat="1" ht="14.25" spans="80:80">
      <c r="CB767161" s="267"/>
    </row>
    <row r="767162" customFormat="1" ht="14.25" spans="80:80">
      <c r="CB767162" s="267"/>
    </row>
    <row r="767163" customFormat="1" ht="14.25" spans="80:80">
      <c r="CB767163" s="267"/>
    </row>
    <row r="767164" customFormat="1" ht="14.25" spans="80:80">
      <c r="CB767164" s="267"/>
    </row>
    <row r="767165" customFormat="1" ht="14.25" spans="80:80">
      <c r="CB767165" s="267"/>
    </row>
    <row r="767166" customFormat="1" ht="14.25" spans="80:80">
      <c r="CB767166" s="267"/>
    </row>
    <row r="767167" customFormat="1" ht="14.25" spans="80:80">
      <c r="CB767167" s="267"/>
    </row>
    <row r="767168" customFormat="1" ht="14.25" spans="80:80">
      <c r="CB767168" s="267"/>
    </row>
    <row r="767169" customFormat="1" ht="14.25" spans="80:80">
      <c r="CB767169" s="267"/>
    </row>
    <row r="767170" customFormat="1" ht="14.25" spans="80:80">
      <c r="CB767170" s="267"/>
    </row>
    <row r="767171" customFormat="1" ht="14.25" spans="80:80">
      <c r="CB767171" s="267"/>
    </row>
    <row r="767172" customFormat="1" ht="14.25" spans="80:80">
      <c r="CB767172" s="267"/>
    </row>
    <row r="767173" customFormat="1" ht="14.25" spans="80:80">
      <c r="CB767173" s="267"/>
    </row>
    <row r="767174" customFormat="1" ht="14.25" spans="80:80">
      <c r="CB767174" s="267"/>
    </row>
    <row r="767175" customFormat="1" ht="14.25" spans="80:80">
      <c r="CB767175" s="267"/>
    </row>
    <row r="767176" customFormat="1" ht="14.25" spans="80:80">
      <c r="CB767176" s="267"/>
    </row>
    <row r="767177" customFormat="1" ht="14.25" spans="80:80">
      <c r="CB767177" s="267"/>
    </row>
    <row r="767178" customFormat="1" ht="14.25" spans="80:80">
      <c r="CB767178" s="267"/>
    </row>
    <row r="767179" customFormat="1" ht="14.25" spans="80:80">
      <c r="CB767179" s="267"/>
    </row>
    <row r="767180" customFormat="1" ht="14.25" spans="80:80">
      <c r="CB767180" s="267"/>
    </row>
    <row r="767181" customFormat="1" ht="14.25" spans="80:80">
      <c r="CB767181" s="267"/>
    </row>
    <row r="767182" customFormat="1" ht="14.25" spans="80:80">
      <c r="CB767182" s="267"/>
    </row>
    <row r="767183" customFormat="1" ht="14.25" spans="80:80">
      <c r="CB767183" s="267"/>
    </row>
    <row r="767184" customFormat="1" ht="14.25" spans="80:80">
      <c r="CB767184" s="267"/>
    </row>
    <row r="767185" customFormat="1" ht="14.25" spans="80:80">
      <c r="CB767185" s="267"/>
    </row>
    <row r="767186" customFormat="1" ht="14.25" spans="80:80">
      <c r="CB767186" s="267"/>
    </row>
    <row r="767187" customFormat="1" ht="14.25" spans="80:80">
      <c r="CB767187" s="267"/>
    </row>
    <row r="767188" customFormat="1" ht="14.25" spans="80:80">
      <c r="CB767188" s="267"/>
    </row>
    <row r="767189" customFormat="1" ht="14.25" spans="80:80">
      <c r="CB767189" s="267"/>
    </row>
    <row r="767190" customFormat="1" ht="14.25" spans="80:80">
      <c r="CB767190" s="267"/>
    </row>
    <row r="767191" customFormat="1" ht="14.25" spans="80:80">
      <c r="CB767191" s="267"/>
    </row>
    <row r="767192" customFormat="1" ht="14.25" spans="80:80">
      <c r="CB767192" s="267"/>
    </row>
    <row r="767193" customFormat="1" ht="14.25" spans="80:80">
      <c r="CB767193" s="267"/>
    </row>
    <row r="767194" customFormat="1" ht="14.25" spans="80:80">
      <c r="CB767194" s="267"/>
    </row>
    <row r="767195" customFormat="1" ht="14.25" spans="80:80">
      <c r="CB767195" s="267"/>
    </row>
    <row r="767196" customFormat="1" ht="14.25" spans="80:80">
      <c r="CB767196" s="267"/>
    </row>
    <row r="767197" customFormat="1" ht="14.25" spans="80:80">
      <c r="CB767197" s="267"/>
    </row>
    <row r="767198" customFormat="1" ht="14.25" spans="80:80">
      <c r="CB767198" s="267"/>
    </row>
    <row r="767199" customFormat="1" ht="14.25" spans="80:80">
      <c r="CB767199" s="267"/>
    </row>
    <row r="767200" customFormat="1" ht="14.25" spans="80:80">
      <c r="CB767200" s="267"/>
    </row>
    <row r="767201" customFormat="1" ht="14.25" spans="80:80">
      <c r="CB767201" s="267"/>
    </row>
    <row r="767202" customFormat="1" ht="14.25" spans="80:80">
      <c r="CB767202" s="267"/>
    </row>
    <row r="767203" customFormat="1" ht="14.25" spans="80:80">
      <c r="CB767203" s="267"/>
    </row>
    <row r="767204" customFormat="1" ht="14.25" spans="80:80">
      <c r="CB767204" s="267"/>
    </row>
    <row r="767205" customFormat="1" ht="14.25" spans="80:80">
      <c r="CB767205" s="267"/>
    </row>
    <row r="767206" customFormat="1" ht="14.25" spans="80:80">
      <c r="CB767206" s="267"/>
    </row>
    <row r="767207" customFormat="1" ht="14.25" spans="80:80">
      <c r="CB767207" s="267"/>
    </row>
    <row r="767208" customFormat="1" ht="14.25" spans="80:80">
      <c r="CB767208" s="267"/>
    </row>
    <row r="767209" customFormat="1" ht="14.25" spans="80:80">
      <c r="CB767209" s="267"/>
    </row>
    <row r="767210" customFormat="1" ht="14.25" spans="80:80">
      <c r="CB767210" s="267"/>
    </row>
    <row r="767211" customFormat="1" ht="14.25" spans="80:80">
      <c r="CB767211" s="267"/>
    </row>
    <row r="767212" customFormat="1" ht="14.25" spans="80:80">
      <c r="CB767212" s="267"/>
    </row>
    <row r="767213" customFormat="1" ht="14.25" spans="80:80">
      <c r="CB767213" s="267"/>
    </row>
    <row r="767214" customFormat="1" ht="14.25" spans="80:80">
      <c r="CB767214" s="267"/>
    </row>
    <row r="767215" customFormat="1" ht="14.25" spans="80:80">
      <c r="CB767215" s="267"/>
    </row>
    <row r="767216" customFormat="1" ht="14.25" spans="80:80">
      <c r="CB767216" s="267"/>
    </row>
    <row r="767217" customFormat="1" ht="14.25" spans="80:80">
      <c r="CB767217" s="267"/>
    </row>
    <row r="767218" customFormat="1" ht="14.25" spans="80:80">
      <c r="CB767218" s="267"/>
    </row>
    <row r="767219" customFormat="1" ht="14.25" spans="80:80">
      <c r="CB767219" s="267"/>
    </row>
    <row r="767220" customFormat="1" ht="14.25" spans="80:80">
      <c r="CB767220" s="267"/>
    </row>
    <row r="767221" customFormat="1" ht="14.25" spans="80:80">
      <c r="CB767221" s="267"/>
    </row>
    <row r="767222" customFormat="1" ht="14.25" spans="80:80">
      <c r="CB767222" s="267"/>
    </row>
    <row r="767223" customFormat="1" ht="14.25" spans="80:80">
      <c r="CB767223" s="267"/>
    </row>
    <row r="767224" customFormat="1" ht="14.25" spans="80:80">
      <c r="CB767224" s="267"/>
    </row>
    <row r="767225" customFormat="1" ht="14.25" spans="80:80">
      <c r="CB767225" s="267"/>
    </row>
    <row r="767226" customFormat="1" ht="14.25" spans="80:80">
      <c r="CB767226" s="267"/>
    </row>
    <row r="767227" customFormat="1" ht="14.25" spans="80:80">
      <c r="CB767227" s="267"/>
    </row>
    <row r="767228" customFormat="1" ht="14.25" spans="80:80">
      <c r="CB767228" s="267"/>
    </row>
    <row r="767229" customFormat="1" ht="14.25" spans="80:80">
      <c r="CB767229" s="267"/>
    </row>
    <row r="767230" customFormat="1" ht="14.25" spans="80:80">
      <c r="CB767230" s="267"/>
    </row>
    <row r="767231" customFormat="1" ht="14.25" spans="80:80">
      <c r="CB767231" s="267"/>
    </row>
    <row r="767232" customFormat="1" ht="14.25" spans="80:80">
      <c r="CB767232" s="267"/>
    </row>
    <row r="767233" customFormat="1" ht="14.25" spans="80:80">
      <c r="CB767233" s="267"/>
    </row>
    <row r="767234" customFormat="1" ht="14.25" spans="80:80">
      <c r="CB767234" s="267"/>
    </row>
    <row r="767235" customFormat="1" ht="14.25" spans="80:80">
      <c r="CB767235" s="267"/>
    </row>
    <row r="767236" customFormat="1" ht="14.25" spans="80:80">
      <c r="CB767236" s="267"/>
    </row>
    <row r="767237" customFormat="1" ht="14.25" spans="80:80">
      <c r="CB767237" s="267"/>
    </row>
    <row r="767238" customFormat="1" ht="14.25" spans="80:80">
      <c r="CB767238" s="267"/>
    </row>
    <row r="767239" customFormat="1" ht="14.25" spans="80:80">
      <c r="CB767239" s="267"/>
    </row>
    <row r="767240" customFormat="1" ht="14.25" spans="80:80">
      <c r="CB767240" s="267"/>
    </row>
    <row r="767241" customFormat="1" ht="14.25" spans="80:80">
      <c r="CB767241" s="267"/>
    </row>
    <row r="767242" customFormat="1" ht="14.25" spans="80:80">
      <c r="CB767242" s="267"/>
    </row>
    <row r="767243" customFormat="1" ht="14.25" spans="80:80">
      <c r="CB767243" s="267"/>
    </row>
    <row r="767244" customFormat="1" ht="14.25" spans="80:80">
      <c r="CB767244" s="267"/>
    </row>
    <row r="767245" customFormat="1" ht="14.25" spans="80:80">
      <c r="CB767245" s="267"/>
    </row>
    <row r="767246" customFormat="1" ht="14.25" spans="80:80">
      <c r="CB767246" s="267"/>
    </row>
    <row r="767247" customFormat="1" ht="14.25" spans="80:80">
      <c r="CB767247" s="267"/>
    </row>
    <row r="767248" customFormat="1" ht="14.25" spans="80:80">
      <c r="CB767248" s="267"/>
    </row>
    <row r="767249" customFormat="1" ht="14.25" spans="80:80">
      <c r="CB767249" s="267"/>
    </row>
    <row r="767250" customFormat="1" ht="14.25" spans="80:80">
      <c r="CB767250" s="267"/>
    </row>
    <row r="767251" customFormat="1" ht="14.25" spans="80:80">
      <c r="CB767251" s="267"/>
    </row>
    <row r="767252" customFormat="1" ht="14.25" spans="80:80">
      <c r="CB767252" s="267"/>
    </row>
    <row r="767253" customFormat="1" ht="14.25" spans="80:80">
      <c r="CB767253" s="267"/>
    </row>
    <row r="767254" customFormat="1" ht="14.25" spans="80:80">
      <c r="CB767254" s="267"/>
    </row>
    <row r="767255" customFormat="1" ht="14.25" spans="80:80">
      <c r="CB767255" s="267"/>
    </row>
    <row r="767256" customFormat="1" ht="14.25" spans="80:80">
      <c r="CB767256" s="267"/>
    </row>
    <row r="767257" customFormat="1" ht="14.25" spans="80:80">
      <c r="CB767257" s="267"/>
    </row>
    <row r="767258" customFormat="1" ht="14.25" spans="80:80">
      <c r="CB767258" s="267"/>
    </row>
    <row r="767259" customFormat="1" ht="14.25" spans="80:80">
      <c r="CB767259" s="267"/>
    </row>
    <row r="767260" customFormat="1" ht="14.25" spans="80:80">
      <c r="CB767260" s="267"/>
    </row>
    <row r="767261" customFormat="1" ht="14.25" spans="80:80">
      <c r="CB767261" s="267"/>
    </row>
    <row r="767262" customFormat="1" ht="14.25" spans="80:80">
      <c r="CB767262" s="267"/>
    </row>
    <row r="767263" customFormat="1" ht="14.25" spans="80:80">
      <c r="CB767263" s="267"/>
    </row>
    <row r="767264" customFormat="1" ht="14.25" spans="80:80">
      <c r="CB767264" s="267"/>
    </row>
    <row r="767265" customFormat="1" ht="14.25" spans="80:80">
      <c r="CB767265" s="267"/>
    </row>
    <row r="767266" customFormat="1" ht="14.25" spans="80:80">
      <c r="CB767266" s="267"/>
    </row>
    <row r="767267" customFormat="1" ht="14.25" spans="80:80">
      <c r="CB767267" s="267"/>
    </row>
    <row r="767268" customFormat="1" ht="14.25" spans="80:80">
      <c r="CB767268" s="267"/>
    </row>
    <row r="767269" customFormat="1" ht="14.25" spans="80:80">
      <c r="CB767269" s="267"/>
    </row>
    <row r="767270" customFormat="1" ht="14.25" spans="80:80">
      <c r="CB767270" s="267"/>
    </row>
    <row r="767271" customFormat="1" ht="14.25" spans="80:80">
      <c r="CB767271" s="267"/>
    </row>
    <row r="767272" customFormat="1" ht="14.25" spans="80:80">
      <c r="CB767272" s="267"/>
    </row>
    <row r="767273" customFormat="1" ht="14.25" spans="80:80">
      <c r="CB767273" s="267"/>
    </row>
    <row r="767274" customFormat="1" ht="14.25" spans="80:80">
      <c r="CB767274" s="267"/>
    </row>
    <row r="767275" customFormat="1" ht="14.25" spans="80:80">
      <c r="CB767275" s="267"/>
    </row>
    <row r="767276" customFormat="1" ht="14.25" spans="80:80">
      <c r="CB767276" s="267"/>
    </row>
    <row r="767277" customFormat="1" ht="14.25" spans="80:80">
      <c r="CB767277" s="267"/>
    </row>
    <row r="767278" customFormat="1" ht="14.25" spans="80:80">
      <c r="CB767278" s="267"/>
    </row>
    <row r="767279" customFormat="1" ht="14.25" spans="80:80">
      <c r="CB767279" s="267"/>
    </row>
    <row r="767280" customFormat="1" ht="14.25" spans="80:80">
      <c r="CB767280" s="267"/>
    </row>
    <row r="767281" customFormat="1" ht="14.25" spans="80:80">
      <c r="CB767281" s="267"/>
    </row>
    <row r="767282" customFormat="1" ht="14.25" spans="80:80">
      <c r="CB767282" s="267"/>
    </row>
    <row r="767283" customFormat="1" ht="14.25" spans="80:80">
      <c r="CB767283" s="267"/>
    </row>
    <row r="767284" customFormat="1" ht="14.25" spans="80:80">
      <c r="CB767284" s="267"/>
    </row>
    <row r="767285" customFormat="1" ht="14.25" spans="80:80">
      <c r="CB767285" s="267"/>
    </row>
    <row r="767286" customFormat="1" ht="14.25" spans="80:80">
      <c r="CB767286" s="267"/>
    </row>
    <row r="767287" customFormat="1" ht="14.25" spans="80:80">
      <c r="CB767287" s="267"/>
    </row>
    <row r="767288" customFormat="1" ht="14.25" spans="80:80">
      <c r="CB767288" s="267"/>
    </row>
    <row r="767289" customFormat="1" ht="14.25" spans="80:80">
      <c r="CB767289" s="267"/>
    </row>
    <row r="767290" customFormat="1" ht="14.25" spans="80:80">
      <c r="CB767290" s="267"/>
    </row>
    <row r="767291" customFormat="1" ht="14.25" spans="80:80">
      <c r="CB767291" s="267"/>
    </row>
    <row r="767292" customFormat="1" ht="14.25" spans="80:80">
      <c r="CB767292" s="267"/>
    </row>
    <row r="767293" customFormat="1" ht="14.25" spans="80:80">
      <c r="CB767293" s="267"/>
    </row>
    <row r="767294" customFormat="1" ht="14.25" spans="80:80">
      <c r="CB767294" s="267"/>
    </row>
    <row r="767295" customFormat="1" ht="14.25" spans="80:80">
      <c r="CB767295" s="267"/>
    </row>
    <row r="767296" customFormat="1" ht="14.25" spans="80:80">
      <c r="CB767296" s="267"/>
    </row>
    <row r="767297" customFormat="1" ht="14.25" spans="80:80">
      <c r="CB767297" s="267"/>
    </row>
    <row r="767298" customFormat="1" ht="14.25" spans="80:80">
      <c r="CB767298" s="267"/>
    </row>
    <row r="767299" customFormat="1" ht="14.25" spans="80:80">
      <c r="CB767299" s="267"/>
    </row>
    <row r="767300" customFormat="1" ht="14.25" spans="80:80">
      <c r="CB767300" s="267"/>
    </row>
    <row r="767301" customFormat="1" ht="14.25" spans="80:80">
      <c r="CB767301" s="267"/>
    </row>
    <row r="767302" customFormat="1" ht="14.25" spans="80:80">
      <c r="CB767302" s="267"/>
    </row>
    <row r="767303" customFormat="1" ht="14.25" spans="80:80">
      <c r="CB767303" s="267"/>
    </row>
    <row r="767304" customFormat="1" ht="14.25" spans="80:80">
      <c r="CB767304" s="267"/>
    </row>
    <row r="767305" customFormat="1" ht="14.25" spans="80:80">
      <c r="CB767305" s="267"/>
    </row>
    <row r="767306" customFormat="1" ht="14.25" spans="80:80">
      <c r="CB767306" s="267"/>
    </row>
    <row r="767307" customFormat="1" ht="14.25" spans="80:80">
      <c r="CB767307" s="267"/>
    </row>
    <row r="767308" customFormat="1" ht="14.25" spans="80:80">
      <c r="CB767308" s="267"/>
    </row>
    <row r="767309" customFormat="1" ht="14.25" spans="80:80">
      <c r="CB767309" s="267"/>
    </row>
    <row r="767310" customFormat="1" ht="14.25" spans="80:80">
      <c r="CB767310" s="267"/>
    </row>
    <row r="767311" customFormat="1" ht="14.25" spans="80:80">
      <c r="CB767311" s="267"/>
    </row>
    <row r="767312" customFormat="1" ht="14.25" spans="80:80">
      <c r="CB767312" s="267"/>
    </row>
    <row r="767313" customFormat="1" ht="14.25" spans="80:80">
      <c r="CB767313" s="267"/>
    </row>
    <row r="767314" customFormat="1" ht="14.25" spans="80:80">
      <c r="CB767314" s="267"/>
    </row>
    <row r="767315" customFormat="1" ht="14.25" spans="80:80">
      <c r="CB767315" s="267"/>
    </row>
    <row r="767316" customFormat="1" ht="14.25" spans="80:80">
      <c r="CB767316" s="267"/>
    </row>
    <row r="767317" customFormat="1" ht="14.25" spans="80:80">
      <c r="CB767317" s="267"/>
    </row>
    <row r="767318" customFormat="1" ht="14.25" spans="80:80">
      <c r="CB767318" s="267"/>
    </row>
    <row r="767319" customFormat="1" ht="14.25" spans="80:80">
      <c r="CB767319" s="267"/>
    </row>
    <row r="767320" customFormat="1" ht="14.25" spans="80:80">
      <c r="CB767320" s="267"/>
    </row>
    <row r="767321" customFormat="1" ht="14.25" spans="80:80">
      <c r="CB767321" s="267"/>
    </row>
    <row r="767322" customFormat="1" ht="14.25" spans="80:80">
      <c r="CB767322" s="267"/>
    </row>
    <row r="767323" customFormat="1" ht="14.25" spans="80:80">
      <c r="CB767323" s="267"/>
    </row>
    <row r="767324" customFormat="1" ht="14.25" spans="80:80">
      <c r="CB767324" s="267"/>
    </row>
    <row r="767325" customFormat="1" ht="14.25" spans="80:80">
      <c r="CB767325" s="267"/>
    </row>
    <row r="767326" customFormat="1" ht="14.25" spans="80:80">
      <c r="CB767326" s="267"/>
    </row>
    <row r="767327" customFormat="1" ht="14.25" spans="80:80">
      <c r="CB767327" s="267"/>
    </row>
    <row r="767328" customFormat="1" ht="14.25" spans="80:80">
      <c r="CB767328" s="267"/>
    </row>
    <row r="767329" customFormat="1" ht="14.25" spans="80:80">
      <c r="CB767329" s="267"/>
    </row>
    <row r="767330" customFormat="1" ht="14.25" spans="80:80">
      <c r="CB767330" s="267"/>
    </row>
    <row r="767331" customFormat="1" ht="14.25" spans="80:80">
      <c r="CB767331" s="267"/>
    </row>
    <row r="767332" customFormat="1" ht="14.25" spans="80:80">
      <c r="CB767332" s="267"/>
    </row>
    <row r="767333" customFormat="1" ht="14.25" spans="80:80">
      <c r="CB767333" s="267"/>
    </row>
    <row r="767334" customFormat="1" ht="14.25" spans="80:80">
      <c r="CB767334" s="267"/>
    </row>
    <row r="767335" customFormat="1" ht="14.25" spans="80:80">
      <c r="CB767335" s="267"/>
    </row>
    <row r="767336" customFormat="1" ht="14.25" spans="80:80">
      <c r="CB767336" s="267"/>
    </row>
    <row r="767337" customFormat="1" ht="14.25" spans="80:80">
      <c r="CB767337" s="267"/>
    </row>
    <row r="767338" customFormat="1" ht="14.25" spans="80:80">
      <c r="CB767338" s="267"/>
    </row>
    <row r="767339" customFormat="1" ht="14.25" spans="80:80">
      <c r="CB767339" s="267"/>
    </row>
    <row r="767340" customFormat="1" ht="14.25" spans="80:80">
      <c r="CB767340" s="267"/>
    </row>
    <row r="767341" customFormat="1" ht="14.25" spans="80:80">
      <c r="CB767341" s="267"/>
    </row>
    <row r="767342" customFormat="1" ht="14.25" spans="80:80">
      <c r="CB767342" s="267"/>
    </row>
    <row r="767343" customFormat="1" ht="14.25" spans="80:80">
      <c r="CB767343" s="267"/>
    </row>
    <row r="767344" customFormat="1" ht="14.25" spans="80:80">
      <c r="CB767344" s="267"/>
    </row>
    <row r="767345" customFormat="1" ht="14.25" spans="80:80">
      <c r="CB767345" s="267"/>
    </row>
    <row r="767346" customFormat="1" ht="14.25" spans="80:80">
      <c r="CB767346" s="267"/>
    </row>
    <row r="767347" customFormat="1" ht="14.25" spans="80:80">
      <c r="CB767347" s="267"/>
    </row>
    <row r="767348" customFormat="1" ht="14.25" spans="80:80">
      <c r="CB767348" s="267"/>
    </row>
    <row r="767349" customFormat="1" ht="14.25" spans="80:80">
      <c r="CB767349" s="267"/>
    </row>
    <row r="767350" customFormat="1" ht="14.25" spans="80:80">
      <c r="CB767350" s="267"/>
    </row>
    <row r="767351" customFormat="1" ht="14.25" spans="80:80">
      <c r="CB767351" s="267"/>
    </row>
    <row r="767352" customFormat="1" ht="14.25" spans="80:80">
      <c r="CB767352" s="267"/>
    </row>
    <row r="767353" customFormat="1" ht="14.25" spans="80:80">
      <c r="CB767353" s="267"/>
    </row>
    <row r="767354" customFormat="1" ht="14.25" spans="80:80">
      <c r="CB767354" s="267"/>
    </row>
    <row r="767355" customFormat="1" ht="14.25" spans="80:80">
      <c r="CB767355" s="267"/>
    </row>
    <row r="767356" customFormat="1" ht="14.25" spans="80:80">
      <c r="CB767356" s="267"/>
    </row>
    <row r="767357" customFormat="1" ht="14.25" spans="80:80">
      <c r="CB767357" s="267"/>
    </row>
    <row r="767358" customFormat="1" ht="14.25" spans="80:80">
      <c r="CB767358" s="267"/>
    </row>
    <row r="767359" customFormat="1" ht="14.25" spans="80:80">
      <c r="CB767359" s="267"/>
    </row>
    <row r="767360" customFormat="1" ht="14.25" spans="80:80">
      <c r="CB767360" s="267"/>
    </row>
    <row r="767361" customFormat="1" ht="14.25" spans="80:80">
      <c r="CB767361" s="267"/>
    </row>
    <row r="767362" customFormat="1" ht="14.25" spans="80:80">
      <c r="CB767362" s="267"/>
    </row>
    <row r="767363" customFormat="1" ht="14.25" spans="80:80">
      <c r="CB767363" s="267"/>
    </row>
    <row r="767364" customFormat="1" ht="14.25" spans="80:80">
      <c r="CB767364" s="267"/>
    </row>
    <row r="767365" customFormat="1" ht="14.25" spans="80:80">
      <c r="CB767365" s="267"/>
    </row>
    <row r="767366" customFormat="1" ht="14.25" spans="80:80">
      <c r="CB767366" s="267"/>
    </row>
    <row r="767367" customFormat="1" ht="14.25" spans="80:80">
      <c r="CB767367" s="267"/>
    </row>
    <row r="767368" customFormat="1" ht="14.25" spans="80:80">
      <c r="CB767368" s="267"/>
    </row>
    <row r="767369" customFormat="1" ht="14.25" spans="80:80">
      <c r="CB767369" s="267"/>
    </row>
    <row r="767370" customFormat="1" ht="14.25" spans="80:80">
      <c r="CB767370" s="267"/>
    </row>
    <row r="767371" customFormat="1" ht="14.25" spans="80:80">
      <c r="CB767371" s="267"/>
    </row>
    <row r="767372" customFormat="1" ht="14.25" spans="80:80">
      <c r="CB767372" s="267"/>
    </row>
    <row r="767373" customFormat="1" ht="14.25" spans="80:80">
      <c r="CB767373" s="267"/>
    </row>
    <row r="767374" customFormat="1" ht="14.25" spans="80:80">
      <c r="CB767374" s="267"/>
    </row>
    <row r="767375" customFormat="1" ht="14.25" spans="80:80">
      <c r="CB767375" s="267"/>
    </row>
    <row r="767376" customFormat="1" ht="14.25" spans="80:80">
      <c r="CB767376" s="267"/>
    </row>
    <row r="767377" customFormat="1" ht="14.25" spans="80:80">
      <c r="CB767377" s="267"/>
    </row>
    <row r="767378" customFormat="1" ht="14.25" spans="80:80">
      <c r="CB767378" s="267"/>
    </row>
    <row r="767379" customFormat="1" ht="14.25" spans="80:80">
      <c r="CB767379" s="267"/>
    </row>
    <row r="767380" customFormat="1" ht="14.25" spans="80:80">
      <c r="CB767380" s="267"/>
    </row>
    <row r="767381" customFormat="1" ht="14.25" spans="80:80">
      <c r="CB767381" s="267"/>
    </row>
    <row r="767382" customFormat="1" ht="14.25" spans="80:80">
      <c r="CB767382" s="267"/>
    </row>
    <row r="767383" customFormat="1" ht="14.25" spans="80:80">
      <c r="CB767383" s="267"/>
    </row>
    <row r="767384" customFormat="1" ht="14.25" spans="80:80">
      <c r="CB767384" s="267"/>
    </row>
    <row r="767385" customFormat="1" ht="14.25" spans="80:80">
      <c r="CB767385" s="267"/>
    </row>
    <row r="767386" customFormat="1" ht="14.25" spans="80:80">
      <c r="CB767386" s="267"/>
    </row>
    <row r="767387" customFormat="1" ht="14.25" spans="80:80">
      <c r="CB767387" s="267"/>
    </row>
    <row r="767388" customFormat="1" ht="14.25" spans="80:80">
      <c r="CB767388" s="267"/>
    </row>
    <row r="767389" customFormat="1" ht="14.25" spans="80:80">
      <c r="CB767389" s="267"/>
    </row>
    <row r="767390" customFormat="1" ht="14.25" spans="80:80">
      <c r="CB767390" s="267"/>
    </row>
    <row r="767391" customFormat="1" ht="14.25" spans="80:80">
      <c r="CB767391" s="267"/>
    </row>
    <row r="767392" customFormat="1" ht="14.25" spans="80:80">
      <c r="CB767392" s="267"/>
    </row>
    <row r="767393" customFormat="1" ht="14.25" spans="80:80">
      <c r="CB767393" s="267"/>
    </row>
    <row r="767394" customFormat="1" ht="14.25" spans="80:80">
      <c r="CB767394" s="267"/>
    </row>
    <row r="767395" customFormat="1" ht="14.25" spans="80:80">
      <c r="CB767395" s="267"/>
    </row>
    <row r="767396" customFormat="1" ht="14.25" spans="80:80">
      <c r="CB767396" s="267"/>
    </row>
    <row r="767397" customFormat="1" ht="14.25" spans="80:80">
      <c r="CB767397" s="267"/>
    </row>
    <row r="767398" customFormat="1" ht="14.25" spans="80:80">
      <c r="CB767398" s="267"/>
    </row>
    <row r="767399" customFormat="1" ht="14.25" spans="80:80">
      <c r="CB767399" s="267"/>
    </row>
    <row r="767400" customFormat="1" ht="14.25" spans="80:80">
      <c r="CB767400" s="267"/>
    </row>
    <row r="767401" customFormat="1" ht="14.25" spans="80:80">
      <c r="CB767401" s="267"/>
    </row>
    <row r="767402" customFormat="1" ht="14.25" spans="80:80">
      <c r="CB767402" s="267"/>
    </row>
    <row r="767403" customFormat="1" ht="14.25" spans="80:80">
      <c r="CB767403" s="267"/>
    </row>
    <row r="767404" customFormat="1" ht="14.25" spans="80:80">
      <c r="CB767404" s="267"/>
    </row>
    <row r="767405" customFormat="1" ht="14.25" spans="80:80">
      <c r="CB767405" s="267"/>
    </row>
    <row r="767406" customFormat="1" ht="14.25" spans="80:80">
      <c r="CB767406" s="267"/>
    </row>
    <row r="767407" customFormat="1" ht="14.25" spans="80:80">
      <c r="CB767407" s="267"/>
    </row>
    <row r="767408" customFormat="1" ht="14.25" spans="80:80">
      <c r="CB767408" s="267"/>
    </row>
    <row r="767409" customFormat="1" ht="14.25" spans="80:80">
      <c r="CB767409" s="267"/>
    </row>
    <row r="767410" customFormat="1" ht="14.25" spans="80:80">
      <c r="CB767410" s="267"/>
    </row>
    <row r="767411" customFormat="1" ht="14.25" spans="80:80">
      <c r="CB767411" s="267"/>
    </row>
    <row r="767412" customFormat="1" ht="14.25" spans="80:80">
      <c r="CB767412" s="267"/>
    </row>
    <row r="767413" customFormat="1" ht="14.25" spans="80:80">
      <c r="CB767413" s="267"/>
    </row>
    <row r="767414" customFormat="1" ht="14.25" spans="80:80">
      <c r="CB767414" s="267"/>
    </row>
    <row r="767415" customFormat="1" ht="14.25" spans="80:80">
      <c r="CB767415" s="267"/>
    </row>
    <row r="767416" customFormat="1" ht="14.25" spans="80:80">
      <c r="CB767416" s="267"/>
    </row>
    <row r="767417" customFormat="1" ht="14.25" spans="80:80">
      <c r="CB767417" s="267"/>
    </row>
    <row r="767418" customFormat="1" ht="14.25" spans="80:80">
      <c r="CB767418" s="267"/>
    </row>
    <row r="767419" customFormat="1" ht="14.25" spans="80:80">
      <c r="CB767419" s="267"/>
    </row>
    <row r="767420" customFormat="1" ht="14.25" spans="80:80">
      <c r="CB767420" s="267"/>
    </row>
    <row r="767421" customFormat="1" ht="14.25" spans="80:80">
      <c r="CB767421" s="267"/>
    </row>
    <row r="767422" customFormat="1" ht="14.25" spans="80:80">
      <c r="CB767422" s="267"/>
    </row>
    <row r="767423" customFormat="1" ht="14.25" spans="80:80">
      <c r="CB767423" s="267"/>
    </row>
    <row r="767424" customFormat="1" ht="14.25" spans="80:80">
      <c r="CB767424" s="267"/>
    </row>
    <row r="767425" customFormat="1" ht="14.25" spans="80:80">
      <c r="CB767425" s="267"/>
    </row>
    <row r="767426" customFormat="1" ht="14.25" spans="80:80">
      <c r="CB767426" s="267"/>
    </row>
    <row r="767427" customFormat="1" ht="14.25" spans="80:80">
      <c r="CB767427" s="267"/>
    </row>
    <row r="767428" customFormat="1" ht="14.25" spans="80:80">
      <c r="CB767428" s="267"/>
    </row>
    <row r="767429" customFormat="1" ht="14.25" spans="80:80">
      <c r="CB767429" s="267"/>
    </row>
    <row r="767430" customFormat="1" ht="14.25" spans="80:80">
      <c r="CB767430" s="267"/>
    </row>
    <row r="767431" customFormat="1" ht="14.25" spans="80:80">
      <c r="CB767431" s="267"/>
    </row>
    <row r="767432" customFormat="1" ht="14.25" spans="80:80">
      <c r="CB767432" s="267"/>
    </row>
    <row r="767433" customFormat="1" ht="14.25" spans="80:80">
      <c r="CB767433" s="267"/>
    </row>
    <row r="767434" customFormat="1" ht="14.25" spans="80:80">
      <c r="CB767434" s="267"/>
    </row>
    <row r="767435" customFormat="1" ht="14.25" spans="80:80">
      <c r="CB767435" s="267"/>
    </row>
    <row r="767436" customFormat="1" ht="14.25" spans="80:80">
      <c r="CB767436" s="267"/>
    </row>
    <row r="767437" customFormat="1" ht="14.25" spans="80:80">
      <c r="CB767437" s="267"/>
    </row>
    <row r="767438" customFormat="1" ht="14.25" spans="80:80">
      <c r="CB767438" s="267"/>
    </row>
    <row r="767439" customFormat="1" ht="14.25" spans="80:80">
      <c r="CB767439" s="267"/>
    </row>
    <row r="767440" customFormat="1" ht="14.25" spans="80:80">
      <c r="CB767440" s="267"/>
    </row>
    <row r="767441" customFormat="1" ht="14.25" spans="80:80">
      <c r="CB767441" s="267"/>
    </row>
    <row r="767442" customFormat="1" ht="14.25" spans="80:80">
      <c r="CB767442" s="267"/>
    </row>
    <row r="767443" customFormat="1" ht="14.25" spans="80:80">
      <c r="CB767443" s="267"/>
    </row>
    <row r="767444" customFormat="1" ht="14.25" spans="80:80">
      <c r="CB767444" s="267"/>
    </row>
    <row r="767445" customFormat="1" ht="14.25" spans="80:80">
      <c r="CB767445" s="267"/>
    </row>
    <row r="767446" customFormat="1" ht="14.25" spans="80:80">
      <c r="CB767446" s="267"/>
    </row>
    <row r="767447" customFormat="1" ht="14.25" spans="80:80">
      <c r="CB767447" s="267"/>
    </row>
    <row r="767448" customFormat="1" ht="14.25" spans="80:80">
      <c r="CB767448" s="267"/>
    </row>
    <row r="767449" customFormat="1" ht="14.25" spans="80:80">
      <c r="CB767449" s="267"/>
    </row>
    <row r="767450" customFormat="1" ht="14.25" spans="80:80">
      <c r="CB767450" s="267"/>
    </row>
    <row r="767451" customFormat="1" ht="14.25" spans="80:80">
      <c r="CB767451" s="267"/>
    </row>
    <row r="767452" customFormat="1" ht="14.25" spans="80:80">
      <c r="CB767452" s="267"/>
    </row>
    <row r="767453" customFormat="1" ht="14.25" spans="80:80">
      <c r="CB767453" s="267"/>
    </row>
    <row r="767454" customFormat="1" ht="14.25" spans="80:80">
      <c r="CB767454" s="267"/>
    </row>
    <row r="767455" customFormat="1" ht="14.25" spans="80:80">
      <c r="CB767455" s="267"/>
    </row>
    <row r="767456" customFormat="1" ht="14.25" spans="80:80">
      <c r="CB767456" s="267"/>
    </row>
    <row r="767457" customFormat="1" ht="14.25" spans="80:80">
      <c r="CB767457" s="267"/>
    </row>
    <row r="767458" customFormat="1" ht="14.25" spans="80:80">
      <c r="CB767458" s="267"/>
    </row>
    <row r="767459" customFormat="1" ht="14.25" spans="80:80">
      <c r="CB767459" s="267"/>
    </row>
    <row r="767460" customFormat="1" ht="14.25" spans="80:80">
      <c r="CB767460" s="267"/>
    </row>
    <row r="767461" customFormat="1" ht="14.25" spans="80:80">
      <c r="CB767461" s="267"/>
    </row>
    <row r="767462" customFormat="1" ht="14.25" spans="80:80">
      <c r="CB767462" s="267"/>
    </row>
    <row r="767463" customFormat="1" ht="14.25" spans="80:80">
      <c r="CB767463" s="267"/>
    </row>
    <row r="767464" customFormat="1" ht="14.25" spans="80:80">
      <c r="CB767464" s="267"/>
    </row>
    <row r="767465" customFormat="1" ht="14.25" spans="80:80">
      <c r="CB767465" s="267"/>
    </row>
    <row r="767466" customFormat="1" ht="14.25" spans="80:80">
      <c r="CB767466" s="267"/>
    </row>
    <row r="767467" customFormat="1" ht="14.25" spans="80:80">
      <c r="CB767467" s="267"/>
    </row>
    <row r="767468" customFormat="1" ht="14.25" spans="80:80">
      <c r="CB767468" s="267"/>
    </row>
    <row r="767469" customFormat="1" ht="14.25" spans="80:80">
      <c r="CB767469" s="267"/>
    </row>
    <row r="767470" customFormat="1" ht="14.25" spans="80:80">
      <c r="CB767470" s="267"/>
    </row>
    <row r="767471" customFormat="1" ht="14.25" spans="80:80">
      <c r="CB767471" s="267"/>
    </row>
    <row r="767472" customFormat="1" ht="14.25" spans="80:80">
      <c r="CB767472" s="267"/>
    </row>
    <row r="767473" customFormat="1" ht="14.25" spans="80:80">
      <c r="CB767473" s="267"/>
    </row>
    <row r="767474" customFormat="1" ht="14.25" spans="80:80">
      <c r="CB767474" s="267"/>
    </row>
    <row r="767475" customFormat="1" ht="14.25" spans="80:80">
      <c r="CB767475" s="267"/>
    </row>
    <row r="767476" customFormat="1" ht="14.25" spans="80:80">
      <c r="CB767476" s="267"/>
    </row>
    <row r="767477" customFormat="1" ht="14.25" spans="80:80">
      <c r="CB767477" s="267"/>
    </row>
    <row r="767478" customFormat="1" ht="14.25" spans="80:80">
      <c r="CB767478" s="267"/>
    </row>
    <row r="767479" customFormat="1" ht="14.25" spans="80:80">
      <c r="CB767479" s="267"/>
    </row>
    <row r="767480" customFormat="1" ht="14.25" spans="80:80">
      <c r="CB767480" s="267"/>
    </row>
    <row r="767481" customFormat="1" ht="14.25" spans="80:80">
      <c r="CB767481" s="267"/>
    </row>
    <row r="767482" customFormat="1" ht="14.25" spans="80:80">
      <c r="CB767482" s="267"/>
    </row>
    <row r="767483" customFormat="1" ht="14.25" spans="80:80">
      <c r="CB767483" s="267"/>
    </row>
    <row r="767484" customFormat="1" ht="14.25" spans="80:80">
      <c r="CB767484" s="267"/>
    </row>
    <row r="767485" customFormat="1" ht="14.25" spans="80:80">
      <c r="CB767485" s="267"/>
    </row>
    <row r="767486" customFormat="1" ht="14.25" spans="80:80">
      <c r="CB767486" s="267"/>
    </row>
    <row r="767487" customFormat="1" ht="14.25" spans="80:80">
      <c r="CB767487" s="267"/>
    </row>
    <row r="767488" customFormat="1" ht="14.25" spans="80:80">
      <c r="CB767488" s="267"/>
    </row>
    <row r="767489" customFormat="1" ht="14.25" spans="80:80">
      <c r="CB767489" s="267"/>
    </row>
    <row r="767490" customFormat="1" ht="14.25" spans="80:80">
      <c r="CB767490" s="267"/>
    </row>
    <row r="767491" customFormat="1" ht="14.25" spans="80:80">
      <c r="CB767491" s="267"/>
    </row>
    <row r="767492" customFormat="1" ht="14.25" spans="80:80">
      <c r="CB767492" s="267"/>
    </row>
    <row r="767493" customFormat="1" ht="14.25" spans="80:80">
      <c r="CB767493" s="267"/>
    </row>
    <row r="767494" customFormat="1" ht="14.25" spans="80:80">
      <c r="CB767494" s="267"/>
    </row>
    <row r="767495" customFormat="1" ht="14.25" spans="80:80">
      <c r="CB767495" s="267"/>
    </row>
    <row r="767496" customFormat="1" ht="14.25" spans="80:80">
      <c r="CB767496" s="267"/>
    </row>
    <row r="767497" customFormat="1" ht="14.25" spans="80:80">
      <c r="CB767497" s="267"/>
    </row>
    <row r="767498" customFormat="1" ht="14.25" spans="80:80">
      <c r="CB767498" s="267"/>
    </row>
    <row r="767499" customFormat="1" ht="14.25" spans="80:80">
      <c r="CB767499" s="267"/>
    </row>
    <row r="767500" customFormat="1" ht="14.25" spans="80:80">
      <c r="CB767500" s="267"/>
    </row>
    <row r="767501" customFormat="1" ht="14.25" spans="80:80">
      <c r="CB767501" s="267"/>
    </row>
    <row r="767502" customFormat="1" ht="14.25" spans="80:80">
      <c r="CB767502" s="267"/>
    </row>
    <row r="767503" customFormat="1" ht="14.25" spans="80:80">
      <c r="CB767503" s="267"/>
    </row>
    <row r="767504" customFormat="1" ht="14.25" spans="80:80">
      <c r="CB767504" s="267"/>
    </row>
    <row r="767505" customFormat="1" ht="14.25" spans="80:80">
      <c r="CB767505" s="267"/>
    </row>
    <row r="767506" customFormat="1" ht="14.25" spans="80:80">
      <c r="CB767506" s="267"/>
    </row>
    <row r="767507" customFormat="1" ht="14.25" spans="80:80">
      <c r="CB767507" s="267"/>
    </row>
    <row r="767508" customFormat="1" ht="14.25" spans="80:80">
      <c r="CB767508" s="267"/>
    </row>
    <row r="767509" customFormat="1" ht="14.25" spans="80:80">
      <c r="CB767509" s="267"/>
    </row>
    <row r="767510" customFormat="1" ht="14.25" spans="80:80">
      <c r="CB767510" s="267"/>
    </row>
    <row r="767511" customFormat="1" ht="14.25" spans="80:80">
      <c r="CB767511" s="267"/>
    </row>
    <row r="767512" customFormat="1" ht="14.25" spans="80:80">
      <c r="CB767512" s="267"/>
    </row>
    <row r="767513" customFormat="1" ht="14.25" spans="80:80">
      <c r="CB767513" s="267"/>
    </row>
    <row r="767514" customFormat="1" ht="14.25" spans="80:80">
      <c r="CB767514" s="267"/>
    </row>
    <row r="767515" customFormat="1" ht="14.25" spans="80:80">
      <c r="CB767515" s="267"/>
    </row>
    <row r="767516" customFormat="1" ht="14.25" spans="80:80">
      <c r="CB767516" s="267"/>
    </row>
    <row r="767517" customFormat="1" ht="14.25" spans="80:80">
      <c r="CB767517" s="267"/>
    </row>
    <row r="767518" customFormat="1" ht="14.25" spans="80:80">
      <c r="CB767518" s="267"/>
    </row>
    <row r="767519" customFormat="1" ht="14.25" spans="80:80">
      <c r="CB767519" s="267"/>
    </row>
    <row r="767520" customFormat="1" ht="14.25" spans="80:80">
      <c r="CB767520" s="267"/>
    </row>
    <row r="767521" customFormat="1" ht="14.25" spans="80:80">
      <c r="CB767521" s="267"/>
    </row>
    <row r="767522" customFormat="1" ht="14.25" spans="80:80">
      <c r="CB767522" s="267"/>
    </row>
    <row r="767523" customFormat="1" ht="14.25" spans="80:80">
      <c r="CB767523" s="267"/>
    </row>
    <row r="767524" customFormat="1" ht="14.25" spans="80:80">
      <c r="CB767524" s="267"/>
    </row>
    <row r="767525" customFormat="1" ht="14.25" spans="80:80">
      <c r="CB767525" s="267"/>
    </row>
    <row r="767526" customFormat="1" ht="14.25" spans="80:80">
      <c r="CB767526" s="267"/>
    </row>
    <row r="767527" customFormat="1" ht="14.25" spans="80:80">
      <c r="CB767527" s="267"/>
    </row>
    <row r="767528" customFormat="1" ht="14.25" spans="80:80">
      <c r="CB767528" s="267"/>
    </row>
    <row r="767529" customFormat="1" ht="14.25" spans="80:80">
      <c r="CB767529" s="267"/>
    </row>
    <row r="767530" customFormat="1" ht="14.25" spans="80:80">
      <c r="CB767530" s="267"/>
    </row>
    <row r="767531" customFormat="1" ht="14.25" spans="80:80">
      <c r="CB767531" s="267"/>
    </row>
    <row r="767532" customFormat="1" ht="14.25" spans="80:80">
      <c r="CB767532" s="267"/>
    </row>
    <row r="767533" customFormat="1" ht="14.25" spans="80:80">
      <c r="CB767533" s="267"/>
    </row>
    <row r="767534" customFormat="1" ht="14.25" spans="80:80">
      <c r="CB767534" s="267"/>
    </row>
    <row r="767535" customFormat="1" ht="14.25" spans="80:80">
      <c r="CB767535" s="267"/>
    </row>
    <row r="767536" customFormat="1" ht="14.25" spans="80:80">
      <c r="CB767536" s="267"/>
    </row>
    <row r="767537" customFormat="1" ht="14.25" spans="80:80">
      <c r="CB767537" s="267"/>
    </row>
    <row r="767538" customFormat="1" ht="14.25" spans="80:80">
      <c r="CB767538" s="267"/>
    </row>
    <row r="767539" customFormat="1" ht="14.25" spans="80:80">
      <c r="CB767539" s="267"/>
    </row>
    <row r="767540" customFormat="1" ht="14.25" spans="80:80">
      <c r="CB767540" s="267"/>
    </row>
    <row r="767541" customFormat="1" ht="14.25" spans="80:80">
      <c r="CB767541" s="267"/>
    </row>
    <row r="767542" customFormat="1" ht="14.25" spans="80:80">
      <c r="CB767542" s="267"/>
    </row>
    <row r="767543" customFormat="1" ht="14.25" spans="80:80">
      <c r="CB767543" s="267"/>
    </row>
    <row r="767544" customFormat="1" ht="14.25" spans="80:80">
      <c r="CB767544" s="267"/>
    </row>
    <row r="767545" customFormat="1" ht="14.25" spans="80:80">
      <c r="CB767545" s="267"/>
    </row>
    <row r="767546" customFormat="1" ht="14.25" spans="80:80">
      <c r="CB767546" s="267"/>
    </row>
    <row r="767547" customFormat="1" ht="14.25" spans="80:80">
      <c r="CB767547" s="267"/>
    </row>
    <row r="767548" customFormat="1" ht="14.25" spans="80:80">
      <c r="CB767548" s="267"/>
    </row>
    <row r="767549" customFormat="1" ht="14.25" spans="80:80">
      <c r="CB767549" s="267"/>
    </row>
    <row r="767550" customFormat="1" ht="14.25" spans="80:80">
      <c r="CB767550" s="267"/>
    </row>
    <row r="767551" customFormat="1" ht="14.25" spans="80:80">
      <c r="CB767551" s="267"/>
    </row>
    <row r="767552" customFormat="1" ht="14.25" spans="80:80">
      <c r="CB767552" s="267"/>
    </row>
    <row r="767553" customFormat="1" ht="14.25" spans="80:80">
      <c r="CB767553" s="267"/>
    </row>
    <row r="767554" customFormat="1" ht="14.25" spans="80:80">
      <c r="CB767554" s="267"/>
    </row>
    <row r="767555" customFormat="1" ht="14.25" spans="80:80">
      <c r="CB767555" s="267"/>
    </row>
    <row r="767556" customFormat="1" ht="14.25" spans="80:80">
      <c r="CB767556" s="267"/>
    </row>
    <row r="767557" customFormat="1" ht="14.25" spans="80:80">
      <c r="CB767557" s="267"/>
    </row>
    <row r="767558" customFormat="1" ht="14.25" spans="80:80">
      <c r="CB767558" s="267"/>
    </row>
    <row r="767559" customFormat="1" ht="14.25" spans="80:80">
      <c r="CB767559" s="267"/>
    </row>
    <row r="767560" customFormat="1" ht="14.25" spans="80:80">
      <c r="CB767560" s="267"/>
    </row>
    <row r="767561" customFormat="1" ht="14.25" spans="80:80">
      <c r="CB767561" s="267"/>
    </row>
    <row r="767562" customFormat="1" ht="14.25" spans="80:80">
      <c r="CB767562" s="267"/>
    </row>
    <row r="767563" customFormat="1" ht="14.25" spans="80:80">
      <c r="CB767563" s="267"/>
    </row>
    <row r="767564" customFormat="1" ht="14.25" spans="80:80">
      <c r="CB767564" s="267"/>
    </row>
    <row r="767565" customFormat="1" ht="14.25" spans="80:80">
      <c r="CB767565" s="267"/>
    </row>
    <row r="767566" customFormat="1" ht="14.25" spans="80:80">
      <c r="CB767566" s="267"/>
    </row>
    <row r="767567" customFormat="1" ht="14.25" spans="80:80">
      <c r="CB767567" s="267"/>
    </row>
    <row r="767568" customFormat="1" ht="14.25" spans="80:80">
      <c r="CB767568" s="267"/>
    </row>
    <row r="767569" customFormat="1" ht="14.25" spans="80:80">
      <c r="CB767569" s="267"/>
    </row>
    <row r="767570" customFormat="1" ht="14.25" spans="80:80">
      <c r="CB767570" s="267"/>
    </row>
    <row r="767571" customFormat="1" ht="14.25" spans="80:80">
      <c r="CB767571" s="267"/>
    </row>
    <row r="767572" customFormat="1" ht="14.25" spans="80:80">
      <c r="CB767572" s="267"/>
    </row>
    <row r="767573" customFormat="1" ht="14.25" spans="80:80">
      <c r="CB767573" s="267"/>
    </row>
    <row r="767574" customFormat="1" ht="14.25" spans="80:80">
      <c r="CB767574" s="267"/>
    </row>
    <row r="767575" customFormat="1" ht="14.25" spans="80:80">
      <c r="CB767575" s="267"/>
    </row>
    <row r="767576" customFormat="1" ht="14.25" spans="80:80">
      <c r="CB767576" s="267"/>
    </row>
    <row r="767577" customFormat="1" ht="14.25" spans="80:80">
      <c r="CB767577" s="267"/>
    </row>
    <row r="767578" customFormat="1" ht="14.25" spans="80:80">
      <c r="CB767578" s="267"/>
    </row>
    <row r="767579" customFormat="1" ht="14.25" spans="80:80">
      <c r="CB767579" s="267"/>
    </row>
    <row r="767580" customFormat="1" ht="14.25" spans="80:80">
      <c r="CB767580" s="267"/>
    </row>
    <row r="767581" customFormat="1" ht="14.25" spans="80:80">
      <c r="CB767581" s="267"/>
    </row>
    <row r="767582" customFormat="1" ht="14.25" spans="80:80">
      <c r="CB767582" s="267"/>
    </row>
    <row r="767583" customFormat="1" ht="14.25" spans="80:80">
      <c r="CB767583" s="267"/>
    </row>
    <row r="767584" customFormat="1" ht="14.25" spans="80:80">
      <c r="CB767584" s="267"/>
    </row>
    <row r="767585" customFormat="1" ht="14.25" spans="80:80">
      <c r="CB767585" s="267"/>
    </row>
    <row r="767586" customFormat="1" ht="14.25" spans="80:80">
      <c r="CB767586" s="267"/>
    </row>
    <row r="767587" customFormat="1" ht="14.25" spans="80:80">
      <c r="CB767587" s="267"/>
    </row>
    <row r="767588" customFormat="1" ht="14.25" spans="80:80">
      <c r="CB767588" s="267"/>
    </row>
    <row r="767589" customFormat="1" ht="14.25" spans="80:80">
      <c r="CB767589" s="267"/>
    </row>
    <row r="767590" customFormat="1" ht="14.25" spans="80:80">
      <c r="CB767590" s="267"/>
    </row>
    <row r="767591" customFormat="1" ht="14.25" spans="80:80">
      <c r="CB767591" s="267"/>
    </row>
    <row r="767592" customFormat="1" ht="14.25" spans="80:80">
      <c r="CB767592" s="267"/>
    </row>
    <row r="767593" customFormat="1" ht="14.25" spans="80:80">
      <c r="CB767593" s="267"/>
    </row>
    <row r="767594" customFormat="1" ht="14.25" spans="80:80">
      <c r="CB767594" s="267"/>
    </row>
    <row r="767595" customFormat="1" ht="14.25" spans="80:80">
      <c r="CB767595" s="267"/>
    </row>
    <row r="767596" customFormat="1" ht="14.25" spans="80:80">
      <c r="CB767596" s="267"/>
    </row>
    <row r="767597" customFormat="1" ht="14.25" spans="80:80">
      <c r="CB767597" s="267"/>
    </row>
    <row r="767598" customFormat="1" ht="14.25" spans="80:80">
      <c r="CB767598" s="267"/>
    </row>
    <row r="767599" customFormat="1" ht="14.25" spans="80:80">
      <c r="CB767599" s="267"/>
    </row>
    <row r="767600" customFormat="1" ht="14.25" spans="80:80">
      <c r="CB767600" s="267"/>
    </row>
    <row r="767601" customFormat="1" ht="14.25" spans="80:80">
      <c r="CB767601" s="267"/>
    </row>
    <row r="767602" customFormat="1" ht="14.25" spans="80:80">
      <c r="CB767602" s="267"/>
    </row>
    <row r="767603" customFormat="1" ht="14.25" spans="80:80">
      <c r="CB767603" s="267"/>
    </row>
    <row r="767604" customFormat="1" ht="14.25" spans="80:80">
      <c r="CB767604" s="267"/>
    </row>
    <row r="767605" customFormat="1" ht="14.25" spans="80:80">
      <c r="CB767605" s="267"/>
    </row>
    <row r="767606" customFormat="1" ht="14.25" spans="80:80">
      <c r="CB767606" s="267"/>
    </row>
    <row r="767607" customFormat="1" ht="14.25" spans="80:80">
      <c r="CB767607" s="267"/>
    </row>
    <row r="767608" customFormat="1" ht="14.25" spans="80:80">
      <c r="CB767608" s="267"/>
    </row>
    <row r="767609" customFormat="1" ht="14.25" spans="80:80">
      <c r="CB767609" s="267"/>
    </row>
    <row r="767610" customFormat="1" ht="14.25" spans="80:80">
      <c r="CB767610" s="267"/>
    </row>
    <row r="767611" customFormat="1" ht="14.25" spans="80:80">
      <c r="CB767611" s="267"/>
    </row>
    <row r="767612" customFormat="1" ht="14.25" spans="80:80">
      <c r="CB767612" s="267"/>
    </row>
    <row r="767613" customFormat="1" ht="14.25" spans="80:80">
      <c r="CB767613" s="267"/>
    </row>
    <row r="767614" customFormat="1" ht="14.25" spans="80:80">
      <c r="CB767614" s="267"/>
    </row>
    <row r="767615" customFormat="1" ht="14.25" spans="80:80">
      <c r="CB767615" s="267"/>
    </row>
    <row r="767616" customFormat="1" ht="14.25" spans="80:80">
      <c r="CB767616" s="267"/>
    </row>
    <row r="767617" customFormat="1" ht="14.25" spans="80:80">
      <c r="CB767617" s="267"/>
    </row>
    <row r="767618" customFormat="1" ht="14.25" spans="80:80">
      <c r="CB767618" s="267"/>
    </row>
    <row r="767619" customFormat="1" ht="14.25" spans="80:80">
      <c r="CB767619" s="267"/>
    </row>
    <row r="767620" customFormat="1" ht="14.25" spans="80:80">
      <c r="CB767620" s="267"/>
    </row>
    <row r="767621" customFormat="1" ht="14.25" spans="80:80">
      <c r="CB767621" s="267"/>
    </row>
    <row r="767622" customFormat="1" ht="14.25" spans="80:80">
      <c r="CB767622" s="267"/>
    </row>
    <row r="767623" customFormat="1" ht="14.25" spans="80:80">
      <c r="CB767623" s="267"/>
    </row>
    <row r="767624" customFormat="1" ht="14.25" spans="80:80">
      <c r="CB767624" s="267"/>
    </row>
    <row r="767625" customFormat="1" ht="14.25" spans="80:80">
      <c r="CB767625" s="267"/>
    </row>
    <row r="767626" customFormat="1" ht="14.25" spans="80:80">
      <c r="CB767626" s="267"/>
    </row>
    <row r="767627" customFormat="1" ht="14.25" spans="80:80">
      <c r="CB767627" s="267"/>
    </row>
    <row r="767628" customFormat="1" ht="14.25" spans="80:80">
      <c r="CB767628" s="267"/>
    </row>
    <row r="767629" customFormat="1" ht="14.25" spans="80:80">
      <c r="CB767629" s="267"/>
    </row>
    <row r="767630" customFormat="1" ht="14.25" spans="80:80">
      <c r="CB767630" s="267"/>
    </row>
    <row r="767631" customFormat="1" ht="14.25" spans="80:80">
      <c r="CB767631" s="267"/>
    </row>
    <row r="767632" customFormat="1" ht="14.25" spans="80:80">
      <c r="CB767632" s="267"/>
    </row>
    <row r="767633" customFormat="1" ht="14.25" spans="80:80">
      <c r="CB767633" s="267"/>
    </row>
    <row r="767634" customFormat="1" ht="14.25" spans="80:80">
      <c r="CB767634" s="267"/>
    </row>
    <row r="767635" customFormat="1" ht="14.25" spans="80:80">
      <c r="CB767635" s="267"/>
    </row>
    <row r="767636" customFormat="1" ht="14.25" spans="80:80">
      <c r="CB767636" s="267"/>
    </row>
    <row r="767637" customFormat="1" ht="14.25" spans="80:80">
      <c r="CB767637" s="267"/>
    </row>
    <row r="767638" customFormat="1" ht="14.25" spans="80:80">
      <c r="CB767638" s="267"/>
    </row>
    <row r="767639" customFormat="1" ht="14.25" spans="80:80">
      <c r="CB767639" s="267"/>
    </row>
    <row r="767640" customFormat="1" ht="14.25" spans="80:80">
      <c r="CB767640" s="267"/>
    </row>
    <row r="767641" customFormat="1" ht="14.25" spans="80:80">
      <c r="CB767641" s="267"/>
    </row>
    <row r="767642" customFormat="1" ht="14.25" spans="80:80">
      <c r="CB767642" s="267"/>
    </row>
    <row r="767643" customFormat="1" ht="14.25" spans="80:80">
      <c r="CB767643" s="267"/>
    </row>
    <row r="767644" customFormat="1" ht="14.25" spans="80:80">
      <c r="CB767644" s="267"/>
    </row>
    <row r="767645" customFormat="1" ht="14.25" spans="80:80">
      <c r="CB767645" s="267"/>
    </row>
    <row r="767646" customFormat="1" ht="14.25" spans="80:80">
      <c r="CB767646" s="267"/>
    </row>
    <row r="767647" customFormat="1" ht="14.25" spans="80:80">
      <c r="CB767647" s="267"/>
    </row>
    <row r="767648" customFormat="1" ht="14.25" spans="80:80">
      <c r="CB767648" s="267"/>
    </row>
    <row r="767649" customFormat="1" ht="14.25" spans="80:80">
      <c r="CB767649" s="267"/>
    </row>
    <row r="767650" customFormat="1" ht="14.25" spans="80:80">
      <c r="CB767650" s="267"/>
    </row>
    <row r="767651" customFormat="1" ht="14.25" spans="80:80">
      <c r="CB767651" s="267"/>
    </row>
    <row r="767652" customFormat="1" ht="14.25" spans="80:80">
      <c r="CB767652" s="267"/>
    </row>
    <row r="767653" customFormat="1" ht="14.25" spans="80:80">
      <c r="CB767653" s="267"/>
    </row>
    <row r="767654" customFormat="1" ht="14.25" spans="80:80">
      <c r="CB767654" s="267"/>
    </row>
    <row r="767655" customFormat="1" ht="14.25" spans="80:80">
      <c r="CB767655" s="267"/>
    </row>
    <row r="767656" customFormat="1" ht="14.25" spans="80:80">
      <c r="CB767656" s="267"/>
    </row>
    <row r="767657" customFormat="1" ht="14.25" spans="80:80">
      <c r="CB767657" s="267"/>
    </row>
    <row r="767658" customFormat="1" ht="14.25" spans="80:80">
      <c r="CB767658" s="267"/>
    </row>
    <row r="767659" customFormat="1" ht="14.25" spans="80:80">
      <c r="CB767659" s="267"/>
    </row>
    <row r="767660" customFormat="1" ht="14.25" spans="80:80">
      <c r="CB767660" s="267"/>
    </row>
    <row r="767661" customFormat="1" ht="14.25" spans="80:80">
      <c r="CB767661" s="267"/>
    </row>
    <row r="767662" customFormat="1" ht="14.25" spans="80:80">
      <c r="CB767662" s="267"/>
    </row>
    <row r="767663" customFormat="1" ht="14.25" spans="80:80">
      <c r="CB767663" s="267"/>
    </row>
    <row r="767664" customFormat="1" ht="14.25" spans="80:80">
      <c r="CB767664" s="267"/>
    </row>
    <row r="767665" customFormat="1" ht="14.25" spans="80:80">
      <c r="CB767665" s="267"/>
    </row>
    <row r="767666" customFormat="1" ht="14.25" spans="80:80">
      <c r="CB767666" s="267"/>
    </row>
    <row r="767667" customFormat="1" ht="14.25" spans="80:80">
      <c r="CB767667" s="267"/>
    </row>
    <row r="767668" customFormat="1" ht="14.25" spans="80:80">
      <c r="CB767668" s="267"/>
    </row>
    <row r="767669" customFormat="1" ht="14.25" spans="80:80">
      <c r="CB767669" s="267"/>
    </row>
    <row r="767670" customFormat="1" ht="14.25" spans="80:80">
      <c r="CB767670" s="267"/>
    </row>
    <row r="767671" customFormat="1" ht="14.25" spans="80:80">
      <c r="CB767671" s="267"/>
    </row>
    <row r="767672" customFormat="1" ht="14.25" spans="80:80">
      <c r="CB767672" s="267"/>
    </row>
    <row r="767673" customFormat="1" ht="14.25" spans="80:80">
      <c r="CB767673" s="267"/>
    </row>
    <row r="767674" customFormat="1" ht="14.25" spans="80:80">
      <c r="CB767674" s="267"/>
    </row>
    <row r="767675" customFormat="1" ht="14.25" spans="80:80">
      <c r="CB767675" s="267"/>
    </row>
    <row r="767676" customFormat="1" ht="14.25" spans="80:80">
      <c r="CB767676" s="267"/>
    </row>
    <row r="767677" customFormat="1" ht="14.25" spans="80:80">
      <c r="CB767677" s="267"/>
    </row>
    <row r="767678" customFormat="1" ht="14.25" spans="80:80">
      <c r="CB767678" s="267"/>
    </row>
    <row r="767679" customFormat="1" ht="14.25" spans="80:80">
      <c r="CB767679" s="267"/>
    </row>
    <row r="767680" customFormat="1" ht="14.25" spans="80:80">
      <c r="CB767680" s="267"/>
    </row>
    <row r="767681" customFormat="1" ht="14.25" spans="80:80">
      <c r="CB767681" s="267"/>
    </row>
    <row r="767682" customFormat="1" ht="14.25" spans="80:80">
      <c r="CB767682" s="267"/>
    </row>
    <row r="767683" customFormat="1" ht="14.25" spans="80:80">
      <c r="CB767683" s="267"/>
    </row>
    <row r="767684" customFormat="1" ht="14.25" spans="80:80">
      <c r="CB767684" s="267"/>
    </row>
    <row r="767685" customFormat="1" ht="14.25" spans="80:80">
      <c r="CB767685" s="267"/>
    </row>
    <row r="767686" customFormat="1" ht="14.25" spans="80:80">
      <c r="CB767686" s="267"/>
    </row>
    <row r="767687" customFormat="1" ht="14.25" spans="80:80">
      <c r="CB767687" s="267"/>
    </row>
    <row r="767688" customFormat="1" ht="14.25" spans="80:80">
      <c r="CB767688" s="267"/>
    </row>
    <row r="767689" customFormat="1" ht="14.25" spans="80:80">
      <c r="CB767689" s="267"/>
    </row>
    <row r="767690" customFormat="1" ht="14.25" spans="80:80">
      <c r="CB767690" s="267"/>
    </row>
    <row r="767691" customFormat="1" ht="14.25" spans="80:80">
      <c r="CB767691" s="267"/>
    </row>
    <row r="767692" customFormat="1" ht="14.25" spans="80:80">
      <c r="CB767692" s="267"/>
    </row>
    <row r="767693" customFormat="1" ht="14.25" spans="80:80">
      <c r="CB767693" s="267"/>
    </row>
    <row r="767694" customFormat="1" ht="14.25" spans="80:80">
      <c r="CB767694" s="267"/>
    </row>
    <row r="767695" customFormat="1" ht="14.25" spans="80:80">
      <c r="CB767695" s="267"/>
    </row>
    <row r="767696" customFormat="1" ht="14.25" spans="80:80">
      <c r="CB767696" s="267"/>
    </row>
    <row r="767697" customFormat="1" ht="14.25" spans="80:80">
      <c r="CB767697" s="267"/>
    </row>
    <row r="767698" customFormat="1" ht="14.25" spans="80:80">
      <c r="CB767698" s="267"/>
    </row>
    <row r="767699" customFormat="1" ht="14.25" spans="80:80">
      <c r="CB767699" s="267"/>
    </row>
    <row r="767700" customFormat="1" ht="14.25" spans="80:80">
      <c r="CB767700" s="267"/>
    </row>
    <row r="767701" customFormat="1" ht="14.25" spans="80:80">
      <c r="CB767701" s="267"/>
    </row>
    <row r="767702" customFormat="1" ht="14.25" spans="80:80">
      <c r="CB767702" s="267"/>
    </row>
    <row r="767703" customFormat="1" ht="14.25" spans="80:80">
      <c r="CB767703" s="267"/>
    </row>
    <row r="767704" customFormat="1" ht="14.25" spans="80:80">
      <c r="CB767704" s="267"/>
    </row>
    <row r="767705" customFormat="1" ht="14.25" spans="80:80">
      <c r="CB767705" s="267"/>
    </row>
    <row r="767706" customFormat="1" ht="14.25" spans="80:80">
      <c r="CB767706" s="267"/>
    </row>
    <row r="767707" customFormat="1" ht="14.25" spans="80:80">
      <c r="CB767707" s="267"/>
    </row>
    <row r="767708" customFormat="1" ht="14.25" spans="80:80">
      <c r="CB767708" s="267"/>
    </row>
    <row r="767709" customFormat="1" ht="14.25" spans="80:80">
      <c r="CB767709" s="267"/>
    </row>
    <row r="767710" customFormat="1" ht="14.25" spans="80:80">
      <c r="CB767710" s="267"/>
    </row>
    <row r="767711" customFormat="1" ht="14.25" spans="80:80">
      <c r="CB767711" s="267"/>
    </row>
    <row r="767712" customFormat="1" ht="14.25" spans="80:80">
      <c r="CB767712" s="267"/>
    </row>
    <row r="767713" customFormat="1" ht="14.25" spans="80:80">
      <c r="CB767713" s="267"/>
    </row>
    <row r="767714" customFormat="1" ht="14.25" spans="80:80">
      <c r="CB767714" s="267"/>
    </row>
    <row r="767715" customFormat="1" ht="14.25" spans="80:80">
      <c r="CB767715" s="267"/>
    </row>
    <row r="767716" customFormat="1" ht="14.25" spans="80:80">
      <c r="CB767716" s="267"/>
    </row>
    <row r="767717" customFormat="1" ht="14.25" spans="80:80">
      <c r="CB767717" s="267"/>
    </row>
    <row r="767718" customFormat="1" ht="14.25" spans="80:80">
      <c r="CB767718" s="267"/>
    </row>
    <row r="767719" customFormat="1" ht="14.25" spans="80:80">
      <c r="CB767719" s="267"/>
    </row>
    <row r="767720" customFormat="1" ht="14.25" spans="80:80">
      <c r="CB767720" s="267"/>
    </row>
    <row r="767721" customFormat="1" ht="14.25" spans="80:80">
      <c r="CB767721" s="267"/>
    </row>
    <row r="767722" customFormat="1" ht="14.25" spans="80:80">
      <c r="CB767722" s="267"/>
    </row>
    <row r="767723" customFormat="1" ht="14.25" spans="80:80">
      <c r="CB767723" s="267"/>
    </row>
    <row r="767724" customFormat="1" ht="14.25" spans="80:80">
      <c r="CB767724" s="267"/>
    </row>
    <row r="767725" customFormat="1" ht="14.25" spans="80:80">
      <c r="CB767725" s="267"/>
    </row>
    <row r="767726" customFormat="1" ht="14.25" spans="80:80">
      <c r="CB767726" s="267"/>
    </row>
    <row r="767727" customFormat="1" ht="14.25" spans="80:80">
      <c r="CB767727" s="267"/>
    </row>
    <row r="767728" customFormat="1" ht="14.25" spans="80:80">
      <c r="CB767728" s="267"/>
    </row>
    <row r="767729" customFormat="1" ht="14.25" spans="80:80">
      <c r="CB767729" s="267"/>
    </row>
    <row r="767730" customFormat="1" ht="14.25" spans="80:80">
      <c r="CB767730" s="267"/>
    </row>
    <row r="767731" customFormat="1" ht="14.25" spans="80:80">
      <c r="CB767731" s="267"/>
    </row>
    <row r="767732" customFormat="1" ht="14.25" spans="80:80">
      <c r="CB767732" s="267"/>
    </row>
    <row r="767733" customFormat="1" ht="14.25" spans="80:80">
      <c r="CB767733" s="267"/>
    </row>
    <row r="767734" customFormat="1" ht="14.25" spans="80:80">
      <c r="CB767734" s="267"/>
    </row>
    <row r="767735" customFormat="1" ht="14.25" spans="80:80">
      <c r="CB767735" s="267"/>
    </row>
    <row r="767736" customFormat="1" ht="14.25" spans="80:80">
      <c r="CB767736" s="267"/>
    </row>
    <row r="767737" customFormat="1" ht="14.25" spans="80:80">
      <c r="CB767737" s="267"/>
    </row>
    <row r="767738" customFormat="1" ht="14.25" spans="80:80">
      <c r="CB767738" s="267"/>
    </row>
    <row r="767739" customFormat="1" ht="14.25" spans="80:80">
      <c r="CB767739" s="267"/>
    </row>
    <row r="767740" customFormat="1" ht="14.25" spans="80:80">
      <c r="CB767740" s="267"/>
    </row>
    <row r="767741" customFormat="1" ht="14.25" spans="80:80">
      <c r="CB767741" s="267"/>
    </row>
    <row r="767742" customFormat="1" ht="14.25" spans="80:80">
      <c r="CB767742" s="267"/>
    </row>
    <row r="767743" customFormat="1" ht="14.25" spans="80:80">
      <c r="CB767743" s="267"/>
    </row>
    <row r="767744" customFormat="1" ht="14.25" spans="80:80">
      <c r="CB767744" s="267"/>
    </row>
    <row r="767745" customFormat="1" ht="14.25" spans="80:80">
      <c r="CB767745" s="267"/>
    </row>
    <row r="767746" customFormat="1" ht="14.25" spans="80:80">
      <c r="CB767746" s="267"/>
    </row>
    <row r="767747" customFormat="1" ht="14.25" spans="80:80">
      <c r="CB767747" s="267"/>
    </row>
    <row r="767748" customFormat="1" ht="14.25" spans="80:80">
      <c r="CB767748" s="267"/>
    </row>
    <row r="767749" customFormat="1" ht="14.25" spans="80:80">
      <c r="CB767749" s="267"/>
    </row>
    <row r="767750" customFormat="1" ht="14.25" spans="80:80">
      <c r="CB767750" s="267"/>
    </row>
    <row r="767751" customFormat="1" ht="14.25" spans="80:80">
      <c r="CB767751" s="267"/>
    </row>
    <row r="767752" customFormat="1" ht="14.25" spans="80:80">
      <c r="CB767752" s="267"/>
    </row>
    <row r="767753" customFormat="1" ht="14.25" spans="80:80">
      <c r="CB767753" s="267"/>
    </row>
    <row r="767754" customFormat="1" ht="14.25" spans="80:80">
      <c r="CB767754" s="267"/>
    </row>
    <row r="767755" customFormat="1" ht="14.25" spans="80:80">
      <c r="CB767755" s="267"/>
    </row>
    <row r="767756" customFormat="1" ht="14.25" spans="80:80">
      <c r="CB767756" s="267"/>
    </row>
    <row r="767757" customFormat="1" ht="14.25" spans="80:80">
      <c r="CB767757" s="267"/>
    </row>
    <row r="767758" customFormat="1" ht="14.25" spans="80:80">
      <c r="CB767758" s="267"/>
    </row>
    <row r="767759" customFormat="1" ht="14.25" spans="80:80">
      <c r="CB767759" s="267"/>
    </row>
    <row r="767760" customFormat="1" ht="14.25" spans="80:80">
      <c r="CB767760" s="267"/>
    </row>
    <row r="767761" customFormat="1" ht="14.25" spans="80:80">
      <c r="CB767761" s="267"/>
    </row>
    <row r="767762" customFormat="1" ht="14.25" spans="80:80">
      <c r="CB767762" s="267"/>
    </row>
    <row r="767763" customFormat="1" ht="14.25" spans="80:80">
      <c r="CB767763" s="267"/>
    </row>
    <row r="767764" customFormat="1" ht="14.25" spans="80:80">
      <c r="CB767764" s="267"/>
    </row>
    <row r="767765" customFormat="1" ht="14.25" spans="80:80">
      <c r="CB767765" s="267"/>
    </row>
    <row r="767766" customFormat="1" ht="14.25" spans="80:80">
      <c r="CB767766" s="267"/>
    </row>
    <row r="767767" customFormat="1" ht="14.25" spans="80:80">
      <c r="CB767767" s="267"/>
    </row>
    <row r="767768" customFormat="1" ht="14.25" spans="80:80">
      <c r="CB767768" s="267"/>
    </row>
    <row r="767769" customFormat="1" ht="14.25" spans="80:80">
      <c r="CB767769" s="267"/>
    </row>
    <row r="767770" customFormat="1" ht="14.25" spans="80:80">
      <c r="CB767770" s="267"/>
    </row>
    <row r="767771" customFormat="1" ht="14.25" spans="80:80">
      <c r="CB767771" s="267"/>
    </row>
    <row r="767772" customFormat="1" ht="14.25" spans="80:80">
      <c r="CB767772" s="267"/>
    </row>
    <row r="767773" customFormat="1" ht="14.25" spans="80:80">
      <c r="CB767773" s="267"/>
    </row>
    <row r="767774" customFormat="1" ht="14.25" spans="80:80">
      <c r="CB767774" s="267"/>
    </row>
    <row r="767775" customFormat="1" ht="14.25" spans="80:80">
      <c r="CB767775" s="267"/>
    </row>
    <row r="767776" customFormat="1" ht="14.25" spans="80:80">
      <c r="CB767776" s="267"/>
    </row>
    <row r="767777" customFormat="1" ht="14.25" spans="80:80">
      <c r="CB767777" s="267"/>
    </row>
    <row r="767778" customFormat="1" ht="14.25" spans="80:80">
      <c r="CB767778" s="267"/>
    </row>
    <row r="767779" customFormat="1" ht="14.25" spans="80:80">
      <c r="CB767779" s="267"/>
    </row>
    <row r="767780" customFormat="1" ht="14.25" spans="80:80">
      <c r="CB767780" s="267"/>
    </row>
    <row r="767781" customFormat="1" ht="14.25" spans="80:80">
      <c r="CB767781" s="267"/>
    </row>
    <row r="767782" customFormat="1" ht="14.25" spans="80:80">
      <c r="CB767782" s="267"/>
    </row>
    <row r="767783" customFormat="1" ht="14.25" spans="80:80">
      <c r="CB767783" s="267"/>
    </row>
    <row r="767784" customFormat="1" ht="14.25" spans="80:80">
      <c r="CB767784" s="267"/>
    </row>
    <row r="767785" customFormat="1" ht="14.25" spans="80:80">
      <c r="CB767785" s="267"/>
    </row>
    <row r="767786" customFormat="1" ht="14.25" spans="80:80">
      <c r="CB767786" s="267"/>
    </row>
    <row r="767787" customFormat="1" ht="14.25" spans="80:80">
      <c r="CB767787" s="267"/>
    </row>
    <row r="767788" customFormat="1" ht="14.25" spans="80:80">
      <c r="CB767788" s="267"/>
    </row>
    <row r="767789" customFormat="1" ht="14.25" spans="80:80">
      <c r="CB767789" s="267"/>
    </row>
    <row r="767790" customFormat="1" ht="14.25" spans="80:80">
      <c r="CB767790" s="267"/>
    </row>
    <row r="767791" customFormat="1" ht="14.25" spans="80:80">
      <c r="CB767791" s="267"/>
    </row>
    <row r="767792" customFormat="1" ht="14.25" spans="80:80">
      <c r="CB767792" s="267"/>
    </row>
    <row r="767793" customFormat="1" ht="14.25" spans="80:80">
      <c r="CB767793" s="267"/>
    </row>
    <row r="767794" customFormat="1" ht="14.25" spans="80:80">
      <c r="CB767794" s="267"/>
    </row>
    <row r="767795" customFormat="1" ht="14.25" spans="80:80">
      <c r="CB767795" s="267"/>
    </row>
    <row r="767796" customFormat="1" ht="14.25" spans="80:80">
      <c r="CB767796" s="267"/>
    </row>
    <row r="767797" customFormat="1" ht="14.25" spans="80:80">
      <c r="CB767797" s="267"/>
    </row>
    <row r="767798" customFormat="1" ht="14.25" spans="80:80">
      <c r="CB767798" s="267"/>
    </row>
    <row r="767799" customFormat="1" ht="14.25" spans="80:80">
      <c r="CB767799" s="267"/>
    </row>
    <row r="767800" customFormat="1" ht="14.25" spans="80:80">
      <c r="CB767800" s="267"/>
    </row>
    <row r="767801" customFormat="1" ht="14.25" spans="80:80">
      <c r="CB767801" s="267"/>
    </row>
    <row r="767802" customFormat="1" ht="14.25" spans="80:80">
      <c r="CB767802" s="267"/>
    </row>
    <row r="767803" customFormat="1" ht="14.25" spans="80:80">
      <c r="CB767803" s="267"/>
    </row>
    <row r="767804" customFormat="1" ht="14.25" spans="80:80">
      <c r="CB767804" s="267"/>
    </row>
    <row r="767805" customFormat="1" ht="14.25" spans="80:80">
      <c r="CB767805" s="267"/>
    </row>
    <row r="767806" customFormat="1" ht="14.25" spans="80:80">
      <c r="CB767806" s="267"/>
    </row>
    <row r="767807" customFormat="1" ht="14.25" spans="80:80">
      <c r="CB767807" s="267"/>
    </row>
    <row r="767808" customFormat="1" ht="14.25" spans="80:80">
      <c r="CB767808" s="267"/>
    </row>
    <row r="767809" customFormat="1" ht="14.25" spans="80:80">
      <c r="CB767809" s="267"/>
    </row>
    <row r="767810" customFormat="1" ht="14.25" spans="80:80">
      <c r="CB767810" s="267"/>
    </row>
    <row r="767811" customFormat="1" ht="14.25" spans="80:80">
      <c r="CB767811" s="267"/>
    </row>
    <row r="767812" customFormat="1" ht="14.25" spans="80:80">
      <c r="CB767812" s="267"/>
    </row>
    <row r="767813" customFormat="1" ht="14.25" spans="80:80">
      <c r="CB767813" s="267"/>
    </row>
    <row r="767814" customFormat="1" ht="14.25" spans="80:80">
      <c r="CB767814" s="267"/>
    </row>
    <row r="767815" customFormat="1" ht="14.25" spans="80:80">
      <c r="CB767815" s="267"/>
    </row>
    <row r="767816" customFormat="1" ht="14.25" spans="80:80">
      <c r="CB767816" s="267"/>
    </row>
    <row r="767817" customFormat="1" ht="14.25" spans="80:80">
      <c r="CB767817" s="267"/>
    </row>
    <row r="767818" customFormat="1" ht="14.25" spans="80:80">
      <c r="CB767818" s="267"/>
    </row>
    <row r="767819" customFormat="1" ht="14.25" spans="80:80">
      <c r="CB767819" s="267"/>
    </row>
    <row r="767820" customFormat="1" ht="14.25" spans="80:80">
      <c r="CB767820" s="267"/>
    </row>
    <row r="767821" customFormat="1" ht="14.25" spans="80:80">
      <c r="CB767821" s="267"/>
    </row>
    <row r="767822" customFormat="1" ht="14.25" spans="80:80">
      <c r="CB767822" s="267"/>
    </row>
    <row r="767823" customFormat="1" ht="14.25" spans="80:80">
      <c r="CB767823" s="267"/>
    </row>
    <row r="767824" customFormat="1" ht="14.25" spans="80:80">
      <c r="CB767824" s="267"/>
    </row>
    <row r="767825" customFormat="1" ht="14.25" spans="80:80">
      <c r="CB767825" s="267"/>
    </row>
    <row r="767826" customFormat="1" ht="14.25" spans="80:80">
      <c r="CB767826" s="267"/>
    </row>
    <row r="767827" customFormat="1" ht="14.25" spans="80:80">
      <c r="CB767827" s="267"/>
    </row>
    <row r="767828" customFormat="1" ht="14.25" spans="80:80">
      <c r="CB767828" s="267"/>
    </row>
    <row r="767829" customFormat="1" ht="14.25" spans="80:80">
      <c r="CB767829" s="267"/>
    </row>
    <row r="767830" customFormat="1" ht="14.25" spans="80:80">
      <c r="CB767830" s="267"/>
    </row>
    <row r="767831" customFormat="1" ht="14.25" spans="80:80">
      <c r="CB767831" s="267"/>
    </row>
    <row r="767832" customFormat="1" ht="14.25" spans="80:80">
      <c r="CB767832" s="267"/>
    </row>
    <row r="767833" customFormat="1" ht="14.25" spans="80:80">
      <c r="CB767833" s="267"/>
    </row>
    <row r="767834" customFormat="1" ht="14.25" spans="80:80">
      <c r="CB767834" s="267"/>
    </row>
    <row r="767835" customFormat="1" ht="14.25" spans="80:80">
      <c r="CB767835" s="267"/>
    </row>
    <row r="767836" customFormat="1" ht="14.25" spans="80:80">
      <c r="CB767836" s="267"/>
    </row>
    <row r="767837" customFormat="1" ht="14.25" spans="80:80">
      <c r="CB767837" s="267"/>
    </row>
    <row r="767838" customFormat="1" ht="14.25" spans="80:80">
      <c r="CB767838" s="267"/>
    </row>
    <row r="767839" customFormat="1" ht="14.25" spans="80:80">
      <c r="CB767839" s="267"/>
    </row>
    <row r="767840" customFormat="1" ht="14.25" spans="80:80">
      <c r="CB767840" s="267"/>
    </row>
    <row r="767841" customFormat="1" ht="14.25" spans="80:80">
      <c r="CB767841" s="267"/>
    </row>
    <row r="767842" customFormat="1" ht="14.25" spans="80:80">
      <c r="CB767842" s="267"/>
    </row>
    <row r="767843" customFormat="1" ht="14.25" spans="80:80">
      <c r="CB767843" s="267"/>
    </row>
    <row r="767844" customFormat="1" ht="14.25" spans="80:80">
      <c r="CB767844" s="267"/>
    </row>
    <row r="767845" customFormat="1" ht="14.25" spans="80:80">
      <c r="CB767845" s="267"/>
    </row>
    <row r="767846" customFormat="1" ht="14.25" spans="80:80">
      <c r="CB767846" s="267"/>
    </row>
    <row r="767847" customFormat="1" ht="14.25" spans="80:80">
      <c r="CB767847" s="267"/>
    </row>
    <row r="767848" customFormat="1" ht="14.25" spans="80:80">
      <c r="CB767848" s="267"/>
    </row>
    <row r="767849" customFormat="1" ht="14.25" spans="80:80">
      <c r="CB767849" s="267"/>
    </row>
    <row r="767850" customFormat="1" ht="14.25" spans="80:80">
      <c r="CB767850" s="267"/>
    </row>
    <row r="767851" customFormat="1" ht="14.25" spans="80:80">
      <c r="CB767851" s="267"/>
    </row>
    <row r="767852" customFormat="1" ht="14.25" spans="80:80">
      <c r="CB767852" s="267"/>
    </row>
    <row r="767853" customFormat="1" ht="14.25" spans="80:80">
      <c r="CB767853" s="267"/>
    </row>
    <row r="767854" customFormat="1" ht="14.25" spans="80:80">
      <c r="CB767854" s="267"/>
    </row>
    <row r="767855" customFormat="1" ht="14.25" spans="80:80">
      <c r="CB767855" s="267"/>
    </row>
    <row r="767856" customFormat="1" ht="14.25" spans="80:80">
      <c r="CB767856" s="267"/>
    </row>
    <row r="767857" customFormat="1" ht="14.25" spans="80:80">
      <c r="CB767857" s="267"/>
    </row>
    <row r="767858" customFormat="1" ht="14.25" spans="80:80">
      <c r="CB767858" s="267"/>
    </row>
    <row r="767859" customFormat="1" ht="14.25" spans="80:80">
      <c r="CB767859" s="267"/>
    </row>
    <row r="767860" customFormat="1" ht="14.25" spans="80:80">
      <c r="CB767860" s="267"/>
    </row>
    <row r="767861" customFormat="1" ht="14.25" spans="80:80">
      <c r="CB767861" s="267"/>
    </row>
    <row r="767862" customFormat="1" ht="14.25" spans="80:80">
      <c r="CB767862" s="267"/>
    </row>
    <row r="767863" customFormat="1" ht="14.25" spans="80:80">
      <c r="CB767863" s="267"/>
    </row>
    <row r="767864" customFormat="1" ht="14.25" spans="80:80">
      <c r="CB767864" s="267"/>
    </row>
    <row r="767865" customFormat="1" ht="14.25" spans="80:80">
      <c r="CB767865" s="267"/>
    </row>
    <row r="767866" customFormat="1" ht="14.25" spans="80:80">
      <c r="CB767866" s="267"/>
    </row>
    <row r="767867" customFormat="1" ht="14.25" spans="80:80">
      <c r="CB767867" s="267"/>
    </row>
    <row r="767868" customFormat="1" ht="14.25" spans="80:80">
      <c r="CB767868" s="267"/>
    </row>
    <row r="767869" customFormat="1" ht="14.25" spans="80:80">
      <c r="CB767869" s="267"/>
    </row>
    <row r="767870" customFormat="1" ht="14.25" spans="80:80">
      <c r="CB767870" s="267"/>
    </row>
    <row r="767871" customFormat="1" ht="14.25" spans="80:80">
      <c r="CB767871" s="267"/>
    </row>
    <row r="767872" customFormat="1" ht="14.25" spans="80:80">
      <c r="CB767872" s="267"/>
    </row>
    <row r="767873" customFormat="1" ht="14.25" spans="80:80">
      <c r="CB767873" s="267"/>
    </row>
    <row r="767874" customFormat="1" ht="14.25" spans="80:80">
      <c r="CB767874" s="267"/>
    </row>
    <row r="767875" customFormat="1" ht="14.25" spans="80:80">
      <c r="CB767875" s="267"/>
    </row>
    <row r="767876" customFormat="1" ht="14.25" spans="80:80">
      <c r="CB767876" s="267"/>
    </row>
    <row r="767877" customFormat="1" ht="14.25" spans="80:80">
      <c r="CB767877" s="267"/>
    </row>
    <row r="767878" customFormat="1" ht="14.25" spans="80:80">
      <c r="CB767878" s="267"/>
    </row>
    <row r="767879" customFormat="1" ht="14.25" spans="80:80">
      <c r="CB767879" s="267"/>
    </row>
    <row r="767880" customFormat="1" ht="14.25" spans="80:80">
      <c r="CB767880" s="267"/>
    </row>
    <row r="767881" customFormat="1" ht="14.25" spans="80:80">
      <c r="CB767881" s="267"/>
    </row>
    <row r="767882" customFormat="1" ht="14.25" spans="80:80">
      <c r="CB767882" s="267"/>
    </row>
    <row r="767883" customFormat="1" ht="14.25" spans="80:80">
      <c r="CB767883" s="267"/>
    </row>
    <row r="767884" customFormat="1" ht="14.25" spans="80:80">
      <c r="CB767884" s="267"/>
    </row>
    <row r="767885" customFormat="1" ht="14.25" spans="80:80">
      <c r="CB767885" s="267"/>
    </row>
    <row r="767886" customFormat="1" ht="14.25" spans="80:80">
      <c r="CB767886" s="267"/>
    </row>
    <row r="767887" customFormat="1" ht="14.25" spans="80:80">
      <c r="CB767887" s="267"/>
    </row>
    <row r="767888" customFormat="1" ht="14.25" spans="80:80">
      <c r="CB767888" s="267"/>
    </row>
    <row r="767889" customFormat="1" ht="14.25" spans="80:80">
      <c r="CB767889" s="267"/>
    </row>
    <row r="767890" customFormat="1" ht="14.25" spans="80:80">
      <c r="CB767890" s="267"/>
    </row>
    <row r="767891" customFormat="1" ht="14.25" spans="80:80">
      <c r="CB767891" s="267"/>
    </row>
    <row r="767892" customFormat="1" ht="14.25" spans="80:80">
      <c r="CB767892" s="267"/>
    </row>
    <row r="767893" customFormat="1" ht="14.25" spans="80:80">
      <c r="CB767893" s="267"/>
    </row>
    <row r="767894" customFormat="1" ht="14.25" spans="80:80">
      <c r="CB767894" s="267"/>
    </row>
    <row r="767895" customFormat="1" ht="14.25" spans="80:80">
      <c r="CB767895" s="267"/>
    </row>
    <row r="767896" customFormat="1" ht="14.25" spans="80:80">
      <c r="CB767896" s="267"/>
    </row>
    <row r="767897" customFormat="1" ht="14.25" spans="80:80">
      <c r="CB767897" s="267"/>
    </row>
    <row r="767898" customFormat="1" ht="14.25" spans="80:80">
      <c r="CB767898" s="267"/>
    </row>
    <row r="767899" customFormat="1" ht="14.25" spans="80:80">
      <c r="CB767899" s="267"/>
    </row>
    <row r="767900" customFormat="1" ht="14.25" spans="80:80">
      <c r="CB767900" s="267"/>
    </row>
    <row r="767901" customFormat="1" ht="14.25" spans="80:80">
      <c r="CB767901" s="267"/>
    </row>
    <row r="767902" customFormat="1" ht="14.25" spans="80:80">
      <c r="CB767902" s="267"/>
    </row>
    <row r="767903" customFormat="1" ht="14.25" spans="80:80">
      <c r="CB767903" s="267"/>
    </row>
    <row r="767904" customFormat="1" ht="14.25" spans="80:80">
      <c r="CB767904" s="267"/>
    </row>
    <row r="767905" customFormat="1" ht="14.25" spans="80:80">
      <c r="CB767905" s="267"/>
    </row>
    <row r="767906" customFormat="1" ht="14.25" spans="80:80">
      <c r="CB767906" s="267"/>
    </row>
    <row r="767907" customFormat="1" ht="14.25" spans="80:80">
      <c r="CB767907" s="267"/>
    </row>
    <row r="767908" customFormat="1" ht="14.25" spans="80:80">
      <c r="CB767908" s="267"/>
    </row>
    <row r="767909" customFormat="1" ht="14.25" spans="80:80">
      <c r="CB767909" s="267"/>
    </row>
    <row r="767910" customFormat="1" ht="14.25" spans="80:80">
      <c r="CB767910" s="267"/>
    </row>
    <row r="767911" customFormat="1" ht="14.25" spans="80:80">
      <c r="CB767911" s="267"/>
    </row>
    <row r="767912" customFormat="1" ht="14.25" spans="80:80">
      <c r="CB767912" s="267"/>
    </row>
    <row r="767913" customFormat="1" ht="14.25" spans="80:80">
      <c r="CB767913" s="267"/>
    </row>
    <row r="767914" customFormat="1" ht="14.25" spans="80:80">
      <c r="CB767914" s="267"/>
    </row>
    <row r="767915" customFormat="1" ht="14.25" spans="80:80">
      <c r="CB767915" s="267"/>
    </row>
    <row r="767916" customFormat="1" ht="14.25" spans="80:80">
      <c r="CB767916" s="267"/>
    </row>
    <row r="767917" customFormat="1" ht="14.25" spans="80:80">
      <c r="CB767917" s="267"/>
    </row>
    <row r="767918" customFormat="1" ht="14.25" spans="80:80">
      <c r="CB767918" s="267"/>
    </row>
    <row r="767919" customFormat="1" ht="14.25" spans="80:80">
      <c r="CB767919" s="267"/>
    </row>
    <row r="767920" customFormat="1" ht="14.25" spans="80:80">
      <c r="CB767920" s="267"/>
    </row>
    <row r="767921" customFormat="1" ht="14.25" spans="80:80">
      <c r="CB767921" s="267"/>
    </row>
    <row r="767922" customFormat="1" ht="14.25" spans="80:80">
      <c r="CB767922" s="267"/>
    </row>
    <row r="767923" customFormat="1" ht="14.25" spans="80:80">
      <c r="CB767923" s="267"/>
    </row>
    <row r="767924" customFormat="1" ht="14.25" spans="80:80">
      <c r="CB767924" s="267"/>
    </row>
    <row r="767925" customFormat="1" ht="14.25" spans="80:80">
      <c r="CB767925" s="267"/>
    </row>
    <row r="767926" customFormat="1" ht="14.25" spans="80:80">
      <c r="CB767926" s="267"/>
    </row>
    <row r="767927" customFormat="1" ht="14.25" spans="80:80">
      <c r="CB767927" s="267"/>
    </row>
    <row r="767928" customFormat="1" ht="14.25" spans="80:80">
      <c r="CB767928" s="267"/>
    </row>
    <row r="767929" customFormat="1" ht="14.25" spans="80:80">
      <c r="CB767929" s="267"/>
    </row>
    <row r="767930" customFormat="1" ht="14.25" spans="80:80">
      <c r="CB767930" s="267"/>
    </row>
    <row r="767931" customFormat="1" ht="14.25" spans="80:80">
      <c r="CB767931" s="267"/>
    </row>
    <row r="767932" customFormat="1" ht="14.25" spans="80:80">
      <c r="CB767932" s="267"/>
    </row>
    <row r="767933" customFormat="1" ht="14.25" spans="80:80">
      <c r="CB767933" s="267"/>
    </row>
    <row r="767934" customFormat="1" ht="14.25" spans="80:80">
      <c r="CB767934" s="267"/>
    </row>
    <row r="767935" customFormat="1" ht="14.25" spans="80:80">
      <c r="CB767935" s="267"/>
    </row>
    <row r="767936" customFormat="1" ht="14.25" spans="80:80">
      <c r="CB767936" s="267"/>
    </row>
    <row r="767937" customFormat="1" ht="14.25" spans="80:80">
      <c r="CB767937" s="267"/>
    </row>
    <row r="767938" customFormat="1" ht="14.25" spans="80:80">
      <c r="CB767938" s="267"/>
    </row>
    <row r="767939" customFormat="1" ht="14.25" spans="80:80">
      <c r="CB767939" s="267"/>
    </row>
    <row r="767940" customFormat="1" ht="14.25" spans="80:80">
      <c r="CB767940" s="267"/>
    </row>
    <row r="767941" customFormat="1" ht="14.25" spans="80:80">
      <c r="CB767941" s="267"/>
    </row>
    <row r="767942" customFormat="1" ht="14.25" spans="80:80">
      <c r="CB767942" s="267"/>
    </row>
    <row r="767943" customFormat="1" ht="14.25" spans="80:80">
      <c r="CB767943" s="267"/>
    </row>
    <row r="767944" customFormat="1" ht="14.25" spans="80:80">
      <c r="CB767944" s="267"/>
    </row>
    <row r="767945" customFormat="1" ht="14.25" spans="80:80">
      <c r="CB767945" s="267"/>
    </row>
    <row r="767946" customFormat="1" ht="14.25" spans="80:80">
      <c r="CB767946" s="267"/>
    </row>
    <row r="767947" customFormat="1" ht="14.25" spans="80:80">
      <c r="CB767947" s="267"/>
    </row>
    <row r="767948" customFormat="1" ht="14.25" spans="80:80">
      <c r="CB767948" s="267"/>
    </row>
    <row r="767949" customFormat="1" ht="14.25" spans="80:80">
      <c r="CB767949" s="267"/>
    </row>
    <row r="767950" customFormat="1" ht="14.25" spans="80:80">
      <c r="CB767950" s="267"/>
    </row>
    <row r="767951" customFormat="1" ht="14.25" spans="80:80">
      <c r="CB767951" s="267"/>
    </row>
    <row r="767952" customFormat="1" ht="14.25" spans="80:80">
      <c r="CB767952" s="267"/>
    </row>
    <row r="767953" customFormat="1" ht="14.25" spans="80:80">
      <c r="CB767953" s="267"/>
    </row>
    <row r="767954" customFormat="1" ht="14.25" spans="80:80">
      <c r="CB767954" s="267"/>
    </row>
    <row r="767955" customFormat="1" ht="14.25" spans="80:80">
      <c r="CB767955" s="267"/>
    </row>
    <row r="767956" customFormat="1" ht="14.25" spans="80:80">
      <c r="CB767956" s="267"/>
    </row>
    <row r="767957" customFormat="1" ht="14.25" spans="80:80">
      <c r="CB767957" s="267"/>
    </row>
    <row r="767958" customFormat="1" ht="14.25" spans="80:80">
      <c r="CB767958" s="267"/>
    </row>
    <row r="767959" customFormat="1" ht="14.25" spans="80:80">
      <c r="CB767959" s="267"/>
    </row>
    <row r="767960" customFormat="1" ht="14.25" spans="80:80">
      <c r="CB767960" s="267"/>
    </row>
    <row r="767961" customFormat="1" ht="14.25" spans="80:80">
      <c r="CB767961" s="267"/>
    </row>
    <row r="767962" customFormat="1" ht="14.25" spans="80:80">
      <c r="CB767962" s="267"/>
    </row>
    <row r="767963" customFormat="1" ht="14.25" spans="80:80">
      <c r="CB767963" s="267"/>
    </row>
    <row r="767964" customFormat="1" ht="14.25" spans="80:80">
      <c r="CB767964" s="267"/>
    </row>
    <row r="767965" customFormat="1" ht="14.25" spans="80:80">
      <c r="CB767965" s="267"/>
    </row>
    <row r="767966" customFormat="1" ht="14.25" spans="80:80">
      <c r="CB767966" s="267"/>
    </row>
    <row r="767967" customFormat="1" ht="14.25" spans="80:80">
      <c r="CB767967" s="267"/>
    </row>
    <row r="767968" customFormat="1" ht="14.25" spans="80:80">
      <c r="CB767968" s="267"/>
    </row>
    <row r="767969" customFormat="1" ht="14.25" spans="80:80">
      <c r="CB767969" s="267"/>
    </row>
    <row r="767970" customFormat="1" ht="14.25" spans="80:80">
      <c r="CB767970" s="267"/>
    </row>
    <row r="767971" customFormat="1" ht="14.25" spans="80:80">
      <c r="CB767971" s="267"/>
    </row>
    <row r="767972" customFormat="1" ht="14.25" spans="80:80">
      <c r="CB767972" s="267"/>
    </row>
    <row r="767973" customFormat="1" ht="14.25" spans="80:80">
      <c r="CB767973" s="267"/>
    </row>
    <row r="767974" customFormat="1" ht="14.25" spans="80:80">
      <c r="CB767974" s="267"/>
    </row>
    <row r="767975" customFormat="1" ht="14.25" spans="80:80">
      <c r="CB767975" s="267"/>
    </row>
    <row r="767976" customFormat="1" ht="14.25" spans="80:80">
      <c r="CB767976" s="267"/>
    </row>
    <row r="767977" customFormat="1" ht="14.25" spans="80:80">
      <c r="CB767977" s="267"/>
    </row>
    <row r="767978" customFormat="1" ht="14.25" spans="80:80">
      <c r="CB767978" s="267"/>
    </row>
    <row r="767979" customFormat="1" ht="14.25" spans="80:80">
      <c r="CB767979" s="267"/>
    </row>
    <row r="767980" customFormat="1" ht="14.25" spans="80:80">
      <c r="CB767980" s="267"/>
    </row>
    <row r="767981" customFormat="1" ht="14.25" spans="80:80">
      <c r="CB767981" s="267"/>
    </row>
    <row r="767982" customFormat="1" ht="14.25" spans="80:80">
      <c r="CB767982" s="267"/>
    </row>
    <row r="767983" customFormat="1" ht="14.25" spans="80:80">
      <c r="CB767983" s="267"/>
    </row>
    <row r="767984" customFormat="1" ht="14.25" spans="80:80">
      <c r="CB767984" s="267"/>
    </row>
    <row r="767985" customFormat="1" ht="14.25" spans="80:80">
      <c r="CB767985" s="267"/>
    </row>
    <row r="767986" customFormat="1" ht="14.25" spans="80:80">
      <c r="CB767986" s="267"/>
    </row>
    <row r="767987" customFormat="1" ht="14.25" spans="80:80">
      <c r="CB767987" s="267"/>
    </row>
    <row r="767988" customFormat="1" ht="14.25" spans="80:80">
      <c r="CB767988" s="267"/>
    </row>
    <row r="767989" customFormat="1" ht="14.25" spans="80:80">
      <c r="CB767989" s="267"/>
    </row>
    <row r="767990" customFormat="1" ht="14.25" spans="80:80">
      <c r="CB767990" s="267"/>
    </row>
    <row r="767991" customFormat="1" ht="14.25" spans="80:80">
      <c r="CB767991" s="267"/>
    </row>
    <row r="767992" customFormat="1" ht="14.25" spans="80:80">
      <c r="CB767992" s="267"/>
    </row>
    <row r="767993" customFormat="1" ht="14.25" spans="80:80">
      <c r="CB767993" s="267"/>
    </row>
    <row r="767994" customFormat="1" ht="14.25" spans="80:80">
      <c r="CB767994" s="267"/>
    </row>
    <row r="767995" customFormat="1" ht="14.25" spans="80:80">
      <c r="CB767995" s="267"/>
    </row>
    <row r="767996" customFormat="1" ht="14.25" spans="80:80">
      <c r="CB767996" s="267"/>
    </row>
    <row r="767997" customFormat="1" ht="14.25" spans="80:80">
      <c r="CB767997" s="267"/>
    </row>
    <row r="767998" customFormat="1" ht="14.25" spans="80:80">
      <c r="CB767998" s="267"/>
    </row>
    <row r="767999" customFormat="1" ht="14.25" spans="80:80">
      <c r="CB767999" s="267"/>
    </row>
    <row r="768000" customFormat="1" ht="14.25" spans="80:80">
      <c r="CB768000" s="267"/>
    </row>
    <row r="768001" customFormat="1" ht="14.25" spans="80:80">
      <c r="CB768001" s="267"/>
    </row>
    <row r="768002" customFormat="1" ht="14.25" spans="80:80">
      <c r="CB768002" s="267"/>
    </row>
    <row r="768003" customFormat="1" ht="14.25" spans="80:80">
      <c r="CB768003" s="267"/>
    </row>
    <row r="768004" customFormat="1" ht="14.25" spans="80:80">
      <c r="CB768004" s="267"/>
    </row>
    <row r="768005" customFormat="1" ht="14.25" spans="80:80">
      <c r="CB768005" s="267"/>
    </row>
    <row r="768006" customFormat="1" ht="14.25" spans="80:80">
      <c r="CB768006" s="267"/>
    </row>
    <row r="768007" customFormat="1" ht="14.25" spans="80:80">
      <c r="CB768007" s="267"/>
    </row>
    <row r="768008" customFormat="1" ht="14.25" spans="80:80">
      <c r="CB768008" s="267"/>
    </row>
    <row r="768009" customFormat="1" ht="14.25" spans="80:80">
      <c r="CB768009" s="267"/>
    </row>
    <row r="768010" customFormat="1" ht="14.25" spans="80:80">
      <c r="CB768010" s="267"/>
    </row>
    <row r="768011" customFormat="1" ht="14.25" spans="80:80">
      <c r="CB768011" s="267"/>
    </row>
    <row r="768012" customFormat="1" ht="14.25" spans="80:80">
      <c r="CB768012" s="267"/>
    </row>
    <row r="768013" customFormat="1" ht="14.25" spans="80:80">
      <c r="CB768013" s="267"/>
    </row>
    <row r="768014" customFormat="1" ht="14.25" spans="80:80">
      <c r="CB768014" s="267"/>
    </row>
    <row r="768015" customFormat="1" ht="14.25" spans="80:80">
      <c r="CB768015" s="267"/>
    </row>
    <row r="768016" customFormat="1" ht="14.25" spans="80:80">
      <c r="CB768016" s="267"/>
    </row>
    <row r="768017" customFormat="1" ht="14.25" spans="80:80">
      <c r="CB768017" s="267"/>
    </row>
    <row r="768018" customFormat="1" ht="14.25" spans="80:80">
      <c r="CB768018" s="267"/>
    </row>
    <row r="768019" customFormat="1" ht="14.25" spans="80:80">
      <c r="CB768019" s="267"/>
    </row>
    <row r="768020" customFormat="1" ht="14.25" spans="80:80">
      <c r="CB768020" s="267"/>
    </row>
    <row r="768021" customFormat="1" ht="14.25" spans="80:80">
      <c r="CB768021" s="267"/>
    </row>
    <row r="768022" customFormat="1" ht="14.25" spans="80:80">
      <c r="CB768022" s="267"/>
    </row>
    <row r="768023" customFormat="1" ht="14.25" spans="80:80">
      <c r="CB768023" s="267"/>
    </row>
    <row r="768024" customFormat="1" ht="14.25" spans="80:80">
      <c r="CB768024" s="267"/>
    </row>
    <row r="768025" customFormat="1" ht="14.25" spans="80:80">
      <c r="CB768025" s="267"/>
    </row>
    <row r="768026" customFormat="1" ht="14.25" spans="80:80">
      <c r="CB768026" s="267"/>
    </row>
    <row r="768027" customFormat="1" ht="14.25" spans="80:80">
      <c r="CB768027" s="267"/>
    </row>
    <row r="768028" customFormat="1" ht="14.25" spans="80:80">
      <c r="CB768028" s="267"/>
    </row>
    <row r="768029" customFormat="1" ht="14.25" spans="80:80">
      <c r="CB768029" s="267"/>
    </row>
    <row r="768030" customFormat="1" ht="14.25" spans="80:80">
      <c r="CB768030" s="267"/>
    </row>
    <row r="768031" customFormat="1" ht="14.25" spans="80:80">
      <c r="CB768031" s="267"/>
    </row>
    <row r="768032" customFormat="1" ht="14.25" spans="80:80">
      <c r="CB768032" s="267"/>
    </row>
    <row r="768033" customFormat="1" ht="14.25" spans="80:80">
      <c r="CB768033" s="267"/>
    </row>
    <row r="768034" customFormat="1" ht="14.25" spans="80:80">
      <c r="CB768034" s="267"/>
    </row>
    <row r="768035" customFormat="1" ht="14.25" spans="80:80">
      <c r="CB768035" s="267"/>
    </row>
    <row r="768036" customFormat="1" ht="14.25" spans="80:80">
      <c r="CB768036" s="267"/>
    </row>
    <row r="768037" customFormat="1" ht="14.25" spans="80:80">
      <c r="CB768037" s="267"/>
    </row>
    <row r="768038" customFormat="1" ht="14.25" spans="80:80">
      <c r="CB768038" s="267"/>
    </row>
    <row r="768039" customFormat="1" ht="14.25" spans="80:80">
      <c r="CB768039" s="267"/>
    </row>
    <row r="768040" customFormat="1" ht="14.25" spans="80:80">
      <c r="CB768040" s="267"/>
    </row>
    <row r="768041" customFormat="1" ht="14.25" spans="80:80">
      <c r="CB768041" s="267"/>
    </row>
    <row r="768042" customFormat="1" ht="14.25" spans="80:80">
      <c r="CB768042" s="267"/>
    </row>
    <row r="768043" customFormat="1" ht="14.25" spans="80:80">
      <c r="CB768043" s="267"/>
    </row>
    <row r="768044" customFormat="1" ht="14.25" spans="80:80">
      <c r="CB768044" s="267"/>
    </row>
    <row r="768045" customFormat="1" ht="14.25" spans="80:80">
      <c r="CB768045" s="267"/>
    </row>
    <row r="768046" customFormat="1" ht="14.25" spans="80:80">
      <c r="CB768046" s="267"/>
    </row>
    <row r="768047" customFormat="1" ht="14.25" spans="80:80">
      <c r="CB768047" s="267"/>
    </row>
    <row r="768048" customFormat="1" ht="14.25" spans="80:80">
      <c r="CB768048" s="267"/>
    </row>
    <row r="768049" customFormat="1" ht="14.25" spans="80:80">
      <c r="CB768049" s="267"/>
    </row>
    <row r="768050" customFormat="1" ht="14.25" spans="80:80">
      <c r="CB768050" s="267"/>
    </row>
    <row r="768051" customFormat="1" ht="14.25" spans="80:80">
      <c r="CB768051" s="267"/>
    </row>
    <row r="768052" customFormat="1" ht="14.25" spans="80:80">
      <c r="CB768052" s="267"/>
    </row>
    <row r="768053" customFormat="1" ht="14.25" spans="80:80">
      <c r="CB768053" s="267"/>
    </row>
    <row r="768054" customFormat="1" ht="14.25" spans="80:80">
      <c r="CB768054" s="267"/>
    </row>
    <row r="768055" customFormat="1" ht="14.25" spans="80:80">
      <c r="CB768055" s="267"/>
    </row>
    <row r="768056" customFormat="1" ht="14.25" spans="80:80">
      <c r="CB768056" s="267"/>
    </row>
    <row r="768057" customFormat="1" ht="14.25" spans="80:80">
      <c r="CB768057" s="267"/>
    </row>
    <row r="768058" customFormat="1" ht="14.25" spans="80:80">
      <c r="CB768058" s="267"/>
    </row>
    <row r="768059" customFormat="1" ht="14.25" spans="80:80">
      <c r="CB768059" s="267"/>
    </row>
    <row r="768060" customFormat="1" ht="14.25" spans="80:80">
      <c r="CB768060" s="267"/>
    </row>
    <row r="768061" customFormat="1" ht="14.25" spans="80:80">
      <c r="CB768061" s="267"/>
    </row>
    <row r="768062" customFormat="1" ht="14.25" spans="80:80">
      <c r="CB768062" s="267"/>
    </row>
    <row r="768063" customFormat="1" ht="14.25" spans="80:80">
      <c r="CB768063" s="267"/>
    </row>
    <row r="768064" customFormat="1" ht="14.25" spans="80:80">
      <c r="CB768064" s="267"/>
    </row>
    <row r="768065" customFormat="1" ht="14.25" spans="80:80">
      <c r="CB768065" s="267"/>
    </row>
    <row r="768066" customFormat="1" ht="14.25" spans="80:80">
      <c r="CB768066" s="267"/>
    </row>
    <row r="768067" customFormat="1" ht="14.25" spans="80:80">
      <c r="CB768067" s="267"/>
    </row>
    <row r="768068" customFormat="1" ht="14.25" spans="80:80">
      <c r="CB768068" s="267"/>
    </row>
    <row r="768069" customFormat="1" ht="14.25" spans="80:80">
      <c r="CB768069" s="267"/>
    </row>
    <row r="768070" customFormat="1" ht="14.25" spans="80:80">
      <c r="CB768070" s="267"/>
    </row>
    <row r="768071" customFormat="1" ht="14.25" spans="80:80">
      <c r="CB768071" s="267"/>
    </row>
    <row r="768072" customFormat="1" ht="14.25" spans="80:80">
      <c r="CB768072" s="267"/>
    </row>
    <row r="768073" customFormat="1" ht="14.25" spans="80:80">
      <c r="CB768073" s="267"/>
    </row>
    <row r="768074" customFormat="1" ht="14.25" spans="80:80">
      <c r="CB768074" s="267"/>
    </row>
    <row r="768075" customFormat="1" ht="14.25" spans="80:80">
      <c r="CB768075" s="267"/>
    </row>
    <row r="768076" customFormat="1" ht="14.25" spans="80:80">
      <c r="CB768076" s="267"/>
    </row>
    <row r="768077" customFormat="1" ht="14.25" spans="80:80">
      <c r="CB768077" s="267"/>
    </row>
    <row r="768078" customFormat="1" ht="14.25" spans="80:80">
      <c r="CB768078" s="267"/>
    </row>
    <row r="768079" customFormat="1" ht="14.25" spans="80:80">
      <c r="CB768079" s="267"/>
    </row>
    <row r="768080" customFormat="1" ht="14.25" spans="80:80">
      <c r="CB768080" s="267"/>
    </row>
    <row r="768081" customFormat="1" ht="14.25" spans="80:80">
      <c r="CB768081" s="267"/>
    </row>
    <row r="768082" customFormat="1" ht="14.25" spans="80:80">
      <c r="CB768082" s="267"/>
    </row>
    <row r="768083" customFormat="1" ht="14.25" spans="80:80">
      <c r="CB768083" s="267"/>
    </row>
    <row r="768084" customFormat="1" ht="14.25" spans="80:80">
      <c r="CB768084" s="267"/>
    </row>
    <row r="768085" customFormat="1" ht="14.25" spans="80:80">
      <c r="CB768085" s="267"/>
    </row>
    <row r="768086" customFormat="1" ht="14.25" spans="80:80">
      <c r="CB768086" s="267"/>
    </row>
    <row r="768087" customFormat="1" ht="14.25" spans="80:80">
      <c r="CB768087" s="267"/>
    </row>
    <row r="768088" customFormat="1" ht="14.25" spans="80:80">
      <c r="CB768088" s="267"/>
    </row>
    <row r="768089" customFormat="1" ht="14.25" spans="80:80">
      <c r="CB768089" s="267"/>
    </row>
    <row r="768090" customFormat="1" ht="14.25" spans="80:80">
      <c r="CB768090" s="267"/>
    </row>
    <row r="768091" customFormat="1" ht="14.25" spans="80:80">
      <c r="CB768091" s="267"/>
    </row>
    <row r="768092" customFormat="1" ht="14.25" spans="80:80">
      <c r="CB768092" s="267"/>
    </row>
    <row r="768093" customFormat="1" ht="14.25" spans="80:80">
      <c r="CB768093" s="267"/>
    </row>
    <row r="768094" customFormat="1" ht="14.25" spans="80:80">
      <c r="CB768094" s="267"/>
    </row>
    <row r="768095" customFormat="1" ht="14.25" spans="80:80">
      <c r="CB768095" s="267"/>
    </row>
    <row r="768096" customFormat="1" ht="14.25" spans="80:80">
      <c r="CB768096" s="267"/>
    </row>
    <row r="768097" customFormat="1" ht="14.25" spans="80:80">
      <c r="CB768097" s="267"/>
    </row>
    <row r="768098" customFormat="1" ht="14.25" spans="80:80">
      <c r="CB768098" s="267"/>
    </row>
    <row r="768099" customFormat="1" ht="14.25" spans="80:80">
      <c r="CB768099" s="267"/>
    </row>
    <row r="768100" customFormat="1" ht="14.25" spans="80:80">
      <c r="CB768100" s="267"/>
    </row>
    <row r="768101" customFormat="1" ht="14.25" spans="80:80">
      <c r="CB768101" s="267"/>
    </row>
    <row r="768102" customFormat="1" ht="14.25" spans="80:80">
      <c r="CB768102" s="267"/>
    </row>
    <row r="768103" customFormat="1" ht="14.25" spans="80:80">
      <c r="CB768103" s="267"/>
    </row>
    <row r="768104" customFormat="1" ht="14.25" spans="80:80">
      <c r="CB768104" s="267"/>
    </row>
    <row r="768105" customFormat="1" ht="14.25" spans="80:80">
      <c r="CB768105" s="267"/>
    </row>
    <row r="768106" customFormat="1" ht="14.25" spans="80:80">
      <c r="CB768106" s="267"/>
    </row>
    <row r="768107" customFormat="1" ht="14.25" spans="80:80">
      <c r="CB768107" s="267"/>
    </row>
    <row r="768108" customFormat="1" ht="14.25" spans="80:80">
      <c r="CB768108" s="267"/>
    </row>
    <row r="768109" customFormat="1" ht="14.25" spans="80:80">
      <c r="CB768109" s="267"/>
    </row>
    <row r="768110" customFormat="1" ht="14.25" spans="80:80">
      <c r="CB768110" s="267"/>
    </row>
    <row r="768111" customFormat="1" ht="14.25" spans="80:80">
      <c r="CB768111" s="267"/>
    </row>
    <row r="768112" customFormat="1" ht="14.25" spans="80:80">
      <c r="CB768112" s="267"/>
    </row>
    <row r="768113" customFormat="1" ht="14.25" spans="80:80">
      <c r="CB768113" s="267"/>
    </row>
    <row r="768114" customFormat="1" ht="14.25" spans="80:80">
      <c r="CB768114" s="267"/>
    </row>
    <row r="768115" customFormat="1" ht="14.25" spans="80:80">
      <c r="CB768115" s="267"/>
    </row>
    <row r="768116" customFormat="1" ht="14.25" spans="80:80">
      <c r="CB768116" s="267"/>
    </row>
    <row r="768117" customFormat="1" ht="14.25" spans="80:80">
      <c r="CB768117" s="267"/>
    </row>
    <row r="768118" customFormat="1" ht="14.25" spans="80:80">
      <c r="CB768118" s="267"/>
    </row>
    <row r="768119" customFormat="1" ht="14.25" spans="80:80">
      <c r="CB768119" s="267"/>
    </row>
    <row r="768120" customFormat="1" ht="14.25" spans="80:80">
      <c r="CB768120" s="267"/>
    </row>
    <row r="768121" customFormat="1" ht="14.25" spans="80:80">
      <c r="CB768121" s="267"/>
    </row>
    <row r="768122" customFormat="1" ht="14.25" spans="80:80">
      <c r="CB768122" s="267"/>
    </row>
    <row r="768123" customFormat="1" ht="14.25" spans="80:80">
      <c r="CB768123" s="267"/>
    </row>
    <row r="768124" customFormat="1" ht="14.25" spans="80:80">
      <c r="CB768124" s="267"/>
    </row>
    <row r="768125" customFormat="1" ht="14.25" spans="80:80">
      <c r="CB768125" s="267"/>
    </row>
    <row r="768126" customFormat="1" ht="14.25" spans="80:80">
      <c r="CB768126" s="267"/>
    </row>
    <row r="768127" customFormat="1" ht="14.25" spans="80:80">
      <c r="CB768127" s="267"/>
    </row>
    <row r="768128" customFormat="1" ht="14.25" spans="80:80">
      <c r="CB768128" s="267"/>
    </row>
    <row r="768129" customFormat="1" ht="14.25" spans="80:80">
      <c r="CB768129" s="267"/>
    </row>
    <row r="768130" customFormat="1" ht="14.25" spans="80:80">
      <c r="CB768130" s="267"/>
    </row>
    <row r="768131" customFormat="1" ht="14.25" spans="80:80">
      <c r="CB768131" s="267"/>
    </row>
    <row r="768132" customFormat="1" ht="14.25" spans="80:80">
      <c r="CB768132" s="267"/>
    </row>
    <row r="768133" customFormat="1" ht="14.25" spans="80:80">
      <c r="CB768133" s="267"/>
    </row>
    <row r="768134" customFormat="1" ht="14.25" spans="80:80">
      <c r="CB768134" s="267"/>
    </row>
    <row r="768135" customFormat="1" ht="14.25" spans="80:80">
      <c r="CB768135" s="267"/>
    </row>
    <row r="768136" customFormat="1" ht="14.25" spans="80:80">
      <c r="CB768136" s="267"/>
    </row>
    <row r="768137" customFormat="1" ht="14.25" spans="80:80">
      <c r="CB768137" s="267"/>
    </row>
    <row r="768138" customFormat="1" ht="14.25" spans="80:80">
      <c r="CB768138" s="267"/>
    </row>
    <row r="768139" customFormat="1" ht="14.25" spans="80:80">
      <c r="CB768139" s="267"/>
    </row>
    <row r="768140" customFormat="1" ht="14.25" spans="80:80">
      <c r="CB768140" s="267"/>
    </row>
    <row r="768141" customFormat="1" ht="14.25" spans="80:80">
      <c r="CB768141" s="267"/>
    </row>
    <row r="768142" customFormat="1" ht="14.25" spans="80:80">
      <c r="CB768142" s="267"/>
    </row>
    <row r="768143" customFormat="1" ht="14.25" spans="80:80">
      <c r="CB768143" s="267"/>
    </row>
    <row r="768144" customFormat="1" ht="14.25" spans="80:80">
      <c r="CB768144" s="267"/>
    </row>
    <row r="768145" customFormat="1" ht="14.25" spans="80:80">
      <c r="CB768145" s="267"/>
    </row>
    <row r="768146" customFormat="1" ht="14.25" spans="80:80">
      <c r="CB768146" s="267"/>
    </row>
    <row r="768147" customFormat="1" ht="14.25" spans="80:80">
      <c r="CB768147" s="267"/>
    </row>
    <row r="768148" customFormat="1" ht="14.25" spans="80:80">
      <c r="CB768148" s="267"/>
    </row>
    <row r="768149" customFormat="1" ht="14.25" spans="80:80">
      <c r="CB768149" s="267"/>
    </row>
    <row r="768150" customFormat="1" ht="14.25" spans="80:80">
      <c r="CB768150" s="267"/>
    </row>
    <row r="768151" customFormat="1" ht="14.25" spans="80:80">
      <c r="CB768151" s="267"/>
    </row>
    <row r="768152" customFormat="1" ht="14.25" spans="80:80">
      <c r="CB768152" s="267"/>
    </row>
    <row r="768153" customFormat="1" ht="14.25" spans="80:80">
      <c r="CB768153" s="267"/>
    </row>
    <row r="768154" customFormat="1" ht="14.25" spans="80:80">
      <c r="CB768154" s="267"/>
    </row>
    <row r="768155" customFormat="1" ht="14.25" spans="80:80">
      <c r="CB768155" s="267"/>
    </row>
    <row r="768156" customFormat="1" ht="14.25" spans="80:80">
      <c r="CB768156" s="267"/>
    </row>
    <row r="768157" customFormat="1" ht="14.25" spans="80:80">
      <c r="CB768157" s="267"/>
    </row>
    <row r="768158" customFormat="1" ht="14.25" spans="80:80">
      <c r="CB768158" s="267"/>
    </row>
    <row r="768159" customFormat="1" ht="14.25" spans="80:80">
      <c r="CB768159" s="267"/>
    </row>
    <row r="768160" customFormat="1" ht="14.25" spans="80:80">
      <c r="CB768160" s="267"/>
    </row>
    <row r="768161" customFormat="1" ht="14.25" spans="80:80">
      <c r="CB768161" s="267"/>
    </row>
    <row r="768162" customFormat="1" ht="14.25" spans="80:80">
      <c r="CB768162" s="267"/>
    </row>
    <row r="768163" customFormat="1" ht="14.25" spans="80:80">
      <c r="CB768163" s="267"/>
    </row>
    <row r="768164" customFormat="1" ht="14.25" spans="80:80">
      <c r="CB768164" s="267"/>
    </row>
    <row r="768165" customFormat="1" ht="14.25" spans="80:80">
      <c r="CB768165" s="267"/>
    </row>
    <row r="768166" customFormat="1" ht="14.25" spans="80:80">
      <c r="CB768166" s="267"/>
    </row>
    <row r="768167" customFormat="1" ht="14.25" spans="80:80">
      <c r="CB768167" s="267"/>
    </row>
    <row r="768168" customFormat="1" ht="14.25" spans="80:80">
      <c r="CB768168" s="267"/>
    </row>
    <row r="768169" customFormat="1" ht="14.25" spans="80:80">
      <c r="CB768169" s="267"/>
    </row>
    <row r="768170" customFormat="1" ht="14.25" spans="80:80">
      <c r="CB768170" s="267"/>
    </row>
    <row r="768171" customFormat="1" ht="14.25" spans="80:80">
      <c r="CB768171" s="267"/>
    </row>
    <row r="768172" customFormat="1" ht="14.25" spans="80:80">
      <c r="CB768172" s="267"/>
    </row>
    <row r="768173" customFormat="1" ht="14.25" spans="80:80">
      <c r="CB768173" s="267"/>
    </row>
    <row r="768174" customFormat="1" ht="14.25" spans="80:80">
      <c r="CB768174" s="267"/>
    </row>
    <row r="768175" customFormat="1" ht="14.25" spans="80:80">
      <c r="CB768175" s="267"/>
    </row>
    <row r="768176" customFormat="1" ht="14.25" spans="80:80">
      <c r="CB768176" s="267"/>
    </row>
    <row r="768177" customFormat="1" ht="14.25" spans="80:80">
      <c r="CB768177" s="267"/>
    </row>
    <row r="768178" customFormat="1" ht="14.25" spans="80:80">
      <c r="CB768178" s="267"/>
    </row>
    <row r="768179" customFormat="1" ht="14.25" spans="80:80">
      <c r="CB768179" s="267"/>
    </row>
    <row r="768180" customFormat="1" ht="14.25" spans="80:80">
      <c r="CB768180" s="267"/>
    </row>
    <row r="768181" customFormat="1" ht="14.25" spans="80:80">
      <c r="CB768181" s="267"/>
    </row>
    <row r="768182" customFormat="1" ht="14.25" spans="80:80">
      <c r="CB768182" s="267"/>
    </row>
    <row r="768183" customFormat="1" ht="14.25" spans="80:80">
      <c r="CB768183" s="267"/>
    </row>
    <row r="768184" customFormat="1" ht="14.25" spans="80:80">
      <c r="CB768184" s="267"/>
    </row>
    <row r="768185" customFormat="1" ht="14.25" spans="80:80">
      <c r="CB768185" s="267"/>
    </row>
    <row r="768186" customFormat="1" ht="14.25" spans="80:80">
      <c r="CB768186" s="267"/>
    </row>
    <row r="768187" customFormat="1" ht="14.25" spans="80:80">
      <c r="CB768187" s="267"/>
    </row>
    <row r="768188" customFormat="1" ht="14.25" spans="80:80">
      <c r="CB768188" s="267"/>
    </row>
    <row r="768189" customFormat="1" ht="14.25" spans="80:80">
      <c r="CB768189" s="267"/>
    </row>
    <row r="768190" customFormat="1" ht="14.25" spans="80:80">
      <c r="CB768190" s="267"/>
    </row>
    <row r="768191" customFormat="1" ht="14.25" spans="80:80">
      <c r="CB768191" s="267"/>
    </row>
    <row r="768192" customFormat="1" ht="14.25" spans="80:80">
      <c r="CB768192" s="267"/>
    </row>
    <row r="768193" customFormat="1" ht="14.25" spans="80:80">
      <c r="CB768193" s="267"/>
    </row>
    <row r="768194" customFormat="1" ht="14.25" spans="80:80">
      <c r="CB768194" s="267"/>
    </row>
    <row r="768195" customFormat="1" ht="14.25" spans="80:80">
      <c r="CB768195" s="267"/>
    </row>
    <row r="768196" customFormat="1" ht="14.25" spans="80:80">
      <c r="CB768196" s="267"/>
    </row>
    <row r="768197" customFormat="1" ht="14.25" spans="80:80">
      <c r="CB768197" s="267"/>
    </row>
    <row r="768198" customFormat="1" ht="14.25" spans="80:80">
      <c r="CB768198" s="267"/>
    </row>
    <row r="768199" customFormat="1" ht="14.25" spans="80:80">
      <c r="CB768199" s="267"/>
    </row>
    <row r="768200" customFormat="1" ht="14.25" spans="80:80">
      <c r="CB768200" s="267"/>
    </row>
    <row r="768201" customFormat="1" ht="14.25" spans="80:80">
      <c r="CB768201" s="267"/>
    </row>
    <row r="768202" customFormat="1" ht="14.25" spans="80:80">
      <c r="CB768202" s="267"/>
    </row>
    <row r="768203" customFormat="1" ht="14.25" spans="80:80">
      <c r="CB768203" s="267"/>
    </row>
    <row r="768204" customFormat="1" ht="14.25" spans="80:80">
      <c r="CB768204" s="267"/>
    </row>
    <row r="768205" customFormat="1" ht="14.25" spans="80:80">
      <c r="CB768205" s="267"/>
    </row>
    <row r="768206" customFormat="1" ht="14.25" spans="80:80">
      <c r="CB768206" s="267"/>
    </row>
    <row r="768207" customFormat="1" ht="14.25" spans="80:80">
      <c r="CB768207" s="267"/>
    </row>
    <row r="768208" customFormat="1" ht="14.25" spans="80:80">
      <c r="CB768208" s="267"/>
    </row>
    <row r="768209" customFormat="1" ht="14.25" spans="80:80">
      <c r="CB768209" s="267"/>
    </row>
    <row r="768210" customFormat="1" ht="14.25" spans="80:80">
      <c r="CB768210" s="267"/>
    </row>
    <row r="768211" customFormat="1" ht="14.25" spans="80:80">
      <c r="CB768211" s="267"/>
    </row>
    <row r="768212" customFormat="1" ht="14.25" spans="80:80">
      <c r="CB768212" s="267"/>
    </row>
    <row r="768213" customFormat="1" ht="14.25" spans="80:80">
      <c r="CB768213" s="267"/>
    </row>
    <row r="768214" customFormat="1" ht="14.25" spans="80:80">
      <c r="CB768214" s="267"/>
    </row>
    <row r="768215" customFormat="1" ht="14.25" spans="80:80">
      <c r="CB768215" s="267"/>
    </row>
    <row r="768216" customFormat="1" ht="14.25" spans="80:80">
      <c r="CB768216" s="267"/>
    </row>
    <row r="768217" customFormat="1" ht="14.25" spans="80:80">
      <c r="CB768217" s="267"/>
    </row>
    <row r="768218" customFormat="1" ht="14.25" spans="80:80">
      <c r="CB768218" s="267"/>
    </row>
    <row r="768219" customFormat="1" ht="14.25" spans="80:80">
      <c r="CB768219" s="267"/>
    </row>
    <row r="768220" customFormat="1" ht="14.25" spans="80:80">
      <c r="CB768220" s="267"/>
    </row>
    <row r="768221" customFormat="1" ht="14.25" spans="80:80">
      <c r="CB768221" s="267"/>
    </row>
    <row r="768222" customFormat="1" ht="14.25" spans="80:80">
      <c r="CB768222" s="267"/>
    </row>
    <row r="768223" customFormat="1" ht="14.25" spans="80:80">
      <c r="CB768223" s="267"/>
    </row>
    <row r="768224" customFormat="1" ht="14.25" spans="80:80">
      <c r="CB768224" s="267"/>
    </row>
  </sheetData>
  <autoFilter xmlns:etc="http://www.wps.cn/officeDocument/2017/etCustomData" ref="A4:CD9" etc:filterBottomFollowUsedRange="0">
    <extLst/>
  </autoFilter>
  <mergeCells count="17">
    <mergeCell ref="A1:Z1"/>
    <mergeCell ref="AN2:BF2"/>
    <mergeCell ref="BG2:CB2"/>
    <mergeCell ref="A3:Y3"/>
    <mergeCell ref="Z3:AE3"/>
    <mergeCell ref="AN3:AP3"/>
    <mergeCell ref="AQ3:AS3"/>
    <mergeCell ref="AT3:AV3"/>
    <mergeCell ref="AW3:AY3"/>
    <mergeCell ref="AZ3:BB3"/>
    <mergeCell ref="BC3:BE3"/>
    <mergeCell ref="BG3:BO3"/>
    <mergeCell ref="BP3:BQ3"/>
    <mergeCell ref="BR3:BX3"/>
    <mergeCell ref="BY3:CA3"/>
    <mergeCell ref="CB3:CB4"/>
    <mergeCell ref="CC2:CC4"/>
  </mergeCells>
  <conditionalFormatting sqref="A1:A4 B4:C4 B1:C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71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BB44" sqref="BB44"/>
    </sheetView>
  </sheetViews>
  <sheetFormatPr defaultColWidth="8.8" defaultRowHeight="16.5"/>
  <cols>
    <col min="1" max="1" width="27.625" style="139" customWidth="1"/>
    <col min="2" max="2" width="4.75" style="140" customWidth="1"/>
    <col min="3" max="3" width="5.05" style="140" customWidth="1"/>
    <col min="4" max="4" width="3.94166666666667" style="140" customWidth="1"/>
    <col min="5" max="5" width="7.875" style="140" customWidth="1"/>
    <col min="6" max="6" width="8.8" style="140"/>
    <col min="7" max="7" width="12.6916666666667" style="140" customWidth="1"/>
    <col min="8" max="8" width="12.375" style="141" customWidth="1"/>
    <col min="9" max="9" width="12" style="140" customWidth="1"/>
    <col min="10" max="10" width="9.7" style="140" hidden="1" customWidth="1" outlineLevel="1"/>
    <col min="11" max="11" width="8.8" style="140" hidden="1" outlineLevel="1"/>
    <col min="12" max="12" width="8.8" style="140" collapsed="1"/>
    <col min="13" max="13" width="8.8" style="140" hidden="1" outlineLevel="1"/>
    <col min="14" max="14" width="19.4" style="140" hidden="1" customWidth="1" outlineLevel="1"/>
    <col min="15" max="15" width="5.31666666666667" style="140" customWidth="1" collapsed="1"/>
    <col min="16" max="18" width="8.8" style="140" hidden="1" outlineLevel="1"/>
    <col min="19" max="19" width="19.2" style="140" customWidth="1" collapsed="1"/>
    <col min="20" max="20" width="18.1916666666667" style="139" customWidth="1"/>
    <col min="21" max="21" width="35.75" style="139" customWidth="1"/>
    <col min="22" max="22" width="8.8" style="142"/>
    <col min="23" max="23" width="8.8" style="143"/>
    <col min="24" max="25" width="8.8" style="140"/>
    <col min="26" max="28" width="8.8" style="140" hidden="1" outlineLevel="1"/>
    <col min="29" max="29" width="8.8" style="140" collapsed="1"/>
    <col min="30" max="30" width="13.4416666666667" style="140" customWidth="1"/>
    <col min="31" max="31" width="19.9416666666667" style="139" customWidth="1"/>
    <col min="32" max="32" width="10.5" style="140"/>
    <col min="33" max="33" width="8.50833333333333" style="140" customWidth="1"/>
    <col min="34" max="35" width="6.00833333333333" style="140" customWidth="1"/>
    <col min="36" max="36" width="8.8" style="144"/>
    <col min="37" max="37" width="6.06666666666667" style="140" customWidth="1"/>
    <col min="38" max="38" width="6.06666666666667" style="147" customWidth="1"/>
    <col min="39" max="39" width="9.13333333333333" style="147" customWidth="1" outlineLevel="1"/>
    <col min="40" max="40" width="5.38333333333333" style="197" customWidth="1" outlineLevel="1"/>
    <col min="41" max="41" width="5.38333333333333" style="140" customWidth="1" outlineLevel="1"/>
    <col min="42" max="42" width="8.8" style="140" outlineLevel="1"/>
    <col min="43" max="43" width="4.31666666666667" style="140" customWidth="1" outlineLevel="1"/>
    <col min="44" max="44" width="4.31666666666667" style="140" customWidth="1"/>
    <col min="45" max="45" width="8.8" style="140" outlineLevel="1"/>
    <col min="46" max="47" width="4.25833333333333" style="140" customWidth="1"/>
    <col min="48" max="48" width="8.8" style="140"/>
    <col min="49" max="49" width="4.81666666666667" style="140" customWidth="1"/>
    <col min="50" max="50" width="8.25833333333333" style="140" customWidth="1"/>
    <col min="51" max="51" width="8.38333333333333" style="140" customWidth="1"/>
    <col min="52" max="52" width="7.88333333333333" style="140" customWidth="1"/>
    <col min="53" max="56" width="4.69166666666667" style="140" customWidth="1"/>
    <col min="57" max="57" width="14.125" style="145" customWidth="1"/>
    <col min="58" max="58" width="24.625" style="140" customWidth="1"/>
    <col min="59" max="59" width="5.56666666666667" style="140" customWidth="1"/>
    <col min="60" max="60" width="7.63333333333333" style="146" customWidth="1"/>
    <col min="61" max="61" width="10.6916666666667" style="140" customWidth="1"/>
    <col min="62" max="62" width="6.81666666666667" style="140" customWidth="1"/>
    <col min="63" max="63" width="7.25" style="140" customWidth="1"/>
    <col min="64" max="64" width="5.81666666666667" style="140" customWidth="1"/>
    <col min="65" max="65" width="5.69166666666667" style="147" customWidth="1"/>
    <col min="66" max="66" width="8.825" style="140" customWidth="1"/>
    <col min="67" max="68" width="5.625" style="140" customWidth="1"/>
    <col min="69" max="69" width="11.0666666666667" style="148" customWidth="1"/>
    <col min="70" max="70" width="9.19166666666667" style="148" customWidth="1"/>
    <col min="71" max="71" width="10.1333333333333" style="148" customWidth="1"/>
  </cols>
  <sheetData>
    <row r="1" s="10" customFormat="1" ht="22.5" spans="1:71">
      <c r="A1" s="149" t="s">
        <v>102</v>
      </c>
      <c r="B1" s="150"/>
      <c r="C1" s="150"/>
      <c r="D1" s="150"/>
      <c r="E1" s="150"/>
      <c r="F1" s="150"/>
      <c r="G1" s="150"/>
      <c r="H1" s="151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49"/>
      <c r="U1" s="149"/>
      <c r="V1" s="152"/>
      <c r="W1" s="153"/>
      <c r="X1" s="150"/>
      <c r="Y1" s="150"/>
      <c r="Z1" s="150"/>
      <c r="AA1" s="150"/>
      <c r="AB1" s="150"/>
      <c r="AC1" s="150"/>
      <c r="AD1" s="150"/>
      <c r="AE1" s="149"/>
      <c r="AF1" s="150"/>
      <c r="AG1" s="150"/>
      <c r="AH1" s="150"/>
      <c r="AI1" s="150"/>
      <c r="AJ1" s="150"/>
      <c r="AK1" s="154"/>
      <c r="AL1" s="156"/>
      <c r="AM1" s="154">
        <f>SUM(AM5:AM71)</f>
        <v>354.05</v>
      </c>
      <c r="AN1" s="198"/>
      <c r="AO1" s="154"/>
      <c r="AP1" s="154">
        <f>SUM(AP5:AP71)</f>
        <v>0</v>
      </c>
      <c r="AQ1" s="154"/>
      <c r="AR1" s="154"/>
      <c r="AS1" s="154">
        <f>SUM(AS5:AS71)</f>
        <v>0</v>
      </c>
      <c r="AT1" s="154"/>
      <c r="AU1" s="154"/>
      <c r="AV1" s="154">
        <f>SUM(AV5:AV71)</f>
        <v>0</v>
      </c>
      <c r="AW1" s="154"/>
      <c r="AX1" s="154"/>
      <c r="AY1" s="154">
        <f>SUM(AY5:AY71)</f>
        <v>219</v>
      </c>
      <c r="AZ1" s="154">
        <f>SUM(AZ5:AZ71)</f>
        <v>573.05</v>
      </c>
      <c r="BA1" s="154"/>
      <c r="BB1" s="154"/>
      <c r="BC1" s="154"/>
      <c r="BD1" s="154"/>
      <c r="BE1" s="155"/>
      <c r="BF1" s="154"/>
      <c r="BG1" s="154"/>
      <c r="BH1" s="154"/>
      <c r="BI1" s="154">
        <f>SUM(BI5:BI71)</f>
        <v>3296.574225</v>
      </c>
      <c r="BJ1" s="154"/>
      <c r="BK1" s="154"/>
      <c r="BL1" s="154"/>
      <c r="BM1" s="156"/>
      <c r="BN1" s="154">
        <f>SUM(BN5:BN71)</f>
        <v>462.8</v>
      </c>
      <c r="BO1" s="154"/>
      <c r="BP1" s="154"/>
      <c r="BQ1" s="154">
        <f>SUM(BQ5:BQ71)</f>
        <v>0</v>
      </c>
      <c r="BR1" s="154">
        <f>SUM(BR5:BR71)</f>
        <v>3759.374225</v>
      </c>
      <c r="BS1" s="154">
        <f>SUM(BS5:BS71)</f>
        <v>4332.77165</v>
      </c>
    </row>
    <row r="2" s="10" customFormat="1" ht="15" spans="1:71">
      <c r="A2" s="217" t="s">
        <v>103</v>
      </c>
      <c r="B2" s="217"/>
      <c r="C2" s="217"/>
      <c r="D2" s="217"/>
      <c r="E2" s="217"/>
      <c r="F2" s="217"/>
      <c r="G2" s="218"/>
      <c r="H2" s="219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20"/>
      <c r="W2" s="221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3"/>
      <c r="BA2" s="224" t="s">
        <v>104</v>
      </c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5" t="s">
        <v>179</v>
      </c>
    </row>
    <row r="3" s="10" customFormat="1" ht="30" spans="1:71">
      <c r="A3" s="226" t="s">
        <v>106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7"/>
      <c r="AA3" s="227"/>
      <c r="AB3" s="227"/>
      <c r="AC3" s="227"/>
      <c r="AD3" s="226" t="s">
        <v>107</v>
      </c>
      <c r="AE3" s="226"/>
      <c r="AF3" s="226"/>
      <c r="AG3" s="226"/>
      <c r="AH3" s="226"/>
      <c r="AI3" s="226"/>
      <c r="AJ3" s="227"/>
      <c r="AK3" s="228" t="s">
        <v>108</v>
      </c>
      <c r="AL3" s="229"/>
      <c r="AM3" s="229"/>
      <c r="AN3" s="230" t="s">
        <v>109</v>
      </c>
      <c r="AO3" s="230"/>
      <c r="AP3" s="230"/>
      <c r="AQ3" s="230" t="s">
        <v>110</v>
      </c>
      <c r="AR3" s="230"/>
      <c r="AS3" s="230"/>
      <c r="AT3" s="228" t="s">
        <v>111</v>
      </c>
      <c r="AU3" s="228"/>
      <c r="AV3" s="228"/>
      <c r="AW3" s="231" t="s">
        <v>180</v>
      </c>
      <c r="AX3" s="231"/>
      <c r="AY3" s="231"/>
      <c r="AZ3" s="232" t="s">
        <v>160</v>
      </c>
      <c r="BA3" s="228" t="s">
        <v>114</v>
      </c>
      <c r="BB3" s="228"/>
      <c r="BC3" s="228"/>
      <c r="BD3" s="228"/>
      <c r="BE3" s="233"/>
      <c r="BF3" s="228"/>
      <c r="BG3" s="228"/>
      <c r="BH3" s="234"/>
      <c r="BI3" s="228"/>
      <c r="BJ3" s="228" t="s">
        <v>116</v>
      </c>
      <c r="BK3" s="228"/>
      <c r="BL3" s="228"/>
      <c r="BM3" s="229"/>
      <c r="BN3" s="228"/>
      <c r="BO3" s="235" t="s">
        <v>117</v>
      </c>
      <c r="BP3" s="235"/>
      <c r="BQ3" s="235"/>
      <c r="BR3" s="236" t="s">
        <v>181</v>
      </c>
      <c r="BS3" s="225"/>
    </row>
    <row r="4" s="10" customFormat="1" ht="60" spans="1:71">
      <c r="A4" s="237" t="s">
        <v>118</v>
      </c>
      <c r="B4" s="225" t="s">
        <v>119</v>
      </c>
      <c r="C4" s="225" t="s">
        <v>120</v>
      </c>
      <c r="D4" s="225" t="s">
        <v>121</v>
      </c>
      <c r="E4" s="237" t="s">
        <v>122</v>
      </c>
      <c r="F4" s="238" t="s">
        <v>123</v>
      </c>
      <c r="G4" s="237" t="s">
        <v>124</v>
      </c>
      <c r="H4" s="239" t="s">
        <v>125</v>
      </c>
      <c r="I4" s="237" t="s">
        <v>126</v>
      </c>
      <c r="J4" s="237" t="s">
        <v>127</v>
      </c>
      <c r="K4" s="237" t="s">
        <v>128</v>
      </c>
      <c r="L4" s="237" t="s">
        <v>129</v>
      </c>
      <c r="M4" s="237" t="s">
        <v>130</v>
      </c>
      <c r="N4" s="240" t="s">
        <v>131</v>
      </c>
      <c r="O4" s="225" t="s">
        <v>132</v>
      </c>
      <c r="P4" s="237" t="s">
        <v>133</v>
      </c>
      <c r="Q4" s="237" t="s">
        <v>134</v>
      </c>
      <c r="R4" s="237" t="s">
        <v>77</v>
      </c>
      <c r="S4" s="237" t="s">
        <v>135</v>
      </c>
      <c r="T4" s="237" t="s">
        <v>136</v>
      </c>
      <c r="U4" s="237" t="s">
        <v>137</v>
      </c>
      <c r="V4" s="237" t="s">
        <v>138</v>
      </c>
      <c r="W4" s="241" t="s">
        <v>139</v>
      </c>
      <c r="X4" s="225" t="s">
        <v>140</v>
      </c>
      <c r="Y4" s="237" t="s">
        <v>141</v>
      </c>
      <c r="Z4" s="237" t="s">
        <v>182</v>
      </c>
      <c r="AA4" s="237" t="s">
        <v>183</v>
      </c>
      <c r="AB4" s="237" t="s">
        <v>184</v>
      </c>
      <c r="AC4" s="237" t="s">
        <v>185</v>
      </c>
      <c r="AD4" s="237" t="s">
        <v>142</v>
      </c>
      <c r="AE4" s="238" t="s">
        <v>85</v>
      </c>
      <c r="AF4" s="238" t="s">
        <v>143</v>
      </c>
      <c r="AG4" s="238" t="s">
        <v>144</v>
      </c>
      <c r="AH4" s="237" t="s">
        <v>145</v>
      </c>
      <c r="AI4" s="237" t="s">
        <v>146</v>
      </c>
      <c r="AJ4" s="242" t="s">
        <v>147</v>
      </c>
      <c r="AK4" s="236" t="s">
        <v>154</v>
      </c>
      <c r="AL4" s="243" t="s">
        <v>155</v>
      </c>
      <c r="AM4" s="244" t="s">
        <v>156</v>
      </c>
      <c r="AN4" s="245" t="s">
        <v>157</v>
      </c>
      <c r="AO4" s="236" t="s">
        <v>155</v>
      </c>
      <c r="AP4" s="246" t="s">
        <v>156</v>
      </c>
      <c r="AQ4" s="243" t="s">
        <v>158</v>
      </c>
      <c r="AR4" s="243" t="s">
        <v>91</v>
      </c>
      <c r="AS4" s="244" t="s">
        <v>92</v>
      </c>
      <c r="AT4" s="236" t="s">
        <v>157</v>
      </c>
      <c r="AU4" s="236" t="s">
        <v>155</v>
      </c>
      <c r="AV4" s="246" t="s">
        <v>156</v>
      </c>
      <c r="AW4" s="236" t="s">
        <v>186</v>
      </c>
      <c r="AX4" s="236" t="s">
        <v>155</v>
      </c>
      <c r="AY4" s="246" t="s">
        <v>156</v>
      </c>
      <c r="AZ4" s="247"/>
      <c r="BA4" s="236" t="s">
        <v>161</v>
      </c>
      <c r="BB4" s="236" t="s">
        <v>162</v>
      </c>
      <c r="BC4" s="236" t="s">
        <v>163</v>
      </c>
      <c r="BD4" s="248" t="s">
        <v>164</v>
      </c>
      <c r="BE4" s="249" t="s">
        <v>165</v>
      </c>
      <c r="BF4" s="236" t="s">
        <v>140</v>
      </c>
      <c r="BG4" s="236" t="s">
        <v>166</v>
      </c>
      <c r="BH4" s="236" t="s">
        <v>155</v>
      </c>
      <c r="BI4" s="246" t="s">
        <v>156</v>
      </c>
      <c r="BJ4" s="236" t="s">
        <v>169</v>
      </c>
      <c r="BK4" s="236" t="s">
        <v>171</v>
      </c>
      <c r="BL4" s="236" t="s">
        <v>173</v>
      </c>
      <c r="BM4" s="243" t="s">
        <v>174</v>
      </c>
      <c r="BN4" s="246" t="s">
        <v>175</v>
      </c>
      <c r="BO4" s="236" t="s">
        <v>176</v>
      </c>
      <c r="BP4" s="236" t="s">
        <v>155</v>
      </c>
      <c r="BQ4" s="246" t="s">
        <v>156</v>
      </c>
      <c r="BR4" s="236" t="s">
        <v>181</v>
      </c>
      <c r="BS4" s="225" t="s">
        <v>179</v>
      </c>
    </row>
    <row r="5" ht="14.25" spans="1:71">
      <c r="A5" s="67" t="s">
        <v>187</v>
      </c>
      <c r="B5" s="3">
        <f t="shared" ref="B5:B65" si="0">COUNTIF(A:A,A5)</f>
        <v>1</v>
      </c>
      <c r="C5" s="3">
        <v>1</v>
      </c>
      <c r="D5" s="3"/>
      <c r="E5" s="67" t="s">
        <v>188</v>
      </c>
      <c r="F5" s="3">
        <v>202510</v>
      </c>
      <c r="G5" s="67" t="s">
        <v>189</v>
      </c>
      <c r="H5" s="67" t="s">
        <v>189</v>
      </c>
      <c r="I5" s="67" t="s">
        <v>190</v>
      </c>
      <c r="J5" s="67" t="s">
        <v>97</v>
      </c>
      <c r="K5" s="67" t="s">
        <v>187</v>
      </c>
      <c r="L5" s="67" t="s">
        <v>191</v>
      </c>
      <c r="M5" s="67"/>
      <c r="N5" s="67" t="s">
        <v>192</v>
      </c>
      <c r="O5" s="67">
        <v>1</v>
      </c>
      <c r="P5" s="67" t="s">
        <v>193</v>
      </c>
      <c r="Q5" s="67">
        <v>47.4</v>
      </c>
      <c r="R5" s="67" t="s">
        <v>194</v>
      </c>
      <c r="S5" s="67" t="s">
        <v>195</v>
      </c>
      <c r="T5" s="67" t="s">
        <v>196</v>
      </c>
      <c r="U5" s="67" t="str">
        <f>VLOOKUP(T5,[5]semitemu_order_export_251110144!$R:$S,2,0)</f>
        <v>PO-076-15674187067513743</v>
      </c>
      <c r="V5" s="67"/>
      <c r="W5" s="67" t="s">
        <v>197</v>
      </c>
      <c r="X5" s="67" t="s">
        <v>198</v>
      </c>
      <c r="Y5" s="67" t="s">
        <v>199</v>
      </c>
      <c r="Z5" s="67"/>
      <c r="AA5" s="67"/>
      <c r="AB5" s="67"/>
      <c r="AC5" s="67" t="s">
        <v>187</v>
      </c>
      <c r="AD5" s="67" t="s">
        <v>200</v>
      </c>
      <c r="AE5" s="4" t="s">
        <v>201</v>
      </c>
      <c r="AF5" s="3" t="s">
        <v>202</v>
      </c>
      <c r="AG5" s="3">
        <v>47.4</v>
      </c>
      <c r="AH5" s="3"/>
      <c r="AI5" s="67">
        <v>1</v>
      </c>
      <c r="AJ5" s="3">
        <f t="shared" ref="AJ5:AJ65" si="1">AI5*AG5</f>
        <v>47.4</v>
      </c>
      <c r="AK5" s="3">
        <f t="shared" ref="AK5:AK13" si="2">AI5</f>
        <v>1</v>
      </c>
      <c r="AL5" s="70">
        <v>4.85</v>
      </c>
      <c r="AM5" s="70">
        <f t="shared" ref="AM5:AM13" si="3">AL5*AK5</f>
        <v>4.85</v>
      </c>
      <c r="AN5" s="68"/>
      <c r="AO5" s="70"/>
      <c r="AP5" s="70">
        <f t="shared" ref="AP5:AP13" si="4">AO5*AN5</f>
        <v>0</v>
      </c>
      <c r="AQ5" s="212"/>
      <c r="AR5" s="213"/>
      <c r="AS5" s="70">
        <f t="shared" ref="AS5:AS13" si="5">AR5*AQ5</f>
        <v>0</v>
      </c>
      <c r="AT5" s="3"/>
      <c r="AU5" s="214"/>
      <c r="AV5" s="70">
        <f t="shared" ref="AV5:AV13" si="6">AU5*AT5</f>
        <v>0</v>
      </c>
      <c r="AW5" s="3">
        <f>O5</f>
        <v>1</v>
      </c>
      <c r="AX5" s="70">
        <v>3</v>
      </c>
      <c r="AY5" s="70">
        <f t="shared" ref="AY5:AY13" si="7">AX5*AW5</f>
        <v>3</v>
      </c>
      <c r="AZ5" s="215">
        <f>AM5+AP5+AS5+AV5+AY5</f>
        <v>7.85</v>
      </c>
      <c r="BA5" s="3">
        <v>1</v>
      </c>
      <c r="BB5" s="3">
        <f t="shared" ref="BB5:BB13" si="8">AJ5</f>
        <v>47.4</v>
      </c>
      <c r="BC5" s="3"/>
      <c r="BD5" s="3">
        <v>50</v>
      </c>
      <c r="BE5" s="76" t="str">
        <f t="shared" ref="BE5:BE13" si="9">W5</f>
        <v>45699</v>
      </c>
      <c r="BF5" s="3" t="str">
        <f t="shared" ref="BF5:BF13" si="10">X5</f>
        <v>Herten</v>
      </c>
      <c r="BG5" s="194" t="str">
        <f t="shared" ref="BG5:BG13" si="11">Y5</f>
        <v>DE</v>
      </c>
      <c r="BH5" s="194">
        <v>46.558575</v>
      </c>
      <c r="BI5" s="194">
        <f>BH5</f>
        <v>46.558575</v>
      </c>
      <c r="BJ5" s="194">
        <v>2.5</v>
      </c>
      <c r="BK5" s="194">
        <f t="shared" ref="BK5:BK13" si="12">0.024*BD5</f>
        <v>1.2</v>
      </c>
      <c r="BL5" s="194">
        <v>2.5</v>
      </c>
      <c r="BM5" s="194"/>
      <c r="BN5" s="194">
        <f t="shared" ref="BN5:BN13" si="13">SUM(BJ5:BM5)</f>
        <v>6.2</v>
      </c>
      <c r="BO5" s="195"/>
      <c r="BP5" s="194"/>
      <c r="BQ5" s="194">
        <f t="shared" ref="BQ5:BQ13" si="14">BO5*BP5</f>
        <v>0</v>
      </c>
      <c r="BR5" s="196">
        <f t="shared" ref="BR5:BR13" si="15">BI5+BN5+BQ5</f>
        <v>52.758575</v>
      </c>
      <c r="BS5" s="216">
        <f t="shared" ref="BS5:BS13" si="16">AZ5+BR5</f>
        <v>60.608575</v>
      </c>
    </row>
    <row r="6" ht="14.25" spans="1:71">
      <c r="A6" s="67" t="s">
        <v>203</v>
      </c>
      <c r="B6" s="3">
        <f t="shared" si="0"/>
        <v>1</v>
      </c>
      <c r="C6" s="3">
        <v>1</v>
      </c>
      <c r="D6" s="3"/>
      <c r="E6" s="67" t="s">
        <v>188</v>
      </c>
      <c r="F6" s="3">
        <v>202510</v>
      </c>
      <c r="G6" s="67" t="s">
        <v>189</v>
      </c>
      <c r="H6" s="67" t="s">
        <v>189</v>
      </c>
      <c r="I6" s="67" t="s">
        <v>190</v>
      </c>
      <c r="J6" s="67" t="s">
        <v>97</v>
      </c>
      <c r="K6" s="67" t="s">
        <v>203</v>
      </c>
      <c r="L6" s="67" t="s">
        <v>191</v>
      </c>
      <c r="M6" s="67"/>
      <c r="N6" s="67" t="s">
        <v>192</v>
      </c>
      <c r="O6" s="67">
        <v>1</v>
      </c>
      <c r="P6" s="67" t="s">
        <v>193</v>
      </c>
      <c r="Q6" s="67">
        <v>47.4</v>
      </c>
      <c r="R6" s="67" t="s">
        <v>194</v>
      </c>
      <c r="S6" s="67" t="s">
        <v>195</v>
      </c>
      <c r="T6" s="67" t="s">
        <v>204</v>
      </c>
      <c r="U6" s="67" t="str">
        <f>VLOOKUP(T6,[5]semitemu_order_export_251110144!$R:$S,2,0)</f>
        <v>PO-076-15674190083193743</v>
      </c>
      <c r="V6" s="67"/>
      <c r="W6" s="67" t="s">
        <v>197</v>
      </c>
      <c r="X6" s="67" t="s">
        <v>198</v>
      </c>
      <c r="Y6" s="67" t="s">
        <v>199</v>
      </c>
      <c r="Z6" s="67"/>
      <c r="AA6" s="67"/>
      <c r="AB6" s="67"/>
      <c r="AC6" s="67" t="s">
        <v>203</v>
      </c>
      <c r="AD6" s="67" t="s">
        <v>205</v>
      </c>
      <c r="AE6" s="4" t="s">
        <v>206</v>
      </c>
      <c r="AF6" s="3" t="s">
        <v>202</v>
      </c>
      <c r="AG6" s="3">
        <v>47.4</v>
      </c>
      <c r="AH6" s="3"/>
      <c r="AI6" s="67">
        <v>1</v>
      </c>
      <c r="AJ6" s="3">
        <f t="shared" si="1"/>
        <v>47.4</v>
      </c>
      <c r="AK6" s="3">
        <f t="shared" si="2"/>
        <v>1</v>
      </c>
      <c r="AL6" s="70">
        <v>4.85</v>
      </c>
      <c r="AM6" s="70">
        <f t="shared" si="3"/>
        <v>4.85</v>
      </c>
      <c r="AN6" s="68"/>
      <c r="AO6" s="70"/>
      <c r="AP6" s="70">
        <f t="shared" si="4"/>
        <v>0</v>
      </c>
      <c r="AQ6" s="212"/>
      <c r="AR6" s="213"/>
      <c r="AS6" s="70">
        <f t="shared" si="5"/>
        <v>0</v>
      </c>
      <c r="AT6" s="3"/>
      <c r="AU6" s="214"/>
      <c r="AV6" s="70">
        <f t="shared" si="6"/>
        <v>0</v>
      </c>
      <c r="AW6" s="3">
        <f t="shared" ref="AW5:AW13" si="17">O6</f>
        <v>1</v>
      </c>
      <c r="AX6" s="70">
        <v>3</v>
      </c>
      <c r="AY6" s="70">
        <f t="shared" si="7"/>
        <v>3</v>
      </c>
      <c r="AZ6" s="215">
        <f t="shared" ref="AZ5:AZ13" si="18">AM6+AP6+AS6+AV6+AY6</f>
        <v>7.85</v>
      </c>
      <c r="BA6" s="3">
        <v>1</v>
      </c>
      <c r="BB6" s="3">
        <f t="shared" si="8"/>
        <v>47.4</v>
      </c>
      <c r="BC6" s="3"/>
      <c r="BD6" s="3">
        <v>50</v>
      </c>
      <c r="BE6" s="76" t="str">
        <f t="shared" si="9"/>
        <v>45699</v>
      </c>
      <c r="BF6" s="3" t="str">
        <f t="shared" si="10"/>
        <v>Herten</v>
      </c>
      <c r="BG6" s="194" t="str">
        <f t="shared" si="11"/>
        <v>DE</v>
      </c>
      <c r="BH6" s="194">
        <v>46.558575</v>
      </c>
      <c r="BI6" s="194">
        <f t="shared" ref="BI6:BI65" si="19">BH6</f>
        <v>46.558575</v>
      </c>
      <c r="BJ6" s="194">
        <v>2.5</v>
      </c>
      <c r="BK6" s="194">
        <f t="shared" si="12"/>
        <v>1.2</v>
      </c>
      <c r="BL6" s="194">
        <v>2.5</v>
      </c>
      <c r="BM6" s="194"/>
      <c r="BN6" s="194">
        <f t="shared" si="13"/>
        <v>6.2</v>
      </c>
      <c r="BO6" s="195"/>
      <c r="BP6" s="194"/>
      <c r="BQ6" s="194">
        <f t="shared" si="14"/>
        <v>0</v>
      </c>
      <c r="BR6" s="196">
        <f t="shared" si="15"/>
        <v>52.758575</v>
      </c>
      <c r="BS6" s="216">
        <f t="shared" si="16"/>
        <v>60.608575</v>
      </c>
    </row>
    <row r="7" ht="14.25" spans="1:71">
      <c r="A7" s="67" t="s">
        <v>207</v>
      </c>
      <c r="B7" s="3">
        <f t="shared" si="0"/>
        <v>1</v>
      </c>
      <c r="C7" s="3">
        <v>1</v>
      </c>
      <c r="D7" s="3"/>
      <c r="E7" s="67" t="s">
        <v>188</v>
      </c>
      <c r="F7" s="3">
        <v>202510</v>
      </c>
      <c r="G7" s="67" t="s">
        <v>208</v>
      </c>
      <c r="H7" s="67" t="s">
        <v>208</v>
      </c>
      <c r="I7" s="67" t="s">
        <v>190</v>
      </c>
      <c r="J7" s="67" t="s">
        <v>97</v>
      </c>
      <c r="K7" s="67" t="s">
        <v>207</v>
      </c>
      <c r="L7" s="67" t="s">
        <v>191</v>
      </c>
      <c r="M7" s="67"/>
      <c r="N7" s="67" t="s">
        <v>192</v>
      </c>
      <c r="O7" s="67">
        <v>1</v>
      </c>
      <c r="P7" s="67" t="s">
        <v>193</v>
      </c>
      <c r="Q7" s="67">
        <v>47.4</v>
      </c>
      <c r="R7" s="67" t="s">
        <v>194</v>
      </c>
      <c r="S7" s="67" t="s">
        <v>195</v>
      </c>
      <c r="T7" s="67" t="s">
        <v>209</v>
      </c>
      <c r="U7" s="67" t="str">
        <f>VLOOKUP(T7,[5]semitemu_order_export_251110144!$R:$S,2,0)</f>
        <v>PO-076-07335299241592215</v>
      </c>
      <c r="V7" s="67"/>
      <c r="W7" s="67" t="s">
        <v>210</v>
      </c>
      <c r="X7" s="67" t="s">
        <v>211</v>
      </c>
      <c r="Y7" s="67" t="s">
        <v>199</v>
      </c>
      <c r="Z7" s="67"/>
      <c r="AA7" s="67"/>
      <c r="AB7" s="67"/>
      <c r="AC7" s="67" t="s">
        <v>207</v>
      </c>
      <c r="AD7" s="67" t="s">
        <v>212</v>
      </c>
      <c r="AE7" s="4" t="s">
        <v>213</v>
      </c>
      <c r="AF7" s="3" t="s">
        <v>202</v>
      </c>
      <c r="AG7" s="3">
        <v>47.4</v>
      </c>
      <c r="AH7" s="3"/>
      <c r="AI7" s="67">
        <v>1</v>
      </c>
      <c r="AJ7" s="3">
        <f t="shared" si="1"/>
        <v>47.4</v>
      </c>
      <c r="AK7" s="3">
        <f t="shared" si="2"/>
        <v>1</v>
      </c>
      <c r="AL7" s="70">
        <v>4.85</v>
      </c>
      <c r="AM7" s="70">
        <f t="shared" si="3"/>
        <v>4.85</v>
      </c>
      <c r="AN7" s="68"/>
      <c r="AO7" s="70"/>
      <c r="AP7" s="70">
        <f t="shared" si="4"/>
        <v>0</v>
      </c>
      <c r="AQ7" s="212"/>
      <c r="AR7" s="213"/>
      <c r="AS7" s="70">
        <f t="shared" si="5"/>
        <v>0</v>
      </c>
      <c r="AT7" s="3"/>
      <c r="AU7" s="214"/>
      <c r="AV7" s="70">
        <f t="shared" si="6"/>
        <v>0</v>
      </c>
      <c r="AW7" s="3">
        <f t="shared" si="17"/>
        <v>1</v>
      </c>
      <c r="AX7" s="70">
        <v>3</v>
      </c>
      <c r="AY7" s="70">
        <f t="shared" si="7"/>
        <v>3</v>
      </c>
      <c r="AZ7" s="215">
        <f t="shared" si="18"/>
        <v>7.85</v>
      </c>
      <c r="BA7" s="3">
        <v>1</v>
      </c>
      <c r="BB7" s="3">
        <f t="shared" si="8"/>
        <v>47.4</v>
      </c>
      <c r="BC7" s="3"/>
      <c r="BD7" s="3">
        <v>50</v>
      </c>
      <c r="BE7" s="250" t="str">
        <f t="shared" si="9"/>
        <v>17033</v>
      </c>
      <c r="BF7" s="3" t="str">
        <f t="shared" si="10"/>
        <v>Neubrandenburg</v>
      </c>
      <c r="BG7" s="194" t="str">
        <f t="shared" si="11"/>
        <v>DE</v>
      </c>
      <c r="BH7" s="194">
        <v>46.558575</v>
      </c>
      <c r="BI7" s="194">
        <f t="shared" si="19"/>
        <v>46.558575</v>
      </c>
      <c r="BJ7" s="194">
        <v>2.5</v>
      </c>
      <c r="BK7" s="194">
        <f t="shared" si="12"/>
        <v>1.2</v>
      </c>
      <c r="BL7" s="194">
        <v>2.5</v>
      </c>
      <c r="BM7" s="194">
        <v>9</v>
      </c>
      <c r="BN7" s="194">
        <f t="shared" si="13"/>
        <v>15.2</v>
      </c>
      <c r="BO7" s="195"/>
      <c r="BP7" s="194"/>
      <c r="BQ7" s="194">
        <f t="shared" si="14"/>
        <v>0</v>
      </c>
      <c r="BR7" s="196">
        <f t="shared" si="15"/>
        <v>61.758575</v>
      </c>
      <c r="BS7" s="216">
        <f t="shared" si="16"/>
        <v>69.608575</v>
      </c>
    </row>
    <row r="8" ht="14.25" spans="1:71">
      <c r="A8" s="67" t="s">
        <v>214</v>
      </c>
      <c r="B8" s="3">
        <f t="shared" si="0"/>
        <v>1</v>
      </c>
      <c r="C8" s="3">
        <v>1</v>
      </c>
      <c r="D8" s="3"/>
      <c r="E8" s="67" t="s">
        <v>188</v>
      </c>
      <c r="F8" s="3">
        <v>202510</v>
      </c>
      <c r="G8" s="67" t="s">
        <v>208</v>
      </c>
      <c r="H8" s="67" t="s">
        <v>208</v>
      </c>
      <c r="I8" s="67" t="s">
        <v>190</v>
      </c>
      <c r="J8" s="67" t="s">
        <v>97</v>
      </c>
      <c r="K8" s="67" t="s">
        <v>214</v>
      </c>
      <c r="L8" s="67" t="s">
        <v>191</v>
      </c>
      <c r="M8" s="67"/>
      <c r="N8" s="67" t="s">
        <v>192</v>
      </c>
      <c r="O8" s="67">
        <v>1</v>
      </c>
      <c r="P8" s="67" t="s">
        <v>193</v>
      </c>
      <c r="Q8" s="67">
        <v>47.4</v>
      </c>
      <c r="R8" s="67" t="s">
        <v>194</v>
      </c>
      <c r="S8" s="67" t="s">
        <v>195</v>
      </c>
      <c r="T8" s="67" t="s">
        <v>215</v>
      </c>
      <c r="U8" s="67" t="str">
        <f>VLOOKUP(T8,[5]semitemu_order_export_251110144!$R:$S,2,0)</f>
        <v>PO-076-07375657288312516</v>
      </c>
      <c r="V8" s="67"/>
      <c r="W8" s="67" t="s">
        <v>216</v>
      </c>
      <c r="X8" s="67" t="s">
        <v>217</v>
      </c>
      <c r="Y8" s="67" t="s">
        <v>199</v>
      </c>
      <c r="Z8" s="67"/>
      <c r="AA8" s="67"/>
      <c r="AB8" s="67"/>
      <c r="AC8" s="67" t="s">
        <v>214</v>
      </c>
      <c r="AD8" s="67" t="s">
        <v>212</v>
      </c>
      <c r="AE8" s="4" t="s">
        <v>213</v>
      </c>
      <c r="AF8" s="3" t="s">
        <v>202</v>
      </c>
      <c r="AG8" s="3">
        <v>47.4</v>
      </c>
      <c r="AH8" s="3"/>
      <c r="AI8" s="67">
        <v>1</v>
      </c>
      <c r="AJ8" s="3">
        <f t="shared" si="1"/>
        <v>47.4</v>
      </c>
      <c r="AK8" s="3">
        <f t="shared" si="2"/>
        <v>1</v>
      </c>
      <c r="AL8" s="70">
        <v>4.85</v>
      </c>
      <c r="AM8" s="70">
        <f t="shared" si="3"/>
        <v>4.85</v>
      </c>
      <c r="AN8" s="68"/>
      <c r="AO8" s="70"/>
      <c r="AP8" s="70">
        <f t="shared" si="4"/>
        <v>0</v>
      </c>
      <c r="AQ8" s="212"/>
      <c r="AR8" s="213"/>
      <c r="AS8" s="70">
        <f t="shared" si="5"/>
        <v>0</v>
      </c>
      <c r="AT8" s="3"/>
      <c r="AU8" s="214"/>
      <c r="AV8" s="70">
        <f t="shared" si="6"/>
        <v>0</v>
      </c>
      <c r="AW8" s="3">
        <f t="shared" si="17"/>
        <v>1</v>
      </c>
      <c r="AX8" s="70">
        <v>3</v>
      </c>
      <c r="AY8" s="70">
        <f t="shared" si="7"/>
        <v>3</v>
      </c>
      <c r="AZ8" s="215">
        <f t="shared" si="18"/>
        <v>7.85</v>
      </c>
      <c r="BA8" s="3">
        <v>1</v>
      </c>
      <c r="BB8" s="3">
        <f t="shared" si="8"/>
        <v>47.4</v>
      </c>
      <c r="BC8" s="3"/>
      <c r="BD8" s="3">
        <v>50</v>
      </c>
      <c r="BE8" s="76" t="str">
        <f t="shared" si="9"/>
        <v>86169</v>
      </c>
      <c r="BF8" s="3" t="str">
        <f t="shared" si="10"/>
        <v>Augsburg</v>
      </c>
      <c r="BG8" s="194" t="str">
        <f t="shared" si="11"/>
        <v>DE</v>
      </c>
      <c r="BH8" s="194">
        <v>46.558575</v>
      </c>
      <c r="BI8" s="194">
        <f t="shared" si="19"/>
        <v>46.558575</v>
      </c>
      <c r="BJ8" s="194">
        <v>2.5</v>
      </c>
      <c r="BK8" s="194">
        <f t="shared" si="12"/>
        <v>1.2</v>
      </c>
      <c r="BL8" s="194">
        <v>2.5</v>
      </c>
      <c r="BM8" s="194"/>
      <c r="BN8" s="194">
        <f t="shared" si="13"/>
        <v>6.2</v>
      </c>
      <c r="BO8" s="195"/>
      <c r="BP8" s="194"/>
      <c r="BQ8" s="194">
        <f t="shared" si="14"/>
        <v>0</v>
      </c>
      <c r="BR8" s="196">
        <f t="shared" si="15"/>
        <v>52.758575</v>
      </c>
      <c r="BS8" s="216">
        <f t="shared" si="16"/>
        <v>60.608575</v>
      </c>
    </row>
    <row r="9" ht="14.25" spans="1:71">
      <c r="A9" s="67" t="s">
        <v>218</v>
      </c>
      <c r="B9" s="3">
        <f t="shared" si="0"/>
        <v>1</v>
      </c>
      <c r="C9" s="3">
        <v>1</v>
      </c>
      <c r="D9" s="3"/>
      <c r="E9" s="67" t="s">
        <v>188</v>
      </c>
      <c r="F9" s="3">
        <v>202510</v>
      </c>
      <c r="G9" s="67" t="s">
        <v>208</v>
      </c>
      <c r="H9" s="67" t="s">
        <v>208</v>
      </c>
      <c r="I9" s="67" t="s">
        <v>190</v>
      </c>
      <c r="J9" s="67" t="s">
        <v>97</v>
      </c>
      <c r="K9" s="67" t="s">
        <v>218</v>
      </c>
      <c r="L9" s="67" t="s">
        <v>191</v>
      </c>
      <c r="M9" s="67"/>
      <c r="N9" s="67" t="s">
        <v>192</v>
      </c>
      <c r="O9" s="67">
        <v>1</v>
      </c>
      <c r="P9" s="67" t="s">
        <v>193</v>
      </c>
      <c r="Q9" s="67">
        <v>47.4</v>
      </c>
      <c r="R9" s="67" t="s">
        <v>194</v>
      </c>
      <c r="S9" s="67" t="s">
        <v>195</v>
      </c>
      <c r="T9" s="67" t="s">
        <v>219</v>
      </c>
      <c r="U9" s="67" t="str">
        <f>VLOOKUP(T9,[5]semitemu_order_export_251110144!$R:$S,2,0)</f>
        <v>PO-076-07324324385912278</v>
      </c>
      <c r="V9" s="67"/>
      <c r="W9" s="67" t="s">
        <v>220</v>
      </c>
      <c r="X9" s="67" t="s">
        <v>221</v>
      </c>
      <c r="Y9" s="67" t="s">
        <v>199</v>
      </c>
      <c r="Z9" s="67"/>
      <c r="AA9" s="67"/>
      <c r="AB9" s="67"/>
      <c r="AC9" s="67" t="s">
        <v>218</v>
      </c>
      <c r="AD9" s="67" t="s">
        <v>212</v>
      </c>
      <c r="AE9" s="4" t="s">
        <v>213</v>
      </c>
      <c r="AF9" s="3" t="s">
        <v>202</v>
      </c>
      <c r="AG9" s="3">
        <v>47.4</v>
      </c>
      <c r="AH9" s="3"/>
      <c r="AI9" s="67">
        <v>1</v>
      </c>
      <c r="AJ9" s="3">
        <f t="shared" si="1"/>
        <v>47.4</v>
      </c>
      <c r="AK9" s="3">
        <f t="shared" si="2"/>
        <v>1</v>
      </c>
      <c r="AL9" s="70">
        <v>4.85</v>
      </c>
      <c r="AM9" s="70">
        <f t="shared" si="3"/>
        <v>4.85</v>
      </c>
      <c r="AN9" s="68"/>
      <c r="AO9" s="70"/>
      <c r="AP9" s="70">
        <f t="shared" si="4"/>
        <v>0</v>
      </c>
      <c r="AQ9" s="212"/>
      <c r="AR9" s="213"/>
      <c r="AS9" s="70">
        <f t="shared" si="5"/>
        <v>0</v>
      </c>
      <c r="AT9" s="3"/>
      <c r="AU9" s="214"/>
      <c r="AV9" s="70">
        <f t="shared" si="6"/>
        <v>0</v>
      </c>
      <c r="AW9" s="3">
        <f t="shared" si="17"/>
        <v>1</v>
      </c>
      <c r="AX9" s="70">
        <v>3</v>
      </c>
      <c r="AY9" s="70">
        <f t="shared" si="7"/>
        <v>3</v>
      </c>
      <c r="AZ9" s="215">
        <f t="shared" si="18"/>
        <v>7.85</v>
      </c>
      <c r="BA9" s="3">
        <v>1</v>
      </c>
      <c r="BB9" s="3">
        <f t="shared" si="8"/>
        <v>47.4</v>
      </c>
      <c r="BC9" s="3"/>
      <c r="BD9" s="3">
        <v>50</v>
      </c>
      <c r="BE9" s="76" t="str">
        <f t="shared" si="9"/>
        <v>8626</v>
      </c>
      <c r="BF9" s="3" t="str">
        <f t="shared" si="10"/>
        <v>Adorf/Vogtl.</v>
      </c>
      <c r="BG9" s="194" t="str">
        <f t="shared" si="11"/>
        <v>DE</v>
      </c>
      <c r="BH9" s="194">
        <v>46.558575</v>
      </c>
      <c r="BI9" s="194">
        <f t="shared" si="19"/>
        <v>46.558575</v>
      </c>
      <c r="BJ9" s="194">
        <v>2.5</v>
      </c>
      <c r="BK9" s="194">
        <f t="shared" si="12"/>
        <v>1.2</v>
      </c>
      <c r="BL9" s="194">
        <v>2.5</v>
      </c>
      <c r="BM9" s="194"/>
      <c r="BN9" s="194">
        <f t="shared" si="13"/>
        <v>6.2</v>
      </c>
      <c r="BO9" s="195"/>
      <c r="BP9" s="194"/>
      <c r="BQ9" s="194">
        <f t="shared" si="14"/>
        <v>0</v>
      </c>
      <c r="BR9" s="196">
        <f t="shared" si="15"/>
        <v>52.758575</v>
      </c>
      <c r="BS9" s="216">
        <f t="shared" si="16"/>
        <v>60.608575</v>
      </c>
    </row>
    <row r="10" ht="14.25" spans="1:71">
      <c r="A10" s="67" t="s">
        <v>222</v>
      </c>
      <c r="B10" s="3">
        <f t="shared" si="0"/>
        <v>1</v>
      </c>
      <c r="C10" s="3">
        <v>1</v>
      </c>
      <c r="D10" s="3"/>
      <c r="E10" s="67" t="s">
        <v>188</v>
      </c>
      <c r="F10" s="3">
        <v>202510</v>
      </c>
      <c r="G10" s="67" t="s">
        <v>208</v>
      </c>
      <c r="H10" s="67" t="s">
        <v>208</v>
      </c>
      <c r="I10" s="67" t="s">
        <v>190</v>
      </c>
      <c r="J10" s="67" t="s">
        <v>97</v>
      </c>
      <c r="K10" s="67" t="s">
        <v>222</v>
      </c>
      <c r="L10" s="67" t="s">
        <v>191</v>
      </c>
      <c r="M10" s="67"/>
      <c r="N10" s="67" t="s">
        <v>192</v>
      </c>
      <c r="O10" s="67">
        <v>1</v>
      </c>
      <c r="P10" s="67" t="s">
        <v>193</v>
      </c>
      <c r="Q10" s="67">
        <v>47.4</v>
      </c>
      <c r="R10" s="67" t="s">
        <v>194</v>
      </c>
      <c r="S10" s="67" t="s">
        <v>195</v>
      </c>
      <c r="T10" s="67" t="s">
        <v>223</v>
      </c>
      <c r="U10" s="67" t="str">
        <f>VLOOKUP(T10,[5]semitemu_order_export_251110144!$R:$S,2,0)</f>
        <v>PO-076-12849033505912372</v>
      </c>
      <c r="V10" s="67"/>
      <c r="W10" s="67" t="s">
        <v>224</v>
      </c>
      <c r="X10" s="67" t="s">
        <v>225</v>
      </c>
      <c r="Y10" s="67" t="s">
        <v>199</v>
      </c>
      <c r="Z10" s="67"/>
      <c r="AA10" s="67"/>
      <c r="AB10" s="67"/>
      <c r="AC10" s="67" t="s">
        <v>222</v>
      </c>
      <c r="AD10" s="67" t="s">
        <v>200</v>
      </c>
      <c r="AE10" s="4" t="s">
        <v>201</v>
      </c>
      <c r="AF10" s="3" t="s">
        <v>202</v>
      </c>
      <c r="AG10" s="3">
        <v>47.4</v>
      </c>
      <c r="AH10" s="3"/>
      <c r="AI10" s="67">
        <v>1</v>
      </c>
      <c r="AJ10" s="3">
        <f t="shared" si="1"/>
        <v>47.4</v>
      </c>
      <c r="AK10" s="3">
        <f t="shared" si="2"/>
        <v>1</v>
      </c>
      <c r="AL10" s="70">
        <v>4.85</v>
      </c>
      <c r="AM10" s="70">
        <f t="shared" si="3"/>
        <v>4.85</v>
      </c>
      <c r="AN10" s="68"/>
      <c r="AO10" s="70"/>
      <c r="AP10" s="70">
        <f t="shared" si="4"/>
        <v>0</v>
      </c>
      <c r="AQ10" s="212"/>
      <c r="AR10" s="213"/>
      <c r="AS10" s="70">
        <f t="shared" si="5"/>
        <v>0</v>
      </c>
      <c r="AT10" s="3"/>
      <c r="AU10" s="214"/>
      <c r="AV10" s="70">
        <f t="shared" si="6"/>
        <v>0</v>
      </c>
      <c r="AW10" s="3">
        <f t="shared" si="17"/>
        <v>1</v>
      </c>
      <c r="AX10" s="70">
        <v>3</v>
      </c>
      <c r="AY10" s="70">
        <f t="shared" si="7"/>
        <v>3</v>
      </c>
      <c r="AZ10" s="215">
        <f t="shared" si="18"/>
        <v>7.85</v>
      </c>
      <c r="BA10" s="3">
        <v>1</v>
      </c>
      <c r="BB10" s="3">
        <f t="shared" si="8"/>
        <v>47.4</v>
      </c>
      <c r="BC10" s="3"/>
      <c r="BD10" s="3">
        <v>50</v>
      </c>
      <c r="BE10" s="76" t="str">
        <f t="shared" si="9"/>
        <v>65618</v>
      </c>
      <c r="BF10" s="3" t="str">
        <f t="shared" si="10"/>
        <v>Selters (taunus)</v>
      </c>
      <c r="BG10" s="194" t="str">
        <f t="shared" si="11"/>
        <v>DE</v>
      </c>
      <c r="BH10" s="194">
        <v>46.558575</v>
      </c>
      <c r="BI10" s="194">
        <f t="shared" si="19"/>
        <v>46.558575</v>
      </c>
      <c r="BJ10" s="194">
        <v>2.5</v>
      </c>
      <c r="BK10" s="194">
        <f t="shared" si="12"/>
        <v>1.2</v>
      </c>
      <c r="BL10" s="194">
        <v>2.5</v>
      </c>
      <c r="BM10" s="194"/>
      <c r="BN10" s="194">
        <f t="shared" si="13"/>
        <v>6.2</v>
      </c>
      <c r="BO10" s="195"/>
      <c r="BP10" s="194"/>
      <c r="BQ10" s="194">
        <f t="shared" si="14"/>
        <v>0</v>
      </c>
      <c r="BR10" s="196">
        <f t="shared" si="15"/>
        <v>52.758575</v>
      </c>
      <c r="BS10" s="216">
        <f t="shared" si="16"/>
        <v>60.608575</v>
      </c>
    </row>
    <row r="11" ht="14.25" spans="1:71">
      <c r="A11" s="67" t="s">
        <v>226</v>
      </c>
      <c r="B11" s="3">
        <f t="shared" si="0"/>
        <v>1</v>
      </c>
      <c r="C11" s="3">
        <v>1</v>
      </c>
      <c r="D11" s="3"/>
      <c r="E11" s="67" t="s">
        <v>188</v>
      </c>
      <c r="F11" s="3">
        <v>202510</v>
      </c>
      <c r="G11" s="67" t="s">
        <v>208</v>
      </c>
      <c r="H11" s="67" t="s">
        <v>208</v>
      </c>
      <c r="I11" s="67" t="s">
        <v>190</v>
      </c>
      <c r="J11" s="67" t="s">
        <v>97</v>
      </c>
      <c r="K11" s="67" t="s">
        <v>226</v>
      </c>
      <c r="L11" s="67" t="s">
        <v>191</v>
      </c>
      <c r="M11" s="67"/>
      <c r="N11" s="67" t="s">
        <v>192</v>
      </c>
      <c r="O11" s="67">
        <v>1</v>
      </c>
      <c r="P11" s="67" t="s">
        <v>193</v>
      </c>
      <c r="Q11" s="67">
        <v>47.4</v>
      </c>
      <c r="R11" s="67" t="s">
        <v>194</v>
      </c>
      <c r="S11" s="67" t="s">
        <v>195</v>
      </c>
      <c r="T11" s="67" t="s">
        <v>227</v>
      </c>
      <c r="U11" s="67" t="str">
        <f>VLOOKUP(T11,[5]semitemu_order_export_251110144!$R:$S,2,0)</f>
        <v>PO-076-13025640325753368</v>
      </c>
      <c r="V11" s="67"/>
      <c r="W11" s="67" t="s">
        <v>228</v>
      </c>
      <c r="X11" s="67" t="s">
        <v>229</v>
      </c>
      <c r="Y11" s="67" t="s">
        <v>199</v>
      </c>
      <c r="Z11" s="67"/>
      <c r="AA11" s="67"/>
      <c r="AB11" s="67"/>
      <c r="AC11" s="67" t="s">
        <v>226</v>
      </c>
      <c r="AD11" s="67" t="s">
        <v>212</v>
      </c>
      <c r="AE11" s="4" t="s">
        <v>213</v>
      </c>
      <c r="AF11" s="3" t="s">
        <v>202</v>
      </c>
      <c r="AG11" s="3">
        <v>47.4</v>
      </c>
      <c r="AH11" s="3"/>
      <c r="AI11" s="67">
        <v>1</v>
      </c>
      <c r="AJ11" s="3">
        <f t="shared" si="1"/>
        <v>47.4</v>
      </c>
      <c r="AK11" s="3">
        <f t="shared" si="2"/>
        <v>1</v>
      </c>
      <c r="AL11" s="70">
        <v>4.85</v>
      </c>
      <c r="AM11" s="70">
        <f t="shared" si="3"/>
        <v>4.85</v>
      </c>
      <c r="AN11" s="68"/>
      <c r="AO11" s="70"/>
      <c r="AP11" s="70">
        <f t="shared" si="4"/>
        <v>0</v>
      </c>
      <c r="AQ11" s="212"/>
      <c r="AR11" s="213"/>
      <c r="AS11" s="70">
        <f t="shared" si="5"/>
        <v>0</v>
      </c>
      <c r="AT11" s="3"/>
      <c r="AU11" s="214"/>
      <c r="AV11" s="70">
        <f t="shared" si="6"/>
        <v>0</v>
      </c>
      <c r="AW11" s="3">
        <f t="shared" si="17"/>
        <v>1</v>
      </c>
      <c r="AX11" s="70">
        <v>3</v>
      </c>
      <c r="AY11" s="70">
        <f t="shared" si="7"/>
        <v>3</v>
      </c>
      <c r="AZ11" s="215">
        <f t="shared" si="18"/>
        <v>7.85</v>
      </c>
      <c r="BA11" s="3">
        <v>1</v>
      </c>
      <c r="BB11" s="3">
        <f t="shared" si="8"/>
        <v>47.4</v>
      </c>
      <c r="BC11" s="3"/>
      <c r="BD11" s="3">
        <v>50</v>
      </c>
      <c r="BE11" s="76" t="str">
        <f t="shared" si="9"/>
        <v>47226</v>
      </c>
      <c r="BF11" s="3" t="str">
        <f t="shared" si="10"/>
        <v>Duisburg</v>
      </c>
      <c r="BG11" s="194" t="str">
        <f t="shared" si="11"/>
        <v>DE</v>
      </c>
      <c r="BH11" s="194">
        <v>46.558575</v>
      </c>
      <c r="BI11" s="194">
        <f t="shared" si="19"/>
        <v>46.558575</v>
      </c>
      <c r="BJ11" s="194">
        <v>2.5</v>
      </c>
      <c r="BK11" s="194">
        <f t="shared" si="12"/>
        <v>1.2</v>
      </c>
      <c r="BL11" s="194">
        <v>2.5</v>
      </c>
      <c r="BM11" s="194"/>
      <c r="BN11" s="194">
        <f t="shared" si="13"/>
        <v>6.2</v>
      </c>
      <c r="BO11" s="195"/>
      <c r="BP11" s="194"/>
      <c r="BQ11" s="194">
        <f t="shared" si="14"/>
        <v>0</v>
      </c>
      <c r="BR11" s="196">
        <f t="shared" si="15"/>
        <v>52.758575</v>
      </c>
      <c r="BS11" s="216">
        <f t="shared" si="16"/>
        <v>60.608575</v>
      </c>
    </row>
    <row r="12" ht="14.25" spans="1:71">
      <c r="A12" s="67" t="s">
        <v>230</v>
      </c>
      <c r="B12" s="3">
        <f t="shared" si="0"/>
        <v>1</v>
      </c>
      <c r="C12" s="3">
        <v>1</v>
      </c>
      <c r="D12" s="3"/>
      <c r="E12" s="67" t="s">
        <v>188</v>
      </c>
      <c r="F12" s="3">
        <v>202510</v>
      </c>
      <c r="G12" s="67" t="s">
        <v>208</v>
      </c>
      <c r="H12" s="67" t="s">
        <v>208</v>
      </c>
      <c r="I12" s="67" t="s">
        <v>231</v>
      </c>
      <c r="J12" s="67" t="s">
        <v>97</v>
      </c>
      <c r="K12" s="67" t="s">
        <v>230</v>
      </c>
      <c r="L12" s="67" t="s">
        <v>191</v>
      </c>
      <c r="M12" s="67"/>
      <c r="N12" s="67" t="s">
        <v>192</v>
      </c>
      <c r="O12" s="67">
        <v>1</v>
      </c>
      <c r="P12" s="67" t="s">
        <v>193</v>
      </c>
      <c r="Q12" s="67">
        <v>47.4</v>
      </c>
      <c r="R12" s="67" t="s">
        <v>194</v>
      </c>
      <c r="S12" s="67" t="s">
        <v>195</v>
      </c>
      <c r="T12" s="67" t="s">
        <v>232</v>
      </c>
      <c r="U12" s="67" t="str">
        <f>VLOOKUP(T12,[5]semitemu_order_export_251110144!$R:$S,2,0)</f>
        <v>PO-076-12663615570551207</v>
      </c>
      <c r="V12" s="67"/>
      <c r="W12" s="67" t="s">
        <v>233</v>
      </c>
      <c r="X12" s="67" t="s">
        <v>234</v>
      </c>
      <c r="Y12" s="67" t="s">
        <v>199</v>
      </c>
      <c r="Z12" s="67"/>
      <c r="AA12" s="67"/>
      <c r="AB12" s="67"/>
      <c r="AC12" s="67" t="s">
        <v>230</v>
      </c>
      <c r="AD12" s="67" t="s">
        <v>205</v>
      </c>
      <c r="AE12" s="4" t="s">
        <v>206</v>
      </c>
      <c r="AF12" s="3" t="s">
        <v>202</v>
      </c>
      <c r="AG12" s="3">
        <v>47.4</v>
      </c>
      <c r="AH12" s="3"/>
      <c r="AI12" s="67">
        <v>1</v>
      </c>
      <c r="AJ12" s="3">
        <f t="shared" si="1"/>
        <v>47.4</v>
      </c>
      <c r="AK12" s="3">
        <f t="shared" si="2"/>
        <v>1</v>
      </c>
      <c r="AL12" s="70">
        <v>4.85</v>
      </c>
      <c r="AM12" s="70">
        <f t="shared" si="3"/>
        <v>4.85</v>
      </c>
      <c r="AN12" s="68"/>
      <c r="AO12" s="70"/>
      <c r="AP12" s="70">
        <f t="shared" si="4"/>
        <v>0</v>
      </c>
      <c r="AQ12" s="212"/>
      <c r="AR12" s="213"/>
      <c r="AS12" s="70">
        <f t="shared" si="5"/>
        <v>0</v>
      </c>
      <c r="AT12" s="3"/>
      <c r="AU12" s="214"/>
      <c r="AV12" s="70">
        <f t="shared" si="6"/>
        <v>0</v>
      </c>
      <c r="AW12" s="3">
        <f t="shared" si="17"/>
        <v>1</v>
      </c>
      <c r="AX12" s="70">
        <v>3</v>
      </c>
      <c r="AY12" s="70">
        <f t="shared" si="7"/>
        <v>3</v>
      </c>
      <c r="AZ12" s="215">
        <f t="shared" si="18"/>
        <v>7.85</v>
      </c>
      <c r="BA12" s="3">
        <v>1</v>
      </c>
      <c r="BB12" s="3">
        <f t="shared" si="8"/>
        <v>47.4</v>
      </c>
      <c r="BC12" s="3"/>
      <c r="BD12" s="3">
        <v>50</v>
      </c>
      <c r="BE12" s="76" t="str">
        <f t="shared" si="9"/>
        <v>10997</v>
      </c>
      <c r="BF12" s="251" t="str">
        <f t="shared" si="10"/>
        <v>Berlin</v>
      </c>
      <c r="BG12" s="194" t="str">
        <f t="shared" si="11"/>
        <v>DE</v>
      </c>
      <c r="BH12" s="194">
        <v>46.558575</v>
      </c>
      <c r="BI12" s="194">
        <f t="shared" si="19"/>
        <v>46.558575</v>
      </c>
      <c r="BJ12" s="194">
        <v>2.5</v>
      </c>
      <c r="BK12" s="194">
        <f t="shared" si="12"/>
        <v>1.2</v>
      </c>
      <c r="BL12" s="194">
        <v>2.5</v>
      </c>
      <c r="BM12" s="194">
        <v>7.8</v>
      </c>
      <c r="BN12" s="194">
        <f t="shared" si="13"/>
        <v>14</v>
      </c>
      <c r="BO12" s="195"/>
      <c r="BP12" s="194"/>
      <c r="BQ12" s="194">
        <f t="shared" si="14"/>
        <v>0</v>
      </c>
      <c r="BR12" s="196">
        <f t="shared" si="15"/>
        <v>60.558575</v>
      </c>
      <c r="BS12" s="216">
        <f t="shared" si="16"/>
        <v>68.408575</v>
      </c>
    </row>
    <row r="13" ht="14.25" spans="1:71">
      <c r="A13" s="67" t="s">
        <v>235</v>
      </c>
      <c r="B13" s="3">
        <f t="shared" si="0"/>
        <v>1</v>
      </c>
      <c r="C13" s="3">
        <v>1</v>
      </c>
      <c r="D13" s="3"/>
      <c r="E13" s="67" t="s">
        <v>188</v>
      </c>
      <c r="F13" s="3">
        <v>202510</v>
      </c>
      <c r="G13" s="67" t="s">
        <v>208</v>
      </c>
      <c r="H13" s="67" t="s">
        <v>208</v>
      </c>
      <c r="I13" s="67" t="s">
        <v>190</v>
      </c>
      <c r="J13" s="67" t="s">
        <v>97</v>
      </c>
      <c r="K13" s="67" t="s">
        <v>235</v>
      </c>
      <c r="L13" s="67" t="s">
        <v>191</v>
      </c>
      <c r="M13" s="67"/>
      <c r="N13" s="67" t="s">
        <v>192</v>
      </c>
      <c r="O13" s="67">
        <v>1</v>
      </c>
      <c r="P13" s="67" t="s">
        <v>193</v>
      </c>
      <c r="Q13" s="67">
        <v>47.4</v>
      </c>
      <c r="R13" s="67" t="s">
        <v>194</v>
      </c>
      <c r="S13" s="67" t="s">
        <v>195</v>
      </c>
      <c r="T13" s="67" t="s">
        <v>236</v>
      </c>
      <c r="U13" s="67" t="str">
        <f>VLOOKUP(T13,[5]semitemu_order_export_251110144!$R:$S,2,0)</f>
        <v>PO-076-12550580616311625</v>
      </c>
      <c r="V13" s="67"/>
      <c r="W13" s="67" t="s">
        <v>237</v>
      </c>
      <c r="X13" s="67" t="s">
        <v>238</v>
      </c>
      <c r="Y13" s="67" t="s">
        <v>199</v>
      </c>
      <c r="Z13" s="67"/>
      <c r="AA13" s="67"/>
      <c r="AB13" s="67"/>
      <c r="AC13" s="67" t="s">
        <v>235</v>
      </c>
      <c r="AD13" s="67" t="s">
        <v>212</v>
      </c>
      <c r="AE13" s="4" t="s">
        <v>213</v>
      </c>
      <c r="AF13" s="3" t="s">
        <v>202</v>
      </c>
      <c r="AG13" s="3">
        <v>47.4</v>
      </c>
      <c r="AH13" s="3"/>
      <c r="AI13" s="67">
        <v>1</v>
      </c>
      <c r="AJ13" s="3">
        <f t="shared" si="1"/>
        <v>47.4</v>
      </c>
      <c r="AK13" s="3">
        <f t="shared" si="2"/>
        <v>1</v>
      </c>
      <c r="AL13" s="70">
        <v>4.85</v>
      </c>
      <c r="AM13" s="70">
        <f t="shared" si="3"/>
        <v>4.85</v>
      </c>
      <c r="AN13" s="68"/>
      <c r="AO13" s="70"/>
      <c r="AP13" s="70">
        <f t="shared" si="4"/>
        <v>0</v>
      </c>
      <c r="AQ13" s="212"/>
      <c r="AR13" s="213"/>
      <c r="AS13" s="70">
        <f t="shared" si="5"/>
        <v>0</v>
      </c>
      <c r="AT13" s="3"/>
      <c r="AU13" s="214"/>
      <c r="AV13" s="70">
        <f t="shared" si="6"/>
        <v>0</v>
      </c>
      <c r="AW13" s="3">
        <f t="shared" si="17"/>
        <v>1</v>
      </c>
      <c r="AX13" s="70">
        <v>3</v>
      </c>
      <c r="AY13" s="70">
        <f t="shared" si="7"/>
        <v>3</v>
      </c>
      <c r="AZ13" s="215">
        <f t="shared" si="18"/>
        <v>7.85</v>
      </c>
      <c r="BA13" s="3">
        <v>1</v>
      </c>
      <c r="BB13" s="3">
        <f t="shared" si="8"/>
        <v>47.4</v>
      </c>
      <c r="BC13" s="3"/>
      <c r="BD13" s="3">
        <v>50</v>
      </c>
      <c r="BE13" s="76" t="str">
        <f t="shared" si="9"/>
        <v>78073</v>
      </c>
      <c r="BF13" s="3" t="str">
        <f t="shared" si="10"/>
        <v>Bad Dürrheim</v>
      </c>
      <c r="BG13" s="194" t="str">
        <f t="shared" si="11"/>
        <v>DE</v>
      </c>
      <c r="BH13" s="194">
        <v>46.558575</v>
      </c>
      <c r="BI13" s="194">
        <f t="shared" si="19"/>
        <v>46.558575</v>
      </c>
      <c r="BJ13" s="194">
        <v>2.5</v>
      </c>
      <c r="BK13" s="194">
        <f t="shared" si="12"/>
        <v>1.2</v>
      </c>
      <c r="BL13" s="194">
        <v>2.5</v>
      </c>
      <c r="BM13" s="194"/>
      <c r="BN13" s="194">
        <f t="shared" si="13"/>
        <v>6.2</v>
      </c>
      <c r="BO13" s="195"/>
      <c r="BP13" s="194"/>
      <c r="BQ13" s="194">
        <f t="shared" si="14"/>
        <v>0</v>
      </c>
      <c r="BR13" s="196">
        <f t="shared" si="15"/>
        <v>52.758575</v>
      </c>
      <c r="BS13" s="216">
        <f t="shared" si="16"/>
        <v>60.608575</v>
      </c>
    </row>
    <row r="14" ht="14.25" spans="1:71">
      <c r="A14" s="67" t="s">
        <v>239</v>
      </c>
      <c r="B14" s="3">
        <f t="shared" si="0"/>
        <v>1</v>
      </c>
      <c r="C14" s="3">
        <v>1</v>
      </c>
      <c r="D14" s="3"/>
      <c r="E14" s="67" t="s">
        <v>188</v>
      </c>
      <c r="F14" s="3">
        <v>202510</v>
      </c>
      <c r="G14" s="67" t="s">
        <v>208</v>
      </c>
      <c r="H14" s="67" t="s">
        <v>208</v>
      </c>
      <c r="I14" s="67" t="s">
        <v>190</v>
      </c>
      <c r="J14" s="67" t="s">
        <v>97</v>
      </c>
      <c r="K14" s="67" t="s">
        <v>239</v>
      </c>
      <c r="L14" s="67" t="s">
        <v>191</v>
      </c>
      <c r="M14" s="67"/>
      <c r="N14" s="67" t="s">
        <v>192</v>
      </c>
      <c r="O14" s="67">
        <v>1</v>
      </c>
      <c r="P14" s="67" t="s">
        <v>193</v>
      </c>
      <c r="Q14" s="67">
        <v>47.4</v>
      </c>
      <c r="R14" s="67" t="s">
        <v>194</v>
      </c>
      <c r="S14" s="67" t="s">
        <v>195</v>
      </c>
      <c r="T14" s="67" t="s">
        <v>240</v>
      </c>
      <c r="U14" s="67" t="str">
        <f>VLOOKUP(T14,[5]semitemu_order_export_251110144!$R:$S,2,0)</f>
        <v>PO-076-13035591900793564</v>
      </c>
      <c r="V14" s="67"/>
      <c r="W14" s="67" t="s">
        <v>241</v>
      </c>
      <c r="X14" s="67" t="s">
        <v>242</v>
      </c>
      <c r="Y14" s="67" t="s">
        <v>199</v>
      </c>
      <c r="Z14" s="67"/>
      <c r="AA14" s="67"/>
      <c r="AB14" s="67"/>
      <c r="AC14" s="67" t="s">
        <v>239</v>
      </c>
      <c r="AD14" s="67" t="s">
        <v>243</v>
      </c>
      <c r="AE14" s="4" t="s">
        <v>244</v>
      </c>
      <c r="AF14" s="3" t="s">
        <v>202</v>
      </c>
      <c r="AG14" s="3">
        <v>47.4</v>
      </c>
      <c r="AH14" s="3"/>
      <c r="AI14" s="67">
        <v>1</v>
      </c>
      <c r="AJ14" s="3">
        <f t="shared" si="1"/>
        <v>47.4</v>
      </c>
      <c r="AK14" s="3">
        <f t="shared" ref="AK14:AK71" si="20">AI14</f>
        <v>1</v>
      </c>
      <c r="AL14" s="70">
        <v>4.85</v>
      </c>
      <c r="AM14" s="70">
        <f t="shared" ref="AM14:AM71" si="21">AL14*AK14</f>
        <v>4.85</v>
      </c>
      <c r="AN14" s="68"/>
      <c r="AO14" s="70"/>
      <c r="AP14" s="70">
        <f t="shared" ref="AP14:AP71" si="22">AO14*AN14</f>
        <v>0</v>
      </c>
      <c r="AQ14" s="212"/>
      <c r="AR14" s="213"/>
      <c r="AS14" s="70">
        <f t="shared" ref="AS14:AS71" si="23">AR14*AQ14</f>
        <v>0</v>
      </c>
      <c r="AT14" s="3"/>
      <c r="AU14" s="214"/>
      <c r="AV14" s="70">
        <f t="shared" ref="AV14:AV71" si="24">AU14*AT14</f>
        <v>0</v>
      </c>
      <c r="AW14" s="3">
        <f t="shared" ref="AW14:AW71" si="25">O14</f>
        <v>1</v>
      </c>
      <c r="AX14" s="70">
        <v>3</v>
      </c>
      <c r="AY14" s="70">
        <f t="shared" ref="AY14:AY71" si="26">AX14*AW14</f>
        <v>3</v>
      </c>
      <c r="AZ14" s="215">
        <f t="shared" ref="AZ14:AZ71" si="27">AM14+AP14+AS14+AV14+AY14</f>
        <v>7.85</v>
      </c>
      <c r="BA14" s="3">
        <v>1</v>
      </c>
      <c r="BB14" s="3">
        <f t="shared" ref="BB14:BB71" si="28">AJ14</f>
        <v>47.4</v>
      </c>
      <c r="BC14" s="3"/>
      <c r="BD14" s="3">
        <v>50</v>
      </c>
      <c r="BE14" s="76" t="str">
        <f t="shared" ref="BE14:BE71" si="29">W14</f>
        <v>52399</v>
      </c>
      <c r="BF14" s="3" t="str">
        <f t="shared" ref="BF14:BF71" si="30">X14</f>
        <v>Merzenich</v>
      </c>
      <c r="BG14" s="194" t="str">
        <f t="shared" ref="BG14:BG71" si="31">Y14</f>
        <v>DE</v>
      </c>
      <c r="BH14" s="194">
        <v>46.558575</v>
      </c>
      <c r="BI14" s="194">
        <f t="shared" si="19"/>
        <v>46.558575</v>
      </c>
      <c r="BJ14" s="194">
        <v>2.5</v>
      </c>
      <c r="BK14" s="194">
        <f t="shared" ref="BK14:BK71" si="32">0.024*BD14</f>
        <v>1.2</v>
      </c>
      <c r="BL14" s="194">
        <v>2.5</v>
      </c>
      <c r="BM14" s="194"/>
      <c r="BN14" s="194">
        <f t="shared" ref="BN14:BN71" si="33">SUM(BJ14:BM14)</f>
        <v>6.2</v>
      </c>
      <c r="BO14" s="195"/>
      <c r="BP14" s="194"/>
      <c r="BQ14" s="194">
        <f t="shared" ref="BQ14:BQ71" si="34">BO14*BP14</f>
        <v>0</v>
      </c>
      <c r="BR14" s="196">
        <f t="shared" ref="BR14:BR71" si="35">BI14+BN14+BQ14</f>
        <v>52.758575</v>
      </c>
      <c r="BS14" s="216">
        <f t="shared" ref="BS14:BS71" si="36">AZ14+BR14</f>
        <v>60.608575</v>
      </c>
    </row>
    <row r="15" ht="14.25" spans="1:71">
      <c r="A15" s="67" t="s">
        <v>245</v>
      </c>
      <c r="B15" s="3">
        <f t="shared" si="0"/>
        <v>1</v>
      </c>
      <c r="C15" s="3">
        <v>1</v>
      </c>
      <c r="D15" s="3"/>
      <c r="E15" s="67" t="s">
        <v>188</v>
      </c>
      <c r="F15" s="3">
        <v>202510</v>
      </c>
      <c r="G15" s="67" t="s">
        <v>208</v>
      </c>
      <c r="H15" s="67" t="s">
        <v>208</v>
      </c>
      <c r="I15" s="67" t="s">
        <v>190</v>
      </c>
      <c r="J15" s="67" t="s">
        <v>97</v>
      </c>
      <c r="K15" s="67" t="s">
        <v>245</v>
      </c>
      <c r="L15" s="67" t="s">
        <v>191</v>
      </c>
      <c r="M15" s="67"/>
      <c r="N15" s="67" t="s">
        <v>192</v>
      </c>
      <c r="O15" s="67">
        <v>1</v>
      </c>
      <c r="P15" s="67" t="s">
        <v>193</v>
      </c>
      <c r="Q15" s="67">
        <v>47.4</v>
      </c>
      <c r="R15" s="67" t="s">
        <v>194</v>
      </c>
      <c r="S15" s="67" t="s">
        <v>195</v>
      </c>
      <c r="T15" s="67" t="s">
        <v>246</v>
      </c>
      <c r="U15" s="67" t="str">
        <f>VLOOKUP(T15,[5]semitemu_order_export_251110144!$R:$S,2,0)</f>
        <v>PO-076-01386897395830548</v>
      </c>
      <c r="V15" s="67"/>
      <c r="W15" s="67" t="s">
        <v>247</v>
      </c>
      <c r="X15" s="67" t="s">
        <v>248</v>
      </c>
      <c r="Y15" s="67" t="s">
        <v>199</v>
      </c>
      <c r="Z15" s="67"/>
      <c r="AA15" s="67"/>
      <c r="AB15" s="67"/>
      <c r="AC15" s="67" t="s">
        <v>245</v>
      </c>
      <c r="AD15" s="67" t="s">
        <v>243</v>
      </c>
      <c r="AE15" s="4" t="s">
        <v>244</v>
      </c>
      <c r="AF15" s="3" t="s">
        <v>202</v>
      </c>
      <c r="AG15" s="3">
        <v>47.4</v>
      </c>
      <c r="AH15" s="3"/>
      <c r="AI15" s="67">
        <v>1</v>
      </c>
      <c r="AJ15" s="3">
        <f t="shared" si="1"/>
        <v>47.4</v>
      </c>
      <c r="AK15" s="3">
        <f t="shared" si="20"/>
        <v>1</v>
      </c>
      <c r="AL15" s="70">
        <v>4.85</v>
      </c>
      <c r="AM15" s="70">
        <f t="shared" si="21"/>
        <v>4.85</v>
      </c>
      <c r="AN15" s="68"/>
      <c r="AO15" s="70"/>
      <c r="AP15" s="70">
        <f t="shared" si="22"/>
        <v>0</v>
      </c>
      <c r="AQ15" s="212"/>
      <c r="AR15" s="213"/>
      <c r="AS15" s="70">
        <f t="shared" si="23"/>
        <v>0</v>
      </c>
      <c r="AT15" s="3"/>
      <c r="AU15" s="214"/>
      <c r="AV15" s="70">
        <f t="shared" si="24"/>
        <v>0</v>
      </c>
      <c r="AW15" s="3">
        <f t="shared" si="25"/>
        <v>1</v>
      </c>
      <c r="AX15" s="70">
        <v>3</v>
      </c>
      <c r="AY15" s="70">
        <f t="shared" si="26"/>
        <v>3</v>
      </c>
      <c r="AZ15" s="215">
        <f t="shared" si="27"/>
        <v>7.85</v>
      </c>
      <c r="BA15" s="3">
        <v>1</v>
      </c>
      <c r="BB15" s="3">
        <f t="shared" si="28"/>
        <v>47.4</v>
      </c>
      <c r="BC15" s="3"/>
      <c r="BD15" s="3">
        <v>50</v>
      </c>
      <c r="BE15" s="76" t="str">
        <f t="shared" si="29"/>
        <v>21073</v>
      </c>
      <c r="BF15" s="251" t="str">
        <f t="shared" si="30"/>
        <v>Hamburg</v>
      </c>
      <c r="BG15" s="194" t="str">
        <f t="shared" si="31"/>
        <v>DE</v>
      </c>
      <c r="BH15" s="194">
        <v>46.558575</v>
      </c>
      <c r="BI15" s="194">
        <f t="shared" si="19"/>
        <v>46.558575</v>
      </c>
      <c r="BJ15" s="194">
        <v>2.5</v>
      </c>
      <c r="BK15" s="194">
        <f t="shared" si="32"/>
        <v>1.2</v>
      </c>
      <c r="BL15" s="194">
        <v>2.5</v>
      </c>
      <c r="BM15" s="194">
        <v>7.8</v>
      </c>
      <c r="BN15" s="194">
        <f t="shared" si="33"/>
        <v>14</v>
      </c>
      <c r="BO15" s="195"/>
      <c r="BP15" s="194"/>
      <c r="BQ15" s="194">
        <f t="shared" si="34"/>
        <v>0</v>
      </c>
      <c r="BR15" s="196">
        <f t="shared" si="35"/>
        <v>60.558575</v>
      </c>
      <c r="BS15" s="216">
        <f t="shared" si="36"/>
        <v>68.408575</v>
      </c>
    </row>
    <row r="16" ht="14.25" spans="1:71">
      <c r="A16" s="67" t="s">
        <v>249</v>
      </c>
      <c r="B16" s="3">
        <f t="shared" si="0"/>
        <v>1</v>
      </c>
      <c r="C16" s="3">
        <v>1</v>
      </c>
      <c r="D16" s="3"/>
      <c r="E16" s="67" t="s">
        <v>188</v>
      </c>
      <c r="F16" s="3">
        <v>202510</v>
      </c>
      <c r="G16" s="67" t="s">
        <v>208</v>
      </c>
      <c r="H16" s="67" t="s">
        <v>208</v>
      </c>
      <c r="I16" s="67" t="s">
        <v>190</v>
      </c>
      <c r="J16" s="67" t="s">
        <v>97</v>
      </c>
      <c r="K16" s="67" t="s">
        <v>249</v>
      </c>
      <c r="L16" s="67" t="s">
        <v>191</v>
      </c>
      <c r="M16" s="67"/>
      <c r="N16" s="67" t="s">
        <v>192</v>
      </c>
      <c r="O16" s="67">
        <v>1</v>
      </c>
      <c r="P16" s="67" t="s">
        <v>193</v>
      </c>
      <c r="Q16" s="67">
        <v>47.4</v>
      </c>
      <c r="R16" s="67" t="s">
        <v>194</v>
      </c>
      <c r="S16" s="67" t="s">
        <v>195</v>
      </c>
      <c r="T16" s="67" t="s">
        <v>250</v>
      </c>
      <c r="U16" s="67" t="str">
        <f>VLOOKUP(T16,[5]semitemu_order_export_251110144!$R:$S,2,0)</f>
        <v>PO-076-01536533002870424</v>
      </c>
      <c r="V16" s="67"/>
      <c r="W16" s="67" t="s">
        <v>251</v>
      </c>
      <c r="X16" s="67" t="s">
        <v>252</v>
      </c>
      <c r="Y16" s="67" t="s">
        <v>199</v>
      </c>
      <c r="Z16" s="67"/>
      <c r="AA16" s="67"/>
      <c r="AB16" s="67"/>
      <c r="AC16" s="67" t="s">
        <v>249</v>
      </c>
      <c r="AD16" s="67" t="s">
        <v>200</v>
      </c>
      <c r="AE16" s="4" t="s">
        <v>201</v>
      </c>
      <c r="AF16" s="3" t="s">
        <v>202</v>
      </c>
      <c r="AG16" s="3">
        <v>47.4</v>
      </c>
      <c r="AH16" s="3"/>
      <c r="AI16" s="67">
        <v>1</v>
      </c>
      <c r="AJ16" s="3">
        <f t="shared" si="1"/>
        <v>47.4</v>
      </c>
      <c r="AK16" s="3">
        <f t="shared" si="20"/>
        <v>1</v>
      </c>
      <c r="AL16" s="70">
        <v>4.85</v>
      </c>
      <c r="AM16" s="70">
        <f t="shared" si="21"/>
        <v>4.85</v>
      </c>
      <c r="AN16" s="68"/>
      <c r="AO16" s="70"/>
      <c r="AP16" s="70">
        <f t="shared" si="22"/>
        <v>0</v>
      </c>
      <c r="AQ16" s="212"/>
      <c r="AR16" s="213"/>
      <c r="AS16" s="70">
        <f t="shared" si="23"/>
        <v>0</v>
      </c>
      <c r="AT16" s="3"/>
      <c r="AU16" s="214"/>
      <c r="AV16" s="70">
        <f t="shared" si="24"/>
        <v>0</v>
      </c>
      <c r="AW16" s="3">
        <f t="shared" si="25"/>
        <v>1</v>
      </c>
      <c r="AX16" s="70">
        <v>3</v>
      </c>
      <c r="AY16" s="70">
        <f t="shared" si="26"/>
        <v>3</v>
      </c>
      <c r="AZ16" s="215">
        <f t="shared" si="27"/>
        <v>7.85</v>
      </c>
      <c r="BA16" s="3">
        <v>1</v>
      </c>
      <c r="BB16" s="3">
        <f t="shared" si="28"/>
        <v>47.4</v>
      </c>
      <c r="BC16" s="3"/>
      <c r="BD16" s="3">
        <v>50</v>
      </c>
      <c r="BE16" s="76" t="str">
        <f t="shared" si="29"/>
        <v>37120</v>
      </c>
      <c r="BF16" s="3" t="str">
        <f t="shared" si="30"/>
        <v>Bovenden</v>
      </c>
      <c r="BG16" s="194" t="str">
        <f t="shared" si="31"/>
        <v>DE</v>
      </c>
      <c r="BH16" s="194">
        <v>46.558575</v>
      </c>
      <c r="BI16" s="194">
        <f t="shared" si="19"/>
        <v>46.558575</v>
      </c>
      <c r="BJ16" s="194">
        <v>2.5</v>
      </c>
      <c r="BK16" s="194">
        <f t="shared" si="32"/>
        <v>1.2</v>
      </c>
      <c r="BL16" s="194">
        <v>2.5</v>
      </c>
      <c r="BM16" s="194"/>
      <c r="BN16" s="194">
        <f t="shared" si="33"/>
        <v>6.2</v>
      </c>
      <c r="BO16" s="195"/>
      <c r="BP16" s="194"/>
      <c r="BQ16" s="194">
        <f t="shared" si="34"/>
        <v>0</v>
      </c>
      <c r="BR16" s="196">
        <f t="shared" si="35"/>
        <v>52.758575</v>
      </c>
      <c r="BS16" s="216">
        <f t="shared" si="36"/>
        <v>60.608575</v>
      </c>
    </row>
    <row r="17" ht="14.25" spans="1:71">
      <c r="A17" s="67" t="s">
        <v>253</v>
      </c>
      <c r="B17" s="3">
        <f t="shared" si="0"/>
        <v>1</v>
      </c>
      <c r="C17" s="3">
        <v>1</v>
      </c>
      <c r="D17" s="3"/>
      <c r="E17" s="67" t="s">
        <v>188</v>
      </c>
      <c r="F17" s="3">
        <v>202510</v>
      </c>
      <c r="G17" s="67" t="s">
        <v>208</v>
      </c>
      <c r="H17" s="67" t="s">
        <v>208</v>
      </c>
      <c r="I17" s="67" t="s">
        <v>190</v>
      </c>
      <c r="J17" s="67" t="s">
        <v>97</v>
      </c>
      <c r="K17" s="67" t="s">
        <v>253</v>
      </c>
      <c r="L17" s="67" t="s">
        <v>191</v>
      </c>
      <c r="M17" s="67"/>
      <c r="N17" s="67" t="s">
        <v>192</v>
      </c>
      <c r="O17" s="67">
        <v>1</v>
      </c>
      <c r="P17" s="67" t="s">
        <v>193</v>
      </c>
      <c r="Q17" s="67">
        <v>47.4</v>
      </c>
      <c r="R17" s="67" t="s">
        <v>194</v>
      </c>
      <c r="S17" s="67" t="s">
        <v>195</v>
      </c>
      <c r="T17" s="67" t="s">
        <v>254</v>
      </c>
      <c r="U17" s="67" t="str">
        <f>VLOOKUP(T17,[5]semitemu_order_export_251110144!$R:$S,2,0)</f>
        <v>PO-076-10112202624632335</v>
      </c>
      <c r="V17" s="67"/>
      <c r="W17" s="67" t="s">
        <v>255</v>
      </c>
      <c r="X17" s="67" t="s">
        <v>256</v>
      </c>
      <c r="Y17" s="67" t="s">
        <v>199</v>
      </c>
      <c r="Z17" s="67"/>
      <c r="AA17" s="67"/>
      <c r="AB17" s="67"/>
      <c r="AC17" s="67" t="s">
        <v>253</v>
      </c>
      <c r="AD17" s="67" t="s">
        <v>212</v>
      </c>
      <c r="AE17" s="4" t="s">
        <v>213</v>
      </c>
      <c r="AF17" s="3" t="s">
        <v>202</v>
      </c>
      <c r="AG17" s="3">
        <v>47.4</v>
      </c>
      <c r="AH17" s="3"/>
      <c r="AI17" s="67">
        <v>1</v>
      </c>
      <c r="AJ17" s="3">
        <f t="shared" si="1"/>
        <v>47.4</v>
      </c>
      <c r="AK17" s="3">
        <f t="shared" si="20"/>
        <v>1</v>
      </c>
      <c r="AL17" s="70">
        <v>4.85</v>
      </c>
      <c r="AM17" s="70">
        <f t="shared" si="21"/>
        <v>4.85</v>
      </c>
      <c r="AN17" s="68"/>
      <c r="AO17" s="70"/>
      <c r="AP17" s="70">
        <f t="shared" si="22"/>
        <v>0</v>
      </c>
      <c r="AQ17" s="212"/>
      <c r="AR17" s="213"/>
      <c r="AS17" s="70">
        <f t="shared" si="23"/>
        <v>0</v>
      </c>
      <c r="AT17" s="3"/>
      <c r="AU17" s="214"/>
      <c r="AV17" s="70">
        <f t="shared" si="24"/>
        <v>0</v>
      </c>
      <c r="AW17" s="3">
        <f t="shared" si="25"/>
        <v>1</v>
      </c>
      <c r="AX17" s="70">
        <v>3</v>
      </c>
      <c r="AY17" s="70">
        <f t="shared" si="26"/>
        <v>3</v>
      </c>
      <c r="AZ17" s="215">
        <f t="shared" si="27"/>
        <v>7.85</v>
      </c>
      <c r="BA17" s="3">
        <v>1</v>
      </c>
      <c r="BB17" s="3">
        <f t="shared" si="28"/>
        <v>47.4</v>
      </c>
      <c r="BC17" s="3"/>
      <c r="BD17" s="3">
        <v>50</v>
      </c>
      <c r="BE17" s="76" t="str">
        <f t="shared" si="29"/>
        <v>23758</v>
      </c>
      <c r="BF17" s="3" t="str">
        <f t="shared" si="30"/>
        <v>Oldenburg in Holstein</v>
      </c>
      <c r="BG17" s="194" t="str">
        <f t="shared" si="31"/>
        <v>DE</v>
      </c>
      <c r="BH17" s="194">
        <v>46.558575</v>
      </c>
      <c r="BI17" s="194">
        <f t="shared" si="19"/>
        <v>46.558575</v>
      </c>
      <c r="BJ17" s="194">
        <v>2.5</v>
      </c>
      <c r="BK17" s="194">
        <f t="shared" si="32"/>
        <v>1.2</v>
      </c>
      <c r="BL17" s="194">
        <v>2.5</v>
      </c>
      <c r="BM17" s="194"/>
      <c r="BN17" s="194">
        <f t="shared" si="33"/>
        <v>6.2</v>
      </c>
      <c r="BO17" s="195"/>
      <c r="BP17" s="194"/>
      <c r="BQ17" s="194">
        <f t="shared" si="34"/>
        <v>0</v>
      </c>
      <c r="BR17" s="196">
        <f t="shared" si="35"/>
        <v>52.758575</v>
      </c>
      <c r="BS17" s="216">
        <f t="shared" si="36"/>
        <v>60.608575</v>
      </c>
    </row>
    <row r="18" ht="14.25" spans="1:71">
      <c r="A18" s="67" t="s">
        <v>257</v>
      </c>
      <c r="B18" s="3">
        <f t="shared" si="0"/>
        <v>1</v>
      </c>
      <c r="C18" s="3">
        <v>1</v>
      </c>
      <c r="D18" s="3"/>
      <c r="E18" s="67" t="s">
        <v>188</v>
      </c>
      <c r="F18" s="3">
        <v>202510</v>
      </c>
      <c r="G18" s="67" t="s">
        <v>208</v>
      </c>
      <c r="H18" s="67" t="s">
        <v>208</v>
      </c>
      <c r="I18" s="67" t="s">
        <v>190</v>
      </c>
      <c r="J18" s="67" t="s">
        <v>97</v>
      </c>
      <c r="K18" s="67" t="s">
        <v>257</v>
      </c>
      <c r="L18" s="67" t="s">
        <v>191</v>
      </c>
      <c r="M18" s="67"/>
      <c r="N18" s="67" t="s">
        <v>192</v>
      </c>
      <c r="O18" s="67">
        <v>1</v>
      </c>
      <c r="P18" s="67" t="s">
        <v>193</v>
      </c>
      <c r="Q18" s="67">
        <v>47.4</v>
      </c>
      <c r="R18" s="67" t="s">
        <v>194</v>
      </c>
      <c r="S18" s="67" t="s">
        <v>195</v>
      </c>
      <c r="T18" s="67" t="s">
        <v>258</v>
      </c>
      <c r="U18" s="67" t="str">
        <f>VLOOKUP(T18,[5]semitemu_order_export_251110144!$R:$S,2,0)</f>
        <v>PO-076-10112202624632335</v>
      </c>
      <c r="V18" s="67"/>
      <c r="W18" s="67" t="s">
        <v>255</v>
      </c>
      <c r="X18" s="67" t="s">
        <v>256</v>
      </c>
      <c r="Y18" s="67" t="s">
        <v>199</v>
      </c>
      <c r="Z18" s="67"/>
      <c r="AA18" s="67"/>
      <c r="AB18" s="67"/>
      <c r="AC18" s="67" t="s">
        <v>257</v>
      </c>
      <c r="AD18" s="67" t="s">
        <v>212</v>
      </c>
      <c r="AE18" s="4" t="s">
        <v>213</v>
      </c>
      <c r="AF18" s="3" t="s">
        <v>202</v>
      </c>
      <c r="AG18" s="3">
        <v>47.4</v>
      </c>
      <c r="AH18" s="3"/>
      <c r="AI18" s="67">
        <v>1</v>
      </c>
      <c r="AJ18" s="3">
        <f t="shared" si="1"/>
        <v>47.4</v>
      </c>
      <c r="AK18" s="3">
        <f t="shared" si="20"/>
        <v>1</v>
      </c>
      <c r="AL18" s="70">
        <v>4.85</v>
      </c>
      <c r="AM18" s="70">
        <f t="shared" si="21"/>
        <v>4.85</v>
      </c>
      <c r="AN18" s="68"/>
      <c r="AO18" s="70"/>
      <c r="AP18" s="70">
        <f t="shared" si="22"/>
        <v>0</v>
      </c>
      <c r="AQ18" s="212"/>
      <c r="AR18" s="213"/>
      <c r="AS18" s="70">
        <f t="shared" si="23"/>
        <v>0</v>
      </c>
      <c r="AT18" s="3"/>
      <c r="AU18" s="214"/>
      <c r="AV18" s="70">
        <f t="shared" si="24"/>
        <v>0</v>
      </c>
      <c r="AW18" s="3">
        <f t="shared" si="25"/>
        <v>1</v>
      </c>
      <c r="AX18" s="70">
        <v>3</v>
      </c>
      <c r="AY18" s="70">
        <f t="shared" si="26"/>
        <v>3</v>
      </c>
      <c r="AZ18" s="215">
        <f t="shared" si="27"/>
        <v>7.85</v>
      </c>
      <c r="BA18" s="3">
        <v>1</v>
      </c>
      <c r="BB18" s="3">
        <f t="shared" si="28"/>
        <v>47.4</v>
      </c>
      <c r="BC18" s="3"/>
      <c r="BD18" s="3">
        <v>50</v>
      </c>
      <c r="BE18" s="76" t="str">
        <f t="shared" si="29"/>
        <v>23758</v>
      </c>
      <c r="BF18" s="3" t="str">
        <f t="shared" si="30"/>
        <v>Oldenburg in Holstein</v>
      </c>
      <c r="BG18" s="194" t="str">
        <f t="shared" si="31"/>
        <v>DE</v>
      </c>
      <c r="BH18" s="194">
        <v>46.558575</v>
      </c>
      <c r="BI18" s="194">
        <f t="shared" si="19"/>
        <v>46.558575</v>
      </c>
      <c r="BJ18" s="194">
        <v>2.5</v>
      </c>
      <c r="BK18" s="194">
        <f t="shared" si="32"/>
        <v>1.2</v>
      </c>
      <c r="BL18" s="194">
        <v>2.5</v>
      </c>
      <c r="BM18" s="194"/>
      <c r="BN18" s="194">
        <f t="shared" si="33"/>
        <v>6.2</v>
      </c>
      <c r="BO18" s="195"/>
      <c r="BP18" s="194"/>
      <c r="BQ18" s="194">
        <f t="shared" si="34"/>
        <v>0</v>
      </c>
      <c r="BR18" s="196">
        <f t="shared" si="35"/>
        <v>52.758575</v>
      </c>
      <c r="BS18" s="216">
        <f t="shared" si="36"/>
        <v>60.608575</v>
      </c>
    </row>
    <row r="19" ht="14.25" spans="1:71">
      <c r="A19" s="67" t="s">
        <v>259</v>
      </c>
      <c r="B19" s="3">
        <f t="shared" si="0"/>
        <v>1</v>
      </c>
      <c r="C19" s="3">
        <v>1</v>
      </c>
      <c r="D19" s="3"/>
      <c r="E19" s="67" t="s">
        <v>188</v>
      </c>
      <c r="F19" s="3">
        <v>202510</v>
      </c>
      <c r="G19" s="67" t="s">
        <v>208</v>
      </c>
      <c r="H19" s="67" t="s">
        <v>208</v>
      </c>
      <c r="I19" s="67" t="s">
        <v>190</v>
      </c>
      <c r="J19" s="67" t="s">
        <v>97</v>
      </c>
      <c r="K19" s="67" t="s">
        <v>259</v>
      </c>
      <c r="L19" s="67" t="s">
        <v>191</v>
      </c>
      <c r="M19" s="67"/>
      <c r="N19" s="67" t="s">
        <v>192</v>
      </c>
      <c r="O19" s="67">
        <v>1</v>
      </c>
      <c r="P19" s="67" t="s">
        <v>193</v>
      </c>
      <c r="Q19" s="67">
        <v>47.4</v>
      </c>
      <c r="R19" s="67" t="s">
        <v>194</v>
      </c>
      <c r="S19" s="67" t="s">
        <v>195</v>
      </c>
      <c r="T19" s="67" t="s">
        <v>260</v>
      </c>
      <c r="U19" s="67" t="str">
        <f>VLOOKUP(T19,[5]semitemu_order_export_251110144!$R:$S,2,0)</f>
        <v>PO-076-10197391601273843</v>
      </c>
      <c r="V19" s="67"/>
      <c r="W19" s="67" t="s">
        <v>261</v>
      </c>
      <c r="X19" s="67" t="s">
        <v>262</v>
      </c>
      <c r="Y19" s="67" t="s">
        <v>199</v>
      </c>
      <c r="Z19" s="67"/>
      <c r="AA19" s="67"/>
      <c r="AB19" s="67"/>
      <c r="AC19" s="67" t="s">
        <v>259</v>
      </c>
      <c r="AD19" s="67" t="s">
        <v>212</v>
      </c>
      <c r="AE19" s="4" t="s">
        <v>213</v>
      </c>
      <c r="AF19" s="3" t="s">
        <v>202</v>
      </c>
      <c r="AG19" s="3">
        <v>47.4</v>
      </c>
      <c r="AH19" s="3"/>
      <c r="AI19" s="67">
        <v>1</v>
      </c>
      <c r="AJ19" s="3">
        <f t="shared" si="1"/>
        <v>47.4</v>
      </c>
      <c r="AK19" s="3">
        <f t="shared" si="20"/>
        <v>1</v>
      </c>
      <c r="AL19" s="70">
        <v>4.85</v>
      </c>
      <c r="AM19" s="70">
        <f t="shared" si="21"/>
        <v>4.85</v>
      </c>
      <c r="AN19" s="68"/>
      <c r="AO19" s="70"/>
      <c r="AP19" s="70">
        <f t="shared" si="22"/>
        <v>0</v>
      </c>
      <c r="AQ19" s="212"/>
      <c r="AR19" s="213"/>
      <c r="AS19" s="70">
        <f t="shared" si="23"/>
        <v>0</v>
      </c>
      <c r="AT19" s="3"/>
      <c r="AU19" s="214"/>
      <c r="AV19" s="70">
        <f t="shared" si="24"/>
        <v>0</v>
      </c>
      <c r="AW19" s="3">
        <f t="shared" si="25"/>
        <v>1</v>
      </c>
      <c r="AX19" s="70">
        <v>3</v>
      </c>
      <c r="AY19" s="70">
        <f t="shared" si="26"/>
        <v>3</v>
      </c>
      <c r="AZ19" s="215">
        <f t="shared" si="27"/>
        <v>7.85</v>
      </c>
      <c r="BA19" s="3">
        <v>1</v>
      </c>
      <c r="BB19" s="3">
        <f t="shared" si="28"/>
        <v>47.4</v>
      </c>
      <c r="BC19" s="3"/>
      <c r="BD19" s="3">
        <v>50</v>
      </c>
      <c r="BE19" s="76" t="str">
        <f t="shared" si="29"/>
        <v>93170</v>
      </c>
      <c r="BF19" s="3" t="str">
        <f t="shared" si="30"/>
        <v>Bernhardswald</v>
      </c>
      <c r="BG19" s="194" t="str">
        <f t="shared" si="31"/>
        <v>DE</v>
      </c>
      <c r="BH19" s="194">
        <v>46.558575</v>
      </c>
      <c r="BI19" s="194">
        <f t="shared" si="19"/>
        <v>46.558575</v>
      </c>
      <c r="BJ19" s="194">
        <v>2.5</v>
      </c>
      <c r="BK19" s="194">
        <f t="shared" si="32"/>
        <v>1.2</v>
      </c>
      <c r="BL19" s="194">
        <v>2.5</v>
      </c>
      <c r="BM19" s="194"/>
      <c r="BN19" s="194">
        <f t="shared" si="33"/>
        <v>6.2</v>
      </c>
      <c r="BO19" s="195"/>
      <c r="BP19" s="194"/>
      <c r="BQ19" s="194">
        <f t="shared" si="34"/>
        <v>0</v>
      </c>
      <c r="BR19" s="196">
        <f t="shared" si="35"/>
        <v>52.758575</v>
      </c>
      <c r="BS19" s="216">
        <f t="shared" si="36"/>
        <v>60.608575</v>
      </c>
    </row>
    <row r="20" ht="14.25" spans="1:71">
      <c r="A20" s="67" t="s">
        <v>263</v>
      </c>
      <c r="B20" s="3">
        <f t="shared" si="0"/>
        <v>1</v>
      </c>
      <c r="C20" s="3">
        <v>1</v>
      </c>
      <c r="D20" s="3"/>
      <c r="E20" s="67" t="s">
        <v>188</v>
      </c>
      <c r="F20" s="3">
        <v>202510</v>
      </c>
      <c r="G20" s="67" t="s">
        <v>208</v>
      </c>
      <c r="H20" s="67" t="s">
        <v>208</v>
      </c>
      <c r="I20" s="67" t="s">
        <v>190</v>
      </c>
      <c r="J20" s="67" t="s">
        <v>97</v>
      </c>
      <c r="K20" s="67" t="s">
        <v>263</v>
      </c>
      <c r="L20" s="67" t="s">
        <v>191</v>
      </c>
      <c r="M20" s="67"/>
      <c r="N20" s="67" t="s">
        <v>192</v>
      </c>
      <c r="O20" s="67">
        <v>1</v>
      </c>
      <c r="P20" s="67" t="s">
        <v>193</v>
      </c>
      <c r="Q20" s="67">
        <v>47.4</v>
      </c>
      <c r="R20" s="67" t="s">
        <v>194</v>
      </c>
      <c r="S20" s="67" t="s">
        <v>195</v>
      </c>
      <c r="T20" s="67" t="s">
        <v>264</v>
      </c>
      <c r="U20" s="67" t="str">
        <f>VLOOKUP(T20,[5]semitemu_order_export_251110144!$R:$S,2,0)</f>
        <v>PO-076-10100283011192372</v>
      </c>
      <c r="V20" s="67"/>
      <c r="W20" s="67" t="s">
        <v>224</v>
      </c>
      <c r="X20" s="67" t="s">
        <v>225</v>
      </c>
      <c r="Y20" s="67" t="s">
        <v>199</v>
      </c>
      <c r="Z20" s="67"/>
      <c r="AA20" s="67"/>
      <c r="AB20" s="67"/>
      <c r="AC20" s="67" t="s">
        <v>263</v>
      </c>
      <c r="AD20" s="67" t="s">
        <v>212</v>
      </c>
      <c r="AE20" s="4" t="s">
        <v>213</v>
      </c>
      <c r="AF20" s="3" t="s">
        <v>202</v>
      </c>
      <c r="AG20" s="3">
        <v>47.4</v>
      </c>
      <c r="AH20" s="3"/>
      <c r="AI20" s="67">
        <v>1</v>
      </c>
      <c r="AJ20" s="3">
        <f t="shared" si="1"/>
        <v>47.4</v>
      </c>
      <c r="AK20" s="3">
        <f t="shared" si="20"/>
        <v>1</v>
      </c>
      <c r="AL20" s="70">
        <v>4.85</v>
      </c>
      <c r="AM20" s="70">
        <f t="shared" si="21"/>
        <v>4.85</v>
      </c>
      <c r="AN20" s="68"/>
      <c r="AO20" s="70"/>
      <c r="AP20" s="70">
        <f t="shared" si="22"/>
        <v>0</v>
      </c>
      <c r="AQ20" s="212"/>
      <c r="AR20" s="213"/>
      <c r="AS20" s="70">
        <f t="shared" si="23"/>
        <v>0</v>
      </c>
      <c r="AT20" s="3"/>
      <c r="AU20" s="214"/>
      <c r="AV20" s="70">
        <f t="shared" si="24"/>
        <v>0</v>
      </c>
      <c r="AW20" s="3">
        <f t="shared" si="25"/>
        <v>1</v>
      </c>
      <c r="AX20" s="70">
        <v>3</v>
      </c>
      <c r="AY20" s="70">
        <f t="shared" si="26"/>
        <v>3</v>
      </c>
      <c r="AZ20" s="215">
        <f t="shared" si="27"/>
        <v>7.85</v>
      </c>
      <c r="BA20" s="3">
        <v>1</v>
      </c>
      <c r="BB20" s="3">
        <f t="shared" si="28"/>
        <v>47.4</v>
      </c>
      <c r="BC20" s="3"/>
      <c r="BD20" s="3">
        <v>50</v>
      </c>
      <c r="BE20" s="76" t="str">
        <f t="shared" si="29"/>
        <v>65618</v>
      </c>
      <c r="BF20" s="3" t="str">
        <f t="shared" si="30"/>
        <v>Selters (taunus)</v>
      </c>
      <c r="BG20" s="194" t="str">
        <f t="shared" si="31"/>
        <v>DE</v>
      </c>
      <c r="BH20" s="194">
        <v>46.558575</v>
      </c>
      <c r="BI20" s="194">
        <f t="shared" si="19"/>
        <v>46.558575</v>
      </c>
      <c r="BJ20" s="194">
        <v>2.5</v>
      </c>
      <c r="BK20" s="194">
        <f t="shared" si="32"/>
        <v>1.2</v>
      </c>
      <c r="BL20" s="194">
        <v>2.5</v>
      </c>
      <c r="BM20" s="194"/>
      <c r="BN20" s="194">
        <f t="shared" si="33"/>
        <v>6.2</v>
      </c>
      <c r="BO20" s="195"/>
      <c r="BP20" s="194"/>
      <c r="BQ20" s="194">
        <f t="shared" si="34"/>
        <v>0</v>
      </c>
      <c r="BR20" s="196">
        <f t="shared" si="35"/>
        <v>52.758575</v>
      </c>
      <c r="BS20" s="216">
        <f t="shared" si="36"/>
        <v>60.608575</v>
      </c>
    </row>
    <row r="21" ht="14.25" spans="1:71">
      <c r="A21" s="67" t="s">
        <v>265</v>
      </c>
      <c r="B21" s="3">
        <f t="shared" si="0"/>
        <v>1</v>
      </c>
      <c r="C21" s="3">
        <v>1</v>
      </c>
      <c r="D21" s="3"/>
      <c r="E21" s="67" t="s">
        <v>188</v>
      </c>
      <c r="F21" s="3">
        <v>202510</v>
      </c>
      <c r="G21" s="67" t="s">
        <v>208</v>
      </c>
      <c r="H21" s="67" t="s">
        <v>208</v>
      </c>
      <c r="I21" s="67" t="s">
        <v>190</v>
      </c>
      <c r="J21" s="67" t="s">
        <v>97</v>
      </c>
      <c r="K21" s="67" t="s">
        <v>265</v>
      </c>
      <c r="L21" s="67" t="s">
        <v>191</v>
      </c>
      <c r="M21" s="67"/>
      <c r="N21" s="67" t="s">
        <v>192</v>
      </c>
      <c r="O21" s="67">
        <v>1</v>
      </c>
      <c r="P21" s="67" t="s">
        <v>193</v>
      </c>
      <c r="Q21" s="67">
        <v>47.4</v>
      </c>
      <c r="R21" s="67" t="s">
        <v>194</v>
      </c>
      <c r="S21" s="67" t="s">
        <v>195</v>
      </c>
      <c r="T21" s="67" t="s">
        <v>266</v>
      </c>
      <c r="U21" s="67" t="str">
        <f>VLOOKUP(T21,[5]semitemu_order_export_251110144!$R:$S,2,0)</f>
        <v>PO-076-09867602550392001</v>
      </c>
      <c r="V21" s="67"/>
      <c r="W21" s="67" t="s">
        <v>267</v>
      </c>
      <c r="X21" s="67" t="s">
        <v>268</v>
      </c>
      <c r="Y21" s="67" t="s">
        <v>199</v>
      </c>
      <c r="Z21" s="67"/>
      <c r="AA21" s="67"/>
      <c r="AB21" s="67"/>
      <c r="AC21" s="67" t="s">
        <v>265</v>
      </c>
      <c r="AD21" s="67" t="s">
        <v>200</v>
      </c>
      <c r="AE21" s="4" t="s">
        <v>201</v>
      </c>
      <c r="AF21" s="3" t="s">
        <v>202</v>
      </c>
      <c r="AG21" s="3">
        <v>47.4</v>
      </c>
      <c r="AH21" s="3"/>
      <c r="AI21" s="67">
        <v>1</v>
      </c>
      <c r="AJ21" s="3">
        <f t="shared" si="1"/>
        <v>47.4</v>
      </c>
      <c r="AK21" s="3">
        <f t="shared" si="20"/>
        <v>1</v>
      </c>
      <c r="AL21" s="70">
        <v>4.85</v>
      </c>
      <c r="AM21" s="70">
        <f t="shared" si="21"/>
        <v>4.85</v>
      </c>
      <c r="AN21" s="68"/>
      <c r="AO21" s="70"/>
      <c r="AP21" s="70">
        <f t="shared" si="22"/>
        <v>0</v>
      </c>
      <c r="AQ21" s="212"/>
      <c r="AR21" s="213"/>
      <c r="AS21" s="70">
        <f t="shared" si="23"/>
        <v>0</v>
      </c>
      <c r="AT21" s="3"/>
      <c r="AU21" s="214"/>
      <c r="AV21" s="70">
        <f t="shared" si="24"/>
        <v>0</v>
      </c>
      <c r="AW21" s="3">
        <f t="shared" si="25"/>
        <v>1</v>
      </c>
      <c r="AX21" s="70">
        <v>3</v>
      </c>
      <c r="AY21" s="70">
        <f t="shared" si="26"/>
        <v>3</v>
      </c>
      <c r="AZ21" s="215">
        <f t="shared" si="27"/>
        <v>7.85</v>
      </c>
      <c r="BA21" s="3">
        <v>1</v>
      </c>
      <c r="BB21" s="3">
        <f t="shared" si="28"/>
        <v>47.4</v>
      </c>
      <c r="BC21" s="3"/>
      <c r="BD21" s="3">
        <v>50</v>
      </c>
      <c r="BE21" s="76" t="str">
        <f t="shared" si="29"/>
        <v>37308</v>
      </c>
      <c r="BF21" s="3" t="str">
        <f t="shared" si="30"/>
        <v>Bodenrode-Westhausen</v>
      </c>
      <c r="BG21" s="194" t="str">
        <f t="shared" si="31"/>
        <v>DE</v>
      </c>
      <c r="BH21" s="194">
        <v>46.558575</v>
      </c>
      <c r="BI21" s="194">
        <f t="shared" si="19"/>
        <v>46.558575</v>
      </c>
      <c r="BJ21" s="194">
        <v>2.5</v>
      </c>
      <c r="BK21" s="194">
        <f t="shared" si="32"/>
        <v>1.2</v>
      </c>
      <c r="BL21" s="194">
        <v>2.5</v>
      </c>
      <c r="BM21" s="194"/>
      <c r="BN21" s="194">
        <f t="shared" si="33"/>
        <v>6.2</v>
      </c>
      <c r="BO21" s="195"/>
      <c r="BP21" s="194"/>
      <c r="BQ21" s="194">
        <f t="shared" si="34"/>
        <v>0</v>
      </c>
      <c r="BR21" s="196">
        <f t="shared" si="35"/>
        <v>52.758575</v>
      </c>
      <c r="BS21" s="216">
        <f t="shared" si="36"/>
        <v>60.608575</v>
      </c>
    </row>
    <row r="22" ht="14.25" spans="1:71">
      <c r="A22" s="67" t="s">
        <v>269</v>
      </c>
      <c r="B22" s="3">
        <f t="shared" si="0"/>
        <v>1</v>
      </c>
      <c r="C22" s="3">
        <v>1</v>
      </c>
      <c r="D22" s="3"/>
      <c r="E22" s="67" t="s">
        <v>188</v>
      </c>
      <c r="F22" s="3">
        <v>202510</v>
      </c>
      <c r="G22" s="67" t="s">
        <v>208</v>
      </c>
      <c r="H22" s="67" t="s">
        <v>208</v>
      </c>
      <c r="I22" s="67" t="s">
        <v>190</v>
      </c>
      <c r="J22" s="67" t="s">
        <v>97</v>
      </c>
      <c r="K22" s="67" t="s">
        <v>269</v>
      </c>
      <c r="L22" s="67" t="s">
        <v>191</v>
      </c>
      <c r="M22" s="67"/>
      <c r="N22" s="67" t="s">
        <v>192</v>
      </c>
      <c r="O22" s="67">
        <v>1</v>
      </c>
      <c r="P22" s="67" t="s">
        <v>193</v>
      </c>
      <c r="Q22" s="67">
        <v>47.4</v>
      </c>
      <c r="R22" s="67" t="s">
        <v>194</v>
      </c>
      <c r="S22" s="67" t="s">
        <v>195</v>
      </c>
      <c r="T22" s="67" t="s">
        <v>270</v>
      </c>
      <c r="U22" s="67" t="str">
        <f>VLOOKUP(T22,[5]semitemu_order_export_251110144!$R:$S,2,0)</f>
        <v>PO-076-10301733824633509</v>
      </c>
      <c r="V22" s="67"/>
      <c r="W22" s="67" t="s">
        <v>271</v>
      </c>
      <c r="X22" s="67" t="s">
        <v>272</v>
      </c>
      <c r="Y22" s="67" t="s">
        <v>199</v>
      </c>
      <c r="Z22" s="67"/>
      <c r="AA22" s="67"/>
      <c r="AB22" s="67"/>
      <c r="AC22" s="67" t="s">
        <v>269</v>
      </c>
      <c r="AD22" s="67" t="s">
        <v>212</v>
      </c>
      <c r="AE22" s="4" t="s">
        <v>213</v>
      </c>
      <c r="AF22" s="3" t="s">
        <v>202</v>
      </c>
      <c r="AG22" s="3">
        <v>47.4</v>
      </c>
      <c r="AH22" s="3"/>
      <c r="AI22" s="67">
        <v>1</v>
      </c>
      <c r="AJ22" s="3">
        <f t="shared" si="1"/>
        <v>47.4</v>
      </c>
      <c r="AK22" s="3">
        <f t="shared" si="20"/>
        <v>1</v>
      </c>
      <c r="AL22" s="70">
        <v>4.85</v>
      </c>
      <c r="AM22" s="70">
        <f t="shared" si="21"/>
        <v>4.85</v>
      </c>
      <c r="AN22" s="68"/>
      <c r="AO22" s="70"/>
      <c r="AP22" s="70">
        <f t="shared" si="22"/>
        <v>0</v>
      </c>
      <c r="AQ22" s="212"/>
      <c r="AR22" s="213"/>
      <c r="AS22" s="70">
        <f t="shared" si="23"/>
        <v>0</v>
      </c>
      <c r="AT22" s="3"/>
      <c r="AU22" s="214"/>
      <c r="AV22" s="70">
        <f t="shared" si="24"/>
        <v>0</v>
      </c>
      <c r="AW22" s="3">
        <f t="shared" si="25"/>
        <v>1</v>
      </c>
      <c r="AX22" s="70">
        <v>3</v>
      </c>
      <c r="AY22" s="70">
        <f t="shared" si="26"/>
        <v>3</v>
      </c>
      <c r="AZ22" s="215">
        <f t="shared" si="27"/>
        <v>7.85</v>
      </c>
      <c r="BA22" s="3">
        <v>1</v>
      </c>
      <c r="BB22" s="3">
        <f t="shared" si="28"/>
        <v>47.4</v>
      </c>
      <c r="BC22" s="3"/>
      <c r="BD22" s="3">
        <v>50</v>
      </c>
      <c r="BE22" s="76" t="str">
        <f t="shared" si="29"/>
        <v>97494</v>
      </c>
      <c r="BF22" s="3" t="str">
        <f t="shared" si="30"/>
        <v>Bundorf</v>
      </c>
      <c r="BG22" s="194" t="str">
        <f t="shared" si="31"/>
        <v>DE</v>
      </c>
      <c r="BH22" s="194">
        <v>46.558575</v>
      </c>
      <c r="BI22" s="194">
        <f t="shared" si="19"/>
        <v>46.558575</v>
      </c>
      <c r="BJ22" s="194">
        <v>2.5</v>
      </c>
      <c r="BK22" s="194">
        <f t="shared" si="32"/>
        <v>1.2</v>
      </c>
      <c r="BL22" s="194">
        <v>2.5</v>
      </c>
      <c r="BM22" s="194"/>
      <c r="BN22" s="194">
        <f t="shared" si="33"/>
        <v>6.2</v>
      </c>
      <c r="BO22" s="195"/>
      <c r="BP22" s="194"/>
      <c r="BQ22" s="194">
        <f t="shared" si="34"/>
        <v>0</v>
      </c>
      <c r="BR22" s="196">
        <f t="shared" si="35"/>
        <v>52.758575</v>
      </c>
      <c r="BS22" s="216">
        <f t="shared" si="36"/>
        <v>60.608575</v>
      </c>
    </row>
    <row r="23" ht="14.25" spans="1:71">
      <c r="A23" s="67" t="s">
        <v>273</v>
      </c>
      <c r="B23" s="3">
        <f t="shared" si="0"/>
        <v>1</v>
      </c>
      <c r="C23" s="3">
        <v>1</v>
      </c>
      <c r="D23" s="3"/>
      <c r="E23" s="67" t="s">
        <v>188</v>
      </c>
      <c r="F23" s="3">
        <v>202510</v>
      </c>
      <c r="G23" s="67" t="s">
        <v>208</v>
      </c>
      <c r="H23" s="67" t="s">
        <v>208</v>
      </c>
      <c r="I23" s="67" t="s">
        <v>190</v>
      </c>
      <c r="J23" s="67" t="s">
        <v>97</v>
      </c>
      <c r="K23" s="67" t="s">
        <v>273</v>
      </c>
      <c r="L23" s="67" t="s">
        <v>191</v>
      </c>
      <c r="M23" s="67"/>
      <c r="N23" s="67" t="s">
        <v>192</v>
      </c>
      <c r="O23" s="67">
        <v>1</v>
      </c>
      <c r="P23" s="67" t="s">
        <v>193</v>
      </c>
      <c r="Q23" s="67">
        <v>47.4</v>
      </c>
      <c r="R23" s="67" t="s">
        <v>194</v>
      </c>
      <c r="S23" s="67" t="s">
        <v>195</v>
      </c>
      <c r="T23" s="67" t="s">
        <v>274</v>
      </c>
      <c r="U23" s="67" t="str">
        <f>VLOOKUP(T23,[5]semitemu_order_export_251110144!$R:$S,2,0)</f>
        <v>PO-076-20903654042231245</v>
      </c>
      <c r="V23" s="67"/>
      <c r="W23" s="67" t="s">
        <v>275</v>
      </c>
      <c r="X23" s="67" t="s">
        <v>276</v>
      </c>
      <c r="Y23" s="67" t="s">
        <v>199</v>
      </c>
      <c r="Z23" s="67"/>
      <c r="AA23" s="67"/>
      <c r="AB23" s="67"/>
      <c r="AC23" s="67" t="s">
        <v>273</v>
      </c>
      <c r="AD23" s="67" t="s">
        <v>243</v>
      </c>
      <c r="AE23" s="4" t="s">
        <v>244</v>
      </c>
      <c r="AF23" s="3" t="s">
        <v>202</v>
      </c>
      <c r="AG23" s="3">
        <v>47.4</v>
      </c>
      <c r="AH23" s="3"/>
      <c r="AI23" s="67">
        <v>1</v>
      </c>
      <c r="AJ23" s="3">
        <f t="shared" si="1"/>
        <v>47.4</v>
      </c>
      <c r="AK23" s="3">
        <f t="shared" si="20"/>
        <v>1</v>
      </c>
      <c r="AL23" s="70">
        <v>4.85</v>
      </c>
      <c r="AM23" s="70">
        <f t="shared" si="21"/>
        <v>4.85</v>
      </c>
      <c r="AN23" s="68"/>
      <c r="AO23" s="70"/>
      <c r="AP23" s="70">
        <f t="shared" si="22"/>
        <v>0</v>
      </c>
      <c r="AQ23" s="212"/>
      <c r="AR23" s="213"/>
      <c r="AS23" s="70">
        <f t="shared" si="23"/>
        <v>0</v>
      </c>
      <c r="AT23" s="3"/>
      <c r="AU23" s="214"/>
      <c r="AV23" s="70">
        <f t="shared" si="24"/>
        <v>0</v>
      </c>
      <c r="AW23" s="3">
        <f t="shared" si="25"/>
        <v>1</v>
      </c>
      <c r="AX23" s="70">
        <v>3</v>
      </c>
      <c r="AY23" s="70">
        <f t="shared" si="26"/>
        <v>3</v>
      </c>
      <c r="AZ23" s="215">
        <f t="shared" si="27"/>
        <v>7.85</v>
      </c>
      <c r="BA23" s="3">
        <v>1</v>
      </c>
      <c r="BB23" s="3">
        <f t="shared" si="28"/>
        <v>47.4</v>
      </c>
      <c r="BC23" s="3"/>
      <c r="BD23" s="3">
        <v>50</v>
      </c>
      <c r="BE23" s="76" t="str">
        <f t="shared" si="29"/>
        <v>83620</v>
      </c>
      <c r="BF23" s="3" t="str">
        <f t="shared" si="30"/>
        <v>Feldkirchen-westerham</v>
      </c>
      <c r="BG23" s="194" t="str">
        <f t="shared" si="31"/>
        <v>DE</v>
      </c>
      <c r="BH23" s="194">
        <v>46.558575</v>
      </c>
      <c r="BI23" s="194">
        <f t="shared" si="19"/>
        <v>46.558575</v>
      </c>
      <c r="BJ23" s="194">
        <v>2.5</v>
      </c>
      <c r="BK23" s="194">
        <f t="shared" si="32"/>
        <v>1.2</v>
      </c>
      <c r="BL23" s="194">
        <v>2.5</v>
      </c>
      <c r="BM23" s="194"/>
      <c r="BN23" s="194">
        <f t="shared" si="33"/>
        <v>6.2</v>
      </c>
      <c r="BO23" s="195"/>
      <c r="BP23" s="194"/>
      <c r="BQ23" s="194">
        <f t="shared" si="34"/>
        <v>0</v>
      </c>
      <c r="BR23" s="196">
        <f t="shared" si="35"/>
        <v>52.758575</v>
      </c>
      <c r="BS23" s="216">
        <f t="shared" si="36"/>
        <v>60.608575</v>
      </c>
    </row>
    <row r="24" ht="14.25" spans="1:71">
      <c r="A24" s="67" t="s">
        <v>277</v>
      </c>
      <c r="B24" s="3">
        <f t="shared" si="0"/>
        <v>1</v>
      </c>
      <c r="C24" s="3">
        <v>1</v>
      </c>
      <c r="D24" s="3"/>
      <c r="E24" s="67" t="s">
        <v>188</v>
      </c>
      <c r="F24" s="3">
        <v>202510</v>
      </c>
      <c r="G24" s="67" t="s">
        <v>278</v>
      </c>
      <c r="H24" s="67" t="s">
        <v>278</v>
      </c>
      <c r="I24" s="67" t="s">
        <v>190</v>
      </c>
      <c r="J24" s="67" t="s">
        <v>97</v>
      </c>
      <c r="K24" s="67" t="s">
        <v>277</v>
      </c>
      <c r="L24" s="67" t="s">
        <v>191</v>
      </c>
      <c r="M24" s="67"/>
      <c r="N24" s="67" t="s">
        <v>192</v>
      </c>
      <c r="O24" s="67">
        <v>1</v>
      </c>
      <c r="P24" s="67" t="s">
        <v>193</v>
      </c>
      <c r="Q24" s="67">
        <v>47.4</v>
      </c>
      <c r="R24" s="67" t="s">
        <v>194</v>
      </c>
      <c r="S24" s="67" t="s">
        <v>195</v>
      </c>
      <c r="T24" s="67" t="s">
        <v>279</v>
      </c>
      <c r="U24" s="67" t="str">
        <f>VLOOKUP(T24,[5]semitemu_order_export_251110144!$R:$S,2,0)</f>
        <v>PO-076-18114922916471963</v>
      </c>
      <c r="V24" s="67"/>
      <c r="W24" s="67" t="s">
        <v>280</v>
      </c>
      <c r="X24" s="67" t="s">
        <v>281</v>
      </c>
      <c r="Y24" s="67" t="s">
        <v>199</v>
      </c>
      <c r="Z24" s="67"/>
      <c r="AA24" s="67"/>
      <c r="AB24" s="67"/>
      <c r="AC24" s="67" t="s">
        <v>277</v>
      </c>
      <c r="AD24" s="67" t="s">
        <v>243</v>
      </c>
      <c r="AE24" s="4" t="s">
        <v>244</v>
      </c>
      <c r="AF24" s="3" t="s">
        <v>202</v>
      </c>
      <c r="AG24" s="3">
        <v>47.4</v>
      </c>
      <c r="AH24" s="3"/>
      <c r="AI24" s="67">
        <v>1</v>
      </c>
      <c r="AJ24" s="3">
        <f t="shared" si="1"/>
        <v>47.4</v>
      </c>
      <c r="AK24" s="3">
        <f t="shared" si="20"/>
        <v>1</v>
      </c>
      <c r="AL24" s="70">
        <v>4.85</v>
      </c>
      <c r="AM24" s="70">
        <f t="shared" si="21"/>
        <v>4.85</v>
      </c>
      <c r="AN24" s="68"/>
      <c r="AO24" s="70"/>
      <c r="AP24" s="70">
        <f t="shared" si="22"/>
        <v>0</v>
      </c>
      <c r="AQ24" s="212"/>
      <c r="AR24" s="213"/>
      <c r="AS24" s="70">
        <f t="shared" si="23"/>
        <v>0</v>
      </c>
      <c r="AT24" s="3"/>
      <c r="AU24" s="214"/>
      <c r="AV24" s="70">
        <f t="shared" si="24"/>
        <v>0</v>
      </c>
      <c r="AW24" s="3">
        <f t="shared" si="25"/>
        <v>1</v>
      </c>
      <c r="AX24" s="70">
        <v>3</v>
      </c>
      <c r="AY24" s="70">
        <f t="shared" si="26"/>
        <v>3</v>
      </c>
      <c r="AZ24" s="215">
        <f t="shared" si="27"/>
        <v>7.85</v>
      </c>
      <c r="BA24" s="3">
        <v>1</v>
      </c>
      <c r="BB24" s="3">
        <f t="shared" si="28"/>
        <v>47.4</v>
      </c>
      <c r="BC24" s="3"/>
      <c r="BD24" s="3">
        <v>50</v>
      </c>
      <c r="BE24" s="76" t="str">
        <f t="shared" si="29"/>
        <v>26871</v>
      </c>
      <c r="BF24" s="3" t="str">
        <f t="shared" si="30"/>
        <v>Aschendorf</v>
      </c>
      <c r="BG24" s="194" t="str">
        <f t="shared" si="31"/>
        <v>DE</v>
      </c>
      <c r="BH24" s="194">
        <v>46.558575</v>
      </c>
      <c r="BI24" s="194">
        <f t="shared" si="19"/>
        <v>46.558575</v>
      </c>
      <c r="BJ24" s="194">
        <v>2.5</v>
      </c>
      <c r="BK24" s="194">
        <f t="shared" si="32"/>
        <v>1.2</v>
      </c>
      <c r="BL24" s="194">
        <v>2.5</v>
      </c>
      <c r="BM24" s="194"/>
      <c r="BN24" s="194">
        <f t="shared" si="33"/>
        <v>6.2</v>
      </c>
      <c r="BO24" s="195"/>
      <c r="BP24" s="194"/>
      <c r="BQ24" s="194">
        <f t="shared" si="34"/>
        <v>0</v>
      </c>
      <c r="BR24" s="196">
        <f t="shared" si="35"/>
        <v>52.758575</v>
      </c>
      <c r="BS24" s="216">
        <f t="shared" si="36"/>
        <v>60.608575</v>
      </c>
    </row>
    <row r="25" ht="14.25" spans="1:71">
      <c r="A25" s="67" t="s">
        <v>282</v>
      </c>
      <c r="B25" s="3">
        <f t="shared" si="0"/>
        <v>1</v>
      </c>
      <c r="C25" s="3">
        <v>1</v>
      </c>
      <c r="D25" s="3"/>
      <c r="E25" s="67" t="s">
        <v>188</v>
      </c>
      <c r="F25" s="3">
        <v>202510</v>
      </c>
      <c r="G25" s="67" t="s">
        <v>278</v>
      </c>
      <c r="H25" s="67" t="s">
        <v>278</v>
      </c>
      <c r="I25" s="67" t="s">
        <v>190</v>
      </c>
      <c r="J25" s="67" t="s">
        <v>97</v>
      </c>
      <c r="K25" s="67" t="s">
        <v>282</v>
      </c>
      <c r="L25" s="67" t="s">
        <v>191</v>
      </c>
      <c r="M25" s="67"/>
      <c r="N25" s="67" t="s">
        <v>192</v>
      </c>
      <c r="O25" s="67">
        <v>1</v>
      </c>
      <c r="P25" s="67" t="s">
        <v>193</v>
      </c>
      <c r="Q25" s="67">
        <v>47.4</v>
      </c>
      <c r="R25" s="67" t="s">
        <v>194</v>
      </c>
      <c r="S25" s="67" t="s">
        <v>195</v>
      </c>
      <c r="T25" s="67" t="s">
        <v>283</v>
      </c>
      <c r="U25" s="67" t="str">
        <f>VLOOKUP(T25,[5]semitemu_order_export_251110144!$R:$S,2,0)</f>
        <v>PO-076-18438716672633873</v>
      </c>
      <c r="V25" s="67"/>
      <c r="W25" s="67" t="s">
        <v>284</v>
      </c>
      <c r="X25" s="67" t="s">
        <v>285</v>
      </c>
      <c r="Y25" s="67" t="s">
        <v>199</v>
      </c>
      <c r="Z25" s="67"/>
      <c r="AA25" s="67"/>
      <c r="AB25" s="67"/>
      <c r="AC25" s="67" t="s">
        <v>282</v>
      </c>
      <c r="AD25" s="67" t="s">
        <v>212</v>
      </c>
      <c r="AE25" s="4" t="s">
        <v>213</v>
      </c>
      <c r="AF25" s="3" t="s">
        <v>202</v>
      </c>
      <c r="AG25" s="3">
        <v>47.4</v>
      </c>
      <c r="AH25" s="3"/>
      <c r="AI25" s="67">
        <v>1</v>
      </c>
      <c r="AJ25" s="3">
        <f t="shared" si="1"/>
        <v>47.4</v>
      </c>
      <c r="AK25" s="3">
        <f t="shared" si="20"/>
        <v>1</v>
      </c>
      <c r="AL25" s="70">
        <v>4.85</v>
      </c>
      <c r="AM25" s="70">
        <f t="shared" si="21"/>
        <v>4.85</v>
      </c>
      <c r="AN25" s="68"/>
      <c r="AO25" s="70"/>
      <c r="AP25" s="70">
        <f t="shared" si="22"/>
        <v>0</v>
      </c>
      <c r="AQ25" s="212"/>
      <c r="AR25" s="213"/>
      <c r="AS25" s="70">
        <f t="shared" si="23"/>
        <v>0</v>
      </c>
      <c r="AT25" s="3"/>
      <c r="AU25" s="214"/>
      <c r="AV25" s="70">
        <f t="shared" si="24"/>
        <v>0</v>
      </c>
      <c r="AW25" s="3">
        <f t="shared" si="25"/>
        <v>1</v>
      </c>
      <c r="AX25" s="70">
        <v>3</v>
      </c>
      <c r="AY25" s="70">
        <f t="shared" si="26"/>
        <v>3</v>
      </c>
      <c r="AZ25" s="215">
        <f t="shared" si="27"/>
        <v>7.85</v>
      </c>
      <c r="BA25" s="3">
        <v>1</v>
      </c>
      <c r="BB25" s="3">
        <f t="shared" si="28"/>
        <v>47.4</v>
      </c>
      <c r="BC25" s="3"/>
      <c r="BD25" s="3">
        <v>50</v>
      </c>
      <c r="BE25" s="76" t="str">
        <f t="shared" si="29"/>
        <v>85375</v>
      </c>
      <c r="BF25" s="3" t="str">
        <f t="shared" si="30"/>
        <v>Neufahrn b. Freising</v>
      </c>
      <c r="BG25" s="194" t="str">
        <f t="shared" si="31"/>
        <v>DE</v>
      </c>
      <c r="BH25" s="194">
        <v>46.558575</v>
      </c>
      <c r="BI25" s="194">
        <f t="shared" si="19"/>
        <v>46.558575</v>
      </c>
      <c r="BJ25" s="194">
        <v>2.5</v>
      </c>
      <c r="BK25" s="194">
        <f t="shared" si="32"/>
        <v>1.2</v>
      </c>
      <c r="BL25" s="194">
        <v>2.5</v>
      </c>
      <c r="BM25" s="194"/>
      <c r="BN25" s="194">
        <f t="shared" si="33"/>
        <v>6.2</v>
      </c>
      <c r="BO25" s="195"/>
      <c r="BP25" s="194"/>
      <c r="BQ25" s="194">
        <f t="shared" si="34"/>
        <v>0</v>
      </c>
      <c r="BR25" s="196">
        <f t="shared" si="35"/>
        <v>52.758575</v>
      </c>
      <c r="BS25" s="216">
        <f t="shared" si="36"/>
        <v>60.608575</v>
      </c>
    </row>
    <row r="26" ht="14.25" spans="1:71">
      <c r="A26" s="67" t="s">
        <v>286</v>
      </c>
      <c r="B26" s="3">
        <f t="shared" si="0"/>
        <v>1</v>
      </c>
      <c r="C26" s="3">
        <v>1</v>
      </c>
      <c r="D26" s="3"/>
      <c r="E26" s="67" t="s">
        <v>188</v>
      </c>
      <c r="F26" s="3">
        <v>202510</v>
      </c>
      <c r="G26" s="67" t="s">
        <v>287</v>
      </c>
      <c r="H26" s="67" t="s">
        <v>287</v>
      </c>
      <c r="I26" s="67" t="s">
        <v>190</v>
      </c>
      <c r="J26" s="67" t="s">
        <v>97</v>
      </c>
      <c r="K26" s="67" t="s">
        <v>286</v>
      </c>
      <c r="L26" s="67" t="s">
        <v>191</v>
      </c>
      <c r="M26" s="67"/>
      <c r="N26" s="67" t="s">
        <v>192</v>
      </c>
      <c r="O26" s="67">
        <v>1</v>
      </c>
      <c r="P26" s="67" t="s">
        <v>193</v>
      </c>
      <c r="Q26" s="67">
        <v>47.4</v>
      </c>
      <c r="R26" s="67" t="s">
        <v>194</v>
      </c>
      <c r="S26" s="67" t="s">
        <v>195</v>
      </c>
      <c r="T26" s="67" t="s">
        <v>288</v>
      </c>
      <c r="U26" s="67" t="str">
        <f>VLOOKUP(T26,[5]semitemu_order_export_251110144!$R:$S,2,0)</f>
        <v>PO-076-03898465820792218</v>
      </c>
      <c r="V26" s="67"/>
      <c r="W26" s="67" t="s">
        <v>289</v>
      </c>
      <c r="X26" s="67" t="s">
        <v>290</v>
      </c>
      <c r="Y26" s="67" t="s">
        <v>199</v>
      </c>
      <c r="Z26" s="67"/>
      <c r="AA26" s="67"/>
      <c r="AB26" s="67"/>
      <c r="AC26" s="67" t="s">
        <v>286</v>
      </c>
      <c r="AD26" s="67" t="s">
        <v>212</v>
      </c>
      <c r="AE26" s="4" t="s">
        <v>213</v>
      </c>
      <c r="AF26" s="3" t="s">
        <v>202</v>
      </c>
      <c r="AG26" s="3">
        <v>47.4</v>
      </c>
      <c r="AH26" s="3"/>
      <c r="AI26" s="67">
        <v>1</v>
      </c>
      <c r="AJ26" s="3">
        <f t="shared" si="1"/>
        <v>47.4</v>
      </c>
      <c r="AK26" s="3">
        <f t="shared" si="20"/>
        <v>1</v>
      </c>
      <c r="AL26" s="70">
        <v>4.85</v>
      </c>
      <c r="AM26" s="70">
        <f t="shared" si="21"/>
        <v>4.85</v>
      </c>
      <c r="AN26" s="68"/>
      <c r="AO26" s="70"/>
      <c r="AP26" s="70">
        <f t="shared" si="22"/>
        <v>0</v>
      </c>
      <c r="AQ26" s="212"/>
      <c r="AR26" s="213"/>
      <c r="AS26" s="70">
        <f t="shared" si="23"/>
        <v>0</v>
      </c>
      <c r="AT26" s="3"/>
      <c r="AU26" s="214"/>
      <c r="AV26" s="70">
        <f t="shared" si="24"/>
        <v>0</v>
      </c>
      <c r="AW26" s="3">
        <f t="shared" si="25"/>
        <v>1</v>
      </c>
      <c r="AX26" s="70">
        <v>3</v>
      </c>
      <c r="AY26" s="70">
        <f t="shared" si="26"/>
        <v>3</v>
      </c>
      <c r="AZ26" s="215">
        <f t="shared" si="27"/>
        <v>7.85</v>
      </c>
      <c r="BA26" s="3">
        <v>1</v>
      </c>
      <c r="BB26" s="3">
        <f t="shared" si="28"/>
        <v>47.4</v>
      </c>
      <c r="BC26" s="3"/>
      <c r="BD26" s="3">
        <v>50</v>
      </c>
      <c r="BE26" s="76" t="str">
        <f t="shared" si="29"/>
        <v>45145</v>
      </c>
      <c r="BF26" s="3" t="str">
        <f t="shared" si="30"/>
        <v>Essen</v>
      </c>
      <c r="BG26" s="194" t="str">
        <f t="shared" si="31"/>
        <v>DE</v>
      </c>
      <c r="BH26" s="194">
        <v>46.558575</v>
      </c>
      <c r="BI26" s="194">
        <f t="shared" si="19"/>
        <v>46.558575</v>
      </c>
      <c r="BJ26" s="194">
        <v>2.5</v>
      </c>
      <c r="BK26" s="194">
        <f t="shared" si="32"/>
        <v>1.2</v>
      </c>
      <c r="BL26" s="194">
        <v>2.5</v>
      </c>
      <c r="BM26" s="194"/>
      <c r="BN26" s="194">
        <f t="shared" si="33"/>
        <v>6.2</v>
      </c>
      <c r="BO26" s="195"/>
      <c r="BP26" s="194"/>
      <c r="BQ26" s="194">
        <f t="shared" si="34"/>
        <v>0</v>
      </c>
      <c r="BR26" s="196">
        <f t="shared" si="35"/>
        <v>52.758575</v>
      </c>
      <c r="BS26" s="216">
        <f t="shared" si="36"/>
        <v>60.608575</v>
      </c>
    </row>
    <row r="27" ht="14.25" spans="1:71">
      <c r="A27" s="67" t="s">
        <v>291</v>
      </c>
      <c r="B27" s="3">
        <f t="shared" si="0"/>
        <v>1</v>
      </c>
      <c r="C27" s="3">
        <v>1</v>
      </c>
      <c r="D27" s="3"/>
      <c r="E27" s="67" t="s">
        <v>188</v>
      </c>
      <c r="F27" s="3">
        <v>202510</v>
      </c>
      <c r="G27" s="67" t="s">
        <v>287</v>
      </c>
      <c r="H27" s="67" t="s">
        <v>287</v>
      </c>
      <c r="I27" s="67" t="s">
        <v>190</v>
      </c>
      <c r="J27" s="67" t="s">
        <v>97</v>
      </c>
      <c r="K27" s="67" t="s">
        <v>291</v>
      </c>
      <c r="L27" s="67" t="s">
        <v>191</v>
      </c>
      <c r="M27" s="67"/>
      <c r="N27" s="67" t="s">
        <v>192</v>
      </c>
      <c r="O27" s="67">
        <v>1</v>
      </c>
      <c r="P27" s="67" t="s">
        <v>193</v>
      </c>
      <c r="Q27" s="67">
        <v>47.4</v>
      </c>
      <c r="R27" s="67" t="s">
        <v>194</v>
      </c>
      <c r="S27" s="67" t="s">
        <v>195</v>
      </c>
      <c r="T27" s="67" t="s">
        <v>292</v>
      </c>
      <c r="U27" s="67" t="str">
        <f>VLOOKUP(T27,[5]semitemu_order_export_251110144!$R:$S,2,0)</f>
        <v>PO-076-03898465820792218</v>
      </c>
      <c r="V27" s="67"/>
      <c r="W27" s="67" t="s">
        <v>289</v>
      </c>
      <c r="X27" s="67" t="s">
        <v>290</v>
      </c>
      <c r="Y27" s="67" t="s">
        <v>199</v>
      </c>
      <c r="Z27" s="67"/>
      <c r="AA27" s="67"/>
      <c r="AB27" s="67"/>
      <c r="AC27" s="67" t="s">
        <v>291</v>
      </c>
      <c r="AD27" s="67" t="s">
        <v>212</v>
      </c>
      <c r="AE27" s="4" t="s">
        <v>213</v>
      </c>
      <c r="AF27" s="3" t="s">
        <v>202</v>
      </c>
      <c r="AG27" s="3">
        <v>47.4</v>
      </c>
      <c r="AH27" s="3"/>
      <c r="AI27" s="67">
        <v>1</v>
      </c>
      <c r="AJ27" s="3">
        <f t="shared" si="1"/>
        <v>47.4</v>
      </c>
      <c r="AK27" s="3">
        <f t="shared" si="20"/>
        <v>1</v>
      </c>
      <c r="AL27" s="70">
        <v>4.85</v>
      </c>
      <c r="AM27" s="70">
        <f t="shared" si="21"/>
        <v>4.85</v>
      </c>
      <c r="AN27" s="68"/>
      <c r="AO27" s="70"/>
      <c r="AP27" s="70">
        <f t="shared" si="22"/>
        <v>0</v>
      </c>
      <c r="AQ27" s="212"/>
      <c r="AR27" s="213"/>
      <c r="AS27" s="70">
        <f t="shared" si="23"/>
        <v>0</v>
      </c>
      <c r="AT27" s="3"/>
      <c r="AU27" s="214"/>
      <c r="AV27" s="70">
        <f t="shared" si="24"/>
        <v>0</v>
      </c>
      <c r="AW27" s="3">
        <f t="shared" si="25"/>
        <v>1</v>
      </c>
      <c r="AX27" s="70">
        <v>3</v>
      </c>
      <c r="AY27" s="70">
        <f t="shared" si="26"/>
        <v>3</v>
      </c>
      <c r="AZ27" s="215">
        <f t="shared" si="27"/>
        <v>7.85</v>
      </c>
      <c r="BA27" s="3">
        <v>1</v>
      </c>
      <c r="BB27" s="3">
        <f t="shared" si="28"/>
        <v>47.4</v>
      </c>
      <c r="BC27" s="3"/>
      <c r="BD27" s="3">
        <v>50</v>
      </c>
      <c r="BE27" s="76" t="str">
        <f t="shared" si="29"/>
        <v>45145</v>
      </c>
      <c r="BF27" s="3" t="str">
        <f t="shared" si="30"/>
        <v>Essen</v>
      </c>
      <c r="BG27" s="194" t="str">
        <f t="shared" si="31"/>
        <v>DE</v>
      </c>
      <c r="BH27" s="194">
        <v>46.558575</v>
      </c>
      <c r="BI27" s="194">
        <f t="shared" si="19"/>
        <v>46.558575</v>
      </c>
      <c r="BJ27" s="194">
        <v>2.5</v>
      </c>
      <c r="BK27" s="194">
        <f t="shared" si="32"/>
        <v>1.2</v>
      </c>
      <c r="BL27" s="194">
        <v>2.5</v>
      </c>
      <c r="BM27" s="194"/>
      <c r="BN27" s="194">
        <f t="shared" si="33"/>
        <v>6.2</v>
      </c>
      <c r="BO27" s="195"/>
      <c r="BP27" s="194"/>
      <c r="BQ27" s="194">
        <f t="shared" si="34"/>
        <v>0</v>
      </c>
      <c r="BR27" s="196">
        <f t="shared" si="35"/>
        <v>52.758575</v>
      </c>
      <c r="BS27" s="216">
        <f t="shared" si="36"/>
        <v>60.608575</v>
      </c>
    </row>
    <row r="28" ht="14.25" spans="1:71">
      <c r="A28" s="67" t="s">
        <v>293</v>
      </c>
      <c r="B28" s="3">
        <f t="shared" si="0"/>
        <v>1</v>
      </c>
      <c r="C28" s="3">
        <v>1</v>
      </c>
      <c r="D28" s="3"/>
      <c r="E28" s="67" t="s">
        <v>188</v>
      </c>
      <c r="F28" s="3">
        <v>202510</v>
      </c>
      <c r="G28" s="67" t="s">
        <v>287</v>
      </c>
      <c r="H28" s="67" t="s">
        <v>287</v>
      </c>
      <c r="I28" s="67" t="s">
        <v>190</v>
      </c>
      <c r="J28" s="67" t="s">
        <v>97</v>
      </c>
      <c r="K28" s="67" t="s">
        <v>293</v>
      </c>
      <c r="L28" s="67" t="s">
        <v>191</v>
      </c>
      <c r="M28" s="67"/>
      <c r="N28" s="67" t="s">
        <v>192</v>
      </c>
      <c r="O28" s="67">
        <v>1</v>
      </c>
      <c r="P28" s="67" t="s">
        <v>193</v>
      </c>
      <c r="Q28" s="67">
        <v>47.4</v>
      </c>
      <c r="R28" s="67" t="s">
        <v>194</v>
      </c>
      <c r="S28" s="67" t="s">
        <v>195</v>
      </c>
      <c r="T28" s="67" t="s">
        <v>294</v>
      </c>
      <c r="U28" s="67" t="str">
        <f>VLOOKUP(T28,[5]semitemu_order_export_251110144!$R:$S,2,0)</f>
        <v>PO-076-03629263678071774</v>
      </c>
      <c r="V28" s="67"/>
      <c r="W28" s="67" t="s">
        <v>295</v>
      </c>
      <c r="X28" s="67" t="s">
        <v>296</v>
      </c>
      <c r="Y28" s="67" t="s">
        <v>199</v>
      </c>
      <c r="Z28" s="67"/>
      <c r="AA28" s="67"/>
      <c r="AB28" s="67"/>
      <c r="AC28" s="67" t="s">
        <v>293</v>
      </c>
      <c r="AD28" s="67" t="s">
        <v>212</v>
      </c>
      <c r="AE28" s="4" t="s">
        <v>213</v>
      </c>
      <c r="AF28" s="3" t="s">
        <v>202</v>
      </c>
      <c r="AG28" s="3">
        <v>47.4</v>
      </c>
      <c r="AH28" s="3"/>
      <c r="AI28" s="67">
        <v>1</v>
      </c>
      <c r="AJ28" s="3">
        <f t="shared" si="1"/>
        <v>47.4</v>
      </c>
      <c r="AK28" s="3">
        <f t="shared" si="20"/>
        <v>1</v>
      </c>
      <c r="AL28" s="70">
        <v>4.85</v>
      </c>
      <c r="AM28" s="70">
        <f t="shared" si="21"/>
        <v>4.85</v>
      </c>
      <c r="AN28" s="68"/>
      <c r="AO28" s="70"/>
      <c r="AP28" s="70">
        <f t="shared" si="22"/>
        <v>0</v>
      </c>
      <c r="AQ28" s="212"/>
      <c r="AR28" s="213"/>
      <c r="AS28" s="70">
        <f t="shared" si="23"/>
        <v>0</v>
      </c>
      <c r="AT28" s="3"/>
      <c r="AU28" s="214"/>
      <c r="AV28" s="70">
        <f t="shared" si="24"/>
        <v>0</v>
      </c>
      <c r="AW28" s="3">
        <f t="shared" si="25"/>
        <v>1</v>
      </c>
      <c r="AX28" s="70">
        <v>3</v>
      </c>
      <c r="AY28" s="70">
        <f t="shared" si="26"/>
        <v>3</v>
      </c>
      <c r="AZ28" s="215">
        <f t="shared" si="27"/>
        <v>7.85</v>
      </c>
      <c r="BA28" s="3">
        <v>1</v>
      </c>
      <c r="BB28" s="3">
        <f t="shared" si="28"/>
        <v>47.4</v>
      </c>
      <c r="BC28" s="3"/>
      <c r="BD28" s="3">
        <v>50</v>
      </c>
      <c r="BE28" s="76" t="str">
        <f t="shared" si="29"/>
        <v>94149</v>
      </c>
      <c r="BF28" s="3" t="str">
        <f t="shared" si="30"/>
        <v>Kößlarn</v>
      </c>
      <c r="BG28" s="194" t="str">
        <f t="shared" si="31"/>
        <v>DE</v>
      </c>
      <c r="BH28" s="194">
        <v>46.558575</v>
      </c>
      <c r="BI28" s="194">
        <f t="shared" si="19"/>
        <v>46.558575</v>
      </c>
      <c r="BJ28" s="194">
        <v>2.5</v>
      </c>
      <c r="BK28" s="194">
        <f t="shared" si="32"/>
        <v>1.2</v>
      </c>
      <c r="BL28" s="194">
        <v>2.5</v>
      </c>
      <c r="BM28" s="194"/>
      <c r="BN28" s="194">
        <f t="shared" si="33"/>
        <v>6.2</v>
      </c>
      <c r="BO28" s="195"/>
      <c r="BP28" s="194"/>
      <c r="BQ28" s="194">
        <f t="shared" si="34"/>
        <v>0</v>
      </c>
      <c r="BR28" s="196">
        <f t="shared" si="35"/>
        <v>52.758575</v>
      </c>
      <c r="BS28" s="216">
        <f t="shared" si="36"/>
        <v>60.608575</v>
      </c>
    </row>
    <row r="29" ht="14.25" spans="1:71">
      <c r="A29" s="67" t="s">
        <v>297</v>
      </c>
      <c r="B29" s="3">
        <f t="shared" si="0"/>
        <v>1</v>
      </c>
      <c r="C29" s="3">
        <v>1</v>
      </c>
      <c r="D29" s="3"/>
      <c r="E29" s="67" t="s">
        <v>188</v>
      </c>
      <c r="F29" s="3">
        <v>202510</v>
      </c>
      <c r="G29" s="67" t="s">
        <v>298</v>
      </c>
      <c r="H29" s="67" t="s">
        <v>298</v>
      </c>
      <c r="I29" s="67" t="s">
        <v>190</v>
      </c>
      <c r="J29" s="67" t="s">
        <v>97</v>
      </c>
      <c r="K29" s="67" t="s">
        <v>297</v>
      </c>
      <c r="L29" s="67" t="s">
        <v>191</v>
      </c>
      <c r="M29" s="67"/>
      <c r="N29" s="67" t="s">
        <v>192</v>
      </c>
      <c r="O29" s="67">
        <v>1</v>
      </c>
      <c r="P29" s="67" t="s">
        <v>193</v>
      </c>
      <c r="Q29" s="67">
        <v>47.4</v>
      </c>
      <c r="R29" s="67" t="s">
        <v>194</v>
      </c>
      <c r="S29" s="67" t="s">
        <v>195</v>
      </c>
      <c r="T29" s="67" t="s">
        <v>299</v>
      </c>
      <c r="U29" s="67" t="str">
        <f>VLOOKUP(T29,[5]semitemu_order_export_251110144!$R:$S,2,0)</f>
        <v>PO-076-14890195748472270</v>
      </c>
      <c r="V29" s="67"/>
      <c r="W29" s="67" t="s">
        <v>300</v>
      </c>
      <c r="X29" s="67" t="s">
        <v>301</v>
      </c>
      <c r="Y29" s="67" t="s">
        <v>199</v>
      </c>
      <c r="Z29" s="67"/>
      <c r="AA29" s="67"/>
      <c r="AB29" s="67"/>
      <c r="AC29" s="67" t="s">
        <v>297</v>
      </c>
      <c r="AD29" s="67" t="s">
        <v>212</v>
      </c>
      <c r="AE29" s="4" t="s">
        <v>213</v>
      </c>
      <c r="AF29" s="3" t="s">
        <v>202</v>
      </c>
      <c r="AG29" s="3">
        <v>47.4</v>
      </c>
      <c r="AH29" s="3"/>
      <c r="AI29" s="67">
        <v>1</v>
      </c>
      <c r="AJ29" s="3">
        <f t="shared" si="1"/>
        <v>47.4</v>
      </c>
      <c r="AK29" s="3">
        <f t="shared" si="20"/>
        <v>1</v>
      </c>
      <c r="AL29" s="70">
        <v>4.85</v>
      </c>
      <c r="AM29" s="70">
        <f t="shared" si="21"/>
        <v>4.85</v>
      </c>
      <c r="AN29" s="68"/>
      <c r="AO29" s="70"/>
      <c r="AP29" s="70">
        <f t="shared" si="22"/>
        <v>0</v>
      </c>
      <c r="AQ29" s="212"/>
      <c r="AR29" s="213"/>
      <c r="AS29" s="70">
        <f t="shared" si="23"/>
        <v>0</v>
      </c>
      <c r="AT29" s="3"/>
      <c r="AU29" s="214"/>
      <c r="AV29" s="70">
        <f t="shared" si="24"/>
        <v>0</v>
      </c>
      <c r="AW29" s="3">
        <f t="shared" si="25"/>
        <v>1</v>
      </c>
      <c r="AX29" s="70">
        <v>3</v>
      </c>
      <c r="AY29" s="70">
        <f t="shared" si="26"/>
        <v>3</v>
      </c>
      <c r="AZ29" s="215">
        <f t="shared" si="27"/>
        <v>7.85</v>
      </c>
      <c r="BA29" s="3">
        <v>1</v>
      </c>
      <c r="BB29" s="3">
        <f t="shared" si="28"/>
        <v>47.4</v>
      </c>
      <c r="BC29" s="3"/>
      <c r="BD29" s="3">
        <v>50</v>
      </c>
      <c r="BE29" s="76" t="str">
        <f t="shared" si="29"/>
        <v>86748</v>
      </c>
      <c r="BF29" s="3" t="str">
        <f t="shared" si="30"/>
        <v>Marktoffingen</v>
      </c>
      <c r="BG29" s="194" t="str">
        <f t="shared" si="31"/>
        <v>DE</v>
      </c>
      <c r="BH29" s="194">
        <v>46.558575</v>
      </c>
      <c r="BI29" s="194">
        <f t="shared" si="19"/>
        <v>46.558575</v>
      </c>
      <c r="BJ29" s="194">
        <v>2.5</v>
      </c>
      <c r="BK29" s="194">
        <f t="shared" si="32"/>
        <v>1.2</v>
      </c>
      <c r="BL29" s="194">
        <v>2.5</v>
      </c>
      <c r="BM29" s="194"/>
      <c r="BN29" s="194">
        <f t="shared" si="33"/>
        <v>6.2</v>
      </c>
      <c r="BO29" s="195"/>
      <c r="BP29" s="194"/>
      <c r="BQ29" s="194">
        <f t="shared" si="34"/>
        <v>0</v>
      </c>
      <c r="BR29" s="196">
        <f t="shared" si="35"/>
        <v>52.758575</v>
      </c>
      <c r="BS29" s="216">
        <f t="shared" si="36"/>
        <v>60.608575</v>
      </c>
    </row>
    <row r="30" ht="14.25" spans="1:71">
      <c r="A30" s="67" t="s">
        <v>302</v>
      </c>
      <c r="B30" s="3">
        <f t="shared" si="0"/>
        <v>1</v>
      </c>
      <c r="C30" s="3">
        <v>1</v>
      </c>
      <c r="D30" s="3"/>
      <c r="E30" s="67" t="s">
        <v>188</v>
      </c>
      <c r="F30" s="3">
        <v>202510</v>
      </c>
      <c r="G30" s="67" t="s">
        <v>303</v>
      </c>
      <c r="H30" s="67" t="s">
        <v>303</v>
      </c>
      <c r="I30" s="67" t="s">
        <v>190</v>
      </c>
      <c r="J30" s="67" t="s">
        <v>97</v>
      </c>
      <c r="K30" s="67" t="s">
        <v>302</v>
      </c>
      <c r="L30" s="67" t="s">
        <v>191</v>
      </c>
      <c r="M30" s="67"/>
      <c r="N30" s="67" t="s">
        <v>192</v>
      </c>
      <c r="O30" s="67">
        <v>1</v>
      </c>
      <c r="P30" s="67" t="s">
        <v>193</v>
      </c>
      <c r="Q30" s="67">
        <v>47.4</v>
      </c>
      <c r="R30" s="67" t="s">
        <v>194</v>
      </c>
      <c r="S30" s="67" t="s">
        <v>195</v>
      </c>
      <c r="T30" s="67" t="s">
        <v>304</v>
      </c>
      <c r="U30" s="67" t="str">
        <f>VLOOKUP(T30,[5]semitemu_order_export_251110144!$R:$S,2,0)</f>
        <v>PO-076-09259918478071527</v>
      </c>
      <c r="V30" s="67"/>
      <c r="W30" s="67" t="s">
        <v>305</v>
      </c>
      <c r="X30" s="67" t="s">
        <v>306</v>
      </c>
      <c r="Y30" s="67" t="s">
        <v>199</v>
      </c>
      <c r="Z30" s="67"/>
      <c r="AA30" s="67"/>
      <c r="AB30" s="67"/>
      <c r="AC30" s="67" t="s">
        <v>302</v>
      </c>
      <c r="AD30" s="67" t="s">
        <v>212</v>
      </c>
      <c r="AE30" s="4" t="s">
        <v>213</v>
      </c>
      <c r="AF30" s="3" t="s">
        <v>202</v>
      </c>
      <c r="AG30" s="3">
        <v>47.4</v>
      </c>
      <c r="AH30" s="3"/>
      <c r="AI30" s="67">
        <v>1</v>
      </c>
      <c r="AJ30" s="3">
        <f t="shared" si="1"/>
        <v>47.4</v>
      </c>
      <c r="AK30" s="3">
        <f t="shared" si="20"/>
        <v>1</v>
      </c>
      <c r="AL30" s="70">
        <v>4.85</v>
      </c>
      <c r="AM30" s="70">
        <f t="shared" si="21"/>
        <v>4.85</v>
      </c>
      <c r="AN30" s="68"/>
      <c r="AO30" s="70"/>
      <c r="AP30" s="70">
        <f t="shared" si="22"/>
        <v>0</v>
      </c>
      <c r="AQ30" s="212"/>
      <c r="AR30" s="213"/>
      <c r="AS30" s="70">
        <f t="shared" si="23"/>
        <v>0</v>
      </c>
      <c r="AT30" s="3"/>
      <c r="AU30" s="214"/>
      <c r="AV30" s="70">
        <f t="shared" si="24"/>
        <v>0</v>
      </c>
      <c r="AW30" s="3">
        <f t="shared" si="25"/>
        <v>1</v>
      </c>
      <c r="AX30" s="70">
        <v>3</v>
      </c>
      <c r="AY30" s="70">
        <f t="shared" si="26"/>
        <v>3</v>
      </c>
      <c r="AZ30" s="215">
        <f t="shared" si="27"/>
        <v>7.85</v>
      </c>
      <c r="BA30" s="3">
        <v>1</v>
      </c>
      <c r="BB30" s="3">
        <f t="shared" si="28"/>
        <v>47.4</v>
      </c>
      <c r="BC30" s="3"/>
      <c r="BD30" s="3">
        <v>50</v>
      </c>
      <c r="BE30" s="76" t="str">
        <f t="shared" si="29"/>
        <v>54290</v>
      </c>
      <c r="BF30" s="3" t="str">
        <f t="shared" si="30"/>
        <v>Trier</v>
      </c>
      <c r="BG30" s="194" t="str">
        <f t="shared" si="31"/>
        <v>DE</v>
      </c>
      <c r="BH30" s="194">
        <v>46.558575</v>
      </c>
      <c r="BI30" s="194">
        <f t="shared" si="19"/>
        <v>46.558575</v>
      </c>
      <c r="BJ30" s="194">
        <v>2.5</v>
      </c>
      <c r="BK30" s="194">
        <f t="shared" si="32"/>
        <v>1.2</v>
      </c>
      <c r="BL30" s="194">
        <v>2.5</v>
      </c>
      <c r="BM30" s="194"/>
      <c r="BN30" s="194">
        <f t="shared" si="33"/>
        <v>6.2</v>
      </c>
      <c r="BO30" s="195"/>
      <c r="BP30" s="194"/>
      <c r="BQ30" s="194">
        <f t="shared" si="34"/>
        <v>0</v>
      </c>
      <c r="BR30" s="196">
        <f t="shared" si="35"/>
        <v>52.758575</v>
      </c>
      <c r="BS30" s="216">
        <f t="shared" si="36"/>
        <v>60.608575</v>
      </c>
    </row>
    <row r="31" ht="14.25" spans="1:71">
      <c r="A31" s="67" t="s">
        <v>307</v>
      </c>
      <c r="B31" s="3">
        <f t="shared" si="0"/>
        <v>1</v>
      </c>
      <c r="C31" s="3">
        <v>1</v>
      </c>
      <c r="D31" s="3"/>
      <c r="E31" s="67" t="s">
        <v>188</v>
      </c>
      <c r="F31" s="3">
        <v>202510</v>
      </c>
      <c r="G31" s="67" t="s">
        <v>308</v>
      </c>
      <c r="H31" s="67" t="s">
        <v>308</v>
      </c>
      <c r="I31" s="67" t="s">
        <v>190</v>
      </c>
      <c r="J31" s="67" t="s">
        <v>97</v>
      </c>
      <c r="K31" s="67" t="s">
        <v>307</v>
      </c>
      <c r="L31" s="67" t="s">
        <v>191</v>
      </c>
      <c r="M31" s="67"/>
      <c r="N31" s="67" t="s">
        <v>192</v>
      </c>
      <c r="O31" s="67">
        <v>1</v>
      </c>
      <c r="P31" s="67" t="s">
        <v>193</v>
      </c>
      <c r="Q31" s="67">
        <v>47.4</v>
      </c>
      <c r="R31" s="67" t="s">
        <v>194</v>
      </c>
      <c r="S31" s="67" t="s">
        <v>195</v>
      </c>
      <c r="T31" s="67" t="s">
        <v>309</v>
      </c>
      <c r="U31" s="67" t="str">
        <f>VLOOKUP(T31,[5]semitemu_order_export_251110144!$R:$S,2,0)</f>
        <v>PO-076-01295480405113143</v>
      </c>
      <c r="V31" s="67"/>
      <c r="W31" s="67" t="s">
        <v>310</v>
      </c>
      <c r="X31" s="67" t="s">
        <v>311</v>
      </c>
      <c r="Y31" s="67" t="s">
        <v>199</v>
      </c>
      <c r="Z31" s="67"/>
      <c r="AA31" s="67"/>
      <c r="AB31" s="67"/>
      <c r="AC31" s="67" t="s">
        <v>307</v>
      </c>
      <c r="AD31" s="67" t="s">
        <v>212</v>
      </c>
      <c r="AE31" s="4" t="s">
        <v>213</v>
      </c>
      <c r="AF31" s="3" t="s">
        <v>202</v>
      </c>
      <c r="AG31" s="3">
        <v>47.4</v>
      </c>
      <c r="AH31" s="3"/>
      <c r="AI31" s="67">
        <v>1</v>
      </c>
      <c r="AJ31" s="3">
        <f t="shared" si="1"/>
        <v>47.4</v>
      </c>
      <c r="AK31" s="3">
        <f t="shared" si="20"/>
        <v>1</v>
      </c>
      <c r="AL31" s="70">
        <v>4.85</v>
      </c>
      <c r="AM31" s="70">
        <f t="shared" si="21"/>
        <v>4.85</v>
      </c>
      <c r="AN31" s="68"/>
      <c r="AO31" s="70"/>
      <c r="AP31" s="70">
        <f t="shared" si="22"/>
        <v>0</v>
      </c>
      <c r="AQ31" s="212"/>
      <c r="AR31" s="213"/>
      <c r="AS31" s="70">
        <f t="shared" si="23"/>
        <v>0</v>
      </c>
      <c r="AT31" s="3"/>
      <c r="AU31" s="214"/>
      <c r="AV31" s="70">
        <f t="shared" si="24"/>
        <v>0</v>
      </c>
      <c r="AW31" s="3">
        <f t="shared" si="25"/>
        <v>1</v>
      </c>
      <c r="AX31" s="70">
        <v>3</v>
      </c>
      <c r="AY31" s="70">
        <f t="shared" si="26"/>
        <v>3</v>
      </c>
      <c r="AZ31" s="215">
        <f t="shared" si="27"/>
        <v>7.85</v>
      </c>
      <c r="BA31" s="3">
        <v>1</v>
      </c>
      <c r="BB31" s="3">
        <f t="shared" si="28"/>
        <v>47.4</v>
      </c>
      <c r="BC31" s="3"/>
      <c r="BD31" s="3">
        <v>50</v>
      </c>
      <c r="BE31" s="76" t="str">
        <f t="shared" si="29"/>
        <v>44263</v>
      </c>
      <c r="BF31" s="3" t="str">
        <f t="shared" si="30"/>
        <v>Dortmund</v>
      </c>
      <c r="BG31" s="194" t="str">
        <f t="shared" si="31"/>
        <v>DE</v>
      </c>
      <c r="BH31" s="194">
        <v>46.558575</v>
      </c>
      <c r="BI31" s="194">
        <f t="shared" si="19"/>
        <v>46.558575</v>
      </c>
      <c r="BJ31" s="194">
        <v>2.5</v>
      </c>
      <c r="BK31" s="194">
        <f t="shared" si="32"/>
        <v>1.2</v>
      </c>
      <c r="BL31" s="194">
        <v>2.5</v>
      </c>
      <c r="BM31" s="194"/>
      <c r="BN31" s="194">
        <f t="shared" si="33"/>
        <v>6.2</v>
      </c>
      <c r="BO31" s="195"/>
      <c r="BP31" s="194"/>
      <c r="BQ31" s="194">
        <f t="shared" si="34"/>
        <v>0</v>
      </c>
      <c r="BR31" s="196">
        <f t="shared" si="35"/>
        <v>52.758575</v>
      </c>
      <c r="BS31" s="216">
        <f t="shared" si="36"/>
        <v>60.608575</v>
      </c>
    </row>
    <row r="32" ht="14.25" spans="1:71">
      <c r="A32" s="67" t="s">
        <v>312</v>
      </c>
      <c r="B32" s="3">
        <f t="shared" si="0"/>
        <v>1</v>
      </c>
      <c r="C32" s="3">
        <v>1</v>
      </c>
      <c r="D32" s="3"/>
      <c r="E32" s="67" t="s">
        <v>188</v>
      </c>
      <c r="F32" s="3">
        <v>202510</v>
      </c>
      <c r="G32" s="67" t="s">
        <v>308</v>
      </c>
      <c r="H32" s="67" t="s">
        <v>308</v>
      </c>
      <c r="I32" s="67" t="s">
        <v>190</v>
      </c>
      <c r="J32" s="67" t="s">
        <v>97</v>
      </c>
      <c r="K32" s="67" t="s">
        <v>312</v>
      </c>
      <c r="L32" s="67" t="s">
        <v>191</v>
      </c>
      <c r="M32" s="67"/>
      <c r="N32" s="67" t="s">
        <v>192</v>
      </c>
      <c r="O32" s="67">
        <v>1</v>
      </c>
      <c r="P32" s="67" t="s">
        <v>193</v>
      </c>
      <c r="Q32" s="67">
        <v>47.4</v>
      </c>
      <c r="R32" s="67" t="s">
        <v>194</v>
      </c>
      <c r="S32" s="67" t="s">
        <v>195</v>
      </c>
      <c r="T32" s="67" t="s">
        <v>313</v>
      </c>
      <c r="U32" s="67" t="str">
        <f>VLOOKUP(T32,[5]semitemu_order_export_251110144!$R:$S,2,0)</f>
        <v>PO-076-01103378473593038</v>
      </c>
      <c r="V32" s="67"/>
      <c r="W32" s="67" t="s">
        <v>314</v>
      </c>
      <c r="X32" s="67" t="s">
        <v>315</v>
      </c>
      <c r="Y32" s="67" t="s">
        <v>199</v>
      </c>
      <c r="Z32" s="67"/>
      <c r="AA32" s="67"/>
      <c r="AB32" s="67"/>
      <c r="AC32" s="67" t="s">
        <v>312</v>
      </c>
      <c r="AD32" s="67" t="s">
        <v>212</v>
      </c>
      <c r="AE32" s="4" t="s">
        <v>213</v>
      </c>
      <c r="AF32" s="3" t="s">
        <v>202</v>
      </c>
      <c r="AG32" s="3">
        <v>47.4</v>
      </c>
      <c r="AH32" s="3"/>
      <c r="AI32" s="67">
        <v>1</v>
      </c>
      <c r="AJ32" s="3">
        <f t="shared" si="1"/>
        <v>47.4</v>
      </c>
      <c r="AK32" s="3">
        <f t="shared" si="20"/>
        <v>1</v>
      </c>
      <c r="AL32" s="70">
        <v>4.85</v>
      </c>
      <c r="AM32" s="70">
        <f t="shared" si="21"/>
        <v>4.85</v>
      </c>
      <c r="AN32" s="68"/>
      <c r="AO32" s="70"/>
      <c r="AP32" s="70">
        <f t="shared" si="22"/>
        <v>0</v>
      </c>
      <c r="AQ32" s="212"/>
      <c r="AR32" s="213"/>
      <c r="AS32" s="70">
        <f t="shared" si="23"/>
        <v>0</v>
      </c>
      <c r="AT32" s="3"/>
      <c r="AU32" s="214"/>
      <c r="AV32" s="70">
        <f t="shared" si="24"/>
        <v>0</v>
      </c>
      <c r="AW32" s="3">
        <f t="shared" si="25"/>
        <v>1</v>
      </c>
      <c r="AX32" s="70">
        <v>3</v>
      </c>
      <c r="AY32" s="70">
        <f t="shared" si="26"/>
        <v>3</v>
      </c>
      <c r="AZ32" s="215">
        <f t="shared" si="27"/>
        <v>7.85</v>
      </c>
      <c r="BA32" s="3">
        <v>1</v>
      </c>
      <c r="BB32" s="3">
        <f t="shared" si="28"/>
        <v>47.4</v>
      </c>
      <c r="BC32" s="3"/>
      <c r="BD32" s="3">
        <v>50</v>
      </c>
      <c r="BE32" s="76" t="str">
        <f t="shared" si="29"/>
        <v>76131</v>
      </c>
      <c r="BF32" s="3" t="str">
        <f t="shared" si="30"/>
        <v>Karlsruhe</v>
      </c>
      <c r="BG32" s="194" t="str">
        <f t="shared" si="31"/>
        <v>DE</v>
      </c>
      <c r="BH32" s="194">
        <v>46.558575</v>
      </c>
      <c r="BI32" s="194">
        <f t="shared" si="19"/>
        <v>46.558575</v>
      </c>
      <c r="BJ32" s="194">
        <v>2.5</v>
      </c>
      <c r="BK32" s="194">
        <f t="shared" si="32"/>
        <v>1.2</v>
      </c>
      <c r="BL32" s="194">
        <v>2.5</v>
      </c>
      <c r="BM32" s="194"/>
      <c r="BN32" s="194">
        <f t="shared" si="33"/>
        <v>6.2</v>
      </c>
      <c r="BO32" s="195"/>
      <c r="BP32" s="194"/>
      <c r="BQ32" s="194">
        <f t="shared" si="34"/>
        <v>0</v>
      </c>
      <c r="BR32" s="196">
        <f t="shared" si="35"/>
        <v>52.758575</v>
      </c>
      <c r="BS32" s="216">
        <f t="shared" si="36"/>
        <v>60.608575</v>
      </c>
    </row>
    <row r="33" ht="14.25" spans="1:71">
      <c r="A33" s="67" t="s">
        <v>316</v>
      </c>
      <c r="B33" s="3">
        <f t="shared" si="0"/>
        <v>1</v>
      </c>
      <c r="C33" s="3">
        <v>1</v>
      </c>
      <c r="D33" s="3"/>
      <c r="E33" s="67" t="s">
        <v>188</v>
      </c>
      <c r="F33" s="3">
        <v>202510</v>
      </c>
      <c r="G33" s="67" t="s">
        <v>308</v>
      </c>
      <c r="H33" s="67" t="s">
        <v>308</v>
      </c>
      <c r="I33" s="67" t="s">
        <v>190</v>
      </c>
      <c r="J33" s="67" t="s">
        <v>97</v>
      </c>
      <c r="K33" s="67" t="s">
        <v>316</v>
      </c>
      <c r="L33" s="67" t="s">
        <v>191</v>
      </c>
      <c r="M33" s="67"/>
      <c r="N33" s="67" t="s">
        <v>192</v>
      </c>
      <c r="O33" s="67">
        <v>1</v>
      </c>
      <c r="P33" s="67" t="s">
        <v>193</v>
      </c>
      <c r="Q33" s="67">
        <v>47.4</v>
      </c>
      <c r="R33" s="67" t="s">
        <v>194</v>
      </c>
      <c r="S33" s="67" t="s">
        <v>195</v>
      </c>
      <c r="T33" s="67" t="s">
        <v>317</v>
      </c>
      <c r="U33" s="67" t="str">
        <f>VLOOKUP(T33,[5]semitemu_order_export_251110144!$R:$S,2,0)</f>
        <v>PO-076-01143136474232291</v>
      </c>
      <c r="V33" s="67"/>
      <c r="W33" s="67" t="s">
        <v>318</v>
      </c>
      <c r="X33" s="67" t="s">
        <v>319</v>
      </c>
      <c r="Y33" s="67" t="s">
        <v>199</v>
      </c>
      <c r="Z33" s="67"/>
      <c r="AA33" s="67"/>
      <c r="AB33" s="67"/>
      <c r="AC33" s="67" t="s">
        <v>316</v>
      </c>
      <c r="AD33" s="67" t="s">
        <v>200</v>
      </c>
      <c r="AE33" s="4" t="s">
        <v>201</v>
      </c>
      <c r="AF33" s="3" t="s">
        <v>202</v>
      </c>
      <c r="AG33" s="3">
        <v>47.4</v>
      </c>
      <c r="AH33" s="3"/>
      <c r="AI33" s="67">
        <v>1</v>
      </c>
      <c r="AJ33" s="3">
        <f t="shared" si="1"/>
        <v>47.4</v>
      </c>
      <c r="AK33" s="3">
        <f t="shared" si="20"/>
        <v>1</v>
      </c>
      <c r="AL33" s="70">
        <v>4.85</v>
      </c>
      <c r="AM33" s="70">
        <f t="shared" si="21"/>
        <v>4.85</v>
      </c>
      <c r="AN33" s="68"/>
      <c r="AO33" s="70"/>
      <c r="AP33" s="70">
        <f t="shared" si="22"/>
        <v>0</v>
      </c>
      <c r="AQ33" s="212"/>
      <c r="AR33" s="213"/>
      <c r="AS33" s="70">
        <f t="shared" si="23"/>
        <v>0</v>
      </c>
      <c r="AT33" s="3"/>
      <c r="AU33" s="214"/>
      <c r="AV33" s="70">
        <f t="shared" si="24"/>
        <v>0</v>
      </c>
      <c r="AW33" s="3">
        <f t="shared" si="25"/>
        <v>1</v>
      </c>
      <c r="AX33" s="70">
        <v>3</v>
      </c>
      <c r="AY33" s="70">
        <f t="shared" si="26"/>
        <v>3</v>
      </c>
      <c r="AZ33" s="215">
        <f t="shared" si="27"/>
        <v>7.85</v>
      </c>
      <c r="BA33" s="3">
        <v>1</v>
      </c>
      <c r="BB33" s="3">
        <f t="shared" si="28"/>
        <v>47.4</v>
      </c>
      <c r="BC33" s="3"/>
      <c r="BD33" s="3">
        <v>50</v>
      </c>
      <c r="BE33" s="76" t="str">
        <f t="shared" si="29"/>
        <v>99996</v>
      </c>
      <c r="BF33" s="3" t="str">
        <f t="shared" si="30"/>
        <v>Unstruttal</v>
      </c>
      <c r="BG33" s="194" t="str">
        <f t="shared" si="31"/>
        <v>DE</v>
      </c>
      <c r="BH33" s="194">
        <v>46.558575</v>
      </c>
      <c r="BI33" s="194">
        <f t="shared" si="19"/>
        <v>46.558575</v>
      </c>
      <c r="BJ33" s="194">
        <v>2.5</v>
      </c>
      <c r="BK33" s="194">
        <f t="shared" si="32"/>
        <v>1.2</v>
      </c>
      <c r="BL33" s="194">
        <v>2.5</v>
      </c>
      <c r="BM33" s="194"/>
      <c r="BN33" s="194">
        <f t="shared" si="33"/>
        <v>6.2</v>
      </c>
      <c r="BO33" s="195"/>
      <c r="BP33" s="194"/>
      <c r="BQ33" s="194">
        <f t="shared" si="34"/>
        <v>0</v>
      </c>
      <c r="BR33" s="196">
        <f t="shared" si="35"/>
        <v>52.758575</v>
      </c>
      <c r="BS33" s="216">
        <f t="shared" si="36"/>
        <v>60.608575</v>
      </c>
    </row>
    <row r="34" ht="14.25" spans="1:71">
      <c r="A34" s="67" t="s">
        <v>320</v>
      </c>
      <c r="B34" s="3">
        <f t="shared" si="0"/>
        <v>1</v>
      </c>
      <c r="C34" s="3">
        <v>1</v>
      </c>
      <c r="D34" s="3"/>
      <c r="E34" s="67" t="s">
        <v>188</v>
      </c>
      <c r="F34" s="3">
        <v>202510</v>
      </c>
      <c r="G34" s="67" t="s">
        <v>308</v>
      </c>
      <c r="H34" s="67" t="s">
        <v>308</v>
      </c>
      <c r="I34" s="67" t="s">
        <v>190</v>
      </c>
      <c r="J34" s="67" t="s">
        <v>97</v>
      </c>
      <c r="K34" s="67" t="s">
        <v>320</v>
      </c>
      <c r="L34" s="67" t="s">
        <v>191</v>
      </c>
      <c r="M34" s="67"/>
      <c r="N34" s="67" t="s">
        <v>192</v>
      </c>
      <c r="O34" s="67">
        <v>1</v>
      </c>
      <c r="P34" s="67" t="s">
        <v>193</v>
      </c>
      <c r="Q34" s="67">
        <v>47.4</v>
      </c>
      <c r="R34" s="67" t="s">
        <v>194</v>
      </c>
      <c r="S34" s="67" t="s">
        <v>195</v>
      </c>
      <c r="T34" s="67" t="s">
        <v>321</v>
      </c>
      <c r="U34" s="67" t="str">
        <f>VLOOKUP(T34,[5]semitemu_order_export_251110144!$R:$S,2,0)</f>
        <v>PO-076-11767835346550915</v>
      </c>
      <c r="V34" s="67"/>
      <c r="W34" s="67" t="s">
        <v>322</v>
      </c>
      <c r="X34" s="67" t="s">
        <v>323</v>
      </c>
      <c r="Y34" s="67" t="s">
        <v>199</v>
      </c>
      <c r="Z34" s="67"/>
      <c r="AA34" s="67"/>
      <c r="AB34" s="67"/>
      <c r="AC34" s="67" t="s">
        <v>320</v>
      </c>
      <c r="AD34" s="67" t="s">
        <v>243</v>
      </c>
      <c r="AE34" s="4" t="s">
        <v>244</v>
      </c>
      <c r="AF34" s="3" t="s">
        <v>202</v>
      </c>
      <c r="AG34" s="3">
        <v>47.4</v>
      </c>
      <c r="AH34" s="3"/>
      <c r="AI34" s="67">
        <v>1</v>
      </c>
      <c r="AJ34" s="3">
        <f t="shared" si="1"/>
        <v>47.4</v>
      </c>
      <c r="AK34" s="3">
        <f t="shared" si="20"/>
        <v>1</v>
      </c>
      <c r="AL34" s="70">
        <v>4.85</v>
      </c>
      <c r="AM34" s="70">
        <f t="shared" si="21"/>
        <v>4.85</v>
      </c>
      <c r="AN34" s="68"/>
      <c r="AO34" s="70"/>
      <c r="AP34" s="70">
        <f t="shared" si="22"/>
        <v>0</v>
      </c>
      <c r="AQ34" s="212"/>
      <c r="AR34" s="213"/>
      <c r="AS34" s="70">
        <f t="shared" si="23"/>
        <v>0</v>
      </c>
      <c r="AT34" s="3"/>
      <c r="AU34" s="214"/>
      <c r="AV34" s="70">
        <f t="shared" si="24"/>
        <v>0</v>
      </c>
      <c r="AW34" s="3">
        <f t="shared" si="25"/>
        <v>1</v>
      </c>
      <c r="AX34" s="70">
        <v>3</v>
      </c>
      <c r="AY34" s="70">
        <f t="shared" si="26"/>
        <v>3</v>
      </c>
      <c r="AZ34" s="215">
        <f t="shared" si="27"/>
        <v>7.85</v>
      </c>
      <c r="BA34" s="3">
        <v>1</v>
      </c>
      <c r="BB34" s="3">
        <f t="shared" si="28"/>
        <v>47.4</v>
      </c>
      <c r="BC34" s="3"/>
      <c r="BD34" s="3">
        <v>50</v>
      </c>
      <c r="BE34" s="76" t="str">
        <f t="shared" si="29"/>
        <v>96231</v>
      </c>
      <c r="BF34" s="3" t="str">
        <f t="shared" si="30"/>
        <v>Bad Staffelstein</v>
      </c>
      <c r="BG34" s="194" t="str">
        <f t="shared" si="31"/>
        <v>DE</v>
      </c>
      <c r="BH34" s="194">
        <v>46.558575</v>
      </c>
      <c r="BI34" s="194">
        <f t="shared" si="19"/>
        <v>46.558575</v>
      </c>
      <c r="BJ34" s="194">
        <v>2.5</v>
      </c>
      <c r="BK34" s="194">
        <f t="shared" si="32"/>
        <v>1.2</v>
      </c>
      <c r="BL34" s="194">
        <v>2.5</v>
      </c>
      <c r="BM34" s="194"/>
      <c r="BN34" s="194">
        <f t="shared" si="33"/>
        <v>6.2</v>
      </c>
      <c r="BO34" s="195"/>
      <c r="BP34" s="194"/>
      <c r="BQ34" s="194">
        <f t="shared" si="34"/>
        <v>0</v>
      </c>
      <c r="BR34" s="196">
        <f t="shared" si="35"/>
        <v>52.758575</v>
      </c>
      <c r="BS34" s="216">
        <f t="shared" si="36"/>
        <v>60.608575</v>
      </c>
    </row>
    <row r="35" ht="14.25" spans="1:71">
      <c r="A35" s="67" t="s">
        <v>324</v>
      </c>
      <c r="B35" s="3">
        <f t="shared" si="0"/>
        <v>1</v>
      </c>
      <c r="C35" s="3">
        <v>1</v>
      </c>
      <c r="D35" s="3"/>
      <c r="E35" s="67" t="s">
        <v>188</v>
      </c>
      <c r="F35" s="3">
        <v>202510</v>
      </c>
      <c r="G35" s="67" t="s">
        <v>308</v>
      </c>
      <c r="H35" s="67" t="s">
        <v>308</v>
      </c>
      <c r="I35" s="67" t="s">
        <v>190</v>
      </c>
      <c r="J35" s="67" t="s">
        <v>97</v>
      </c>
      <c r="K35" s="67" t="s">
        <v>324</v>
      </c>
      <c r="L35" s="67" t="s">
        <v>191</v>
      </c>
      <c r="M35" s="67"/>
      <c r="N35" s="67" t="s">
        <v>192</v>
      </c>
      <c r="O35" s="67">
        <v>1</v>
      </c>
      <c r="P35" s="67" t="s">
        <v>193</v>
      </c>
      <c r="Q35" s="67">
        <v>47.4</v>
      </c>
      <c r="R35" s="67" t="s">
        <v>194</v>
      </c>
      <c r="S35" s="67" t="s">
        <v>195</v>
      </c>
      <c r="T35" s="67" t="s">
        <v>325</v>
      </c>
      <c r="U35" s="67" t="str">
        <f>VLOOKUP(T35,[5]semitemu_order_export_251110144!$R:$S,2,0)</f>
        <v>PO-076-11763896474230904</v>
      </c>
      <c r="V35" s="67"/>
      <c r="W35" s="67" t="s">
        <v>326</v>
      </c>
      <c r="X35" s="67" t="s">
        <v>327</v>
      </c>
      <c r="Y35" s="67" t="s">
        <v>199</v>
      </c>
      <c r="Z35" s="67"/>
      <c r="AA35" s="67"/>
      <c r="AB35" s="67"/>
      <c r="AC35" s="67" t="s">
        <v>324</v>
      </c>
      <c r="AD35" s="67" t="s">
        <v>212</v>
      </c>
      <c r="AE35" s="4" t="s">
        <v>213</v>
      </c>
      <c r="AF35" s="3" t="s">
        <v>202</v>
      </c>
      <c r="AG35" s="3">
        <v>47.4</v>
      </c>
      <c r="AH35" s="3"/>
      <c r="AI35" s="67">
        <v>1</v>
      </c>
      <c r="AJ35" s="3">
        <f t="shared" si="1"/>
        <v>47.4</v>
      </c>
      <c r="AK35" s="3">
        <f t="shared" si="20"/>
        <v>1</v>
      </c>
      <c r="AL35" s="70">
        <v>4.85</v>
      </c>
      <c r="AM35" s="70">
        <f t="shared" si="21"/>
        <v>4.85</v>
      </c>
      <c r="AN35" s="68"/>
      <c r="AO35" s="70"/>
      <c r="AP35" s="70">
        <f t="shared" si="22"/>
        <v>0</v>
      </c>
      <c r="AQ35" s="212"/>
      <c r="AR35" s="213"/>
      <c r="AS35" s="70">
        <f t="shared" si="23"/>
        <v>0</v>
      </c>
      <c r="AT35" s="3"/>
      <c r="AU35" s="214"/>
      <c r="AV35" s="70">
        <f t="shared" si="24"/>
        <v>0</v>
      </c>
      <c r="AW35" s="3">
        <f t="shared" si="25"/>
        <v>1</v>
      </c>
      <c r="AX35" s="70">
        <v>3</v>
      </c>
      <c r="AY35" s="70">
        <f t="shared" si="26"/>
        <v>3</v>
      </c>
      <c r="AZ35" s="215">
        <f t="shared" si="27"/>
        <v>7.85</v>
      </c>
      <c r="BA35" s="3">
        <v>1</v>
      </c>
      <c r="BB35" s="3">
        <f t="shared" si="28"/>
        <v>47.4</v>
      </c>
      <c r="BC35" s="3"/>
      <c r="BD35" s="3">
        <v>50</v>
      </c>
      <c r="BE35" s="76" t="str">
        <f t="shared" si="29"/>
        <v>61130</v>
      </c>
      <c r="BF35" s="3" t="str">
        <f t="shared" si="30"/>
        <v>Nidderau</v>
      </c>
      <c r="BG35" s="194" t="str">
        <f t="shared" si="31"/>
        <v>DE</v>
      </c>
      <c r="BH35" s="194">
        <v>46.558575</v>
      </c>
      <c r="BI35" s="194">
        <f t="shared" si="19"/>
        <v>46.558575</v>
      </c>
      <c r="BJ35" s="194">
        <v>2.5</v>
      </c>
      <c r="BK35" s="194">
        <f t="shared" si="32"/>
        <v>1.2</v>
      </c>
      <c r="BL35" s="194">
        <v>2.5</v>
      </c>
      <c r="BM35" s="194"/>
      <c r="BN35" s="194">
        <f t="shared" si="33"/>
        <v>6.2</v>
      </c>
      <c r="BO35" s="195"/>
      <c r="BP35" s="194"/>
      <c r="BQ35" s="194">
        <f t="shared" si="34"/>
        <v>0</v>
      </c>
      <c r="BR35" s="196">
        <f t="shared" si="35"/>
        <v>52.758575</v>
      </c>
      <c r="BS35" s="216">
        <f t="shared" si="36"/>
        <v>60.608575</v>
      </c>
    </row>
    <row r="36" ht="14.25" spans="1:71">
      <c r="A36" s="67" t="s">
        <v>328</v>
      </c>
      <c r="B36" s="3">
        <f t="shared" si="0"/>
        <v>1</v>
      </c>
      <c r="C36" s="3">
        <v>1</v>
      </c>
      <c r="D36" s="3"/>
      <c r="E36" s="67" t="s">
        <v>188</v>
      </c>
      <c r="F36" s="3">
        <v>202510</v>
      </c>
      <c r="G36" s="67" t="s">
        <v>308</v>
      </c>
      <c r="H36" s="67" t="s">
        <v>308</v>
      </c>
      <c r="I36" s="67" t="s">
        <v>190</v>
      </c>
      <c r="J36" s="67" t="s">
        <v>97</v>
      </c>
      <c r="K36" s="67" t="s">
        <v>328</v>
      </c>
      <c r="L36" s="67" t="s">
        <v>191</v>
      </c>
      <c r="M36" s="67"/>
      <c r="N36" s="67" t="s">
        <v>192</v>
      </c>
      <c r="O36" s="67">
        <v>1</v>
      </c>
      <c r="P36" s="67" t="s">
        <v>193</v>
      </c>
      <c r="Q36" s="67">
        <v>47.4</v>
      </c>
      <c r="R36" s="67" t="s">
        <v>194</v>
      </c>
      <c r="S36" s="67" t="s">
        <v>195</v>
      </c>
      <c r="T36" s="67" t="s">
        <v>329</v>
      </c>
      <c r="U36" s="67" t="str">
        <f>VLOOKUP(T36,[6]ebay_order_export_251110145132!$S:$T,2,0)</f>
        <v>14-13687-11781</v>
      </c>
      <c r="V36" s="67"/>
      <c r="W36" s="67" t="s">
        <v>330</v>
      </c>
      <c r="X36" s="67" t="s">
        <v>331</v>
      </c>
      <c r="Y36" s="67" t="s">
        <v>199</v>
      </c>
      <c r="Z36" s="67"/>
      <c r="AA36" s="67"/>
      <c r="AB36" s="67"/>
      <c r="AC36" s="67" t="s">
        <v>328</v>
      </c>
      <c r="AD36" s="67" t="s">
        <v>212</v>
      </c>
      <c r="AE36" s="4" t="s">
        <v>213</v>
      </c>
      <c r="AF36" s="3" t="s">
        <v>202</v>
      </c>
      <c r="AG36" s="3">
        <v>47.4</v>
      </c>
      <c r="AH36" s="3"/>
      <c r="AI36" s="67">
        <v>1</v>
      </c>
      <c r="AJ36" s="3">
        <f t="shared" si="1"/>
        <v>47.4</v>
      </c>
      <c r="AK36" s="3">
        <f t="shared" si="20"/>
        <v>1</v>
      </c>
      <c r="AL36" s="70">
        <v>4.85</v>
      </c>
      <c r="AM36" s="70">
        <f t="shared" si="21"/>
        <v>4.85</v>
      </c>
      <c r="AN36" s="68"/>
      <c r="AO36" s="70"/>
      <c r="AP36" s="70">
        <f t="shared" si="22"/>
        <v>0</v>
      </c>
      <c r="AQ36" s="212"/>
      <c r="AR36" s="213"/>
      <c r="AS36" s="70">
        <f t="shared" si="23"/>
        <v>0</v>
      </c>
      <c r="AT36" s="3"/>
      <c r="AU36" s="214"/>
      <c r="AV36" s="70">
        <f t="shared" si="24"/>
        <v>0</v>
      </c>
      <c r="AW36" s="3">
        <f t="shared" si="25"/>
        <v>1</v>
      </c>
      <c r="AX36" s="70">
        <v>3</v>
      </c>
      <c r="AY36" s="70">
        <f t="shared" si="26"/>
        <v>3</v>
      </c>
      <c r="AZ36" s="215">
        <f t="shared" si="27"/>
        <v>7.85</v>
      </c>
      <c r="BA36" s="3">
        <v>1</v>
      </c>
      <c r="BB36" s="3">
        <f t="shared" si="28"/>
        <v>47.4</v>
      </c>
      <c r="BC36" s="3"/>
      <c r="BD36" s="3">
        <v>50</v>
      </c>
      <c r="BE36" s="76" t="str">
        <f t="shared" si="29"/>
        <v>23569</v>
      </c>
      <c r="BF36" s="3" t="str">
        <f t="shared" si="30"/>
        <v>Lübeck</v>
      </c>
      <c r="BG36" s="194" t="str">
        <f t="shared" si="31"/>
        <v>DE</v>
      </c>
      <c r="BH36" s="194">
        <v>46.558575</v>
      </c>
      <c r="BI36" s="194">
        <f t="shared" si="19"/>
        <v>46.558575</v>
      </c>
      <c r="BJ36" s="194">
        <v>2.5</v>
      </c>
      <c r="BK36" s="194">
        <f t="shared" si="32"/>
        <v>1.2</v>
      </c>
      <c r="BL36" s="194">
        <v>2.5</v>
      </c>
      <c r="BM36" s="194"/>
      <c r="BN36" s="194">
        <f t="shared" si="33"/>
        <v>6.2</v>
      </c>
      <c r="BO36" s="195"/>
      <c r="BP36" s="194"/>
      <c r="BQ36" s="194">
        <f t="shared" si="34"/>
        <v>0</v>
      </c>
      <c r="BR36" s="196">
        <f t="shared" si="35"/>
        <v>52.758575</v>
      </c>
      <c r="BS36" s="216">
        <f t="shared" si="36"/>
        <v>60.608575</v>
      </c>
    </row>
    <row r="37" ht="14.25" spans="1:71">
      <c r="A37" s="67" t="s">
        <v>332</v>
      </c>
      <c r="B37" s="3">
        <f t="shared" si="0"/>
        <v>1</v>
      </c>
      <c r="C37" s="3">
        <v>1</v>
      </c>
      <c r="D37" s="3"/>
      <c r="E37" s="67" t="s">
        <v>188</v>
      </c>
      <c r="F37" s="3">
        <v>202510</v>
      </c>
      <c r="G37" s="67" t="s">
        <v>308</v>
      </c>
      <c r="H37" s="67" t="s">
        <v>308</v>
      </c>
      <c r="I37" s="67" t="s">
        <v>190</v>
      </c>
      <c r="J37" s="67" t="s">
        <v>97</v>
      </c>
      <c r="K37" s="67" t="s">
        <v>332</v>
      </c>
      <c r="L37" s="67" t="s">
        <v>191</v>
      </c>
      <c r="M37" s="67"/>
      <c r="N37" s="67" t="s">
        <v>192</v>
      </c>
      <c r="O37" s="67">
        <v>1</v>
      </c>
      <c r="P37" s="67" t="s">
        <v>193</v>
      </c>
      <c r="Q37" s="67">
        <v>47.4</v>
      </c>
      <c r="R37" s="67" t="s">
        <v>194</v>
      </c>
      <c r="S37" s="67" t="s">
        <v>195</v>
      </c>
      <c r="T37" s="67" t="s">
        <v>333</v>
      </c>
      <c r="U37" s="67" t="str">
        <f>VLOOKUP(T37,[5]semitemu_order_export_251110144!$R:$S,2,0)</f>
        <v>PO-076-20612291739513460</v>
      </c>
      <c r="V37" s="67"/>
      <c r="W37" s="67" t="s">
        <v>334</v>
      </c>
      <c r="X37" s="67" t="s">
        <v>335</v>
      </c>
      <c r="Y37" s="67" t="s">
        <v>199</v>
      </c>
      <c r="Z37" s="67"/>
      <c r="AA37" s="67"/>
      <c r="AB37" s="67"/>
      <c r="AC37" s="67" t="s">
        <v>332</v>
      </c>
      <c r="AD37" s="67" t="s">
        <v>212</v>
      </c>
      <c r="AE37" s="4" t="s">
        <v>213</v>
      </c>
      <c r="AF37" s="3" t="s">
        <v>202</v>
      </c>
      <c r="AG37" s="3">
        <v>47.4</v>
      </c>
      <c r="AH37" s="3"/>
      <c r="AI37" s="67">
        <v>1</v>
      </c>
      <c r="AJ37" s="3">
        <f t="shared" si="1"/>
        <v>47.4</v>
      </c>
      <c r="AK37" s="3">
        <f t="shared" si="20"/>
        <v>1</v>
      </c>
      <c r="AL37" s="70">
        <v>4.85</v>
      </c>
      <c r="AM37" s="70">
        <f t="shared" si="21"/>
        <v>4.85</v>
      </c>
      <c r="AN37" s="68"/>
      <c r="AO37" s="70"/>
      <c r="AP37" s="70">
        <f t="shared" si="22"/>
        <v>0</v>
      </c>
      <c r="AQ37" s="212"/>
      <c r="AR37" s="213"/>
      <c r="AS37" s="70">
        <f t="shared" si="23"/>
        <v>0</v>
      </c>
      <c r="AT37" s="3"/>
      <c r="AU37" s="214"/>
      <c r="AV37" s="70">
        <f t="shared" si="24"/>
        <v>0</v>
      </c>
      <c r="AW37" s="3">
        <f t="shared" si="25"/>
        <v>1</v>
      </c>
      <c r="AX37" s="70">
        <v>3</v>
      </c>
      <c r="AY37" s="70">
        <f t="shared" si="26"/>
        <v>3</v>
      </c>
      <c r="AZ37" s="215">
        <f t="shared" si="27"/>
        <v>7.85</v>
      </c>
      <c r="BA37" s="3">
        <v>1</v>
      </c>
      <c r="BB37" s="3">
        <f t="shared" si="28"/>
        <v>47.4</v>
      </c>
      <c r="BC37" s="3"/>
      <c r="BD37" s="3">
        <v>50</v>
      </c>
      <c r="BE37" s="76" t="str">
        <f t="shared" si="29"/>
        <v>23843</v>
      </c>
      <c r="BF37" s="3" t="str">
        <f t="shared" si="30"/>
        <v>Bad Oldesloe</v>
      </c>
      <c r="BG37" s="194" t="str">
        <f t="shared" si="31"/>
        <v>DE</v>
      </c>
      <c r="BH37" s="194">
        <v>46.558575</v>
      </c>
      <c r="BI37" s="194">
        <f t="shared" si="19"/>
        <v>46.558575</v>
      </c>
      <c r="BJ37" s="194">
        <v>2.5</v>
      </c>
      <c r="BK37" s="194">
        <f t="shared" si="32"/>
        <v>1.2</v>
      </c>
      <c r="BL37" s="194">
        <v>2.5</v>
      </c>
      <c r="BM37" s="194"/>
      <c r="BN37" s="194">
        <f t="shared" si="33"/>
        <v>6.2</v>
      </c>
      <c r="BO37" s="195"/>
      <c r="BP37" s="194"/>
      <c r="BQ37" s="194">
        <f t="shared" si="34"/>
        <v>0</v>
      </c>
      <c r="BR37" s="196">
        <f t="shared" si="35"/>
        <v>52.758575</v>
      </c>
      <c r="BS37" s="216">
        <f t="shared" si="36"/>
        <v>60.608575</v>
      </c>
    </row>
    <row r="38" ht="14.25" spans="1:71">
      <c r="A38" s="67" t="s">
        <v>336</v>
      </c>
      <c r="B38" s="3">
        <f t="shared" si="0"/>
        <v>1</v>
      </c>
      <c r="C38" s="3">
        <v>1</v>
      </c>
      <c r="D38" s="3"/>
      <c r="E38" s="67" t="s">
        <v>188</v>
      </c>
      <c r="F38" s="3">
        <v>202510</v>
      </c>
      <c r="G38" s="67" t="s">
        <v>308</v>
      </c>
      <c r="H38" s="67" t="s">
        <v>308</v>
      </c>
      <c r="I38" s="67" t="s">
        <v>190</v>
      </c>
      <c r="J38" s="67" t="s">
        <v>97</v>
      </c>
      <c r="K38" s="67" t="s">
        <v>336</v>
      </c>
      <c r="L38" s="67" t="s">
        <v>191</v>
      </c>
      <c r="M38" s="67"/>
      <c r="N38" s="67" t="s">
        <v>192</v>
      </c>
      <c r="O38" s="67">
        <v>1</v>
      </c>
      <c r="P38" s="67" t="s">
        <v>193</v>
      </c>
      <c r="Q38" s="67">
        <v>47.4</v>
      </c>
      <c r="R38" s="67" t="s">
        <v>194</v>
      </c>
      <c r="S38" s="67" t="s">
        <v>195</v>
      </c>
      <c r="T38" s="67" t="s">
        <v>337</v>
      </c>
      <c r="U38" s="67" t="str">
        <f>VLOOKUP(T38,[5]semitemu_order_export_251110144!$R:$S,2,0)</f>
        <v>PO-076-20612291739513460</v>
      </c>
      <c r="V38" s="67"/>
      <c r="W38" s="67" t="s">
        <v>334</v>
      </c>
      <c r="X38" s="67" t="s">
        <v>335</v>
      </c>
      <c r="Y38" s="67" t="s">
        <v>199</v>
      </c>
      <c r="Z38" s="67"/>
      <c r="AA38" s="67"/>
      <c r="AB38" s="67"/>
      <c r="AC38" s="67" t="s">
        <v>336</v>
      </c>
      <c r="AD38" s="67" t="s">
        <v>212</v>
      </c>
      <c r="AE38" s="4" t="s">
        <v>213</v>
      </c>
      <c r="AF38" s="3" t="s">
        <v>202</v>
      </c>
      <c r="AG38" s="3">
        <v>47.4</v>
      </c>
      <c r="AH38" s="3"/>
      <c r="AI38" s="67">
        <v>1</v>
      </c>
      <c r="AJ38" s="3">
        <f t="shared" si="1"/>
        <v>47.4</v>
      </c>
      <c r="AK38" s="3">
        <f t="shared" si="20"/>
        <v>1</v>
      </c>
      <c r="AL38" s="70">
        <v>4.85</v>
      </c>
      <c r="AM38" s="70">
        <f t="shared" si="21"/>
        <v>4.85</v>
      </c>
      <c r="AN38" s="68"/>
      <c r="AO38" s="70"/>
      <c r="AP38" s="70">
        <f t="shared" si="22"/>
        <v>0</v>
      </c>
      <c r="AQ38" s="212"/>
      <c r="AR38" s="213"/>
      <c r="AS38" s="70">
        <f t="shared" si="23"/>
        <v>0</v>
      </c>
      <c r="AT38" s="3"/>
      <c r="AU38" s="214"/>
      <c r="AV38" s="70">
        <f t="shared" si="24"/>
        <v>0</v>
      </c>
      <c r="AW38" s="3">
        <f t="shared" si="25"/>
        <v>1</v>
      </c>
      <c r="AX38" s="70">
        <v>3</v>
      </c>
      <c r="AY38" s="70">
        <f t="shared" si="26"/>
        <v>3</v>
      </c>
      <c r="AZ38" s="215">
        <f t="shared" si="27"/>
        <v>7.85</v>
      </c>
      <c r="BA38" s="3">
        <v>1</v>
      </c>
      <c r="BB38" s="3">
        <f t="shared" si="28"/>
        <v>47.4</v>
      </c>
      <c r="BC38" s="3"/>
      <c r="BD38" s="3">
        <v>50</v>
      </c>
      <c r="BE38" s="76" t="str">
        <f t="shared" si="29"/>
        <v>23843</v>
      </c>
      <c r="BF38" s="3" t="str">
        <f t="shared" si="30"/>
        <v>Bad Oldesloe</v>
      </c>
      <c r="BG38" s="194" t="str">
        <f t="shared" si="31"/>
        <v>DE</v>
      </c>
      <c r="BH38" s="194">
        <v>46.558575</v>
      </c>
      <c r="BI38" s="194">
        <f t="shared" si="19"/>
        <v>46.558575</v>
      </c>
      <c r="BJ38" s="194">
        <v>2.5</v>
      </c>
      <c r="BK38" s="194">
        <f t="shared" si="32"/>
        <v>1.2</v>
      </c>
      <c r="BL38" s="194">
        <v>2.5</v>
      </c>
      <c r="BM38" s="194"/>
      <c r="BN38" s="194">
        <f t="shared" si="33"/>
        <v>6.2</v>
      </c>
      <c r="BO38" s="195"/>
      <c r="BP38" s="194"/>
      <c r="BQ38" s="194">
        <f t="shared" si="34"/>
        <v>0</v>
      </c>
      <c r="BR38" s="196">
        <f t="shared" si="35"/>
        <v>52.758575</v>
      </c>
      <c r="BS38" s="216">
        <f t="shared" si="36"/>
        <v>60.608575</v>
      </c>
    </row>
    <row r="39" ht="14.25" spans="1:71">
      <c r="A39" s="67" t="s">
        <v>338</v>
      </c>
      <c r="B39" s="3">
        <f t="shared" si="0"/>
        <v>1</v>
      </c>
      <c r="C39" s="3">
        <v>1</v>
      </c>
      <c r="D39" s="3"/>
      <c r="E39" s="67" t="s">
        <v>188</v>
      </c>
      <c r="F39" s="3">
        <v>202510</v>
      </c>
      <c r="G39" s="67" t="s">
        <v>339</v>
      </c>
      <c r="H39" s="67" t="s">
        <v>339</v>
      </c>
      <c r="I39" s="67" t="s">
        <v>190</v>
      </c>
      <c r="J39" s="67" t="s">
        <v>97</v>
      </c>
      <c r="K39" s="67" t="s">
        <v>338</v>
      </c>
      <c r="L39" s="67" t="s">
        <v>191</v>
      </c>
      <c r="M39" s="67"/>
      <c r="N39" s="67" t="s">
        <v>192</v>
      </c>
      <c r="O39" s="67">
        <v>1</v>
      </c>
      <c r="P39" s="67" t="s">
        <v>193</v>
      </c>
      <c r="Q39" s="67">
        <v>47.4</v>
      </c>
      <c r="R39" s="67" t="s">
        <v>194</v>
      </c>
      <c r="S39" s="67" t="s">
        <v>195</v>
      </c>
      <c r="T39" s="67" t="s">
        <v>340</v>
      </c>
      <c r="U39" s="67" t="str">
        <f>VLOOKUP(T39,[5]semitemu_order_export_251110144!$R:$S,2,0)</f>
        <v>PO-076-06372173758071587</v>
      </c>
      <c r="V39" s="67"/>
      <c r="W39" s="67" t="s">
        <v>341</v>
      </c>
      <c r="X39" s="67" t="s">
        <v>342</v>
      </c>
      <c r="Y39" s="67" t="s">
        <v>199</v>
      </c>
      <c r="Z39" s="67"/>
      <c r="AA39" s="67"/>
      <c r="AB39" s="67"/>
      <c r="AC39" s="67" t="s">
        <v>338</v>
      </c>
      <c r="AD39" s="67" t="s">
        <v>212</v>
      </c>
      <c r="AE39" s="4" t="s">
        <v>213</v>
      </c>
      <c r="AF39" s="3" t="s">
        <v>202</v>
      </c>
      <c r="AG39" s="3">
        <v>47.4</v>
      </c>
      <c r="AH39" s="3"/>
      <c r="AI39" s="67">
        <v>1</v>
      </c>
      <c r="AJ39" s="3">
        <f t="shared" si="1"/>
        <v>47.4</v>
      </c>
      <c r="AK39" s="3">
        <f t="shared" si="20"/>
        <v>1</v>
      </c>
      <c r="AL39" s="70">
        <v>4.85</v>
      </c>
      <c r="AM39" s="70">
        <f t="shared" si="21"/>
        <v>4.85</v>
      </c>
      <c r="AN39" s="68"/>
      <c r="AO39" s="70"/>
      <c r="AP39" s="70">
        <f t="shared" si="22"/>
        <v>0</v>
      </c>
      <c r="AQ39" s="212"/>
      <c r="AR39" s="213"/>
      <c r="AS39" s="70">
        <f t="shared" si="23"/>
        <v>0</v>
      </c>
      <c r="AT39" s="3"/>
      <c r="AU39" s="214"/>
      <c r="AV39" s="70">
        <f t="shared" si="24"/>
        <v>0</v>
      </c>
      <c r="AW39" s="3">
        <f t="shared" si="25"/>
        <v>1</v>
      </c>
      <c r="AX39" s="70">
        <v>3</v>
      </c>
      <c r="AY39" s="70">
        <f t="shared" si="26"/>
        <v>3</v>
      </c>
      <c r="AZ39" s="215">
        <f t="shared" si="27"/>
        <v>7.85</v>
      </c>
      <c r="BA39" s="3">
        <v>1</v>
      </c>
      <c r="BB39" s="3">
        <f t="shared" si="28"/>
        <v>47.4</v>
      </c>
      <c r="BC39" s="3"/>
      <c r="BD39" s="3">
        <v>50</v>
      </c>
      <c r="BE39" s="76" t="str">
        <f t="shared" si="29"/>
        <v>73079</v>
      </c>
      <c r="BF39" s="3" t="str">
        <f t="shared" si="30"/>
        <v>Süßen</v>
      </c>
      <c r="BG39" s="194" t="str">
        <f t="shared" si="31"/>
        <v>DE</v>
      </c>
      <c r="BH39" s="194">
        <v>46.558575</v>
      </c>
      <c r="BI39" s="194">
        <f t="shared" si="19"/>
        <v>46.558575</v>
      </c>
      <c r="BJ39" s="194">
        <v>2.5</v>
      </c>
      <c r="BK39" s="194">
        <f t="shared" si="32"/>
        <v>1.2</v>
      </c>
      <c r="BL39" s="194">
        <v>2.5</v>
      </c>
      <c r="BM39" s="194"/>
      <c r="BN39" s="194">
        <f t="shared" si="33"/>
        <v>6.2</v>
      </c>
      <c r="BO39" s="195"/>
      <c r="BP39" s="194"/>
      <c r="BQ39" s="194">
        <f t="shared" si="34"/>
        <v>0</v>
      </c>
      <c r="BR39" s="196">
        <f t="shared" si="35"/>
        <v>52.758575</v>
      </c>
      <c r="BS39" s="216">
        <f t="shared" si="36"/>
        <v>60.608575</v>
      </c>
    </row>
    <row r="40" ht="14.25" spans="1:71">
      <c r="A40" s="67" t="s">
        <v>343</v>
      </c>
      <c r="B40" s="3">
        <f t="shared" si="0"/>
        <v>1</v>
      </c>
      <c r="C40" s="3">
        <v>1</v>
      </c>
      <c r="D40" s="3"/>
      <c r="E40" s="67" t="s">
        <v>188</v>
      </c>
      <c r="F40" s="3">
        <v>202510</v>
      </c>
      <c r="G40" s="67" t="s">
        <v>339</v>
      </c>
      <c r="H40" s="67" t="s">
        <v>339</v>
      </c>
      <c r="I40" s="67" t="s">
        <v>190</v>
      </c>
      <c r="J40" s="67" t="s">
        <v>97</v>
      </c>
      <c r="K40" s="67" t="s">
        <v>343</v>
      </c>
      <c r="L40" s="67" t="s">
        <v>191</v>
      </c>
      <c r="M40" s="67"/>
      <c r="N40" s="67" t="s">
        <v>192</v>
      </c>
      <c r="O40" s="67">
        <v>1</v>
      </c>
      <c r="P40" s="67" t="s">
        <v>193</v>
      </c>
      <c r="Q40" s="67">
        <v>47.4</v>
      </c>
      <c r="R40" s="67" t="s">
        <v>194</v>
      </c>
      <c r="S40" s="67" t="s">
        <v>195</v>
      </c>
      <c r="T40" s="67" t="s">
        <v>344</v>
      </c>
      <c r="U40" s="67" t="str">
        <f>VLOOKUP(T40,[5]semitemu_order_export_251110144!$R:$S,2,0)</f>
        <v>PO-076-06750099461753911</v>
      </c>
      <c r="V40" s="67"/>
      <c r="W40" s="67" t="s">
        <v>345</v>
      </c>
      <c r="X40" s="67" t="s">
        <v>346</v>
      </c>
      <c r="Y40" s="67" t="s">
        <v>199</v>
      </c>
      <c r="Z40" s="67"/>
      <c r="AA40" s="67"/>
      <c r="AB40" s="67"/>
      <c r="AC40" s="67" t="s">
        <v>343</v>
      </c>
      <c r="AD40" s="67" t="s">
        <v>243</v>
      </c>
      <c r="AE40" s="4" t="s">
        <v>244</v>
      </c>
      <c r="AF40" s="3" t="s">
        <v>202</v>
      </c>
      <c r="AG40" s="3">
        <v>47.4</v>
      </c>
      <c r="AH40" s="3"/>
      <c r="AI40" s="67">
        <v>1</v>
      </c>
      <c r="AJ40" s="3">
        <f t="shared" si="1"/>
        <v>47.4</v>
      </c>
      <c r="AK40" s="3">
        <f t="shared" si="20"/>
        <v>1</v>
      </c>
      <c r="AL40" s="70">
        <v>4.85</v>
      </c>
      <c r="AM40" s="70">
        <f t="shared" si="21"/>
        <v>4.85</v>
      </c>
      <c r="AN40" s="68"/>
      <c r="AO40" s="70"/>
      <c r="AP40" s="70">
        <f t="shared" si="22"/>
        <v>0</v>
      </c>
      <c r="AQ40" s="212"/>
      <c r="AR40" s="213"/>
      <c r="AS40" s="70">
        <f t="shared" si="23"/>
        <v>0</v>
      </c>
      <c r="AT40" s="3"/>
      <c r="AU40" s="214"/>
      <c r="AV40" s="70">
        <f t="shared" si="24"/>
        <v>0</v>
      </c>
      <c r="AW40" s="3">
        <f t="shared" si="25"/>
        <v>1</v>
      </c>
      <c r="AX40" s="70">
        <v>3</v>
      </c>
      <c r="AY40" s="70">
        <f t="shared" si="26"/>
        <v>3</v>
      </c>
      <c r="AZ40" s="215">
        <f t="shared" si="27"/>
        <v>7.85</v>
      </c>
      <c r="BA40" s="3">
        <v>1</v>
      </c>
      <c r="BB40" s="3">
        <f t="shared" si="28"/>
        <v>47.4</v>
      </c>
      <c r="BC40" s="3"/>
      <c r="BD40" s="3">
        <v>50</v>
      </c>
      <c r="BE40" s="76" t="str">
        <f t="shared" si="29"/>
        <v>78054</v>
      </c>
      <c r="BF40" s="3" t="str">
        <f t="shared" si="30"/>
        <v>Villingen-Schwenningen</v>
      </c>
      <c r="BG40" s="194" t="str">
        <f t="shared" si="31"/>
        <v>DE</v>
      </c>
      <c r="BH40" s="194">
        <v>46.558575</v>
      </c>
      <c r="BI40" s="194">
        <f t="shared" si="19"/>
        <v>46.558575</v>
      </c>
      <c r="BJ40" s="194">
        <v>2.5</v>
      </c>
      <c r="BK40" s="194">
        <f t="shared" si="32"/>
        <v>1.2</v>
      </c>
      <c r="BL40" s="194">
        <v>2.5</v>
      </c>
      <c r="BM40" s="194"/>
      <c r="BN40" s="194">
        <f t="shared" si="33"/>
        <v>6.2</v>
      </c>
      <c r="BO40" s="195"/>
      <c r="BP40" s="194"/>
      <c r="BQ40" s="194">
        <f t="shared" si="34"/>
        <v>0</v>
      </c>
      <c r="BR40" s="196">
        <f t="shared" si="35"/>
        <v>52.758575</v>
      </c>
      <c r="BS40" s="216">
        <f t="shared" si="36"/>
        <v>60.608575</v>
      </c>
    </row>
    <row r="41" ht="14.25" spans="1:71">
      <c r="A41" s="67" t="s">
        <v>347</v>
      </c>
      <c r="B41" s="3">
        <f t="shared" si="0"/>
        <v>1</v>
      </c>
      <c r="C41" s="3">
        <v>1</v>
      </c>
      <c r="D41" s="3"/>
      <c r="E41" s="67" t="s">
        <v>188</v>
      </c>
      <c r="F41" s="3">
        <v>202510</v>
      </c>
      <c r="G41" s="67" t="s">
        <v>348</v>
      </c>
      <c r="H41" s="67" t="s">
        <v>348</v>
      </c>
      <c r="I41" s="67" t="s">
        <v>190</v>
      </c>
      <c r="J41" s="67" t="s">
        <v>97</v>
      </c>
      <c r="K41" s="67" t="s">
        <v>347</v>
      </c>
      <c r="L41" s="67" t="s">
        <v>191</v>
      </c>
      <c r="M41" s="67"/>
      <c r="N41" s="67" t="s">
        <v>192</v>
      </c>
      <c r="O41" s="67">
        <v>1</v>
      </c>
      <c r="P41" s="67" t="s">
        <v>193</v>
      </c>
      <c r="Q41" s="67">
        <v>47.4</v>
      </c>
      <c r="R41" s="67" t="s">
        <v>194</v>
      </c>
      <c r="S41" s="67" t="s">
        <v>195</v>
      </c>
      <c r="T41" s="67" t="s">
        <v>349</v>
      </c>
      <c r="U41" s="67" t="str">
        <f>VLOOKUP(T41,[5]semitemu_order_export_251110144!$R:$S,2,0)</f>
        <v>PO-076-16156623279992626</v>
      </c>
      <c r="V41" s="67"/>
      <c r="W41" s="67" t="s">
        <v>350</v>
      </c>
      <c r="X41" s="67" t="s">
        <v>351</v>
      </c>
      <c r="Y41" s="67" t="s">
        <v>199</v>
      </c>
      <c r="Z41" s="67"/>
      <c r="AA41" s="67"/>
      <c r="AB41" s="67"/>
      <c r="AC41" s="67" t="s">
        <v>347</v>
      </c>
      <c r="AD41" s="67" t="s">
        <v>212</v>
      </c>
      <c r="AE41" s="4" t="s">
        <v>213</v>
      </c>
      <c r="AF41" s="3" t="s">
        <v>202</v>
      </c>
      <c r="AG41" s="3">
        <v>47.4</v>
      </c>
      <c r="AH41" s="3"/>
      <c r="AI41" s="67">
        <v>1</v>
      </c>
      <c r="AJ41" s="3">
        <f t="shared" si="1"/>
        <v>47.4</v>
      </c>
      <c r="AK41" s="3">
        <f t="shared" si="20"/>
        <v>1</v>
      </c>
      <c r="AL41" s="70">
        <v>4.85</v>
      </c>
      <c r="AM41" s="70">
        <f t="shared" si="21"/>
        <v>4.85</v>
      </c>
      <c r="AN41" s="68"/>
      <c r="AO41" s="70"/>
      <c r="AP41" s="70">
        <f t="shared" si="22"/>
        <v>0</v>
      </c>
      <c r="AQ41" s="212"/>
      <c r="AR41" s="213"/>
      <c r="AS41" s="70">
        <f t="shared" si="23"/>
        <v>0</v>
      </c>
      <c r="AT41" s="3"/>
      <c r="AU41" s="214"/>
      <c r="AV41" s="70">
        <f t="shared" si="24"/>
        <v>0</v>
      </c>
      <c r="AW41" s="3">
        <f t="shared" si="25"/>
        <v>1</v>
      </c>
      <c r="AX41" s="70">
        <v>3</v>
      </c>
      <c r="AY41" s="70">
        <f t="shared" si="26"/>
        <v>3</v>
      </c>
      <c r="AZ41" s="215">
        <f t="shared" si="27"/>
        <v>7.85</v>
      </c>
      <c r="BA41" s="3">
        <v>1</v>
      </c>
      <c r="BB41" s="3">
        <f t="shared" si="28"/>
        <v>47.4</v>
      </c>
      <c r="BC41" s="3"/>
      <c r="BD41" s="3">
        <v>50</v>
      </c>
      <c r="BE41" s="76" t="str">
        <f t="shared" si="29"/>
        <v>72766</v>
      </c>
      <c r="BF41" s="3" t="str">
        <f t="shared" si="30"/>
        <v>Reutlingen</v>
      </c>
      <c r="BG41" s="194" t="str">
        <f t="shared" si="31"/>
        <v>DE</v>
      </c>
      <c r="BH41" s="194">
        <v>46.558575</v>
      </c>
      <c r="BI41" s="194">
        <f t="shared" si="19"/>
        <v>46.558575</v>
      </c>
      <c r="BJ41" s="194">
        <v>2.5</v>
      </c>
      <c r="BK41" s="194">
        <f t="shared" si="32"/>
        <v>1.2</v>
      </c>
      <c r="BL41" s="194">
        <v>2.5</v>
      </c>
      <c r="BM41" s="194"/>
      <c r="BN41" s="194">
        <f t="shared" si="33"/>
        <v>6.2</v>
      </c>
      <c r="BO41" s="195"/>
      <c r="BP41" s="194"/>
      <c r="BQ41" s="194">
        <f t="shared" si="34"/>
        <v>0</v>
      </c>
      <c r="BR41" s="196">
        <f t="shared" si="35"/>
        <v>52.758575</v>
      </c>
      <c r="BS41" s="216">
        <f t="shared" si="36"/>
        <v>60.608575</v>
      </c>
    </row>
    <row r="42" ht="14.25" spans="1:71">
      <c r="A42" s="67" t="s">
        <v>352</v>
      </c>
      <c r="B42" s="3">
        <f t="shared" si="0"/>
        <v>1</v>
      </c>
      <c r="C42" s="3">
        <v>1</v>
      </c>
      <c r="D42" s="3"/>
      <c r="E42" s="67" t="s">
        <v>188</v>
      </c>
      <c r="F42" s="3">
        <v>202510</v>
      </c>
      <c r="G42" s="67" t="s">
        <v>348</v>
      </c>
      <c r="H42" s="67" t="s">
        <v>348</v>
      </c>
      <c r="I42" s="67" t="s">
        <v>190</v>
      </c>
      <c r="J42" s="67" t="s">
        <v>97</v>
      </c>
      <c r="K42" s="67" t="s">
        <v>352</v>
      </c>
      <c r="L42" s="67" t="s">
        <v>191</v>
      </c>
      <c r="M42" s="67"/>
      <c r="N42" s="67" t="s">
        <v>192</v>
      </c>
      <c r="O42" s="67">
        <v>1</v>
      </c>
      <c r="P42" s="67" t="s">
        <v>193</v>
      </c>
      <c r="Q42" s="67">
        <v>47.4</v>
      </c>
      <c r="R42" s="67" t="s">
        <v>194</v>
      </c>
      <c r="S42" s="67" t="s">
        <v>195</v>
      </c>
      <c r="T42" s="67" t="s">
        <v>353</v>
      </c>
      <c r="U42" s="67" t="str">
        <f>VLOOKUP(T42,[6]ebay_order_export_251110145132!$S:$T,2,0)</f>
        <v>20-13696-61877</v>
      </c>
      <c r="V42" s="67"/>
      <c r="W42" s="67" t="s">
        <v>354</v>
      </c>
      <c r="X42" s="67" t="s">
        <v>355</v>
      </c>
      <c r="Y42" s="67" t="s">
        <v>199</v>
      </c>
      <c r="Z42" s="67"/>
      <c r="AA42" s="67"/>
      <c r="AB42" s="67"/>
      <c r="AC42" s="67" t="s">
        <v>352</v>
      </c>
      <c r="AD42" s="67" t="s">
        <v>200</v>
      </c>
      <c r="AE42" s="4" t="s">
        <v>201</v>
      </c>
      <c r="AF42" s="3" t="s">
        <v>202</v>
      </c>
      <c r="AG42" s="3">
        <v>47.4</v>
      </c>
      <c r="AH42" s="3"/>
      <c r="AI42" s="67">
        <v>1</v>
      </c>
      <c r="AJ42" s="3">
        <f t="shared" si="1"/>
        <v>47.4</v>
      </c>
      <c r="AK42" s="3">
        <f t="shared" si="20"/>
        <v>1</v>
      </c>
      <c r="AL42" s="70">
        <v>4.85</v>
      </c>
      <c r="AM42" s="70">
        <f t="shared" si="21"/>
        <v>4.85</v>
      </c>
      <c r="AN42" s="68"/>
      <c r="AO42" s="70"/>
      <c r="AP42" s="70">
        <f t="shared" si="22"/>
        <v>0</v>
      </c>
      <c r="AQ42" s="212"/>
      <c r="AR42" s="213"/>
      <c r="AS42" s="70">
        <f t="shared" si="23"/>
        <v>0</v>
      </c>
      <c r="AT42" s="3"/>
      <c r="AU42" s="214"/>
      <c r="AV42" s="70">
        <f t="shared" si="24"/>
        <v>0</v>
      </c>
      <c r="AW42" s="3">
        <f t="shared" si="25"/>
        <v>1</v>
      </c>
      <c r="AX42" s="70">
        <v>3</v>
      </c>
      <c r="AY42" s="70">
        <f t="shared" si="26"/>
        <v>3</v>
      </c>
      <c r="AZ42" s="215">
        <f t="shared" si="27"/>
        <v>7.85</v>
      </c>
      <c r="BA42" s="3">
        <v>1</v>
      </c>
      <c r="BB42" s="3">
        <f t="shared" si="28"/>
        <v>47.4</v>
      </c>
      <c r="BC42" s="3"/>
      <c r="BD42" s="3">
        <v>50</v>
      </c>
      <c r="BE42" s="76" t="str">
        <f t="shared" si="29"/>
        <v>27777</v>
      </c>
      <c r="BF42" s="3" t="str">
        <f t="shared" si="30"/>
        <v>Ganderkesee</v>
      </c>
      <c r="BG42" s="194" t="str">
        <f t="shared" si="31"/>
        <v>DE</v>
      </c>
      <c r="BH42" s="194">
        <v>46.558575</v>
      </c>
      <c r="BI42" s="194">
        <f t="shared" si="19"/>
        <v>46.558575</v>
      </c>
      <c r="BJ42" s="194">
        <v>2.5</v>
      </c>
      <c r="BK42" s="194">
        <f t="shared" si="32"/>
        <v>1.2</v>
      </c>
      <c r="BL42" s="194">
        <v>2.5</v>
      </c>
      <c r="BM42" s="194"/>
      <c r="BN42" s="194">
        <f t="shared" si="33"/>
        <v>6.2</v>
      </c>
      <c r="BO42" s="195"/>
      <c r="BP42" s="194"/>
      <c r="BQ42" s="194">
        <f t="shared" si="34"/>
        <v>0</v>
      </c>
      <c r="BR42" s="196">
        <f t="shared" si="35"/>
        <v>52.758575</v>
      </c>
      <c r="BS42" s="216">
        <f t="shared" si="36"/>
        <v>60.608575</v>
      </c>
    </row>
    <row r="43" ht="14.25" spans="1:71">
      <c r="A43" s="67" t="s">
        <v>356</v>
      </c>
      <c r="B43" s="3">
        <f t="shared" si="0"/>
        <v>1</v>
      </c>
      <c r="C43" s="3">
        <v>1</v>
      </c>
      <c r="D43" s="3"/>
      <c r="E43" s="67" t="s">
        <v>188</v>
      </c>
      <c r="F43" s="3">
        <v>202510</v>
      </c>
      <c r="G43" s="67" t="s">
        <v>357</v>
      </c>
      <c r="H43" s="67" t="s">
        <v>357</v>
      </c>
      <c r="I43" s="67" t="s">
        <v>190</v>
      </c>
      <c r="J43" s="67" t="s">
        <v>97</v>
      </c>
      <c r="K43" s="67" t="s">
        <v>356</v>
      </c>
      <c r="L43" s="67" t="s">
        <v>191</v>
      </c>
      <c r="M43" s="67"/>
      <c r="N43" s="67" t="s">
        <v>192</v>
      </c>
      <c r="O43" s="67">
        <v>1</v>
      </c>
      <c r="P43" s="67" t="s">
        <v>193</v>
      </c>
      <c r="Q43" s="67">
        <v>47.4</v>
      </c>
      <c r="R43" s="67" t="s">
        <v>194</v>
      </c>
      <c r="S43" s="67" t="s">
        <v>195</v>
      </c>
      <c r="T43" s="67" t="s">
        <v>358</v>
      </c>
      <c r="U43" s="67" t="str">
        <f>VLOOKUP(T43,[5]semitemu_order_export_251110144!$R:$S,2,0)</f>
        <v>PO-076-21635569651831488</v>
      </c>
      <c r="V43" s="67"/>
      <c r="W43" s="67" t="s">
        <v>359</v>
      </c>
      <c r="X43" s="67" t="s">
        <v>360</v>
      </c>
      <c r="Y43" s="67" t="s">
        <v>199</v>
      </c>
      <c r="Z43" s="67"/>
      <c r="AA43" s="67"/>
      <c r="AB43" s="67"/>
      <c r="AC43" s="67" t="s">
        <v>356</v>
      </c>
      <c r="AD43" s="67" t="s">
        <v>200</v>
      </c>
      <c r="AE43" s="4" t="s">
        <v>201</v>
      </c>
      <c r="AF43" s="3" t="s">
        <v>202</v>
      </c>
      <c r="AG43" s="3">
        <v>47.4</v>
      </c>
      <c r="AH43" s="3"/>
      <c r="AI43" s="67">
        <v>1</v>
      </c>
      <c r="AJ43" s="3">
        <f t="shared" si="1"/>
        <v>47.4</v>
      </c>
      <c r="AK43" s="3">
        <f t="shared" si="20"/>
        <v>1</v>
      </c>
      <c r="AL43" s="70">
        <v>4.85</v>
      </c>
      <c r="AM43" s="70">
        <f t="shared" si="21"/>
        <v>4.85</v>
      </c>
      <c r="AN43" s="68"/>
      <c r="AO43" s="70"/>
      <c r="AP43" s="70">
        <f t="shared" si="22"/>
        <v>0</v>
      </c>
      <c r="AQ43" s="212"/>
      <c r="AR43" s="213"/>
      <c r="AS43" s="70">
        <f t="shared" si="23"/>
        <v>0</v>
      </c>
      <c r="AT43" s="3"/>
      <c r="AU43" s="214"/>
      <c r="AV43" s="70">
        <f t="shared" si="24"/>
        <v>0</v>
      </c>
      <c r="AW43" s="3">
        <f t="shared" si="25"/>
        <v>1</v>
      </c>
      <c r="AX43" s="70">
        <v>3</v>
      </c>
      <c r="AY43" s="70">
        <f t="shared" si="26"/>
        <v>3</v>
      </c>
      <c r="AZ43" s="215">
        <f t="shared" si="27"/>
        <v>7.85</v>
      </c>
      <c r="BA43" s="3">
        <v>1</v>
      </c>
      <c r="BB43" s="3">
        <f t="shared" si="28"/>
        <v>47.4</v>
      </c>
      <c r="BC43" s="3"/>
      <c r="BD43" s="3">
        <v>50</v>
      </c>
      <c r="BE43" s="76" t="str">
        <f t="shared" si="29"/>
        <v>21502</v>
      </c>
      <c r="BF43" s="3" t="str">
        <f t="shared" si="30"/>
        <v>Geesthacht</v>
      </c>
      <c r="BG43" s="194" t="str">
        <f t="shared" si="31"/>
        <v>DE</v>
      </c>
      <c r="BH43" s="194">
        <v>46.558575</v>
      </c>
      <c r="BI43" s="194">
        <f t="shared" si="19"/>
        <v>46.558575</v>
      </c>
      <c r="BJ43" s="194">
        <v>2.5</v>
      </c>
      <c r="BK43" s="194">
        <f t="shared" si="32"/>
        <v>1.2</v>
      </c>
      <c r="BL43" s="194">
        <v>2.5</v>
      </c>
      <c r="BM43" s="194"/>
      <c r="BN43" s="194">
        <f t="shared" si="33"/>
        <v>6.2</v>
      </c>
      <c r="BO43" s="195"/>
      <c r="BP43" s="194"/>
      <c r="BQ43" s="194">
        <f t="shared" si="34"/>
        <v>0</v>
      </c>
      <c r="BR43" s="196">
        <f t="shared" si="35"/>
        <v>52.758575</v>
      </c>
      <c r="BS43" s="216">
        <f t="shared" si="36"/>
        <v>60.608575</v>
      </c>
    </row>
    <row r="44" ht="14.25" spans="1:71">
      <c r="A44" s="67" t="s">
        <v>361</v>
      </c>
      <c r="B44" s="3">
        <f t="shared" si="0"/>
        <v>1</v>
      </c>
      <c r="C44" s="3">
        <v>1</v>
      </c>
      <c r="D44" s="3"/>
      <c r="E44" s="67" t="s">
        <v>188</v>
      </c>
      <c r="F44" s="3">
        <v>202510</v>
      </c>
      <c r="G44" s="67" t="s">
        <v>357</v>
      </c>
      <c r="H44" s="67" t="s">
        <v>357</v>
      </c>
      <c r="I44" s="67" t="s">
        <v>190</v>
      </c>
      <c r="J44" s="67" t="s">
        <v>97</v>
      </c>
      <c r="K44" s="67" t="s">
        <v>361</v>
      </c>
      <c r="L44" s="67" t="s">
        <v>191</v>
      </c>
      <c r="M44" s="67"/>
      <c r="N44" s="67" t="s">
        <v>192</v>
      </c>
      <c r="O44" s="67">
        <v>1</v>
      </c>
      <c r="P44" s="67" t="s">
        <v>193</v>
      </c>
      <c r="Q44" s="67">
        <v>47.4</v>
      </c>
      <c r="R44" s="67" t="s">
        <v>194</v>
      </c>
      <c r="S44" s="67" t="s">
        <v>195</v>
      </c>
      <c r="T44" s="67" t="s">
        <v>362</v>
      </c>
      <c r="U44" s="67" t="str">
        <f>VLOOKUP(T44,[5]semitemu_order_export_251110144!$R:$S,2,0)</f>
        <v>PO-076-21635569651831488</v>
      </c>
      <c r="V44" s="67"/>
      <c r="W44" s="67" t="s">
        <v>359</v>
      </c>
      <c r="X44" s="67" t="s">
        <v>360</v>
      </c>
      <c r="Y44" s="67" t="s">
        <v>199</v>
      </c>
      <c r="Z44" s="67"/>
      <c r="AA44" s="67"/>
      <c r="AB44" s="67"/>
      <c r="AC44" s="67" t="s">
        <v>361</v>
      </c>
      <c r="AD44" s="67" t="s">
        <v>200</v>
      </c>
      <c r="AE44" s="4" t="s">
        <v>201</v>
      </c>
      <c r="AF44" s="3" t="s">
        <v>202</v>
      </c>
      <c r="AG44" s="3">
        <v>47.4</v>
      </c>
      <c r="AH44" s="3"/>
      <c r="AI44" s="67">
        <v>1</v>
      </c>
      <c r="AJ44" s="3">
        <f t="shared" si="1"/>
        <v>47.4</v>
      </c>
      <c r="AK44" s="3">
        <f t="shared" si="20"/>
        <v>1</v>
      </c>
      <c r="AL44" s="70">
        <v>4.85</v>
      </c>
      <c r="AM44" s="70">
        <f t="shared" si="21"/>
        <v>4.85</v>
      </c>
      <c r="AN44" s="68"/>
      <c r="AO44" s="70"/>
      <c r="AP44" s="70">
        <f t="shared" si="22"/>
        <v>0</v>
      </c>
      <c r="AQ44" s="212"/>
      <c r="AR44" s="213"/>
      <c r="AS44" s="70">
        <f t="shared" si="23"/>
        <v>0</v>
      </c>
      <c r="AT44" s="3"/>
      <c r="AU44" s="214"/>
      <c r="AV44" s="70">
        <f t="shared" si="24"/>
        <v>0</v>
      </c>
      <c r="AW44" s="3">
        <f t="shared" si="25"/>
        <v>1</v>
      </c>
      <c r="AX44" s="70">
        <v>3</v>
      </c>
      <c r="AY44" s="70">
        <f t="shared" si="26"/>
        <v>3</v>
      </c>
      <c r="AZ44" s="215">
        <f t="shared" si="27"/>
        <v>7.85</v>
      </c>
      <c r="BA44" s="3">
        <v>1</v>
      </c>
      <c r="BB44" s="3">
        <f t="shared" si="28"/>
        <v>47.4</v>
      </c>
      <c r="BC44" s="3"/>
      <c r="BD44" s="3">
        <v>50</v>
      </c>
      <c r="BE44" s="76" t="str">
        <f t="shared" si="29"/>
        <v>21502</v>
      </c>
      <c r="BF44" s="3" t="str">
        <f t="shared" si="30"/>
        <v>Geesthacht</v>
      </c>
      <c r="BG44" s="194" t="str">
        <f t="shared" si="31"/>
        <v>DE</v>
      </c>
      <c r="BH44" s="194">
        <v>46.558575</v>
      </c>
      <c r="BI44" s="194">
        <f t="shared" si="19"/>
        <v>46.558575</v>
      </c>
      <c r="BJ44" s="194">
        <v>2.5</v>
      </c>
      <c r="BK44" s="194">
        <f t="shared" si="32"/>
        <v>1.2</v>
      </c>
      <c r="BL44" s="194">
        <v>2.5</v>
      </c>
      <c r="BM44" s="194"/>
      <c r="BN44" s="194">
        <f t="shared" si="33"/>
        <v>6.2</v>
      </c>
      <c r="BO44" s="195"/>
      <c r="BP44" s="194"/>
      <c r="BQ44" s="194">
        <f t="shared" si="34"/>
        <v>0</v>
      </c>
      <c r="BR44" s="196">
        <f t="shared" si="35"/>
        <v>52.758575</v>
      </c>
      <c r="BS44" s="216">
        <f t="shared" si="36"/>
        <v>60.608575</v>
      </c>
    </row>
    <row r="45" ht="14.25" spans="1:71">
      <c r="A45" s="67" t="s">
        <v>363</v>
      </c>
      <c r="B45" s="3">
        <f t="shared" si="0"/>
        <v>1</v>
      </c>
      <c r="C45" s="3">
        <v>1</v>
      </c>
      <c r="D45" s="3"/>
      <c r="E45" s="67" t="s">
        <v>188</v>
      </c>
      <c r="F45" s="3">
        <v>202510</v>
      </c>
      <c r="G45" s="67" t="s">
        <v>357</v>
      </c>
      <c r="H45" s="67" t="s">
        <v>357</v>
      </c>
      <c r="I45" s="67" t="s">
        <v>190</v>
      </c>
      <c r="J45" s="67" t="s">
        <v>97</v>
      </c>
      <c r="K45" s="67" t="s">
        <v>363</v>
      </c>
      <c r="L45" s="67" t="s">
        <v>191</v>
      </c>
      <c r="M45" s="67"/>
      <c r="N45" s="67" t="s">
        <v>192</v>
      </c>
      <c r="O45" s="67">
        <v>1</v>
      </c>
      <c r="P45" s="67" t="s">
        <v>193</v>
      </c>
      <c r="Q45" s="67">
        <v>47.4</v>
      </c>
      <c r="R45" s="67" t="s">
        <v>194</v>
      </c>
      <c r="S45" s="67" t="s">
        <v>195</v>
      </c>
      <c r="T45" s="67" t="s">
        <v>364</v>
      </c>
      <c r="U45" s="67" t="str">
        <f>VLOOKUP(T45,[5]semitemu_order_export_251110144!$R:$S,2,0)</f>
        <v>PO-076-02633160077433872</v>
      </c>
      <c r="V45" s="67"/>
      <c r="W45" s="67" t="s">
        <v>365</v>
      </c>
      <c r="X45" s="67" t="s">
        <v>366</v>
      </c>
      <c r="Y45" s="67" t="s">
        <v>199</v>
      </c>
      <c r="Z45" s="67"/>
      <c r="AA45" s="67"/>
      <c r="AB45" s="67"/>
      <c r="AC45" s="67" t="s">
        <v>363</v>
      </c>
      <c r="AD45" s="67" t="s">
        <v>200</v>
      </c>
      <c r="AE45" s="4" t="s">
        <v>201</v>
      </c>
      <c r="AF45" s="3" t="s">
        <v>202</v>
      </c>
      <c r="AG45" s="3">
        <v>47.4</v>
      </c>
      <c r="AH45" s="3"/>
      <c r="AI45" s="67">
        <v>1</v>
      </c>
      <c r="AJ45" s="3">
        <f t="shared" si="1"/>
        <v>47.4</v>
      </c>
      <c r="AK45" s="3">
        <f t="shared" si="20"/>
        <v>1</v>
      </c>
      <c r="AL45" s="70">
        <v>4.85</v>
      </c>
      <c r="AM45" s="70">
        <f t="shared" si="21"/>
        <v>4.85</v>
      </c>
      <c r="AN45" s="68"/>
      <c r="AO45" s="70"/>
      <c r="AP45" s="70">
        <f t="shared" si="22"/>
        <v>0</v>
      </c>
      <c r="AQ45" s="212"/>
      <c r="AR45" s="213"/>
      <c r="AS45" s="70">
        <f t="shared" si="23"/>
        <v>0</v>
      </c>
      <c r="AT45" s="3"/>
      <c r="AU45" s="214"/>
      <c r="AV45" s="70">
        <f t="shared" si="24"/>
        <v>0</v>
      </c>
      <c r="AW45" s="3">
        <f t="shared" si="25"/>
        <v>1</v>
      </c>
      <c r="AX45" s="70">
        <v>3</v>
      </c>
      <c r="AY45" s="70">
        <f t="shared" si="26"/>
        <v>3</v>
      </c>
      <c r="AZ45" s="215">
        <f t="shared" si="27"/>
        <v>7.85</v>
      </c>
      <c r="BA45" s="3">
        <v>1</v>
      </c>
      <c r="BB45" s="3">
        <f t="shared" si="28"/>
        <v>47.4</v>
      </c>
      <c r="BC45" s="3"/>
      <c r="BD45" s="3">
        <v>50</v>
      </c>
      <c r="BE45" s="76" t="str">
        <f t="shared" si="29"/>
        <v>84092</v>
      </c>
      <c r="BF45" s="3" t="str">
        <f t="shared" si="30"/>
        <v>Bayerbach b. Ergoldsbach</v>
      </c>
      <c r="BG45" s="194" t="str">
        <f t="shared" si="31"/>
        <v>DE</v>
      </c>
      <c r="BH45" s="194">
        <v>46.558575</v>
      </c>
      <c r="BI45" s="194">
        <f t="shared" si="19"/>
        <v>46.558575</v>
      </c>
      <c r="BJ45" s="194">
        <v>2.5</v>
      </c>
      <c r="BK45" s="194">
        <f t="shared" si="32"/>
        <v>1.2</v>
      </c>
      <c r="BL45" s="194">
        <v>2.5</v>
      </c>
      <c r="BM45" s="194"/>
      <c r="BN45" s="194">
        <f t="shared" si="33"/>
        <v>6.2</v>
      </c>
      <c r="BO45" s="195"/>
      <c r="BP45" s="194"/>
      <c r="BQ45" s="194">
        <f t="shared" si="34"/>
        <v>0</v>
      </c>
      <c r="BR45" s="196">
        <f t="shared" si="35"/>
        <v>52.758575</v>
      </c>
      <c r="BS45" s="216">
        <f t="shared" si="36"/>
        <v>60.608575</v>
      </c>
    </row>
    <row r="46" ht="14.25" spans="1:71">
      <c r="A46" s="67" t="s">
        <v>367</v>
      </c>
      <c r="B46" s="3">
        <f t="shared" si="0"/>
        <v>1</v>
      </c>
      <c r="C46" s="3">
        <v>1</v>
      </c>
      <c r="D46" s="3"/>
      <c r="E46" s="67" t="s">
        <v>188</v>
      </c>
      <c r="F46" s="3">
        <v>202510</v>
      </c>
      <c r="G46" s="67" t="s">
        <v>357</v>
      </c>
      <c r="H46" s="67" t="s">
        <v>357</v>
      </c>
      <c r="I46" s="67" t="s">
        <v>190</v>
      </c>
      <c r="J46" s="67" t="s">
        <v>97</v>
      </c>
      <c r="K46" s="67" t="s">
        <v>367</v>
      </c>
      <c r="L46" s="67" t="s">
        <v>191</v>
      </c>
      <c r="M46" s="67"/>
      <c r="N46" s="67" t="s">
        <v>192</v>
      </c>
      <c r="O46" s="67">
        <v>1</v>
      </c>
      <c r="P46" s="67" t="s">
        <v>193</v>
      </c>
      <c r="Q46" s="67">
        <v>47.4</v>
      </c>
      <c r="R46" s="67" t="s">
        <v>194</v>
      </c>
      <c r="S46" s="67" t="s">
        <v>195</v>
      </c>
      <c r="T46" s="67" t="s">
        <v>368</v>
      </c>
      <c r="U46" s="67" t="str">
        <f>VLOOKUP(T46,[5]semitemu_order_export_251110144!$R:$S,2,0)</f>
        <v>PO-076-02633160077433872</v>
      </c>
      <c r="V46" s="67"/>
      <c r="W46" s="67" t="s">
        <v>365</v>
      </c>
      <c r="X46" s="67" t="s">
        <v>366</v>
      </c>
      <c r="Y46" s="67" t="s">
        <v>199</v>
      </c>
      <c r="Z46" s="67"/>
      <c r="AA46" s="67"/>
      <c r="AB46" s="67"/>
      <c r="AC46" s="67" t="s">
        <v>367</v>
      </c>
      <c r="AD46" s="67" t="s">
        <v>200</v>
      </c>
      <c r="AE46" s="4" t="s">
        <v>201</v>
      </c>
      <c r="AF46" s="3" t="s">
        <v>202</v>
      </c>
      <c r="AG46" s="3">
        <v>47.4</v>
      </c>
      <c r="AH46" s="3"/>
      <c r="AI46" s="67">
        <v>1</v>
      </c>
      <c r="AJ46" s="3">
        <f t="shared" si="1"/>
        <v>47.4</v>
      </c>
      <c r="AK46" s="3">
        <f t="shared" si="20"/>
        <v>1</v>
      </c>
      <c r="AL46" s="70">
        <v>4.85</v>
      </c>
      <c r="AM46" s="70">
        <f t="shared" si="21"/>
        <v>4.85</v>
      </c>
      <c r="AN46" s="68"/>
      <c r="AO46" s="70"/>
      <c r="AP46" s="70">
        <f t="shared" si="22"/>
        <v>0</v>
      </c>
      <c r="AQ46" s="212"/>
      <c r="AR46" s="213"/>
      <c r="AS46" s="70">
        <f t="shared" si="23"/>
        <v>0</v>
      </c>
      <c r="AT46" s="3"/>
      <c r="AU46" s="214"/>
      <c r="AV46" s="70">
        <f t="shared" si="24"/>
        <v>0</v>
      </c>
      <c r="AW46" s="3">
        <f t="shared" si="25"/>
        <v>1</v>
      </c>
      <c r="AX46" s="70">
        <v>3</v>
      </c>
      <c r="AY46" s="70">
        <f t="shared" si="26"/>
        <v>3</v>
      </c>
      <c r="AZ46" s="215">
        <f t="shared" si="27"/>
        <v>7.85</v>
      </c>
      <c r="BA46" s="3">
        <v>1</v>
      </c>
      <c r="BB46" s="3">
        <f t="shared" si="28"/>
        <v>47.4</v>
      </c>
      <c r="BC46" s="3"/>
      <c r="BD46" s="3">
        <v>50</v>
      </c>
      <c r="BE46" s="76" t="str">
        <f t="shared" si="29"/>
        <v>84092</v>
      </c>
      <c r="BF46" s="3" t="str">
        <f t="shared" si="30"/>
        <v>Bayerbach b. Ergoldsbach</v>
      </c>
      <c r="BG46" s="194" t="str">
        <f t="shared" si="31"/>
        <v>DE</v>
      </c>
      <c r="BH46" s="194">
        <v>46.558575</v>
      </c>
      <c r="BI46" s="194">
        <f t="shared" si="19"/>
        <v>46.558575</v>
      </c>
      <c r="BJ46" s="194">
        <v>2.5</v>
      </c>
      <c r="BK46" s="194">
        <f t="shared" si="32"/>
        <v>1.2</v>
      </c>
      <c r="BL46" s="194">
        <v>2.5</v>
      </c>
      <c r="BM46" s="194"/>
      <c r="BN46" s="194">
        <f t="shared" si="33"/>
        <v>6.2</v>
      </c>
      <c r="BO46" s="195"/>
      <c r="BP46" s="194"/>
      <c r="BQ46" s="194">
        <f t="shared" si="34"/>
        <v>0</v>
      </c>
      <c r="BR46" s="196">
        <f t="shared" si="35"/>
        <v>52.758575</v>
      </c>
      <c r="BS46" s="216">
        <f t="shared" si="36"/>
        <v>60.608575</v>
      </c>
    </row>
    <row r="47" ht="14.25" spans="1:71">
      <c r="A47" s="67" t="s">
        <v>369</v>
      </c>
      <c r="B47" s="3">
        <f t="shared" si="0"/>
        <v>1</v>
      </c>
      <c r="C47" s="3">
        <v>1</v>
      </c>
      <c r="D47" s="3"/>
      <c r="E47" s="67" t="s">
        <v>188</v>
      </c>
      <c r="F47" s="3">
        <v>202510</v>
      </c>
      <c r="G47" s="67" t="s">
        <v>357</v>
      </c>
      <c r="H47" s="67" t="s">
        <v>357</v>
      </c>
      <c r="I47" s="67" t="s">
        <v>190</v>
      </c>
      <c r="J47" s="67" t="s">
        <v>97</v>
      </c>
      <c r="K47" s="67" t="s">
        <v>369</v>
      </c>
      <c r="L47" s="67" t="s">
        <v>191</v>
      </c>
      <c r="M47" s="67"/>
      <c r="N47" s="67" t="s">
        <v>192</v>
      </c>
      <c r="O47" s="67">
        <v>1</v>
      </c>
      <c r="P47" s="67" t="s">
        <v>193</v>
      </c>
      <c r="Q47" s="67">
        <v>47.4</v>
      </c>
      <c r="R47" s="67" t="s">
        <v>194</v>
      </c>
      <c r="S47" s="67" t="s">
        <v>195</v>
      </c>
      <c r="T47" s="67" t="s">
        <v>370</v>
      </c>
      <c r="U47" s="67" t="str">
        <f>VLOOKUP(T47,[5]semitemu_order_export_251110144!$R:$S,2,0)</f>
        <v>PO-076-10937699783033271</v>
      </c>
      <c r="V47" s="67"/>
      <c r="W47" s="67" t="s">
        <v>371</v>
      </c>
      <c r="X47" s="67" t="s">
        <v>372</v>
      </c>
      <c r="Y47" s="67" t="s">
        <v>199</v>
      </c>
      <c r="Z47" s="67"/>
      <c r="AA47" s="67"/>
      <c r="AB47" s="67"/>
      <c r="AC47" s="67" t="s">
        <v>369</v>
      </c>
      <c r="AD47" s="67" t="s">
        <v>200</v>
      </c>
      <c r="AE47" s="4" t="s">
        <v>201</v>
      </c>
      <c r="AF47" s="3" t="s">
        <v>202</v>
      </c>
      <c r="AG47" s="3">
        <v>47.4</v>
      </c>
      <c r="AH47" s="3"/>
      <c r="AI47" s="67">
        <v>1</v>
      </c>
      <c r="AJ47" s="3">
        <f t="shared" si="1"/>
        <v>47.4</v>
      </c>
      <c r="AK47" s="3">
        <f t="shared" si="20"/>
        <v>1</v>
      </c>
      <c r="AL47" s="70">
        <v>4.85</v>
      </c>
      <c r="AM47" s="70">
        <f t="shared" si="21"/>
        <v>4.85</v>
      </c>
      <c r="AN47" s="68"/>
      <c r="AO47" s="70"/>
      <c r="AP47" s="70">
        <f t="shared" si="22"/>
        <v>0</v>
      </c>
      <c r="AQ47" s="212"/>
      <c r="AR47" s="213"/>
      <c r="AS47" s="70">
        <f t="shared" si="23"/>
        <v>0</v>
      </c>
      <c r="AT47" s="3"/>
      <c r="AU47" s="214"/>
      <c r="AV47" s="70">
        <f t="shared" si="24"/>
        <v>0</v>
      </c>
      <c r="AW47" s="3">
        <f t="shared" si="25"/>
        <v>1</v>
      </c>
      <c r="AX47" s="70">
        <v>3</v>
      </c>
      <c r="AY47" s="70">
        <f t="shared" si="26"/>
        <v>3</v>
      </c>
      <c r="AZ47" s="215">
        <f t="shared" si="27"/>
        <v>7.85</v>
      </c>
      <c r="BA47" s="3">
        <v>1</v>
      </c>
      <c r="BB47" s="3">
        <f t="shared" si="28"/>
        <v>47.4</v>
      </c>
      <c r="BC47" s="3"/>
      <c r="BD47" s="3">
        <v>50</v>
      </c>
      <c r="BE47" s="76" t="str">
        <f t="shared" si="29"/>
        <v>81245</v>
      </c>
      <c r="BF47" s="251" t="str">
        <f t="shared" si="30"/>
        <v>München</v>
      </c>
      <c r="BG47" s="194" t="str">
        <f t="shared" si="31"/>
        <v>DE</v>
      </c>
      <c r="BH47" s="194">
        <v>46.558575</v>
      </c>
      <c r="BI47" s="194">
        <f t="shared" si="19"/>
        <v>46.558575</v>
      </c>
      <c r="BJ47" s="194">
        <v>2.5</v>
      </c>
      <c r="BK47" s="194">
        <f t="shared" si="32"/>
        <v>1.2</v>
      </c>
      <c r="BL47" s="194">
        <v>2.5</v>
      </c>
      <c r="BM47" s="194">
        <v>7.8</v>
      </c>
      <c r="BN47" s="194">
        <f t="shared" si="33"/>
        <v>14</v>
      </c>
      <c r="BO47" s="195"/>
      <c r="BP47" s="194"/>
      <c r="BQ47" s="194">
        <f t="shared" si="34"/>
        <v>0</v>
      </c>
      <c r="BR47" s="196">
        <f t="shared" si="35"/>
        <v>60.558575</v>
      </c>
      <c r="BS47" s="216">
        <f t="shared" si="36"/>
        <v>68.408575</v>
      </c>
    </row>
    <row r="48" ht="14.25" spans="1:71">
      <c r="A48" s="67" t="s">
        <v>373</v>
      </c>
      <c r="B48" s="3">
        <f t="shared" si="0"/>
        <v>1</v>
      </c>
      <c r="C48" s="3">
        <v>1</v>
      </c>
      <c r="D48" s="3"/>
      <c r="E48" s="67" t="s">
        <v>188</v>
      </c>
      <c r="F48" s="3">
        <v>202510</v>
      </c>
      <c r="G48" s="67" t="s">
        <v>357</v>
      </c>
      <c r="H48" s="67" t="s">
        <v>357</v>
      </c>
      <c r="I48" s="67" t="s">
        <v>190</v>
      </c>
      <c r="J48" s="67" t="s">
        <v>97</v>
      </c>
      <c r="K48" s="67" t="s">
        <v>373</v>
      </c>
      <c r="L48" s="67" t="s">
        <v>191</v>
      </c>
      <c r="M48" s="67"/>
      <c r="N48" s="67" t="s">
        <v>192</v>
      </c>
      <c r="O48" s="67">
        <v>1</v>
      </c>
      <c r="P48" s="67" t="s">
        <v>193</v>
      </c>
      <c r="Q48" s="67">
        <v>47.4</v>
      </c>
      <c r="R48" s="67" t="s">
        <v>194</v>
      </c>
      <c r="S48" s="67" t="s">
        <v>195</v>
      </c>
      <c r="T48" s="67" t="s">
        <v>374</v>
      </c>
      <c r="U48" s="67" t="str">
        <f>VLOOKUP(T48,[5]semitemu_order_export_251110144!$R:$S,2,0)</f>
        <v>PO-076-02712126638713403</v>
      </c>
      <c r="V48" s="67"/>
      <c r="W48" s="67" t="s">
        <v>375</v>
      </c>
      <c r="X48" s="67" t="s">
        <v>376</v>
      </c>
      <c r="Y48" s="67" t="s">
        <v>199</v>
      </c>
      <c r="Z48" s="67"/>
      <c r="AA48" s="67"/>
      <c r="AB48" s="67"/>
      <c r="AC48" s="67" t="s">
        <v>373</v>
      </c>
      <c r="AD48" s="67" t="s">
        <v>212</v>
      </c>
      <c r="AE48" s="4" t="s">
        <v>213</v>
      </c>
      <c r="AF48" s="3" t="s">
        <v>202</v>
      </c>
      <c r="AG48" s="3">
        <v>47.4</v>
      </c>
      <c r="AH48" s="3"/>
      <c r="AI48" s="67">
        <v>1</v>
      </c>
      <c r="AJ48" s="3">
        <f t="shared" si="1"/>
        <v>47.4</v>
      </c>
      <c r="AK48" s="3">
        <f t="shared" si="20"/>
        <v>1</v>
      </c>
      <c r="AL48" s="70">
        <v>4.85</v>
      </c>
      <c r="AM48" s="70">
        <f t="shared" si="21"/>
        <v>4.85</v>
      </c>
      <c r="AN48" s="68"/>
      <c r="AO48" s="70"/>
      <c r="AP48" s="70">
        <f t="shared" si="22"/>
        <v>0</v>
      </c>
      <c r="AQ48" s="212"/>
      <c r="AR48" s="213"/>
      <c r="AS48" s="70">
        <f t="shared" si="23"/>
        <v>0</v>
      </c>
      <c r="AT48" s="3"/>
      <c r="AU48" s="214"/>
      <c r="AV48" s="70">
        <f t="shared" si="24"/>
        <v>0</v>
      </c>
      <c r="AW48" s="3">
        <f t="shared" si="25"/>
        <v>1</v>
      </c>
      <c r="AX48" s="70">
        <v>3</v>
      </c>
      <c r="AY48" s="70">
        <f t="shared" si="26"/>
        <v>3</v>
      </c>
      <c r="AZ48" s="215">
        <f t="shared" si="27"/>
        <v>7.85</v>
      </c>
      <c r="BA48" s="3">
        <v>1</v>
      </c>
      <c r="BB48" s="3">
        <f t="shared" si="28"/>
        <v>47.4</v>
      </c>
      <c r="BC48" s="3"/>
      <c r="BD48" s="3">
        <v>50</v>
      </c>
      <c r="BE48" s="76" t="str">
        <f t="shared" si="29"/>
        <v>34587</v>
      </c>
      <c r="BF48" s="3" t="str">
        <f t="shared" si="30"/>
        <v>Felsberg</v>
      </c>
      <c r="BG48" s="194" t="str">
        <f t="shared" si="31"/>
        <v>DE</v>
      </c>
      <c r="BH48" s="194">
        <v>46.558575</v>
      </c>
      <c r="BI48" s="194">
        <f t="shared" si="19"/>
        <v>46.558575</v>
      </c>
      <c r="BJ48" s="194">
        <v>2.5</v>
      </c>
      <c r="BK48" s="194">
        <f t="shared" si="32"/>
        <v>1.2</v>
      </c>
      <c r="BL48" s="194">
        <v>2.5</v>
      </c>
      <c r="BM48" s="194"/>
      <c r="BN48" s="194">
        <f t="shared" si="33"/>
        <v>6.2</v>
      </c>
      <c r="BO48" s="195"/>
      <c r="BP48" s="194"/>
      <c r="BQ48" s="194">
        <f t="shared" si="34"/>
        <v>0</v>
      </c>
      <c r="BR48" s="196">
        <f t="shared" si="35"/>
        <v>52.758575</v>
      </c>
      <c r="BS48" s="216">
        <f t="shared" si="36"/>
        <v>60.608575</v>
      </c>
    </row>
    <row r="49" ht="14.25" spans="1:71">
      <c r="A49" s="67" t="s">
        <v>377</v>
      </c>
      <c r="B49" s="3">
        <f t="shared" si="0"/>
        <v>1</v>
      </c>
      <c r="C49" s="3">
        <v>1</v>
      </c>
      <c r="D49" s="3"/>
      <c r="E49" s="67" t="s">
        <v>188</v>
      </c>
      <c r="F49" s="3">
        <v>202510</v>
      </c>
      <c r="G49" s="67" t="s">
        <v>357</v>
      </c>
      <c r="H49" s="67" t="s">
        <v>357</v>
      </c>
      <c r="I49" s="67" t="s">
        <v>190</v>
      </c>
      <c r="J49" s="67" t="s">
        <v>97</v>
      </c>
      <c r="K49" s="67" t="s">
        <v>377</v>
      </c>
      <c r="L49" s="67" t="s">
        <v>191</v>
      </c>
      <c r="M49" s="67"/>
      <c r="N49" s="67" t="s">
        <v>192</v>
      </c>
      <c r="O49" s="67">
        <v>1</v>
      </c>
      <c r="P49" s="67" t="s">
        <v>193</v>
      </c>
      <c r="Q49" s="67">
        <v>47.4</v>
      </c>
      <c r="R49" s="67" t="s">
        <v>194</v>
      </c>
      <c r="S49" s="67" t="s">
        <v>195</v>
      </c>
      <c r="T49" s="67" t="s">
        <v>378</v>
      </c>
      <c r="U49" s="67" t="str">
        <f>VLOOKUP(T49,[5]semitemu_order_export_251110144!$R:$S,2,0)</f>
        <v>PO-076-02385536233591508</v>
      </c>
      <c r="V49" s="67"/>
      <c r="W49" s="67" t="s">
        <v>379</v>
      </c>
      <c r="X49" s="67" t="s">
        <v>380</v>
      </c>
      <c r="Y49" s="67" t="s">
        <v>199</v>
      </c>
      <c r="Z49" s="67"/>
      <c r="AA49" s="67"/>
      <c r="AB49" s="67"/>
      <c r="AC49" s="67" t="s">
        <v>377</v>
      </c>
      <c r="AD49" s="67" t="s">
        <v>200</v>
      </c>
      <c r="AE49" s="4" t="s">
        <v>201</v>
      </c>
      <c r="AF49" s="3" t="s">
        <v>202</v>
      </c>
      <c r="AG49" s="3">
        <v>47.4</v>
      </c>
      <c r="AH49" s="3"/>
      <c r="AI49" s="67">
        <v>1</v>
      </c>
      <c r="AJ49" s="3">
        <f t="shared" si="1"/>
        <v>47.4</v>
      </c>
      <c r="AK49" s="3">
        <f t="shared" si="20"/>
        <v>1</v>
      </c>
      <c r="AL49" s="70">
        <v>4.85</v>
      </c>
      <c r="AM49" s="70">
        <f t="shared" si="21"/>
        <v>4.85</v>
      </c>
      <c r="AN49" s="68"/>
      <c r="AO49" s="70"/>
      <c r="AP49" s="70">
        <f t="shared" si="22"/>
        <v>0</v>
      </c>
      <c r="AQ49" s="212"/>
      <c r="AR49" s="213"/>
      <c r="AS49" s="70">
        <f t="shared" si="23"/>
        <v>0</v>
      </c>
      <c r="AT49" s="3"/>
      <c r="AU49" s="214"/>
      <c r="AV49" s="70">
        <f t="shared" si="24"/>
        <v>0</v>
      </c>
      <c r="AW49" s="3">
        <f t="shared" si="25"/>
        <v>1</v>
      </c>
      <c r="AX49" s="70">
        <v>3</v>
      </c>
      <c r="AY49" s="70">
        <f t="shared" si="26"/>
        <v>3</v>
      </c>
      <c r="AZ49" s="215">
        <f t="shared" si="27"/>
        <v>7.85</v>
      </c>
      <c r="BA49" s="3">
        <v>1</v>
      </c>
      <c r="BB49" s="3">
        <f t="shared" si="28"/>
        <v>47.4</v>
      </c>
      <c r="BC49" s="3"/>
      <c r="BD49" s="3">
        <v>50</v>
      </c>
      <c r="BE49" s="76" t="str">
        <f t="shared" si="29"/>
        <v>91301</v>
      </c>
      <c r="BF49" s="3" t="str">
        <f t="shared" si="30"/>
        <v>Forchheim</v>
      </c>
      <c r="BG49" s="194" t="str">
        <f t="shared" si="31"/>
        <v>DE</v>
      </c>
      <c r="BH49" s="194">
        <v>46.558575</v>
      </c>
      <c r="BI49" s="194">
        <f t="shared" si="19"/>
        <v>46.558575</v>
      </c>
      <c r="BJ49" s="194">
        <v>2.5</v>
      </c>
      <c r="BK49" s="194">
        <f t="shared" si="32"/>
        <v>1.2</v>
      </c>
      <c r="BL49" s="194">
        <v>2.5</v>
      </c>
      <c r="BM49" s="194"/>
      <c r="BN49" s="194">
        <f t="shared" si="33"/>
        <v>6.2</v>
      </c>
      <c r="BO49" s="195"/>
      <c r="BP49" s="194"/>
      <c r="BQ49" s="194">
        <f t="shared" si="34"/>
        <v>0</v>
      </c>
      <c r="BR49" s="196">
        <f t="shared" si="35"/>
        <v>52.758575</v>
      </c>
      <c r="BS49" s="216">
        <f t="shared" si="36"/>
        <v>60.608575</v>
      </c>
    </row>
    <row r="50" ht="14.25" spans="1:71">
      <c r="A50" s="67" t="s">
        <v>381</v>
      </c>
      <c r="B50" s="3">
        <f t="shared" si="0"/>
        <v>1</v>
      </c>
      <c r="C50" s="3">
        <v>1</v>
      </c>
      <c r="D50" s="3"/>
      <c r="E50" s="67" t="s">
        <v>188</v>
      </c>
      <c r="F50" s="3">
        <v>202510</v>
      </c>
      <c r="G50" s="67" t="s">
        <v>357</v>
      </c>
      <c r="H50" s="67" t="s">
        <v>357</v>
      </c>
      <c r="I50" s="67" t="s">
        <v>190</v>
      </c>
      <c r="J50" s="67" t="s">
        <v>97</v>
      </c>
      <c r="K50" s="67" t="s">
        <v>381</v>
      </c>
      <c r="L50" s="67" t="s">
        <v>191</v>
      </c>
      <c r="M50" s="67"/>
      <c r="N50" s="67" t="s">
        <v>192</v>
      </c>
      <c r="O50" s="67">
        <v>1</v>
      </c>
      <c r="P50" s="67" t="s">
        <v>193</v>
      </c>
      <c r="Q50" s="67">
        <v>47.4</v>
      </c>
      <c r="R50" s="67" t="s">
        <v>194</v>
      </c>
      <c r="S50" s="67" t="s">
        <v>195</v>
      </c>
      <c r="T50" s="67" t="s">
        <v>382</v>
      </c>
      <c r="U50" s="67" t="str">
        <f>VLOOKUP(T50,[6]ebay_order_export_251110145132!$S:$T,2,0)</f>
        <v>12-13717-51641</v>
      </c>
      <c r="V50" s="67"/>
      <c r="W50" s="67" t="s">
        <v>383</v>
      </c>
      <c r="X50" s="67" t="s">
        <v>384</v>
      </c>
      <c r="Y50" s="67" t="s">
        <v>199</v>
      </c>
      <c r="Z50" s="67"/>
      <c r="AA50" s="67"/>
      <c r="AB50" s="67"/>
      <c r="AC50" s="67" t="s">
        <v>381</v>
      </c>
      <c r="AD50" s="67" t="s">
        <v>212</v>
      </c>
      <c r="AE50" s="4" t="s">
        <v>213</v>
      </c>
      <c r="AF50" s="3" t="s">
        <v>202</v>
      </c>
      <c r="AG50" s="3">
        <v>47.4</v>
      </c>
      <c r="AH50" s="3"/>
      <c r="AI50" s="67">
        <v>1</v>
      </c>
      <c r="AJ50" s="3">
        <f t="shared" si="1"/>
        <v>47.4</v>
      </c>
      <c r="AK50" s="3">
        <f t="shared" si="20"/>
        <v>1</v>
      </c>
      <c r="AL50" s="70">
        <v>4.85</v>
      </c>
      <c r="AM50" s="70">
        <f t="shared" si="21"/>
        <v>4.85</v>
      </c>
      <c r="AN50" s="68"/>
      <c r="AO50" s="70"/>
      <c r="AP50" s="70">
        <f t="shared" si="22"/>
        <v>0</v>
      </c>
      <c r="AQ50" s="212"/>
      <c r="AR50" s="213"/>
      <c r="AS50" s="70">
        <f t="shared" si="23"/>
        <v>0</v>
      </c>
      <c r="AT50" s="3"/>
      <c r="AU50" s="214"/>
      <c r="AV50" s="70">
        <f t="shared" si="24"/>
        <v>0</v>
      </c>
      <c r="AW50" s="3">
        <f t="shared" si="25"/>
        <v>1</v>
      </c>
      <c r="AX50" s="70">
        <v>3</v>
      </c>
      <c r="AY50" s="70">
        <f t="shared" si="26"/>
        <v>3</v>
      </c>
      <c r="AZ50" s="215">
        <f t="shared" si="27"/>
        <v>7.85</v>
      </c>
      <c r="BA50" s="3">
        <v>1</v>
      </c>
      <c r="BB50" s="3">
        <f t="shared" si="28"/>
        <v>47.4</v>
      </c>
      <c r="BC50" s="3"/>
      <c r="BD50" s="3">
        <v>50</v>
      </c>
      <c r="BE50" s="76" t="str">
        <f t="shared" si="29"/>
        <v>95652</v>
      </c>
      <c r="BF50" s="3" t="str">
        <f t="shared" si="30"/>
        <v>Waldsassen</v>
      </c>
      <c r="BG50" s="194" t="str">
        <f t="shared" si="31"/>
        <v>DE</v>
      </c>
      <c r="BH50" s="194">
        <v>46.558575</v>
      </c>
      <c r="BI50" s="194">
        <f t="shared" si="19"/>
        <v>46.558575</v>
      </c>
      <c r="BJ50" s="194">
        <v>2.5</v>
      </c>
      <c r="BK50" s="194">
        <f t="shared" si="32"/>
        <v>1.2</v>
      </c>
      <c r="BL50" s="194">
        <v>2.5</v>
      </c>
      <c r="BM50" s="194"/>
      <c r="BN50" s="194">
        <f t="shared" si="33"/>
        <v>6.2</v>
      </c>
      <c r="BO50" s="195"/>
      <c r="BP50" s="194"/>
      <c r="BQ50" s="194">
        <f t="shared" si="34"/>
        <v>0</v>
      </c>
      <c r="BR50" s="196">
        <f t="shared" si="35"/>
        <v>52.758575</v>
      </c>
      <c r="BS50" s="216">
        <f t="shared" si="36"/>
        <v>60.608575</v>
      </c>
    </row>
    <row r="51" ht="25.5" spans="1:71">
      <c r="A51" s="67" t="s">
        <v>385</v>
      </c>
      <c r="B51" s="3">
        <f t="shared" si="0"/>
        <v>1</v>
      </c>
      <c r="C51" s="3">
        <v>1</v>
      </c>
      <c r="D51" s="3"/>
      <c r="E51" s="67" t="s">
        <v>188</v>
      </c>
      <c r="F51" s="3">
        <v>202510</v>
      </c>
      <c r="G51" s="67" t="s">
        <v>357</v>
      </c>
      <c r="H51" s="67" t="s">
        <v>357</v>
      </c>
      <c r="I51" s="67" t="s">
        <v>190</v>
      </c>
      <c r="J51" s="67" t="s">
        <v>97</v>
      </c>
      <c r="K51" s="67" t="s">
        <v>385</v>
      </c>
      <c r="L51" s="67" t="s">
        <v>191</v>
      </c>
      <c r="M51" s="67"/>
      <c r="N51" s="67" t="s">
        <v>192</v>
      </c>
      <c r="O51" s="67">
        <v>2</v>
      </c>
      <c r="P51" s="67" t="s">
        <v>193</v>
      </c>
      <c r="Q51" s="67">
        <v>47.4</v>
      </c>
      <c r="R51" s="67" t="s">
        <v>194</v>
      </c>
      <c r="S51" s="67" t="s">
        <v>195</v>
      </c>
      <c r="T51" s="252" t="s">
        <v>386</v>
      </c>
      <c r="U51" s="211" t="s">
        <v>387</v>
      </c>
      <c r="V51" s="67"/>
      <c r="W51" s="67" t="s">
        <v>388</v>
      </c>
      <c r="X51" s="67" t="s">
        <v>389</v>
      </c>
      <c r="Y51" s="67" t="s">
        <v>199</v>
      </c>
      <c r="Z51" s="67"/>
      <c r="AA51" s="67"/>
      <c r="AB51" s="67"/>
      <c r="AC51" s="67" t="s">
        <v>385</v>
      </c>
      <c r="AD51" s="67" t="s">
        <v>200</v>
      </c>
      <c r="AE51" s="4" t="s">
        <v>201</v>
      </c>
      <c r="AF51" s="3" t="s">
        <v>202</v>
      </c>
      <c r="AG51" s="3">
        <v>47.4</v>
      </c>
      <c r="AH51" s="3"/>
      <c r="AI51" s="67">
        <v>2</v>
      </c>
      <c r="AJ51" s="3">
        <f t="shared" si="1"/>
        <v>94.8</v>
      </c>
      <c r="AK51" s="3">
        <f t="shared" si="20"/>
        <v>2</v>
      </c>
      <c r="AL51" s="70">
        <v>4.85</v>
      </c>
      <c r="AM51" s="70">
        <f t="shared" si="21"/>
        <v>9.7</v>
      </c>
      <c r="AN51" s="68"/>
      <c r="AO51" s="70"/>
      <c r="AP51" s="70">
        <f t="shared" si="22"/>
        <v>0</v>
      </c>
      <c r="AQ51" s="212"/>
      <c r="AR51" s="213"/>
      <c r="AS51" s="70">
        <f t="shared" si="23"/>
        <v>0</v>
      </c>
      <c r="AT51" s="3"/>
      <c r="AU51" s="214"/>
      <c r="AV51" s="70">
        <f t="shared" si="24"/>
        <v>0</v>
      </c>
      <c r="AW51" s="3">
        <f t="shared" si="25"/>
        <v>2</v>
      </c>
      <c r="AX51" s="70">
        <v>3</v>
      </c>
      <c r="AY51" s="70">
        <f t="shared" si="26"/>
        <v>6</v>
      </c>
      <c r="AZ51" s="215">
        <f t="shared" si="27"/>
        <v>15.7</v>
      </c>
      <c r="BA51" s="3">
        <v>1</v>
      </c>
      <c r="BB51" s="3">
        <f t="shared" si="28"/>
        <v>94.8</v>
      </c>
      <c r="BC51" s="3"/>
      <c r="BD51" s="3">
        <v>100</v>
      </c>
      <c r="BE51" s="76" t="str">
        <f t="shared" si="29"/>
        <v>89257</v>
      </c>
      <c r="BF51" s="3" t="str">
        <f t="shared" si="30"/>
        <v>Illertissen</v>
      </c>
      <c r="BG51" s="194" t="str">
        <f t="shared" si="31"/>
        <v>DE</v>
      </c>
      <c r="BH51" s="194">
        <v>78.354675</v>
      </c>
      <c r="BI51" s="194">
        <f t="shared" si="19"/>
        <v>78.354675</v>
      </c>
      <c r="BJ51" s="194">
        <v>2.5</v>
      </c>
      <c r="BK51" s="194">
        <f t="shared" si="32"/>
        <v>2.4</v>
      </c>
      <c r="BL51" s="194">
        <v>2.5</v>
      </c>
      <c r="BM51" s="194"/>
      <c r="BN51" s="194">
        <f t="shared" si="33"/>
        <v>7.4</v>
      </c>
      <c r="BO51" s="195"/>
      <c r="BP51" s="194"/>
      <c r="BQ51" s="194">
        <f t="shared" si="34"/>
        <v>0</v>
      </c>
      <c r="BR51" s="196">
        <f t="shared" si="35"/>
        <v>85.754675</v>
      </c>
      <c r="BS51" s="216">
        <f>50.73*2</f>
        <v>101.46</v>
      </c>
    </row>
    <row r="52" ht="14.25" spans="1:71">
      <c r="A52" s="67" t="s">
        <v>390</v>
      </c>
      <c r="B52" s="3">
        <f t="shared" si="0"/>
        <v>1</v>
      </c>
      <c r="C52" s="3">
        <v>1</v>
      </c>
      <c r="D52" s="3"/>
      <c r="E52" s="67" t="s">
        <v>188</v>
      </c>
      <c r="F52" s="3">
        <v>202510</v>
      </c>
      <c r="G52" s="67" t="s">
        <v>357</v>
      </c>
      <c r="H52" s="67" t="s">
        <v>357</v>
      </c>
      <c r="I52" s="67" t="s">
        <v>190</v>
      </c>
      <c r="J52" s="67" t="s">
        <v>97</v>
      </c>
      <c r="K52" s="67" t="s">
        <v>390</v>
      </c>
      <c r="L52" s="67" t="s">
        <v>191</v>
      </c>
      <c r="M52" s="67"/>
      <c r="N52" s="67" t="s">
        <v>192</v>
      </c>
      <c r="O52" s="67">
        <v>1</v>
      </c>
      <c r="P52" s="67" t="s">
        <v>193</v>
      </c>
      <c r="Q52" s="67">
        <v>47.4</v>
      </c>
      <c r="R52" s="67" t="s">
        <v>194</v>
      </c>
      <c r="S52" s="67" t="s">
        <v>195</v>
      </c>
      <c r="T52" s="67" t="s">
        <v>391</v>
      </c>
      <c r="U52" s="67" t="str">
        <f>VLOOKUP(T52,[5]semitemu_order_export_251110144!$R:$S,2,0)</f>
        <v>PO-076-10884624877433843</v>
      </c>
      <c r="V52" s="67"/>
      <c r="W52" s="67" t="s">
        <v>261</v>
      </c>
      <c r="X52" s="67" t="s">
        <v>262</v>
      </c>
      <c r="Y52" s="67" t="s">
        <v>199</v>
      </c>
      <c r="Z52" s="67"/>
      <c r="AA52" s="67"/>
      <c r="AB52" s="67"/>
      <c r="AC52" s="67" t="s">
        <v>390</v>
      </c>
      <c r="AD52" s="67" t="s">
        <v>212</v>
      </c>
      <c r="AE52" s="4" t="s">
        <v>213</v>
      </c>
      <c r="AF52" s="3" t="s">
        <v>202</v>
      </c>
      <c r="AG52" s="3">
        <v>47.4</v>
      </c>
      <c r="AH52" s="3"/>
      <c r="AI52" s="67">
        <v>1</v>
      </c>
      <c r="AJ52" s="3">
        <f t="shared" si="1"/>
        <v>47.4</v>
      </c>
      <c r="AK52" s="3">
        <f t="shared" si="20"/>
        <v>1</v>
      </c>
      <c r="AL52" s="70">
        <v>4.85</v>
      </c>
      <c r="AM52" s="70">
        <f t="shared" si="21"/>
        <v>4.85</v>
      </c>
      <c r="AN52" s="68"/>
      <c r="AO52" s="70"/>
      <c r="AP52" s="70">
        <f t="shared" si="22"/>
        <v>0</v>
      </c>
      <c r="AQ52" s="212"/>
      <c r="AR52" s="213"/>
      <c r="AS52" s="70">
        <f t="shared" si="23"/>
        <v>0</v>
      </c>
      <c r="AT52" s="3"/>
      <c r="AU52" s="214"/>
      <c r="AV52" s="70">
        <f t="shared" si="24"/>
        <v>0</v>
      </c>
      <c r="AW52" s="3">
        <f t="shared" si="25"/>
        <v>1</v>
      </c>
      <c r="AX52" s="70">
        <v>3</v>
      </c>
      <c r="AY52" s="70">
        <f t="shared" si="26"/>
        <v>3</v>
      </c>
      <c r="AZ52" s="215">
        <f t="shared" si="27"/>
        <v>7.85</v>
      </c>
      <c r="BA52" s="3">
        <v>1</v>
      </c>
      <c r="BB52" s="3">
        <f t="shared" si="28"/>
        <v>47.4</v>
      </c>
      <c r="BC52" s="3"/>
      <c r="BD52" s="3">
        <v>50</v>
      </c>
      <c r="BE52" s="76" t="str">
        <f t="shared" si="29"/>
        <v>93170</v>
      </c>
      <c r="BF52" s="3" t="str">
        <f t="shared" si="30"/>
        <v>Bernhardswald</v>
      </c>
      <c r="BG52" s="194" t="str">
        <f t="shared" si="31"/>
        <v>DE</v>
      </c>
      <c r="BH52" s="194">
        <v>46.558575</v>
      </c>
      <c r="BI52" s="194">
        <f t="shared" si="19"/>
        <v>46.558575</v>
      </c>
      <c r="BJ52" s="194">
        <v>2.5</v>
      </c>
      <c r="BK52" s="194">
        <f t="shared" si="32"/>
        <v>1.2</v>
      </c>
      <c r="BL52" s="194">
        <v>2.5</v>
      </c>
      <c r="BM52" s="194"/>
      <c r="BN52" s="194">
        <f t="shared" si="33"/>
        <v>6.2</v>
      </c>
      <c r="BO52" s="195"/>
      <c r="BP52" s="194"/>
      <c r="BQ52" s="194">
        <f t="shared" si="34"/>
        <v>0</v>
      </c>
      <c r="BR52" s="196">
        <f t="shared" si="35"/>
        <v>52.758575</v>
      </c>
      <c r="BS52" s="216">
        <f t="shared" ref="BS52:BS57" si="37">AZ52+BR52</f>
        <v>60.608575</v>
      </c>
    </row>
    <row r="53" ht="14.25" spans="1:71">
      <c r="A53" s="67" t="s">
        <v>392</v>
      </c>
      <c r="B53" s="3">
        <f t="shared" si="0"/>
        <v>1</v>
      </c>
      <c r="C53" s="3">
        <v>1</v>
      </c>
      <c r="D53" s="3"/>
      <c r="E53" s="67" t="s">
        <v>188</v>
      </c>
      <c r="F53" s="3">
        <v>202510</v>
      </c>
      <c r="G53" s="67" t="s">
        <v>393</v>
      </c>
      <c r="H53" s="67" t="s">
        <v>393</v>
      </c>
      <c r="I53" s="67" t="s">
        <v>190</v>
      </c>
      <c r="J53" s="67" t="s">
        <v>97</v>
      </c>
      <c r="K53" s="67" t="s">
        <v>392</v>
      </c>
      <c r="L53" s="67" t="s">
        <v>191</v>
      </c>
      <c r="M53" s="67"/>
      <c r="N53" s="67" t="s">
        <v>192</v>
      </c>
      <c r="O53" s="67">
        <v>1</v>
      </c>
      <c r="P53" s="67" t="s">
        <v>193</v>
      </c>
      <c r="Q53" s="67">
        <v>47.4</v>
      </c>
      <c r="R53" s="67" t="s">
        <v>194</v>
      </c>
      <c r="S53" s="67" t="s">
        <v>195</v>
      </c>
      <c r="T53" s="67" t="s">
        <v>394</v>
      </c>
      <c r="U53" s="67" t="str">
        <f>VLOOKUP(T53,[6]ebay_order_export_251110145132!$S:$T,2,0)</f>
        <v>24-13723-93482</v>
      </c>
      <c r="V53" s="67"/>
      <c r="W53" s="67" t="s">
        <v>395</v>
      </c>
      <c r="X53" s="67" t="s">
        <v>396</v>
      </c>
      <c r="Y53" s="67" t="s">
        <v>199</v>
      </c>
      <c r="Z53" s="67"/>
      <c r="AA53" s="67"/>
      <c r="AB53" s="67"/>
      <c r="AC53" s="67" t="s">
        <v>392</v>
      </c>
      <c r="AD53" s="67" t="s">
        <v>243</v>
      </c>
      <c r="AE53" s="4" t="s">
        <v>244</v>
      </c>
      <c r="AF53" s="3" t="s">
        <v>202</v>
      </c>
      <c r="AG53" s="3">
        <v>47.4</v>
      </c>
      <c r="AH53" s="3"/>
      <c r="AI53" s="67">
        <v>1</v>
      </c>
      <c r="AJ53" s="3">
        <f t="shared" si="1"/>
        <v>47.4</v>
      </c>
      <c r="AK53" s="3">
        <f t="shared" si="20"/>
        <v>1</v>
      </c>
      <c r="AL53" s="70">
        <v>4.85</v>
      </c>
      <c r="AM53" s="70">
        <f t="shared" si="21"/>
        <v>4.85</v>
      </c>
      <c r="AN53" s="68"/>
      <c r="AO53" s="70"/>
      <c r="AP53" s="70">
        <f t="shared" si="22"/>
        <v>0</v>
      </c>
      <c r="AQ53" s="212"/>
      <c r="AR53" s="213"/>
      <c r="AS53" s="70">
        <f t="shared" si="23"/>
        <v>0</v>
      </c>
      <c r="AT53" s="3"/>
      <c r="AU53" s="214"/>
      <c r="AV53" s="70">
        <f t="shared" si="24"/>
        <v>0</v>
      </c>
      <c r="AW53" s="3">
        <f t="shared" si="25"/>
        <v>1</v>
      </c>
      <c r="AX53" s="70">
        <v>3</v>
      </c>
      <c r="AY53" s="70">
        <f t="shared" si="26"/>
        <v>3</v>
      </c>
      <c r="AZ53" s="215">
        <f t="shared" si="27"/>
        <v>7.85</v>
      </c>
      <c r="BA53" s="3">
        <v>1</v>
      </c>
      <c r="BB53" s="3">
        <f t="shared" si="28"/>
        <v>47.4</v>
      </c>
      <c r="BC53" s="3"/>
      <c r="BD53" s="3">
        <v>50</v>
      </c>
      <c r="BE53" s="76" t="str">
        <f t="shared" si="29"/>
        <v>95152</v>
      </c>
      <c r="BF53" s="3" t="str">
        <f t="shared" si="30"/>
        <v>Selbitz</v>
      </c>
      <c r="BG53" s="194" t="str">
        <f t="shared" si="31"/>
        <v>DE</v>
      </c>
      <c r="BH53" s="194">
        <v>46.558575</v>
      </c>
      <c r="BI53" s="194">
        <f t="shared" si="19"/>
        <v>46.558575</v>
      </c>
      <c r="BJ53" s="194">
        <v>2.5</v>
      </c>
      <c r="BK53" s="194">
        <f t="shared" si="32"/>
        <v>1.2</v>
      </c>
      <c r="BL53" s="194">
        <v>2.5</v>
      </c>
      <c r="BM53" s="194"/>
      <c r="BN53" s="194">
        <f t="shared" si="33"/>
        <v>6.2</v>
      </c>
      <c r="BO53" s="195"/>
      <c r="BP53" s="194"/>
      <c r="BQ53" s="194">
        <f t="shared" si="34"/>
        <v>0</v>
      </c>
      <c r="BR53" s="196">
        <f t="shared" si="35"/>
        <v>52.758575</v>
      </c>
      <c r="BS53" s="216">
        <f t="shared" si="37"/>
        <v>60.608575</v>
      </c>
    </row>
    <row r="54" ht="14.25" spans="1:71">
      <c r="A54" s="67" t="s">
        <v>397</v>
      </c>
      <c r="B54" s="3">
        <f t="shared" si="0"/>
        <v>1</v>
      </c>
      <c r="C54" s="3">
        <v>1</v>
      </c>
      <c r="D54" s="3"/>
      <c r="E54" s="67" t="s">
        <v>188</v>
      </c>
      <c r="F54" s="3">
        <v>202510</v>
      </c>
      <c r="G54" s="67" t="s">
        <v>398</v>
      </c>
      <c r="H54" s="67" t="s">
        <v>398</v>
      </c>
      <c r="I54" s="67" t="s">
        <v>231</v>
      </c>
      <c r="J54" s="67" t="s">
        <v>97</v>
      </c>
      <c r="K54" s="67" t="s">
        <v>397</v>
      </c>
      <c r="L54" s="67" t="s">
        <v>191</v>
      </c>
      <c r="M54" s="67"/>
      <c r="N54" s="67" t="s">
        <v>192</v>
      </c>
      <c r="O54" s="67">
        <v>1</v>
      </c>
      <c r="P54" s="67" t="s">
        <v>193</v>
      </c>
      <c r="Q54" s="67">
        <v>47.4</v>
      </c>
      <c r="R54" s="67" t="s">
        <v>194</v>
      </c>
      <c r="S54" s="67" t="s">
        <v>195</v>
      </c>
      <c r="T54" s="67" t="s">
        <v>399</v>
      </c>
      <c r="U54" s="67" t="str">
        <f>VLOOKUP(T54,[5]semitemu_order_export_251110144!$R:$S,2,0)</f>
        <v>PO-076-08120084790393937</v>
      </c>
      <c r="V54" s="67"/>
      <c r="W54" s="67" t="s">
        <v>400</v>
      </c>
      <c r="X54" s="67" t="s">
        <v>401</v>
      </c>
      <c r="Y54" s="67" t="s">
        <v>199</v>
      </c>
      <c r="Z54" s="67"/>
      <c r="AA54" s="67"/>
      <c r="AB54" s="67"/>
      <c r="AC54" s="67" t="s">
        <v>397</v>
      </c>
      <c r="AD54" s="67" t="s">
        <v>212</v>
      </c>
      <c r="AE54" s="4" t="s">
        <v>213</v>
      </c>
      <c r="AF54" s="3" t="s">
        <v>202</v>
      </c>
      <c r="AG54" s="3">
        <v>47.4</v>
      </c>
      <c r="AH54" s="3"/>
      <c r="AI54" s="67">
        <v>1</v>
      </c>
      <c r="AJ54" s="3">
        <f t="shared" si="1"/>
        <v>47.4</v>
      </c>
      <c r="AK54" s="3">
        <f t="shared" si="20"/>
        <v>1</v>
      </c>
      <c r="AL54" s="70">
        <v>4.85</v>
      </c>
      <c r="AM54" s="70">
        <f t="shared" si="21"/>
        <v>4.85</v>
      </c>
      <c r="AN54" s="68"/>
      <c r="AO54" s="70"/>
      <c r="AP54" s="70">
        <f t="shared" si="22"/>
        <v>0</v>
      </c>
      <c r="AQ54" s="212"/>
      <c r="AR54" s="213"/>
      <c r="AS54" s="70">
        <f t="shared" si="23"/>
        <v>0</v>
      </c>
      <c r="AT54" s="3"/>
      <c r="AU54" s="214"/>
      <c r="AV54" s="70">
        <f t="shared" si="24"/>
        <v>0</v>
      </c>
      <c r="AW54" s="3">
        <f t="shared" si="25"/>
        <v>1</v>
      </c>
      <c r="AX54" s="70">
        <v>3</v>
      </c>
      <c r="AY54" s="70">
        <f t="shared" si="26"/>
        <v>3</v>
      </c>
      <c r="AZ54" s="215">
        <f t="shared" si="27"/>
        <v>7.85</v>
      </c>
      <c r="BA54" s="3">
        <v>1</v>
      </c>
      <c r="BB54" s="3">
        <f t="shared" si="28"/>
        <v>47.4</v>
      </c>
      <c r="BC54" s="3"/>
      <c r="BD54" s="3">
        <v>50</v>
      </c>
      <c r="BE54" s="76" t="str">
        <f t="shared" si="29"/>
        <v>71144</v>
      </c>
      <c r="BF54" s="3" t="str">
        <f t="shared" si="30"/>
        <v>Steinenbronn</v>
      </c>
      <c r="BG54" s="194" t="str">
        <f t="shared" si="31"/>
        <v>DE</v>
      </c>
      <c r="BH54" s="194">
        <v>46.558575</v>
      </c>
      <c r="BI54" s="194">
        <f t="shared" si="19"/>
        <v>46.558575</v>
      </c>
      <c r="BJ54" s="194">
        <v>2.5</v>
      </c>
      <c r="BK54" s="194">
        <f t="shared" si="32"/>
        <v>1.2</v>
      </c>
      <c r="BL54" s="194">
        <v>2.5</v>
      </c>
      <c r="BM54" s="194"/>
      <c r="BN54" s="194">
        <f t="shared" si="33"/>
        <v>6.2</v>
      </c>
      <c r="BO54" s="195"/>
      <c r="BP54" s="194"/>
      <c r="BQ54" s="194">
        <f t="shared" si="34"/>
        <v>0</v>
      </c>
      <c r="BR54" s="196">
        <f t="shared" si="35"/>
        <v>52.758575</v>
      </c>
      <c r="BS54" s="216">
        <f t="shared" si="37"/>
        <v>60.608575</v>
      </c>
    </row>
    <row r="55" ht="14.25" spans="1:71">
      <c r="A55" s="67" t="s">
        <v>402</v>
      </c>
      <c r="B55" s="3">
        <f t="shared" si="0"/>
        <v>1</v>
      </c>
      <c r="C55" s="3">
        <v>1</v>
      </c>
      <c r="D55" s="3"/>
      <c r="E55" s="67" t="s">
        <v>188</v>
      </c>
      <c r="F55" s="3">
        <v>202510</v>
      </c>
      <c r="G55" s="67" t="s">
        <v>398</v>
      </c>
      <c r="H55" s="67" t="s">
        <v>398</v>
      </c>
      <c r="I55" s="67" t="s">
        <v>190</v>
      </c>
      <c r="J55" s="67" t="s">
        <v>97</v>
      </c>
      <c r="K55" s="67" t="s">
        <v>402</v>
      </c>
      <c r="L55" s="67" t="s">
        <v>191</v>
      </c>
      <c r="M55" s="67"/>
      <c r="N55" s="67" t="s">
        <v>192</v>
      </c>
      <c r="O55" s="67">
        <v>1</v>
      </c>
      <c r="P55" s="67" t="s">
        <v>193</v>
      </c>
      <c r="Q55" s="67">
        <v>47.4</v>
      </c>
      <c r="R55" s="67" t="s">
        <v>194</v>
      </c>
      <c r="S55" s="67" t="s">
        <v>195</v>
      </c>
      <c r="T55" s="67" t="s">
        <v>403</v>
      </c>
      <c r="U55" s="67" t="str">
        <f>VLOOKUP(T55,[5]semitemu_order_export_251110144!$R:$S,2,0)</f>
        <v>PO-076-08223921815673348</v>
      </c>
      <c r="V55" s="67"/>
      <c r="W55" s="67" t="s">
        <v>404</v>
      </c>
      <c r="X55" s="67" t="s">
        <v>405</v>
      </c>
      <c r="Y55" s="67" t="s">
        <v>199</v>
      </c>
      <c r="Z55" s="67"/>
      <c r="AA55" s="67"/>
      <c r="AB55" s="67"/>
      <c r="AC55" s="67" t="s">
        <v>402</v>
      </c>
      <c r="AD55" s="67" t="s">
        <v>243</v>
      </c>
      <c r="AE55" s="4" t="s">
        <v>244</v>
      </c>
      <c r="AF55" s="3" t="s">
        <v>202</v>
      </c>
      <c r="AG55" s="3">
        <v>47.4</v>
      </c>
      <c r="AH55" s="3"/>
      <c r="AI55" s="67">
        <v>1</v>
      </c>
      <c r="AJ55" s="3">
        <f t="shared" si="1"/>
        <v>47.4</v>
      </c>
      <c r="AK55" s="3">
        <f t="shared" si="20"/>
        <v>1</v>
      </c>
      <c r="AL55" s="70">
        <v>4.85</v>
      </c>
      <c r="AM55" s="70">
        <f t="shared" si="21"/>
        <v>4.85</v>
      </c>
      <c r="AN55" s="68"/>
      <c r="AO55" s="70"/>
      <c r="AP55" s="70">
        <f t="shared" si="22"/>
        <v>0</v>
      </c>
      <c r="AQ55" s="212"/>
      <c r="AR55" s="213"/>
      <c r="AS55" s="70">
        <f t="shared" si="23"/>
        <v>0</v>
      </c>
      <c r="AT55" s="3"/>
      <c r="AU55" s="214"/>
      <c r="AV55" s="70">
        <f t="shared" si="24"/>
        <v>0</v>
      </c>
      <c r="AW55" s="3">
        <f t="shared" si="25"/>
        <v>1</v>
      </c>
      <c r="AX55" s="70">
        <v>3</v>
      </c>
      <c r="AY55" s="70">
        <f t="shared" si="26"/>
        <v>3</v>
      </c>
      <c r="AZ55" s="215">
        <f t="shared" si="27"/>
        <v>7.85</v>
      </c>
      <c r="BA55" s="3">
        <v>1</v>
      </c>
      <c r="BB55" s="3">
        <f t="shared" si="28"/>
        <v>47.4</v>
      </c>
      <c r="BC55" s="3"/>
      <c r="BD55" s="3">
        <v>50</v>
      </c>
      <c r="BE55" s="76" t="str">
        <f t="shared" si="29"/>
        <v>6179</v>
      </c>
      <c r="BF55" s="3" t="str">
        <f t="shared" si="30"/>
        <v>Teutschenthal</v>
      </c>
      <c r="BG55" s="194" t="str">
        <f t="shared" si="31"/>
        <v>DE</v>
      </c>
      <c r="BH55" s="194">
        <v>46.558575</v>
      </c>
      <c r="BI55" s="194">
        <f t="shared" si="19"/>
        <v>46.558575</v>
      </c>
      <c r="BJ55" s="194">
        <v>2.5</v>
      </c>
      <c r="BK55" s="194">
        <f t="shared" si="32"/>
        <v>1.2</v>
      </c>
      <c r="BL55" s="194">
        <v>2.5</v>
      </c>
      <c r="BM55" s="194"/>
      <c r="BN55" s="194">
        <f t="shared" si="33"/>
        <v>6.2</v>
      </c>
      <c r="BO55" s="195"/>
      <c r="BP55" s="194"/>
      <c r="BQ55" s="194">
        <f t="shared" si="34"/>
        <v>0</v>
      </c>
      <c r="BR55" s="196">
        <f t="shared" si="35"/>
        <v>52.758575</v>
      </c>
      <c r="BS55" s="216">
        <f t="shared" si="37"/>
        <v>60.608575</v>
      </c>
    </row>
    <row r="56" ht="14.25" spans="1:71">
      <c r="A56" s="67" t="s">
        <v>406</v>
      </c>
      <c r="B56" s="3">
        <f t="shared" si="0"/>
        <v>1</v>
      </c>
      <c r="C56" s="3">
        <v>1</v>
      </c>
      <c r="D56" s="3"/>
      <c r="E56" s="67" t="s">
        <v>188</v>
      </c>
      <c r="F56" s="3">
        <v>202510</v>
      </c>
      <c r="G56" s="67" t="s">
        <v>407</v>
      </c>
      <c r="H56" s="67" t="s">
        <v>407</v>
      </c>
      <c r="I56" s="67" t="s">
        <v>190</v>
      </c>
      <c r="J56" s="67" t="s">
        <v>97</v>
      </c>
      <c r="K56" s="67" t="s">
        <v>406</v>
      </c>
      <c r="L56" s="67" t="s">
        <v>191</v>
      </c>
      <c r="M56" s="67"/>
      <c r="N56" s="67" t="s">
        <v>192</v>
      </c>
      <c r="O56" s="67">
        <v>1</v>
      </c>
      <c r="P56" s="67" t="s">
        <v>193</v>
      </c>
      <c r="Q56" s="67">
        <v>47.4</v>
      </c>
      <c r="R56" s="67" t="s">
        <v>194</v>
      </c>
      <c r="S56" s="67" t="s">
        <v>195</v>
      </c>
      <c r="T56" s="67" t="s">
        <v>408</v>
      </c>
      <c r="U56" s="67" t="str">
        <f>VLOOKUP(T56,[5]semitemu_order_export_251110144!$R:$S,2,0)</f>
        <v>PO-076-19048890705272538</v>
      </c>
      <c r="V56" s="67"/>
      <c r="W56" s="67" t="s">
        <v>409</v>
      </c>
      <c r="X56" s="67" t="s">
        <v>410</v>
      </c>
      <c r="Y56" s="67" t="s">
        <v>199</v>
      </c>
      <c r="Z56" s="67"/>
      <c r="AA56" s="67"/>
      <c r="AB56" s="67"/>
      <c r="AC56" s="67" t="s">
        <v>406</v>
      </c>
      <c r="AD56" s="67" t="s">
        <v>200</v>
      </c>
      <c r="AE56" s="4" t="s">
        <v>201</v>
      </c>
      <c r="AF56" s="3" t="s">
        <v>202</v>
      </c>
      <c r="AG56" s="3">
        <v>47.4</v>
      </c>
      <c r="AH56" s="3"/>
      <c r="AI56" s="67">
        <v>1</v>
      </c>
      <c r="AJ56" s="3">
        <f t="shared" si="1"/>
        <v>47.4</v>
      </c>
      <c r="AK56" s="3">
        <f t="shared" si="20"/>
        <v>1</v>
      </c>
      <c r="AL56" s="70">
        <v>4.85</v>
      </c>
      <c r="AM56" s="70">
        <f t="shared" si="21"/>
        <v>4.85</v>
      </c>
      <c r="AN56" s="68"/>
      <c r="AO56" s="70"/>
      <c r="AP56" s="70">
        <f t="shared" si="22"/>
        <v>0</v>
      </c>
      <c r="AQ56" s="212"/>
      <c r="AR56" s="213"/>
      <c r="AS56" s="70">
        <f t="shared" si="23"/>
        <v>0</v>
      </c>
      <c r="AT56" s="3"/>
      <c r="AU56" s="214"/>
      <c r="AV56" s="70">
        <f t="shared" si="24"/>
        <v>0</v>
      </c>
      <c r="AW56" s="3">
        <f t="shared" si="25"/>
        <v>1</v>
      </c>
      <c r="AX56" s="70">
        <v>3</v>
      </c>
      <c r="AY56" s="70">
        <f t="shared" si="26"/>
        <v>3</v>
      </c>
      <c r="AZ56" s="215">
        <f t="shared" si="27"/>
        <v>7.85</v>
      </c>
      <c r="BA56" s="3">
        <v>1</v>
      </c>
      <c r="BB56" s="3">
        <f t="shared" si="28"/>
        <v>47.4</v>
      </c>
      <c r="BC56" s="3"/>
      <c r="BD56" s="3">
        <v>50</v>
      </c>
      <c r="BE56" s="76" t="str">
        <f t="shared" si="29"/>
        <v>78166</v>
      </c>
      <c r="BF56" s="3" t="str">
        <f t="shared" si="30"/>
        <v>Donaueschingen</v>
      </c>
      <c r="BG56" s="194" t="str">
        <f t="shared" si="31"/>
        <v>DE</v>
      </c>
      <c r="BH56" s="194">
        <v>46.558575</v>
      </c>
      <c r="BI56" s="194">
        <f t="shared" si="19"/>
        <v>46.558575</v>
      </c>
      <c r="BJ56" s="194">
        <v>2.5</v>
      </c>
      <c r="BK56" s="194">
        <f t="shared" si="32"/>
        <v>1.2</v>
      </c>
      <c r="BL56" s="194">
        <v>2.5</v>
      </c>
      <c r="BM56" s="194"/>
      <c r="BN56" s="194">
        <f t="shared" si="33"/>
        <v>6.2</v>
      </c>
      <c r="BO56" s="195"/>
      <c r="BP56" s="194"/>
      <c r="BQ56" s="194">
        <f t="shared" si="34"/>
        <v>0</v>
      </c>
      <c r="BR56" s="196">
        <f t="shared" si="35"/>
        <v>52.758575</v>
      </c>
      <c r="BS56" s="216">
        <f t="shared" si="37"/>
        <v>60.608575</v>
      </c>
    </row>
    <row r="57" ht="14.25" spans="1:71">
      <c r="A57" s="67" t="s">
        <v>411</v>
      </c>
      <c r="B57" s="3">
        <f t="shared" si="0"/>
        <v>1</v>
      </c>
      <c r="C57" s="3">
        <v>1</v>
      </c>
      <c r="D57" s="3"/>
      <c r="E57" s="67" t="s">
        <v>188</v>
      </c>
      <c r="F57" s="3">
        <v>202510</v>
      </c>
      <c r="G57" s="67" t="s">
        <v>407</v>
      </c>
      <c r="H57" s="67" t="s">
        <v>407</v>
      </c>
      <c r="I57" s="67" t="s">
        <v>190</v>
      </c>
      <c r="J57" s="67" t="s">
        <v>97</v>
      </c>
      <c r="K57" s="67" t="s">
        <v>411</v>
      </c>
      <c r="L57" s="67" t="s">
        <v>191</v>
      </c>
      <c r="M57" s="67"/>
      <c r="N57" s="67" t="s">
        <v>192</v>
      </c>
      <c r="O57" s="67">
        <v>1</v>
      </c>
      <c r="P57" s="67" t="s">
        <v>193</v>
      </c>
      <c r="Q57" s="67">
        <v>47.4</v>
      </c>
      <c r="R57" s="67" t="s">
        <v>194</v>
      </c>
      <c r="S57" s="67" t="s">
        <v>195</v>
      </c>
      <c r="T57" s="67" t="s">
        <v>412</v>
      </c>
      <c r="U57" s="67" t="str">
        <f>VLOOKUP(T57,[6]ebay_order_export_251110145132!$S:$T,2,0)</f>
        <v>18-13724-67036</v>
      </c>
      <c r="V57" s="67"/>
      <c r="W57" s="67" t="s">
        <v>413</v>
      </c>
      <c r="X57" s="67" t="s">
        <v>414</v>
      </c>
      <c r="Y57" s="67" t="s">
        <v>199</v>
      </c>
      <c r="Z57" s="67"/>
      <c r="AA57" s="67"/>
      <c r="AB57" s="67"/>
      <c r="AC57" s="67" t="s">
        <v>411</v>
      </c>
      <c r="AD57" s="67" t="s">
        <v>212</v>
      </c>
      <c r="AE57" s="4" t="s">
        <v>213</v>
      </c>
      <c r="AF57" s="3" t="s">
        <v>202</v>
      </c>
      <c r="AG57" s="3">
        <v>47.4</v>
      </c>
      <c r="AH57" s="3"/>
      <c r="AI57" s="67">
        <v>1</v>
      </c>
      <c r="AJ57" s="3">
        <f t="shared" si="1"/>
        <v>47.4</v>
      </c>
      <c r="AK57" s="3">
        <f t="shared" si="20"/>
        <v>1</v>
      </c>
      <c r="AL57" s="70">
        <v>4.85</v>
      </c>
      <c r="AM57" s="70">
        <f t="shared" si="21"/>
        <v>4.85</v>
      </c>
      <c r="AN57" s="68"/>
      <c r="AO57" s="70"/>
      <c r="AP57" s="70">
        <f t="shared" si="22"/>
        <v>0</v>
      </c>
      <c r="AQ57" s="212"/>
      <c r="AR57" s="213"/>
      <c r="AS57" s="70">
        <f t="shared" si="23"/>
        <v>0</v>
      </c>
      <c r="AT57" s="3"/>
      <c r="AU57" s="214"/>
      <c r="AV57" s="70">
        <f t="shared" si="24"/>
        <v>0</v>
      </c>
      <c r="AW57" s="3">
        <f t="shared" si="25"/>
        <v>1</v>
      </c>
      <c r="AX57" s="70">
        <v>3</v>
      </c>
      <c r="AY57" s="70">
        <f t="shared" si="26"/>
        <v>3</v>
      </c>
      <c r="AZ57" s="215">
        <f t="shared" si="27"/>
        <v>7.85</v>
      </c>
      <c r="BA57" s="3">
        <v>1</v>
      </c>
      <c r="BB57" s="3">
        <f t="shared" si="28"/>
        <v>47.4</v>
      </c>
      <c r="BC57" s="3"/>
      <c r="BD57" s="3">
        <v>50</v>
      </c>
      <c r="BE57" s="76" t="str">
        <f t="shared" si="29"/>
        <v>9518</v>
      </c>
      <c r="BF57" s="3" t="str">
        <f t="shared" si="30"/>
        <v>Großrückerswalde</v>
      </c>
      <c r="BG57" s="194" t="str">
        <f t="shared" si="31"/>
        <v>DE</v>
      </c>
      <c r="BH57" s="194">
        <v>46.558575</v>
      </c>
      <c r="BI57" s="194">
        <f t="shared" si="19"/>
        <v>46.558575</v>
      </c>
      <c r="BJ57" s="194">
        <v>2.5</v>
      </c>
      <c r="BK57" s="194">
        <f t="shared" si="32"/>
        <v>1.2</v>
      </c>
      <c r="BL57" s="194">
        <v>2.5</v>
      </c>
      <c r="BM57" s="194"/>
      <c r="BN57" s="194">
        <f t="shared" si="33"/>
        <v>6.2</v>
      </c>
      <c r="BO57" s="195"/>
      <c r="BP57" s="194"/>
      <c r="BQ57" s="194">
        <f t="shared" si="34"/>
        <v>0</v>
      </c>
      <c r="BR57" s="196">
        <f t="shared" si="35"/>
        <v>52.758575</v>
      </c>
      <c r="BS57" s="216">
        <f t="shared" si="37"/>
        <v>60.608575</v>
      </c>
    </row>
    <row r="58" ht="25.5" spans="1:71">
      <c r="A58" s="67" t="s">
        <v>415</v>
      </c>
      <c r="B58" s="3">
        <f t="shared" si="0"/>
        <v>1</v>
      </c>
      <c r="C58" s="3">
        <v>1</v>
      </c>
      <c r="D58" s="3"/>
      <c r="E58" s="67" t="s">
        <v>188</v>
      </c>
      <c r="F58" s="3">
        <v>202510</v>
      </c>
      <c r="G58" s="67" t="s">
        <v>416</v>
      </c>
      <c r="H58" s="67" t="s">
        <v>416</v>
      </c>
      <c r="I58" s="67" t="s">
        <v>190</v>
      </c>
      <c r="J58" s="67" t="s">
        <v>97</v>
      </c>
      <c r="K58" s="67" t="s">
        <v>415</v>
      </c>
      <c r="L58" s="67" t="s">
        <v>191</v>
      </c>
      <c r="M58" s="67"/>
      <c r="N58" s="67" t="s">
        <v>192</v>
      </c>
      <c r="O58" s="67">
        <v>2</v>
      </c>
      <c r="P58" s="67" t="s">
        <v>193</v>
      </c>
      <c r="Q58" s="67">
        <v>94.8</v>
      </c>
      <c r="R58" s="67" t="s">
        <v>194</v>
      </c>
      <c r="S58" s="67" t="s">
        <v>195</v>
      </c>
      <c r="T58" s="252" t="s">
        <v>417</v>
      </c>
      <c r="U58" s="211" t="s">
        <v>418</v>
      </c>
      <c r="V58" s="67"/>
      <c r="W58" s="67" t="s">
        <v>419</v>
      </c>
      <c r="X58" s="67" t="s">
        <v>420</v>
      </c>
      <c r="Y58" s="67" t="s">
        <v>199</v>
      </c>
      <c r="Z58" s="67"/>
      <c r="AA58" s="67"/>
      <c r="AB58" s="67"/>
      <c r="AC58" s="67" t="s">
        <v>415</v>
      </c>
      <c r="AD58" s="67" t="s">
        <v>212</v>
      </c>
      <c r="AE58" s="4" t="s">
        <v>213</v>
      </c>
      <c r="AF58" s="3" t="s">
        <v>202</v>
      </c>
      <c r="AG58" s="3">
        <v>47.4</v>
      </c>
      <c r="AH58" s="3"/>
      <c r="AI58" s="67">
        <v>2</v>
      </c>
      <c r="AJ58" s="3">
        <f t="shared" si="1"/>
        <v>94.8</v>
      </c>
      <c r="AK58" s="3">
        <f t="shared" si="20"/>
        <v>2</v>
      </c>
      <c r="AL58" s="70">
        <v>4.85</v>
      </c>
      <c r="AM58" s="70">
        <f t="shared" si="21"/>
        <v>9.7</v>
      </c>
      <c r="AN58" s="68"/>
      <c r="AO58" s="70"/>
      <c r="AP58" s="70">
        <f t="shared" si="22"/>
        <v>0</v>
      </c>
      <c r="AQ58" s="212"/>
      <c r="AR58" s="213"/>
      <c r="AS58" s="70">
        <f t="shared" si="23"/>
        <v>0</v>
      </c>
      <c r="AT58" s="3"/>
      <c r="AU58" s="214"/>
      <c r="AV58" s="70">
        <f t="shared" si="24"/>
        <v>0</v>
      </c>
      <c r="AW58" s="3">
        <f t="shared" si="25"/>
        <v>2</v>
      </c>
      <c r="AX58" s="70">
        <v>3</v>
      </c>
      <c r="AY58" s="70">
        <f t="shared" si="26"/>
        <v>6</v>
      </c>
      <c r="AZ58" s="215">
        <f t="shared" si="27"/>
        <v>15.7</v>
      </c>
      <c r="BA58" s="3">
        <v>1</v>
      </c>
      <c r="BB58" s="3">
        <f t="shared" si="28"/>
        <v>94.8</v>
      </c>
      <c r="BC58" s="3"/>
      <c r="BD58" s="3">
        <v>100</v>
      </c>
      <c r="BE58" s="76" t="str">
        <f t="shared" si="29"/>
        <v>27246</v>
      </c>
      <c r="BF58" s="3" t="str">
        <f t="shared" si="30"/>
        <v>Borstel</v>
      </c>
      <c r="BG58" s="194" t="str">
        <f t="shared" si="31"/>
        <v>DE</v>
      </c>
      <c r="BH58" s="194">
        <v>78.354675</v>
      </c>
      <c r="BI58" s="194">
        <f t="shared" si="19"/>
        <v>78.354675</v>
      </c>
      <c r="BJ58" s="194">
        <v>2.5</v>
      </c>
      <c r="BK58" s="194">
        <f t="shared" si="32"/>
        <v>2.4</v>
      </c>
      <c r="BL58" s="194">
        <v>2.5</v>
      </c>
      <c r="BM58" s="194"/>
      <c r="BN58" s="194">
        <f t="shared" si="33"/>
        <v>7.4</v>
      </c>
      <c r="BO58" s="195"/>
      <c r="BP58" s="194"/>
      <c r="BQ58" s="194">
        <f t="shared" si="34"/>
        <v>0</v>
      </c>
      <c r="BR58" s="196">
        <f t="shared" si="35"/>
        <v>85.754675</v>
      </c>
      <c r="BS58" s="216">
        <f>50.73*2</f>
        <v>101.46</v>
      </c>
    </row>
    <row r="59" ht="14.25" spans="1:71">
      <c r="A59" s="67" t="s">
        <v>421</v>
      </c>
      <c r="B59" s="3">
        <f t="shared" si="0"/>
        <v>1</v>
      </c>
      <c r="C59" s="3">
        <v>1</v>
      </c>
      <c r="D59" s="3"/>
      <c r="E59" s="67" t="s">
        <v>188</v>
      </c>
      <c r="F59" s="3">
        <v>202510</v>
      </c>
      <c r="G59" s="67" t="s">
        <v>422</v>
      </c>
      <c r="H59" s="67" t="s">
        <v>422</v>
      </c>
      <c r="I59" s="67" t="s">
        <v>423</v>
      </c>
      <c r="J59" s="67" t="s">
        <v>97</v>
      </c>
      <c r="K59" s="67" t="s">
        <v>421</v>
      </c>
      <c r="L59" s="67" t="s">
        <v>191</v>
      </c>
      <c r="M59" s="67"/>
      <c r="N59" s="67" t="s">
        <v>192</v>
      </c>
      <c r="O59" s="67">
        <v>1</v>
      </c>
      <c r="P59" s="67" t="s">
        <v>193</v>
      </c>
      <c r="Q59" s="67">
        <v>47.4</v>
      </c>
      <c r="R59" s="67" t="s">
        <v>194</v>
      </c>
      <c r="S59" s="67" t="s">
        <v>195</v>
      </c>
      <c r="T59" s="67" t="s">
        <v>424</v>
      </c>
      <c r="U59" s="67" t="str">
        <f>VLOOKUP(T59,[5]semitemu_order_export_251110144!$R:$S,2,0)</f>
        <v>PO-076-08702302439030243</v>
      </c>
      <c r="V59" s="67"/>
      <c r="W59" s="67" t="s">
        <v>425</v>
      </c>
      <c r="X59" s="67" t="s">
        <v>426</v>
      </c>
      <c r="Y59" s="67" t="s">
        <v>199</v>
      </c>
      <c r="Z59" s="67"/>
      <c r="AA59" s="67"/>
      <c r="AB59" s="67"/>
      <c r="AC59" s="67" t="s">
        <v>421</v>
      </c>
      <c r="AD59" s="67" t="s">
        <v>212</v>
      </c>
      <c r="AE59" s="4" t="s">
        <v>213</v>
      </c>
      <c r="AF59" s="3" t="s">
        <v>202</v>
      </c>
      <c r="AG59" s="3">
        <v>47.4</v>
      </c>
      <c r="AH59" s="3"/>
      <c r="AI59" s="67">
        <v>1</v>
      </c>
      <c r="AJ59" s="3">
        <f t="shared" si="1"/>
        <v>47.4</v>
      </c>
      <c r="AK59" s="3">
        <f t="shared" si="20"/>
        <v>1</v>
      </c>
      <c r="AL59" s="70">
        <v>4.85</v>
      </c>
      <c r="AM59" s="70">
        <f t="shared" si="21"/>
        <v>4.85</v>
      </c>
      <c r="AN59" s="68"/>
      <c r="AO59" s="70"/>
      <c r="AP59" s="70">
        <f t="shared" si="22"/>
        <v>0</v>
      </c>
      <c r="AQ59" s="212"/>
      <c r="AR59" s="213"/>
      <c r="AS59" s="70">
        <f t="shared" si="23"/>
        <v>0</v>
      </c>
      <c r="AT59" s="3"/>
      <c r="AU59" s="214"/>
      <c r="AV59" s="70">
        <f t="shared" si="24"/>
        <v>0</v>
      </c>
      <c r="AW59" s="3">
        <f t="shared" si="25"/>
        <v>1</v>
      </c>
      <c r="AX59" s="70">
        <v>3</v>
      </c>
      <c r="AY59" s="70">
        <f t="shared" si="26"/>
        <v>3</v>
      </c>
      <c r="AZ59" s="215">
        <f t="shared" si="27"/>
        <v>7.85</v>
      </c>
      <c r="BA59" s="3">
        <v>1</v>
      </c>
      <c r="BB59" s="3">
        <f t="shared" si="28"/>
        <v>47.4</v>
      </c>
      <c r="BC59" s="3"/>
      <c r="BD59" s="3">
        <v>50</v>
      </c>
      <c r="BE59" s="76" t="str">
        <f t="shared" si="29"/>
        <v>59329</v>
      </c>
      <c r="BF59" s="3" t="str">
        <f t="shared" si="30"/>
        <v>Wadersloh</v>
      </c>
      <c r="BG59" s="194" t="str">
        <f t="shared" si="31"/>
        <v>DE</v>
      </c>
      <c r="BH59" s="194">
        <v>46.558575</v>
      </c>
      <c r="BI59" s="194">
        <f t="shared" si="19"/>
        <v>46.558575</v>
      </c>
      <c r="BJ59" s="194">
        <v>2.5</v>
      </c>
      <c r="BK59" s="194">
        <f t="shared" si="32"/>
        <v>1.2</v>
      </c>
      <c r="BL59" s="194">
        <v>2.5</v>
      </c>
      <c r="BM59" s="194"/>
      <c r="BN59" s="194">
        <f t="shared" si="33"/>
        <v>6.2</v>
      </c>
      <c r="BO59" s="195"/>
      <c r="BP59" s="194"/>
      <c r="BQ59" s="194">
        <f t="shared" si="34"/>
        <v>0</v>
      </c>
      <c r="BR59" s="196">
        <f t="shared" si="35"/>
        <v>52.758575</v>
      </c>
      <c r="BS59" s="216">
        <f>AZ59+BR59</f>
        <v>60.608575</v>
      </c>
    </row>
    <row r="60" ht="14.25" spans="1:71">
      <c r="A60" s="67" t="s">
        <v>427</v>
      </c>
      <c r="B60" s="3">
        <f t="shared" si="0"/>
        <v>1</v>
      </c>
      <c r="C60" s="3">
        <v>1</v>
      </c>
      <c r="D60" s="3"/>
      <c r="E60" s="67" t="s">
        <v>188</v>
      </c>
      <c r="F60" s="3">
        <v>202510</v>
      </c>
      <c r="G60" s="67" t="s">
        <v>422</v>
      </c>
      <c r="H60" s="67" t="s">
        <v>422</v>
      </c>
      <c r="I60" s="67" t="s">
        <v>423</v>
      </c>
      <c r="J60" s="67" t="s">
        <v>97</v>
      </c>
      <c r="K60" s="67" t="s">
        <v>427</v>
      </c>
      <c r="L60" s="67" t="s">
        <v>191</v>
      </c>
      <c r="M60" s="67"/>
      <c r="N60" s="67" t="s">
        <v>192</v>
      </c>
      <c r="O60" s="67">
        <v>1</v>
      </c>
      <c r="P60" s="67" t="s">
        <v>193</v>
      </c>
      <c r="Q60" s="67">
        <v>47.4</v>
      </c>
      <c r="R60" s="67" t="s">
        <v>194</v>
      </c>
      <c r="S60" s="67" t="s">
        <v>195</v>
      </c>
      <c r="T60" s="67" t="s">
        <v>428</v>
      </c>
      <c r="U60" s="67" t="str">
        <f>VLOOKUP(T60,[5]semitemu_order_export_251110144!$R:$S,2,0)</f>
        <v>PO-076-08702302439030243</v>
      </c>
      <c r="V60" s="67"/>
      <c r="W60" s="67" t="s">
        <v>425</v>
      </c>
      <c r="X60" s="67" t="s">
        <v>426</v>
      </c>
      <c r="Y60" s="67" t="s">
        <v>199</v>
      </c>
      <c r="Z60" s="67"/>
      <c r="AA60" s="67"/>
      <c r="AB60" s="67"/>
      <c r="AC60" s="67" t="s">
        <v>427</v>
      </c>
      <c r="AD60" s="67" t="s">
        <v>212</v>
      </c>
      <c r="AE60" s="4" t="s">
        <v>213</v>
      </c>
      <c r="AF60" s="3" t="s">
        <v>202</v>
      </c>
      <c r="AG60" s="3">
        <v>47.4</v>
      </c>
      <c r="AH60" s="3"/>
      <c r="AI60" s="67">
        <v>1</v>
      </c>
      <c r="AJ60" s="3">
        <f t="shared" si="1"/>
        <v>47.4</v>
      </c>
      <c r="AK60" s="3">
        <f t="shared" si="20"/>
        <v>1</v>
      </c>
      <c r="AL60" s="70">
        <v>4.85</v>
      </c>
      <c r="AM60" s="70">
        <f t="shared" si="21"/>
        <v>4.85</v>
      </c>
      <c r="AN60" s="68"/>
      <c r="AO60" s="70"/>
      <c r="AP60" s="70">
        <f t="shared" si="22"/>
        <v>0</v>
      </c>
      <c r="AQ60" s="212"/>
      <c r="AR60" s="213"/>
      <c r="AS60" s="70">
        <f t="shared" si="23"/>
        <v>0</v>
      </c>
      <c r="AT60" s="3"/>
      <c r="AU60" s="214"/>
      <c r="AV60" s="70">
        <f t="shared" si="24"/>
        <v>0</v>
      </c>
      <c r="AW60" s="3">
        <f t="shared" si="25"/>
        <v>1</v>
      </c>
      <c r="AX60" s="70">
        <v>3</v>
      </c>
      <c r="AY60" s="70">
        <f t="shared" si="26"/>
        <v>3</v>
      </c>
      <c r="AZ60" s="215">
        <f t="shared" si="27"/>
        <v>7.85</v>
      </c>
      <c r="BA60" s="3">
        <v>1</v>
      </c>
      <c r="BB60" s="3">
        <f t="shared" si="28"/>
        <v>47.4</v>
      </c>
      <c r="BC60" s="3"/>
      <c r="BD60" s="3">
        <v>50</v>
      </c>
      <c r="BE60" s="76" t="str">
        <f t="shared" si="29"/>
        <v>59329</v>
      </c>
      <c r="BF60" s="3" t="str">
        <f t="shared" si="30"/>
        <v>Wadersloh</v>
      </c>
      <c r="BG60" s="194" t="str">
        <f t="shared" si="31"/>
        <v>DE</v>
      </c>
      <c r="BH60" s="194">
        <v>46.558575</v>
      </c>
      <c r="BI60" s="194">
        <f t="shared" si="19"/>
        <v>46.558575</v>
      </c>
      <c r="BJ60" s="194">
        <v>2.5</v>
      </c>
      <c r="BK60" s="194">
        <f t="shared" si="32"/>
        <v>1.2</v>
      </c>
      <c r="BL60" s="194">
        <v>2.5</v>
      </c>
      <c r="BM60" s="194"/>
      <c r="BN60" s="194">
        <f t="shared" si="33"/>
        <v>6.2</v>
      </c>
      <c r="BO60" s="195"/>
      <c r="BP60" s="194"/>
      <c r="BQ60" s="194">
        <f t="shared" si="34"/>
        <v>0</v>
      </c>
      <c r="BR60" s="196">
        <f t="shared" si="35"/>
        <v>52.758575</v>
      </c>
      <c r="BS60" s="216">
        <f>AZ60+BR60</f>
        <v>60.608575</v>
      </c>
    </row>
    <row r="61" ht="14.25" spans="1:71">
      <c r="A61" s="67" t="s">
        <v>429</v>
      </c>
      <c r="B61" s="3">
        <f t="shared" si="0"/>
        <v>1</v>
      </c>
      <c r="C61" s="3">
        <v>1</v>
      </c>
      <c r="D61" s="3"/>
      <c r="E61" s="67" t="s">
        <v>188</v>
      </c>
      <c r="F61" s="3">
        <v>202510</v>
      </c>
      <c r="G61" s="67" t="s">
        <v>422</v>
      </c>
      <c r="H61" s="67" t="s">
        <v>422</v>
      </c>
      <c r="I61" s="67" t="s">
        <v>423</v>
      </c>
      <c r="J61" s="67" t="s">
        <v>97</v>
      </c>
      <c r="K61" s="67" t="s">
        <v>429</v>
      </c>
      <c r="L61" s="67" t="s">
        <v>191</v>
      </c>
      <c r="M61" s="67"/>
      <c r="N61" s="67" t="s">
        <v>192</v>
      </c>
      <c r="O61" s="67">
        <v>1</v>
      </c>
      <c r="P61" s="67" t="s">
        <v>193</v>
      </c>
      <c r="Q61" s="67">
        <v>47.4</v>
      </c>
      <c r="R61" s="67" t="s">
        <v>194</v>
      </c>
      <c r="S61" s="67" t="s">
        <v>195</v>
      </c>
      <c r="T61" s="67" t="s">
        <v>430</v>
      </c>
      <c r="U61" s="67" t="str">
        <f>VLOOKUP(T61,[5]semitemu_order_export_251110144!$R:$S,2,0)</f>
        <v>PO-076-14226271655030341</v>
      </c>
      <c r="V61" s="67"/>
      <c r="W61" s="67" t="s">
        <v>431</v>
      </c>
      <c r="X61" s="67" t="s">
        <v>432</v>
      </c>
      <c r="Y61" s="67" t="s">
        <v>199</v>
      </c>
      <c r="Z61" s="67"/>
      <c r="AA61" s="67"/>
      <c r="AB61" s="67"/>
      <c r="AC61" s="67" t="s">
        <v>429</v>
      </c>
      <c r="AD61" s="67" t="s">
        <v>200</v>
      </c>
      <c r="AE61" s="4" t="s">
        <v>201</v>
      </c>
      <c r="AF61" s="3" t="s">
        <v>202</v>
      </c>
      <c r="AG61" s="3">
        <v>47.4</v>
      </c>
      <c r="AH61" s="3"/>
      <c r="AI61" s="67">
        <v>1</v>
      </c>
      <c r="AJ61" s="3">
        <f t="shared" si="1"/>
        <v>47.4</v>
      </c>
      <c r="AK61" s="3">
        <f t="shared" si="20"/>
        <v>1</v>
      </c>
      <c r="AL61" s="70">
        <v>4.85</v>
      </c>
      <c r="AM61" s="70">
        <f t="shared" si="21"/>
        <v>4.85</v>
      </c>
      <c r="AN61" s="68"/>
      <c r="AO61" s="70"/>
      <c r="AP61" s="70">
        <f t="shared" si="22"/>
        <v>0</v>
      </c>
      <c r="AQ61" s="212"/>
      <c r="AR61" s="213"/>
      <c r="AS61" s="70">
        <f t="shared" si="23"/>
        <v>0</v>
      </c>
      <c r="AT61" s="3"/>
      <c r="AU61" s="214"/>
      <c r="AV61" s="70">
        <f t="shared" si="24"/>
        <v>0</v>
      </c>
      <c r="AW61" s="3">
        <f t="shared" si="25"/>
        <v>1</v>
      </c>
      <c r="AX61" s="70">
        <v>3</v>
      </c>
      <c r="AY61" s="70">
        <f t="shared" si="26"/>
        <v>3</v>
      </c>
      <c r="AZ61" s="215">
        <f t="shared" si="27"/>
        <v>7.85</v>
      </c>
      <c r="BA61" s="3">
        <v>1</v>
      </c>
      <c r="BB61" s="3">
        <f t="shared" si="28"/>
        <v>47.4</v>
      </c>
      <c r="BC61" s="3"/>
      <c r="BD61" s="3">
        <v>50</v>
      </c>
      <c r="BE61" s="76" t="str">
        <f t="shared" si="29"/>
        <v>93483</v>
      </c>
      <c r="BF61" s="3" t="str">
        <f t="shared" si="30"/>
        <v>Pösing</v>
      </c>
      <c r="BG61" s="194" t="str">
        <f t="shared" si="31"/>
        <v>DE</v>
      </c>
      <c r="BH61" s="194">
        <v>46.558575</v>
      </c>
      <c r="BI61" s="194">
        <f t="shared" si="19"/>
        <v>46.558575</v>
      </c>
      <c r="BJ61" s="194">
        <v>2.5</v>
      </c>
      <c r="BK61" s="194">
        <f t="shared" si="32"/>
        <v>1.2</v>
      </c>
      <c r="BL61" s="194">
        <v>2.5</v>
      </c>
      <c r="BM61" s="194"/>
      <c r="BN61" s="194">
        <f t="shared" si="33"/>
        <v>6.2</v>
      </c>
      <c r="BO61" s="195"/>
      <c r="BP61" s="194"/>
      <c r="BQ61" s="194">
        <f t="shared" si="34"/>
        <v>0</v>
      </c>
      <c r="BR61" s="196">
        <f t="shared" si="35"/>
        <v>52.758575</v>
      </c>
      <c r="BS61" s="216">
        <f>AZ61+BR61</f>
        <v>60.608575</v>
      </c>
    </row>
    <row r="62" ht="14.25" spans="1:71">
      <c r="A62" s="67" t="s">
        <v>433</v>
      </c>
      <c r="B62" s="3">
        <f t="shared" si="0"/>
        <v>1</v>
      </c>
      <c r="C62" s="3">
        <v>1</v>
      </c>
      <c r="D62" s="3"/>
      <c r="E62" s="67" t="s">
        <v>188</v>
      </c>
      <c r="F62" s="3">
        <v>202510</v>
      </c>
      <c r="G62" s="67" t="s">
        <v>422</v>
      </c>
      <c r="H62" s="67" t="s">
        <v>422</v>
      </c>
      <c r="I62" s="67" t="s">
        <v>423</v>
      </c>
      <c r="J62" s="67" t="s">
        <v>97</v>
      </c>
      <c r="K62" s="67" t="s">
        <v>433</v>
      </c>
      <c r="L62" s="67" t="s">
        <v>191</v>
      </c>
      <c r="M62" s="67"/>
      <c r="N62" s="67" t="s">
        <v>192</v>
      </c>
      <c r="O62" s="67">
        <v>1</v>
      </c>
      <c r="P62" s="67" t="s">
        <v>193</v>
      </c>
      <c r="Q62" s="67">
        <v>47.4</v>
      </c>
      <c r="R62" s="67" t="s">
        <v>194</v>
      </c>
      <c r="S62" s="67" t="s">
        <v>195</v>
      </c>
      <c r="T62" s="67" t="s">
        <v>434</v>
      </c>
      <c r="U62" s="67" t="str">
        <f>VLOOKUP(T62,[5]semitemu_order_export_251110144!$R:$S,2,0)</f>
        <v>PO-076-08266268639352584</v>
      </c>
      <c r="V62" s="67"/>
      <c r="W62" s="67" t="s">
        <v>435</v>
      </c>
      <c r="X62" s="67" t="s">
        <v>372</v>
      </c>
      <c r="Y62" s="67" t="s">
        <v>199</v>
      </c>
      <c r="Z62" s="67"/>
      <c r="AA62" s="67"/>
      <c r="AB62" s="67"/>
      <c r="AC62" s="67" t="s">
        <v>433</v>
      </c>
      <c r="AD62" s="67" t="s">
        <v>243</v>
      </c>
      <c r="AE62" s="4" t="s">
        <v>244</v>
      </c>
      <c r="AF62" s="3" t="s">
        <v>202</v>
      </c>
      <c r="AG62" s="3">
        <v>47.4</v>
      </c>
      <c r="AH62" s="3"/>
      <c r="AI62" s="67">
        <v>1</v>
      </c>
      <c r="AJ62" s="3">
        <f t="shared" si="1"/>
        <v>47.4</v>
      </c>
      <c r="AK62" s="3">
        <f t="shared" si="20"/>
        <v>1</v>
      </c>
      <c r="AL62" s="70">
        <v>4.85</v>
      </c>
      <c r="AM62" s="70">
        <f t="shared" si="21"/>
        <v>4.85</v>
      </c>
      <c r="AN62" s="68"/>
      <c r="AO62" s="70"/>
      <c r="AP62" s="70">
        <f t="shared" si="22"/>
        <v>0</v>
      </c>
      <c r="AQ62" s="212"/>
      <c r="AR62" s="213"/>
      <c r="AS62" s="70">
        <f t="shared" si="23"/>
        <v>0</v>
      </c>
      <c r="AT62" s="3"/>
      <c r="AU62" s="214"/>
      <c r="AV62" s="70">
        <f t="shared" si="24"/>
        <v>0</v>
      </c>
      <c r="AW62" s="3">
        <f t="shared" si="25"/>
        <v>1</v>
      </c>
      <c r="AX62" s="70">
        <v>3</v>
      </c>
      <c r="AY62" s="70">
        <f t="shared" si="26"/>
        <v>3</v>
      </c>
      <c r="AZ62" s="215">
        <f t="shared" si="27"/>
        <v>7.85</v>
      </c>
      <c r="BA62" s="3">
        <v>1</v>
      </c>
      <c r="BB62" s="3">
        <f t="shared" si="28"/>
        <v>47.4</v>
      </c>
      <c r="BC62" s="3"/>
      <c r="BD62" s="3">
        <v>50</v>
      </c>
      <c r="BE62" s="76" t="str">
        <f t="shared" si="29"/>
        <v>80937</v>
      </c>
      <c r="BF62" s="251" t="str">
        <f t="shared" si="30"/>
        <v>München</v>
      </c>
      <c r="BG62" s="194" t="str">
        <f t="shared" si="31"/>
        <v>DE</v>
      </c>
      <c r="BH62" s="194">
        <v>46.558575</v>
      </c>
      <c r="BI62" s="194">
        <f t="shared" si="19"/>
        <v>46.558575</v>
      </c>
      <c r="BJ62" s="194">
        <v>2.5</v>
      </c>
      <c r="BK62" s="194">
        <f t="shared" si="32"/>
        <v>1.2</v>
      </c>
      <c r="BL62" s="194">
        <v>2.5</v>
      </c>
      <c r="BM62" s="194">
        <v>7.8</v>
      </c>
      <c r="BN62" s="194">
        <f t="shared" si="33"/>
        <v>14</v>
      </c>
      <c r="BO62" s="195"/>
      <c r="BP62" s="194"/>
      <c r="BQ62" s="194">
        <f t="shared" si="34"/>
        <v>0</v>
      </c>
      <c r="BR62" s="196">
        <f t="shared" si="35"/>
        <v>60.558575</v>
      </c>
      <c r="BS62" s="216">
        <f>AZ62+BR62</f>
        <v>68.408575</v>
      </c>
    </row>
    <row r="63" ht="14.25" spans="1:71">
      <c r="A63" s="67" t="s">
        <v>436</v>
      </c>
      <c r="B63" s="3">
        <f t="shared" si="0"/>
        <v>1</v>
      </c>
      <c r="C63" s="3">
        <v>1</v>
      </c>
      <c r="D63" s="3"/>
      <c r="E63" s="67" t="s">
        <v>188</v>
      </c>
      <c r="F63" s="3">
        <v>202510</v>
      </c>
      <c r="G63" s="67" t="s">
        <v>422</v>
      </c>
      <c r="H63" s="67" t="s">
        <v>422</v>
      </c>
      <c r="I63" s="67" t="s">
        <v>423</v>
      </c>
      <c r="J63" s="67" t="s">
        <v>97</v>
      </c>
      <c r="K63" s="67" t="s">
        <v>436</v>
      </c>
      <c r="L63" s="67" t="s">
        <v>191</v>
      </c>
      <c r="M63" s="67"/>
      <c r="N63" s="67" t="s">
        <v>192</v>
      </c>
      <c r="O63" s="67">
        <v>1</v>
      </c>
      <c r="P63" s="67" t="s">
        <v>193</v>
      </c>
      <c r="Q63" s="67">
        <v>47.4</v>
      </c>
      <c r="R63" s="67" t="s">
        <v>194</v>
      </c>
      <c r="S63" s="67" t="s">
        <v>195</v>
      </c>
      <c r="T63" s="67" t="s">
        <v>437</v>
      </c>
      <c r="U63" s="67" t="str">
        <f>VLOOKUP(T63,[5]semitemu_order_export_251110144!$R:$S,2,0)</f>
        <v>PO-076-19521457761913306</v>
      </c>
      <c r="V63" s="67"/>
      <c r="W63" s="67" t="s">
        <v>438</v>
      </c>
      <c r="X63" s="67" t="s">
        <v>439</v>
      </c>
      <c r="Y63" s="67" t="s">
        <v>199</v>
      </c>
      <c r="Z63" s="67"/>
      <c r="AA63" s="67"/>
      <c r="AB63" s="67"/>
      <c r="AC63" s="67" t="s">
        <v>436</v>
      </c>
      <c r="AD63" s="67" t="s">
        <v>200</v>
      </c>
      <c r="AE63" s="4" t="s">
        <v>201</v>
      </c>
      <c r="AF63" s="3" t="s">
        <v>202</v>
      </c>
      <c r="AG63" s="3">
        <v>47.4</v>
      </c>
      <c r="AH63" s="3"/>
      <c r="AI63" s="67">
        <v>1</v>
      </c>
      <c r="AJ63" s="3">
        <f t="shared" si="1"/>
        <v>47.4</v>
      </c>
      <c r="AK63" s="3">
        <f t="shared" si="20"/>
        <v>1</v>
      </c>
      <c r="AL63" s="70">
        <v>4.85</v>
      </c>
      <c r="AM63" s="70">
        <f t="shared" si="21"/>
        <v>4.85</v>
      </c>
      <c r="AN63" s="68"/>
      <c r="AO63" s="70"/>
      <c r="AP63" s="70">
        <f t="shared" si="22"/>
        <v>0</v>
      </c>
      <c r="AQ63" s="212"/>
      <c r="AR63" s="213"/>
      <c r="AS63" s="70">
        <f t="shared" si="23"/>
        <v>0</v>
      </c>
      <c r="AT63" s="3"/>
      <c r="AU63" s="214"/>
      <c r="AV63" s="70">
        <f t="shared" si="24"/>
        <v>0</v>
      </c>
      <c r="AW63" s="3">
        <f t="shared" si="25"/>
        <v>1</v>
      </c>
      <c r="AX63" s="70">
        <v>3</v>
      </c>
      <c r="AY63" s="70">
        <f t="shared" si="26"/>
        <v>3</v>
      </c>
      <c r="AZ63" s="215">
        <f t="shared" si="27"/>
        <v>7.85</v>
      </c>
      <c r="BA63" s="3">
        <v>1</v>
      </c>
      <c r="BB63" s="3">
        <f t="shared" si="28"/>
        <v>47.4</v>
      </c>
      <c r="BC63" s="3"/>
      <c r="BD63" s="3">
        <v>50</v>
      </c>
      <c r="BE63" s="76" t="str">
        <f t="shared" si="29"/>
        <v>45891</v>
      </c>
      <c r="BF63" s="3" t="str">
        <f t="shared" si="30"/>
        <v>Gelsenkirchen</v>
      </c>
      <c r="BG63" s="194" t="str">
        <f t="shared" si="31"/>
        <v>DE</v>
      </c>
      <c r="BH63" s="194">
        <v>46.558575</v>
      </c>
      <c r="BI63" s="194">
        <f t="shared" si="19"/>
        <v>46.558575</v>
      </c>
      <c r="BJ63" s="194">
        <v>2.5</v>
      </c>
      <c r="BK63" s="194">
        <f t="shared" si="32"/>
        <v>1.2</v>
      </c>
      <c r="BL63" s="194">
        <v>2.5</v>
      </c>
      <c r="BM63" s="194"/>
      <c r="BN63" s="194">
        <f t="shared" si="33"/>
        <v>6.2</v>
      </c>
      <c r="BO63" s="195"/>
      <c r="BP63" s="194"/>
      <c r="BQ63" s="194">
        <f t="shared" si="34"/>
        <v>0</v>
      </c>
      <c r="BR63" s="196">
        <f t="shared" si="35"/>
        <v>52.758575</v>
      </c>
      <c r="BS63" s="216">
        <f>AZ63+BR63</f>
        <v>60.608575</v>
      </c>
    </row>
    <row r="64" ht="25.5" spans="1:71">
      <c r="A64" s="67" t="s">
        <v>440</v>
      </c>
      <c r="B64" s="3">
        <f t="shared" si="0"/>
        <v>1</v>
      </c>
      <c r="C64" s="3">
        <v>1</v>
      </c>
      <c r="D64" s="3"/>
      <c r="E64" s="67" t="s">
        <v>188</v>
      </c>
      <c r="F64" s="3">
        <v>202510</v>
      </c>
      <c r="G64" s="67" t="s">
        <v>422</v>
      </c>
      <c r="H64" s="67" t="s">
        <v>422</v>
      </c>
      <c r="I64" s="67" t="s">
        <v>423</v>
      </c>
      <c r="J64" s="67" t="s">
        <v>97</v>
      </c>
      <c r="K64" s="67" t="s">
        <v>440</v>
      </c>
      <c r="L64" s="67" t="s">
        <v>191</v>
      </c>
      <c r="M64" s="67"/>
      <c r="N64" s="67" t="s">
        <v>192</v>
      </c>
      <c r="O64" s="67">
        <v>2</v>
      </c>
      <c r="P64" s="67" t="s">
        <v>193</v>
      </c>
      <c r="Q64" s="67">
        <v>94.8</v>
      </c>
      <c r="R64" s="67" t="s">
        <v>194</v>
      </c>
      <c r="S64" s="67" t="s">
        <v>195</v>
      </c>
      <c r="T64" s="252" t="s">
        <v>441</v>
      </c>
      <c r="U64" s="211" t="s">
        <v>442</v>
      </c>
      <c r="V64" s="67"/>
      <c r="W64" s="67" t="s">
        <v>443</v>
      </c>
      <c r="X64" s="67" t="s">
        <v>444</v>
      </c>
      <c r="Y64" s="67" t="s">
        <v>199</v>
      </c>
      <c r="Z64" s="67"/>
      <c r="AA64" s="67"/>
      <c r="AB64" s="67"/>
      <c r="AC64" s="67" t="s">
        <v>440</v>
      </c>
      <c r="AD64" s="67" t="s">
        <v>212</v>
      </c>
      <c r="AE64" s="4" t="s">
        <v>213</v>
      </c>
      <c r="AF64" s="3" t="s">
        <v>202</v>
      </c>
      <c r="AG64" s="3">
        <v>47.4</v>
      </c>
      <c r="AH64" s="3"/>
      <c r="AI64" s="67">
        <v>2</v>
      </c>
      <c r="AJ64" s="3">
        <f t="shared" si="1"/>
        <v>94.8</v>
      </c>
      <c r="AK64" s="3">
        <f t="shared" si="20"/>
        <v>2</v>
      </c>
      <c r="AL64" s="70">
        <v>4.85</v>
      </c>
      <c r="AM64" s="70">
        <f t="shared" si="21"/>
        <v>9.7</v>
      </c>
      <c r="AN64" s="68"/>
      <c r="AO64" s="70"/>
      <c r="AP64" s="70">
        <f t="shared" si="22"/>
        <v>0</v>
      </c>
      <c r="AQ64" s="212"/>
      <c r="AR64" s="213"/>
      <c r="AS64" s="70">
        <f t="shared" si="23"/>
        <v>0</v>
      </c>
      <c r="AT64" s="3"/>
      <c r="AU64" s="214"/>
      <c r="AV64" s="70">
        <f t="shared" si="24"/>
        <v>0</v>
      </c>
      <c r="AW64" s="3">
        <f t="shared" si="25"/>
        <v>2</v>
      </c>
      <c r="AX64" s="70">
        <v>3</v>
      </c>
      <c r="AY64" s="70">
        <f t="shared" si="26"/>
        <v>6</v>
      </c>
      <c r="AZ64" s="215">
        <f t="shared" si="27"/>
        <v>15.7</v>
      </c>
      <c r="BA64" s="3">
        <v>1</v>
      </c>
      <c r="BB64" s="3">
        <f t="shared" si="28"/>
        <v>94.8</v>
      </c>
      <c r="BC64" s="3"/>
      <c r="BD64" s="3">
        <v>100</v>
      </c>
      <c r="BE64" s="76" t="str">
        <f t="shared" si="29"/>
        <v>71282</v>
      </c>
      <c r="BF64" s="3" t="str">
        <f t="shared" si="30"/>
        <v>Hemmingen</v>
      </c>
      <c r="BG64" s="194" t="str">
        <f t="shared" si="31"/>
        <v>DE</v>
      </c>
      <c r="BH64" s="194">
        <v>78.354675</v>
      </c>
      <c r="BI64" s="194">
        <f t="shared" si="19"/>
        <v>78.354675</v>
      </c>
      <c r="BJ64" s="194">
        <v>2.5</v>
      </c>
      <c r="BK64" s="194">
        <f t="shared" si="32"/>
        <v>2.4</v>
      </c>
      <c r="BL64" s="194">
        <v>2.5</v>
      </c>
      <c r="BM64" s="194"/>
      <c r="BN64" s="194">
        <f t="shared" si="33"/>
        <v>7.4</v>
      </c>
      <c r="BO64" s="195"/>
      <c r="BP64" s="194"/>
      <c r="BQ64" s="194">
        <f t="shared" si="34"/>
        <v>0</v>
      </c>
      <c r="BR64" s="196">
        <f t="shared" si="35"/>
        <v>85.754675</v>
      </c>
      <c r="BS64" s="216">
        <f>50.73*2</f>
        <v>101.46</v>
      </c>
    </row>
    <row r="65" ht="25.5" spans="1:71">
      <c r="A65" s="67" t="s">
        <v>445</v>
      </c>
      <c r="B65" s="3">
        <f t="shared" si="0"/>
        <v>1</v>
      </c>
      <c r="C65" s="3">
        <v>1</v>
      </c>
      <c r="D65" s="3"/>
      <c r="E65" s="67" t="s">
        <v>188</v>
      </c>
      <c r="F65" s="3">
        <v>202510</v>
      </c>
      <c r="G65" s="67" t="s">
        <v>446</v>
      </c>
      <c r="H65" s="67" t="s">
        <v>446</v>
      </c>
      <c r="I65" s="67" t="s">
        <v>423</v>
      </c>
      <c r="J65" s="67" t="s">
        <v>97</v>
      </c>
      <c r="K65" s="67" t="s">
        <v>445</v>
      </c>
      <c r="L65" s="67" t="s">
        <v>191</v>
      </c>
      <c r="M65" s="67"/>
      <c r="N65" s="67" t="s">
        <v>192</v>
      </c>
      <c r="O65" s="67">
        <v>2</v>
      </c>
      <c r="P65" s="67" t="s">
        <v>193</v>
      </c>
      <c r="Q65" s="67">
        <v>94.8</v>
      </c>
      <c r="R65" s="67" t="s">
        <v>194</v>
      </c>
      <c r="S65" s="67" t="s">
        <v>195</v>
      </c>
      <c r="T65" s="252" t="s">
        <v>447</v>
      </c>
      <c r="U65" s="211" t="s">
        <v>448</v>
      </c>
      <c r="V65" s="67"/>
      <c r="W65" s="67" t="s">
        <v>449</v>
      </c>
      <c r="X65" s="67" t="s">
        <v>450</v>
      </c>
      <c r="Y65" s="67" t="s">
        <v>199</v>
      </c>
      <c r="Z65" s="67"/>
      <c r="AA65" s="67"/>
      <c r="AB65" s="67"/>
      <c r="AC65" s="67" t="s">
        <v>445</v>
      </c>
      <c r="AD65" s="67" t="s">
        <v>212</v>
      </c>
      <c r="AE65" s="4" t="s">
        <v>213</v>
      </c>
      <c r="AF65" s="3" t="s">
        <v>202</v>
      </c>
      <c r="AG65" s="3">
        <v>47.4</v>
      </c>
      <c r="AH65" s="3"/>
      <c r="AI65" s="67">
        <v>2</v>
      </c>
      <c r="AJ65" s="3">
        <f t="shared" si="1"/>
        <v>94.8</v>
      </c>
      <c r="AK65" s="3">
        <f t="shared" si="20"/>
        <v>2</v>
      </c>
      <c r="AL65" s="70">
        <v>4.85</v>
      </c>
      <c r="AM65" s="70">
        <f t="shared" si="21"/>
        <v>9.7</v>
      </c>
      <c r="AN65" s="68"/>
      <c r="AO65" s="70"/>
      <c r="AP65" s="70">
        <f t="shared" si="22"/>
        <v>0</v>
      </c>
      <c r="AQ65" s="212"/>
      <c r="AR65" s="213"/>
      <c r="AS65" s="70">
        <f t="shared" si="23"/>
        <v>0</v>
      </c>
      <c r="AT65" s="3"/>
      <c r="AU65" s="214"/>
      <c r="AV65" s="70">
        <f t="shared" si="24"/>
        <v>0</v>
      </c>
      <c r="AW65" s="3">
        <f t="shared" si="25"/>
        <v>2</v>
      </c>
      <c r="AX65" s="70">
        <v>3</v>
      </c>
      <c r="AY65" s="70">
        <f t="shared" si="26"/>
        <v>6</v>
      </c>
      <c r="AZ65" s="215">
        <f t="shared" si="27"/>
        <v>15.7</v>
      </c>
      <c r="BA65" s="3">
        <v>1</v>
      </c>
      <c r="BB65" s="3">
        <f t="shared" si="28"/>
        <v>94.8</v>
      </c>
      <c r="BC65" s="3"/>
      <c r="BD65" s="3">
        <v>100</v>
      </c>
      <c r="BE65" s="76" t="str">
        <f t="shared" si="29"/>
        <v>94060</v>
      </c>
      <c r="BF65" s="3" t="str">
        <f t="shared" si="30"/>
        <v>Pocking</v>
      </c>
      <c r="BG65" s="194" t="str">
        <f t="shared" si="31"/>
        <v>DE</v>
      </c>
      <c r="BH65" s="194">
        <v>78.354675</v>
      </c>
      <c r="BI65" s="194">
        <f t="shared" si="19"/>
        <v>78.354675</v>
      </c>
      <c r="BJ65" s="194">
        <v>2.5</v>
      </c>
      <c r="BK65" s="194">
        <f t="shared" si="32"/>
        <v>2.4</v>
      </c>
      <c r="BL65" s="194">
        <v>2.5</v>
      </c>
      <c r="BM65" s="194"/>
      <c r="BN65" s="194">
        <f t="shared" si="33"/>
        <v>7.4</v>
      </c>
      <c r="BO65" s="195"/>
      <c r="BP65" s="194"/>
      <c r="BQ65" s="194">
        <f t="shared" si="34"/>
        <v>0</v>
      </c>
      <c r="BR65" s="196">
        <f t="shared" si="35"/>
        <v>85.754675</v>
      </c>
      <c r="BS65" s="216">
        <f>50.73*2</f>
        <v>101.46</v>
      </c>
    </row>
    <row r="66" ht="14.25" spans="1:71">
      <c r="A66" s="67" t="s">
        <v>451</v>
      </c>
      <c r="B66" s="3">
        <f t="shared" ref="B66:B71" si="38">COUNTIF(A:A,A66)</f>
        <v>1</v>
      </c>
      <c r="C66" s="3">
        <v>1</v>
      </c>
      <c r="D66" s="3"/>
      <c r="E66" s="67" t="s">
        <v>188</v>
      </c>
      <c r="F66" s="3">
        <v>202510</v>
      </c>
      <c r="G66" s="67" t="s">
        <v>452</v>
      </c>
      <c r="H66" s="67" t="s">
        <v>452</v>
      </c>
      <c r="I66" s="67" t="s">
        <v>423</v>
      </c>
      <c r="J66" s="67" t="s">
        <v>97</v>
      </c>
      <c r="K66" s="67" t="s">
        <v>451</v>
      </c>
      <c r="L66" s="67" t="s">
        <v>191</v>
      </c>
      <c r="M66" s="67"/>
      <c r="N66" s="67" t="s">
        <v>192</v>
      </c>
      <c r="O66" s="67">
        <v>1</v>
      </c>
      <c r="P66" s="67" t="s">
        <v>193</v>
      </c>
      <c r="Q66" s="67">
        <v>47.4</v>
      </c>
      <c r="R66" s="67" t="s">
        <v>194</v>
      </c>
      <c r="S66" s="67" t="s">
        <v>195</v>
      </c>
      <c r="T66" s="67" t="s">
        <v>453</v>
      </c>
      <c r="U66" s="67" t="str">
        <f>VLOOKUP(T66,[5]semitemu_order_export_251110144!$R:$S,2,0)</f>
        <v>PO-076-16633170412152347</v>
      </c>
      <c r="V66" s="67"/>
      <c r="W66" s="67" t="s">
        <v>454</v>
      </c>
      <c r="X66" s="67" t="s">
        <v>455</v>
      </c>
      <c r="Y66" s="67" t="s">
        <v>199</v>
      </c>
      <c r="Z66" s="67"/>
      <c r="AA66" s="67"/>
      <c r="AB66" s="67"/>
      <c r="AC66" s="67" t="s">
        <v>451</v>
      </c>
      <c r="AD66" s="67" t="s">
        <v>212</v>
      </c>
      <c r="AE66" s="4" t="s">
        <v>213</v>
      </c>
      <c r="AF66" s="3" t="s">
        <v>202</v>
      </c>
      <c r="AG66" s="3">
        <v>47.4</v>
      </c>
      <c r="AH66" s="3"/>
      <c r="AI66" s="67">
        <v>1</v>
      </c>
      <c r="AJ66" s="3">
        <f t="shared" ref="AJ66:AJ71" si="39">AI66*AG66</f>
        <v>47.4</v>
      </c>
      <c r="AK66" s="3">
        <f t="shared" si="20"/>
        <v>1</v>
      </c>
      <c r="AL66" s="70">
        <v>4.85</v>
      </c>
      <c r="AM66" s="70">
        <f t="shared" si="21"/>
        <v>4.85</v>
      </c>
      <c r="AN66" s="68"/>
      <c r="AO66" s="70"/>
      <c r="AP66" s="70">
        <f t="shared" si="22"/>
        <v>0</v>
      </c>
      <c r="AQ66" s="212"/>
      <c r="AR66" s="213"/>
      <c r="AS66" s="70">
        <f t="shared" si="23"/>
        <v>0</v>
      </c>
      <c r="AT66" s="3"/>
      <c r="AU66" s="214"/>
      <c r="AV66" s="70">
        <f t="shared" si="24"/>
        <v>0</v>
      </c>
      <c r="AW66" s="3">
        <f t="shared" si="25"/>
        <v>1</v>
      </c>
      <c r="AX66" s="70">
        <v>3</v>
      </c>
      <c r="AY66" s="70">
        <f t="shared" si="26"/>
        <v>3</v>
      </c>
      <c r="AZ66" s="215">
        <f t="shared" si="27"/>
        <v>7.85</v>
      </c>
      <c r="BA66" s="3">
        <v>1</v>
      </c>
      <c r="BB66" s="3">
        <f t="shared" si="28"/>
        <v>47.4</v>
      </c>
      <c r="BC66" s="3"/>
      <c r="BD66" s="3">
        <v>50</v>
      </c>
      <c r="BE66" s="76" t="str">
        <f t="shared" si="29"/>
        <v>24937</v>
      </c>
      <c r="BF66" s="3" t="str">
        <f t="shared" si="30"/>
        <v>Flensburg</v>
      </c>
      <c r="BG66" s="194" t="str">
        <f t="shared" si="31"/>
        <v>DE</v>
      </c>
      <c r="BH66" s="194">
        <v>46.558575</v>
      </c>
      <c r="BI66" s="194">
        <f t="shared" ref="BI66:BI71" si="40">BH66</f>
        <v>46.558575</v>
      </c>
      <c r="BJ66" s="194">
        <v>2.5</v>
      </c>
      <c r="BK66" s="194">
        <f t="shared" si="32"/>
        <v>1.2</v>
      </c>
      <c r="BL66" s="194">
        <v>2.5</v>
      </c>
      <c r="BM66" s="194"/>
      <c r="BN66" s="194">
        <f t="shared" si="33"/>
        <v>6.2</v>
      </c>
      <c r="BO66" s="195"/>
      <c r="BP66" s="194"/>
      <c r="BQ66" s="194">
        <f t="shared" si="34"/>
        <v>0</v>
      </c>
      <c r="BR66" s="196">
        <f t="shared" si="35"/>
        <v>52.758575</v>
      </c>
      <c r="BS66" s="216">
        <f>AZ66+BR66</f>
        <v>60.608575</v>
      </c>
    </row>
    <row r="67" ht="14.25" spans="1:71">
      <c r="A67" s="67" t="s">
        <v>456</v>
      </c>
      <c r="B67" s="3">
        <f t="shared" si="38"/>
        <v>1</v>
      </c>
      <c r="C67" s="3">
        <v>1</v>
      </c>
      <c r="D67" s="3"/>
      <c r="E67" s="67" t="s">
        <v>188</v>
      </c>
      <c r="F67" s="3">
        <v>202510</v>
      </c>
      <c r="G67" s="67" t="s">
        <v>452</v>
      </c>
      <c r="H67" s="67" t="s">
        <v>452</v>
      </c>
      <c r="I67" s="67" t="s">
        <v>423</v>
      </c>
      <c r="J67" s="67" t="s">
        <v>97</v>
      </c>
      <c r="K67" s="67" t="s">
        <v>456</v>
      </c>
      <c r="L67" s="67" t="s">
        <v>191</v>
      </c>
      <c r="M67" s="67"/>
      <c r="N67" s="67" t="s">
        <v>192</v>
      </c>
      <c r="O67" s="67">
        <v>1</v>
      </c>
      <c r="P67" s="67" t="s">
        <v>193</v>
      </c>
      <c r="Q67" s="67">
        <v>47.4</v>
      </c>
      <c r="R67" s="67" t="s">
        <v>194</v>
      </c>
      <c r="S67" s="67" t="s">
        <v>195</v>
      </c>
      <c r="T67" s="67" t="s">
        <v>457</v>
      </c>
      <c r="U67" s="67" t="str">
        <f>VLOOKUP(T67,[6]ebay_order_export_251110145132!$S:$T,2,0)</f>
        <v>20-13751-77631</v>
      </c>
      <c r="V67" s="67"/>
      <c r="W67" s="67" t="s">
        <v>458</v>
      </c>
      <c r="X67" s="67" t="s">
        <v>459</v>
      </c>
      <c r="Y67" s="67" t="s">
        <v>199</v>
      </c>
      <c r="Z67" s="67"/>
      <c r="AA67" s="67"/>
      <c r="AB67" s="67"/>
      <c r="AC67" s="67" t="s">
        <v>456</v>
      </c>
      <c r="AD67" s="67" t="s">
        <v>212</v>
      </c>
      <c r="AE67" s="4" t="s">
        <v>213</v>
      </c>
      <c r="AF67" s="3" t="s">
        <v>202</v>
      </c>
      <c r="AG67" s="3">
        <v>47.4</v>
      </c>
      <c r="AH67" s="3"/>
      <c r="AI67" s="67">
        <v>1</v>
      </c>
      <c r="AJ67" s="3">
        <f t="shared" si="39"/>
        <v>47.4</v>
      </c>
      <c r="AK67" s="3">
        <f t="shared" si="20"/>
        <v>1</v>
      </c>
      <c r="AL67" s="70">
        <v>4.85</v>
      </c>
      <c r="AM67" s="70">
        <f t="shared" si="21"/>
        <v>4.85</v>
      </c>
      <c r="AN67" s="68"/>
      <c r="AO67" s="70"/>
      <c r="AP67" s="70">
        <f t="shared" si="22"/>
        <v>0</v>
      </c>
      <c r="AQ67" s="212"/>
      <c r="AR67" s="213"/>
      <c r="AS67" s="70">
        <f t="shared" si="23"/>
        <v>0</v>
      </c>
      <c r="AT67" s="3"/>
      <c r="AU67" s="214"/>
      <c r="AV67" s="70">
        <f t="shared" si="24"/>
        <v>0</v>
      </c>
      <c r="AW67" s="3">
        <f t="shared" si="25"/>
        <v>1</v>
      </c>
      <c r="AX67" s="70">
        <v>3</v>
      </c>
      <c r="AY67" s="70">
        <f t="shared" si="26"/>
        <v>3</v>
      </c>
      <c r="AZ67" s="215">
        <f t="shared" si="27"/>
        <v>7.85</v>
      </c>
      <c r="BA67" s="3">
        <v>1</v>
      </c>
      <c r="BB67" s="3">
        <f t="shared" si="28"/>
        <v>47.4</v>
      </c>
      <c r="BC67" s="3"/>
      <c r="BD67" s="3">
        <v>50</v>
      </c>
      <c r="BE67" s="76" t="str">
        <f t="shared" si="29"/>
        <v>52382</v>
      </c>
      <c r="BF67" s="3" t="str">
        <f t="shared" si="30"/>
        <v>Niederzier</v>
      </c>
      <c r="BG67" s="194" t="str">
        <f t="shared" si="31"/>
        <v>DE</v>
      </c>
      <c r="BH67" s="194">
        <v>46.558575</v>
      </c>
      <c r="BI67" s="194">
        <f t="shared" si="40"/>
        <v>46.558575</v>
      </c>
      <c r="BJ67" s="194">
        <v>2.5</v>
      </c>
      <c r="BK67" s="194">
        <f t="shared" si="32"/>
        <v>1.2</v>
      </c>
      <c r="BL67" s="194">
        <v>2.5</v>
      </c>
      <c r="BM67" s="194"/>
      <c r="BN67" s="194">
        <f t="shared" si="33"/>
        <v>6.2</v>
      </c>
      <c r="BO67" s="195"/>
      <c r="BP67" s="194"/>
      <c r="BQ67" s="194">
        <f t="shared" si="34"/>
        <v>0</v>
      </c>
      <c r="BR67" s="196">
        <f t="shared" si="35"/>
        <v>52.758575</v>
      </c>
      <c r="BS67" s="216">
        <f>AZ67+BR67</f>
        <v>60.608575</v>
      </c>
    </row>
    <row r="68" ht="14.25" spans="1:71">
      <c r="A68" s="67" t="s">
        <v>460</v>
      </c>
      <c r="B68" s="3">
        <f t="shared" si="38"/>
        <v>1</v>
      </c>
      <c r="C68" s="3">
        <v>1</v>
      </c>
      <c r="D68" s="3"/>
      <c r="E68" s="67" t="s">
        <v>188</v>
      </c>
      <c r="F68" s="3">
        <v>202510</v>
      </c>
      <c r="G68" s="67" t="s">
        <v>452</v>
      </c>
      <c r="H68" s="67" t="s">
        <v>452</v>
      </c>
      <c r="I68" s="67" t="s">
        <v>423</v>
      </c>
      <c r="J68" s="67" t="s">
        <v>97</v>
      </c>
      <c r="K68" s="67" t="s">
        <v>460</v>
      </c>
      <c r="L68" s="67" t="s">
        <v>191</v>
      </c>
      <c r="M68" s="67"/>
      <c r="N68" s="67" t="s">
        <v>192</v>
      </c>
      <c r="O68" s="67">
        <v>1</v>
      </c>
      <c r="P68" s="67" t="s">
        <v>193</v>
      </c>
      <c r="Q68" s="67">
        <v>47.4</v>
      </c>
      <c r="R68" s="67" t="s">
        <v>194</v>
      </c>
      <c r="S68" s="67" t="s">
        <v>195</v>
      </c>
      <c r="T68" s="67" t="s">
        <v>461</v>
      </c>
      <c r="U68" s="67" t="str">
        <f>VLOOKUP(T68,[6]ebay_order_export_251110145132!$S:$T,2,0)</f>
        <v>18-13753-94406</v>
      </c>
      <c r="V68" s="67"/>
      <c r="W68" s="67" t="s">
        <v>462</v>
      </c>
      <c r="X68" s="67" t="s">
        <v>463</v>
      </c>
      <c r="Y68" s="67" t="s">
        <v>199</v>
      </c>
      <c r="Z68" s="67"/>
      <c r="AA68" s="67"/>
      <c r="AB68" s="67"/>
      <c r="AC68" s="67" t="s">
        <v>460</v>
      </c>
      <c r="AD68" s="67" t="s">
        <v>212</v>
      </c>
      <c r="AE68" s="4" t="s">
        <v>213</v>
      </c>
      <c r="AF68" s="3" t="s">
        <v>202</v>
      </c>
      <c r="AG68" s="3">
        <v>47.4</v>
      </c>
      <c r="AH68" s="3"/>
      <c r="AI68" s="67">
        <v>1</v>
      </c>
      <c r="AJ68" s="3">
        <f t="shared" si="39"/>
        <v>47.4</v>
      </c>
      <c r="AK68" s="3">
        <f t="shared" si="20"/>
        <v>1</v>
      </c>
      <c r="AL68" s="70">
        <v>4.85</v>
      </c>
      <c r="AM68" s="70">
        <f t="shared" si="21"/>
        <v>4.85</v>
      </c>
      <c r="AN68" s="68"/>
      <c r="AO68" s="70"/>
      <c r="AP68" s="70">
        <f t="shared" si="22"/>
        <v>0</v>
      </c>
      <c r="AQ68" s="212"/>
      <c r="AR68" s="213"/>
      <c r="AS68" s="70">
        <f t="shared" si="23"/>
        <v>0</v>
      </c>
      <c r="AT68" s="3"/>
      <c r="AU68" s="214"/>
      <c r="AV68" s="70">
        <f t="shared" si="24"/>
        <v>0</v>
      </c>
      <c r="AW68" s="3">
        <f t="shared" si="25"/>
        <v>1</v>
      </c>
      <c r="AX68" s="70">
        <v>3</v>
      </c>
      <c r="AY68" s="70">
        <f t="shared" si="26"/>
        <v>3</v>
      </c>
      <c r="AZ68" s="215">
        <f t="shared" si="27"/>
        <v>7.85</v>
      </c>
      <c r="BA68" s="3">
        <v>1</v>
      </c>
      <c r="BB68" s="3">
        <f t="shared" si="28"/>
        <v>47.4</v>
      </c>
      <c r="BC68" s="3"/>
      <c r="BD68" s="3">
        <v>50</v>
      </c>
      <c r="BE68" s="76" t="str">
        <f t="shared" si="29"/>
        <v>36199</v>
      </c>
      <c r="BF68" s="3" t="str">
        <f t="shared" si="30"/>
        <v>Rotenburg</v>
      </c>
      <c r="BG68" s="194" t="str">
        <f t="shared" si="31"/>
        <v>DE</v>
      </c>
      <c r="BH68" s="194">
        <v>46.558575</v>
      </c>
      <c r="BI68" s="194">
        <f t="shared" si="40"/>
        <v>46.558575</v>
      </c>
      <c r="BJ68" s="194">
        <v>2.5</v>
      </c>
      <c r="BK68" s="194">
        <f t="shared" si="32"/>
        <v>1.2</v>
      </c>
      <c r="BL68" s="194">
        <v>2.5</v>
      </c>
      <c r="BM68" s="194"/>
      <c r="BN68" s="194">
        <f t="shared" si="33"/>
        <v>6.2</v>
      </c>
      <c r="BO68" s="195"/>
      <c r="BP68" s="194"/>
      <c r="BQ68" s="194">
        <f t="shared" si="34"/>
        <v>0</v>
      </c>
      <c r="BR68" s="196">
        <f t="shared" si="35"/>
        <v>52.758575</v>
      </c>
      <c r="BS68" s="216">
        <f>AZ68+BR68</f>
        <v>60.608575</v>
      </c>
    </row>
    <row r="69" ht="14.25" spans="1:71">
      <c r="A69" s="67" t="s">
        <v>464</v>
      </c>
      <c r="B69" s="3">
        <f t="shared" si="38"/>
        <v>1</v>
      </c>
      <c r="C69" s="3">
        <v>1</v>
      </c>
      <c r="D69" s="3"/>
      <c r="E69" s="67" t="s">
        <v>188</v>
      </c>
      <c r="F69" s="3">
        <v>202510</v>
      </c>
      <c r="G69" s="67" t="s">
        <v>452</v>
      </c>
      <c r="H69" s="67" t="s">
        <v>452</v>
      </c>
      <c r="I69" s="67" t="s">
        <v>423</v>
      </c>
      <c r="J69" s="67" t="s">
        <v>97</v>
      </c>
      <c r="K69" s="67" t="s">
        <v>464</v>
      </c>
      <c r="L69" s="67" t="s">
        <v>191</v>
      </c>
      <c r="M69" s="67"/>
      <c r="N69" s="67" t="s">
        <v>192</v>
      </c>
      <c r="O69" s="67">
        <v>1</v>
      </c>
      <c r="P69" s="67" t="s">
        <v>193</v>
      </c>
      <c r="Q69" s="67">
        <v>47.4</v>
      </c>
      <c r="R69" s="67" t="s">
        <v>194</v>
      </c>
      <c r="S69" s="67" t="s">
        <v>195</v>
      </c>
      <c r="T69" s="67" t="s">
        <v>465</v>
      </c>
      <c r="U69" s="67" t="str">
        <f>VLOOKUP(T69,[6]ebay_order_export_251110145132!$S:$T,2,0)</f>
        <v>09-13764-00607</v>
      </c>
      <c r="V69" s="67"/>
      <c r="W69" s="67" t="s">
        <v>466</v>
      </c>
      <c r="X69" s="67" t="s">
        <v>467</v>
      </c>
      <c r="Y69" s="67" t="s">
        <v>199</v>
      </c>
      <c r="Z69" s="67"/>
      <c r="AA69" s="67"/>
      <c r="AB69" s="67"/>
      <c r="AC69" s="67" t="s">
        <v>464</v>
      </c>
      <c r="AD69" s="67" t="s">
        <v>212</v>
      </c>
      <c r="AE69" s="4" t="s">
        <v>213</v>
      </c>
      <c r="AF69" s="3" t="s">
        <v>202</v>
      </c>
      <c r="AG69" s="3">
        <v>47.4</v>
      </c>
      <c r="AH69" s="3"/>
      <c r="AI69" s="67">
        <v>1</v>
      </c>
      <c r="AJ69" s="3">
        <f t="shared" si="39"/>
        <v>47.4</v>
      </c>
      <c r="AK69" s="3">
        <f t="shared" si="20"/>
        <v>1</v>
      </c>
      <c r="AL69" s="70">
        <v>4.85</v>
      </c>
      <c r="AM69" s="70">
        <f t="shared" si="21"/>
        <v>4.85</v>
      </c>
      <c r="AN69" s="68"/>
      <c r="AO69" s="70"/>
      <c r="AP69" s="70">
        <f t="shared" si="22"/>
        <v>0</v>
      </c>
      <c r="AQ69" s="212"/>
      <c r="AR69" s="213"/>
      <c r="AS69" s="70">
        <f t="shared" si="23"/>
        <v>0</v>
      </c>
      <c r="AT69" s="3"/>
      <c r="AU69" s="214"/>
      <c r="AV69" s="70">
        <f t="shared" si="24"/>
        <v>0</v>
      </c>
      <c r="AW69" s="3">
        <f t="shared" si="25"/>
        <v>1</v>
      </c>
      <c r="AX69" s="70">
        <v>3</v>
      </c>
      <c r="AY69" s="70">
        <f t="shared" si="26"/>
        <v>3</v>
      </c>
      <c r="AZ69" s="215">
        <f t="shared" si="27"/>
        <v>7.85</v>
      </c>
      <c r="BA69" s="3">
        <v>1</v>
      </c>
      <c r="BB69" s="3">
        <f t="shared" si="28"/>
        <v>47.4</v>
      </c>
      <c r="BC69" s="3"/>
      <c r="BD69" s="3">
        <v>50</v>
      </c>
      <c r="BE69" s="76" t="str">
        <f t="shared" si="29"/>
        <v>83126</v>
      </c>
      <c r="BF69" s="3" t="str">
        <f t="shared" si="30"/>
        <v>Flintsbach  a. Inn</v>
      </c>
      <c r="BG69" s="194" t="str">
        <f t="shared" si="31"/>
        <v>DE</v>
      </c>
      <c r="BH69" s="194">
        <v>46.558575</v>
      </c>
      <c r="BI69" s="194">
        <f t="shared" si="40"/>
        <v>46.558575</v>
      </c>
      <c r="BJ69" s="194">
        <v>2.5</v>
      </c>
      <c r="BK69" s="194">
        <f t="shared" si="32"/>
        <v>1.2</v>
      </c>
      <c r="BL69" s="194">
        <v>2.5</v>
      </c>
      <c r="BM69" s="194"/>
      <c r="BN69" s="194">
        <f t="shared" si="33"/>
        <v>6.2</v>
      </c>
      <c r="BO69" s="195"/>
      <c r="BP69" s="194"/>
      <c r="BQ69" s="194">
        <f t="shared" si="34"/>
        <v>0</v>
      </c>
      <c r="BR69" s="196">
        <f t="shared" si="35"/>
        <v>52.758575</v>
      </c>
      <c r="BS69" s="216">
        <f>AZ69+BR69</f>
        <v>60.608575</v>
      </c>
    </row>
    <row r="70" ht="14.25" spans="1:71">
      <c r="A70" s="67" t="s">
        <v>468</v>
      </c>
      <c r="B70" s="3">
        <f t="shared" si="38"/>
        <v>1</v>
      </c>
      <c r="C70" s="3">
        <v>1</v>
      </c>
      <c r="D70" s="3"/>
      <c r="E70" s="67" t="s">
        <v>188</v>
      </c>
      <c r="F70" s="3">
        <v>202510</v>
      </c>
      <c r="G70" s="67" t="s">
        <v>469</v>
      </c>
      <c r="H70" s="67" t="s">
        <v>469</v>
      </c>
      <c r="I70" s="67" t="s">
        <v>423</v>
      </c>
      <c r="J70" s="67" t="s">
        <v>97</v>
      </c>
      <c r="K70" s="67" t="s">
        <v>468</v>
      </c>
      <c r="L70" s="67" t="s">
        <v>191</v>
      </c>
      <c r="M70" s="67"/>
      <c r="N70" s="67" t="s">
        <v>470</v>
      </c>
      <c r="O70" s="67">
        <v>1</v>
      </c>
      <c r="P70" s="67" t="s">
        <v>193</v>
      </c>
      <c r="Q70" s="67">
        <v>47.4</v>
      </c>
      <c r="R70" s="67" t="s">
        <v>194</v>
      </c>
      <c r="S70" s="67" t="s">
        <v>195</v>
      </c>
      <c r="T70" s="67" t="s">
        <v>471</v>
      </c>
      <c r="U70" s="67" t="str">
        <f>VLOOKUP(T70,[6]ebay_order_export_251110145132!$S:$T,2,0)</f>
        <v>14-13763-61044</v>
      </c>
      <c r="V70" s="67"/>
      <c r="W70" s="67" t="s">
        <v>472</v>
      </c>
      <c r="X70" s="67" t="s">
        <v>473</v>
      </c>
      <c r="Y70" s="67" t="s">
        <v>199</v>
      </c>
      <c r="Z70" s="67"/>
      <c r="AA70" s="67"/>
      <c r="AB70" s="67"/>
      <c r="AC70" s="67" t="s">
        <v>468</v>
      </c>
      <c r="AD70" s="67" t="s">
        <v>212</v>
      </c>
      <c r="AE70" s="4" t="s">
        <v>213</v>
      </c>
      <c r="AF70" s="3" t="s">
        <v>202</v>
      </c>
      <c r="AG70" s="3">
        <v>47.4</v>
      </c>
      <c r="AH70" s="3"/>
      <c r="AI70" s="67">
        <v>1</v>
      </c>
      <c r="AJ70" s="3">
        <f t="shared" si="39"/>
        <v>47.4</v>
      </c>
      <c r="AK70" s="3">
        <f t="shared" si="20"/>
        <v>1</v>
      </c>
      <c r="AL70" s="70">
        <v>4.85</v>
      </c>
      <c r="AM70" s="70">
        <f t="shared" si="21"/>
        <v>4.85</v>
      </c>
      <c r="AN70" s="68"/>
      <c r="AO70" s="70"/>
      <c r="AP70" s="70">
        <f t="shared" si="22"/>
        <v>0</v>
      </c>
      <c r="AQ70" s="212"/>
      <c r="AR70" s="213"/>
      <c r="AS70" s="70">
        <f t="shared" si="23"/>
        <v>0</v>
      </c>
      <c r="AT70" s="3"/>
      <c r="AU70" s="214"/>
      <c r="AV70" s="70">
        <f t="shared" si="24"/>
        <v>0</v>
      </c>
      <c r="AW70" s="3">
        <f t="shared" si="25"/>
        <v>1</v>
      </c>
      <c r="AX70" s="70">
        <v>3</v>
      </c>
      <c r="AY70" s="70">
        <f t="shared" si="26"/>
        <v>3</v>
      </c>
      <c r="AZ70" s="215">
        <f t="shared" si="27"/>
        <v>7.85</v>
      </c>
      <c r="BA70" s="3">
        <v>1</v>
      </c>
      <c r="BB70" s="3">
        <f t="shared" si="28"/>
        <v>47.4</v>
      </c>
      <c r="BC70" s="3"/>
      <c r="BD70" s="3">
        <v>50</v>
      </c>
      <c r="BE70" s="76" t="str">
        <f t="shared" si="29"/>
        <v>8223</v>
      </c>
      <c r="BF70" s="3" t="str">
        <f t="shared" si="30"/>
        <v>Falkenstein /Vogtl.</v>
      </c>
      <c r="BG70" s="194" t="str">
        <f t="shared" si="31"/>
        <v>DE</v>
      </c>
      <c r="BH70" s="194">
        <v>46.558575</v>
      </c>
      <c r="BI70" s="194">
        <f t="shared" si="40"/>
        <v>46.558575</v>
      </c>
      <c r="BJ70" s="194">
        <v>2.5</v>
      </c>
      <c r="BK70" s="194">
        <f t="shared" si="32"/>
        <v>1.2</v>
      </c>
      <c r="BL70" s="194">
        <v>2.5</v>
      </c>
      <c r="BM70" s="194"/>
      <c r="BN70" s="194">
        <f t="shared" si="33"/>
        <v>6.2</v>
      </c>
      <c r="BO70" s="195"/>
      <c r="BP70" s="194"/>
      <c r="BQ70" s="194">
        <f t="shared" si="34"/>
        <v>0</v>
      </c>
      <c r="BR70" s="196">
        <f t="shared" si="35"/>
        <v>52.758575</v>
      </c>
      <c r="BS70" s="216">
        <f>AZ70+BR70</f>
        <v>60.608575</v>
      </c>
    </row>
    <row r="71" ht="38.25" spans="1:71">
      <c r="A71" s="67" t="s">
        <v>474</v>
      </c>
      <c r="B71" s="3">
        <f t="shared" si="38"/>
        <v>1</v>
      </c>
      <c r="C71" s="3">
        <v>1</v>
      </c>
      <c r="D71" s="3"/>
      <c r="E71" s="67" t="s">
        <v>188</v>
      </c>
      <c r="F71" s="3">
        <v>202510</v>
      </c>
      <c r="G71" s="67" t="s">
        <v>469</v>
      </c>
      <c r="H71" s="67" t="s">
        <v>469</v>
      </c>
      <c r="I71" s="67" t="s">
        <v>423</v>
      </c>
      <c r="J71" s="67" t="s">
        <v>97</v>
      </c>
      <c r="K71" s="67" t="s">
        <v>474</v>
      </c>
      <c r="L71" s="67" t="s">
        <v>191</v>
      </c>
      <c r="M71" s="67"/>
      <c r="N71" s="67" t="s">
        <v>470</v>
      </c>
      <c r="O71" s="67">
        <v>3</v>
      </c>
      <c r="P71" s="67" t="s">
        <v>193</v>
      </c>
      <c r="Q71" s="67">
        <v>142.2</v>
      </c>
      <c r="R71" s="67" t="s">
        <v>194</v>
      </c>
      <c r="S71" s="67" t="s">
        <v>195</v>
      </c>
      <c r="T71" s="252" t="s">
        <v>475</v>
      </c>
      <c r="U71" s="211" t="s">
        <v>476</v>
      </c>
      <c r="V71" s="67"/>
      <c r="W71" s="67" t="s">
        <v>477</v>
      </c>
      <c r="X71" s="67" t="s">
        <v>478</v>
      </c>
      <c r="Y71" s="67" t="s">
        <v>199</v>
      </c>
      <c r="Z71" s="67"/>
      <c r="AA71" s="67"/>
      <c r="AB71" s="67"/>
      <c r="AC71" s="67" t="s">
        <v>474</v>
      </c>
      <c r="AD71" s="67" t="s">
        <v>205</v>
      </c>
      <c r="AE71" s="4" t="str">
        <f>VLOOKUP(AD71,物品明细!A:B,2,0)</f>
        <v>德国联邦快递金属储物柜</v>
      </c>
      <c r="AF71" s="3" t="str">
        <f>VLOOKUP(AD71,物品明细!A:I,9,0)</f>
        <v>188x49x14</v>
      </c>
      <c r="AG71" s="3">
        <f>VLOOKUP(AD71,物品明细!A:D,4,0)</f>
        <v>47.4</v>
      </c>
      <c r="AH71" s="3"/>
      <c r="AI71" s="67">
        <v>3</v>
      </c>
      <c r="AJ71" s="3">
        <f t="shared" si="39"/>
        <v>142.2</v>
      </c>
      <c r="AK71" s="3">
        <f t="shared" si="20"/>
        <v>3</v>
      </c>
      <c r="AL71" s="70">
        <v>4.85</v>
      </c>
      <c r="AM71" s="70">
        <f t="shared" si="21"/>
        <v>14.55</v>
      </c>
      <c r="AN71" s="68"/>
      <c r="AO71" s="70"/>
      <c r="AP71" s="70">
        <f t="shared" si="22"/>
        <v>0</v>
      </c>
      <c r="AQ71" s="212"/>
      <c r="AR71" s="213"/>
      <c r="AS71" s="70">
        <f t="shared" si="23"/>
        <v>0</v>
      </c>
      <c r="AT71" s="3"/>
      <c r="AU71" s="214"/>
      <c r="AV71" s="70">
        <f t="shared" si="24"/>
        <v>0</v>
      </c>
      <c r="AW71" s="3">
        <f t="shared" si="25"/>
        <v>3</v>
      </c>
      <c r="AX71" s="70">
        <v>3</v>
      </c>
      <c r="AY71" s="70">
        <f t="shared" si="26"/>
        <v>9</v>
      </c>
      <c r="AZ71" s="215">
        <f t="shared" si="27"/>
        <v>23.55</v>
      </c>
      <c r="BA71" s="3">
        <v>1</v>
      </c>
      <c r="BB71" s="3">
        <f t="shared" si="28"/>
        <v>142.2</v>
      </c>
      <c r="BC71" s="3"/>
      <c r="BD71" s="3">
        <v>150</v>
      </c>
      <c r="BE71" s="76" t="str">
        <f t="shared" si="29"/>
        <v>66119</v>
      </c>
      <c r="BF71" s="3" t="str">
        <f t="shared" si="30"/>
        <v>Saarbrücken</v>
      </c>
      <c r="BG71" s="194" t="str">
        <f t="shared" si="31"/>
        <v>DE</v>
      </c>
      <c r="BH71" s="194">
        <v>96.523875</v>
      </c>
      <c r="BI71" s="194">
        <f t="shared" si="40"/>
        <v>96.523875</v>
      </c>
      <c r="BJ71" s="194">
        <v>2.5</v>
      </c>
      <c r="BK71" s="194">
        <f t="shared" si="32"/>
        <v>3.6</v>
      </c>
      <c r="BL71" s="194">
        <v>2.5</v>
      </c>
      <c r="BM71" s="194"/>
      <c r="BN71" s="194">
        <f t="shared" si="33"/>
        <v>8.6</v>
      </c>
      <c r="BO71" s="195"/>
      <c r="BP71" s="194"/>
      <c r="BQ71" s="194">
        <f t="shared" si="34"/>
        <v>0</v>
      </c>
      <c r="BR71" s="196">
        <f t="shared" si="35"/>
        <v>105.123875</v>
      </c>
      <c r="BS71" s="216">
        <f>43*3</f>
        <v>129</v>
      </c>
    </row>
  </sheetData>
  <autoFilter xmlns:etc="http://www.wps.cn/officeDocument/2017/etCustomData" ref="A4:BS71" etc:filterBottomFollowUsedRange="0">
    <extLst/>
  </autoFilter>
  <mergeCells count="1">
    <mergeCell ref="A1:AD1"/>
  </mergeCells>
  <conditionalFormatting sqref="A1:A4 B4:C4 B1:C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0"/>
  <sheetViews>
    <sheetView workbookViewId="0">
      <pane xSplit="4" ySplit="4" topLeftCell="AD5" activePane="bottomRight" state="frozen"/>
      <selection/>
      <selection pane="topRight"/>
      <selection pane="bottomLeft"/>
      <selection pane="bottomRight" activeCell="AD2" sqref="AD2"/>
    </sheetView>
  </sheetViews>
  <sheetFormatPr defaultColWidth="8.8" defaultRowHeight="16.5"/>
  <cols>
    <col min="1" max="1" width="23.5" style="139" customWidth="1"/>
    <col min="2" max="2" width="4.75" style="140" customWidth="1"/>
    <col min="3" max="3" width="5.05" style="140" customWidth="1"/>
    <col min="4" max="4" width="3.94166666666667" style="140" customWidth="1"/>
    <col min="5" max="5" width="7.875" style="140" customWidth="1"/>
    <col min="6" max="6" width="8.8" style="140"/>
    <col min="7" max="7" width="12.6916666666667" style="140" customWidth="1"/>
    <col min="8" max="8" width="12.375" style="141" customWidth="1"/>
    <col min="9" max="9" width="12" style="140" customWidth="1"/>
    <col min="10" max="10" width="12.875" style="140" customWidth="1" outlineLevel="1"/>
    <col min="11" max="11" width="8.8" style="140" outlineLevel="1"/>
    <col min="12" max="12" width="8.8" style="140"/>
    <col min="13" max="13" width="8.8" style="140" outlineLevel="1"/>
    <col min="14" max="14" width="19.4" style="140" customWidth="1" outlineLevel="1"/>
    <col min="15" max="15" width="5.31666666666667" style="140" customWidth="1"/>
    <col min="16" max="18" width="8.8" style="140" outlineLevel="1"/>
    <col min="19" max="19" width="19.2" style="140" customWidth="1"/>
    <col min="20" max="20" width="18.1916666666667" style="139" customWidth="1"/>
    <col min="21" max="21" width="29.125" style="139" customWidth="1"/>
    <col min="22" max="22" width="8.8" style="142"/>
    <col min="23" max="23" width="8.8" style="143"/>
    <col min="24" max="25" width="8.8" style="140"/>
    <col min="26" max="28" width="8.8" style="140" hidden="1" outlineLevel="1"/>
    <col min="29" max="29" width="8.8" style="140" collapsed="1"/>
    <col min="30" max="30" width="13.4416666666667" style="140" customWidth="1"/>
    <col min="31" max="31" width="9.81666666666667" style="139" customWidth="1"/>
    <col min="32" max="32" width="10.5" style="140"/>
    <col min="33" max="33" width="8.50833333333333" style="140" customWidth="1"/>
    <col min="34" max="35" width="6.00833333333333" style="140" customWidth="1"/>
    <col min="36" max="36" width="8.8" style="144"/>
    <col min="37" max="37" width="6.06666666666667" style="140" customWidth="1"/>
    <col min="38" max="38" width="6.06666666666667" style="147" customWidth="1"/>
    <col min="39" max="39" width="9.13333333333333" style="147" customWidth="1"/>
    <col min="40" max="40" width="5.38333333333333" style="197" hidden="1" customWidth="1" outlineLevel="1"/>
    <col min="41" max="41" width="5.38333333333333" style="140" hidden="1" customWidth="1" outlineLevel="1"/>
    <col min="42" max="42" width="8.8" style="140" hidden="1" outlineLevel="1"/>
    <col min="43" max="44" width="4.31666666666667" style="140" hidden="1" customWidth="1" outlineLevel="1"/>
    <col min="45" max="45" width="8.8" style="140" hidden="1" outlineLevel="1"/>
    <col min="46" max="47" width="4.25833333333333" style="140" hidden="1" customWidth="1" outlineLevel="1"/>
    <col min="48" max="48" width="8.8" style="140" hidden="1" outlineLevel="1"/>
    <col min="49" max="51" width="7.125" style="140" hidden="1" customWidth="1" outlineLevel="1"/>
    <col min="52" max="52" width="11.575" style="140" customWidth="1" collapsed="1"/>
    <col min="53" max="55" width="4.69166666666667" style="140" customWidth="1"/>
    <col min="56" max="56" width="5.56666666666667" style="140" customWidth="1"/>
    <col min="57" max="57" width="7.63333333333333" style="146" customWidth="1"/>
    <col min="58" max="58" width="10.6916666666667" style="140" customWidth="1"/>
    <col min="59" max="59" width="7.25" style="140" customWidth="1"/>
    <col min="60" max="60" width="5.69166666666667" style="147" customWidth="1"/>
    <col min="61" max="62" width="8.825" style="140" customWidth="1"/>
    <col min="63" max="63" width="9.19166666666667" style="148" customWidth="1"/>
    <col min="64" max="64" width="10.1333333333333" style="148" customWidth="1"/>
  </cols>
  <sheetData>
    <row r="1" s="10" customFormat="1" ht="22.5" spans="1:64">
      <c r="A1" s="149" t="s">
        <v>102</v>
      </c>
      <c r="B1" s="150"/>
      <c r="C1" s="150"/>
      <c r="D1" s="150"/>
      <c r="E1" s="150"/>
      <c r="F1" s="150"/>
      <c r="G1" s="150"/>
      <c r="H1" s="151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49"/>
      <c r="U1" s="149"/>
      <c r="V1" s="152"/>
      <c r="W1" s="153"/>
      <c r="X1" s="150"/>
      <c r="Y1" s="150"/>
      <c r="Z1" s="150"/>
      <c r="AA1" s="150"/>
      <c r="AB1" s="150"/>
      <c r="AC1" s="150"/>
      <c r="AD1" s="150"/>
      <c r="AE1" s="149"/>
      <c r="AF1" s="150"/>
      <c r="AG1" s="150"/>
      <c r="AH1" s="150"/>
      <c r="AI1" s="150"/>
      <c r="AJ1" s="150"/>
      <c r="AK1" s="154"/>
      <c r="AL1" s="156"/>
      <c r="AM1" s="154">
        <f>SUM(AM5:AM10)</f>
        <v>4.8</v>
      </c>
      <c r="AN1" s="198"/>
      <c r="AO1" s="154"/>
      <c r="AP1" s="154">
        <f>SUM(AP5:AP10)</f>
        <v>0</v>
      </c>
      <c r="AQ1" s="154"/>
      <c r="AR1" s="154"/>
      <c r="AS1" s="154">
        <f>SUM(AS5:AS10)</f>
        <v>0</v>
      </c>
      <c r="AT1" s="154"/>
      <c r="AU1" s="154"/>
      <c r="AV1" s="154">
        <f>SUM(AV5:AV10)</f>
        <v>0</v>
      </c>
      <c r="AW1" s="154"/>
      <c r="AX1" s="154"/>
      <c r="AY1" s="154"/>
      <c r="AZ1" s="154">
        <f>SUM(AZ5:AZ10)</f>
        <v>4.8</v>
      </c>
      <c r="BA1" s="154"/>
      <c r="BB1" s="154"/>
      <c r="BC1" s="154"/>
      <c r="BD1" s="154"/>
      <c r="BE1" s="154"/>
      <c r="BF1" s="154">
        <f>SUM(BF5:BF10)</f>
        <v>33.14115</v>
      </c>
      <c r="BG1" s="154"/>
      <c r="BH1" s="156"/>
      <c r="BI1" s="154"/>
      <c r="BJ1" s="154">
        <f>SUM(BJ5:BJ10)</f>
        <v>123.068514375</v>
      </c>
      <c r="BK1" s="154">
        <f>SUM(BK5:BK10)</f>
        <v>156.209664375</v>
      </c>
      <c r="BL1" s="199">
        <f>SUM(BL5:BL10)</f>
        <v>161.009664375</v>
      </c>
    </row>
    <row r="2" s="10" customFormat="1" ht="15" spans="1:64">
      <c r="A2" s="133" t="s">
        <v>103</v>
      </c>
      <c r="B2" s="80"/>
      <c r="C2" s="80"/>
      <c r="D2" s="80"/>
      <c r="E2" s="80"/>
      <c r="F2" s="80"/>
      <c r="G2" s="157"/>
      <c r="H2" s="158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9"/>
      <c r="U2" s="159"/>
      <c r="V2" s="160"/>
      <c r="W2" s="161"/>
      <c r="X2" s="157"/>
      <c r="Y2" s="157"/>
      <c r="Z2" s="157"/>
      <c r="AA2" s="157"/>
      <c r="AB2" s="157"/>
      <c r="AC2" s="157"/>
      <c r="AD2" s="157"/>
      <c r="AE2" s="159"/>
      <c r="AF2" s="157"/>
      <c r="AG2" s="157"/>
      <c r="AH2" s="157"/>
      <c r="AI2" s="157"/>
      <c r="AJ2" s="157"/>
      <c r="AK2" s="200"/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200"/>
      <c r="AX2" s="200"/>
      <c r="AY2" s="200"/>
      <c r="AZ2" s="201"/>
      <c r="BA2" s="162" t="s">
        <v>104</v>
      </c>
      <c r="BB2" s="163"/>
      <c r="BC2" s="163"/>
      <c r="BD2" s="163"/>
      <c r="BE2" s="163"/>
      <c r="BF2" s="163"/>
      <c r="BG2" s="163"/>
      <c r="BH2" s="165"/>
      <c r="BI2" s="163"/>
      <c r="BJ2" s="163"/>
      <c r="BK2" s="163"/>
      <c r="BL2" s="179" t="s">
        <v>179</v>
      </c>
    </row>
    <row r="3" s="10" customFormat="1" ht="15" spans="1:64">
      <c r="A3" s="166" t="s">
        <v>106</v>
      </c>
      <c r="B3" s="167"/>
      <c r="C3" s="167"/>
      <c r="D3" s="167"/>
      <c r="E3" s="167"/>
      <c r="F3" s="167"/>
      <c r="G3" s="167"/>
      <c r="H3" s="168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9"/>
      <c r="U3" s="169"/>
      <c r="V3" s="169"/>
      <c r="W3" s="170"/>
      <c r="X3" s="167"/>
      <c r="Y3" s="167"/>
      <c r="Z3" s="167"/>
      <c r="AA3" s="167"/>
      <c r="AB3" s="167"/>
      <c r="AC3" s="167"/>
      <c r="AD3" s="171" t="s">
        <v>107</v>
      </c>
      <c r="AE3" s="169"/>
      <c r="AF3" s="167"/>
      <c r="AG3" s="167"/>
      <c r="AH3" s="167"/>
      <c r="AI3" s="167"/>
      <c r="AJ3" s="167"/>
      <c r="AK3" s="172" t="s">
        <v>479</v>
      </c>
      <c r="AL3" s="176"/>
      <c r="AM3" s="202"/>
      <c r="AN3" s="203" t="s">
        <v>109</v>
      </c>
      <c r="AO3" s="173"/>
      <c r="AP3" s="204"/>
      <c r="AQ3" s="203" t="s">
        <v>110</v>
      </c>
      <c r="AR3" s="173"/>
      <c r="AS3" s="204"/>
      <c r="AT3" s="172" t="s">
        <v>111</v>
      </c>
      <c r="AU3" s="173"/>
      <c r="AV3" s="173"/>
      <c r="AW3" s="172" t="s">
        <v>480</v>
      </c>
      <c r="AX3" s="173"/>
      <c r="AY3" s="173"/>
      <c r="AZ3" s="205" t="s">
        <v>160</v>
      </c>
      <c r="BA3" s="172" t="s">
        <v>114</v>
      </c>
      <c r="BB3" s="173"/>
      <c r="BC3" s="173"/>
      <c r="BD3" s="173"/>
      <c r="BE3" s="175"/>
      <c r="BF3" s="173"/>
      <c r="BG3" s="173"/>
      <c r="BH3" s="176"/>
      <c r="BI3" s="173"/>
      <c r="BJ3" s="173"/>
      <c r="BK3" s="177" t="s">
        <v>181</v>
      </c>
      <c r="BL3" s="206"/>
    </row>
    <row r="4" s="10" customFormat="1" ht="60" spans="1:64">
      <c r="A4" s="178" t="s">
        <v>118</v>
      </c>
      <c r="B4" s="179" t="s">
        <v>119</v>
      </c>
      <c r="C4" s="179" t="s">
        <v>120</v>
      </c>
      <c r="D4" s="179" t="s">
        <v>121</v>
      </c>
      <c r="E4" s="180" t="s">
        <v>122</v>
      </c>
      <c r="F4" s="181" t="s">
        <v>123</v>
      </c>
      <c r="G4" s="180" t="s">
        <v>124</v>
      </c>
      <c r="H4" s="182" t="s">
        <v>125</v>
      </c>
      <c r="I4" s="180" t="s">
        <v>126</v>
      </c>
      <c r="J4" s="180" t="s">
        <v>127</v>
      </c>
      <c r="K4" s="180" t="s">
        <v>128</v>
      </c>
      <c r="L4" s="180" t="s">
        <v>129</v>
      </c>
      <c r="M4" s="180" t="s">
        <v>130</v>
      </c>
      <c r="N4" s="183" t="s">
        <v>131</v>
      </c>
      <c r="O4" s="179" t="s">
        <v>132</v>
      </c>
      <c r="P4" s="180" t="s">
        <v>133</v>
      </c>
      <c r="Q4" s="180" t="s">
        <v>134</v>
      </c>
      <c r="R4" s="180" t="s">
        <v>77</v>
      </c>
      <c r="S4" s="180" t="s">
        <v>135</v>
      </c>
      <c r="T4" s="178" t="s">
        <v>136</v>
      </c>
      <c r="U4" s="178" t="s">
        <v>137</v>
      </c>
      <c r="V4" s="178" t="s">
        <v>138</v>
      </c>
      <c r="W4" s="184" t="s">
        <v>139</v>
      </c>
      <c r="X4" s="179" t="s">
        <v>140</v>
      </c>
      <c r="Y4" s="180" t="s">
        <v>141</v>
      </c>
      <c r="Z4" s="180" t="s">
        <v>182</v>
      </c>
      <c r="AA4" s="180" t="s">
        <v>183</v>
      </c>
      <c r="AB4" s="180" t="s">
        <v>184</v>
      </c>
      <c r="AC4" s="180" t="s">
        <v>185</v>
      </c>
      <c r="AD4" s="180" t="s">
        <v>142</v>
      </c>
      <c r="AE4" s="181" t="s">
        <v>85</v>
      </c>
      <c r="AF4" s="181" t="s">
        <v>143</v>
      </c>
      <c r="AG4" s="181" t="s">
        <v>144</v>
      </c>
      <c r="AH4" s="180" t="s">
        <v>145</v>
      </c>
      <c r="AI4" s="180" t="s">
        <v>146</v>
      </c>
      <c r="AJ4" s="186" t="s">
        <v>147</v>
      </c>
      <c r="AK4" s="177" t="s">
        <v>154</v>
      </c>
      <c r="AL4" s="190" t="s">
        <v>155</v>
      </c>
      <c r="AM4" s="207" t="s">
        <v>156</v>
      </c>
      <c r="AN4" s="208" t="s">
        <v>157</v>
      </c>
      <c r="AO4" s="177" t="s">
        <v>155</v>
      </c>
      <c r="AP4" s="189" t="s">
        <v>156</v>
      </c>
      <c r="AQ4" s="190" t="s">
        <v>158</v>
      </c>
      <c r="AR4" s="190" t="s">
        <v>91</v>
      </c>
      <c r="AS4" s="207" t="s">
        <v>92</v>
      </c>
      <c r="AT4" s="177" t="s">
        <v>157</v>
      </c>
      <c r="AU4" s="177" t="s">
        <v>155</v>
      </c>
      <c r="AV4" s="189" t="s">
        <v>156</v>
      </c>
      <c r="AW4" s="177" t="s">
        <v>157</v>
      </c>
      <c r="AX4" s="177" t="s">
        <v>155</v>
      </c>
      <c r="AY4" s="189" t="s">
        <v>156</v>
      </c>
      <c r="AZ4" s="209"/>
      <c r="BA4" s="177" t="s">
        <v>481</v>
      </c>
      <c r="BB4" s="177" t="s">
        <v>162</v>
      </c>
      <c r="BC4" s="187" t="s">
        <v>164</v>
      </c>
      <c r="BD4" s="177" t="s">
        <v>166</v>
      </c>
      <c r="BE4" s="177" t="s">
        <v>155</v>
      </c>
      <c r="BF4" s="189" t="s">
        <v>156</v>
      </c>
      <c r="BG4" s="177" t="s">
        <v>482</v>
      </c>
      <c r="BH4" s="190" t="s">
        <v>174</v>
      </c>
      <c r="BI4" s="177" t="s">
        <v>483</v>
      </c>
      <c r="BJ4" s="189" t="s">
        <v>175</v>
      </c>
      <c r="BK4" s="191"/>
      <c r="BL4" s="206"/>
    </row>
    <row r="5" ht="15" spans="1:64">
      <c r="A5" s="67" t="s">
        <v>484</v>
      </c>
      <c r="B5" s="3">
        <f t="shared" ref="B5:B10" si="0">COUNTIF(A:A,A5)</f>
        <v>1</v>
      </c>
      <c r="C5" s="3">
        <v>1</v>
      </c>
      <c r="D5" s="3"/>
      <c r="E5" s="67" t="s">
        <v>188</v>
      </c>
      <c r="F5" s="3">
        <v>202510</v>
      </c>
      <c r="G5" s="67" t="s">
        <v>469</v>
      </c>
      <c r="H5" s="67" t="s">
        <v>469</v>
      </c>
      <c r="I5" s="67" t="s">
        <v>423</v>
      </c>
      <c r="J5" s="67" t="s">
        <v>97</v>
      </c>
      <c r="K5" s="67" t="s">
        <v>484</v>
      </c>
      <c r="L5" s="67" t="s">
        <v>191</v>
      </c>
      <c r="M5" s="67"/>
      <c r="N5" s="67" t="s">
        <v>470</v>
      </c>
      <c r="O5" s="67">
        <v>1</v>
      </c>
      <c r="P5" s="67" t="s">
        <v>193</v>
      </c>
      <c r="Q5" s="67">
        <v>14</v>
      </c>
      <c r="R5" s="67" t="s">
        <v>485</v>
      </c>
      <c r="S5" s="67" t="s">
        <v>195</v>
      </c>
      <c r="T5" s="210" t="s">
        <v>486</v>
      </c>
      <c r="U5" s="211" t="s">
        <v>487</v>
      </c>
      <c r="V5" s="67"/>
      <c r="W5" s="67" t="s">
        <v>488</v>
      </c>
      <c r="X5" s="67" t="s">
        <v>331</v>
      </c>
      <c r="Y5" s="67" t="s">
        <v>199</v>
      </c>
      <c r="Z5" s="67"/>
      <c r="AA5" s="67"/>
      <c r="AB5" s="67"/>
      <c r="AC5" s="67" t="s">
        <v>484</v>
      </c>
      <c r="AD5" s="67" t="s">
        <v>489</v>
      </c>
      <c r="AE5" s="4" t="str">
        <f>VLOOKUP(AD5,物品明细!A:B,2,0)</f>
        <v>白板</v>
      </c>
      <c r="AF5" s="3" t="str">
        <f>VLOOKUP(AD5,物品明细!A:I,9,0)</f>
        <v>133x87x8</v>
      </c>
      <c r="AG5" s="3">
        <f>VLOOKUP(AD5,物品明细!A:D,4,0)</f>
        <v>14</v>
      </c>
      <c r="AH5" s="3"/>
      <c r="AI5" s="67">
        <v>1</v>
      </c>
      <c r="AJ5" s="3">
        <f t="shared" ref="AJ5:AJ10" si="1">AI5*AG5</f>
        <v>14</v>
      </c>
      <c r="AK5" s="3">
        <f t="shared" ref="AK5:AK10" si="2">AI5</f>
        <v>1</v>
      </c>
      <c r="AL5" s="70">
        <v>0.8</v>
      </c>
      <c r="AM5" s="70">
        <f t="shared" ref="AM5:AM10" si="3">AL5*AK5</f>
        <v>0.8</v>
      </c>
      <c r="AN5" s="68"/>
      <c r="AO5" s="70"/>
      <c r="AP5" s="70">
        <f t="shared" ref="AP5:AP10" si="4">AO5*AN5</f>
        <v>0</v>
      </c>
      <c r="AQ5" s="212"/>
      <c r="AR5" s="213"/>
      <c r="AS5" s="70">
        <f t="shared" ref="AS5:AS10" si="5">AR5*AQ5</f>
        <v>0</v>
      </c>
      <c r="AT5" s="3"/>
      <c r="AU5" s="214"/>
      <c r="AV5" s="70">
        <f t="shared" ref="AV5:AV10" si="6">AU5*AT5</f>
        <v>0</v>
      </c>
      <c r="AW5" s="215"/>
      <c r="AX5" s="215"/>
      <c r="AY5" s="70">
        <f t="shared" ref="AY5:AY10" si="7">AX5*AW5</f>
        <v>0</v>
      </c>
      <c r="AZ5" s="215">
        <f t="shared" ref="AZ5:AZ10" si="8">AM5+AP5+AS5+AV5+AY5</f>
        <v>0.8</v>
      </c>
      <c r="BA5" s="3">
        <v>1</v>
      </c>
      <c r="BB5" s="3">
        <f t="shared" ref="BB5:BB10" si="9">AJ5</f>
        <v>14</v>
      </c>
      <c r="BC5" s="3">
        <v>15</v>
      </c>
      <c r="BD5" s="194" t="str">
        <f t="shared" ref="BD5:BD10" si="10">Y5</f>
        <v>DE</v>
      </c>
      <c r="BE5" s="194">
        <v>5.523525</v>
      </c>
      <c r="BF5" s="194">
        <f>BA5*BE5</f>
        <v>5.523525</v>
      </c>
      <c r="BG5" s="194">
        <f t="shared" ref="BG5:BG10" si="11">BA5*0.19</f>
        <v>0.19</v>
      </c>
      <c r="BH5" s="194">
        <f t="shared" ref="BH5:BH10" si="12">BA5*20</f>
        <v>20</v>
      </c>
      <c r="BI5" s="194">
        <f>(BH5+BG5+BF5)*1.25%</f>
        <v>0.3214190625</v>
      </c>
      <c r="BJ5" s="194">
        <f t="shared" ref="BJ5:BJ10" si="13">SUM(BG5:BI5)</f>
        <v>20.5114190625</v>
      </c>
      <c r="BK5" s="196">
        <f t="shared" ref="BK5:BK10" si="14">BF5+BJ5</f>
        <v>26.0349440625</v>
      </c>
      <c r="BL5" s="216">
        <f t="shared" ref="BL5:BL10" si="15">AZ5+BK5</f>
        <v>26.8349440625</v>
      </c>
    </row>
    <row r="6" ht="15" spans="1:64">
      <c r="A6" s="67" t="s">
        <v>490</v>
      </c>
      <c r="B6" s="3">
        <f t="shared" si="0"/>
        <v>1</v>
      </c>
      <c r="C6" s="3">
        <v>1</v>
      </c>
      <c r="D6" s="3"/>
      <c r="E6" s="67" t="s">
        <v>188</v>
      </c>
      <c r="F6" s="3">
        <v>202510</v>
      </c>
      <c r="G6" s="67" t="s">
        <v>469</v>
      </c>
      <c r="H6" s="67" t="s">
        <v>469</v>
      </c>
      <c r="I6" s="67" t="s">
        <v>423</v>
      </c>
      <c r="J6" s="67" t="s">
        <v>97</v>
      </c>
      <c r="K6" s="67" t="s">
        <v>490</v>
      </c>
      <c r="L6" s="67" t="s">
        <v>191</v>
      </c>
      <c r="M6" s="67"/>
      <c r="N6" s="67" t="s">
        <v>470</v>
      </c>
      <c r="O6" s="67">
        <v>1</v>
      </c>
      <c r="P6" s="67" t="s">
        <v>193</v>
      </c>
      <c r="Q6" s="67">
        <v>14</v>
      </c>
      <c r="R6" s="67" t="s">
        <v>485</v>
      </c>
      <c r="S6" s="67" t="s">
        <v>195</v>
      </c>
      <c r="T6" s="210" t="s">
        <v>491</v>
      </c>
      <c r="U6" s="67" t="str">
        <f>VLOOKUP(T6,[5]semitemu_order_export_251110144!$R:$S,2,0)</f>
        <v>PO-076-11313748040313333</v>
      </c>
      <c r="V6" s="67"/>
      <c r="W6" s="67" t="s">
        <v>492</v>
      </c>
      <c r="X6" s="67" t="s">
        <v>493</v>
      </c>
      <c r="Y6" s="67" t="s">
        <v>199</v>
      </c>
      <c r="Z6" s="67"/>
      <c r="AA6" s="67"/>
      <c r="AB6" s="67"/>
      <c r="AC6" s="67" t="s">
        <v>490</v>
      </c>
      <c r="AD6" s="67" t="s">
        <v>489</v>
      </c>
      <c r="AE6" s="4" t="str">
        <f>VLOOKUP(AD6,物品明细!A:B,2,0)</f>
        <v>白板</v>
      </c>
      <c r="AF6" s="3" t="str">
        <f>VLOOKUP(AD6,物品明细!A:I,9,0)</f>
        <v>133x87x8</v>
      </c>
      <c r="AG6" s="3">
        <f>VLOOKUP(AD6,物品明细!A:D,4,0)</f>
        <v>14</v>
      </c>
      <c r="AH6" s="3"/>
      <c r="AI6" s="67">
        <v>1</v>
      </c>
      <c r="AJ6" s="3">
        <f t="shared" si="1"/>
        <v>14</v>
      </c>
      <c r="AK6" s="3">
        <f t="shared" si="2"/>
        <v>1</v>
      </c>
      <c r="AL6" s="70">
        <v>0.8</v>
      </c>
      <c r="AM6" s="70">
        <f t="shared" si="3"/>
        <v>0.8</v>
      </c>
      <c r="AN6" s="68"/>
      <c r="AO6" s="70"/>
      <c r="AP6" s="70">
        <f t="shared" si="4"/>
        <v>0</v>
      </c>
      <c r="AQ6" s="212"/>
      <c r="AR6" s="213"/>
      <c r="AS6" s="70">
        <f t="shared" si="5"/>
        <v>0</v>
      </c>
      <c r="AT6" s="3"/>
      <c r="AU6" s="214"/>
      <c r="AV6" s="70">
        <f t="shared" si="6"/>
        <v>0</v>
      </c>
      <c r="AW6" s="215"/>
      <c r="AX6" s="215"/>
      <c r="AY6" s="70">
        <f t="shared" si="7"/>
        <v>0</v>
      </c>
      <c r="AZ6" s="215">
        <f t="shared" si="8"/>
        <v>0.8</v>
      </c>
      <c r="BA6" s="3">
        <v>1</v>
      </c>
      <c r="BB6" s="3">
        <f t="shared" si="9"/>
        <v>14</v>
      </c>
      <c r="BC6" s="3">
        <v>15</v>
      </c>
      <c r="BD6" s="194" t="str">
        <f t="shared" si="10"/>
        <v>DE</v>
      </c>
      <c r="BE6" s="194">
        <v>5.523525</v>
      </c>
      <c r="BF6" s="194">
        <f t="shared" ref="BF5:BF10" si="16">BA6*BE6</f>
        <v>5.523525</v>
      </c>
      <c r="BG6" s="194">
        <f t="shared" si="11"/>
        <v>0.19</v>
      </c>
      <c r="BH6" s="194">
        <f t="shared" si="12"/>
        <v>20</v>
      </c>
      <c r="BI6" s="194">
        <f t="shared" ref="BI5:BI10" si="17">(BH6+BG6+BF6)*1.25%</f>
        <v>0.3214190625</v>
      </c>
      <c r="BJ6" s="194">
        <f t="shared" si="13"/>
        <v>20.5114190625</v>
      </c>
      <c r="BK6" s="196">
        <f t="shared" si="14"/>
        <v>26.0349440625</v>
      </c>
      <c r="BL6" s="216">
        <f t="shared" si="15"/>
        <v>26.8349440625</v>
      </c>
    </row>
    <row r="7" ht="15" spans="1:64">
      <c r="A7" s="67" t="s">
        <v>494</v>
      </c>
      <c r="B7" s="3">
        <f t="shared" si="0"/>
        <v>1</v>
      </c>
      <c r="C7" s="3">
        <v>1</v>
      </c>
      <c r="D7" s="3"/>
      <c r="E7" s="67" t="s">
        <v>188</v>
      </c>
      <c r="F7" s="3">
        <v>202510</v>
      </c>
      <c r="G7" s="67" t="s">
        <v>469</v>
      </c>
      <c r="H7" s="67" t="s">
        <v>469</v>
      </c>
      <c r="I7" s="67" t="s">
        <v>423</v>
      </c>
      <c r="J7" s="67" t="s">
        <v>97</v>
      </c>
      <c r="K7" s="67" t="s">
        <v>494</v>
      </c>
      <c r="L7" s="67" t="s">
        <v>191</v>
      </c>
      <c r="M7" s="67"/>
      <c r="N7" s="67" t="s">
        <v>470</v>
      </c>
      <c r="O7" s="67">
        <v>1</v>
      </c>
      <c r="P7" s="67" t="s">
        <v>193</v>
      </c>
      <c r="Q7" s="67">
        <v>14</v>
      </c>
      <c r="R7" s="67" t="s">
        <v>485</v>
      </c>
      <c r="S7" s="67" t="s">
        <v>195</v>
      </c>
      <c r="T7" s="210" t="s">
        <v>495</v>
      </c>
      <c r="U7" s="67" t="str">
        <f>VLOOKUP(T7,[5]semitemu_order_export_251110144!$R:$S,2,0)</f>
        <v>PO-076-11441826061430008</v>
      </c>
      <c r="V7" s="67"/>
      <c r="W7" s="67" t="s">
        <v>496</v>
      </c>
      <c r="X7" s="67" t="s">
        <v>497</v>
      </c>
      <c r="Y7" s="67" t="s">
        <v>199</v>
      </c>
      <c r="Z7" s="67"/>
      <c r="AA7" s="67"/>
      <c r="AB7" s="67"/>
      <c r="AC7" s="67" t="s">
        <v>494</v>
      </c>
      <c r="AD7" s="67" t="s">
        <v>489</v>
      </c>
      <c r="AE7" s="4" t="str">
        <f>VLOOKUP(AD7,物品明细!A:B,2,0)</f>
        <v>白板</v>
      </c>
      <c r="AF7" s="3" t="str">
        <f>VLOOKUP(AD7,物品明细!A:I,9,0)</f>
        <v>133x87x8</v>
      </c>
      <c r="AG7" s="3">
        <f>VLOOKUP(AD7,物品明细!A:D,4,0)</f>
        <v>14</v>
      </c>
      <c r="AH7" s="3"/>
      <c r="AI7" s="67">
        <v>1</v>
      </c>
      <c r="AJ7" s="3">
        <f t="shared" si="1"/>
        <v>14</v>
      </c>
      <c r="AK7" s="3">
        <f t="shared" si="2"/>
        <v>1</v>
      </c>
      <c r="AL7" s="70">
        <v>0.8</v>
      </c>
      <c r="AM7" s="70">
        <f t="shared" si="3"/>
        <v>0.8</v>
      </c>
      <c r="AN7" s="68"/>
      <c r="AO7" s="70"/>
      <c r="AP7" s="70">
        <f t="shared" si="4"/>
        <v>0</v>
      </c>
      <c r="AQ7" s="212"/>
      <c r="AR7" s="213"/>
      <c r="AS7" s="70">
        <f t="shared" si="5"/>
        <v>0</v>
      </c>
      <c r="AT7" s="3"/>
      <c r="AU7" s="214"/>
      <c r="AV7" s="70">
        <f t="shared" si="6"/>
        <v>0</v>
      </c>
      <c r="AW7" s="215"/>
      <c r="AX7" s="215"/>
      <c r="AY7" s="70">
        <f t="shared" si="7"/>
        <v>0</v>
      </c>
      <c r="AZ7" s="215">
        <f t="shared" si="8"/>
        <v>0.8</v>
      </c>
      <c r="BA7" s="3">
        <v>1</v>
      </c>
      <c r="BB7" s="3">
        <f t="shared" si="9"/>
        <v>14</v>
      </c>
      <c r="BC7" s="3">
        <v>15</v>
      </c>
      <c r="BD7" s="194" t="str">
        <f t="shared" si="10"/>
        <v>DE</v>
      </c>
      <c r="BE7" s="194">
        <v>5.523525</v>
      </c>
      <c r="BF7" s="194">
        <f t="shared" si="16"/>
        <v>5.523525</v>
      </c>
      <c r="BG7" s="194">
        <f t="shared" si="11"/>
        <v>0.19</v>
      </c>
      <c r="BH7" s="194">
        <f t="shared" si="12"/>
        <v>20</v>
      </c>
      <c r="BI7" s="194">
        <f t="shared" si="17"/>
        <v>0.3214190625</v>
      </c>
      <c r="BJ7" s="194">
        <f t="shared" si="13"/>
        <v>20.5114190625</v>
      </c>
      <c r="BK7" s="196">
        <f t="shared" si="14"/>
        <v>26.0349440625</v>
      </c>
      <c r="BL7" s="216">
        <f t="shared" si="15"/>
        <v>26.8349440625</v>
      </c>
    </row>
    <row r="8" ht="15" spans="1:64">
      <c r="A8" s="67" t="s">
        <v>498</v>
      </c>
      <c r="B8" s="3">
        <f t="shared" si="0"/>
        <v>1</v>
      </c>
      <c r="C8" s="3">
        <v>1</v>
      </c>
      <c r="D8" s="3"/>
      <c r="E8" s="67" t="s">
        <v>188</v>
      </c>
      <c r="F8" s="3">
        <v>202510</v>
      </c>
      <c r="G8" s="67" t="s">
        <v>469</v>
      </c>
      <c r="H8" s="67" t="s">
        <v>469</v>
      </c>
      <c r="I8" s="67" t="s">
        <v>423</v>
      </c>
      <c r="J8" s="67" t="s">
        <v>97</v>
      </c>
      <c r="K8" s="67" t="s">
        <v>498</v>
      </c>
      <c r="L8" s="67" t="s">
        <v>191</v>
      </c>
      <c r="M8" s="67"/>
      <c r="N8" s="67" t="s">
        <v>470</v>
      </c>
      <c r="O8" s="67">
        <v>1</v>
      </c>
      <c r="P8" s="67" t="s">
        <v>193</v>
      </c>
      <c r="Q8" s="67">
        <v>14</v>
      </c>
      <c r="R8" s="67" t="s">
        <v>485</v>
      </c>
      <c r="S8" s="67" t="s">
        <v>195</v>
      </c>
      <c r="T8" s="210" t="s">
        <v>499</v>
      </c>
      <c r="U8" s="67" t="str">
        <f>VLOOKUP(T8,[5]semitemu_order_export_251110144!$R:$S,2,0)</f>
        <v>PO-076-05547350851192886</v>
      </c>
      <c r="V8" s="67"/>
      <c r="W8" s="67" t="s">
        <v>500</v>
      </c>
      <c r="X8" s="67" t="s">
        <v>501</v>
      </c>
      <c r="Y8" s="67" t="s">
        <v>199</v>
      </c>
      <c r="Z8" s="67"/>
      <c r="AA8" s="67"/>
      <c r="AB8" s="67"/>
      <c r="AC8" s="67" t="s">
        <v>498</v>
      </c>
      <c r="AD8" s="67" t="s">
        <v>489</v>
      </c>
      <c r="AE8" s="4" t="str">
        <f>VLOOKUP(AD8,物品明细!A:B,2,0)</f>
        <v>白板</v>
      </c>
      <c r="AF8" s="3" t="str">
        <f>VLOOKUP(AD8,物品明细!A:I,9,0)</f>
        <v>133x87x8</v>
      </c>
      <c r="AG8" s="3">
        <f>VLOOKUP(AD8,物品明细!A:D,4,0)</f>
        <v>14</v>
      </c>
      <c r="AH8" s="3"/>
      <c r="AI8" s="67">
        <v>1</v>
      </c>
      <c r="AJ8" s="3">
        <f t="shared" si="1"/>
        <v>14</v>
      </c>
      <c r="AK8" s="3">
        <f t="shared" si="2"/>
        <v>1</v>
      </c>
      <c r="AL8" s="70">
        <v>0.8</v>
      </c>
      <c r="AM8" s="70">
        <f t="shared" si="3"/>
        <v>0.8</v>
      </c>
      <c r="AN8" s="68"/>
      <c r="AO8" s="70"/>
      <c r="AP8" s="70">
        <f t="shared" si="4"/>
        <v>0</v>
      </c>
      <c r="AQ8" s="212"/>
      <c r="AR8" s="213"/>
      <c r="AS8" s="70">
        <f t="shared" si="5"/>
        <v>0</v>
      </c>
      <c r="AT8" s="3"/>
      <c r="AU8" s="214"/>
      <c r="AV8" s="70">
        <f t="shared" si="6"/>
        <v>0</v>
      </c>
      <c r="AW8" s="215"/>
      <c r="AX8" s="215"/>
      <c r="AY8" s="70">
        <f t="shared" si="7"/>
        <v>0</v>
      </c>
      <c r="AZ8" s="215">
        <f t="shared" si="8"/>
        <v>0.8</v>
      </c>
      <c r="BA8" s="3">
        <v>1</v>
      </c>
      <c r="BB8" s="3">
        <f t="shared" si="9"/>
        <v>14</v>
      </c>
      <c r="BC8" s="3">
        <v>15</v>
      </c>
      <c r="BD8" s="194" t="str">
        <f t="shared" si="10"/>
        <v>DE</v>
      </c>
      <c r="BE8" s="194">
        <v>5.523525</v>
      </c>
      <c r="BF8" s="194">
        <f t="shared" si="16"/>
        <v>5.523525</v>
      </c>
      <c r="BG8" s="194">
        <f t="shared" si="11"/>
        <v>0.19</v>
      </c>
      <c r="BH8" s="194">
        <f t="shared" si="12"/>
        <v>20</v>
      </c>
      <c r="BI8" s="194">
        <f t="shared" si="17"/>
        <v>0.3214190625</v>
      </c>
      <c r="BJ8" s="194">
        <f t="shared" si="13"/>
        <v>20.5114190625</v>
      </c>
      <c r="BK8" s="196">
        <f t="shared" si="14"/>
        <v>26.0349440625</v>
      </c>
      <c r="BL8" s="216">
        <f t="shared" si="15"/>
        <v>26.8349440625</v>
      </c>
    </row>
    <row r="9" ht="15" spans="1:64">
      <c r="A9" s="67" t="s">
        <v>502</v>
      </c>
      <c r="B9" s="3">
        <f t="shared" si="0"/>
        <v>1</v>
      </c>
      <c r="C9" s="3">
        <v>1</v>
      </c>
      <c r="D9" s="3"/>
      <c r="E9" s="67" t="s">
        <v>188</v>
      </c>
      <c r="F9" s="3">
        <v>202510</v>
      </c>
      <c r="G9" s="67" t="s">
        <v>469</v>
      </c>
      <c r="H9" s="67" t="s">
        <v>469</v>
      </c>
      <c r="I9" s="67" t="s">
        <v>423</v>
      </c>
      <c r="J9" s="67" t="s">
        <v>97</v>
      </c>
      <c r="K9" s="67" t="s">
        <v>502</v>
      </c>
      <c r="L9" s="67" t="s">
        <v>191</v>
      </c>
      <c r="M9" s="67"/>
      <c r="N9" s="67" t="s">
        <v>470</v>
      </c>
      <c r="O9" s="67">
        <v>1</v>
      </c>
      <c r="P9" s="67" t="s">
        <v>193</v>
      </c>
      <c r="Q9" s="67">
        <v>14</v>
      </c>
      <c r="R9" s="67" t="s">
        <v>485</v>
      </c>
      <c r="S9" s="67" t="s">
        <v>195</v>
      </c>
      <c r="T9" s="210" t="s">
        <v>503</v>
      </c>
      <c r="U9" s="67" t="str">
        <f>VLOOKUP(T9,[5]semitemu_order_export_251110144!$R:$S,2,0)</f>
        <v>PO-076-16606314678392251</v>
      </c>
      <c r="V9" s="67"/>
      <c r="W9" s="67" t="s">
        <v>504</v>
      </c>
      <c r="X9" s="67" t="s">
        <v>505</v>
      </c>
      <c r="Y9" s="67" t="s">
        <v>199</v>
      </c>
      <c r="Z9" s="67"/>
      <c r="AA9" s="67"/>
      <c r="AB9" s="67"/>
      <c r="AC9" s="67" t="s">
        <v>502</v>
      </c>
      <c r="AD9" s="67" t="s">
        <v>489</v>
      </c>
      <c r="AE9" s="4" t="str">
        <f>VLOOKUP(AD9,物品明细!A:B,2,0)</f>
        <v>白板</v>
      </c>
      <c r="AF9" s="3" t="str">
        <f>VLOOKUP(AD9,物品明细!A:I,9,0)</f>
        <v>133x87x8</v>
      </c>
      <c r="AG9" s="3">
        <f>VLOOKUP(AD9,物品明细!A:D,4,0)</f>
        <v>14</v>
      </c>
      <c r="AH9" s="3"/>
      <c r="AI9" s="67">
        <v>1</v>
      </c>
      <c r="AJ9" s="3">
        <f t="shared" si="1"/>
        <v>14</v>
      </c>
      <c r="AK9" s="3">
        <f t="shared" si="2"/>
        <v>1</v>
      </c>
      <c r="AL9" s="70">
        <v>0.8</v>
      </c>
      <c r="AM9" s="70">
        <f t="shared" si="3"/>
        <v>0.8</v>
      </c>
      <c r="AN9" s="68"/>
      <c r="AO9" s="70"/>
      <c r="AP9" s="70">
        <f t="shared" si="4"/>
        <v>0</v>
      </c>
      <c r="AQ9" s="212"/>
      <c r="AR9" s="213"/>
      <c r="AS9" s="70">
        <f t="shared" si="5"/>
        <v>0</v>
      </c>
      <c r="AT9" s="3"/>
      <c r="AU9" s="214"/>
      <c r="AV9" s="70">
        <f t="shared" si="6"/>
        <v>0</v>
      </c>
      <c r="AW9" s="215"/>
      <c r="AX9" s="215"/>
      <c r="AY9" s="70">
        <f t="shared" si="7"/>
        <v>0</v>
      </c>
      <c r="AZ9" s="215">
        <f t="shared" si="8"/>
        <v>0.8</v>
      </c>
      <c r="BA9" s="3">
        <v>1</v>
      </c>
      <c r="BB9" s="3">
        <f t="shared" si="9"/>
        <v>14</v>
      </c>
      <c r="BC9" s="3">
        <v>15</v>
      </c>
      <c r="BD9" s="194" t="str">
        <f t="shared" si="10"/>
        <v>DE</v>
      </c>
      <c r="BE9" s="194">
        <v>5.523525</v>
      </c>
      <c r="BF9" s="194">
        <f t="shared" si="16"/>
        <v>5.523525</v>
      </c>
      <c r="BG9" s="194">
        <f t="shared" si="11"/>
        <v>0.19</v>
      </c>
      <c r="BH9" s="194">
        <f t="shared" si="12"/>
        <v>20</v>
      </c>
      <c r="BI9" s="194">
        <f t="shared" si="17"/>
        <v>0.3214190625</v>
      </c>
      <c r="BJ9" s="194">
        <f t="shared" si="13"/>
        <v>20.5114190625</v>
      </c>
      <c r="BK9" s="196">
        <f t="shared" si="14"/>
        <v>26.0349440625</v>
      </c>
      <c r="BL9" s="216">
        <f t="shared" si="15"/>
        <v>26.8349440625</v>
      </c>
    </row>
    <row r="10" ht="15" spans="1:64">
      <c r="A10" s="67" t="s">
        <v>506</v>
      </c>
      <c r="B10" s="3">
        <f t="shared" si="0"/>
        <v>1</v>
      </c>
      <c r="C10" s="3">
        <v>1</v>
      </c>
      <c r="D10" s="3"/>
      <c r="E10" s="67" t="s">
        <v>188</v>
      </c>
      <c r="F10" s="3">
        <v>202510</v>
      </c>
      <c r="G10" s="67" t="s">
        <v>469</v>
      </c>
      <c r="H10" s="67" t="s">
        <v>469</v>
      </c>
      <c r="I10" s="67" t="s">
        <v>423</v>
      </c>
      <c r="J10" s="67" t="s">
        <v>97</v>
      </c>
      <c r="K10" s="67" t="s">
        <v>506</v>
      </c>
      <c r="L10" s="67" t="s">
        <v>191</v>
      </c>
      <c r="M10" s="67"/>
      <c r="N10" s="67" t="s">
        <v>470</v>
      </c>
      <c r="O10" s="67">
        <v>1</v>
      </c>
      <c r="P10" s="67" t="s">
        <v>193</v>
      </c>
      <c r="Q10" s="67">
        <v>14</v>
      </c>
      <c r="R10" s="67" t="s">
        <v>485</v>
      </c>
      <c r="S10" s="67" t="s">
        <v>195</v>
      </c>
      <c r="T10" s="210" t="s">
        <v>507</v>
      </c>
      <c r="U10" s="67" t="str">
        <f>VLOOKUP(T10,[5]semitemu_order_export_251110144!$R:$S,2,0)</f>
        <v>PO-076-19667027295350902</v>
      </c>
      <c r="V10" s="67"/>
      <c r="W10" s="67" t="s">
        <v>508</v>
      </c>
      <c r="X10" s="67" t="s">
        <v>509</v>
      </c>
      <c r="Y10" s="67" t="s">
        <v>199</v>
      </c>
      <c r="Z10" s="67"/>
      <c r="AA10" s="67"/>
      <c r="AB10" s="67"/>
      <c r="AC10" s="67" t="s">
        <v>506</v>
      </c>
      <c r="AD10" s="67" t="s">
        <v>489</v>
      </c>
      <c r="AE10" s="4" t="str">
        <f>VLOOKUP(AD10,物品明细!A:B,2,0)</f>
        <v>白板</v>
      </c>
      <c r="AF10" s="3" t="str">
        <f>VLOOKUP(AD10,物品明细!A:I,9,0)</f>
        <v>133x87x8</v>
      </c>
      <c r="AG10" s="3">
        <f>VLOOKUP(AD10,物品明细!A:D,4,0)</f>
        <v>14</v>
      </c>
      <c r="AH10" s="3"/>
      <c r="AI10" s="67">
        <v>1</v>
      </c>
      <c r="AJ10" s="3">
        <f t="shared" si="1"/>
        <v>14</v>
      </c>
      <c r="AK10" s="3">
        <f t="shared" si="2"/>
        <v>1</v>
      </c>
      <c r="AL10" s="70">
        <v>0.8</v>
      </c>
      <c r="AM10" s="70">
        <f t="shared" si="3"/>
        <v>0.8</v>
      </c>
      <c r="AN10" s="68"/>
      <c r="AO10" s="70"/>
      <c r="AP10" s="70">
        <f t="shared" si="4"/>
        <v>0</v>
      </c>
      <c r="AQ10" s="212"/>
      <c r="AR10" s="213"/>
      <c r="AS10" s="70">
        <f t="shared" si="5"/>
        <v>0</v>
      </c>
      <c r="AT10" s="3"/>
      <c r="AU10" s="214"/>
      <c r="AV10" s="70">
        <f t="shared" si="6"/>
        <v>0</v>
      </c>
      <c r="AW10" s="215"/>
      <c r="AX10" s="215"/>
      <c r="AY10" s="70">
        <f t="shared" si="7"/>
        <v>0</v>
      </c>
      <c r="AZ10" s="215">
        <f t="shared" si="8"/>
        <v>0.8</v>
      </c>
      <c r="BA10" s="3">
        <v>1</v>
      </c>
      <c r="BB10" s="3">
        <f t="shared" si="9"/>
        <v>14</v>
      </c>
      <c r="BC10" s="3">
        <v>15</v>
      </c>
      <c r="BD10" s="194" t="str">
        <f t="shared" si="10"/>
        <v>DE</v>
      </c>
      <c r="BE10" s="194">
        <v>5.523525</v>
      </c>
      <c r="BF10" s="194">
        <f t="shared" si="16"/>
        <v>5.523525</v>
      </c>
      <c r="BG10" s="194">
        <f t="shared" si="11"/>
        <v>0.19</v>
      </c>
      <c r="BH10" s="194">
        <f t="shared" si="12"/>
        <v>20</v>
      </c>
      <c r="BI10" s="194">
        <f t="shared" si="17"/>
        <v>0.3214190625</v>
      </c>
      <c r="BJ10" s="194">
        <f t="shared" si="13"/>
        <v>20.5114190625</v>
      </c>
      <c r="BK10" s="196">
        <f t="shared" si="14"/>
        <v>26.0349440625</v>
      </c>
      <c r="BL10" s="216">
        <f t="shared" si="15"/>
        <v>26.8349440625</v>
      </c>
    </row>
  </sheetData>
  <autoFilter xmlns:etc="http://www.wps.cn/officeDocument/2017/etCustomData" ref="A4:BL10" etc:filterBottomFollowUsedRange="0">
    <extLst/>
  </autoFilter>
  <mergeCells count="15">
    <mergeCell ref="A1:AD1"/>
    <mergeCell ref="AK2:AZ2"/>
    <mergeCell ref="BA2:BK2"/>
    <mergeCell ref="A3:Y3"/>
    <mergeCell ref="AD3:AI3"/>
    <mergeCell ref="AK3:AM3"/>
    <mergeCell ref="AN3:AP3"/>
    <mergeCell ref="AQ3:AS3"/>
    <mergeCell ref="AT3:AV3"/>
    <mergeCell ref="AW3:AY3"/>
    <mergeCell ref="BA3:BF3"/>
    <mergeCell ref="BG3:BJ3"/>
    <mergeCell ref="AZ3:AZ4"/>
    <mergeCell ref="BK3:BK4"/>
    <mergeCell ref="BL2:BL4"/>
  </mergeCells>
  <conditionalFormatting sqref="T5">
    <cfRule type="duplicateValues" dxfId="1" priority="6"/>
  </conditionalFormatting>
  <conditionalFormatting sqref="T6">
    <cfRule type="duplicateValues" dxfId="1" priority="5"/>
  </conditionalFormatting>
  <conditionalFormatting sqref="T7">
    <cfRule type="duplicateValues" dxfId="1" priority="4"/>
  </conditionalFormatting>
  <conditionalFormatting sqref="T8">
    <cfRule type="duplicateValues" dxfId="1" priority="3"/>
  </conditionalFormatting>
  <conditionalFormatting sqref="T9">
    <cfRule type="duplicateValues" dxfId="1" priority="2"/>
  </conditionalFormatting>
  <conditionalFormatting sqref="T10">
    <cfRule type="duplicateValues" dxfId="1" priority="1"/>
  </conditionalFormatting>
  <conditionalFormatting sqref="A1:A4 B4:C4 B1:C2">
    <cfRule type="duplicateValues" dxfId="0" priority="7"/>
  </conditionalFormatting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I8" sqref="I8"/>
    </sheetView>
  </sheetViews>
  <sheetFormatPr defaultColWidth="8.8" defaultRowHeight="16.5" outlineLevelRow="5"/>
  <cols>
    <col min="1" max="1" width="17.3833333333333" style="139" customWidth="1"/>
    <col min="2" max="2" width="4.75" style="140" customWidth="1"/>
    <col min="3" max="3" width="5.05" style="140" customWidth="1"/>
    <col min="4" max="4" width="3.94166666666667" style="140" customWidth="1"/>
    <col min="5" max="5" width="7.875" style="140" customWidth="1"/>
    <col min="6" max="6" width="8.8" style="140"/>
    <col min="7" max="7" width="12.6916666666667" style="140" customWidth="1"/>
    <col min="8" max="8" width="12.375" style="141" customWidth="1"/>
    <col min="9" max="9" width="12" style="140" customWidth="1"/>
    <col min="10" max="10" width="9.7" style="140" customWidth="1" outlineLevel="1"/>
    <col min="11" max="13" width="8.8" style="140" outlineLevel="1"/>
    <col min="14" max="14" width="19.4" style="140" customWidth="1" outlineLevel="1"/>
    <col min="15" max="15" width="5.31666666666667" style="140" customWidth="1"/>
    <col min="16" max="18" width="8.8" style="140" outlineLevel="1"/>
    <col min="19" max="19" width="19.2" style="140" hidden="1" customWidth="1"/>
    <col min="20" max="20" width="18.1916666666667" style="139" hidden="1" customWidth="1"/>
    <col min="21" max="21" width="6" style="139" hidden="1" customWidth="1"/>
    <col min="22" max="22" width="8.8" style="142" hidden="1" customWidth="1"/>
    <col min="23" max="23" width="8.8" style="143"/>
    <col min="24" max="29" width="8.8" style="140"/>
    <col min="30" max="30" width="13.4416666666667" style="140" customWidth="1"/>
    <col min="31" max="31" width="22.8166666666667" style="139" customWidth="1"/>
    <col min="32" max="32" width="10.5" style="140"/>
    <col min="33" max="33" width="8.50833333333333" style="140" customWidth="1"/>
    <col min="34" max="36" width="6.00833333333333" style="140" customWidth="1"/>
    <col min="37" max="37" width="13.6333333333333" style="140" customWidth="1"/>
    <col min="38" max="38" width="6.63333333333333" style="140" customWidth="1"/>
    <col min="39" max="41" width="6.00833333333333" style="140" customWidth="1"/>
    <col min="42" max="42" width="8.8" style="144"/>
    <col min="43" max="46" width="4.69166666666667" style="140" customWidth="1"/>
    <col min="47" max="47" width="6.56666666666667" style="145" customWidth="1"/>
    <col min="48" max="48" width="11.0666666666667" style="140" customWidth="1"/>
    <col min="49" max="49" width="5.56666666666667" style="140" customWidth="1"/>
    <col min="50" max="50" width="7.63333333333333" style="146" customWidth="1"/>
    <col min="51" max="51" width="10.6916666666667" style="140" customWidth="1"/>
    <col min="52" max="52" width="6.81666666666667" style="140" customWidth="1"/>
    <col min="53" max="53" width="7.25" style="140" customWidth="1"/>
    <col min="54" max="54" width="5.81666666666667" style="140" customWidth="1"/>
    <col min="55" max="55" width="5.69166666666667" style="147" customWidth="1"/>
    <col min="56" max="56" width="8.825" style="140" customWidth="1"/>
    <col min="57" max="58" width="5.625" style="140" customWidth="1"/>
    <col min="59" max="59" width="11.0666666666667" style="148" customWidth="1"/>
    <col min="60" max="60" width="9.19166666666667" style="148" customWidth="1"/>
  </cols>
  <sheetData>
    <row r="1" s="10" customFormat="1" ht="22.5" spans="1:60">
      <c r="A1" s="149" t="s">
        <v>102</v>
      </c>
      <c r="B1" s="150"/>
      <c r="C1" s="150"/>
      <c r="D1" s="150"/>
      <c r="E1" s="150"/>
      <c r="F1" s="150"/>
      <c r="G1" s="150"/>
      <c r="H1" s="151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49"/>
      <c r="U1" s="149"/>
      <c r="V1" s="152"/>
      <c r="W1" s="153"/>
      <c r="X1" s="150"/>
      <c r="Y1" s="150"/>
      <c r="Z1" s="150"/>
      <c r="AA1" s="150"/>
      <c r="AB1" s="150"/>
      <c r="AC1" s="150"/>
      <c r="AD1" s="150"/>
      <c r="AE1" s="149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4"/>
      <c r="AR1" s="154"/>
      <c r="AS1" s="154"/>
      <c r="AT1" s="154"/>
      <c r="AU1" s="155"/>
      <c r="AV1" s="154"/>
      <c r="AW1" s="154"/>
      <c r="AX1" s="154"/>
      <c r="AY1" s="154">
        <f>SUM(AY5:AY6)</f>
        <v>264</v>
      </c>
      <c r="AZ1" s="154"/>
      <c r="BA1" s="154"/>
      <c r="BB1" s="154"/>
      <c r="BC1" s="156"/>
      <c r="BD1" s="154">
        <f>SUM(BD5:BD6)</f>
        <v>0</v>
      </c>
      <c r="BE1" s="154"/>
      <c r="BF1" s="154"/>
      <c r="BG1" s="154">
        <f>SUM(BG5:BG6)</f>
        <v>0</v>
      </c>
      <c r="BH1" s="154">
        <f>SUM(BH5:BH6)</f>
        <v>264</v>
      </c>
    </row>
    <row r="2" s="10" customFormat="1" ht="15" spans="1:60">
      <c r="A2" s="133" t="s">
        <v>103</v>
      </c>
      <c r="B2" s="80"/>
      <c r="C2" s="80"/>
      <c r="D2" s="80"/>
      <c r="E2" s="80"/>
      <c r="F2" s="80"/>
      <c r="G2" s="157"/>
      <c r="H2" s="158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9"/>
      <c r="U2" s="159"/>
      <c r="V2" s="160"/>
      <c r="W2" s="161"/>
      <c r="X2" s="157"/>
      <c r="Y2" s="157"/>
      <c r="Z2" s="157"/>
      <c r="AA2" s="157"/>
      <c r="AB2" s="157"/>
      <c r="AC2" s="157"/>
      <c r="AD2" s="157"/>
      <c r="AE2" s="159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62" t="s">
        <v>104</v>
      </c>
      <c r="AR2" s="163"/>
      <c r="AS2" s="163"/>
      <c r="AT2" s="163"/>
      <c r="AU2" s="164"/>
      <c r="AV2" s="163"/>
      <c r="AW2" s="163"/>
      <c r="AX2" s="163"/>
      <c r="AY2" s="163"/>
      <c r="AZ2" s="163"/>
      <c r="BA2" s="163"/>
      <c r="BB2" s="163"/>
      <c r="BC2" s="165"/>
      <c r="BD2" s="163"/>
      <c r="BE2" s="163"/>
      <c r="BF2" s="163"/>
      <c r="BG2" s="163"/>
      <c r="BH2" s="163"/>
    </row>
    <row r="3" s="10" customFormat="1" ht="15" spans="1:60">
      <c r="A3" s="166" t="s">
        <v>106</v>
      </c>
      <c r="B3" s="167"/>
      <c r="C3" s="167"/>
      <c r="D3" s="167"/>
      <c r="E3" s="167"/>
      <c r="F3" s="167"/>
      <c r="G3" s="167"/>
      <c r="H3" s="168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9"/>
      <c r="U3" s="169"/>
      <c r="V3" s="169"/>
      <c r="W3" s="170"/>
      <c r="X3" s="167"/>
      <c r="Y3" s="167"/>
      <c r="Z3" s="167"/>
      <c r="AA3" s="167"/>
      <c r="AB3" s="167"/>
      <c r="AC3" s="167"/>
      <c r="AD3" s="171" t="s">
        <v>107</v>
      </c>
      <c r="AE3" s="169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72" t="s">
        <v>114</v>
      </c>
      <c r="AR3" s="173"/>
      <c r="AS3" s="173"/>
      <c r="AT3" s="173"/>
      <c r="AU3" s="174"/>
      <c r="AV3" s="173"/>
      <c r="AW3" s="173"/>
      <c r="AX3" s="175"/>
      <c r="AY3" s="173"/>
      <c r="AZ3" s="172" t="s">
        <v>116</v>
      </c>
      <c r="BA3" s="173"/>
      <c r="BB3" s="173"/>
      <c r="BC3" s="176"/>
      <c r="BD3" s="173"/>
      <c r="BE3" s="173" t="s">
        <v>117</v>
      </c>
      <c r="BF3" s="173"/>
      <c r="BG3" s="173"/>
      <c r="BH3" s="177" t="s">
        <v>181</v>
      </c>
    </row>
    <row r="4" s="10" customFormat="1" ht="60" spans="1:60">
      <c r="A4" s="178" t="s">
        <v>118</v>
      </c>
      <c r="B4" s="179" t="s">
        <v>119</v>
      </c>
      <c r="C4" s="179" t="s">
        <v>120</v>
      </c>
      <c r="D4" s="179" t="s">
        <v>121</v>
      </c>
      <c r="E4" s="180" t="s">
        <v>122</v>
      </c>
      <c r="F4" s="181" t="s">
        <v>123</v>
      </c>
      <c r="G4" s="180" t="s">
        <v>124</v>
      </c>
      <c r="H4" s="182" t="s">
        <v>125</v>
      </c>
      <c r="I4" s="180" t="s">
        <v>126</v>
      </c>
      <c r="J4" s="180" t="s">
        <v>127</v>
      </c>
      <c r="K4" s="180" t="s">
        <v>128</v>
      </c>
      <c r="L4" s="180" t="s">
        <v>129</v>
      </c>
      <c r="M4" s="180" t="s">
        <v>130</v>
      </c>
      <c r="N4" s="183" t="s">
        <v>131</v>
      </c>
      <c r="O4" s="179" t="s">
        <v>132</v>
      </c>
      <c r="P4" s="180" t="s">
        <v>133</v>
      </c>
      <c r="Q4" s="180" t="s">
        <v>134</v>
      </c>
      <c r="R4" s="180" t="s">
        <v>77</v>
      </c>
      <c r="S4" s="180" t="s">
        <v>135</v>
      </c>
      <c r="T4" s="178" t="s">
        <v>136</v>
      </c>
      <c r="U4" s="178" t="s">
        <v>137</v>
      </c>
      <c r="V4" s="178" t="s">
        <v>138</v>
      </c>
      <c r="W4" s="184" t="s">
        <v>139</v>
      </c>
      <c r="X4" s="179" t="s">
        <v>140</v>
      </c>
      <c r="Y4" s="180" t="s">
        <v>141</v>
      </c>
      <c r="Z4" s="180" t="s">
        <v>182</v>
      </c>
      <c r="AA4" s="180" t="s">
        <v>183</v>
      </c>
      <c r="AB4" s="180" t="s">
        <v>184</v>
      </c>
      <c r="AC4" s="180" t="s">
        <v>185</v>
      </c>
      <c r="AD4" s="180" t="s">
        <v>142</v>
      </c>
      <c r="AE4" s="181" t="s">
        <v>85</v>
      </c>
      <c r="AF4" s="181" t="s">
        <v>143</v>
      </c>
      <c r="AG4" s="181" t="s">
        <v>144</v>
      </c>
      <c r="AH4" s="180" t="s">
        <v>145</v>
      </c>
      <c r="AI4" s="180" t="s">
        <v>146</v>
      </c>
      <c r="AJ4" s="185" t="s">
        <v>510</v>
      </c>
      <c r="AK4" s="185" t="s">
        <v>511</v>
      </c>
      <c r="AL4" s="185" t="s">
        <v>512</v>
      </c>
      <c r="AM4" s="180"/>
      <c r="AN4" s="180"/>
      <c r="AO4" s="180"/>
      <c r="AP4" s="186" t="s">
        <v>147</v>
      </c>
      <c r="AQ4" s="177" t="s">
        <v>161</v>
      </c>
      <c r="AR4" s="177" t="s">
        <v>162</v>
      </c>
      <c r="AS4" s="177" t="s">
        <v>163</v>
      </c>
      <c r="AT4" s="187" t="s">
        <v>164</v>
      </c>
      <c r="AU4" s="188" t="s">
        <v>165</v>
      </c>
      <c r="AV4" s="177" t="s">
        <v>140</v>
      </c>
      <c r="AW4" s="177" t="s">
        <v>166</v>
      </c>
      <c r="AX4" s="177" t="s">
        <v>155</v>
      </c>
      <c r="AY4" s="189" t="s">
        <v>156</v>
      </c>
      <c r="AZ4" s="177" t="s">
        <v>169</v>
      </c>
      <c r="BA4" s="177" t="s">
        <v>171</v>
      </c>
      <c r="BB4" s="177" t="s">
        <v>173</v>
      </c>
      <c r="BC4" s="190" t="s">
        <v>174</v>
      </c>
      <c r="BD4" s="189" t="s">
        <v>175</v>
      </c>
      <c r="BE4" s="177" t="s">
        <v>176</v>
      </c>
      <c r="BF4" s="177" t="s">
        <v>155</v>
      </c>
      <c r="BG4" s="189" t="s">
        <v>156</v>
      </c>
      <c r="BH4" s="191"/>
    </row>
    <row r="5" spans="1:60">
      <c r="A5" s="192" t="s">
        <v>513</v>
      </c>
      <c r="B5" s="3">
        <f>COUNTIF(A:A,A5)</f>
        <v>2</v>
      </c>
      <c r="C5" s="3">
        <v>1</v>
      </c>
      <c r="D5" s="193"/>
      <c r="E5" s="192"/>
      <c r="F5" s="3">
        <v>202510</v>
      </c>
      <c r="G5" s="192" t="s">
        <v>416</v>
      </c>
      <c r="H5" s="192" t="s">
        <v>514</v>
      </c>
      <c r="I5" s="192" t="s">
        <v>515</v>
      </c>
      <c r="J5" s="192" t="s">
        <v>97</v>
      </c>
      <c r="K5" s="192"/>
      <c r="L5" s="192" t="s">
        <v>516</v>
      </c>
      <c r="M5" s="192"/>
      <c r="N5" s="192" t="s">
        <v>517</v>
      </c>
      <c r="O5" s="192">
        <v>5</v>
      </c>
      <c r="P5" s="192" t="s">
        <v>193</v>
      </c>
      <c r="Q5" s="192">
        <v>290</v>
      </c>
      <c r="R5" s="192" t="s">
        <v>518</v>
      </c>
      <c r="S5" s="192"/>
      <c r="T5" s="192"/>
      <c r="U5" s="192"/>
      <c r="V5" s="192"/>
      <c r="W5" s="192" t="s">
        <v>519</v>
      </c>
      <c r="X5" s="192" t="s">
        <v>520</v>
      </c>
      <c r="Y5" s="192" t="s">
        <v>199</v>
      </c>
      <c r="Z5" s="192" t="s">
        <v>521</v>
      </c>
      <c r="AA5" s="192" t="s">
        <v>522</v>
      </c>
      <c r="AB5" s="192" t="s">
        <v>199</v>
      </c>
      <c r="AC5" s="192" t="s">
        <v>513</v>
      </c>
      <c r="AD5" s="192"/>
      <c r="AE5" s="4"/>
      <c r="AF5" s="3"/>
      <c r="AG5" s="3"/>
      <c r="AH5" s="193"/>
      <c r="AI5" s="192"/>
      <c r="AJ5" s="192">
        <v>2</v>
      </c>
      <c r="AK5" s="192" t="s">
        <v>523</v>
      </c>
      <c r="AL5" s="192">
        <v>298.4</v>
      </c>
      <c r="AM5" s="192">
        <v>0</v>
      </c>
      <c r="AN5" s="192"/>
      <c r="AO5" s="192">
        <v>0</v>
      </c>
      <c r="AP5" s="3">
        <f>AL5*AJ5</f>
        <v>596.8</v>
      </c>
      <c r="AQ5" s="3">
        <v>1</v>
      </c>
      <c r="AR5" s="3">
        <f>AP5</f>
        <v>596.8</v>
      </c>
      <c r="AS5" s="3"/>
      <c r="AT5" s="3">
        <v>50</v>
      </c>
      <c r="AU5" s="76" t="str">
        <f>W5</f>
        <v>40670</v>
      </c>
      <c r="AV5" s="3" t="str">
        <f>X5</f>
        <v>Meerbusch</v>
      </c>
      <c r="AW5" s="194" t="str">
        <f>Y5</f>
        <v>DE</v>
      </c>
      <c r="AX5" s="194">
        <v>264</v>
      </c>
      <c r="AY5" s="194">
        <f>AQ5*AX5</f>
        <v>264</v>
      </c>
      <c r="AZ5" s="194"/>
      <c r="BA5" s="194"/>
      <c r="BB5" s="194"/>
      <c r="BC5" s="194"/>
      <c r="BD5" s="194"/>
      <c r="BE5" s="195"/>
      <c r="BF5" s="194"/>
      <c r="BG5" s="194"/>
      <c r="BH5" s="196">
        <f>AY5+BD5+BG5</f>
        <v>264</v>
      </c>
    </row>
    <row r="6" spans="1:60">
      <c r="A6" s="192" t="s">
        <v>513</v>
      </c>
      <c r="B6" s="3">
        <f>COUNTIF(A:A,A6)</f>
        <v>2</v>
      </c>
      <c r="C6" s="3">
        <v>0</v>
      </c>
      <c r="D6" s="193"/>
      <c r="E6" s="192"/>
      <c r="F6" s="3">
        <v>202510</v>
      </c>
      <c r="G6" s="192" t="s">
        <v>416</v>
      </c>
      <c r="H6" s="192" t="s">
        <v>514</v>
      </c>
      <c r="I6" s="192" t="s">
        <v>515</v>
      </c>
      <c r="J6" s="192" t="s">
        <v>97</v>
      </c>
      <c r="K6" s="192"/>
      <c r="L6" s="192" t="s">
        <v>516</v>
      </c>
      <c r="M6" s="192"/>
      <c r="N6" s="192" t="s">
        <v>517</v>
      </c>
      <c r="O6" s="192">
        <v>5</v>
      </c>
      <c r="P6" s="192" t="s">
        <v>193</v>
      </c>
      <c r="Q6" s="192">
        <v>290</v>
      </c>
      <c r="R6" s="192" t="s">
        <v>518</v>
      </c>
      <c r="S6" s="192"/>
      <c r="T6" s="192"/>
      <c r="U6" s="192"/>
      <c r="V6" s="192"/>
      <c r="W6" s="192" t="s">
        <v>519</v>
      </c>
      <c r="X6" s="192" t="s">
        <v>520</v>
      </c>
      <c r="Y6" s="192" t="s">
        <v>199</v>
      </c>
      <c r="Z6" s="192" t="s">
        <v>521</v>
      </c>
      <c r="AA6" s="192" t="s">
        <v>522</v>
      </c>
      <c r="AB6" s="192" t="s">
        <v>199</v>
      </c>
      <c r="AC6" s="192" t="s">
        <v>513</v>
      </c>
      <c r="AD6" s="192"/>
      <c r="AE6" s="4"/>
      <c r="AF6" s="3"/>
      <c r="AG6" s="3"/>
      <c r="AH6" s="193"/>
      <c r="AI6" s="192"/>
      <c r="AJ6" s="192">
        <v>3</v>
      </c>
      <c r="AK6" s="192" t="s">
        <v>523</v>
      </c>
      <c r="AL6" s="192">
        <v>283.1</v>
      </c>
      <c r="AM6" s="192">
        <v>0</v>
      </c>
      <c r="AN6" s="192"/>
      <c r="AO6" s="192">
        <v>0</v>
      </c>
      <c r="AP6" s="3">
        <f>AL6*AJ6</f>
        <v>849.3</v>
      </c>
      <c r="AQ6" s="3">
        <v>0</v>
      </c>
      <c r="AR6" s="3">
        <f>AP6</f>
        <v>849.3</v>
      </c>
      <c r="AS6" s="3"/>
      <c r="AT6" s="3">
        <v>50</v>
      </c>
      <c r="AU6" s="76" t="str">
        <f>W6</f>
        <v>40670</v>
      </c>
      <c r="AV6" s="3" t="str">
        <f>X6</f>
        <v>Meerbusch</v>
      </c>
      <c r="AW6" s="194" t="str">
        <f>Y6</f>
        <v>DE</v>
      </c>
      <c r="AX6" s="194"/>
      <c r="AY6" s="194"/>
      <c r="AZ6" s="194"/>
      <c r="BA6" s="194"/>
      <c r="BB6" s="194"/>
      <c r="BC6" s="194"/>
      <c r="BD6" s="194"/>
      <c r="BE6" s="195"/>
      <c r="BF6" s="194"/>
      <c r="BG6" s="194"/>
      <c r="BH6" s="196">
        <f>AY6+BD6+BG6</f>
        <v>0</v>
      </c>
    </row>
  </sheetData>
  <autoFilter xmlns:etc="http://www.wps.cn/officeDocument/2017/etCustomData" ref="A4:BH6" etc:filterBottomFollowUsedRange="0">
    <extLst/>
  </autoFilter>
  <mergeCells count="8">
    <mergeCell ref="A1:AD1"/>
    <mergeCell ref="AQ2:BH2"/>
    <mergeCell ref="A3:Y3"/>
    <mergeCell ref="AD3:AI3"/>
    <mergeCell ref="AQ3:AY3"/>
    <mergeCell ref="AZ3:BD3"/>
    <mergeCell ref="BE3:BG3"/>
    <mergeCell ref="BH3:BH4"/>
  </mergeCells>
  <conditionalFormatting sqref="A1:A4 B4:C4 B1:C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60"/>
  <sheetViews>
    <sheetView zoomScale="85" zoomScaleNormal="85" workbookViewId="0">
      <pane xSplit="4" ySplit="5" topLeftCell="I153" activePane="bottomRight" state="frozen"/>
      <selection/>
      <selection pane="topRight"/>
      <selection pane="bottomLeft"/>
      <selection pane="bottomRight" activeCell="AP1" sqref="AP1"/>
    </sheetView>
  </sheetViews>
  <sheetFormatPr defaultColWidth="8.8" defaultRowHeight="14.25"/>
  <cols>
    <col min="2" max="2" width="9.075"/>
    <col min="3" max="3" width="8.8" hidden="1" outlineLevel="1"/>
    <col min="4" max="4" width="14.125" customWidth="1" collapsed="1"/>
    <col min="5" max="5" width="8.8" hidden="1" outlineLevel="1"/>
    <col min="6" max="6" width="21.175" customWidth="1" collapsed="1"/>
    <col min="7" max="7" width="14.275" customWidth="1"/>
    <col min="8" max="8" width="9.075"/>
    <col min="9" max="9" width="21.7666666666667" customWidth="1"/>
    <col min="13" max="15" width="8.8" hidden="1" outlineLevel="1"/>
    <col min="16" max="16" width="12.6916666666667" hidden="1" outlineLevel="1"/>
    <col min="17" max="20" width="8.8" hidden="1" outlineLevel="1"/>
    <col min="21" max="21" width="12.6916666666667" hidden="1" outlineLevel="1"/>
    <col min="22" max="26" width="8.8" hidden="1" outlineLevel="1"/>
    <col min="27" max="27" width="8.8" collapsed="1"/>
    <col min="30" max="30" width="9.71666666666667" customWidth="1"/>
    <col min="32" max="32" width="5.89166666666667" customWidth="1"/>
    <col min="33" max="33" width="6.475" customWidth="1"/>
    <col min="34" max="34" width="8.39166666666667" customWidth="1"/>
    <col min="36" max="36" width="8.8" style="86"/>
    <col min="38" max="38" width="8.9"/>
    <col min="39" max="39" width="11.9916666666667" customWidth="1"/>
    <col min="40" max="40" width="10.0083333333333" customWidth="1"/>
    <col min="42" max="42" width="10.5"/>
  </cols>
  <sheetData>
    <row r="1" ht="15" spans="1:43">
      <c r="A1" s="87"/>
      <c r="B1" s="88"/>
      <c r="C1" s="87"/>
      <c r="D1" s="87"/>
      <c r="E1" s="87"/>
      <c r="F1" s="87"/>
      <c r="G1" s="87"/>
      <c r="H1" s="89"/>
      <c r="I1" s="90"/>
      <c r="J1" s="90"/>
      <c r="K1" s="90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91"/>
      <c r="AK1" s="87"/>
      <c r="AL1" s="87"/>
      <c r="AM1" s="87"/>
      <c r="AN1" s="87"/>
      <c r="AO1" s="87"/>
      <c r="AP1" s="92">
        <f>SUM(AP6:AP160)</f>
        <v>829.1094784</v>
      </c>
      <c r="AQ1" s="87"/>
    </row>
    <row r="2" spans="1:43">
      <c r="A2" s="93" t="s">
        <v>524</v>
      </c>
      <c r="B2" s="94"/>
      <c r="C2" s="93" t="s">
        <v>525</v>
      </c>
      <c r="D2" s="95"/>
      <c r="E2" s="95"/>
      <c r="F2" s="95"/>
      <c r="G2" s="95"/>
      <c r="H2" s="95"/>
      <c r="I2" s="96" t="s">
        <v>526</v>
      </c>
      <c r="J2" s="97"/>
      <c r="K2" s="97"/>
      <c r="L2" s="95"/>
      <c r="M2" s="95"/>
      <c r="N2" s="95"/>
      <c r="O2" s="95"/>
      <c r="P2" s="95"/>
      <c r="Q2" s="98" t="s">
        <v>527</v>
      </c>
      <c r="R2" s="98"/>
      <c r="S2" s="98"/>
      <c r="T2" s="98"/>
      <c r="U2" s="98"/>
      <c r="V2" s="98" t="s">
        <v>528</v>
      </c>
      <c r="W2" s="98"/>
      <c r="X2" s="98"/>
      <c r="Y2" s="98"/>
      <c r="Z2" s="98"/>
      <c r="AA2" s="93" t="s">
        <v>529</v>
      </c>
      <c r="AB2" s="95"/>
      <c r="AC2" s="95"/>
      <c r="AD2" s="95"/>
      <c r="AE2" s="93" t="s">
        <v>530</v>
      </c>
      <c r="AF2" s="93"/>
      <c r="AG2" s="95"/>
      <c r="AH2" s="95"/>
      <c r="AI2" s="95"/>
      <c r="AJ2" s="99" t="s">
        <v>531</v>
      </c>
      <c r="AK2" s="95"/>
      <c r="AL2" s="95"/>
      <c r="AM2" s="95"/>
      <c r="AN2" s="95"/>
      <c r="AO2" s="95"/>
      <c r="AP2" s="95"/>
      <c r="AQ2" s="98" t="s">
        <v>9</v>
      </c>
    </row>
    <row r="3" ht="25.5" spans="1:43">
      <c r="A3" s="100" t="s">
        <v>123</v>
      </c>
      <c r="B3" s="101" t="s">
        <v>532</v>
      </c>
      <c r="C3" s="100" t="s">
        <v>533</v>
      </c>
      <c r="D3" s="100" t="s">
        <v>534</v>
      </c>
      <c r="E3" s="102" t="s">
        <v>535</v>
      </c>
      <c r="F3" s="100" t="s">
        <v>536</v>
      </c>
      <c r="G3" s="102" t="s">
        <v>537</v>
      </c>
      <c r="H3" s="103" t="s">
        <v>538</v>
      </c>
      <c r="I3" s="104" t="s">
        <v>539</v>
      </c>
      <c r="J3" s="104" t="s">
        <v>540</v>
      </c>
      <c r="K3" s="104" t="s">
        <v>541</v>
      </c>
      <c r="L3" s="100" t="s">
        <v>542</v>
      </c>
      <c r="M3" s="100" t="s">
        <v>543</v>
      </c>
      <c r="N3" s="100" t="s">
        <v>544</v>
      </c>
      <c r="O3" s="100" t="s">
        <v>545</v>
      </c>
      <c r="P3" s="105" t="s">
        <v>546</v>
      </c>
      <c r="Q3" s="102" t="s">
        <v>547</v>
      </c>
      <c r="R3" s="100" t="s">
        <v>543</v>
      </c>
      <c r="S3" s="100" t="s">
        <v>544</v>
      </c>
      <c r="T3" s="100" t="s">
        <v>545</v>
      </c>
      <c r="U3" s="102" t="s">
        <v>548</v>
      </c>
      <c r="V3" s="102" t="s">
        <v>549</v>
      </c>
      <c r="W3" s="100" t="s">
        <v>543</v>
      </c>
      <c r="X3" s="100" t="s">
        <v>544</v>
      </c>
      <c r="Y3" s="100" t="s">
        <v>545</v>
      </c>
      <c r="Z3" s="102" t="s">
        <v>550</v>
      </c>
      <c r="AA3" s="100" t="s">
        <v>551</v>
      </c>
      <c r="AB3" s="100" t="s">
        <v>88</v>
      </c>
      <c r="AC3" s="106" t="s">
        <v>552</v>
      </c>
      <c r="AD3" s="102" t="s">
        <v>80</v>
      </c>
      <c r="AE3" s="100" t="s">
        <v>553</v>
      </c>
      <c r="AF3" s="100" t="s">
        <v>554</v>
      </c>
      <c r="AG3" s="93" t="s">
        <v>555</v>
      </c>
      <c r="AH3" s="100" t="s">
        <v>556</v>
      </c>
      <c r="AI3" s="107" t="s">
        <v>557</v>
      </c>
      <c r="AJ3" s="108" t="s">
        <v>558</v>
      </c>
      <c r="AK3" s="100" t="s">
        <v>559</v>
      </c>
      <c r="AL3" s="100" t="s">
        <v>560</v>
      </c>
      <c r="AM3" s="100" t="s">
        <v>561</v>
      </c>
      <c r="AN3" s="100" t="s">
        <v>562</v>
      </c>
      <c r="AO3" s="100" t="s">
        <v>563</v>
      </c>
      <c r="AP3" s="109" t="s">
        <v>564</v>
      </c>
      <c r="AQ3" s="95"/>
    </row>
    <row r="4" ht="25.5" spans="1:43">
      <c r="A4" s="110" t="s">
        <v>565</v>
      </c>
      <c r="B4" s="111" t="s">
        <v>565</v>
      </c>
      <c r="C4" s="110" t="s">
        <v>565</v>
      </c>
      <c r="D4" s="110" t="s">
        <v>565</v>
      </c>
      <c r="E4" s="110" t="s">
        <v>565</v>
      </c>
      <c r="F4" s="110" t="s">
        <v>565</v>
      </c>
      <c r="G4" s="110" t="s">
        <v>565</v>
      </c>
      <c r="H4" s="112" t="s">
        <v>565</v>
      </c>
      <c r="I4" s="113" t="s">
        <v>565</v>
      </c>
      <c r="J4" s="113" t="s">
        <v>565</v>
      </c>
      <c r="K4" s="113" t="s">
        <v>565</v>
      </c>
      <c r="L4" s="110"/>
      <c r="M4" s="110" t="s">
        <v>566</v>
      </c>
      <c r="N4" s="110" t="s">
        <v>566</v>
      </c>
      <c r="O4" s="110" t="s">
        <v>566</v>
      </c>
      <c r="P4" s="114" t="s">
        <v>567</v>
      </c>
      <c r="Q4" s="110" t="s">
        <v>568</v>
      </c>
      <c r="R4" s="110" t="s">
        <v>566</v>
      </c>
      <c r="S4" s="110" t="s">
        <v>566</v>
      </c>
      <c r="T4" s="110" t="s">
        <v>566</v>
      </c>
      <c r="U4" s="110" t="s">
        <v>567</v>
      </c>
      <c r="V4" s="110" t="s">
        <v>569</v>
      </c>
      <c r="W4" s="110" t="s">
        <v>566</v>
      </c>
      <c r="X4" s="110" t="s">
        <v>566</v>
      </c>
      <c r="Y4" s="110" t="s">
        <v>566</v>
      </c>
      <c r="Z4" s="110" t="s">
        <v>567</v>
      </c>
      <c r="AA4" s="100" t="s">
        <v>570</v>
      </c>
      <c r="AB4" s="102" t="s">
        <v>571</v>
      </c>
      <c r="AC4" s="106" t="s">
        <v>572</v>
      </c>
      <c r="AD4" s="110"/>
      <c r="AE4" s="100" t="s">
        <v>572</v>
      </c>
      <c r="AF4" s="100" t="s">
        <v>572</v>
      </c>
      <c r="AG4" s="100" t="s">
        <v>572</v>
      </c>
      <c r="AH4" s="100" t="s">
        <v>572</v>
      </c>
      <c r="AI4" s="115" t="s">
        <v>573</v>
      </c>
      <c r="AJ4" s="116" t="s">
        <v>567</v>
      </c>
      <c r="AK4" s="110" t="s">
        <v>567</v>
      </c>
      <c r="AL4" s="100" t="s">
        <v>574</v>
      </c>
      <c r="AM4" s="100" t="s">
        <v>574</v>
      </c>
      <c r="AN4" s="110" t="s">
        <v>565</v>
      </c>
      <c r="AO4" s="110" t="s">
        <v>575</v>
      </c>
      <c r="AP4" s="117" t="s">
        <v>575</v>
      </c>
      <c r="AQ4" s="95"/>
    </row>
    <row r="5" ht="25.5" spans="1:43">
      <c r="A5" s="110" t="s">
        <v>576</v>
      </c>
      <c r="B5" s="111" t="s">
        <v>577</v>
      </c>
      <c r="C5" s="110" t="s">
        <v>578</v>
      </c>
      <c r="D5" s="110" t="s">
        <v>579</v>
      </c>
      <c r="E5" s="110" t="s">
        <v>580</v>
      </c>
      <c r="F5" s="110" t="s">
        <v>581</v>
      </c>
      <c r="G5" s="110" t="s">
        <v>582</v>
      </c>
      <c r="H5" s="112" t="s">
        <v>583</v>
      </c>
      <c r="I5" s="118" t="s">
        <v>584</v>
      </c>
      <c r="J5" s="113" t="s">
        <v>585</v>
      </c>
      <c r="K5" s="113" t="s">
        <v>586</v>
      </c>
      <c r="L5" s="110" t="s">
        <v>587</v>
      </c>
      <c r="M5" s="110" t="s">
        <v>588</v>
      </c>
      <c r="N5" s="110" t="s">
        <v>589</v>
      </c>
      <c r="O5" s="110" t="s">
        <v>590</v>
      </c>
      <c r="P5" s="114" t="s">
        <v>591</v>
      </c>
      <c r="Q5" s="110" t="s">
        <v>592</v>
      </c>
      <c r="R5" s="110" t="s">
        <v>588</v>
      </c>
      <c r="S5" s="110" t="s">
        <v>589</v>
      </c>
      <c r="T5" s="110" t="s">
        <v>590</v>
      </c>
      <c r="U5" s="110" t="s">
        <v>593</v>
      </c>
      <c r="V5" s="110" t="s">
        <v>594</v>
      </c>
      <c r="W5" s="110" t="s">
        <v>588</v>
      </c>
      <c r="X5" s="110" t="s">
        <v>589</v>
      </c>
      <c r="Y5" s="110" t="s">
        <v>590</v>
      </c>
      <c r="Z5" s="110" t="s">
        <v>595</v>
      </c>
      <c r="AA5" s="110" t="s">
        <v>596</v>
      </c>
      <c r="AB5" s="110" t="s">
        <v>597</v>
      </c>
      <c r="AC5" s="119" t="s">
        <v>598</v>
      </c>
      <c r="AD5" s="110" t="s">
        <v>599</v>
      </c>
      <c r="AE5" s="110" t="s">
        <v>600</v>
      </c>
      <c r="AF5" s="110" t="s">
        <v>601</v>
      </c>
      <c r="AG5" s="110" t="s">
        <v>602</v>
      </c>
      <c r="AH5" s="110" t="s">
        <v>603</v>
      </c>
      <c r="AI5" s="115" t="s">
        <v>604</v>
      </c>
      <c r="AJ5" s="116" t="s">
        <v>605</v>
      </c>
      <c r="AK5" s="110" t="s">
        <v>606</v>
      </c>
      <c r="AL5" s="110" t="s">
        <v>607</v>
      </c>
      <c r="AM5" s="110" t="s">
        <v>608</v>
      </c>
      <c r="AN5" s="110" t="s">
        <v>609</v>
      </c>
      <c r="AO5" s="110" t="s">
        <v>610</v>
      </c>
      <c r="AP5" s="117" t="s">
        <v>611</v>
      </c>
      <c r="AQ5" s="95" t="s">
        <v>612</v>
      </c>
    </row>
    <row r="6" spans="1:43">
      <c r="A6" s="80">
        <v>202510</v>
      </c>
      <c r="B6" s="120">
        <v>45931</v>
      </c>
      <c r="C6" s="80" t="s">
        <v>613</v>
      </c>
      <c r="D6" s="10" t="s">
        <v>614</v>
      </c>
      <c r="E6" s="10" t="s">
        <v>97</v>
      </c>
      <c r="F6" s="10" t="s">
        <v>615</v>
      </c>
      <c r="G6" s="10" t="s">
        <v>616</v>
      </c>
      <c r="H6" s="121">
        <v>45889</v>
      </c>
      <c r="I6" s="10" t="s">
        <v>200</v>
      </c>
      <c r="J6" s="10"/>
      <c r="K6" s="122" t="str">
        <f>VLOOKUP(I6,物品明细!A:B,2,0)</f>
        <v>金属储物柜71英寸银色</v>
      </c>
      <c r="L6" s="80"/>
      <c r="M6" s="123">
        <f>VLOOKUP(I6,物品明细!A:E,5,0)</f>
        <v>188</v>
      </c>
      <c r="N6" s="123">
        <f>VLOOKUP(I6,物品明细!A:F,6,0)</f>
        <v>49</v>
      </c>
      <c r="O6" s="123">
        <f>VLOOKUP(I6,物品明细!A:G,7,0)</f>
        <v>14</v>
      </c>
      <c r="P6" s="80">
        <f t="shared" ref="P6:P69" si="0">M6*N6*O6/1000000</f>
        <v>0.128968</v>
      </c>
      <c r="Q6" s="80"/>
      <c r="R6" s="123">
        <f>VLOOKUP(I6,物品明细!A:E,5,0)</f>
        <v>188</v>
      </c>
      <c r="S6" s="123">
        <f>VLOOKUP(I6,物品明细!A:F,6,0)</f>
        <v>49</v>
      </c>
      <c r="T6" s="123">
        <f>VLOOKUP(I6,物品明细!A:G,7,0)</f>
        <v>14</v>
      </c>
      <c r="U6" s="80">
        <f t="shared" ref="U6:U69" si="1">R6*S6*T6/1000000</f>
        <v>0.128968</v>
      </c>
      <c r="V6" s="80"/>
      <c r="W6" s="80"/>
      <c r="X6" s="80"/>
      <c r="Y6" s="80"/>
      <c r="Z6" s="80"/>
      <c r="AA6" s="124">
        <v>21</v>
      </c>
      <c r="AB6" s="124">
        <v>247</v>
      </c>
      <c r="AC6" s="124">
        <v>247</v>
      </c>
      <c r="AD6" s="80">
        <v>0</v>
      </c>
      <c r="AE6" s="125">
        <v>108</v>
      </c>
      <c r="AF6" s="126"/>
      <c r="AG6" s="127">
        <v>1</v>
      </c>
      <c r="AH6" s="128">
        <f t="shared" ref="AH6:AH69" si="2">AE6+AF6-AG6</f>
        <v>107</v>
      </c>
      <c r="AI6" s="80" t="s">
        <v>568</v>
      </c>
      <c r="AJ6" s="129">
        <f t="shared" ref="AJ6:AJ69" si="3">AH6*P6</f>
        <v>13.799576</v>
      </c>
      <c r="AK6" s="129">
        <f t="shared" ref="AK6:AK69" si="4">AJ6</f>
        <v>13.799576</v>
      </c>
      <c r="AL6" s="80">
        <f t="shared" ref="AL6:AL69" si="5">B6-H6+1</f>
        <v>43</v>
      </c>
      <c r="AM6" s="80" t="str">
        <f>IF(AL6&lt;=30,"30天内",IF(AL6&lt;=90,"31-90天","91天以上"))</f>
        <v>31-90天</v>
      </c>
      <c r="AN6" s="81">
        <v>0.7</v>
      </c>
      <c r="AO6" s="80" t="s">
        <v>575</v>
      </c>
      <c r="AP6" s="130">
        <f t="shared" ref="AP6:AP69" si="6">AK6*AN6</f>
        <v>9.6597032</v>
      </c>
      <c r="AQ6" s="95"/>
    </row>
    <row r="7" spans="1:43">
      <c r="A7" s="80">
        <v>202510</v>
      </c>
      <c r="B7" s="131">
        <v>45932</v>
      </c>
      <c r="C7" s="80" t="s">
        <v>613</v>
      </c>
      <c r="D7" s="3" t="str">
        <f t="shared" ref="D7:I7" si="7">D6</f>
        <v>M » N2 - 1</v>
      </c>
      <c r="E7" s="80" t="str">
        <f t="shared" si="7"/>
        <v>YCD-EX:HUPPER TEK</v>
      </c>
      <c r="F7" s="80" t="str">
        <f t="shared" si="7"/>
        <v>MI202508130012</v>
      </c>
      <c r="G7" s="80" t="str">
        <f t="shared" si="7"/>
        <v>DE2508031-G7-MIC</v>
      </c>
      <c r="H7" s="132">
        <f t="shared" si="7"/>
        <v>45889</v>
      </c>
      <c r="I7" s="133" t="str">
        <f t="shared" si="7"/>
        <v>B07BK8W5MF</v>
      </c>
      <c r="J7" s="80"/>
      <c r="K7" s="134" t="str">
        <f t="shared" ref="K7:K36" si="8">K6</f>
        <v>金属储物柜71英寸银色</v>
      </c>
      <c r="L7" s="80"/>
      <c r="M7" s="123">
        <f t="shared" ref="M7:M36" si="9">M6</f>
        <v>188</v>
      </c>
      <c r="N7" s="123">
        <f t="shared" ref="N7:N36" si="10">N6</f>
        <v>49</v>
      </c>
      <c r="O7" s="123">
        <f t="shared" ref="O7:O36" si="11">O6</f>
        <v>14</v>
      </c>
      <c r="P7" s="80">
        <f t="shared" si="0"/>
        <v>0.128968</v>
      </c>
      <c r="Q7" s="80"/>
      <c r="R7" s="123">
        <f t="shared" ref="R7:R36" si="12">R6</f>
        <v>188</v>
      </c>
      <c r="S7" s="123">
        <f t="shared" ref="S7:S36" si="13">S6</f>
        <v>49</v>
      </c>
      <c r="T7" s="123">
        <f t="shared" ref="T7:T36" si="14">T6</f>
        <v>14</v>
      </c>
      <c r="U7" s="80">
        <f t="shared" si="1"/>
        <v>0.128968</v>
      </c>
      <c r="V7" s="80"/>
      <c r="W7" s="80"/>
      <c r="X7" s="80"/>
      <c r="Y7" s="80"/>
      <c r="Z7" s="80"/>
      <c r="AA7" s="80">
        <f t="shared" ref="AA7:AA36" si="15">AA6</f>
        <v>21</v>
      </c>
      <c r="AB7" s="80">
        <f t="shared" ref="AB7:AB36" si="16">AB6</f>
        <v>247</v>
      </c>
      <c r="AC7" s="80">
        <f t="shared" ref="AC7:AC36" si="17">AC6</f>
        <v>247</v>
      </c>
      <c r="AD7" s="80">
        <v>0</v>
      </c>
      <c r="AE7" s="126">
        <f t="shared" ref="AE7:AE36" si="18">AH6</f>
        <v>107</v>
      </c>
      <c r="AF7" s="126"/>
      <c r="AG7" s="135"/>
      <c r="AH7" s="128">
        <f t="shared" si="2"/>
        <v>107</v>
      </c>
      <c r="AI7" s="80" t="s">
        <v>568</v>
      </c>
      <c r="AJ7" s="129">
        <f t="shared" si="3"/>
        <v>13.799576</v>
      </c>
      <c r="AK7" s="129">
        <f t="shared" si="4"/>
        <v>13.799576</v>
      </c>
      <c r="AL7" s="80">
        <f t="shared" si="5"/>
        <v>44</v>
      </c>
      <c r="AM7" s="80" t="str">
        <f t="shared" ref="AM7:AM38" si="19">IF(AL7&lt;=30,"30天内",IF(AL7&lt;=90,"31-90天","91天以上"))</f>
        <v>31-90天</v>
      </c>
      <c r="AN7" s="81">
        <v>0.7</v>
      </c>
      <c r="AO7" s="80" t="s">
        <v>575</v>
      </c>
      <c r="AP7" s="130">
        <f t="shared" si="6"/>
        <v>9.6597032</v>
      </c>
      <c r="AQ7" s="95"/>
    </row>
    <row r="8" spans="1:43">
      <c r="A8" s="80">
        <v>202510</v>
      </c>
      <c r="B8" s="131">
        <v>45933</v>
      </c>
      <c r="C8" s="80" t="s">
        <v>613</v>
      </c>
      <c r="D8" s="80" t="str">
        <f t="shared" ref="D8:I8" si="20">D7</f>
        <v>M » N2 - 1</v>
      </c>
      <c r="E8" s="80" t="str">
        <f t="shared" si="20"/>
        <v>YCD-EX:HUPPER TEK</v>
      </c>
      <c r="F8" s="80" t="str">
        <f t="shared" si="20"/>
        <v>MI202508130012</v>
      </c>
      <c r="G8" s="80" t="str">
        <f t="shared" si="20"/>
        <v>DE2508031-G7-MIC</v>
      </c>
      <c r="H8" s="132">
        <f t="shared" si="20"/>
        <v>45889</v>
      </c>
      <c r="I8" s="133" t="str">
        <f t="shared" si="20"/>
        <v>B07BK8W5MF</v>
      </c>
      <c r="J8" s="80"/>
      <c r="K8" s="134" t="str">
        <f t="shared" si="8"/>
        <v>金属储物柜71英寸银色</v>
      </c>
      <c r="L8" s="80"/>
      <c r="M8" s="123">
        <f t="shared" si="9"/>
        <v>188</v>
      </c>
      <c r="N8" s="123">
        <f t="shared" si="10"/>
        <v>49</v>
      </c>
      <c r="O8" s="123">
        <f t="shared" si="11"/>
        <v>14</v>
      </c>
      <c r="P8" s="80">
        <f t="shared" si="0"/>
        <v>0.128968</v>
      </c>
      <c r="Q8" s="80"/>
      <c r="R8" s="123">
        <f t="shared" si="12"/>
        <v>188</v>
      </c>
      <c r="S8" s="123">
        <f t="shared" si="13"/>
        <v>49</v>
      </c>
      <c r="T8" s="123">
        <f t="shared" si="14"/>
        <v>14</v>
      </c>
      <c r="U8" s="80">
        <f t="shared" si="1"/>
        <v>0.128968</v>
      </c>
      <c r="V8" s="80"/>
      <c r="W8" s="80"/>
      <c r="X8" s="80"/>
      <c r="Y8" s="80"/>
      <c r="Z8" s="80"/>
      <c r="AA8" s="80">
        <f t="shared" si="15"/>
        <v>21</v>
      </c>
      <c r="AB8" s="80">
        <f t="shared" si="16"/>
        <v>247</v>
      </c>
      <c r="AC8" s="80">
        <f t="shared" si="17"/>
        <v>247</v>
      </c>
      <c r="AD8" s="80">
        <v>0</v>
      </c>
      <c r="AE8" s="126">
        <f t="shared" si="18"/>
        <v>107</v>
      </c>
      <c r="AF8" s="126"/>
      <c r="AG8" s="135"/>
      <c r="AH8" s="128">
        <f t="shared" si="2"/>
        <v>107</v>
      </c>
      <c r="AI8" s="80" t="s">
        <v>568</v>
      </c>
      <c r="AJ8" s="129">
        <f t="shared" si="3"/>
        <v>13.799576</v>
      </c>
      <c r="AK8" s="129">
        <f t="shared" si="4"/>
        <v>13.799576</v>
      </c>
      <c r="AL8" s="80">
        <f t="shared" si="5"/>
        <v>45</v>
      </c>
      <c r="AM8" s="80" t="str">
        <f t="shared" si="19"/>
        <v>31-90天</v>
      </c>
      <c r="AN8" s="81">
        <v>0.7</v>
      </c>
      <c r="AO8" s="80" t="s">
        <v>575</v>
      </c>
      <c r="AP8" s="130">
        <f t="shared" si="6"/>
        <v>9.6597032</v>
      </c>
      <c r="AQ8" s="95"/>
    </row>
    <row r="9" spans="1:43">
      <c r="A9" s="80">
        <v>202510</v>
      </c>
      <c r="B9" s="131">
        <v>45934</v>
      </c>
      <c r="C9" s="80" t="s">
        <v>613</v>
      </c>
      <c r="D9" s="80" t="str">
        <f t="shared" ref="D9:I9" si="21">D8</f>
        <v>M » N2 - 1</v>
      </c>
      <c r="E9" s="80" t="str">
        <f t="shared" si="21"/>
        <v>YCD-EX:HUPPER TEK</v>
      </c>
      <c r="F9" s="80" t="str">
        <f t="shared" si="21"/>
        <v>MI202508130012</v>
      </c>
      <c r="G9" s="80" t="str">
        <f t="shared" si="21"/>
        <v>DE2508031-G7-MIC</v>
      </c>
      <c r="H9" s="132">
        <f t="shared" si="21"/>
        <v>45889</v>
      </c>
      <c r="I9" s="133" t="str">
        <f t="shared" si="21"/>
        <v>B07BK8W5MF</v>
      </c>
      <c r="J9" s="80"/>
      <c r="K9" s="134" t="str">
        <f t="shared" si="8"/>
        <v>金属储物柜71英寸银色</v>
      </c>
      <c r="L9" s="80"/>
      <c r="M9" s="123">
        <f t="shared" si="9"/>
        <v>188</v>
      </c>
      <c r="N9" s="123">
        <f t="shared" si="10"/>
        <v>49</v>
      </c>
      <c r="O9" s="123">
        <f t="shared" si="11"/>
        <v>14</v>
      </c>
      <c r="P9" s="80">
        <f t="shared" si="0"/>
        <v>0.128968</v>
      </c>
      <c r="Q9" s="80"/>
      <c r="R9" s="123">
        <f t="shared" si="12"/>
        <v>188</v>
      </c>
      <c r="S9" s="123">
        <f t="shared" si="13"/>
        <v>49</v>
      </c>
      <c r="T9" s="123">
        <f t="shared" si="14"/>
        <v>14</v>
      </c>
      <c r="U9" s="80">
        <f t="shared" si="1"/>
        <v>0.128968</v>
      </c>
      <c r="V9" s="80"/>
      <c r="W9" s="80"/>
      <c r="X9" s="80"/>
      <c r="Y9" s="80"/>
      <c r="Z9" s="80"/>
      <c r="AA9" s="80">
        <f t="shared" si="15"/>
        <v>21</v>
      </c>
      <c r="AB9" s="80">
        <f t="shared" si="16"/>
        <v>247</v>
      </c>
      <c r="AC9" s="80">
        <f t="shared" si="17"/>
        <v>247</v>
      </c>
      <c r="AD9" s="80">
        <v>0</v>
      </c>
      <c r="AE9" s="126">
        <f t="shared" si="18"/>
        <v>107</v>
      </c>
      <c r="AF9" s="126"/>
      <c r="AG9" s="135"/>
      <c r="AH9" s="128">
        <f t="shared" si="2"/>
        <v>107</v>
      </c>
      <c r="AI9" s="80" t="s">
        <v>568</v>
      </c>
      <c r="AJ9" s="129">
        <f t="shared" si="3"/>
        <v>13.799576</v>
      </c>
      <c r="AK9" s="129">
        <f t="shared" si="4"/>
        <v>13.799576</v>
      </c>
      <c r="AL9" s="80">
        <f t="shared" si="5"/>
        <v>46</v>
      </c>
      <c r="AM9" s="80" t="str">
        <f t="shared" si="19"/>
        <v>31-90天</v>
      </c>
      <c r="AN9" s="81">
        <v>0.7</v>
      </c>
      <c r="AO9" s="80" t="s">
        <v>575</v>
      </c>
      <c r="AP9" s="130">
        <f t="shared" si="6"/>
        <v>9.6597032</v>
      </c>
      <c r="AQ9" s="95"/>
    </row>
    <row r="10" spans="1:43">
      <c r="A10" s="80">
        <v>202510</v>
      </c>
      <c r="B10" s="131">
        <v>45935</v>
      </c>
      <c r="C10" s="80" t="s">
        <v>613</v>
      </c>
      <c r="D10" s="80" t="str">
        <f t="shared" ref="D10:I10" si="22">D9</f>
        <v>M » N2 - 1</v>
      </c>
      <c r="E10" s="80" t="str">
        <f t="shared" si="22"/>
        <v>YCD-EX:HUPPER TEK</v>
      </c>
      <c r="F10" s="80" t="str">
        <f t="shared" si="22"/>
        <v>MI202508130012</v>
      </c>
      <c r="G10" s="80" t="str">
        <f t="shared" si="22"/>
        <v>DE2508031-G7-MIC</v>
      </c>
      <c r="H10" s="132">
        <f t="shared" si="22"/>
        <v>45889</v>
      </c>
      <c r="I10" s="133" t="str">
        <f t="shared" si="22"/>
        <v>B07BK8W5MF</v>
      </c>
      <c r="J10" s="136"/>
      <c r="K10" s="134" t="str">
        <f t="shared" si="8"/>
        <v>金属储物柜71英寸银色</v>
      </c>
      <c r="L10" s="80"/>
      <c r="M10" s="123">
        <f t="shared" si="9"/>
        <v>188</v>
      </c>
      <c r="N10" s="123">
        <f t="shared" si="10"/>
        <v>49</v>
      </c>
      <c r="O10" s="123">
        <f t="shared" si="11"/>
        <v>14</v>
      </c>
      <c r="P10" s="80">
        <f t="shared" si="0"/>
        <v>0.128968</v>
      </c>
      <c r="Q10" s="80"/>
      <c r="R10" s="123">
        <f t="shared" si="12"/>
        <v>188</v>
      </c>
      <c r="S10" s="123">
        <f t="shared" si="13"/>
        <v>49</v>
      </c>
      <c r="T10" s="123">
        <f t="shared" si="14"/>
        <v>14</v>
      </c>
      <c r="U10" s="80">
        <f t="shared" si="1"/>
        <v>0.128968</v>
      </c>
      <c r="V10" s="80"/>
      <c r="W10" s="80"/>
      <c r="X10" s="80"/>
      <c r="Y10" s="80"/>
      <c r="Z10" s="80"/>
      <c r="AA10" s="80">
        <f t="shared" si="15"/>
        <v>21</v>
      </c>
      <c r="AB10" s="80">
        <f t="shared" si="16"/>
        <v>247</v>
      </c>
      <c r="AC10" s="80">
        <f t="shared" si="17"/>
        <v>247</v>
      </c>
      <c r="AD10" s="80">
        <v>0</v>
      </c>
      <c r="AE10" s="126">
        <f t="shared" si="18"/>
        <v>107</v>
      </c>
      <c r="AF10" s="126"/>
      <c r="AG10" s="135"/>
      <c r="AH10" s="128">
        <f t="shared" si="2"/>
        <v>107</v>
      </c>
      <c r="AI10" s="80" t="s">
        <v>568</v>
      </c>
      <c r="AJ10" s="129">
        <f t="shared" si="3"/>
        <v>13.799576</v>
      </c>
      <c r="AK10" s="129">
        <f t="shared" si="4"/>
        <v>13.799576</v>
      </c>
      <c r="AL10" s="80">
        <f t="shared" si="5"/>
        <v>47</v>
      </c>
      <c r="AM10" s="80" t="str">
        <f t="shared" si="19"/>
        <v>31-90天</v>
      </c>
      <c r="AN10" s="81">
        <v>0.7</v>
      </c>
      <c r="AO10" s="80" t="s">
        <v>575</v>
      </c>
      <c r="AP10" s="130">
        <f t="shared" si="6"/>
        <v>9.6597032</v>
      </c>
      <c r="AQ10" s="95"/>
    </row>
    <row r="11" spans="1:43">
      <c r="A11" s="80">
        <v>202510</v>
      </c>
      <c r="B11" s="131">
        <v>45936</v>
      </c>
      <c r="C11" s="80" t="s">
        <v>613</v>
      </c>
      <c r="D11" s="80" t="str">
        <f t="shared" ref="D11:I11" si="23">D10</f>
        <v>M » N2 - 1</v>
      </c>
      <c r="E11" s="80" t="str">
        <f t="shared" si="23"/>
        <v>YCD-EX:HUPPER TEK</v>
      </c>
      <c r="F11" s="80" t="str">
        <f t="shared" si="23"/>
        <v>MI202508130012</v>
      </c>
      <c r="G11" s="80" t="str">
        <f t="shared" si="23"/>
        <v>DE2508031-G7-MIC</v>
      </c>
      <c r="H11" s="132">
        <f t="shared" si="23"/>
        <v>45889</v>
      </c>
      <c r="I11" s="133" t="str">
        <f t="shared" si="23"/>
        <v>B07BK8W5MF</v>
      </c>
      <c r="J11" s="80"/>
      <c r="K11" s="134" t="str">
        <f t="shared" si="8"/>
        <v>金属储物柜71英寸银色</v>
      </c>
      <c r="L11" s="80"/>
      <c r="M11" s="123">
        <f t="shared" si="9"/>
        <v>188</v>
      </c>
      <c r="N11" s="123">
        <f t="shared" si="10"/>
        <v>49</v>
      </c>
      <c r="O11" s="123">
        <f t="shared" si="11"/>
        <v>14</v>
      </c>
      <c r="P11" s="80">
        <f t="shared" si="0"/>
        <v>0.128968</v>
      </c>
      <c r="Q11" s="80"/>
      <c r="R11" s="123">
        <f t="shared" si="12"/>
        <v>188</v>
      </c>
      <c r="S11" s="123">
        <f t="shared" si="13"/>
        <v>49</v>
      </c>
      <c r="T11" s="123">
        <f t="shared" si="14"/>
        <v>14</v>
      </c>
      <c r="U11" s="80">
        <f t="shared" si="1"/>
        <v>0.128968</v>
      </c>
      <c r="V11" s="80"/>
      <c r="W11" s="80"/>
      <c r="X11" s="80"/>
      <c r="Y11" s="80"/>
      <c r="Z11" s="80"/>
      <c r="AA11" s="80">
        <f t="shared" si="15"/>
        <v>21</v>
      </c>
      <c r="AB11" s="80">
        <f t="shared" si="16"/>
        <v>247</v>
      </c>
      <c r="AC11" s="80">
        <f t="shared" si="17"/>
        <v>247</v>
      </c>
      <c r="AD11" s="80">
        <v>0</v>
      </c>
      <c r="AE11" s="126">
        <f t="shared" si="18"/>
        <v>107</v>
      </c>
      <c r="AF11" s="126"/>
      <c r="AG11" s="127">
        <v>3</v>
      </c>
      <c r="AH11" s="128">
        <f t="shared" si="2"/>
        <v>104</v>
      </c>
      <c r="AI11" s="80" t="s">
        <v>568</v>
      </c>
      <c r="AJ11" s="129">
        <f t="shared" si="3"/>
        <v>13.412672</v>
      </c>
      <c r="AK11" s="129">
        <f t="shared" si="4"/>
        <v>13.412672</v>
      </c>
      <c r="AL11" s="80">
        <f t="shared" si="5"/>
        <v>48</v>
      </c>
      <c r="AM11" s="80" t="str">
        <f t="shared" si="19"/>
        <v>31-90天</v>
      </c>
      <c r="AN11" s="81">
        <v>0.7</v>
      </c>
      <c r="AO11" s="80" t="s">
        <v>575</v>
      </c>
      <c r="AP11" s="130">
        <f t="shared" si="6"/>
        <v>9.3888704</v>
      </c>
      <c r="AQ11" s="95"/>
    </row>
    <row r="12" spans="1:43">
      <c r="A12" s="80">
        <v>202510</v>
      </c>
      <c r="B12" s="131">
        <v>45937</v>
      </c>
      <c r="C12" s="80" t="s">
        <v>613</v>
      </c>
      <c r="D12" s="80" t="str">
        <f t="shared" ref="D12:I12" si="24">D11</f>
        <v>M » N2 - 1</v>
      </c>
      <c r="E12" s="80" t="str">
        <f t="shared" si="24"/>
        <v>YCD-EX:HUPPER TEK</v>
      </c>
      <c r="F12" s="80" t="str">
        <f t="shared" si="24"/>
        <v>MI202508130012</v>
      </c>
      <c r="G12" s="80" t="str">
        <f t="shared" si="24"/>
        <v>DE2508031-G7-MIC</v>
      </c>
      <c r="H12" s="132">
        <f t="shared" si="24"/>
        <v>45889</v>
      </c>
      <c r="I12" s="133" t="str">
        <f t="shared" si="24"/>
        <v>B07BK8W5MF</v>
      </c>
      <c r="J12" s="80"/>
      <c r="K12" s="134" t="str">
        <f t="shared" si="8"/>
        <v>金属储物柜71英寸银色</v>
      </c>
      <c r="L12" s="80"/>
      <c r="M12" s="123">
        <f t="shared" si="9"/>
        <v>188</v>
      </c>
      <c r="N12" s="123">
        <f t="shared" si="10"/>
        <v>49</v>
      </c>
      <c r="O12" s="123">
        <f t="shared" si="11"/>
        <v>14</v>
      </c>
      <c r="P12" s="80">
        <f t="shared" si="0"/>
        <v>0.128968</v>
      </c>
      <c r="Q12" s="80"/>
      <c r="R12" s="123">
        <f t="shared" si="12"/>
        <v>188</v>
      </c>
      <c r="S12" s="123">
        <f t="shared" si="13"/>
        <v>49</v>
      </c>
      <c r="T12" s="123">
        <f t="shared" si="14"/>
        <v>14</v>
      </c>
      <c r="U12" s="80">
        <f t="shared" si="1"/>
        <v>0.128968</v>
      </c>
      <c r="V12" s="80"/>
      <c r="W12" s="80"/>
      <c r="X12" s="80"/>
      <c r="Y12" s="80"/>
      <c r="Z12" s="80"/>
      <c r="AA12" s="80">
        <f t="shared" si="15"/>
        <v>21</v>
      </c>
      <c r="AB12" s="80">
        <f t="shared" si="16"/>
        <v>247</v>
      </c>
      <c r="AC12" s="80">
        <f t="shared" si="17"/>
        <v>247</v>
      </c>
      <c r="AD12" s="80">
        <v>0</v>
      </c>
      <c r="AE12" s="126">
        <f t="shared" si="18"/>
        <v>104</v>
      </c>
      <c r="AF12" s="126"/>
      <c r="AG12" s="135"/>
      <c r="AH12" s="128">
        <f t="shared" si="2"/>
        <v>104</v>
      </c>
      <c r="AI12" s="80" t="s">
        <v>568</v>
      </c>
      <c r="AJ12" s="129">
        <f t="shared" si="3"/>
        <v>13.412672</v>
      </c>
      <c r="AK12" s="129">
        <f t="shared" si="4"/>
        <v>13.412672</v>
      </c>
      <c r="AL12" s="80">
        <f t="shared" si="5"/>
        <v>49</v>
      </c>
      <c r="AM12" s="80" t="str">
        <f t="shared" si="19"/>
        <v>31-90天</v>
      </c>
      <c r="AN12" s="81">
        <v>0.7</v>
      </c>
      <c r="AO12" s="80" t="s">
        <v>575</v>
      </c>
      <c r="AP12" s="130">
        <f t="shared" si="6"/>
        <v>9.3888704</v>
      </c>
      <c r="AQ12" s="95"/>
    </row>
    <row r="13" spans="1:43">
      <c r="A13" s="80">
        <v>202510</v>
      </c>
      <c r="B13" s="131">
        <v>45938</v>
      </c>
      <c r="C13" s="80" t="s">
        <v>613</v>
      </c>
      <c r="D13" s="80" t="str">
        <f t="shared" ref="D13:I13" si="25">D12</f>
        <v>M » N2 - 1</v>
      </c>
      <c r="E13" s="80" t="str">
        <f t="shared" si="25"/>
        <v>YCD-EX:HUPPER TEK</v>
      </c>
      <c r="F13" s="80" t="str">
        <f t="shared" si="25"/>
        <v>MI202508130012</v>
      </c>
      <c r="G13" s="80" t="str">
        <f t="shared" si="25"/>
        <v>DE2508031-G7-MIC</v>
      </c>
      <c r="H13" s="132">
        <f t="shared" si="25"/>
        <v>45889</v>
      </c>
      <c r="I13" s="133" t="str">
        <f t="shared" si="25"/>
        <v>B07BK8W5MF</v>
      </c>
      <c r="J13" s="80"/>
      <c r="K13" s="134" t="str">
        <f t="shared" si="8"/>
        <v>金属储物柜71英寸银色</v>
      </c>
      <c r="L13" s="80"/>
      <c r="M13" s="123">
        <f t="shared" si="9"/>
        <v>188</v>
      </c>
      <c r="N13" s="123">
        <f t="shared" si="10"/>
        <v>49</v>
      </c>
      <c r="O13" s="123">
        <f t="shared" si="11"/>
        <v>14</v>
      </c>
      <c r="P13" s="80">
        <f t="shared" si="0"/>
        <v>0.128968</v>
      </c>
      <c r="Q13" s="80"/>
      <c r="R13" s="123">
        <f t="shared" si="12"/>
        <v>188</v>
      </c>
      <c r="S13" s="123">
        <f t="shared" si="13"/>
        <v>49</v>
      </c>
      <c r="T13" s="123">
        <f t="shared" si="14"/>
        <v>14</v>
      </c>
      <c r="U13" s="80">
        <f t="shared" si="1"/>
        <v>0.128968</v>
      </c>
      <c r="V13" s="80"/>
      <c r="W13" s="80"/>
      <c r="X13" s="80"/>
      <c r="Y13" s="80"/>
      <c r="Z13" s="80"/>
      <c r="AA13" s="80">
        <f t="shared" si="15"/>
        <v>21</v>
      </c>
      <c r="AB13" s="80">
        <f t="shared" si="16"/>
        <v>247</v>
      </c>
      <c r="AC13" s="80">
        <f t="shared" si="17"/>
        <v>247</v>
      </c>
      <c r="AD13" s="80">
        <v>0</v>
      </c>
      <c r="AE13" s="126">
        <f t="shared" si="18"/>
        <v>104</v>
      </c>
      <c r="AF13" s="126"/>
      <c r="AG13" s="135"/>
      <c r="AH13" s="128">
        <f t="shared" si="2"/>
        <v>104</v>
      </c>
      <c r="AI13" s="80" t="s">
        <v>568</v>
      </c>
      <c r="AJ13" s="129">
        <f t="shared" si="3"/>
        <v>13.412672</v>
      </c>
      <c r="AK13" s="129">
        <f t="shared" si="4"/>
        <v>13.412672</v>
      </c>
      <c r="AL13" s="80">
        <f t="shared" si="5"/>
        <v>50</v>
      </c>
      <c r="AM13" s="80" t="str">
        <f t="shared" si="19"/>
        <v>31-90天</v>
      </c>
      <c r="AN13" s="81">
        <v>0.7</v>
      </c>
      <c r="AO13" s="80" t="s">
        <v>575</v>
      </c>
      <c r="AP13" s="130">
        <f t="shared" si="6"/>
        <v>9.3888704</v>
      </c>
      <c r="AQ13" s="95"/>
    </row>
    <row r="14" spans="1:43">
      <c r="A14" s="80">
        <v>202510</v>
      </c>
      <c r="B14" s="131">
        <v>45939</v>
      </c>
      <c r="C14" s="80" t="s">
        <v>613</v>
      </c>
      <c r="D14" s="80" t="str">
        <f t="shared" ref="D14:I14" si="26">D13</f>
        <v>M » N2 - 1</v>
      </c>
      <c r="E14" s="80" t="str">
        <f t="shared" si="26"/>
        <v>YCD-EX:HUPPER TEK</v>
      </c>
      <c r="F14" s="80" t="str">
        <f t="shared" si="26"/>
        <v>MI202508130012</v>
      </c>
      <c r="G14" s="80" t="str">
        <f t="shared" si="26"/>
        <v>DE2508031-G7-MIC</v>
      </c>
      <c r="H14" s="132">
        <f t="shared" si="26"/>
        <v>45889</v>
      </c>
      <c r="I14" s="133" t="str">
        <f t="shared" si="26"/>
        <v>B07BK8W5MF</v>
      </c>
      <c r="J14" s="80"/>
      <c r="K14" s="134" t="str">
        <f t="shared" si="8"/>
        <v>金属储物柜71英寸银色</v>
      </c>
      <c r="L14" s="80"/>
      <c r="M14" s="123">
        <f t="shared" si="9"/>
        <v>188</v>
      </c>
      <c r="N14" s="123">
        <f t="shared" si="10"/>
        <v>49</v>
      </c>
      <c r="O14" s="123">
        <f t="shared" si="11"/>
        <v>14</v>
      </c>
      <c r="P14" s="80">
        <f t="shared" si="0"/>
        <v>0.128968</v>
      </c>
      <c r="Q14" s="80"/>
      <c r="R14" s="123">
        <f t="shared" si="12"/>
        <v>188</v>
      </c>
      <c r="S14" s="123">
        <f t="shared" si="13"/>
        <v>49</v>
      </c>
      <c r="T14" s="123">
        <f t="shared" si="14"/>
        <v>14</v>
      </c>
      <c r="U14" s="80">
        <f t="shared" si="1"/>
        <v>0.128968</v>
      </c>
      <c r="V14" s="80"/>
      <c r="W14" s="80"/>
      <c r="X14" s="80"/>
      <c r="Y14" s="80"/>
      <c r="Z14" s="80"/>
      <c r="AA14" s="80">
        <f t="shared" si="15"/>
        <v>21</v>
      </c>
      <c r="AB14" s="80">
        <f t="shared" si="16"/>
        <v>247</v>
      </c>
      <c r="AC14" s="80">
        <f t="shared" si="17"/>
        <v>247</v>
      </c>
      <c r="AD14" s="80">
        <v>0</v>
      </c>
      <c r="AE14" s="126">
        <f t="shared" si="18"/>
        <v>104</v>
      </c>
      <c r="AF14" s="126"/>
      <c r="AG14" s="135"/>
      <c r="AH14" s="128">
        <f t="shared" si="2"/>
        <v>104</v>
      </c>
      <c r="AI14" s="80" t="s">
        <v>568</v>
      </c>
      <c r="AJ14" s="129">
        <f t="shared" si="3"/>
        <v>13.412672</v>
      </c>
      <c r="AK14" s="129">
        <f t="shared" si="4"/>
        <v>13.412672</v>
      </c>
      <c r="AL14" s="80">
        <f t="shared" si="5"/>
        <v>51</v>
      </c>
      <c r="AM14" s="80" t="str">
        <f t="shared" si="19"/>
        <v>31-90天</v>
      </c>
      <c r="AN14" s="81">
        <v>0.7</v>
      </c>
      <c r="AO14" s="80" t="s">
        <v>575</v>
      </c>
      <c r="AP14" s="130">
        <f t="shared" si="6"/>
        <v>9.3888704</v>
      </c>
      <c r="AQ14" s="95"/>
    </row>
    <row r="15" spans="1:43">
      <c r="A15" s="80">
        <v>202510</v>
      </c>
      <c r="B15" s="131">
        <v>45940</v>
      </c>
      <c r="C15" s="80" t="s">
        <v>613</v>
      </c>
      <c r="D15" s="80" t="str">
        <f t="shared" ref="D15:I15" si="27">D14</f>
        <v>M » N2 - 1</v>
      </c>
      <c r="E15" s="80" t="str">
        <f t="shared" si="27"/>
        <v>YCD-EX:HUPPER TEK</v>
      </c>
      <c r="F15" s="80" t="str">
        <f t="shared" si="27"/>
        <v>MI202508130012</v>
      </c>
      <c r="G15" s="80" t="str">
        <f t="shared" si="27"/>
        <v>DE2508031-G7-MIC</v>
      </c>
      <c r="H15" s="132">
        <f t="shared" si="27"/>
        <v>45889</v>
      </c>
      <c r="I15" s="133" t="str">
        <f t="shared" si="27"/>
        <v>B07BK8W5MF</v>
      </c>
      <c r="J15" s="80"/>
      <c r="K15" s="134" t="str">
        <f t="shared" si="8"/>
        <v>金属储物柜71英寸银色</v>
      </c>
      <c r="L15" s="80"/>
      <c r="M15" s="123">
        <f t="shared" si="9"/>
        <v>188</v>
      </c>
      <c r="N15" s="123">
        <f t="shared" si="10"/>
        <v>49</v>
      </c>
      <c r="O15" s="123">
        <f t="shared" si="11"/>
        <v>14</v>
      </c>
      <c r="P15" s="80">
        <f t="shared" si="0"/>
        <v>0.128968</v>
      </c>
      <c r="Q15" s="80"/>
      <c r="R15" s="123">
        <f t="shared" si="12"/>
        <v>188</v>
      </c>
      <c r="S15" s="123">
        <f t="shared" si="13"/>
        <v>49</v>
      </c>
      <c r="T15" s="123">
        <f t="shared" si="14"/>
        <v>14</v>
      </c>
      <c r="U15" s="80">
        <f t="shared" si="1"/>
        <v>0.128968</v>
      </c>
      <c r="V15" s="80"/>
      <c r="W15" s="80"/>
      <c r="X15" s="80"/>
      <c r="Y15" s="80"/>
      <c r="Z15" s="80"/>
      <c r="AA15" s="80">
        <f t="shared" si="15"/>
        <v>21</v>
      </c>
      <c r="AB15" s="80">
        <f t="shared" si="16"/>
        <v>247</v>
      </c>
      <c r="AC15" s="80">
        <f t="shared" si="17"/>
        <v>247</v>
      </c>
      <c r="AD15" s="80">
        <v>0</v>
      </c>
      <c r="AE15" s="126">
        <f t="shared" si="18"/>
        <v>104</v>
      </c>
      <c r="AF15" s="126"/>
      <c r="AG15" s="135"/>
      <c r="AH15" s="128">
        <f t="shared" si="2"/>
        <v>104</v>
      </c>
      <c r="AI15" s="80" t="s">
        <v>568</v>
      </c>
      <c r="AJ15" s="129">
        <f t="shared" si="3"/>
        <v>13.412672</v>
      </c>
      <c r="AK15" s="129">
        <f t="shared" si="4"/>
        <v>13.412672</v>
      </c>
      <c r="AL15" s="80">
        <f t="shared" si="5"/>
        <v>52</v>
      </c>
      <c r="AM15" s="80" t="str">
        <f t="shared" si="19"/>
        <v>31-90天</v>
      </c>
      <c r="AN15" s="81">
        <v>0.7</v>
      </c>
      <c r="AO15" s="80" t="s">
        <v>575</v>
      </c>
      <c r="AP15" s="130">
        <f t="shared" si="6"/>
        <v>9.3888704</v>
      </c>
      <c r="AQ15" s="95"/>
    </row>
    <row r="16" spans="1:43">
      <c r="A16" s="80">
        <v>202510</v>
      </c>
      <c r="B16" s="131">
        <v>45941</v>
      </c>
      <c r="C16" s="80" t="s">
        <v>613</v>
      </c>
      <c r="D16" s="80" t="str">
        <f t="shared" ref="D16:I16" si="28">D15</f>
        <v>M » N2 - 1</v>
      </c>
      <c r="E16" s="80" t="str">
        <f t="shared" si="28"/>
        <v>YCD-EX:HUPPER TEK</v>
      </c>
      <c r="F16" s="80" t="str">
        <f t="shared" si="28"/>
        <v>MI202508130012</v>
      </c>
      <c r="G16" s="80" t="str">
        <f t="shared" si="28"/>
        <v>DE2508031-G7-MIC</v>
      </c>
      <c r="H16" s="132">
        <f t="shared" si="28"/>
        <v>45889</v>
      </c>
      <c r="I16" s="133" t="str">
        <f t="shared" si="28"/>
        <v>B07BK8W5MF</v>
      </c>
      <c r="J16" s="80"/>
      <c r="K16" s="134" t="str">
        <f t="shared" si="8"/>
        <v>金属储物柜71英寸银色</v>
      </c>
      <c r="L16" s="80"/>
      <c r="M16" s="123">
        <f t="shared" si="9"/>
        <v>188</v>
      </c>
      <c r="N16" s="123">
        <f t="shared" si="10"/>
        <v>49</v>
      </c>
      <c r="O16" s="123">
        <f t="shared" si="11"/>
        <v>14</v>
      </c>
      <c r="P16" s="80">
        <f t="shared" si="0"/>
        <v>0.128968</v>
      </c>
      <c r="Q16" s="80"/>
      <c r="R16" s="123">
        <f t="shared" si="12"/>
        <v>188</v>
      </c>
      <c r="S16" s="123">
        <f t="shared" si="13"/>
        <v>49</v>
      </c>
      <c r="T16" s="123">
        <f t="shared" si="14"/>
        <v>14</v>
      </c>
      <c r="U16" s="80">
        <f t="shared" si="1"/>
        <v>0.128968</v>
      </c>
      <c r="V16" s="80"/>
      <c r="W16" s="80"/>
      <c r="X16" s="80"/>
      <c r="Y16" s="80"/>
      <c r="Z16" s="80"/>
      <c r="AA16" s="80">
        <f t="shared" si="15"/>
        <v>21</v>
      </c>
      <c r="AB16" s="80">
        <f t="shared" si="16"/>
        <v>247</v>
      </c>
      <c r="AC16" s="80">
        <f t="shared" si="17"/>
        <v>247</v>
      </c>
      <c r="AD16" s="80">
        <v>0</v>
      </c>
      <c r="AE16" s="126">
        <f t="shared" si="18"/>
        <v>104</v>
      </c>
      <c r="AF16" s="126"/>
      <c r="AG16" s="135"/>
      <c r="AH16" s="128">
        <f t="shared" si="2"/>
        <v>104</v>
      </c>
      <c r="AI16" s="80" t="s">
        <v>568</v>
      </c>
      <c r="AJ16" s="129">
        <f t="shared" si="3"/>
        <v>13.412672</v>
      </c>
      <c r="AK16" s="129">
        <f t="shared" si="4"/>
        <v>13.412672</v>
      </c>
      <c r="AL16" s="80">
        <f t="shared" si="5"/>
        <v>53</v>
      </c>
      <c r="AM16" s="80" t="str">
        <f t="shared" si="19"/>
        <v>31-90天</v>
      </c>
      <c r="AN16" s="81">
        <v>0.7</v>
      </c>
      <c r="AO16" s="80" t="s">
        <v>575</v>
      </c>
      <c r="AP16" s="130">
        <f t="shared" si="6"/>
        <v>9.3888704</v>
      </c>
      <c r="AQ16" s="95"/>
    </row>
    <row r="17" spans="1:43">
      <c r="A17" s="80">
        <v>202510</v>
      </c>
      <c r="B17" s="131">
        <v>45942</v>
      </c>
      <c r="C17" s="80" t="s">
        <v>613</v>
      </c>
      <c r="D17" s="80" t="str">
        <f t="shared" ref="D17:I17" si="29">D16</f>
        <v>M » N2 - 1</v>
      </c>
      <c r="E17" s="80" t="str">
        <f t="shared" si="29"/>
        <v>YCD-EX:HUPPER TEK</v>
      </c>
      <c r="F17" s="80" t="str">
        <f t="shared" si="29"/>
        <v>MI202508130012</v>
      </c>
      <c r="G17" s="80" t="str">
        <f t="shared" si="29"/>
        <v>DE2508031-G7-MIC</v>
      </c>
      <c r="H17" s="132">
        <f t="shared" si="29"/>
        <v>45889</v>
      </c>
      <c r="I17" s="133" t="str">
        <f t="shared" si="29"/>
        <v>B07BK8W5MF</v>
      </c>
      <c r="J17" s="80"/>
      <c r="K17" s="134" t="str">
        <f t="shared" si="8"/>
        <v>金属储物柜71英寸银色</v>
      </c>
      <c r="L17" s="80"/>
      <c r="M17" s="123">
        <f t="shared" si="9"/>
        <v>188</v>
      </c>
      <c r="N17" s="123">
        <f t="shared" si="10"/>
        <v>49</v>
      </c>
      <c r="O17" s="123">
        <f t="shared" si="11"/>
        <v>14</v>
      </c>
      <c r="P17" s="80">
        <f t="shared" si="0"/>
        <v>0.128968</v>
      </c>
      <c r="Q17" s="80"/>
      <c r="R17" s="123">
        <f t="shared" si="12"/>
        <v>188</v>
      </c>
      <c r="S17" s="123">
        <f t="shared" si="13"/>
        <v>49</v>
      </c>
      <c r="T17" s="123">
        <f t="shared" si="14"/>
        <v>14</v>
      </c>
      <c r="U17" s="80">
        <f t="shared" si="1"/>
        <v>0.128968</v>
      </c>
      <c r="V17" s="80"/>
      <c r="W17" s="80"/>
      <c r="X17" s="80"/>
      <c r="Y17" s="80"/>
      <c r="Z17" s="80"/>
      <c r="AA17" s="80">
        <f t="shared" si="15"/>
        <v>21</v>
      </c>
      <c r="AB17" s="80">
        <f t="shared" si="16"/>
        <v>247</v>
      </c>
      <c r="AC17" s="80">
        <f t="shared" si="17"/>
        <v>247</v>
      </c>
      <c r="AD17" s="80">
        <v>0</v>
      </c>
      <c r="AE17" s="126">
        <f t="shared" si="18"/>
        <v>104</v>
      </c>
      <c r="AF17" s="126"/>
      <c r="AG17" s="135"/>
      <c r="AH17" s="128">
        <f t="shared" si="2"/>
        <v>104</v>
      </c>
      <c r="AI17" s="80" t="s">
        <v>568</v>
      </c>
      <c r="AJ17" s="129">
        <f t="shared" si="3"/>
        <v>13.412672</v>
      </c>
      <c r="AK17" s="129">
        <f t="shared" si="4"/>
        <v>13.412672</v>
      </c>
      <c r="AL17" s="80">
        <f t="shared" si="5"/>
        <v>54</v>
      </c>
      <c r="AM17" s="80" t="str">
        <f t="shared" si="19"/>
        <v>31-90天</v>
      </c>
      <c r="AN17" s="81">
        <v>0.7</v>
      </c>
      <c r="AO17" s="80" t="s">
        <v>575</v>
      </c>
      <c r="AP17" s="130">
        <f t="shared" si="6"/>
        <v>9.3888704</v>
      </c>
      <c r="AQ17" s="95"/>
    </row>
    <row r="18" spans="1:43">
      <c r="A18" s="80">
        <v>202510</v>
      </c>
      <c r="B18" s="131">
        <v>45943</v>
      </c>
      <c r="C18" s="80" t="s">
        <v>613</v>
      </c>
      <c r="D18" s="80" t="str">
        <f t="shared" ref="D18:I18" si="30">D17</f>
        <v>M » N2 - 1</v>
      </c>
      <c r="E18" s="80" t="str">
        <f t="shared" si="30"/>
        <v>YCD-EX:HUPPER TEK</v>
      </c>
      <c r="F18" s="80" t="str">
        <f t="shared" si="30"/>
        <v>MI202508130012</v>
      </c>
      <c r="G18" s="80" t="str">
        <f t="shared" si="30"/>
        <v>DE2508031-G7-MIC</v>
      </c>
      <c r="H18" s="132">
        <f t="shared" si="30"/>
        <v>45889</v>
      </c>
      <c r="I18" s="133" t="str">
        <f t="shared" si="30"/>
        <v>B07BK8W5MF</v>
      </c>
      <c r="J18" s="80"/>
      <c r="K18" s="134" t="str">
        <f t="shared" si="8"/>
        <v>金属储物柜71英寸银色</v>
      </c>
      <c r="L18" s="80"/>
      <c r="M18" s="123">
        <f t="shared" si="9"/>
        <v>188</v>
      </c>
      <c r="N18" s="123">
        <f t="shared" si="10"/>
        <v>49</v>
      </c>
      <c r="O18" s="123">
        <f t="shared" si="11"/>
        <v>14</v>
      </c>
      <c r="P18" s="80">
        <f t="shared" si="0"/>
        <v>0.128968</v>
      </c>
      <c r="Q18" s="80"/>
      <c r="R18" s="123">
        <f t="shared" si="12"/>
        <v>188</v>
      </c>
      <c r="S18" s="123">
        <f t="shared" si="13"/>
        <v>49</v>
      </c>
      <c r="T18" s="123">
        <f t="shared" si="14"/>
        <v>14</v>
      </c>
      <c r="U18" s="80">
        <f t="shared" si="1"/>
        <v>0.128968</v>
      </c>
      <c r="V18" s="80"/>
      <c r="W18" s="80"/>
      <c r="X18" s="80"/>
      <c r="Y18" s="80"/>
      <c r="Z18" s="80"/>
      <c r="AA18" s="80">
        <f t="shared" si="15"/>
        <v>21</v>
      </c>
      <c r="AB18" s="80">
        <f t="shared" si="16"/>
        <v>247</v>
      </c>
      <c r="AC18" s="80">
        <f t="shared" si="17"/>
        <v>247</v>
      </c>
      <c r="AD18" s="80">
        <v>0</v>
      </c>
      <c r="AE18" s="126">
        <f t="shared" si="18"/>
        <v>104</v>
      </c>
      <c r="AF18" s="126"/>
      <c r="AG18" s="127">
        <v>1</v>
      </c>
      <c r="AH18" s="128">
        <f t="shared" si="2"/>
        <v>103</v>
      </c>
      <c r="AI18" s="80" t="s">
        <v>568</v>
      </c>
      <c r="AJ18" s="129">
        <f t="shared" si="3"/>
        <v>13.283704</v>
      </c>
      <c r="AK18" s="129">
        <f t="shared" si="4"/>
        <v>13.283704</v>
      </c>
      <c r="AL18" s="80">
        <f t="shared" si="5"/>
        <v>55</v>
      </c>
      <c r="AM18" s="80" t="str">
        <f t="shared" si="19"/>
        <v>31-90天</v>
      </c>
      <c r="AN18" s="81">
        <v>0.7</v>
      </c>
      <c r="AO18" s="80" t="s">
        <v>575</v>
      </c>
      <c r="AP18" s="130">
        <f t="shared" si="6"/>
        <v>9.2985928</v>
      </c>
      <c r="AQ18" s="95"/>
    </row>
    <row r="19" spans="1:43">
      <c r="A19" s="80">
        <v>202510</v>
      </c>
      <c r="B19" s="131">
        <v>45944</v>
      </c>
      <c r="C19" s="80" t="s">
        <v>613</v>
      </c>
      <c r="D19" s="80" t="str">
        <f t="shared" ref="D19:I19" si="31">D18</f>
        <v>M » N2 - 1</v>
      </c>
      <c r="E19" s="80" t="str">
        <f t="shared" si="31"/>
        <v>YCD-EX:HUPPER TEK</v>
      </c>
      <c r="F19" s="80" t="str">
        <f t="shared" si="31"/>
        <v>MI202508130012</v>
      </c>
      <c r="G19" s="80" t="str">
        <f t="shared" si="31"/>
        <v>DE2508031-G7-MIC</v>
      </c>
      <c r="H19" s="132">
        <f t="shared" si="31"/>
        <v>45889</v>
      </c>
      <c r="I19" s="133" t="str">
        <f t="shared" si="31"/>
        <v>B07BK8W5MF</v>
      </c>
      <c r="J19" s="80"/>
      <c r="K19" s="134" t="str">
        <f t="shared" si="8"/>
        <v>金属储物柜71英寸银色</v>
      </c>
      <c r="L19" s="80"/>
      <c r="M19" s="123">
        <f t="shared" si="9"/>
        <v>188</v>
      </c>
      <c r="N19" s="123">
        <f t="shared" si="10"/>
        <v>49</v>
      </c>
      <c r="O19" s="123">
        <f t="shared" si="11"/>
        <v>14</v>
      </c>
      <c r="P19" s="80">
        <f t="shared" si="0"/>
        <v>0.128968</v>
      </c>
      <c r="Q19" s="80"/>
      <c r="R19" s="123">
        <f t="shared" si="12"/>
        <v>188</v>
      </c>
      <c r="S19" s="123">
        <f t="shared" si="13"/>
        <v>49</v>
      </c>
      <c r="T19" s="123">
        <f t="shared" si="14"/>
        <v>14</v>
      </c>
      <c r="U19" s="80">
        <f t="shared" si="1"/>
        <v>0.128968</v>
      </c>
      <c r="V19" s="80"/>
      <c r="W19" s="80"/>
      <c r="X19" s="80"/>
      <c r="Y19" s="80"/>
      <c r="Z19" s="80"/>
      <c r="AA19" s="80">
        <f t="shared" si="15"/>
        <v>21</v>
      </c>
      <c r="AB19" s="80">
        <f t="shared" si="16"/>
        <v>247</v>
      </c>
      <c r="AC19" s="80">
        <f t="shared" si="17"/>
        <v>247</v>
      </c>
      <c r="AD19" s="80">
        <v>0</v>
      </c>
      <c r="AE19" s="126">
        <f t="shared" si="18"/>
        <v>103</v>
      </c>
      <c r="AF19" s="126"/>
      <c r="AG19" s="135"/>
      <c r="AH19" s="128">
        <f t="shared" si="2"/>
        <v>103</v>
      </c>
      <c r="AI19" s="80" t="s">
        <v>568</v>
      </c>
      <c r="AJ19" s="129">
        <f t="shared" si="3"/>
        <v>13.283704</v>
      </c>
      <c r="AK19" s="129">
        <f t="shared" si="4"/>
        <v>13.283704</v>
      </c>
      <c r="AL19" s="80">
        <f t="shared" si="5"/>
        <v>56</v>
      </c>
      <c r="AM19" s="80" t="str">
        <f t="shared" si="19"/>
        <v>31-90天</v>
      </c>
      <c r="AN19" s="81">
        <v>0.7</v>
      </c>
      <c r="AO19" s="80" t="s">
        <v>575</v>
      </c>
      <c r="AP19" s="130">
        <f t="shared" si="6"/>
        <v>9.2985928</v>
      </c>
      <c r="AQ19" s="95"/>
    </row>
    <row r="20" spans="1:43">
      <c r="A20" s="80">
        <v>202510</v>
      </c>
      <c r="B20" s="131">
        <v>45945</v>
      </c>
      <c r="C20" s="80" t="s">
        <v>613</v>
      </c>
      <c r="D20" s="80" t="str">
        <f t="shared" ref="D20:I20" si="32">D19</f>
        <v>M » N2 - 1</v>
      </c>
      <c r="E20" s="80" t="str">
        <f t="shared" si="32"/>
        <v>YCD-EX:HUPPER TEK</v>
      </c>
      <c r="F20" s="80" t="str">
        <f t="shared" si="32"/>
        <v>MI202508130012</v>
      </c>
      <c r="G20" s="80" t="str">
        <f t="shared" si="32"/>
        <v>DE2508031-G7-MIC</v>
      </c>
      <c r="H20" s="132">
        <f t="shared" si="32"/>
        <v>45889</v>
      </c>
      <c r="I20" s="133" t="str">
        <f t="shared" si="32"/>
        <v>B07BK8W5MF</v>
      </c>
      <c r="J20" s="80"/>
      <c r="K20" s="134" t="str">
        <f t="shared" si="8"/>
        <v>金属储物柜71英寸银色</v>
      </c>
      <c r="L20" s="80"/>
      <c r="M20" s="123">
        <f t="shared" si="9"/>
        <v>188</v>
      </c>
      <c r="N20" s="123">
        <f t="shared" si="10"/>
        <v>49</v>
      </c>
      <c r="O20" s="123">
        <f t="shared" si="11"/>
        <v>14</v>
      </c>
      <c r="P20" s="80">
        <f t="shared" si="0"/>
        <v>0.128968</v>
      </c>
      <c r="Q20" s="80"/>
      <c r="R20" s="123">
        <f t="shared" si="12"/>
        <v>188</v>
      </c>
      <c r="S20" s="123">
        <f t="shared" si="13"/>
        <v>49</v>
      </c>
      <c r="T20" s="123">
        <f t="shared" si="14"/>
        <v>14</v>
      </c>
      <c r="U20" s="80">
        <f t="shared" si="1"/>
        <v>0.128968</v>
      </c>
      <c r="V20" s="80"/>
      <c r="W20" s="80"/>
      <c r="X20" s="80"/>
      <c r="Y20" s="80"/>
      <c r="Z20" s="80"/>
      <c r="AA20" s="80">
        <f t="shared" si="15"/>
        <v>21</v>
      </c>
      <c r="AB20" s="80">
        <f t="shared" si="16"/>
        <v>247</v>
      </c>
      <c r="AC20" s="80">
        <f t="shared" si="17"/>
        <v>247</v>
      </c>
      <c r="AD20" s="80">
        <v>0</v>
      </c>
      <c r="AE20" s="126">
        <f t="shared" si="18"/>
        <v>103</v>
      </c>
      <c r="AF20" s="126"/>
      <c r="AG20" s="135"/>
      <c r="AH20" s="128">
        <f t="shared" si="2"/>
        <v>103</v>
      </c>
      <c r="AI20" s="80" t="s">
        <v>568</v>
      </c>
      <c r="AJ20" s="129">
        <f t="shared" si="3"/>
        <v>13.283704</v>
      </c>
      <c r="AK20" s="129">
        <f t="shared" si="4"/>
        <v>13.283704</v>
      </c>
      <c r="AL20" s="80">
        <f t="shared" si="5"/>
        <v>57</v>
      </c>
      <c r="AM20" s="80" t="str">
        <f t="shared" si="19"/>
        <v>31-90天</v>
      </c>
      <c r="AN20" s="81">
        <v>0.7</v>
      </c>
      <c r="AO20" s="80" t="s">
        <v>575</v>
      </c>
      <c r="AP20" s="130">
        <f t="shared" si="6"/>
        <v>9.2985928</v>
      </c>
      <c r="AQ20" s="95"/>
    </row>
    <row r="21" spans="1:43">
      <c r="A21" s="80">
        <v>202510</v>
      </c>
      <c r="B21" s="131">
        <v>45946</v>
      </c>
      <c r="C21" s="80" t="s">
        <v>613</v>
      </c>
      <c r="D21" s="80" t="str">
        <f t="shared" ref="D21:I21" si="33">D20</f>
        <v>M » N2 - 1</v>
      </c>
      <c r="E21" s="80" t="str">
        <f t="shared" si="33"/>
        <v>YCD-EX:HUPPER TEK</v>
      </c>
      <c r="F21" s="80" t="str">
        <f t="shared" si="33"/>
        <v>MI202508130012</v>
      </c>
      <c r="G21" s="80" t="str">
        <f t="shared" si="33"/>
        <v>DE2508031-G7-MIC</v>
      </c>
      <c r="H21" s="132">
        <f t="shared" si="33"/>
        <v>45889</v>
      </c>
      <c r="I21" s="133" t="str">
        <f t="shared" si="33"/>
        <v>B07BK8W5MF</v>
      </c>
      <c r="J21" s="80"/>
      <c r="K21" s="134" t="str">
        <f t="shared" si="8"/>
        <v>金属储物柜71英寸银色</v>
      </c>
      <c r="L21" s="80"/>
      <c r="M21" s="123">
        <f t="shared" si="9"/>
        <v>188</v>
      </c>
      <c r="N21" s="123">
        <f t="shared" si="10"/>
        <v>49</v>
      </c>
      <c r="O21" s="123">
        <f t="shared" si="11"/>
        <v>14</v>
      </c>
      <c r="P21" s="80">
        <f t="shared" si="0"/>
        <v>0.128968</v>
      </c>
      <c r="Q21" s="80"/>
      <c r="R21" s="123">
        <f t="shared" si="12"/>
        <v>188</v>
      </c>
      <c r="S21" s="123">
        <f t="shared" si="13"/>
        <v>49</v>
      </c>
      <c r="T21" s="123">
        <f t="shared" si="14"/>
        <v>14</v>
      </c>
      <c r="U21" s="80">
        <f t="shared" si="1"/>
        <v>0.128968</v>
      </c>
      <c r="V21" s="80"/>
      <c r="W21" s="80"/>
      <c r="X21" s="80"/>
      <c r="Y21" s="80"/>
      <c r="Z21" s="80"/>
      <c r="AA21" s="80">
        <f t="shared" si="15"/>
        <v>21</v>
      </c>
      <c r="AB21" s="80">
        <f t="shared" si="16"/>
        <v>247</v>
      </c>
      <c r="AC21" s="80">
        <f t="shared" si="17"/>
        <v>247</v>
      </c>
      <c r="AD21" s="80">
        <v>0</v>
      </c>
      <c r="AE21" s="126">
        <f t="shared" si="18"/>
        <v>103</v>
      </c>
      <c r="AF21" s="126"/>
      <c r="AG21" s="135"/>
      <c r="AH21" s="128">
        <f t="shared" si="2"/>
        <v>103</v>
      </c>
      <c r="AI21" s="80" t="s">
        <v>568</v>
      </c>
      <c r="AJ21" s="129">
        <f t="shared" si="3"/>
        <v>13.283704</v>
      </c>
      <c r="AK21" s="129">
        <f t="shared" si="4"/>
        <v>13.283704</v>
      </c>
      <c r="AL21" s="80">
        <f t="shared" si="5"/>
        <v>58</v>
      </c>
      <c r="AM21" s="80" t="str">
        <f t="shared" si="19"/>
        <v>31-90天</v>
      </c>
      <c r="AN21" s="81">
        <v>0.7</v>
      </c>
      <c r="AO21" s="80" t="s">
        <v>575</v>
      </c>
      <c r="AP21" s="130">
        <f t="shared" si="6"/>
        <v>9.2985928</v>
      </c>
      <c r="AQ21" s="95"/>
    </row>
    <row r="22" spans="1:43">
      <c r="A22" s="80">
        <v>202510</v>
      </c>
      <c r="B22" s="131">
        <v>45947</v>
      </c>
      <c r="C22" s="80" t="s">
        <v>613</v>
      </c>
      <c r="D22" s="80" t="str">
        <f t="shared" ref="D22:I22" si="34">D21</f>
        <v>M » N2 - 1</v>
      </c>
      <c r="E22" s="80" t="str">
        <f t="shared" si="34"/>
        <v>YCD-EX:HUPPER TEK</v>
      </c>
      <c r="F22" s="80" t="str">
        <f t="shared" si="34"/>
        <v>MI202508130012</v>
      </c>
      <c r="G22" s="80" t="str">
        <f t="shared" si="34"/>
        <v>DE2508031-G7-MIC</v>
      </c>
      <c r="H22" s="132">
        <f t="shared" si="34"/>
        <v>45889</v>
      </c>
      <c r="I22" s="133" t="str">
        <f t="shared" si="34"/>
        <v>B07BK8W5MF</v>
      </c>
      <c r="J22" s="80"/>
      <c r="K22" s="134" t="str">
        <f t="shared" si="8"/>
        <v>金属储物柜71英寸银色</v>
      </c>
      <c r="L22" s="80"/>
      <c r="M22" s="123">
        <f t="shared" si="9"/>
        <v>188</v>
      </c>
      <c r="N22" s="123">
        <f t="shared" si="10"/>
        <v>49</v>
      </c>
      <c r="O22" s="123">
        <f t="shared" si="11"/>
        <v>14</v>
      </c>
      <c r="P22" s="80">
        <f t="shared" si="0"/>
        <v>0.128968</v>
      </c>
      <c r="Q22" s="80"/>
      <c r="R22" s="123">
        <f t="shared" si="12"/>
        <v>188</v>
      </c>
      <c r="S22" s="123">
        <f t="shared" si="13"/>
        <v>49</v>
      </c>
      <c r="T22" s="123">
        <f t="shared" si="14"/>
        <v>14</v>
      </c>
      <c r="U22" s="80">
        <f t="shared" si="1"/>
        <v>0.128968</v>
      </c>
      <c r="V22" s="80"/>
      <c r="W22" s="80"/>
      <c r="X22" s="80"/>
      <c r="Y22" s="80"/>
      <c r="Z22" s="80"/>
      <c r="AA22" s="80">
        <f t="shared" si="15"/>
        <v>21</v>
      </c>
      <c r="AB22" s="80">
        <f t="shared" si="16"/>
        <v>247</v>
      </c>
      <c r="AC22" s="80">
        <f t="shared" si="17"/>
        <v>247</v>
      </c>
      <c r="AD22" s="80">
        <v>0</v>
      </c>
      <c r="AE22" s="126">
        <f t="shared" si="18"/>
        <v>103</v>
      </c>
      <c r="AF22" s="126"/>
      <c r="AG22" s="127">
        <v>1</v>
      </c>
      <c r="AH22" s="128">
        <f t="shared" si="2"/>
        <v>102</v>
      </c>
      <c r="AI22" s="80" t="s">
        <v>568</v>
      </c>
      <c r="AJ22" s="129">
        <f t="shared" si="3"/>
        <v>13.154736</v>
      </c>
      <c r="AK22" s="129">
        <f t="shared" si="4"/>
        <v>13.154736</v>
      </c>
      <c r="AL22" s="80">
        <f t="shared" si="5"/>
        <v>59</v>
      </c>
      <c r="AM22" s="80" t="str">
        <f t="shared" si="19"/>
        <v>31-90天</v>
      </c>
      <c r="AN22" s="81">
        <v>0.7</v>
      </c>
      <c r="AO22" s="80" t="s">
        <v>575</v>
      </c>
      <c r="AP22" s="130">
        <f t="shared" si="6"/>
        <v>9.2083152</v>
      </c>
      <c r="AQ22" s="95"/>
    </row>
    <row r="23" spans="1:43">
      <c r="A23" s="80">
        <v>202510</v>
      </c>
      <c r="B23" s="131">
        <v>45948</v>
      </c>
      <c r="C23" s="80" t="s">
        <v>613</v>
      </c>
      <c r="D23" s="80" t="str">
        <f t="shared" ref="D23:I23" si="35">D22</f>
        <v>M » N2 - 1</v>
      </c>
      <c r="E23" s="80" t="str">
        <f t="shared" si="35"/>
        <v>YCD-EX:HUPPER TEK</v>
      </c>
      <c r="F23" s="80" t="str">
        <f t="shared" si="35"/>
        <v>MI202508130012</v>
      </c>
      <c r="G23" s="80" t="str">
        <f t="shared" si="35"/>
        <v>DE2508031-G7-MIC</v>
      </c>
      <c r="H23" s="132">
        <f t="shared" si="35"/>
        <v>45889</v>
      </c>
      <c r="I23" s="133" t="str">
        <f t="shared" si="35"/>
        <v>B07BK8W5MF</v>
      </c>
      <c r="J23" s="80"/>
      <c r="K23" s="134" t="str">
        <f t="shared" si="8"/>
        <v>金属储物柜71英寸银色</v>
      </c>
      <c r="L23" s="80"/>
      <c r="M23" s="123">
        <f t="shared" si="9"/>
        <v>188</v>
      </c>
      <c r="N23" s="123">
        <f t="shared" si="10"/>
        <v>49</v>
      </c>
      <c r="O23" s="123">
        <f t="shared" si="11"/>
        <v>14</v>
      </c>
      <c r="P23" s="80">
        <f t="shared" si="0"/>
        <v>0.128968</v>
      </c>
      <c r="Q23" s="80"/>
      <c r="R23" s="123">
        <f t="shared" si="12"/>
        <v>188</v>
      </c>
      <c r="S23" s="123">
        <f t="shared" si="13"/>
        <v>49</v>
      </c>
      <c r="T23" s="123">
        <f t="shared" si="14"/>
        <v>14</v>
      </c>
      <c r="U23" s="80">
        <f t="shared" si="1"/>
        <v>0.128968</v>
      </c>
      <c r="V23" s="80"/>
      <c r="W23" s="80"/>
      <c r="X23" s="80"/>
      <c r="Y23" s="80"/>
      <c r="Z23" s="80"/>
      <c r="AA23" s="80">
        <f t="shared" si="15"/>
        <v>21</v>
      </c>
      <c r="AB23" s="80">
        <f t="shared" si="16"/>
        <v>247</v>
      </c>
      <c r="AC23" s="80">
        <f t="shared" si="17"/>
        <v>247</v>
      </c>
      <c r="AD23" s="80">
        <v>0</v>
      </c>
      <c r="AE23" s="126">
        <f t="shared" si="18"/>
        <v>102</v>
      </c>
      <c r="AF23" s="126"/>
      <c r="AG23" s="135"/>
      <c r="AH23" s="128">
        <f t="shared" si="2"/>
        <v>102</v>
      </c>
      <c r="AI23" s="80" t="s">
        <v>568</v>
      </c>
      <c r="AJ23" s="129">
        <f t="shared" si="3"/>
        <v>13.154736</v>
      </c>
      <c r="AK23" s="129">
        <f t="shared" si="4"/>
        <v>13.154736</v>
      </c>
      <c r="AL23" s="80">
        <f t="shared" si="5"/>
        <v>60</v>
      </c>
      <c r="AM23" s="80" t="str">
        <f t="shared" si="19"/>
        <v>31-90天</v>
      </c>
      <c r="AN23" s="81">
        <v>0.7</v>
      </c>
      <c r="AO23" s="80" t="s">
        <v>575</v>
      </c>
      <c r="AP23" s="130">
        <f t="shared" si="6"/>
        <v>9.2083152</v>
      </c>
      <c r="AQ23" s="95"/>
    </row>
    <row r="24" spans="1:43">
      <c r="A24" s="80">
        <v>202510</v>
      </c>
      <c r="B24" s="131">
        <v>45949</v>
      </c>
      <c r="C24" s="80" t="s">
        <v>613</v>
      </c>
      <c r="D24" s="80" t="str">
        <f t="shared" ref="D24:I24" si="36">D23</f>
        <v>M » N2 - 1</v>
      </c>
      <c r="E24" s="80" t="str">
        <f t="shared" si="36"/>
        <v>YCD-EX:HUPPER TEK</v>
      </c>
      <c r="F24" s="80" t="str">
        <f t="shared" si="36"/>
        <v>MI202508130012</v>
      </c>
      <c r="G24" s="80" t="str">
        <f t="shared" si="36"/>
        <v>DE2508031-G7-MIC</v>
      </c>
      <c r="H24" s="132">
        <f t="shared" si="36"/>
        <v>45889</v>
      </c>
      <c r="I24" s="133" t="str">
        <f t="shared" si="36"/>
        <v>B07BK8W5MF</v>
      </c>
      <c r="J24" s="80"/>
      <c r="K24" s="134" t="str">
        <f t="shared" si="8"/>
        <v>金属储物柜71英寸银色</v>
      </c>
      <c r="L24" s="80"/>
      <c r="M24" s="123">
        <f t="shared" si="9"/>
        <v>188</v>
      </c>
      <c r="N24" s="123">
        <f t="shared" si="10"/>
        <v>49</v>
      </c>
      <c r="O24" s="123">
        <f t="shared" si="11"/>
        <v>14</v>
      </c>
      <c r="P24" s="80">
        <f t="shared" si="0"/>
        <v>0.128968</v>
      </c>
      <c r="Q24" s="80"/>
      <c r="R24" s="123">
        <f t="shared" si="12"/>
        <v>188</v>
      </c>
      <c r="S24" s="123">
        <f t="shared" si="13"/>
        <v>49</v>
      </c>
      <c r="T24" s="123">
        <f t="shared" si="14"/>
        <v>14</v>
      </c>
      <c r="U24" s="80">
        <f t="shared" si="1"/>
        <v>0.128968</v>
      </c>
      <c r="V24" s="80"/>
      <c r="W24" s="80"/>
      <c r="X24" s="80"/>
      <c r="Y24" s="80"/>
      <c r="Z24" s="80"/>
      <c r="AA24" s="80">
        <f t="shared" si="15"/>
        <v>21</v>
      </c>
      <c r="AB24" s="80">
        <f t="shared" si="16"/>
        <v>247</v>
      </c>
      <c r="AC24" s="80">
        <f t="shared" si="17"/>
        <v>247</v>
      </c>
      <c r="AD24" s="80">
        <v>0</v>
      </c>
      <c r="AE24" s="126">
        <f t="shared" si="18"/>
        <v>102</v>
      </c>
      <c r="AF24" s="126"/>
      <c r="AG24" s="135"/>
      <c r="AH24" s="128">
        <f t="shared" si="2"/>
        <v>102</v>
      </c>
      <c r="AI24" s="80" t="s">
        <v>568</v>
      </c>
      <c r="AJ24" s="129">
        <f t="shared" si="3"/>
        <v>13.154736</v>
      </c>
      <c r="AK24" s="129">
        <f t="shared" si="4"/>
        <v>13.154736</v>
      </c>
      <c r="AL24" s="80">
        <f t="shared" si="5"/>
        <v>61</v>
      </c>
      <c r="AM24" s="80" t="str">
        <f t="shared" si="19"/>
        <v>31-90天</v>
      </c>
      <c r="AN24" s="81">
        <v>0.7</v>
      </c>
      <c r="AO24" s="80" t="s">
        <v>575</v>
      </c>
      <c r="AP24" s="130">
        <f t="shared" si="6"/>
        <v>9.2083152</v>
      </c>
      <c r="AQ24" s="95"/>
    </row>
    <row r="25" spans="1:43">
      <c r="A25" s="80">
        <v>202510</v>
      </c>
      <c r="B25" s="131">
        <v>45950</v>
      </c>
      <c r="C25" s="80" t="s">
        <v>613</v>
      </c>
      <c r="D25" s="80" t="str">
        <f t="shared" ref="D25:I25" si="37">D24</f>
        <v>M » N2 - 1</v>
      </c>
      <c r="E25" s="80" t="str">
        <f t="shared" si="37"/>
        <v>YCD-EX:HUPPER TEK</v>
      </c>
      <c r="F25" s="80" t="str">
        <f t="shared" si="37"/>
        <v>MI202508130012</v>
      </c>
      <c r="G25" s="80" t="str">
        <f t="shared" si="37"/>
        <v>DE2508031-G7-MIC</v>
      </c>
      <c r="H25" s="132">
        <f t="shared" si="37"/>
        <v>45889</v>
      </c>
      <c r="I25" s="133" t="str">
        <f t="shared" si="37"/>
        <v>B07BK8W5MF</v>
      </c>
      <c r="J25" s="80"/>
      <c r="K25" s="134" t="str">
        <f t="shared" si="8"/>
        <v>金属储物柜71英寸银色</v>
      </c>
      <c r="L25" s="80"/>
      <c r="M25" s="123">
        <f t="shared" si="9"/>
        <v>188</v>
      </c>
      <c r="N25" s="123">
        <f t="shared" si="10"/>
        <v>49</v>
      </c>
      <c r="O25" s="123">
        <f t="shared" si="11"/>
        <v>14</v>
      </c>
      <c r="P25" s="80">
        <f t="shared" si="0"/>
        <v>0.128968</v>
      </c>
      <c r="Q25" s="80"/>
      <c r="R25" s="123">
        <f t="shared" si="12"/>
        <v>188</v>
      </c>
      <c r="S25" s="123">
        <f t="shared" si="13"/>
        <v>49</v>
      </c>
      <c r="T25" s="123">
        <f t="shared" si="14"/>
        <v>14</v>
      </c>
      <c r="U25" s="80">
        <f t="shared" si="1"/>
        <v>0.128968</v>
      </c>
      <c r="V25" s="80"/>
      <c r="W25" s="80"/>
      <c r="X25" s="80"/>
      <c r="Y25" s="80"/>
      <c r="Z25" s="80"/>
      <c r="AA25" s="80">
        <f t="shared" si="15"/>
        <v>21</v>
      </c>
      <c r="AB25" s="80">
        <f t="shared" si="16"/>
        <v>247</v>
      </c>
      <c r="AC25" s="80">
        <f t="shared" si="17"/>
        <v>247</v>
      </c>
      <c r="AD25" s="80">
        <v>0</v>
      </c>
      <c r="AE25" s="126">
        <f t="shared" si="18"/>
        <v>102</v>
      </c>
      <c r="AF25" s="126"/>
      <c r="AG25" s="127">
        <v>8</v>
      </c>
      <c r="AH25" s="128">
        <f t="shared" si="2"/>
        <v>94</v>
      </c>
      <c r="AI25" s="80" t="s">
        <v>568</v>
      </c>
      <c r="AJ25" s="129">
        <f t="shared" si="3"/>
        <v>12.122992</v>
      </c>
      <c r="AK25" s="129">
        <f t="shared" si="4"/>
        <v>12.122992</v>
      </c>
      <c r="AL25" s="80">
        <f t="shared" si="5"/>
        <v>62</v>
      </c>
      <c r="AM25" s="80" t="str">
        <f t="shared" si="19"/>
        <v>31-90天</v>
      </c>
      <c r="AN25" s="81">
        <v>0.7</v>
      </c>
      <c r="AO25" s="80" t="s">
        <v>575</v>
      </c>
      <c r="AP25" s="130">
        <f t="shared" si="6"/>
        <v>8.4860944</v>
      </c>
      <c r="AQ25" s="95"/>
    </row>
    <row r="26" spans="1:43">
      <c r="A26" s="80">
        <v>202510</v>
      </c>
      <c r="B26" s="131">
        <v>45951</v>
      </c>
      <c r="C26" s="80" t="s">
        <v>613</v>
      </c>
      <c r="D26" s="80" t="str">
        <f t="shared" ref="D26:I26" si="38">D25</f>
        <v>M » N2 - 1</v>
      </c>
      <c r="E26" s="80" t="str">
        <f t="shared" si="38"/>
        <v>YCD-EX:HUPPER TEK</v>
      </c>
      <c r="F26" s="80" t="str">
        <f t="shared" si="38"/>
        <v>MI202508130012</v>
      </c>
      <c r="G26" s="80" t="str">
        <f t="shared" si="38"/>
        <v>DE2508031-G7-MIC</v>
      </c>
      <c r="H26" s="132">
        <f t="shared" si="38"/>
        <v>45889</v>
      </c>
      <c r="I26" s="133" t="str">
        <f t="shared" si="38"/>
        <v>B07BK8W5MF</v>
      </c>
      <c r="J26" s="80"/>
      <c r="K26" s="134" t="str">
        <f t="shared" si="8"/>
        <v>金属储物柜71英寸银色</v>
      </c>
      <c r="L26" s="80"/>
      <c r="M26" s="123">
        <f t="shared" si="9"/>
        <v>188</v>
      </c>
      <c r="N26" s="123">
        <f t="shared" si="10"/>
        <v>49</v>
      </c>
      <c r="O26" s="123">
        <f t="shared" si="11"/>
        <v>14</v>
      </c>
      <c r="P26" s="80">
        <f t="shared" si="0"/>
        <v>0.128968</v>
      </c>
      <c r="Q26" s="80"/>
      <c r="R26" s="123">
        <f t="shared" si="12"/>
        <v>188</v>
      </c>
      <c r="S26" s="123">
        <f t="shared" si="13"/>
        <v>49</v>
      </c>
      <c r="T26" s="123">
        <f t="shared" si="14"/>
        <v>14</v>
      </c>
      <c r="U26" s="80">
        <f t="shared" si="1"/>
        <v>0.128968</v>
      </c>
      <c r="V26" s="80"/>
      <c r="W26" s="80"/>
      <c r="X26" s="80"/>
      <c r="Y26" s="80"/>
      <c r="Z26" s="80"/>
      <c r="AA26" s="80">
        <f t="shared" si="15"/>
        <v>21</v>
      </c>
      <c r="AB26" s="80">
        <f t="shared" si="16"/>
        <v>247</v>
      </c>
      <c r="AC26" s="80">
        <f t="shared" si="17"/>
        <v>247</v>
      </c>
      <c r="AD26" s="80">
        <v>0</v>
      </c>
      <c r="AE26" s="126">
        <f t="shared" si="18"/>
        <v>94</v>
      </c>
      <c r="AF26" s="126"/>
      <c r="AG26" s="135"/>
      <c r="AH26" s="128">
        <f t="shared" si="2"/>
        <v>94</v>
      </c>
      <c r="AI26" s="80" t="s">
        <v>568</v>
      </c>
      <c r="AJ26" s="129">
        <f t="shared" si="3"/>
        <v>12.122992</v>
      </c>
      <c r="AK26" s="129">
        <f t="shared" si="4"/>
        <v>12.122992</v>
      </c>
      <c r="AL26" s="80">
        <f t="shared" si="5"/>
        <v>63</v>
      </c>
      <c r="AM26" s="80" t="str">
        <f t="shared" si="19"/>
        <v>31-90天</v>
      </c>
      <c r="AN26" s="81">
        <v>0.7</v>
      </c>
      <c r="AO26" s="80" t="s">
        <v>575</v>
      </c>
      <c r="AP26" s="130">
        <f t="shared" si="6"/>
        <v>8.4860944</v>
      </c>
      <c r="AQ26" s="95"/>
    </row>
    <row r="27" spans="1:43">
      <c r="A27" s="80">
        <v>202510</v>
      </c>
      <c r="B27" s="131">
        <v>45952</v>
      </c>
      <c r="C27" s="80" t="s">
        <v>613</v>
      </c>
      <c r="D27" s="80" t="str">
        <f t="shared" ref="D27:I27" si="39">D26</f>
        <v>M » N2 - 1</v>
      </c>
      <c r="E27" s="80" t="str">
        <f t="shared" si="39"/>
        <v>YCD-EX:HUPPER TEK</v>
      </c>
      <c r="F27" s="80" t="str">
        <f t="shared" si="39"/>
        <v>MI202508130012</v>
      </c>
      <c r="G27" s="80" t="str">
        <f t="shared" si="39"/>
        <v>DE2508031-G7-MIC</v>
      </c>
      <c r="H27" s="132">
        <f t="shared" si="39"/>
        <v>45889</v>
      </c>
      <c r="I27" s="133" t="str">
        <f t="shared" si="39"/>
        <v>B07BK8W5MF</v>
      </c>
      <c r="J27" s="80"/>
      <c r="K27" s="134" t="str">
        <f t="shared" si="8"/>
        <v>金属储物柜71英寸银色</v>
      </c>
      <c r="L27" s="80"/>
      <c r="M27" s="123">
        <f t="shared" si="9"/>
        <v>188</v>
      </c>
      <c r="N27" s="123">
        <f t="shared" si="10"/>
        <v>49</v>
      </c>
      <c r="O27" s="123">
        <f t="shared" si="11"/>
        <v>14</v>
      </c>
      <c r="P27" s="80">
        <f t="shared" si="0"/>
        <v>0.128968</v>
      </c>
      <c r="Q27" s="80"/>
      <c r="R27" s="123">
        <f t="shared" si="12"/>
        <v>188</v>
      </c>
      <c r="S27" s="123">
        <f t="shared" si="13"/>
        <v>49</v>
      </c>
      <c r="T27" s="123">
        <f t="shared" si="14"/>
        <v>14</v>
      </c>
      <c r="U27" s="80">
        <f t="shared" si="1"/>
        <v>0.128968</v>
      </c>
      <c r="V27" s="80"/>
      <c r="W27" s="80"/>
      <c r="X27" s="80"/>
      <c r="Y27" s="80"/>
      <c r="Z27" s="80"/>
      <c r="AA27" s="80">
        <f t="shared" si="15"/>
        <v>21</v>
      </c>
      <c r="AB27" s="80">
        <f t="shared" si="16"/>
        <v>247</v>
      </c>
      <c r="AC27" s="80">
        <f t="shared" si="17"/>
        <v>247</v>
      </c>
      <c r="AD27" s="80">
        <v>0</v>
      </c>
      <c r="AE27" s="126">
        <f t="shared" si="18"/>
        <v>94</v>
      </c>
      <c r="AF27" s="126"/>
      <c r="AG27" s="135"/>
      <c r="AH27" s="128">
        <f t="shared" si="2"/>
        <v>94</v>
      </c>
      <c r="AI27" s="80" t="s">
        <v>568</v>
      </c>
      <c r="AJ27" s="129">
        <f t="shared" si="3"/>
        <v>12.122992</v>
      </c>
      <c r="AK27" s="129">
        <f t="shared" si="4"/>
        <v>12.122992</v>
      </c>
      <c r="AL27" s="80">
        <f t="shared" si="5"/>
        <v>64</v>
      </c>
      <c r="AM27" s="80" t="str">
        <f t="shared" si="19"/>
        <v>31-90天</v>
      </c>
      <c r="AN27" s="81">
        <v>0.7</v>
      </c>
      <c r="AO27" s="80" t="s">
        <v>575</v>
      </c>
      <c r="AP27" s="130">
        <f t="shared" si="6"/>
        <v>8.4860944</v>
      </c>
      <c r="AQ27" s="95"/>
    </row>
    <row r="28" spans="1:43">
      <c r="A28" s="80">
        <v>202510</v>
      </c>
      <c r="B28" s="131">
        <v>45953</v>
      </c>
      <c r="C28" s="80" t="s">
        <v>613</v>
      </c>
      <c r="D28" s="80" t="str">
        <f t="shared" ref="D28:I28" si="40">D27</f>
        <v>M » N2 - 1</v>
      </c>
      <c r="E28" s="80" t="str">
        <f t="shared" si="40"/>
        <v>YCD-EX:HUPPER TEK</v>
      </c>
      <c r="F28" s="80" t="str">
        <f t="shared" si="40"/>
        <v>MI202508130012</v>
      </c>
      <c r="G28" s="80" t="str">
        <f t="shared" si="40"/>
        <v>DE2508031-G7-MIC</v>
      </c>
      <c r="H28" s="132">
        <f t="shared" si="40"/>
        <v>45889</v>
      </c>
      <c r="I28" s="133" t="str">
        <f t="shared" si="40"/>
        <v>B07BK8W5MF</v>
      </c>
      <c r="J28" s="80"/>
      <c r="K28" s="134" t="str">
        <f t="shared" si="8"/>
        <v>金属储物柜71英寸银色</v>
      </c>
      <c r="L28" s="80"/>
      <c r="M28" s="123">
        <f t="shared" si="9"/>
        <v>188</v>
      </c>
      <c r="N28" s="123">
        <f t="shared" si="10"/>
        <v>49</v>
      </c>
      <c r="O28" s="123">
        <f t="shared" si="11"/>
        <v>14</v>
      </c>
      <c r="P28" s="80">
        <f t="shared" si="0"/>
        <v>0.128968</v>
      </c>
      <c r="Q28" s="80"/>
      <c r="R28" s="123">
        <f t="shared" si="12"/>
        <v>188</v>
      </c>
      <c r="S28" s="123">
        <f t="shared" si="13"/>
        <v>49</v>
      </c>
      <c r="T28" s="123">
        <f t="shared" si="14"/>
        <v>14</v>
      </c>
      <c r="U28" s="80">
        <f t="shared" si="1"/>
        <v>0.128968</v>
      </c>
      <c r="V28" s="80"/>
      <c r="W28" s="80"/>
      <c r="X28" s="80"/>
      <c r="Y28" s="80"/>
      <c r="Z28" s="80"/>
      <c r="AA28" s="80">
        <f t="shared" si="15"/>
        <v>21</v>
      </c>
      <c r="AB28" s="80">
        <f t="shared" si="16"/>
        <v>247</v>
      </c>
      <c r="AC28" s="80">
        <f t="shared" si="17"/>
        <v>247</v>
      </c>
      <c r="AD28" s="80">
        <v>0</v>
      </c>
      <c r="AE28" s="126">
        <f t="shared" si="18"/>
        <v>94</v>
      </c>
      <c r="AF28" s="126"/>
      <c r="AG28" s="127">
        <v>1</v>
      </c>
      <c r="AH28" s="128">
        <f t="shared" si="2"/>
        <v>93</v>
      </c>
      <c r="AI28" s="80" t="s">
        <v>568</v>
      </c>
      <c r="AJ28" s="129">
        <f t="shared" si="3"/>
        <v>11.994024</v>
      </c>
      <c r="AK28" s="129">
        <f t="shared" si="4"/>
        <v>11.994024</v>
      </c>
      <c r="AL28" s="80">
        <f t="shared" si="5"/>
        <v>65</v>
      </c>
      <c r="AM28" s="80" t="str">
        <f t="shared" si="19"/>
        <v>31-90天</v>
      </c>
      <c r="AN28" s="81">
        <v>0.7</v>
      </c>
      <c r="AO28" s="80" t="s">
        <v>575</v>
      </c>
      <c r="AP28" s="130">
        <f t="shared" si="6"/>
        <v>8.3958168</v>
      </c>
      <c r="AQ28" s="95"/>
    </row>
    <row r="29" spans="1:43">
      <c r="A29" s="80">
        <v>202510</v>
      </c>
      <c r="B29" s="131">
        <v>45954</v>
      </c>
      <c r="C29" s="80" t="s">
        <v>613</v>
      </c>
      <c r="D29" s="80" t="str">
        <f t="shared" ref="D29:I29" si="41">D28</f>
        <v>M » N2 - 1</v>
      </c>
      <c r="E29" s="80" t="str">
        <f t="shared" si="41"/>
        <v>YCD-EX:HUPPER TEK</v>
      </c>
      <c r="F29" s="80" t="str">
        <f t="shared" si="41"/>
        <v>MI202508130012</v>
      </c>
      <c r="G29" s="80" t="str">
        <f t="shared" si="41"/>
        <v>DE2508031-G7-MIC</v>
      </c>
      <c r="H29" s="132">
        <f t="shared" si="41"/>
        <v>45889</v>
      </c>
      <c r="I29" s="133" t="str">
        <f t="shared" si="41"/>
        <v>B07BK8W5MF</v>
      </c>
      <c r="J29" s="80"/>
      <c r="K29" s="134" t="str">
        <f t="shared" si="8"/>
        <v>金属储物柜71英寸银色</v>
      </c>
      <c r="L29" s="80"/>
      <c r="M29" s="123">
        <f t="shared" si="9"/>
        <v>188</v>
      </c>
      <c r="N29" s="123">
        <f t="shared" si="10"/>
        <v>49</v>
      </c>
      <c r="O29" s="123">
        <f t="shared" si="11"/>
        <v>14</v>
      </c>
      <c r="P29" s="80">
        <f t="shared" si="0"/>
        <v>0.128968</v>
      </c>
      <c r="Q29" s="80"/>
      <c r="R29" s="123">
        <f t="shared" si="12"/>
        <v>188</v>
      </c>
      <c r="S29" s="123">
        <f t="shared" si="13"/>
        <v>49</v>
      </c>
      <c r="T29" s="123">
        <f t="shared" si="14"/>
        <v>14</v>
      </c>
      <c r="U29" s="80">
        <f t="shared" si="1"/>
        <v>0.128968</v>
      </c>
      <c r="V29" s="80"/>
      <c r="W29" s="80"/>
      <c r="X29" s="80"/>
      <c r="Y29" s="80"/>
      <c r="Z29" s="80"/>
      <c r="AA29" s="80">
        <f t="shared" si="15"/>
        <v>21</v>
      </c>
      <c r="AB29" s="80">
        <f t="shared" si="16"/>
        <v>247</v>
      </c>
      <c r="AC29" s="80">
        <f t="shared" si="17"/>
        <v>247</v>
      </c>
      <c r="AD29" s="80">
        <v>0</v>
      </c>
      <c r="AE29" s="126">
        <f t="shared" si="18"/>
        <v>93</v>
      </c>
      <c r="AF29" s="126"/>
      <c r="AG29" s="135"/>
      <c r="AH29" s="128">
        <f t="shared" si="2"/>
        <v>93</v>
      </c>
      <c r="AI29" s="80" t="s">
        <v>568</v>
      </c>
      <c r="AJ29" s="129">
        <f t="shared" si="3"/>
        <v>11.994024</v>
      </c>
      <c r="AK29" s="129">
        <f t="shared" si="4"/>
        <v>11.994024</v>
      </c>
      <c r="AL29" s="80">
        <f t="shared" si="5"/>
        <v>66</v>
      </c>
      <c r="AM29" s="80" t="str">
        <f t="shared" si="19"/>
        <v>31-90天</v>
      </c>
      <c r="AN29" s="81">
        <v>0.7</v>
      </c>
      <c r="AO29" s="80" t="s">
        <v>575</v>
      </c>
      <c r="AP29" s="130">
        <f t="shared" si="6"/>
        <v>8.3958168</v>
      </c>
      <c r="AQ29" s="95"/>
    </row>
    <row r="30" spans="1:43">
      <c r="A30" s="80">
        <v>202510</v>
      </c>
      <c r="B30" s="131">
        <v>45955</v>
      </c>
      <c r="C30" s="80" t="s">
        <v>613</v>
      </c>
      <c r="D30" s="80" t="str">
        <f t="shared" ref="D30:I30" si="42">D29</f>
        <v>M » N2 - 1</v>
      </c>
      <c r="E30" s="80" t="str">
        <f t="shared" si="42"/>
        <v>YCD-EX:HUPPER TEK</v>
      </c>
      <c r="F30" s="80" t="str">
        <f t="shared" si="42"/>
        <v>MI202508130012</v>
      </c>
      <c r="G30" s="80" t="str">
        <f t="shared" si="42"/>
        <v>DE2508031-G7-MIC</v>
      </c>
      <c r="H30" s="132">
        <f t="shared" si="42"/>
        <v>45889</v>
      </c>
      <c r="I30" s="133" t="str">
        <f t="shared" si="42"/>
        <v>B07BK8W5MF</v>
      </c>
      <c r="J30" s="80"/>
      <c r="K30" s="134" t="str">
        <f t="shared" si="8"/>
        <v>金属储物柜71英寸银色</v>
      </c>
      <c r="L30" s="80"/>
      <c r="M30" s="123">
        <f t="shared" si="9"/>
        <v>188</v>
      </c>
      <c r="N30" s="123">
        <f t="shared" si="10"/>
        <v>49</v>
      </c>
      <c r="O30" s="123">
        <f t="shared" si="11"/>
        <v>14</v>
      </c>
      <c r="P30" s="80">
        <f t="shared" si="0"/>
        <v>0.128968</v>
      </c>
      <c r="Q30" s="80"/>
      <c r="R30" s="123">
        <f t="shared" si="12"/>
        <v>188</v>
      </c>
      <c r="S30" s="123">
        <f t="shared" si="13"/>
        <v>49</v>
      </c>
      <c r="T30" s="123">
        <f t="shared" si="14"/>
        <v>14</v>
      </c>
      <c r="U30" s="80">
        <f t="shared" si="1"/>
        <v>0.128968</v>
      </c>
      <c r="V30" s="80"/>
      <c r="W30" s="80"/>
      <c r="X30" s="80"/>
      <c r="Y30" s="80"/>
      <c r="Z30" s="80"/>
      <c r="AA30" s="80">
        <f t="shared" si="15"/>
        <v>21</v>
      </c>
      <c r="AB30" s="80">
        <f t="shared" si="16"/>
        <v>247</v>
      </c>
      <c r="AC30" s="80">
        <f t="shared" si="17"/>
        <v>247</v>
      </c>
      <c r="AD30" s="80">
        <v>0</v>
      </c>
      <c r="AE30" s="126">
        <f t="shared" si="18"/>
        <v>93</v>
      </c>
      <c r="AF30" s="125"/>
      <c r="AG30" s="135"/>
      <c r="AH30" s="128">
        <f t="shared" si="2"/>
        <v>93</v>
      </c>
      <c r="AI30" s="80" t="s">
        <v>568</v>
      </c>
      <c r="AJ30" s="129">
        <f t="shared" si="3"/>
        <v>11.994024</v>
      </c>
      <c r="AK30" s="129">
        <f t="shared" si="4"/>
        <v>11.994024</v>
      </c>
      <c r="AL30" s="80">
        <f t="shared" si="5"/>
        <v>67</v>
      </c>
      <c r="AM30" s="80" t="str">
        <f t="shared" si="19"/>
        <v>31-90天</v>
      </c>
      <c r="AN30" s="81">
        <v>0.7</v>
      </c>
      <c r="AO30" s="80" t="s">
        <v>575</v>
      </c>
      <c r="AP30" s="130">
        <f t="shared" si="6"/>
        <v>8.3958168</v>
      </c>
      <c r="AQ30" s="95"/>
    </row>
    <row r="31" spans="1:43">
      <c r="A31" s="80">
        <v>202510</v>
      </c>
      <c r="B31" s="131">
        <v>45956</v>
      </c>
      <c r="C31" s="80" t="s">
        <v>613</v>
      </c>
      <c r="D31" s="80" t="str">
        <f t="shared" ref="D31:I31" si="43">D30</f>
        <v>M » N2 - 1</v>
      </c>
      <c r="E31" s="80" t="str">
        <f t="shared" si="43"/>
        <v>YCD-EX:HUPPER TEK</v>
      </c>
      <c r="F31" s="80" t="str">
        <f t="shared" si="43"/>
        <v>MI202508130012</v>
      </c>
      <c r="G31" s="80" t="str">
        <f t="shared" si="43"/>
        <v>DE2508031-G7-MIC</v>
      </c>
      <c r="H31" s="132">
        <f t="shared" si="43"/>
        <v>45889</v>
      </c>
      <c r="I31" s="133" t="str">
        <f t="shared" si="43"/>
        <v>B07BK8W5MF</v>
      </c>
      <c r="J31" s="80"/>
      <c r="K31" s="134" t="str">
        <f t="shared" si="8"/>
        <v>金属储物柜71英寸银色</v>
      </c>
      <c r="L31" s="80"/>
      <c r="M31" s="123">
        <f t="shared" si="9"/>
        <v>188</v>
      </c>
      <c r="N31" s="123">
        <f t="shared" si="10"/>
        <v>49</v>
      </c>
      <c r="O31" s="123">
        <f t="shared" si="11"/>
        <v>14</v>
      </c>
      <c r="P31" s="80">
        <f t="shared" si="0"/>
        <v>0.128968</v>
      </c>
      <c r="Q31" s="80"/>
      <c r="R31" s="123">
        <f t="shared" si="12"/>
        <v>188</v>
      </c>
      <c r="S31" s="123">
        <f t="shared" si="13"/>
        <v>49</v>
      </c>
      <c r="T31" s="123">
        <f t="shared" si="14"/>
        <v>14</v>
      </c>
      <c r="U31" s="80">
        <f t="shared" si="1"/>
        <v>0.128968</v>
      </c>
      <c r="V31" s="80"/>
      <c r="W31" s="80"/>
      <c r="X31" s="80"/>
      <c r="Y31" s="80"/>
      <c r="Z31" s="80"/>
      <c r="AA31" s="80">
        <f t="shared" si="15"/>
        <v>21</v>
      </c>
      <c r="AB31" s="80">
        <f t="shared" si="16"/>
        <v>247</v>
      </c>
      <c r="AC31" s="80">
        <f t="shared" si="17"/>
        <v>247</v>
      </c>
      <c r="AD31" s="80">
        <v>0</v>
      </c>
      <c r="AE31" s="126">
        <f t="shared" si="18"/>
        <v>93</v>
      </c>
      <c r="AF31" s="125"/>
      <c r="AG31" s="135"/>
      <c r="AH31" s="128">
        <f t="shared" si="2"/>
        <v>93</v>
      </c>
      <c r="AI31" s="80" t="s">
        <v>568</v>
      </c>
      <c r="AJ31" s="129">
        <f t="shared" si="3"/>
        <v>11.994024</v>
      </c>
      <c r="AK31" s="129">
        <f t="shared" si="4"/>
        <v>11.994024</v>
      </c>
      <c r="AL31" s="80">
        <f t="shared" si="5"/>
        <v>68</v>
      </c>
      <c r="AM31" s="80" t="str">
        <f t="shared" si="19"/>
        <v>31-90天</v>
      </c>
      <c r="AN31" s="81">
        <v>0.7</v>
      </c>
      <c r="AO31" s="80" t="s">
        <v>575</v>
      </c>
      <c r="AP31" s="130">
        <f t="shared" si="6"/>
        <v>8.3958168</v>
      </c>
      <c r="AQ31" s="95"/>
    </row>
    <row r="32" spans="1:43">
      <c r="A32" s="80">
        <v>202510</v>
      </c>
      <c r="B32" s="131">
        <v>45957</v>
      </c>
      <c r="C32" s="80" t="s">
        <v>613</v>
      </c>
      <c r="D32" s="80" t="str">
        <f t="shared" ref="D32:I32" si="44">D31</f>
        <v>M » N2 - 1</v>
      </c>
      <c r="E32" s="80" t="str">
        <f t="shared" si="44"/>
        <v>YCD-EX:HUPPER TEK</v>
      </c>
      <c r="F32" s="80" t="str">
        <f t="shared" si="44"/>
        <v>MI202508130012</v>
      </c>
      <c r="G32" s="80" t="str">
        <f t="shared" si="44"/>
        <v>DE2508031-G7-MIC</v>
      </c>
      <c r="H32" s="132">
        <f t="shared" si="44"/>
        <v>45889</v>
      </c>
      <c r="I32" s="133" t="str">
        <f t="shared" si="44"/>
        <v>B07BK8W5MF</v>
      </c>
      <c r="J32" s="80"/>
      <c r="K32" s="134" t="str">
        <f t="shared" si="8"/>
        <v>金属储物柜71英寸银色</v>
      </c>
      <c r="L32" s="80"/>
      <c r="M32" s="123">
        <f t="shared" si="9"/>
        <v>188</v>
      </c>
      <c r="N32" s="123">
        <f t="shared" si="10"/>
        <v>49</v>
      </c>
      <c r="O32" s="123">
        <f t="shared" si="11"/>
        <v>14</v>
      </c>
      <c r="P32" s="80">
        <f t="shared" si="0"/>
        <v>0.128968</v>
      </c>
      <c r="Q32" s="80"/>
      <c r="R32" s="123">
        <f t="shared" si="12"/>
        <v>188</v>
      </c>
      <c r="S32" s="123">
        <f t="shared" si="13"/>
        <v>49</v>
      </c>
      <c r="T32" s="123">
        <f t="shared" si="14"/>
        <v>14</v>
      </c>
      <c r="U32" s="80">
        <f t="shared" si="1"/>
        <v>0.128968</v>
      </c>
      <c r="V32" s="80"/>
      <c r="W32" s="80"/>
      <c r="X32" s="80"/>
      <c r="Y32" s="80"/>
      <c r="Z32" s="80"/>
      <c r="AA32" s="80">
        <f t="shared" si="15"/>
        <v>21</v>
      </c>
      <c r="AB32" s="80">
        <f t="shared" si="16"/>
        <v>247</v>
      </c>
      <c r="AC32" s="80">
        <f t="shared" si="17"/>
        <v>247</v>
      </c>
      <c r="AD32" s="80">
        <v>0</v>
      </c>
      <c r="AE32" s="126">
        <f t="shared" si="18"/>
        <v>93</v>
      </c>
      <c r="AF32" s="126"/>
      <c r="AG32" s="127">
        <v>2</v>
      </c>
      <c r="AH32" s="128">
        <f t="shared" si="2"/>
        <v>91</v>
      </c>
      <c r="AI32" s="80" t="s">
        <v>568</v>
      </c>
      <c r="AJ32" s="129">
        <f t="shared" si="3"/>
        <v>11.736088</v>
      </c>
      <c r="AK32" s="129">
        <f t="shared" si="4"/>
        <v>11.736088</v>
      </c>
      <c r="AL32" s="80">
        <f t="shared" si="5"/>
        <v>69</v>
      </c>
      <c r="AM32" s="80" t="str">
        <f t="shared" si="19"/>
        <v>31-90天</v>
      </c>
      <c r="AN32" s="81">
        <v>0.7</v>
      </c>
      <c r="AO32" s="80" t="s">
        <v>575</v>
      </c>
      <c r="AP32" s="130">
        <f t="shared" si="6"/>
        <v>8.2152616</v>
      </c>
      <c r="AQ32" s="95"/>
    </row>
    <row r="33" spans="1:43">
      <c r="A33" s="80">
        <v>202510</v>
      </c>
      <c r="B33" s="131">
        <v>45958</v>
      </c>
      <c r="C33" s="80" t="s">
        <v>613</v>
      </c>
      <c r="D33" s="80" t="str">
        <f t="shared" ref="D33:I33" si="45">D32</f>
        <v>M » N2 - 1</v>
      </c>
      <c r="E33" s="80" t="str">
        <f t="shared" si="45"/>
        <v>YCD-EX:HUPPER TEK</v>
      </c>
      <c r="F33" s="80" t="str">
        <f t="shared" si="45"/>
        <v>MI202508130012</v>
      </c>
      <c r="G33" s="80" t="str">
        <f t="shared" si="45"/>
        <v>DE2508031-G7-MIC</v>
      </c>
      <c r="H33" s="132">
        <f t="shared" si="45"/>
        <v>45889</v>
      </c>
      <c r="I33" s="133" t="str">
        <f t="shared" si="45"/>
        <v>B07BK8W5MF</v>
      </c>
      <c r="J33" s="80"/>
      <c r="K33" s="134" t="str">
        <f t="shared" si="8"/>
        <v>金属储物柜71英寸银色</v>
      </c>
      <c r="L33" s="80"/>
      <c r="M33" s="123">
        <f t="shared" si="9"/>
        <v>188</v>
      </c>
      <c r="N33" s="123">
        <f t="shared" si="10"/>
        <v>49</v>
      </c>
      <c r="O33" s="123">
        <f t="shared" si="11"/>
        <v>14</v>
      </c>
      <c r="P33" s="80">
        <f t="shared" si="0"/>
        <v>0.128968</v>
      </c>
      <c r="Q33" s="80"/>
      <c r="R33" s="123">
        <f t="shared" si="12"/>
        <v>188</v>
      </c>
      <c r="S33" s="123">
        <f t="shared" si="13"/>
        <v>49</v>
      </c>
      <c r="T33" s="123">
        <f t="shared" si="14"/>
        <v>14</v>
      </c>
      <c r="U33" s="80">
        <f t="shared" si="1"/>
        <v>0.128968</v>
      </c>
      <c r="V33" s="80"/>
      <c r="W33" s="80"/>
      <c r="X33" s="80"/>
      <c r="Y33" s="80"/>
      <c r="Z33" s="80"/>
      <c r="AA33" s="80">
        <f t="shared" si="15"/>
        <v>21</v>
      </c>
      <c r="AB33" s="80">
        <f t="shared" si="16"/>
        <v>247</v>
      </c>
      <c r="AC33" s="80">
        <f t="shared" si="17"/>
        <v>247</v>
      </c>
      <c r="AD33" s="80">
        <v>0</v>
      </c>
      <c r="AE33" s="126">
        <f t="shared" si="18"/>
        <v>91</v>
      </c>
      <c r="AF33" s="126"/>
      <c r="AG33" s="135"/>
      <c r="AH33" s="128">
        <f t="shared" si="2"/>
        <v>91</v>
      </c>
      <c r="AI33" s="80" t="s">
        <v>568</v>
      </c>
      <c r="AJ33" s="129">
        <f t="shared" si="3"/>
        <v>11.736088</v>
      </c>
      <c r="AK33" s="129">
        <f t="shared" si="4"/>
        <v>11.736088</v>
      </c>
      <c r="AL33" s="80">
        <f t="shared" si="5"/>
        <v>70</v>
      </c>
      <c r="AM33" s="80" t="str">
        <f t="shared" si="19"/>
        <v>31-90天</v>
      </c>
      <c r="AN33" s="81">
        <v>0.7</v>
      </c>
      <c r="AO33" s="80" t="s">
        <v>575</v>
      </c>
      <c r="AP33" s="130">
        <f t="shared" si="6"/>
        <v>8.2152616</v>
      </c>
      <c r="AQ33" s="95"/>
    </row>
    <row r="34" spans="1:43">
      <c r="A34" s="80">
        <v>202510</v>
      </c>
      <c r="B34" s="131">
        <v>45959</v>
      </c>
      <c r="C34" s="80" t="s">
        <v>613</v>
      </c>
      <c r="D34" s="80" t="str">
        <f t="shared" ref="D34:I34" si="46">D33</f>
        <v>M » N2 - 1</v>
      </c>
      <c r="E34" s="80" t="str">
        <f t="shared" si="46"/>
        <v>YCD-EX:HUPPER TEK</v>
      </c>
      <c r="F34" s="80" t="str">
        <f t="shared" si="46"/>
        <v>MI202508130012</v>
      </c>
      <c r="G34" s="80" t="str">
        <f t="shared" si="46"/>
        <v>DE2508031-G7-MIC</v>
      </c>
      <c r="H34" s="132">
        <f t="shared" si="46"/>
        <v>45889</v>
      </c>
      <c r="I34" s="133" t="str">
        <f t="shared" si="46"/>
        <v>B07BK8W5MF</v>
      </c>
      <c r="J34" s="80"/>
      <c r="K34" s="134" t="str">
        <f t="shared" si="8"/>
        <v>金属储物柜71英寸银色</v>
      </c>
      <c r="L34" s="80"/>
      <c r="M34" s="123">
        <f t="shared" si="9"/>
        <v>188</v>
      </c>
      <c r="N34" s="123">
        <f t="shared" si="10"/>
        <v>49</v>
      </c>
      <c r="O34" s="123">
        <f t="shared" si="11"/>
        <v>14</v>
      </c>
      <c r="P34" s="80">
        <f t="shared" si="0"/>
        <v>0.128968</v>
      </c>
      <c r="Q34" s="80"/>
      <c r="R34" s="123">
        <f t="shared" si="12"/>
        <v>188</v>
      </c>
      <c r="S34" s="123">
        <f t="shared" si="13"/>
        <v>49</v>
      </c>
      <c r="T34" s="123">
        <f t="shared" si="14"/>
        <v>14</v>
      </c>
      <c r="U34" s="80">
        <f t="shared" si="1"/>
        <v>0.128968</v>
      </c>
      <c r="V34" s="80"/>
      <c r="W34" s="80"/>
      <c r="X34" s="80"/>
      <c r="Y34" s="80"/>
      <c r="Z34" s="80"/>
      <c r="AA34" s="80">
        <f t="shared" si="15"/>
        <v>21</v>
      </c>
      <c r="AB34" s="80">
        <f t="shared" si="16"/>
        <v>247</v>
      </c>
      <c r="AC34" s="80">
        <f t="shared" si="17"/>
        <v>247</v>
      </c>
      <c r="AD34" s="80">
        <v>0</v>
      </c>
      <c r="AE34" s="126">
        <f t="shared" si="18"/>
        <v>91</v>
      </c>
      <c r="AF34" s="126"/>
      <c r="AG34" s="135"/>
      <c r="AH34" s="128">
        <f t="shared" si="2"/>
        <v>91</v>
      </c>
      <c r="AI34" s="80" t="s">
        <v>568</v>
      </c>
      <c r="AJ34" s="129">
        <f t="shared" si="3"/>
        <v>11.736088</v>
      </c>
      <c r="AK34" s="129">
        <f t="shared" si="4"/>
        <v>11.736088</v>
      </c>
      <c r="AL34" s="80">
        <f t="shared" si="5"/>
        <v>71</v>
      </c>
      <c r="AM34" s="80" t="str">
        <f t="shared" si="19"/>
        <v>31-90天</v>
      </c>
      <c r="AN34" s="81">
        <v>0.7</v>
      </c>
      <c r="AO34" s="80" t="s">
        <v>575</v>
      </c>
      <c r="AP34" s="130">
        <f t="shared" si="6"/>
        <v>8.2152616</v>
      </c>
      <c r="AQ34" s="95"/>
    </row>
    <row r="35" spans="1:43">
      <c r="A35" s="80">
        <v>202510</v>
      </c>
      <c r="B35" s="131">
        <v>45960</v>
      </c>
      <c r="C35" s="80" t="s">
        <v>613</v>
      </c>
      <c r="D35" s="80" t="str">
        <f t="shared" ref="D35:I35" si="47">D34</f>
        <v>M » N2 - 1</v>
      </c>
      <c r="E35" s="80" t="str">
        <f t="shared" si="47"/>
        <v>YCD-EX:HUPPER TEK</v>
      </c>
      <c r="F35" s="80" t="str">
        <f t="shared" si="47"/>
        <v>MI202508130012</v>
      </c>
      <c r="G35" s="80" t="str">
        <f t="shared" si="47"/>
        <v>DE2508031-G7-MIC</v>
      </c>
      <c r="H35" s="132">
        <f t="shared" si="47"/>
        <v>45889</v>
      </c>
      <c r="I35" s="133" t="str">
        <f t="shared" si="47"/>
        <v>B07BK8W5MF</v>
      </c>
      <c r="J35" s="80"/>
      <c r="K35" s="134" t="str">
        <f t="shared" si="8"/>
        <v>金属储物柜71英寸银色</v>
      </c>
      <c r="L35" s="80"/>
      <c r="M35" s="123">
        <f t="shared" si="9"/>
        <v>188</v>
      </c>
      <c r="N35" s="123">
        <f t="shared" si="10"/>
        <v>49</v>
      </c>
      <c r="O35" s="123">
        <f t="shared" si="11"/>
        <v>14</v>
      </c>
      <c r="P35" s="80">
        <f t="shared" si="0"/>
        <v>0.128968</v>
      </c>
      <c r="Q35" s="80"/>
      <c r="R35" s="123">
        <f t="shared" si="12"/>
        <v>188</v>
      </c>
      <c r="S35" s="123">
        <f t="shared" si="13"/>
        <v>49</v>
      </c>
      <c r="T35" s="123">
        <f t="shared" si="14"/>
        <v>14</v>
      </c>
      <c r="U35" s="80">
        <f t="shared" si="1"/>
        <v>0.128968</v>
      </c>
      <c r="V35" s="80"/>
      <c r="W35" s="80"/>
      <c r="X35" s="80"/>
      <c r="Y35" s="80"/>
      <c r="Z35" s="80"/>
      <c r="AA35" s="80">
        <f t="shared" si="15"/>
        <v>21</v>
      </c>
      <c r="AB35" s="80">
        <f t="shared" si="16"/>
        <v>247</v>
      </c>
      <c r="AC35" s="80">
        <f t="shared" si="17"/>
        <v>247</v>
      </c>
      <c r="AD35" s="80">
        <v>0</v>
      </c>
      <c r="AE35" s="126">
        <f t="shared" si="18"/>
        <v>91</v>
      </c>
      <c r="AF35" s="126"/>
      <c r="AG35" s="135"/>
      <c r="AH35" s="128">
        <f t="shared" si="2"/>
        <v>91</v>
      </c>
      <c r="AI35" s="80" t="s">
        <v>568</v>
      </c>
      <c r="AJ35" s="129">
        <f t="shared" si="3"/>
        <v>11.736088</v>
      </c>
      <c r="AK35" s="129">
        <f t="shared" si="4"/>
        <v>11.736088</v>
      </c>
      <c r="AL35" s="80">
        <f t="shared" si="5"/>
        <v>72</v>
      </c>
      <c r="AM35" s="80" t="str">
        <f t="shared" si="19"/>
        <v>31-90天</v>
      </c>
      <c r="AN35" s="81">
        <v>0.7</v>
      </c>
      <c r="AO35" s="80" t="s">
        <v>575</v>
      </c>
      <c r="AP35" s="130">
        <f t="shared" si="6"/>
        <v>8.2152616</v>
      </c>
      <c r="AQ35" s="95"/>
    </row>
    <row r="36" spans="1:43">
      <c r="A36" s="80">
        <v>202510</v>
      </c>
      <c r="B36" s="131">
        <v>45961</v>
      </c>
      <c r="C36" s="80" t="s">
        <v>613</v>
      </c>
      <c r="D36" s="80" t="str">
        <f t="shared" ref="D36:I36" si="48">D35</f>
        <v>M » N2 - 1</v>
      </c>
      <c r="E36" s="80" t="str">
        <f t="shared" si="48"/>
        <v>YCD-EX:HUPPER TEK</v>
      </c>
      <c r="F36" s="80" t="str">
        <f t="shared" si="48"/>
        <v>MI202508130012</v>
      </c>
      <c r="G36" s="80" t="str">
        <f t="shared" si="48"/>
        <v>DE2508031-G7-MIC</v>
      </c>
      <c r="H36" s="132">
        <f t="shared" si="48"/>
        <v>45889</v>
      </c>
      <c r="I36" s="133" t="str">
        <f t="shared" si="48"/>
        <v>B07BK8W5MF</v>
      </c>
      <c r="J36" s="80"/>
      <c r="K36" s="134" t="str">
        <f t="shared" si="8"/>
        <v>金属储物柜71英寸银色</v>
      </c>
      <c r="L36" s="80"/>
      <c r="M36" s="123">
        <f t="shared" si="9"/>
        <v>188</v>
      </c>
      <c r="N36" s="123">
        <f t="shared" si="10"/>
        <v>49</v>
      </c>
      <c r="O36" s="123">
        <f t="shared" si="11"/>
        <v>14</v>
      </c>
      <c r="P36" s="80">
        <f t="shared" si="0"/>
        <v>0.128968</v>
      </c>
      <c r="Q36" s="80"/>
      <c r="R36" s="123">
        <f t="shared" si="12"/>
        <v>188</v>
      </c>
      <c r="S36" s="123">
        <f t="shared" si="13"/>
        <v>49</v>
      </c>
      <c r="T36" s="123">
        <f t="shared" si="14"/>
        <v>14</v>
      </c>
      <c r="U36" s="80">
        <f t="shared" si="1"/>
        <v>0.128968</v>
      </c>
      <c r="V36" s="80"/>
      <c r="W36" s="80"/>
      <c r="X36" s="80"/>
      <c r="Y36" s="80"/>
      <c r="Z36" s="80"/>
      <c r="AA36" s="80">
        <f t="shared" si="15"/>
        <v>21</v>
      </c>
      <c r="AB36" s="80">
        <f t="shared" si="16"/>
        <v>247</v>
      </c>
      <c r="AC36" s="80">
        <f t="shared" si="17"/>
        <v>247</v>
      </c>
      <c r="AD36" s="80">
        <v>0</v>
      </c>
      <c r="AE36" s="126">
        <f t="shared" si="18"/>
        <v>91</v>
      </c>
      <c r="AF36" s="125"/>
      <c r="AG36" s="135"/>
      <c r="AH36" s="137">
        <f t="shared" si="2"/>
        <v>91</v>
      </c>
      <c r="AI36" s="80" t="s">
        <v>568</v>
      </c>
      <c r="AJ36" s="129">
        <f t="shared" si="3"/>
        <v>11.736088</v>
      </c>
      <c r="AK36" s="129">
        <f t="shared" si="4"/>
        <v>11.736088</v>
      </c>
      <c r="AL36" s="80">
        <f t="shared" si="5"/>
        <v>73</v>
      </c>
      <c r="AM36" s="80" t="str">
        <f t="shared" si="19"/>
        <v>31-90天</v>
      </c>
      <c r="AN36" s="81">
        <v>0.7</v>
      </c>
      <c r="AO36" s="80" t="s">
        <v>575</v>
      </c>
      <c r="AP36" s="130">
        <f t="shared" si="6"/>
        <v>8.2152616</v>
      </c>
      <c r="AQ36" s="95"/>
    </row>
    <row r="37" spans="1:43">
      <c r="A37" s="80">
        <v>202510</v>
      </c>
      <c r="B37" s="120">
        <v>45931</v>
      </c>
      <c r="C37" s="80" t="s">
        <v>613</v>
      </c>
      <c r="D37" s="10" t="s">
        <v>614</v>
      </c>
      <c r="E37" s="10" t="s">
        <v>97</v>
      </c>
      <c r="F37" s="10" t="s">
        <v>615</v>
      </c>
      <c r="G37" s="10" t="s">
        <v>616</v>
      </c>
      <c r="H37" s="121">
        <v>45889</v>
      </c>
      <c r="I37" s="10" t="s">
        <v>243</v>
      </c>
      <c r="J37" s="10"/>
      <c r="K37" s="122" t="str">
        <f>VLOOKUP(I37,物品明细!A:B,2,0)</f>
        <v>金属储物柜71英寸灰色</v>
      </c>
      <c r="L37" s="80"/>
      <c r="M37" s="123">
        <f>VLOOKUP(I37,物品明细!A:E,5,0)</f>
        <v>188</v>
      </c>
      <c r="N37" s="123">
        <f>VLOOKUP(I37,物品明细!A:F,6,0)</f>
        <v>49</v>
      </c>
      <c r="O37" s="123">
        <f>VLOOKUP(I37,物品明细!A:G,7,0)</f>
        <v>14</v>
      </c>
      <c r="P37" s="80">
        <f t="shared" si="0"/>
        <v>0.128968</v>
      </c>
      <c r="Q37" s="80"/>
      <c r="R37" s="123">
        <f>VLOOKUP(I37,物品明细!A:E,5,0)</f>
        <v>188</v>
      </c>
      <c r="S37" s="123">
        <f>VLOOKUP(I37,物品明细!A:F,6,0)</f>
        <v>49</v>
      </c>
      <c r="T37" s="123">
        <f>VLOOKUP(I37,物品明细!A:G,7,0)</f>
        <v>14</v>
      </c>
      <c r="U37" s="80">
        <f t="shared" si="1"/>
        <v>0.128968</v>
      </c>
      <c r="V37" s="80"/>
      <c r="W37" s="80"/>
      <c r="X37" s="80"/>
      <c r="Y37" s="80"/>
      <c r="Z37" s="80"/>
      <c r="AA37" s="124">
        <v>19</v>
      </c>
      <c r="AB37" s="124">
        <v>223</v>
      </c>
      <c r="AC37" s="124">
        <v>223</v>
      </c>
      <c r="AD37" s="80">
        <v>0</v>
      </c>
      <c r="AE37" s="125">
        <v>129</v>
      </c>
      <c r="AF37" s="126"/>
      <c r="AG37" s="135"/>
      <c r="AH37" s="128">
        <f t="shared" si="2"/>
        <v>129</v>
      </c>
      <c r="AI37" s="80" t="s">
        <v>568</v>
      </c>
      <c r="AJ37" s="129">
        <f t="shared" si="3"/>
        <v>16.636872</v>
      </c>
      <c r="AK37" s="129">
        <f t="shared" si="4"/>
        <v>16.636872</v>
      </c>
      <c r="AL37" s="80">
        <f t="shared" si="5"/>
        <v>43</v>
      </c>
      <c r="AM37" s="80" t="str">
        <f t="shared" si="19"/>
        <v>31-90天</v>
      </c>
      <c r="AN37" s="81">
        <v>0.7</v>
      </c>
      <c r="AO37" s="80" t="s">
        <v>575</v>
      </c>
      <c r="AP37" s="130">
        <f t="shared" si="6"/>
        <v>11.6458104</v>
      </c>
      <c r="AQ37" s="95"/>
    </row>
    <row r="38" spans="1:43">
      <c r="A38" s="80">
        <v>202510</v>
      </c>
      <c r="B38" s="131">
        <v>45932</v>
      </c>
      <c r="C38" s="80" t="s">
        <v>613</v>
      </c>
      <c r="D38" s="3" t="str">
        <f t="shared" ref="D38:I38" si="49">D37</f>
        <v>M » N2 - 1</v>
      </c>
      <c r="E38" s="80" t="str">
        <f t="shared" si="49"/>
        <v>YCD-EX:HUPPER TEK</v>
      </c>
      <c r="F38" s="80" t="str">
        <f t="shared" si="49"/>
        <v>MI202508130012</v>
      </c>
      <c r="G38" s="80" t="str">
        <f t="shared" si="49"/>
        <v>DE2508031-G7-MIC</v>
      </c>
      <c r="H38" s="132">
        <f t="shared" si="49"/>
        <v>45889</v>
      </c>
      <c r="I38" s="133" t="str">
        <f t="shared" si="49"/>
        <v>B076THQBHX</v>
      </c>
      <c r="J38" s="80"/>
      <c r="K38" s="134" t="str">
        <f t="shared" ref="K38:K67" si="50">K37</f>
        <v>金属储物柜71英寸灰色</v>
      </c>
      <c r="L38" s="80"/>
      <c r="M38" s="123">
        <f t="shared" ref="M38:M67" si="51">M37</f>
        <v>188</v>
      </c>
      <c r="N38" s="123">
        <f t="shared" ref="N38:N67" si="52">N37</f>
        <v>49</v>
      </c>
      <c r="O38" s="123">
        <f t="shared" ref="O38:O67" si="53">O37</f>
        <v>14</v>
      </c>
      <c r="P38" s="80">
        <f t="shared" si="0"/>
        <v>0.128968</v>
      </c>
      <c r="Q38" s="80"/>
      <c r="R38" s="123">
        <f t="shared" ref="R38:R67" si="54">R37</f>
        <v>188</v>
      </c>
      <c r="S38" s="123">
        <f t="shared" ref="S38:S67" si="55">S37</f>
        <v>49</v>
      </c>
      <c r="T38" s="123">
        <f t="shared" ref="T38:T67" si="56">T37</f>
        <v>14</v>
      </c>
      <c r="U38" s="80">
        <f t="shared" si="1"/>
        <v>0.128968</v>
      </c>
      <c r="V38" s="80"/>
      <c r="W38" s="80"/>
      <c r="X38" s="80"/>
      <c r="Y38" s="80"/>
      <c r="Z38" s="80"/>
      <c r="AA38" s="80">
        <f t="shared" ref="AA38:AA67" si="57">AA37</f>
        <v>19</v>
      </c>
      <c r="AB38" s="80">
        <f t="shared" ref="AB38:AB67" si="58">AB37</f>
        <v>223</v>
      </c>
      <c r="AC38" s="80">
        <f t="shared" ref="AC38:AC67" si="59">AC37</f>
        <v>223</v>
      </c>
      <c r="AD38" s="80">
        <v>0</v>
      </c>
      <c r="AE38" s="126">
        <f t="shared" ref="AE38:AE67" si="60">AH37</f>
        <v>129</v>
      </c>
      <c r="AF38" s="126"/>
      <c r="AG38" s="135"/>
      <c r="AH38" s="128">
        <f t="shared" si="2"/>
        <v>129</v>
      </c>
      <c r="AI38" s="80" t="s">
        <v>568</v>
      </c>
      <c r="AJ38" s="129">
        <f t="shared" si="3"/>
        <v>16.636872</v>
      </c>
      <c r="AK38" s="129">
        <f t="shared" si="4"/>
        <v>16.636872</v>
      </c>
      <c r="AL38" s="80">
        <f t="shared" si="5"/>
        <v>44</v>
      </c>
      <c r="AM38" s="80" t="str">
        <f t="shared" si="19"/>
        <v>31-90天</v>
      </c>
      <c r="AN38" s="81">
        <v>0.7</v>
      </c>
      <c r="AO38" s="80" t="s">
        <v>575</v>
      </c>
      <c r="AP38" s="130">
        <f t="shared" si="6"/>
        <v>11.6458104</v>
      </c>
      <c r="AQ38" s="95"/>
    </row>
    <row r="39" spans="1:43">
      <c r="A39" s="80">
        <v>202510</v>
      </c>
      <c r="B39" s="131">
        <v>45933</v>
      </c>
      <c r="C39" s="80" t="s">
        <v>613</v>
      </c>
      <c r="D39" s="80" t="str">
        <f t="shared" ref="D39:I39" si="61">D38</f>
        <v>M » N2 - 1</v>
      </c>
      <c r="E39" s="80" t="str">
        <f t="shared" si="61"/>
        <v>YCD-EX:HUPPER TEK</v>
      </c>
      <c r="F39" s="80" t="str">
        <f t="shared" si="61"/>
        <v>MI202508130012</v>
      </c>
      <c r="G39" s="80" t="str">
        <f t="shared" si="61"/>
        <v>DE2508031-G7-MIC</v>
      </c>
      <c r="H39" s="132">
        <f t="shared" si="61"/>
        <v>45889</v>
      </c>
      <c r="I39" s="133" t="str">
        <f t="shared" si="61"/>
        <v>B076THQBHX</v>
      </c>
      <c r="J39" s="80"/>
      <c r="K39" s="134" t="str">
        <f t="shared" si="50"/>
        <v>金属储物柜71英寸灰色</v>
      </c>
      <c r="L39" s="80"/>
      <c r="M39" s="123">
        <f t="shared" si="51"/>
        <v>188</v>
      </c>
      <c r="N39" s="123">
        <f t="shared" si="52"/>
        <v>49</v>
      </c>
      <c r="O39" s="123">
        <f t="shared" si="53"/>
        <v>14</v>
      </c>
      <c r="P39" s="80">
        <f t="shared" si="0"/>
        <v>0.128968</v>
      </c>
      <c r="Q39" s="80"/>
      <c r="R39" s="123">
        <f t="shared" si="54"/>
        <v>188</v>
      </c>
      <c r="S39" s="123">
        <f t="shared" si="55"/>
        <v>49</v>
      </c>
      <c r="T39" s="123">
        <f t="shared" si="56"/>
        <v>14</v>
      </c>
      <c r="U39" s="80">
        <f t="shared" si="1"/>
        <v>0.128968</v>
      </c>
      <c r="V39" s="80"/>
      <c r="W39" s="80"/>
      <c r="X39" s="80"/>
      <c r="Y39" s="80"/>
      <c r="Z39" s="80"/>
      <c r="AA39" s="80">
        <f t="shared" si="57"/>
        <v>19</v>
      </c>
      <c r="AB39" s="80">
        <f t="shared" si="58"/>
        <v>223</v>
      </c>
      <c r="AC39" s="80">
        <f t="shared" si="59"/>
        <v>223</v>
      </c>
      <c r="AD39" s="80">
        <v>0</v>
      </c>
      <c r="AE39" s="126">
        <f t="shared" si="60"/>
        <v>129</v>
      </c>
      <c r="AF39" s="126"/>
      <c r="AG39" s="135"/>
      <c r="AH39" s="128">
        <f t="shared" si="2"/>
        <v>129</v>
      </c>
      <c r="AI39" s="80" t="s">
        <v>568</v>
      </c>
      <c r="AJ39" s="129">
        <f t="shared" si="3"/>
        <v>16.636872</v>
      </c>
      <c r="AK39" s="129">
        <f t="shared" si="4"/>
        <v>16.636872</v>
      </c>
      <c r="AL39" s="80">
        <f t="shared" si="5"/>
        <v>45</v>
      </c>
      <c r="AM39" s="80" t="str">
        <f t="shared" ref="AM39:AM70" si="62">IF(AL39&lt;=30,"30天内",IF(AL39&lt;=90,"31-90天","91天以上"))</f>
        <v>31-90天</v>
      </c>
      <c r="AN39" s="81">
        <v>0.7</v>
      </c>
      <c r="AO39" s="80" t="s">
        <v>575</v>
      </c>
      <c r="AP39" s="130">
        <f t="shared" si="6"/>
        <v>11.6458104</v>
      </c>
      <c r="AQ39" s="95"/>
    </row>
    <row r="40" spans="1:43">
      <c r="A40" s="80">
        <v>202510</v>
      </c>
      <c r="B40" s="131">
        <v>45934</v>
      </c>
      <c r="C40" s="80" t="s">
        <v>613</v>
      </c>
      <c r="D40" s="80" t="str">
        <f t="shared" ref="D40:I40" si="63">D39</f>
        <v>M » N2 - 1</v>
      </c>
      <c r="E40" s="80" t="str">
        <f t="shared" si="63"/>
        <v>YCD-EX:HUPPER TEK</v>
      </c>
      <c r="F40" s="80" t="str">
        <f t="shared" si="63"/>
        <v>MI202508130012</v>
      </c>
      <c r="G40" s="80" t="str">
        <f t="shared" si="63"/>
        <v>DE2508031-G7-MIC</v>
      </c>
      <c r="H40" s="132">
        <f t="shared" si="63"/>
        <v>45889</v>
      </c>
      <c r="I40" s="133" t="str">
        <f t="shared" si="63"/>
        <v>B076THQBHX</v>
      </c>
      <c r="J40" s="80"/>
      <c r="K40" s="134" t="str">
        <f t="shared" si="50"/>
        <v>金属储物柜71英寸灰色</v>
      </c>
      <c r="L40" s="80"/>
      <c r="M40" s="123">
        <f t="shared" si="51"/>
        <v>188</v>
      </c>
      <c r="N40" s="123">
        <f t="shared" si="52"/>
        <v>49</v>
      </c>
      <c r="O40" s="123">
        <f t="shared" si="53"/>
        <v>14</v>
      </c>
      <c r="P40" s="80">
        <f t="shared" si="0"/>
        <v>0.128968</v>
      </c>
      <c r="Q40" s="80"/>
      <c r="R40" s="123">
        <f t="shared" si="54"/>
        <v>188</v>
      </c>
      <c r="S40" s="123">
        <f t="shared" si="55"/>
        <v>49</v>
      </c>
      <c r="T40" s="123">
        <f t="shared" si="56"/>
        <v>14</v>
      </c>
      <c r="U40" s="80">
        <f t="shared" si="1"/>
        <v>0.128968</v>
      </c>
      <c r="V40" s="80"/>
      <c r="W40" s="80"/>
      <c r="X40" s="80"/>
      <c r="Y40" s="80"/>
      <c r="Z40" s="80"/>
      <c r="AA40" s="80">
        <f t="shared" si="57"/>
        <v>19</v>
      </c>
      <c r="AB40" s="80">
        <f t="shared" si="58"/>
        <v>223</v>
      </c>
      <c r="AC40" s="80">
        <f t="shared" si="59"/>
        <v>223</v>
      </c>
      <c r="AD40" s="80">
        <v>0</v>
      </c>
      <c r="AE40" s="126">
        <f t="shared" si="60"/>
        <v>129</v>
      </c>
      <c r="AF40" s="126"/>
      <c r="AG40" s="135"/>
      <c r="AH40" s="128">
        <f t="shared" si="2"/>
        <v>129</v>
      </c>
      <c r="AI40" s="80" t="s">
        <v>568</v>
      </c>
      <c r="AJ40" s="129">
        <f t="shared" si="3"/>
        <v>16.636872</v>
      </c>
      <c r="AK40" s="129">
        <f t="shared" si="4"/>
        <v>16.636872</v>
      </c>
      <c r="AL40" s="80">
        <f t="shared" si="5"/>
        <v>46</v>
      </c>
      <c r="AM40" s="80" t="str">
        <f t="shared" si="62"/>
        <v>31-90天</v>
      </c>
      <c r="AN40" s="81">
        <v>0.7</v>
      </c>
      <c r="AO40" s="80" t="s">
        <v>575</v>
      </c>
      <c r="AP40" s="130">
        <f t="shared" si="6"/>
        <v>11.6458104</v>
      </c>
      <c r="AQ40" s="95"/>
    </row>
    <row r="41" spans="1:43">
      <c r="A41" s="80">
        <v>202510</v>
      </c>
      <c r="B41" s="131">
        <v>45935</v>
      </c>
      <c r="C41" s="80" t="s">
        <v>613</v>
      </c>
      <c r="D41" s="80" t="str">
        <f t="shared" ref="D41:I41" si="64">D40</f>
        <v>M » N2 - 1</v>
      </c>
      <c r="E41" s="80" t="str">
        <f t="shared" si="64"/>
        <v>YCD-EX:HUPPER TEK</v>
      </c>
      <c r="F41" s="80" t="str">
        <f t="shared" si="64"/>
        <v>MI202508130012</v>
      </c>
      <c r="G41" s="80" t="str">
        <f t="shared" si="64"/>
        <v>DE2508031-G7-MIC</v>
      </c>
      <c r="H41" s="132">
        <f t="shared" si="64"/>
        <v>45889</v>
      </c>
      <c r="I41" s="133" t="str">
        <f t="shared" si="64"/>
        <v>B076THQBHX</v>
      </c>
      <c r="J41" s="136"/>
      <c r="K41" s="134" t="str">
        <f t="shared" si="50"/>
        <v>金属储物柜71英寸灰色</v>
      </c>
      <c r="L41" s="80"/>
      <c r="M41" s="123">
        <f t="shared" si="51"/>
        <v>188</v>
      </c>
      <c r="N41" s="123">
        <f t="shared" si="52"/>
        <v>49</v>
      </c>
      <c r="O41" s="123">
        <f t="shared" si="53"/>
        <v>14</v>
      </c>
      <c r="P41" s="80">
        <f t="shared" si="0"/>
        <v>0.128968</v>
      </c>
      <c r="Q41" s="80"/>
      <c r="R41" s="123">
        <f t="shared" si="54"/>
        <v>188</v>
      </c>
      <c r="S41" s="123">
        <f t="shared" si="55"/>
        <v>49</v>
      </c>
      <c r="T41" s="123">
        <f t="shared" si="56"/>
        <v>14</v>
      </c>
      <c r="U41" s="80">
        <f t="shared" si="1"/>
        <v>0.128968</v>
      </c>
      <c r="V41" s="80"/>
      <c r="W41" s="80"/>
      <c r="X41" s="80"/>
      <c r="Y41" s="80"/>
      <c r="Z41" s="80"/>
      <c r="AA41" s="80">
        <f t="shared" si="57"/>
        <v>19</v>
      </c>
      <c r="AB41" s="80">
        <f t="shared" si="58"/>
        <v>223</v>
      </c>
      <c r="AC41" s="80">
        <f t="shared" si="59"/>
        <v>223</v>
      </c>
      <c r="AD41" s="80">
        <v>0</v>
      </c>
      <c r="AE41" s="126">
        <f t="shared" si="60"/>
        <v>129</v>
      </c>
      <c r="AF41" s="126"/>
      <c r="AG41" s="135"/>
      <c r="AH41" s="128">
        <f t="shared" si="2"/>
        <v>129</v>
      </c>
      <c r="AI41" s="80" t="s">
        <v>568</v>
      </c>
      <c r="AJ41" s="129">
        <f t="shared" si="3"/>
        <v>16.636872</v>
      </c>
      <c r="AK41" s="129">
        <f t="shared" si="4"/>
        <v>16.636872</v>
      </c>
      <c r="AL41" s="80">
        <f t="shared" si="5"/>
        <v>47</v>
      </c>
      <c r="AM41" s="80" t="str">
        <f t="shared" si="62"/>
        <v>31-90天</v>
      </c>
      <c r="AN41" s="81">
        <v>0.7</v>
      </c>
      <c r="AO41" s="80" t="s">
        <v>575</v>
      </c>
      <c r="AP41" s="130">
        <f t="shared" si="6"/>
        <v>11.6458104</v>
      </c>
      <c r="AQ41" s="95"/>
    </row>
    <row r="42" spans="1:43">
      <c r="A42" s="80">
        <v>202510</v>
      </c>
      <c r="B42" s="131">
        <v>45936</v>
      </c>
      <c r="C42" s="80" t="s">
        <v>613</v>
      </c>
      <c r="D42" s="80" t="str">
        <f t="shared" ref="D42:I42" si="65">D41</f>
        <v>M » N2 - 1</v>
      </c>
      <c r="E42" s="80" t="str">
        <f t="shared" si="65"/>
        <v>YCD-EX:HUPPER TEK</v>
      </c>
      <c r="F42" s="80" t="str">
        <f t="shared" si="65"/>
        <v>MI202508130012</v>
      </c>
      <c r="G42" s="80" t="str">
        <f t="shared" si="65"/>
        <v>DE2508031-G7-MIC</v>
      </c>
      <c r="H42" s="132">
        <f t="shared" si="65"/>
        <v>45889</v>
      </c>
      <c r="I42" s="133" t="str">
        <f t="shared" si="65"/>
        <v>B076THQBHX</v>
      </c>
      <c r="J42" s="80"/>
      <c r="K42" s="134" t="str">
        <f t="shared" si="50"/>
        <v>金属储物柜71英寸灰色</v>
      </c>
      <c r="L42" s="80"/>
      <c r="M42" s="123">
        <f t="shared" si="51"/>
        <v>188</v>
      </c>
      <c r="N42" s="123">
        <f t="shared" si="52"/>
        <v>49</v>
      </c>
      <c r="O42" s="123">
        <f t="shared" si="53"/>
        <v>14</v>
      </c>
      <c r="P42" s="80">
        <f t="shared" si="0"/>
        <v>0.128968</v>
      </c>
      <c r="Q42" s="80"/>
      <c r="R42" s="123">
        <f t="shared" si="54"/>
        <v>188</v>
      </c>
      <c r="S42" s="123">
        <f t="shared" si="55"/>
        <v>49</v>
      </c>
      <c r="T42" s="123">
        <f t="shared" si="56"/>
        <v>14</v>
      </c>
      <c r="U42" s="80">
        <f t="shared" si="1"/>
        <v>0.128968</v>
      </c>
      <c r="V42" s="80"/>
      <c r="W42" s="80"/>
      <c r="X42" s="80"/>
      <c r="Y42" s="80"/>
      <c r="Z42" s="80"/>
      <c r="AA42" s="80">
        <f t="shared" si="57"/>
        <v>19</v>
      </c>
      <c r="AB42" s="80">
        <f t="shared" si="58"/>
        <v>223</v>
      </c>
      <c r="AC42" s="80">
        <f t="shared" si="59"/>
        <v>223</v>
      </c>
      <c r="AD42" s="80">
        <v>0</v>
      </c>
      <c r="AE42" s="126">
        <f t="shared" si="60"/>
        <v>129</v>
      </c>
      <c r="AF42" s="126"/>
      <c r="AG42" s="127">
        <v>3</v>
      </c>
      <c r="AH42" s="128">
        <f t="shared" si="2"/>
        <v>126</v>
      </c>
      <c r="AI42" s="80" t="s">
        <v>568</v>
      </c>
      <c r="AJ42" s="129">
        <f t="shared" si="3"/>
        <v>16.249968</v>
      </c>
      <c r="AK42" s="129">
        <f t="shared" si="4"/>
        <v>16.249968</v>
      </c>
      <c r="AL42" s="80">
        <f t="shared" si="5"/>
        <v>48</v>
      </c>
      <c r="AM42" s="80" t="str">
        <f t="shared" si="62"/>
        <v>31-90天</v>
      </c>
      <c r="AN42" s="81">
        <v>0.7</v>
      </c>
      <c r="AO42" s="80" t="s">
        <v>575</v>
      </c>
      <c r="AP42" s="130">
        <f t="shared" si="6"/>
        <v>11.3749776</v>
      </c>
      <c r="AQ42" s="95"/>
    </row>
    <row r="43" spans="1:43">
      <c r="A43" s="80">
        <v>202510</v>
      </c>
      <c r="B43" s="131">
        <v>45937</v>
      </c>
      <c r="C43" s="80" t="s">
        <v>613</v>
      </c>
      <c r="D43" s="80" t="str">
        <f t="shared" ref="D43:I43" si="66">D42</f>
        <v>M » N2 - 1</v>
      </c>
      <c r="E43" s="80" t="str">
        <f t="shared" si="66"/>
        <v>YCD-EX:HUPPER TEK</v>
      </c>
      <c r="F43" s="80" t="str">
        <f t="shared" si="66"/>
        <v>MI202508130012</v>
      </c>
      <c r="G43" s="80" t="str">
        <f t="shared" si="66"/>
        <v>DE2508031-G7-MIC</v>
      </c>
      <c r="H43" s="132">
        <f t="shared" si="66"/>
        <v>45889</v>
      </c>
      <c r="I43" s="133" t="str">
        <f t="shared" si="66"/>
        <v>B076THQBHX</v>
      </c>
      <c r="J43" s="80"/>
      <c r="K43" s="134" t="str">
        <f t="shared" si="50"/>
        <v>金属储物柜71英寸灰色</v>
      </c>
      <c r="L43" s="80"/>
      <c r="M43" s="123">
        <f t="shared" si="51"/>
        <v>188</v>
      </c>
      <c r="N43" s="123">
        <f t="shared" si="52"/>
        <v>49</v>
      </c>
      <c r="O43" s="123">
        <f t="shared" si="53"/>
        <v>14</v>
      </c>
      <c r="P43" s="80">
        <f t="shared" si="0"/>
        <v>0.128968</v>
      </c>
      <c r="Q43" s="80"/>
      <c r="R43" s="123">
        <f t="shared" si="54"/>
        <v>188</v>
      </c>
      <c r="S43" s="123">
        <f t="shared" si="55"/>
        <v>49</v>
      </c>
      <c r="T43" s="123">
        <f t="shared" si="56"/>
        <v>14</v>
      </c>
      <c r="U43" s="80">
        <f t="shared" si="1"/>
        <v>0.128968</v>
      </c>
      <c r="V43" s="80"/>
      <c r="W43" s="80"/>
      <c r="X43" s="80"/>
      <c r="Y43" s="80"/>
      <c r="Z43" s="80"/>
      <c r="AA43" s="80">
        <f t="shared" si="57"/>
        <v>19</v>
      </c>
      <c r="AB43" s="80">
        <f t="shared" si="58"/>
        <v>223</v>
      </c>
      <c r="AC43" s="80">
        <f t="shared" si="59"/>
        <v>223</v>
      </c>
      <c r="AD43" s="80">
        <v>0</v>
      </c>
      <c r="AE43" s="126">
        <f t="shared" si="60"/>
        <v>126</v>
      </c>
      <c r="AF43" s="126"/>
      <c r="AG43" s="127">
        <v>1</v>
      </c>
      <c r="AH43" s="128">
        <f t="shared" si="2"/>
        <v>125</v>
      </c>
      <c r="AI43" s="80" t="s">
        <v>568</v>
      </c>
      <c r="AJ43" s="129">
        <f t="shared" si="3"/>
        <v>16.121</v>
      </c>
      <c r="AK43" s="129">
        <f t="shared" si="4"/>
        <v>16.121</v>
      </c>
      <c r="AL43" s="80">
        <f t="shared" si="5"/>
        <v>49</v>
      </c>
      <c r="AM43" s="80" t="str">
        <f t="shared" si="62"/>
        <v>31-90天</v>
      </c>
      <c r="AN43" s="81">
        <v>0.7</v>
      </c>
      <c r="AO43" s="80" t="s">
        <v>575</v>
      </c>
      <c r="AP43" s="130">
        <f t="shared" si="6"/>
        <v>11.2847</v>
      </c>
      <c r="AQ43" s="95"/>
    </row>
    <row r="44" spans="1:43">
      <c r="A44" s="80">
        <v>202510</v>
      </c>
      <c r="B44" s="131">
        <v>45938</v>
      </c>
      <c r="C44" s="80" t="s">
        <v>613</v>
      </c>
      <c r="D44" s="80" t="str">
        <f t="shared" ref="D44:I44" si="67">D43</f>
        <v>M » N2 - 1</v>
      </c>
      <c r="E44" s="80" t="str">
        <f t="shared" si="67"/>
        <v>YCD-EX:HUPPER TEK</v>
      </c>
      <c r="F44" s="80" t="str">
        <f t="shared" si="67"/>
        <v>MI202508130012</v>
      </c>
      <c r="G44" s="80" t="str">
        <f t="shared" si="67"/>
        <v>DE2508031-G7-MIC</v>
      </c>
      <c r="H44" s="132">
        <f t="shared" si="67"/>
        <v>45889</v>
      </c>
      <c r="I44" s="133" t="str">
        <f t="shared" si="67"/>
        <v>B076THQBHX</v>
      </c>
      <c r="J44" s="80"/>
      <c r="K44" s="134" t="str">
        <f t="shared" si="50"/>
        <v>金属储物柜71英寸灰色</v>
      </c>
      <c r="L44" s="80"/>
      <c r="M44" s="123">
        <f t="shared" si="51"/>
        <v>188</v>
      </c>
      <c r="N44" s="123">
        <f t="shared" si="52"/>
        <v>49</v>
      </c>
      <c r="O44" s="123">
        <f t="shared" si="53"/>
        <v>14</v>
      </c>
      <c r="P44" s="80">
        <f t="shared" si="0"/>
        <v>0.128968</v>
      </c>
      <c r="Q44" s="80"/>
      <c r="R44" s="123">
        <f t="shared" si="54"/>
        <v>188</v>
      </c>
      <c r="S44" s="123">
        <f t="shared" si="55"/>
        <v>49</v>
      </c>
      <c r="T44" s="123">
        <f t="shared" si="56"/>
        <v>14</v>
      </c>
      <c r="U44" s="80">
        <f t="shared" si="1"/>
        <v>0.128968</v>
      </c>
      <c r="V44" s="80"/>
      <c r="W44" s="80"/>
      <c r="X44" s="80"/>
      <c r="Y44" s="80"/>
      <c r="Z44" s="80"/>
      <c r="AA44" s="80">
        <f t="shared" si="57"/>
        <v>19</v>
      </c>
      <c r="AB44" s="80">
        <f t="shared" si="58"/>
        <v>223</v>
      </c>
      <c r="AC44" s="80">
        <f t="shared" si="59"/>
        <v>223</v>
      </c>
      <c r="AD44" s="80">
        <v>0</v>
      </c>
      <c r="AE44" s="126">
        <f t="shared" si="60"/>
        <v>125</v>
      </c>
      <c r="AF44" s="126"/>
      <c r="AG44" s="135"/>
      <c r="AH44" s="128">
        <f t="shared" si="2"/>
        <v>125</v>
      </c>
      <c r="AI44" s="80" t="s">
        <v>568</v>
      </c>
      <c r="AJ44" s="129">
        <f t="shared" si="3"/>
        <v>16.121</v>
      </c>
      <c r="AK44" s="129">
        <f t="shared" si="4"/>
        <v>16.121</v>
      </c>
      <c r="AL44" s="80">
        <f t="shared" si="5"/>
        <v>50</v>
      </c>
      <c r="AM44" s="80" t="str">
        <f t="shared" si="62"/>
        <v>31-90天</v>
      </c>
      <c r="AN44" s="81">
        <v>0.7</v>
      </c>
      <c r="AO44" s="80" t="s">
        <v>575</v>
      </c>
      <c r="AP44" s="130">
        <f t="shared" si="6"/>
        <v>11.2847</v>
      </c>
      <c r="AQ44" s="95"/>
    </row>
    <row r="45" spans="1:43">
      <c r="A45" s="80">
        <v>202510</v>
      </c>
      <c r="B45" s="131">
        <v>45939</v>
      </c>
      <c r="C45" s="80" t="s">
        <v>613</v>
      </c>
      <c r="D45" s="80" t="str">
        <f t="shared" ref="D45:I45" si="68">D44</f>
        <v>M » N2 - 1</v>
      </c>
      <c r="E45" s="80" t="str">
        <f t="shared" si="68"/>
        <v>YCD-EX:HUPPER TEK</v>
      </c>
      <c r="F45" s="80" t="str">
        <f t="shared" si="68"/>
        <v>MI202508130012</v>
      </c>
      <c r="G45" s="80" t="str">
        <f t="shared" si="68"/>
        <v>DE2508031-G7-MIC</v>
      </c>
      <c r="H45" s="132">
        <f t="shared" si="68"/>
        <v>45889</v>
      </c>
      <c r="I45" s="133" t="str">
        <f t="shared" si="68"/>
        <v>B076THQBHX</v>
      </c>
      <c r="J45" s="80"/>
      <c r="K45" s="134" t="str">
        <f t="shared" si="50"/>
        <v>金属储物柜71英寸灰色</v>
      </c>
      <c r="L45" s="80"/>
      <c r="M45" s="123">
        <f t="shared" si="51"/>
        <v>188</v>
      </c>
      <c r="N45" s="123">
        <f t="shared" si="52"/>
        <v>49</v>
      </c>
      <c r="O45" s="123">
        <f t="shared" si="53"/>
        <v>14</v>
      </c>
      <c r="P45" s="80">
        <f t="shared" si="0"/>
        <v>0.128968</v>
      </c>
      <c r="Q45" s="80"/>
      <c r="R45" s="123">
        <f t="shared" si="54"/>
        <v>188</v>
      </c>
      <c r="S45" s="123">
        <f t="shared" si="55"/>
        <v>49</v>
      </c>
      <c r="T45" s="123">
        <f t="shared" si="56"/>
        <v>14</v>
      </c>
      <c r="U45" s="80">
        <f t="shared" si="1"/>
        <v>0.128968</v>
      </c>
      <c r="V45" s="80"/>
      <c r="W45" s="80"/>
      <c r="X45" s="80"/>
      <c r="Y45" s="80"/>
      <c r="Z45" s="80"/>
      <c r="AA45" s="80">
        <f t="shared" si="57"/>
        <v>19</v>
      </c>
      <c r="AB45" s="80">
        <f t="shared" si="58"/>
        <v>223</v>
      </c>
      <c r="AC45" s="80">
        <f t="shared" si="59"/>
        <v>223</v>
      </c>
      <c r="AD45" s="80">
        <v>0</v>
      </c>
      <c r="AE45" s="126">
        <f t="shared" si="60"/>
        <v>125</v>
      </c>
      <c r="AF45" s="126"/>
      <c r="AG45" s="135"/>
      <c r="AH45" s="128">
        <f t="shared" si="2"/>
        <v>125</v>
      </c>
      <c r="AI45" s="80" t="s">
        <v>568</v>
      </c>
      <c r="AJ45" s="129">
        <f t="shared" si="3"/>
        <v>16.121</v>
      </c>
      <c r="AK45" s="129">
        <f t="shared" si="4"/>
        <v>16.121</v>
      </c>
      <c r="AL45" s="80">
        <f t="shared" si="5"/>
        <v>51</v>
      </c>
      <c r="AM45" s="80" t="str">
        <f t="shared" si="62"/>
        <v>31-90天</v>
      </c>
      <c r="AN45" s="81">
        <v>0.7</v>
      </c>
      <c r="AO45" s="80" t="s">
        <v>575</v>
      </c>
      <c r="AP45" s="130">
        <f t="shared" si="6"/>
        <v>11.2847</v>
      </c>
      <c r="AQ45" s="95"/>
    </row>
    <row r="46" spans="1:43">
      <c r="A46" s="80">
        <v>202510</v>
      </c>
      <c r="B46" s="131">
        <v>45940</v>
      </c>
      <c r="C46" s="80" t="s">
        <v>613</v>
      </c>
      <c r="D46" s="80" t="str">
        <f t="shared" ref="D46:I46" si="69">D45</f>
        <v>M » N2 - 1</v>
      </c>
      <c r="E46" s="80" t="str">
        <f t="shared" si="69"/>
        <v>YCD-EX:HUPPER TEK</v>
      </c>
      <c r="F46" s="80" t="str">
        <f t="shared" si="69"/>
        <v>MI202508130012</v>
      </c>
      <c r="G46" s="80" t="str">
        <f t="shared" si="69"/>
        <v>DE2508031-G7-MIC</v>
      </c>
      <c r="H46" s="132">
        <f t="shared" si="69"/>
        <v>45889</v>
      </c>
      <c r="I46" s="133" t="str">
        <f t="shared" si="69"/>
        <v>B076THQBHX</v>
      </c>
      <c r="J46" s="80"/>
      <c r="K46" s="134" t="str">
        <f t="shared" si="50"/>
        <v>金属储物柜71英寸灰色</v>
      </c>
      <c r="L46" s="80"/>
      <c r="M46" s="123">
        <f t="shared" si="51"/>
        <v>188</v>
      </c>
      <c r="N46" s="123">
        <f t="shared" si="52"/>
        <v>49</v>
      </c>
      <c r="O46" s="123">
        <f t="shared" si="53"/>
        <v>14</v>
      </c>
      <c r="P46" s="80">
        <f t="shared" si="0"/>
        <v>0.128968</v>
      </c>
      <c r="Q46" s="80"/>
      <c r="R46" s="123">
        <f t="shared" si="54"/>
        <v>188</v>
      </c>
      <c r="S46" s="123">
        <f t="shared" si="55"/>
        <v>49</v>
      </c>
      <c r="T46" s="123">
        <f t="shared" si="56"/>
        <v>14</v>
      </c>
      <c r="U46" s="80">
        <f t="shared" si="1"/>
        <v>0.128968</v>
      </c>
      <c r="V46" s="80"/>
      <c r="W46" s="80"/>
      <c r="X46" s="80"/>
      <c r="Y46" s="80"/>
      <c r="Z46" s="80"/>
      <c r="AA46" s="80">
        <f t="shared" si="57"/>
        <v>19</v>
      </c>
      <c r="AB46" s="80">
        <f t="shared" si="58"/>
        <v>223</v>
      </c>
      <c r="AC46" s="80">
        <f t="shared" si="59"/>
        <v>223</v>
      </c>
      <c r="AD46" s="80">
        <v>0</v>
      </c>
      <c r="AE46" s="126">
        <f t="shared" si="60"/>
        <v>125</v>
      </c>
      <c r="AF46" s="126"/>
      <c r="AG46" s="135"/>
      <c r="AH46" s="128">
        <f t="shared" si="2"/>
        <v>125</v>
      </c>
      <c r="AI46" s="80" t="s">
        <v>568</v>
      </c>
      <c r="AJ46" s="129">
        <f t="shared" si="3"/>
        <v>16.121</v>
      </c>
      <c r="AK46" s="129">
        <f t="shared" si="4"/>
        <v>16.121</v>
      </c>
      <c r="AL46" s="80">
        <f t="shared" si="5"/>
        <v>52</v>
      </c>
      <c r="AM46" s="80" t="str">
        <f t="shared" si="62"/>
        <v>31-90天</v>
      </c>
      <c r="AN46" s="81">
        <v>0.7</v>
      </c>
      <c r="AO46" s="80" t="s">
        <v>575</v>
      </c>
      <c r="AP46" s="130">
        <f t="shared" si="6"/>
        <v>11.2847</v>
      </c>
      <c r="AQ46" s="95"/>
    </row>
    <row r="47" spans="1:43">
      <c r="A47" s="80">
        <v>202510</v>
      </c>
      <c r="B47" s="131">
        <v>45941</v>
      </c>
      <c r="C47" s="80" t="s">
        <v>613</v>
      </c>
      <c r="D47" s="80" t="str">
        <f t="shared" ref="D47:I47" si="70">D46</f>
        <v>M » N2 - 1</v>
      </c>
      <c r="E47" s="80" t="str">
        <f t="shared" si="70"/>
        <v>YCD-EX:HUPPER TEK</v>
      </c>
      <c r="F47" s="80" t="str">
        <f t="shared" si="70"/>
        <v>MI202508130012</v>
      </c>
      <c r="G47" s="80" t="str">
        <f t="shared" si="70"/>
        <v>DE2508031-G7-MIC</v>
      </c>
      <c r="H47" s="132">
        <f t="shared" si="70"/>
        <v>45889</v>
      </c>
      <c r="I47" s="133" t="str">
        <f t="shared" si="70"/>
        <v>B076THQBHX</v>
      </c>
      <c r="J47" s="80"/>
      <c r="K47" s="134" t="str">
        <f t="shared" si="50"/>
        <v>金属储物柜71英寸灰色</v>
      </c>
      <c r="L47" s="80"/>
      <c r="M47" s="123">
        <f t="shared" si="51"/>
        <v>188</v>
      </c>
      <c r="N47" s="123">
        <f t="shared" si="52"/>
        <v>49</v>
      </c>
      <c r="O47" s="123">
        <f t="shared" si="53"/>
        <v>14</v>
      </c>
      <c r="P47" s="80">
        <f t="shared" si="0"/>
        <v>0.128968</v>
      </c>
      <c r="Q47" s="80"/>
      <c r="R47" s="123">
        <f t="shared" si="54"/>
        <v>188</v>
      </c>
      <c r="S47" s="123">
        <f t="shared" si="55"/>
        <v>49</v>
      </c>
      <c r="T47" s="123">
        <f t="shared" si="56"/>
        <v>14</v>
      </c>
      <c r="U47" s="80">
        <f t="shared" si="1"/>
        <v>0.128968</v>
      </c>
      <c r="V47" s="80"/>
      <c r="W47" s="80"/>
      <c r="X47" s="80"/>
      <c r="Y47" s="80"/>
      <c r="Z47" s="80"/>
      <c r="AA47" s="80">
        <f t="shared" si="57"/>
        <v>19</v>
      </c>
      <c r="AB47" s="80">
        <f t="shared" si="58"/>
        <v>223</v>
      </c>
      <c r="AC47" s="80">
        <f t="shared" si="59"/>
        <v>223</v>
      </c>
      <c r="AD47" s="80">
        <v>0</v>
      </c>
      <c r="AE47" s="126">
        <f t="shared" si="60"/>
        <v>125</v>
      </c>
      <c r="AF47" s="126"/>
      <c r="AG47" s="135"/>
      <c r="AH47" s="128">
        <f t="shared" si="2"/>
        <v>125</v>
      </c>
      <c r="AI47" s="80" t="s">
        <v>568</v>
      </c>
      <c r="AJ47" s="129">
        <f t="shared" si="3"/>
        <v>16.121</v>
      </c>
      <c r="AK47" s="129">
        <f t="shared" si="4"/>
        <v>16.121</v>
      </c>
      <c r="AL47" s="80">
        <f t="shared" si="5"/>
        <v>53</v>
      </c>
      <c r="AM47" s="80" t="str">
        <f t="shared" si="62"/>
        <v>31-90天</v>
      </c>
      <c r="AN47" s="81">
        <v>0.7</v>
      </c>
      <c r="AO47" s="80" t="s">
        <v>575</v>
      </c>
      <c r="AP47" s="130">
        <f t="shared" si="6"/>
        <v>11.2847</v>
      </c>
      <c r="AQ47" s="95"/>
    </row>
    <row r="48" spans="1:43">
      <c r="A48" s="80">
        <v>202510</v>
      </c>
      <c r="B48" s="131">
        <v>45942</v>
      </c>
      <c r="C48" s="80" t="s">
        <v>613</v>
      </c>
      <c r="D48" s="80" t="str">
        <f t="shared" ref="D48:I48" si="71">D47</f>
        <v>M » N2 - 1</v>
      </c>
      <c r="E48" s="80" t="str">
        <f t="shared" si="71"/>
        <v>YCD-EX:HUPPER TEK</v>
      </c>
      <c r="F48" s="80" t="str">
        <f t="shared" si="71"/>
        <v>MI202508130012</v>
      </c>
      <c r="G48" s="80" t="str">
        <f t="shared" si="71"/>
        <v>DE2508031-G7-MIC</v>
      </c>
      <c r="H48" s="132">
        <f t="shared" si="71"/>
        <v>45889</v>
      </c>
      <c r="I48" s="133" t="str">
        <f t="shared" si="71"/>
        <v>B076THQBHX</v>
      </c>
      <c r="J48" s="80"/>
      <c r="K48" s="134" t="str">
        <f t="shared" si="50"/>
        <v>金属储物柜71英寸灰色</v>
      </c>
      <c r="L48" s="80"/>
      <c r="M48" s="123">
        <f t="shared" si="51"/>
        <v>188</v>
      </c>
      <c r="N48" s="123">
        <f t="shared" si="52"/>
        <v>49</v>
      </c>
      <c r="O48" s="123">
        <f t="shared" si="53"/>
        <v>14</v>
      </c>
      <c r="P48" s="80">
        <f t="shared" si="0"/>
        <v>0.128968</v>
      </c>
      <c r="Q48" s="80"/>
      <c r="R48" s="123">
        <f t="shared" si="54"/>
        <v>188</v>
      </c>
      <c r="S48" s="123">
        <f t="shared" si="55"/>
        <v>49</v>
      </c>
      <c r="T48" s="123">
        <f t="shared" si="56"/>
        <v>14</v>
      </c>
      <c r="U48" s="80">
        <f t="shared" si="1"/>
        <v>0.128968</v>
      </c>
      <c r="V48" s="80"/>
      <c r="W48" s="80"/>
      <c r="X48" s="80"/>
      <c r="Y48" s="80"/>
      <c r="Z48" s="80"/>
      <c r="AA48" s="80">
        <f t="shared" si="57"/>
        <v>19</v>
      </c>
      <c r="AB48" s="80">
        <f t="shared" si="58"/>
        <v>223</v>
      </c>
      <c r="AC48" s="80">
        <f t="shared" si="59"/>
        <v>223</v>
      </c>
      <c r="AD48" s="80">
        <v>0</v>
      </c>
      <c r="AE48" s="126">
        <f t="shared" si="60"/>
        <v>125</v>
      </c>
      <c r="AF48" s="126"/>
      <c r="AG48" s="135"/>
      <c r="AH48" s="128">
        <f t="shared" si="2"/>
        <v>125</v>
      </c>
      <c r="AI48" s="80" t="s">
        <v>568</v>
      </c>
      <c r="AJ48" s="129">
        <f t="shared" si="3"/>
        <v>16.121</v>
      </c>
      <c r="AK48" s="129">
        <f t="shared" si="4"/>
        <v>16.121</v>
      </c>
      <c r="AL48" s="80">
        <f t="shared" si="5"/>
        <v>54</v>
      </c>
      <c r="AM48" s="80" t="str">
        <f t="shared" si="62"/>
        <v>31-90天</v>
      </c>
      <c r="AN48" s="81">
        <v>0.7</v>
      </c>
      <c r="AO48" s="80" t="s">
        <v>575</v>
      </c>
      <c r="AP48" s="130">
        <f t="shared" si="6"/>
        <v>11.2847</v>
      </c>
      <c r="AQ48" s="95"/>
    </row>
    <row r="49" spans="1:43">
      <c r="A49" s="80">
        <v>202510</v>
      </c>
      <c r="B49" s="131">
        <v>45943</v>
      </c>
      <c r="C49" s="80" t="s">
        <v>613</v>
      </c>
      <c r="D49" s="80" t="str">
        <f t="shared" ref="D49:I49" si="72">D48</f>
        <v>M » N2 - 1</v>
      </c>
      <c r="E49" s="80" t="str">
        <f t="shared" si="72"/>
        <v>YCD-EX:HUPPER TEK</v>
      </c>
      <c r="F49" s="80" t="str">
        <f t="shared" si="72"/>
        <v>MI202508130012</v>
      </c>
      <c r="G49" s="80" t="str">
        <f t="shared" si="72"/>
        <v>DE2508031-G7-MIC</v>
      </c>
      <c r="H49" s="132">
        <f t="shared" si="72"/>
        <v>45889</v>
      </c>
      <c r="I49" s="133" t="str">
        <f t="shared" si="72"/>
        <v>B076THQBHX</v>
      </c>
      <c r="J49" s="80"/>
      <c r="K49" s="134" t="str">
        <f t="shared" si="50"/>
        <v>金属储物柜71英寸灰色</v>
      </c>
      <c r="L49" s="80"/>
      <c r="M49" s="123">
        <f t="shared" si="51"/>
        <v>188</v>
      </c>
      <c r="N49" s="123">
        <f t="shared" si="52"/>
        <v>49</v>
      </c>
      <c r="O49" s="123">
        <f t="shared" si="53"/>
        <v>14</v>
      </c>
      <c r="P49" s="80">
        <f t="shared" si="0"/>
        <v>0.128968</v>
      </c>
      <c r="Q49" s="80"/>
      <c r="R49" s="123">
        <f t="shared" si="54"/>
        <v>188</v>
      </c>
      <c r="S49" s="123">
        <f t="shared" si="55"/>
        <v>49</v>
      </c>
      <c r="T49" s="123">
        <f t="shared" si="56"/>
        <v>14</v>
      </c>
      <c r="U49" s="80">
        <f t="shared" si="1"/>
        <v>0.128968</v>
      </c>
      <c r="V49" s="80"/>
      <c r="W49" s="80"/>
      <c r="X49" s="80"/>
      <c r="Y49" s="80"/>
      <c r="Z49" s="80"/>
      <c r="AA49" s="80">
        <f t="shared" si="57"/>
        <v>19</v>
      </c>
      <c r="AB49" s="80">
        <f t="shared" si="58"/>
        <v>223</v>
      </c>
      <c r="AC49" s="80">
        <f t="shared" si="59"/>
        <v>223</v>
      </c>
      <c r="AD49" s="80">
        <v>0</v>
      </c>
      <c r="AE49" s="126">
        <f t="shared" si="60"/>
        <v>125</v>
      </c>
      <c r="AF49" s="126"/>
      <c r="AG49" s="127">
        <v>1</v>
      </c>
      <c r="AH49" s="128">
        <f t="shared" si="2"/>
        <v>124</v>
      </c>
      <c r="AI49" s="80" t="s">
        <v>568</v>
      </c>
      <c r="AJ49" s="129">
        <f t="shared" si="3"/>
        <v>15.992032</v>
      </c>
      <c r="AK49" s="129">
        <f t="shared" si="4"/>
        <v>15.992032</v>
      </c>
      <c r="AL49" s="80">
        <f t="shared" si="5"/>
        <v>55</v>
      </c>
      <c r="AM49" s="80" t="str">
        <f t="shared" si="62"/>
        <v>31-90天</v>
      </c>
      <c r="AN49" s="81">
        <v>0.7</v>
      </c>
      <c r="AO49" s="80" t="s">
        <v>575</v>
      </c>
      <c r="AP49" s="130">
        <f t="shared" si="6"/>
        <v>11.1944224</v>
      </c>
      <c r="AQ49" s="95"/>
    </row>
    <row r="50" spans="1:43">
      <c r="A50" s="80">
        <v>202510</v>
      </c>
      <c r="B50" s="131">
        <v>45944</v>
      </c>
      <c r="C50" s="80" t="s">
        <v>613</v>
      </c>
      <c r="D50" s="80" t="str">
        <f t="shared" ref="D50:I50" si="73">D49</f>
        <v>M » N2 - 1</v>
      </c>
      <c r="E50" s="80" t="str">
        <f t="shared" si="73"/>
        <v>YCD-EX:HUPPER TEK</v>
      </c>
      <c r="F50" s="80" t="str">
        <f t="shared" si="73"/>
        <v>MI202508130012</v>
      </c>
      <c r="G50" s="80" t="str">
        <f t="shared" si="73"/>
        <v>DE2508031-G7-MIC</v>
      </c>
      <c r="H50" s="132">
        <f t="shared" si="73"/>
        <v>45889</v>
      </c>
      <c r="I50" s="133" t="str">
        <f t="shared" si="73"/>
        <v>B076THQBHX</v>
      </c>
      <c r="J50" s="80"/>
      <c r="K50" s="134" t="str">
        <f t="shared" si="50"/>
        <v>金属储物柜71英寸灰色</v>
      </c>
      <c r="L50" s="80"/>
      <c r="M50" s="123">
        <f t="shared" si="51"/>
        <v>188</v>
      </c>
      <c r="N50" s="123">
        <f t="shared" si="52"/>
        <v>49</v>
      </c>
      <c r="O50" s="123">
        <f t="shared" si="53"/>
        <v>14</v>
      </c>
      <c r="P50" s="80">
        <f t="shared" si="0"/>
        <v>0.128968</v>
      </c>
      <c r="Q50" s="80"/>
      <c r="R50" s="123">
        <f t="shared" si="54"/>
        <v>188</v>
      </c>
      <c r="S50" s="123">
        <f t="shared" si="55"/>
        <v>49</v>
      </c>
      <c r="T50" s="123">
        <f t="shared" si="56"/>
        <v>14</v>
      </c>
      <c r="U50" s="80">
        <f t="shared" si="1"/>
        <v>0.128968</v>
      </c>
      <c r="V50" s="80"/>
      <c r="W50" s="80"/>
      <c r="X50" s="80"/>
      <c r="Y50" s="80"/>
      <c r="Z50" s="80"/>
      <c r="AA50" s="80">
        <f t="shared" si="57"/>
        <v>19</v>
      </c>
      <c r="AB50" s="80">
        <f t="shared" si="58"/>
        <v>223</v>
      </c>
      <c r="AC50" s="80">
        <f t="shared" si="59"/>
        <v>223</v>
      </c>
      <c r="AD50" s="80">
        <v>0</v>
      </c>
      <c r="AE50" s="126">
        <f t="shared" si="60"/>
        <v>124</v>
      </c>
      <c r="AF50" s="126"/>
      <c r="AG50" s="127">
        <v>1</v>
      </c>
      <c r="AH50" s="128">
        <f t="shared" si="2"/>
        <v>123</v>
      </c>
      <c r="AI50" s="80" t="s">
        <v>568</v>
      </c>
      <c r="AJ50" s="129">
        <f t="shared" si="3"/>
        <v>15.863064</v>
      </c>
      <c r="AK50" s="129">
        <f t="shared" si="4"/>
        <v>15.863064</v>
      </c>
      <c r="AL50" s="80">
        <f t="shared" si="5"/>
        <v>56</v>
      </c>
      <c r="AM50" s="80" t="str">
        <f t="shared" si="62"/>
        <v>31-90天</v>
      </c>
      <c r="AN50" s="81">
        <v>0.7</v>
      </c>
      <c r="AO50" s="80" t="s">
        <v>575</v>
      </c>
      <c r="AP50" s="130">
        <f t="shared" si="6"/>
        <v>11.1041448</v>
      </c>
      <c r="AQ50" s="95"/>
    </row>
    <row r="51" spans="1:43">
      <c r="A51" s="80">
        <v>202510</v>
      </c>
      <c r="B51" s="131">
        <v>45945</v>
      </c>
      <c r="C51" s="80" t="s">
        <v>613</v>
      </c>
      <c r="D51" s="80" t="str">
        <f t="shared" ref="D51:I51" si="74">D50</f>
        <v>M » N2 - 1</v>
      </c>
      <c r="E51" s="80" t="str">
        <f t="shared" si="74"/>
        <v>YCD-EX:HUPPER TEK</v>
      </c>
      <c r="F51" s="80" t="str">
        <f t="shared" si="74"/>
        <v>MI202508130012</v>
      </c>
      <c r="G51" s="80" t="str">
        <f t="shared" si="74"/>
        <v>DE2508031-G7-MIC</v>
      </c>
      <c r="H51" s="132">
        <f t="shared" si="74"/>
        <v>45889</v>
      </c>
      <c r="I51" s="133" t="str">
        <f t="shared" si="74"/>
        <v>B076THQBHX</v>
      </c>
      <c r="J51" s="80"/>
      <c r="K51" s="134" t="str">
        <f t="shared" si="50"/>
        <v>金属储物柜71英寸灰色</v>
      </c>
      <c r="L51" s="80"/>
      <c r="M51" s="123">
        <f t="shared" si="51"/>
        <v>188</v>
      </c>
      <c r="N51" s="123">
        <f t="shared" si="52"/>
        <v>49</v>
      </c>
      <c r="O51" s="123">
        <f t="shared" si="53"/>
        <v>14</v>
      </c>
      <c r="P51" s="80">
        <f t="shared" si="0"/>
        <v>0.128968</v>
      </c>
      <c r="Q51" s="80"/>
      <c r="R51" s="123">
        <f t="shared" si="54"/>
        <v>188</v>
      </c>
      <c r="S51" s="123">
        <f t="shared" si="55"/>
        <v>49</v>
      </c>
      <c r="T51" s="123">
        <f t="shared" si="56"/>
        <v>14</v>
      </c>
      <c r="U51" s="80">
        <f t="shared" si="1"/>
        <v>0.128968</v>
      </c>
      <c r="V51" s="80"/>
      <c r="W51" s="80"/>
      <c r="X51" s="80"/>
      <c r="Y51" s="80"/>
      <c r="Z51" s="80"/>
      <c r="AA51" s="80">
        <f t="shared" si="57"/>
        <v>19</v>
      </c>
      <c r="AB51" s="80">
        <f t="shared" si="58"/>
        <v>223</v>
      </c>
      <c r="AC51" s="80">
        <f t="shared" si="59"/>
        <v>223</v>
      </c>
      <c r="AD51" s="80">
        <v>0</v>
      </c>
      <c r="AE51" s="126">
        <f t="shared" si="60"/>
        <v>123</v>
      </c>
      <c r="AF51" s="126"/>
      <c r="AG51" s="135"/>
      <c r="AH51" s="128">
        <f t="shared" si="2"/>
        <v>123</v>
      </c>
      <c r="AI51" s="80" t="s">
        <v>568</v>
      </c>
      <c r="AJ51" s="129">
        <f t="shared" si="3"/>
        <v>15.863064</v>
      </c>
      <c r="AK51" s="129">
        <f t="shared" si="4"/>
        <v>15.863064</v>
      </c>
      <c r="AL51" s="80">
        <f t="shared" si="5"/>
        <v>57</v>
      </c>
      <c r="AM51" s="80" t="str">
        <f t="shared" si="62"/>
        <v>31-90天</v>
      </c>
      <c r="AN51" s="81">
        <v>0.7</v>
      </c>
      <c r="AO51" s="80" t="s">
        <v>575</v>
      </c>
      <c r="AP51" s="130">
        <f t="shared" si="6"/>
        <v>11.1041448</v>
      </c>
      <c r="AQ51" s="95"/>
    </row>
    <row r="52" spans="1:43">
      <c r="A52" s="80">
        <v>202510</v>
      </c>
      <c r="B52" s="131">
        <v>45946</v>
      </c>
      <c r="C52" s="80" t="s">
        <v>613</v>
      </c>
      <c r="D52" s="80" t="str">
        <f t="shared" ref="D52:I52" si="75">D51</f>
        <v>M » N2 - 1</v>
      </c>
      <c r="E52" s="80" t="str">
        <f t="shared" si="75"/>
        <v>YCD-EX:HUPPER TEK</v>
      </c>
      <c r="F52" s="80" t="str">
        <f t="shared" si="75"/>
        <v>MI202508130012</v>
      </c>
      <c r="G52" s="80" t="str">
        <f t="shared" si="75"/>
        <v>DE2508031-G7-MIC</v>
      </c>
      <c r="H52" s="132">
        <f t="shared" si="75"/>
        <v>45889</v>
      </c>
      <c r="I52" s="133" t="str">
        <f t="shared" si="75"/>
        <v>B076THQBHX</v>
      </c>
      <c r="J52" s="80"/>
      <c r="K52" s="134" t="str">
        <f t="shared" si="50"/>
        <v>金属储物柜71英寸灰色</v>
      </c>
      <c r="L52" s="80"/>
      <c r="M52" s="123">
        <f t="shared" si="51"/>
        <v>188</v>
      </c>
      <c r="N52" s="123">
        <f t="shared" si="52"/>
        <v>49</v>
      </c>
      <c r="O52" s="123">
        <f t="shared" si="53"/>
        <v>14</v>
      </c>
      <c r="P52" s="80">
        <f t="shared" si="0"/>
        <v>0.128968</v>
      </c>
      <c r="Q52" s="80"/>
      <c r="R52" s="123">
        <f t="shared" si="54"/>
        <v>188</v>
      </c>
      <c r="S52" s="123">
        <f t="shared" si="55"/>
        <v>49</v>
      </c>
      <c r="T52" s="123">
        <f t="shared" si="56"/>
        <v>14</v>
      </c>
      <c r="U52" s="80">
        <f t="shared" si="1"/>
        <v>0.128968</v>
      </c>
      <c r="V52" s="80"/>
      <c r="W52" s="80"/>
      <c r="X52" s="80"/>
      <c r="Y52" s="80"/>
      <c r="Z52" s="80"/>
      <c r="AA52" s="80">
        <f t="shared" si="57"/>
        <v>19</v>
      </c>
      <c r="AB52" s="80">
        <f t="shared" si="58"/>
        <v>223</v>
      </c>
      <c r="AC52" s="80">
        <f t="shared" si="59"/>
        <v>223</v>
      </c>
      <c r="AD52" s="80">
        <v>0</v>
      </c>
      <c r="AE52" s="126">
        <f t="shared" si="60"/>
        <v>123</v>
      </c>
      <c r="AF52" s="126"/>
      <c r="AG52" s="135"/>
      <c r="AH52" s="128">
        <f t="shared" si="2"/>
        <v>123</v>
      </c>
      <c r="AI52" s="80" t="s">
        <v>568</v>
      </c>
      <c r="AJ52" s="129">
        <f t="shared" si="3"/>
        <v>15.863064</v>
      </c>
      <c r="AK52" s="129">
        <f t="shared" si="4"/>
        <v>15.863064</v>
      </c>
      <c r="AL52" s="80">
        <f t="shared" si="5"/>
        <v>58</v>
      </c>
      <c r="AM52" s="80" t="str">
        <f t="shared" si="62"/>
        <v>31-90天</v>
      </c>
      <c r="AN52" s="81">
        <v>0.7</v>
      </c>
      <c r="AO52" s="80" t="s">
        <v>575</v>
      </c>
      <c r="AP52" s="130">
        <f t="shared" si="6"/>
        <v>11.1041448</v>
      </c>
      <c r="AQ52" s="95"/>
    </row>
    <row r="53" spans="1:43">
      <c r="A53" s="80">
        <v>202510</v>
      </c>
      <c r="B53" s="131">
        <v>45947</v>
      </c>
      <c r="C53" s="80" t="s">
        <v>613</v>
      </c>
      <c r="D53" s="80" t="str">
        <f t="shared" ref="D53:I53" si="76">D52</f>
        <v>M » N2 - 1</v>
      </c>
      <c r="E53" s="80" t="str">
        <f t="shared" si="76"/>
        <v>YCD-EX:HUPPER TEK</v>
      </c>
      <c r="F53" s="80" t="str">
        <f t="shared" si="76"/>
        <v>MI202508130012</v>
      </c>
      <c r="G53" s="80" t="str">
        <f t="shared" si="76"/>
        <v>DE2508031-G7-MIC</v>
      </c>
      <c r="H53" s="132">
        <f t="shared" si="76"/>
        <v>45889</v>
      </c>
      <c r="I53" s="133" t="str">
        <f t="shared" si="76"/>
        <v>B076THQBHX</v>
      </c>
      <c r="J53" s="80"/>
      <c r="K53" s="134" t="str">
        <f t="shared" si="50"/>
        <v>金属储物柜71英寸灰色</v>
      </c>
      <c r="L53" s="80"/>
      <c r="M53" s="123">
        <f t="shared" si="51"/>
        <v>188</v>
      </c>
      <c r="N53" s="123">
        <f t="shared" si="52"/>
        <v>49</v>
      </c>
      <c r="O53" s="123">
        <f t="shared" si="53"/>
        <v>14</v>
      </c>
      <c r="P53" s="80">
        <f t="shared" si="0"/>
        <v>0.128968</v>
      </c>
      <c r="Q53" s="80"/>
      <c r="R53" s="123">
        <f t="shared" si="54"/>
        <v>188</v>
      </c>
      <c r="S53" s="123">
        <f t="shared" si="55"/>
        <v>49</v>
      </c>
      <c r="T53" s="123">
        <f t="shared" si="56"/>
        <v>14</v>
      </c>
      <c r="U53" s="80">
        <f t="shared" si="1"/>
        <v>0.128968</v>
      </c>
      <c r="V53" s="80"/>
      <c r="W53" s="80"/>
      <c r="X53" s="80"/>
      <c r="Y53" s="80"/>
      <c r="Z53" s="80"/>
      <c r="AA53" s="80">
        <f t="shared" si="57"/>
        <v>19</v>
      </c>
      <c r="AB53" s="80">
        <f t="shared" si="58"/>
        <v>223</v>
      </c>
      <c r="AC53" s="80">
        <f t="shared" si="59"/>
        <v>223</v>
      </c>
      <c r="AD53" s="80">
        <v>0</v>
      </c>
      <c r="AE53" s="126">
        <f t="shared" si="60"/>
        <v>123</v>
      </c>
      <c r="AF53" s="126"/>
      <c r="AG53" s="135"/>
      <c r="AH53" s="128">
        <f t="shared" si="2"/>
        <v>123</v>
      </c>
      <c r="AI53" s="80" t="s">
        <v>568</v>
      </c>
      <c r="AJ53" s="129">
        <f t="shared" si="3"/>
        <v>15.863064</v>
      </c>
      <c r="AK53" s="129">
        <f t="shared" si="4"/>
        <v>15.863064</v>
      </c>
      <c r="AL53" s="80">
        <f t="shared" si="5"/>
        <v>59</v>
      </c>
      <c r="AM53" s="80" t="str">
        <f t="shared" si="62"/>
        <v>31-90天</v>
      </c>
      <c r="AN53" s="81">
        <v>0.7</v>
      </c>
      <c r="AO53" s="80" t="s">
        <v>575</v>
      </c>
      <c r="AP53" s="130">
        <f t="shared" si="6"/>
        <v>11.1041448</v>
      </c>
      <c r="AQ53" s="95"/>
    </row>
    <row r="54" spans="1:43">
      <c r="A54" s="80">
        <v>202510</v>
      </c>
      <c r="B54" s="131">
        <v>45948</v>
      </c>
      <c r="C54" s="80" t="s">
        <v>613</v>
      </c>
      <c r="D54" s="80" t="str">
        <f t="shared" ref="D54:I54" si="77">D53</f>
        <v>M » N2 - 1</v>
      </c>
      <c r="E54" s="80" t="str">
        <f t="shared" si="77"/>
        <v>YCD-EX:HUPPER TEK</v>
      </c>
      <c r="F54" s="80" t="str">
        <f t="shared" si="77"/>
        <v>MI202508130012</v>
      </c>
      <c r="G54" s="80" t="str">
        <f t="shared" si="77"/>
        <v>DE2508031-G7-MIC</v>
      </c>
      <c r="H54" s="132">
        <f t="shared" si="77"/>
        <v>45889</v>
      </c>
      <c r="I54" s="133" t="str">
        <f t="shared" si="77"/>
        <v>B076THQBHX</v>
      </c>
      <c r="J54" s="80"/>
      <c r="K54" s="134" t="str">
        <f t="shared" si="50"/>
        <v>金属储物柜71英寸灰色</v>
      </c>
      <c r="L54" s="80"/>
      <c r="M54" s="123">
        <f t="shared" si="51"/>
        <v>188</v>
      </c>
      <c r="N54" s="123">
        <f t="shared" si="52"/>
        <v>49</v>
      </c>
      <c r="O54" s="123">
        <f t="shared" si="53"/>
        <v>14</v>
      </c>
      <c r="P54" s="80">
        <f t="shared" si="0"/>
        <v>0.128968</v>
      </c>
      <c r="Q54" s="80"/>
      <c r="R54" s="123">
        <f t="shared" si="54"/>
        <v>188</v>
      </c>
      <c r="S54" s="123">
        <f t="shared" si="55"/>
        <v>49</v>
      </c>
      <c r="T54" s="123">
        <f t="shared" si="56"/>
        <v>14</v>
      </c>
      <c r="U54" s="80">
        <f t="shared" si="1"/>
        <v>0.128968</v>
      </c>
      <c r="V54" s="80"/>
      <c r="W54" s="80"/>
      <c r="X54" s="80"/>
      <c r="Y54" s="80"/>
      <c r="Z54" s="80"/>
      <c r="AA54" s="80">
        <f t="shared" si="57"/>
        <v>19</v>
      </c>
      <c r="AB54" s="80">
        <f t="shared" si="58"/>
        <v>223</v>
      </c>
      <c r="AC54" s="80">
        <f t="shared" si="59"/>
        <v>223</v>
      </c>
      <c r="AD54" s="80">
        <v>0</v>
      </c>
      <c r="AE54" s="126">
        <f t="shared" si="60"/>
        <v>123</v>
      </c>
      <c r="AF54" s="126"/>
      <c r="AG54" s="135"/>
      <c r="AH54" s="128">
        <f t="shared" si="2"/>
        <v>123</v>
      </c>
      <c r="AI54" s="80" t="s">
        <v>568</v>
      </c>
      <c r="AJ54" s="129">
        <f t="shared" si="3"/>
        <v>15.863064</v>
      </c>
      <c r="AK54" s="129">
        <f t="shared" si="4"/>
        <v>15.863064</v>
      </c>
      <c r="AL54" s="80">
        <f t="shared" si="5"/>
        <v>60</v>
      </c>
      <c r="AM54" s="80" t="str">
        <f t="shared" si="62"/>
        <v>31-90天</v>
      </c>
      <c r="AN54" s="81">
        <v>0.7</v>
      </c>
      <c r="AO54" s="80" t="s">
        <v>575</v>
      </c>
      <c r="AP54" s="130">
        <f t="shared" si="6"/>
        <v>11.1041448</v>
      </c>
      <c r="AQ54" s="95"/>
    </row>
    <row r="55" spans="1:43">
      <c r="A55" s="80">
        <v>202510</v>
      </c>
      <c r="B55" s="131">
        <v>45949</v>
      </c>
      <c r="C55" s="80" t="s">
        <v>613</v>
      </c>
      <c r="D55" s="80" t="str">
        <f t="shared" ref="D55:I55" si="78">D54</f>
        <v>M » N2 - 1</v>
      </c>
      <c r="E55" s="80" t="str">
        <f t="shared" si="78"/>
        <v>YCD-EX:HUPPER TEK</v>
      </c>
      <c r="F55" s="80" t="str">
        <f t="shared" si="78"/>
        <v>MI202508130012</v>
      </c>
      <c r="G55" s="80" t="str">
        <f t="shared" si="78"/>
        <v>DE2508031-G7-MIC</v>
      </c>
      <c r="H55" s="132">
        <f t="shared" si="78"/>
        <v>45889</v>
      </c>
      <c r="I55" s="133" t="str">
        <f t="shared" si="78"/>
        <v>B076THQBHX</v>
      </c>
      <c r="J55" s="80"/>
      <c r="K55" s="134" t="str">
        <f t="shared" si="50"/>
        <v>金属储物柜71英寸灰色</v>
      </c>
      <c r="L55" s="80"/>
      <c r="M55" s="123">
        <f t="shared" si="51"/>
        <v>188</v>
      </c>
      <c r="N55" s="123">
        <f t="shared" si="52"/>
        <v>49</v>
      </c>
      <c r="O55" s="123">
        <f t="shared" si="53"/>
        <v>14</v>
      </c>
      <c r="P55" s="80">
        <f t="shared" si="0"/>
        <v>0.128968</v>
      </c>
      <c r="Q55" s="80"/>
      <c r="R55" s="123">
        <f t="shared" si="54"/>
        <v>188</v>
      </c>
      <c r="S55" s="123">
        <f t="shared" si="55"/>
        <v>49</v>
      </c>
      <c r="T55" s="123">
        <f t="shared" si="56"/>
        <v>14</v>
      </c>
      <c r="U55" s="80">
        <f t="shared" si="1"/>
        <v>0.128968</v>
      </c>
      <c r="V55" s="80"/>
      <c r="W55" s="80"/>
      <c r="X55" s="80"/>
      <c r="Y55" s="80"/>
      <c r="Z55" s="80"/>
      <c r="AA55" s="80">
        <f t="shared" si="57"/>
        <v>19</v>
      </c>
      <c r="AB55" s="80">
        <f t="shared" si="58"/>
        <v>223</v>
      </c>
      <c r="AC55" s="80">
        <f t="shared" si="59"/>
        <v>223</v>
      </c>
      <c r="AD55" s="80">
        <v>0</v>
      </c>
      <c r="AE55" s="126">
        <f t="shared" si="60"/>
        <v>123</v>
      </c>
      <c r="AF55" s="126"/>
      <c r="AG55" s="135"/>
      <c r="AH55" s="128">
        <f t="shared" si="2"/>
        <v>123</v>
      </c>
      <c r="AI55" s="80" t="s">
        <v>568</v>
      </c>
      <c r="AJ55" s="129">
        <f t="shared" si="3"/>
        <v>15.863064</v>
      </c>
      <c r="AK55" s="129">
        <f t="shared" si="4"/>
        <v>15.863064</v>
      </c>
      <c r="AL55" s="80">
        <f t="shared" si="5"/>
        <v>61</v>
      </c>
      <c r="AM55" s="80" t="str">
        <f t="shared" si="62"/>
        <v>31-90天</v>
      </c>
      <c r="AN55" s="81">
        <v>0.7</v>
      </c>
      <c r="AO55" s="80" t="s">
        <v>575</v>
      </c>
      <c r="AP55" s="130">
        <f t="shared" si="6"/>
        <v>11.1041448</v>
      </c>
      <c r="AQ55" s="95"/>
    </row>
    <row r="56" spans="1:43">
      <c r="A56" s="80">
        <v>202510</v>
      </c>
      <c r="B56" s="131">
        <v>45950</v>
      </c>
      <c r="C56" s="80" t="s">
        <v>613</v>
      </c>
      <c r="D56" s="80" t="str">
        <f t="shared" ref="D56:I56" si="79">D55</f>
        <v>M » N2 - 1</v>
      </c>
      <c r="E56" s="80" t="str">
        <f t="shared" si="79"/>
        <v>YCD-EX:HUPPER TEK</v>
      </c>
      <c r="F56" s="80" t="str">
        <f t="shared" si="79"/>
        <v>MI202508130012</v>
      </c>
      <c r="G56" s="80" t="str">
        <f t="shared" si="79"/>
        <v>DE2508031-G7-MIC</v>
      </c>
      <c r="H56" s="132">
        <f t="shared" si="79"/>
        <v>45889</v>
      </c>
      <c r="I56" s="133" t="str">
        <f t="shared" si="79"/>
        <v>B076THQBHX</v>
      </c>
      <c r="J56" s="80"/>
      <c r="K56" s="134" t="str">
        <f t="shared" si="50"/>
        <v>金属储物柜71英寸灰色</v>
      </c>
      <c r="L56" s="80"/>
      <c r="M56" s="123">
        <f t="shared" si="51"/>
        <v>188</v>
      </c>
      <c r="N56" s="123">
        <f t="shared" si="52"/>
        <v>49</v>
      </c>
      <c r="O56" s="123">
        <f t="shared" si="53"/>
        <v>14</v>
      </c>
      <c r="P56" s="80">
        <f t="shared" si="0"/>
        <v>0.128968</v>
      </c>
      <c r="Q56" s="80"/>
      <c r="R56" s="123">
        <f t="shared" si="54"/>
        <v>188</v>
      </c>
      <c r="S56" s="123">
        <f t="shared" si="55"/>
        <v>49</v>
      </c>
      <c r="T56" s="123">
        <f t="shared" si="56"/>
        <v>14</v>
      </c>
      <c r="U56" s="80">
        <f t="shared" si="1"/>
        <v>0.128968</v>
      </c>
      <c r="V56" s="80"/>
      <c r="W56" s="80"/>
      <c r="X56" s="80"/>
      <c r="Y56" s="80"/>
      <c r="Z56" s="80"/>
      <c r="AA56" s="80">
        <f t="shared" si="57"/>
        <v>19</v>
      </c>
      <c r="AB56" s="80">
        <f t="shared" si="58"/>
        <v>223</v>
      </c>
      <c r="AC56" s="80">
        <f t="shared" si="59"/>
        <v>223</v>
      </c>
      <c r="AD56" s="80">
        <v>0</v>
      </c>
      <c r="AE56" s="126">
        <f t="shared" si="60"/>
        <v>123</v>
      </c>
      <c r="AF56" s="126"/>
      <c r="AG56" s="135"/>
      <c r="AH56" s="128">
        <f t="shared" si="2"/>
        <v>123</v>
      </c>
      <c r="AI56" s="80" t="s">
        <v>568</v>
      </c>
      <c r="AJ56" s="129">
        <f t="shared" si="3"/>
        <v>15.863064</v>
      </c>
      <c r="AK56" s="129">
        <f t="shared" si="4"/>
        <v>15.863064</v>
      </c>
      <c r="AL56" s="80">
        <f t="shared" si="5"/>
        <v>62</v>
      </c>
      <c r="AM56" s="80" t="str">
        <f t="shared" si="62"/>
        <v>31-90天</v>
      </c>
      <c r="AN56" s="81">
        <v>0.7</v>
      </c>
      <c r="AO56" s="80" t="s">
        <v>575</v>
      </c>
      <c r="AP56" s="130">
        <f t="shared" si="6"/>
        <v>11.1041448</v>
      </c>
      <c r="AQ56" s="95"/>
    </row>
    <row r="57" spans="1:43">
      <c r="A57" s="80">
        <v>202510</v>
      </c>
      <c r="B57" s="131">
        <v>45951</v>
      </c>
      <c r="C57" s="80" t="s">
        <v>613</v>
      </c>
      <c r="D57" s="80" t="str">
        <f t="shared" ref="D57:I57" si="80">D56</f>
        <v>M » N2 - 1</v>
      </c>
      <c r="E57" s="80" t="str">
        <f t="shared" si="80"/>
        <v>YCD-EX:HUPPER TEK</v>
      </c>
      <c r="F57" s="80" t="str">
        <f t="shared" si="80"/>
        <v>MI202508130012</v>
      </c>
      <c r="G57" s="80" t="str">
        <f t="shared" si="80"/>
        <v>DE2508031-G7-MIC</v>
      </c>
      <c r="H57" s="132">
        <f t="shared" si="80"/>
        <v>45889</v>
      </c>
      <c r="I57" s="133" t="str">
        <f t="shared" si="80"/>
        <v>B076THQBHX</v>
      </c>
      <c r="J57" s="80"/>
      <c r="K57" s="134" t="str">
        <f t="shared" si="50"/>
        <v>金属储物柜71英寸灰色</v>
      </c>
      <c r="L57" s="80"/>
      <c r="M57" s="123">
        <f t="shared" si="51"/>
        <v>188</v>
      </c>
      <c r="N57" s="123">
        <f t="shared" si="52"/>
        <v>49</v>
      </c>
      <c r="O57" s="123">
        <f t="shared" si="53"/>
        <v>14</v>
      </c>
      <c r="P57" s="80">
        <f t="shared" si="0"/>
        <v>0.128968</v>
      </c>
      <c r="Q57" s="80"/>
      <c r="R57" s="123">
        <f t="shared" si="54"/>
        <v>188</v>
      </c>
      <c r="S57" s="123">
        <f t="shared" si="55"/>
        <v>49</v>
      </c>
      <c r="T57" s="123">
        <f t="shared" si="56"/>
        <v>14</v>
      </c>
      <c r="U57" s="80">
        <f t="shared" si="1"/>
        <v>0.128968</v>
      </c>
      <c r="V57" s="80"/>
      <c r="W57" s="80"/>
      <c r="X57" s="80"/>
      <c r="Y57" s="80"/>
      <c r="Z57" s="80"/>
      <c r="AA57" s="80">
        <f t="shared" si="57"/>
        <v>19</v>
      </c>
      <c r="AB57" s="80">
        <f t="shared" si="58"/>
        <v>223</v>
      </c>
      <c r="AC57" s="80">
        <f t="shared" si="59"/>
        <v>223</v>
      </c>
      <c r="AD57" s="80">
        <v>0</v>
      </c>
      <c r="AE57" s="126">
        <f t="shared" si="60"/>
        <v>123</v>
      </c>
      <c r="AF57" s="126"/>
      <c r="AG57" s="127">
        <v>1</v>
      </c>
      <c r="AH57" s="128">
        <f t="shared" si="2"/>
        <v>122</v>
      </c>
      <c r="AI57" s="80" t="s">
        <v>568</v>
      </c>
      <c r="AJ57" s="129">
        <f t="shared" si="3"/>
        <v>15.734096</v>
      </c>
      <c r="AK57" s="129">
        <f t="shared" si="4"/>
        <v>15.734096</v>
      </c>
      <c r="AL57" s="80">
        <f t="shared" si="5"/>
        <v>63</v>
      </c>
      <c r="AM57" s="80" t="str">
        <f t="shared" si="62"/>
        <v>31-90天</v>
      </c>
      <c r="AN57" s="81">
        <v>0.7</v>
      </c>
      <c r="AO57" s="80" t="s">
        <v>575</v>
      </c>
      <c r="AP57" s="130">
        <f t="shared" si="6"/>
        <v>11.0138672</v>
      </c>
      <c r="AQ57" s="95"/>
    </row>
    <row r="58" spans="1:43">
      <c r="A58" s="80">
        <v>202510</v>
      </c>
      <c r="B58" s="131">
        <v>45952</v>
      </c>
      <c r="C58" s="80" t="s">
        <v>613</v>
      </c>
      <c r="D58" s="80" t="str">
        <f t="shared" ref="D58:I58" si="81">D57</f>
        <v>M » N2 - 1</v>
      </c>
      <c r="E58" s="80" t="str">
        <f t="shared" si="81"/>
        <v>YCD-EX:HUPPER TEK</v>
      </c>
      <c r="F58" s="80" t="str">
        <f t="shared" si="81"/>
        <v>MI202508130012</v>
      </c>
      <c r="G58" s="80" t="str">
        <f t="shared" si="81"/>
        <v>DE2508031-G7-MIC</v>
      </c>
      <c r="H58" s="132">
        <f t="shared" si="81"/>
        <v>45889</v>
      </c>
      <c r="I58" s="133" t="str">
        <f t="shared" si="81"/>
        <v>B076THQBHX</v>
      </c>
      <c r="J58" s="80"/>
      <c r="K58" s="134" t="str">
        <f t="shared" si="50"/>
        <v>金属储物柜71英寸灰色</v>
      </c>
      <c r="L58" s="80"/>
      <c r="M58" s="123">
        <f t="shared" si="51"/>
        <v>188</v>
      </c>
      <c r="N58" s="123">
        <f t="shared" si="52"/>
        <v>49</v>
      </c>
      <c r="O58" s="123">
        <f t="shared" si="53"/>
        <v>14</v>
      </c>
      <c r="P58" s="80">
        <f t="shared" si="0"/>
        <v>0.128968</v>
      </c>
      <c r="Q58" s="80"/>
      <c r="R58" s="123">
        <f t="shared" si="54"/>
        <v>188</v>
      </c>
      <c r="S58" s="123">
        <f t="shared" si="55"/>
        <v>49</v>
      </c>
      <c r="T58" s="123">
        <f t="shared" si="56"/>
        <v>14</v>
      </c>
      <c r="U58" s="80">
        <f t="shared" si="1"/>
        <v>0.128968</v>
      </c>
      <c r="V58" s="80"/>
      <c r="W58" s="80"/>
      <c r="X58" s="80"/>
      <c r="Y58" s="80"/>
      <c r="Z58" s="80"/>
      <c r="AA58" s="80">
        <f t="shared" si="57"/>
        <v>19</v>
      </c>
      <c r="AB58" s="80">
        <f t="shared" si="58"/>
        <v>223</v>
      </c>
      <c r="AC58" s="80">
        <f t="shared" si="59"/>
        <v>223</v>
      </c>
      <c r="AD58" s="80">
        <v>0</v>
      </c>
      <c r="AE58" s="126">
        <f t="shared" si="60"/>
        <v>122</v>
      </c>
      <c r="AF58" s="126"/>
      <c r="AG58" s="127">
        <v>1</v>
      </c>
      <c r="AH58" s="128">
        <f t="shared" si="2"/>
        <v>121</v>
      </c>
      <c r="AI58" s="80" t="s">
        <v>568</v>
      </c>
      <c r="AJ58" s="129">
        <f t="shared" si="3"/>
        <v>15.605128</v>
      </c>
      <c r="AK58" s="129">
        <f t="shared" si="4"/>
        <v>15.605128</v>
      </c>
      <c r="AL58" s="80">
        <f t="shared" si="5"/>
        <v>64</v>
      </c>
      <c r="AM58" s="80" t="str">
        <f t="shared" si="62"/>
        <v>31-90天</v>
      </c>
      <c r="AN58" s="81">
        <v>0.7</v>
      </c>
      <c r="AO58" s="80" t="s">
        <v>575</v>
      </c>
      <c r="AP58" s="130">
        <f t="shared" si="6"/>
        <v>10.9235896</v>
      </c>
      <c r="AQ58" s="95"/>
    </row>
    <row r="59" spans="1:43">
      <c r="A59" s="80">
        <v>202510</v>
      </c>
      <c r="B59" s="131">
        <v>45953</v>
      </c>
      <c r="C59" s="80" t="s">
        <v>613</v>
      </c>
      <c r="D59" s="80" t="str">
        <f t="shared" ref="D59:I59" si="82">D58</f>
        <v>M » N2 - 1</v>
      </c>
      <c r="E59" s="80" t="str">
        <f t="shared" si="82"/>
        <v>YCD-EX:HUPPER TEK</v>
      </c>
      <c r="F59" s="80" t="str">
        <f t="shared" si="82"/>
        <v>MI202508130012</v>
      </c>
      <c r="G59" s="80" t="str">
        <f t="shared" si="82"/>
        <v>DE2508031-G7-MIC</v>
      </c>
      <c r="H59" s="132">
        <f t="shared" si="82"/>
        <v>45889</v>
      </c>
      <c r="I59" s="133" t="str">
        <f t="shared" si="82"/>
        <v>B076THQBHX</v>
      </c>
      <c r="J59" s="80"/>
      <c r="K59" s="134" t="str">
        <f t="shared" si="50"/>
        <v>金属储物柜71英寸灰色</v>
      </c>
      <c r="L59" s="80"/>
      <c r="M59" s="123">
        <f t="shared" si="51"/>
        <v>188</v>
      </c>
      <c r="N59" s="123">
        <f t="shared" si="52"/>
        <v>49</v>
      </c>
      <c r="O59" s="123">
        <f t="shared" si="53"/>
        <v>14</v>
      </c>
      <c r="P59" s="80">
        <f t="shared" si="0"/>
        <v>0.128968</v>
      </c>
      <c r="Q59" s="80"/>
      <c r="R59" s="123">
        <f t="shared" si="54"/>
        <v>188</v>
      </c>
      <c r="S59" s="123">
        <f t="shared" si="55"/>
        <v>49</v>
      </c>
      <c r="T59" s="123">
        <f t="shared" si="56"/>
        <v>14</v>
      </c>
      <c r="U59" s="80">
        <f t="shared" si="1"/>
        <v>0.128968</v>
      </c>
      <c r="V59" s="80"/>
      <c r="W59" s="80"/>
      <c r="X59" s="80"/>
      <c r="Y59" s="80"/>
      <c r="Z59" s="80"/>
      <c r="AA59" s="80">
        <f t="shared" si="57"/>
        <v>19</v>
      </c>
      <c r="AB59" s="80">
        <f t="shared" si="58"/>
        <v>223</v>
      </c>
      <c r="AC59" s="80">
        <f t="shared" si="59"/>
        <v>223</v>
      </c>
      <c r="AD59" s="80">
        <v>0</v>
      </c>
      <c r="AE59" s="126">
        <f t="shared" si="60"/>
        <v>121</v>
      </c>
      <c r="AF59" s="126"/>
      <c r="AG59" s="135"/>
      <c r="AH59" s="128">
        <f t="shared" si="2"/>
        <v>121</v>
      </c>
      <c r="AI59" s="80" t="s">
        <v>568</v>
      </c>
      <c r="AJ59" s="129">
        <f t="shared" si="3"/>
        <v>15.605128</v>
      </c>
      <c r="AK59" s="129">
        <f t="shared" si="4"/>
        <v>15.605128</v>
      </c>
      <c r="AL59" s="80">
        <f t="shared" si="5"/>
        <v>65</v>
      </c>
      <c r="AM59" s="80" t="str">
        <f t="shared" si="62"/>
        <v>31-90天</v>
      </c>
      <c r="AN59" s="81">
        <v>0.7</v>
      </c>
      <c r="AO59" s="80" t="s">
        <v>575</v>
      </c>
      <c r="AP59" s="130">
        <f t="shared" si="6"/>
        <v>10.9235896</v>
      </c>
      <c r="AQ59" s="95"/>
    </row>
    <row r="60" spans="1:43">
      <c r="A60" s="80">
        <v>202510</v>
      </c>
      <c r="B60" s="131">
        <v>45954</v>
      </c>
      <c r="C60" s="80" t="s">
        <v>613</v>
      </c>
      <c r="D60" s="80" t="str">
        <f t="shared" ref="D60:I60" si="83">D59</f>
        <v>M » N2 - 1</v>
      </c>
      <c r="E60" s="80" t="str">
        <f t="shared" si="83"/>
        <v>YCD-EX:HUPPER TEK</v>
      </c>
      <c r="F60" s="80" t="str">
        <f t="shared" si="83"/>
        <v>MI202508130012</v>
      </c>
      <c r="G60" s="80" t="str">
        <f t="shared" si="83"/>
        <v>DE2508031-G7-MIC</v>
      </c>
      <c r="H60" s="132">
        <f t="shared" si="83"/>
        <v>45889</v>
      </c>
      <c r="I60" s="133" t="str">
        <f t="shared" si="83"/>
        <v>B076THQBHX</v>
      </c>
      <c r="J60" s="80"/>
      <c r="K60" s="134" t="str">
        <f t="shared" si="50"/>
        <v>金属储物柜71英寸灰色</v>
      </c>
      <c r="L60" s="80"/>
      <c r="M60" s="123">
        <f t="shared" si="51"/>
        <v>188</v>
      </c>
      <c r="N60" s="123">
        <f t="shared" si="52"/>
        <v>49</v>
      </c>
      <c r="O60" s="123">
        <f t="shared" si="53"/>
        <v>14</v>
      </c>
      <c r="P60" s="80">
        <f t="shared" si="0"/>
        <v>0.128968</v>
      </c>
      <c r="Q60" s="80"/>
      <c r="R60" s="123">
        <f t="shared" si="54"/>
        <v>188</v>
      </c>
      <c r="S60" s="123">
        <f t="shared" si="55"/>
        <v>49</v>
      </c>
      <c r="T60" s="123">
        <f t="shared" si="56"/>
        <v>14</v>
      </c>
      <c r="U60" s="80">
        <f t="shared" si="1"/>
        <v>0.128968</v>
      </c>
      <c r="V60" s="80"/>
      <c r="W60" s="80"/>
      <c r="X60" s="80"/>
      <c r="Y60" s="80"/>
      <c r="Z60" s="80"/>
      <c r="AA60" s="80">
        <f t="shared" si="57"/>
        <v>19</v>
      </c>
      <c r="AB60" s="80">
        <f t="shared" si="58"/>
        <v>223</v>
      </c>
      <c r="AC60" s="80">
        <f t="shared" si="59"/>
        <v>223</v>
      </c>
      <c r="AD60" s="80">
        <v>0</v>
      </c>
      <c r="AE60" s="126">
        <f t="shared" si="60"/>
        <v>121</v>
      </c>
      <c r="AF60" s="126"/>
      <c r="AG60" s="135"/>
      <c r="AH60" s="128">
        <f t="shared" si="2"/>
        <v>121</v>
      </c>
      <c r="AI60" s="80" t="s">
        <v>568</v>
      </c>
      <c r="AJ60" s="129">
        <f t="shared" si="3"/>
        <v>15.605128</v>
      </c>
      <c r="AK60" s="129">
        <f t="shared" si="4"/>
        <v>15.605128</v>
      </c>
      <c r="AL60" s="80">
        <f t="shared" si="5"/>
        <v>66</v>
      </c>
      <c r="AM60" s="80" t="str">
        <f t="shared" si="62"/>
        <v>31-90天</v>
      </c>
      <c r="AN60" s="81">
        <v>0.7</v>
      </c>
      <c r="AO60" s="80" t="s">
        <v>575</v>
      </c>
      <c r="AP60" s="130">
        <f t="shared" si="6"/>
        <v>10.9235896</v>
      </c>
      <c r="AQ60" s="95"/>
    </row>
    <row r="61" spans="1:43">
      <c r="A61" s="80">
        <v>202510</v>
      </c>
      <c r="B61" s="131">
        <v>45955</v>
      </c>
      <c r="C61" s="80" t="s">
        <v>613</v>
      </c>
      <c r="D61" s="80" t="str">
        <f t="shared" ref="D61:I61" si="84">D60</f>
        <v>M » N2 - 1</v>
      </c>
      <c r="E61" s="80" t="str">
        <f t="shared" si="84"/>
        <v>YCD-EX:HUPPER TEK</v>
      </c>
      <c r="F61" s="80" t="str">
        <f t="shared" si="84"/>
        <v>MI202508130012</v>
      </c>
      <c r="G61" s="80" t="str">
        <f t="shared" si="84"/>
        <v>DE2508031-G7-MIC</v>
      </c>
      <c r="H61" s="132">
        <f t="shared" si="84"/>
        <v>45889</v>
      </c>
      <c r="I61" s="133" t="str">
        <f t="shared" si="84"/>
        <v>B076THQBHX</v>
      </c>
      <c r="J61" s="80"/>
      <c r="K61" s="134" t="str">
        <f t="shared" si="50"/>
        <v>金属储物柜71英寸灰色</v>
      </c>
      <c r="L61" s="80"/>
      <c r="M61" s="123">
        <f t="shared" si="51"/>
        <v>188</v>
      </c>
      <c r="N61" s="123">
        <f t="shared" si="52"/>
        <v>49</v>
      </c>
      <c r="O61" s="123">
        <f t="shared" si="53"/>
        <v>14</v>
      </c>
      <c r="P61" s="80">
        <f t="shared" si="0"/>
        <v>0.128968</v>
      </c>
      <c r="Q61" s="80"/>
      <c r="R61" s="123">
        <f t="shared" si="54"/>
        <v>188</v>
      </c>
      <c r="S61" s="123">
        <f t="shared" si="55"/>
        <v>49</v>
      </c>
      <c r="T61" s="123">
        <f t="shared" si="56"/>
        <v>14</v>
      </c>
      <c r="U61" s="80">
        <f t="shared" si="1"/>
        <v>0.128968</v>
      </c>
      <c r="V61" s="80"/>
      <c r="W61" s="80"/>
      <c r="X61" s="80"/>
      <c r="Y61" s="80"/>
      <c r="Z61" s="80"/>
      <c r="AA61" s="80">
        <f t="shared" si="57"/>
        <v>19</v>
      </c>
      <c r="AB61" s="80">
        <f t="shared" si="58"/>
        <v>223</v>
      </c>
      <c r="AC61" s="80">
        <f t="shared" si="59"/>
        <v>223</v>
      </c>
      <c r="AD61" s="80">
        <v>0</v>
      </c>
      <c r="AE61" s="126">
        <f t="shared" si="60"/>
        <v>121</v>
      </c>
      <c r="AF61" s="125"/>
      <c r="AG61" s="135"/>
      <c r="AH61" s="128">
        <f t="shared" si="2"/>
        <v>121</v>
      </c>
      <c r="AI61" s="80" t="s">
        <v>568</v>
      </c>
      <c r="AJ61" s="129">
        <f t="shared" si="3"/>
        <v>15.605128</v>
      </c>
      <c r="AK61" s="129">
        <f t="shared" si="4"/>
        <v>15.605128</v>
      </c>
      <c r="AL61" s="80">
        <f t="shared" si="5"/>
        <v>67</v>
      </c>
      <c r="AM61" s="80" t="str">
        <f t="shared" si="62"/>
        <v>31-90天</v>
      </c>
      <c r="AN61" s="81">
        <v>0.7</v>
      </c>
      <c r="AO61" s="80" t="s">
        <v>575</v>
      </c>
      <c r="AP61" s="130">
        <f t="shared" si="6"/>
        <v>10.9235896</v>
      </c>
      <c r="AQ61" s="95"/>
    </row>
    <row r="62" spans="1:43">
      <c r="A62" s="80">
        <v>202510</v>
      </c>
      <c r="B62" s="131">
        <v>45956</v>
      </c>
      <c r="C62" s="80" t="s">
        <v>613</v>
      </c>
      <c r="D62" s="80" t="str">
        <f t="shared" ref="D62:I62" si="85">D61</f>
        <v>M » N2 - 1</v>
      </c>
      <c r="E62" s="80" t="str">
        <f t="shared" si="85"/>
        <v>YCD-EX:HUPPER TEK</v>
      </c>
      <c r="F62" s="80" t="str">
        <f t="shared" si="85"/>
        <v>MI202508130012</v>
      </c>
      <c r="G62" s="80" t="str">
        <f t="shared" si="85"/>
        <v>DE2508031-G7-MIC</v>
      </c>
      <c r="H62" s="132">
        <f t="shared" si="85"/>
        <v>45889</v>
      </c>
      <c r="I62" s="133" t="str">
        <f t="shared" si="85"/>
        <v>B076THQBHX</v>
      </c>
      <c r="J62" s="80"/>
      <c r="K62" s="134" t="str">
        <f t="shared" si="50"/>
        <v>金属储物柜71英寸灰色</v>
      </c>
      <c r="L62" s="80"/>
      <c r="M62" s="123">
        <f t="shared" si="51"/>
        <v>188</v>
      </c>
      <c r="N62" s="123">
        <f t="shared" si="52"/>
        <v>49</v>
      </c>
      <c r="O62" s="123">
        <f t="shared" si="53"/>
        <v>14</v>
      </c>
      <c r="P62" s="80">
        <f t="shared" si="0"/>
        <v>0.128968</v>
      </c>
      <c r="Q62" s="80"/>
      <c r="R62" s="123">
        <f t="shared" si="54"/>
        <v>188</v>
      </c>
      <c r="S62" s="123">
        <f t="shared" si="55"/>
        <v>49</v>
      </c>
      <c r="T62" s="123">
        <f t="shared" si="56"/>
        <v>14</v>
      </c>
      <c r="U62" s="80">
        <f t="shared" si="1"/>
        <v>0.128968</v>
      </c>
      <c r="V62" s="80"/>
      <c r="W62" s="80"/>
      <c r="X62" s="80"/>
      <c r="Y62" s="80"/>
      <c r="Z62" s="80"/>
      <c r="AA62" s="80">
        <f t="shared" si="57"/>
        <v>19</v>
      </c>
      <c r="AB62" s="80">
        <f t="shared" si="58"/>
        <v>223</v>
      </c>
      <c r="AC62" s="80">
        <f t="shared" si="59"/>
        <v>223</v>
      </c>
      <c r="AD62" s="80">
        <v>0</v>
      </c>
      <c r="AE62" s="126">
        <f t="shared" si="60"/>
        <v>121</v>
      </c>
      <c r="AF62" s="125"/>
      <c r="AG62" s="135"/>
      <c r="AH62" s="128">
        <f t="shared" si="2"/>
        <v>121</v>
      </c>
      <c r="AI62" s="80" t="s">
        <v>568</v>
      </c>
      <c r="AJ62" s="129">
        <f t="shared" si="3"/>
        <v>15.605128</v>
      </c>
      <c r="AK62" s="129">
        <f t="shared" si="4"/>
        <v>15.605128</v>
      </c>
      <c r="AL62" s="80">
        <f t="shared" si="5"/>
        <v>68</v>
      </c>
      <c r="AM62" s="80" t="str">
        <f t="shared" si="62"/>
        <v>31-90天</v>
      </c>
      <c r="AN62" s="81">
        <v>0.7</v>
      </c>
      <c r="AO62" s="80" t="s">
        <v>575</v>
      </c>
      <c r="AP62" s="130">
        <f t="shared" si="6"/>
        <v>10.9235896</v>
      </c>
      <c r="AQ62" s="95"/>
    </row>
    <row r="63" spans="1:43">
      <c r="A63" s="80">
        <v>202510</v>
      </c>
      <c r="B63" s="131">
        <v>45957</v>
      </c>
      <c r="C63" s="80" t="s">
        <v>613</v>
      </c>
      <c r="D63" s="80" t="str">
        <f t="shared" ref="D63:I63" si="86">D62</f>
        <v>M » N2 - 1</v>
      </c>
      <c r="E63" s="80" t="str">
        <f t="shared" si="86"/>
        <v>YCD-EX:HUPPER TEK</v>
      </c>
      <c r="F63" s="80" t="str">
        <f t="shared" si="86"/>
        <v>MI202508130012</v>
      </c>
      <c r="G63" s="80" t="str">
        <f t="shared" si="86"/>
        <v>DE2508031-G7-MIC</v>
      </c>
      <c r="H63" s="132">
        <f t="shared" si="86"/>
        <v>45889</v>
      </c>
      <c r="I63" s="133" t="str">
        <f t="shared" si="86"/>
        <v>B076THQBHX</v>
      </c>
      <c r="J63" s="80"/>
      <c r="K63" s="134" t="str">
        <f t="shared" si="50"/>
        <v>金属储物柜71英寸灰色</v>
      </c>
      <c r="L63" s="80"/>
      <c r="M63" s="123">
        <f t="shared" si="51"/>
        <v>188</v>
      </c>
      <c r="N63" s="123">
        <f t="shared" si="52"/>
        <v>49</v>
      </c>
      <c r="O63" s="123">
        <f t="shared" si="53"/>
        <v>14</v>
      </c>
      <c r="P63" s="80">
        <f t="shared" si="0"/>
        <v>0.128968</v>
      </c>
      <c r="Q63" s="80"/>
      <c r="R63" s="123">
        <f t="shared" si="54"/>
        <v>188</v>
      </c>
      <c r="S63" s="123">
        <f t="shared" si="55"/>
        <v>49</v>
      </c>
      <c r="T63" s="123">
        <f t="shared" si="56"/>
        <v>14</v>
      </c>
      <c r="U63" s="80">
        <f t="shared" si="1"/>
        <v>0.128968</v>
      </c>
      <c r="V63" s="80"/>
      <c r="W63" s="80"/>
      <c r="X63" s="80"/>
      <c r="Y63" s="80"/>
      <c r="Z63" s="80"/>
      <c r="AA63" s="80">
        <f t="shared" si="57"/>
        <v>19</v>
      </c>
      <c r="AB63" s="80">
        <f t="shared" si="58"/>
        <v>223</v>
      </c>
      <c r="AC63" s="80">
        <f t="shared" si="59"/>
        <v>223</v>
      </c>
      <c r="AD63" s="80">
        <v>0</v>
      </c>
      <c r="AE63" s="126">
        <f t="shared" si="60"/>
        <v>121</v>
      </c>
      <c r="AF63" s="126"/>
      <c r="AG63" s="127">
        <v>1</v>
      </c>
      <c r="AH63" s="128">
        <f t="shared" si="2"/>
        <v>120</v>
      </c>
      <c r="AI63" s="80" t="s">
        <v>568</v>
      </c>
      <c r="AJ63" s="129">
        <f t="shared" si="3"/>
        <v>15.47616</v>
      </c>
      <c r="AK63" s="129">
        <f t="shared" si="4"/>
        <v>15.47616</v>
      </c>
      <c r="AL63" s="80">
        <f t="shared" si="5"/>
        <v>69</v>
      </c>
      <c r="AM63" s="80" t="str">
        <f t="shared" si="62"/>
        <v>31-90天</v>
      </c>
      <c r="AN63" s="81">
        <v>0.7</v>
      </c>
      <c r="AO63" s="80" t="s">
        <v>575</v>
      </c>
      <c r="AP63" s="130">
        <f t="shared" si="6"/>
        <v>10.833312</v>
      </c>
      <c r="AQ63" s="95"/>
    </row>
    <row r="64" spans="1:43">
      <c r="A64" s="80">
        <v>202510</v>
      </c>
      <c r="B64" s="131">
        <v>45958</v>
      </c>
      <c r="C64" s="80" t="s">
        <v>613</v>
      </c>
      <c r="D64" s="80" t="str">
        <f t="shared" ref="D64:I64" si="87">D63</f>
        <v>M » N2 - 1</v>
      </c>
      <c r="E64" s="80" t="str">
        <f t="shared" si="87"/>
        <v>YCD-EX:HUPPER TEK</v>
      </c>
      <c r="F64" s="80" t="str">
        <f t="shared" si="87"/>
        <v>MI202508130012</v>
      </c>
      <c r="G64" s="80" t="str">
        <f t="shared" si="87"/>
        <v>DE2508031-G7-MIC</v>
      </c>
      <c r="H64" s="132">
        <f t="shared" si="87"/>
        <v>45889</v>
      </c>
      <c r="I64" s="133" t="str">
        <f t="shared" si="87"/>
        <v>B076THQBHX</v>
      </c>
      <c r="J64" s="80"/>
      <c r="K64" s="134" t="str">
        <f t="shared" si="50"/>
        <v>金属储物柜71英寸灰色</v>
      </c>
      <c r="L64" s="80"/>
      <c r="M64" s="123">
        <f t="shared" si="51"/>
        <v>188</v>
      </c>
      <c r="N64" s="123">
        <f t="shared" si="52"/>
        <v>49</v>
      </c>
      <c r="O64" s="123">
        <f t="shared" si="53"/>
        <v>14</v>
      </c>
      <c r="P64" s="80">
        <f t="shared" si="0"/>
        <v>0.128968</v>
      </c>
      <c r="Q64" s="80"/>
      <c r="R64" s="123">
        <f t="shared" si="54"/>
        <v>188</v>
      </c>
      <c r="S64" s="123">
        <f t="shared" si="55"/>
        <v>49</v>
      </c>
      <c r="T64" s="123">
        <f t="shared" si="56"/>
        <v>14</v>
      </c>
      <c r="U64" s="80">
        <f t="shared" si="1"/>
        <v>0.128968</v>
      </c>
      <c r="V64" s="80"/>
      <c r="W64" s="80"/>
      <c r="X64" s="80"/>
      <c r="Y64" s="80"/>
      <c r="Z64" s="80"/>
      <c r="AA64" s="80">
        <f t="shared" si="57"/>
        <v>19</v>
      </c>
      <c r="AB64" s="80">
        <f t="shared" si="58"/>
        <v>223</v>
      </c>
      <c r="AC64" s="80">
        <f t="shared" si="59"/>
        <v>223</v>
      </c>
      <c r="AD64" s="80">
        <v>0</v>
      </c>
      <c r="AE64" s="126">
        <f t="shared" si="60"/>
        <v>120</v>
      </c>
      <c r="AF64" s="126"/>
      <c r="AG64" s="135"/>
      <c r="AH64" s="128">
        <f t="shared" si="2"/>
        <v>120</v>
      </c>
      <c r="AI64" s="80" t="s">
        <v>568</v>
      </c>
      <c r="AJ64" s="129">
        <f t="shared" si="3"/>
        <v>15.47616</v>
      </c>
      <c r="AK64" s="129">
        <f t="shared" si="4"/>
        <v>15.47616</v>
      </c>
      <c r="AL64" s="80">
        <f t="shared" si="5"/>
        <v>70</v>
      </c>
      <c r="AM64" s="80" t="str">
        <f t="shared" si="62"/>
        <v>31-90天</v>
      </c>
      <c r="AN64" s="81">
        <v>0.7</v>
      </c>
      <c r="AO64" s="80" t="s">
        <v>575</v>
      </c>
      <c r="AP64" s="130">
        <f t="shared" si="6"/>
        <v>10.833312</v>
      </c>
      <c r="AQ64" s="95"/>
    </row>
    <row r="65" spans="1:43">
      <c r="A65" s="80">
        <v>202510</v>
      </c>
      <c r="B65" s="131">
        <v>45959</v>
      </c>
      <c r="C65" s="80" t="s">
        <v>613</v>
      </c>
      <c r="D65" s="80" t="str">
        <f t="shared" ref="D65:I65" si="88">D64</f>
        <v>M » N2 - 1</v>
      </c>
      <c r="E65" s="80" t="str">
        <f t="shared" si="88"/>
        <v>YCD-EX:HUPPER TEK</v>
      </c>
      <c r="F65" s="80" t="str">
        <f t="shared" si="88"/>
        <v>MI202508130012</v>
      </c>
      <c r="G65" s="80" t="str">
        <f t="shared" si="88"/>
        <v>DE2508031-G7-MIC</v>
      </c>
      <c r="H65" s="132">
        <f t="shared" si="88"/>
        <v>45889</v>
      </c>
      <c r="I65" s="133" t="str">
        <f t="shared" si="88"/>
        <v>B076THQBHX</v>
      </c>
      <c r="J65" s="80"/>
      <c r="K65" s="134" t="str">
        <f t="shared" si="50"/>
        <v>金属储物柜71英寸灰色</v>
      </c>
      <c r="L65" s="80"/>
      <c r="M65" s="123">
        <f t="shared" si="51"/>
        <v>188</v>
      </c>
      <c r="N65" s="123">
        <f t="shared" si="52"/>
        <v>49</v>
      </c>
      <c r="O65" s="123">
        <f t="shared" si="53"/>
        <v>14</v>
      </c>
      <c r="P65" s="80">
        <f t="shared" si="0"/>
        <v>0.128968</v>
      </c>
      <c r="Q65" s="80"/>
      <c r="R65" s="123">
        <f t="shared" si="54"/>
        <v>188</v>
      </c>
      <c r="S65" s="123">
        <f t="shared" si="55"/>
        <v>49</v>
      </c>
      <c r="T65" s="123">
        <f t="shared" si="56"/>
        <v>14</v>
      </c>
      <c r="U65" s="80">
        <f t="shared" si="1"/>
        <v>0.128968</v>
      </c>
      <c r="V65" s="80"/>
      <c r="W65" s="80"/>
      <c r="X65" s="80"/>
      <c r="Y65" s="80"/>
      <c r="Z65" s="80"/>
      <c r="AA65" s="80">
        <f t="shared" si="57"/>
        <v>19</v>
      </c>
      <c r="AB65" s="80">
        <f t="shared" si="58"/>
        <v>223</v>
      </c>
      <c r="AC65" s="80">
        <f t="shared" si="59"/>
        <v>223</v>
      </c>
      <c r="AD65" s="80">
        <v>0</v>
      </c>
      <c r="AE65" s="126">
        <f t="shared" si="60"/>
        <v>120</v>
      </c>
      <c r="AF65" s="126"/>
      <c r="AG65" s="135"/>
      <c r="AH65" s="128">
        <f t="shared" si="2"/>
        <v>120</v>
      </c>
      <c r="AI65" s="80" t="s">
        <v>568</v>
      </c>
      <c r="AJ65" s="129">
        <f t="shared" si="3"/>
        <v>15.47616</v>
      </c>
      <c r="AK65" s="129">
        <f t="shared" si="4"/>
        <v>15.47616</v>
      </c>
      <c r="AL65" s="80">
        <f t="shared" si="5"/>
        <v>71</v>
      </c>
      <c r="AM65" s="80" t="str">
        <f t="shared" si="62"/>
        <v>31-90天</v>
      </c>
      <c r="AN65" s="81">
        <v>0.7</v>
      </c>
      <c r="AO65" s="80" t="s">
        <v>575</v>
      </c>
      <c r="AP65" s="130">
        <f t="shared" si="6"/>
        <v>10.833312</v>
      </c>
      <c r="AQ65" s="95"/>
    </row>
    <row r="66" spans="1:43">
      <c r="A66" s="80">
        <v>202510</v>
      </c>
      <c r="B66" s="131">
        <v>45960</v>
      </c>
      <c r="C66" s="80" t="s">
        <v>613</v>
      </c>
      <c r="D66" s="80" t="str">
        <f t="shared" ref="D66:I66" si="89">D65</f>
        <v>M » N2 - 1</v>
      </c>
      <c r="E66" s="80" t="str">
        <f t="shared" si="89"/>
        <v>YCD-EX:HUPPER TEK</v>
      </c>
      <c r="F66" s="80" t="str">
        <f t="shared" si="89"/>
        <v>MI202508130012</v>
      </c>
      <c r="G66" s="80" t="str">
        <f t="shared" si="89"/>
        <v>DE2508031-G7-MIC</v>
      </c>
      <c r="H66" s="132">
        <f t="shared" si="89"/>
        <v>45889</v>
      </c>
      <c r="I66" s="133" t="str">
        <f t="shared" si="89"/>
        <v>B076THQBHX</v>
      </c>
      <c r="J66" s="80"/>
      <c r="K66" s="134" t="str">
        <f t="shared" si="50"/>
        <v>金属储物柜71英寸灰色</v>
      </c>
      <c r="L66" s="80"/>
      <c r="M66" s="123">
        <f t="shared" si="51"/>
        <v>188</v>
      </c>
      <c r="N66" s="123">
        <f t="shared" si="52"/>
        <v>49</v>
      </c>
      <c r="O66" s="123">
        <f t="shared" si="53"/>
        <v>14</v>
      </c>
      <c r="P66" s="80">
        <f t="shared" si="0"/>
        <v>0.128968</v>
      </c>
      <c r="Q66" s="80"/>
      <c r="R66" s="123">
        <f t="shared" si="54"/>
        <v>188</v>
      </c>
      <c r="S66" s="123">
        <f t="shared" si="55"/>
        <v>49</v>
      </c>
      <c r="T66" s="123">
        <f t="shared" si="56"/>
        <v>14</v>
      </c>
      <c r="U66" s="80">
        <f t="shared" si="1"/>
        <v>0.128968</v>
      </c>
      <c r="V66" s="80"/>
      <c r="W66" s="80"/>
      <c r="X66" s="80"/>
      <c r="Y66" s="80"/>
      <c r="Z66" s="80"/>
      <c r="AA66" s="80">
        <f t="shared" si="57"/>
        <v>19</v>
      </c>
      <c r="AB66" s="80">
        <f t="shared" si="58"/>
        <v>223</v>
      </c>
      <c r="AC66" s="80">
        <f t="shared" si="59"/>
        <v>223</v>
      </c>
      <c r="AD66" s="80">
        <v>0</v>
      </c>
      <c r="AE66" s="126">
        <f t="shared" si="60"/>
        <v>120</v>
      </c>
      <c r="AF66" s="126"/>
      <c r="AG66" s="135"/>
      <c r="AH66" s="128">
        <f t="shared" si="2"/>
        <v>120</v>
      </c>
      <c r="AI66" s="80" t="s">
        <v>568</v>
      </c>
      <c r="AJ66" s="129">
        <f t="shared" si="3"/>
        <v>15.47616</v>
      </c>
      <c r="AK66" s="129">
        <f t="shared" si="4"/>
        <v>15.47616</v>
      </c>
      <c r="AL66" s="80">
        <f t="shared" si="5"/>
        <v>72</v>
      </c>
      <c r="AM66" s="80" t="str">
        <f t="shared" si="62"/>
        <v>31-90天</v>
      </c>
      <c r="AN66" s="81">
        <v>0.7</v>
      </c>
      <c r="AO66" s="80" t="s">
        <v>575</v>
      </c>
      <c r="AP66" s="130">
        <f t="shared" si="6"/>
        <v>10.833312</v>
      </c>
      <c r="AQ66" s="95"/>
    </row>
    <row r="67" spans="1:43">
      <c r="A67" s="80">
        <v>202510</v>
      </c>
      <c r="B67" s="131">
        <v>45961</v>
      </c>
      <c r="C67" s="80" t="s">
        <v>613</v>
      </c>
      <c r="D67" s="80" t="str">
        <f t="shared" ref="D67:I67" si="90">D66</f>
        <v>M » N2 - 1</v>
      </c>
      <c r="E67" s="80" t="str">
        <f t="shared" si="90"/>
        <v>YCD-EX:HUPPER TEK</v>
      </c>
      <c r="F67" s="80" t="str">
        <f t="shared" si="90"/>
        <v>MI202508130012</v>
      </c>
      <c r="G67" s="80" t="str">
        <f t="shared" si="90"/>
        <v>DE2508031-G7-MIC</v>
      </c>
      <c r="H67" s="132">
        <f t="shared" si="90"/>
        <v>45889</v>
      </c>
      <c r="I67" s="133" t="str">
        <f t="shared" si="90"/>
        <v>B076THQBHX</v>
      </c>
      <c r="J67" s="80"/>
      <c r="K67" s="134" t="str">
        <f t="shared" si="50"/>
        <v>金属储物柜71英寸灰色</v>
      </c>
      <c r="L67" s="80"/>
      <c r="M67" s="123">
        <f t="shared" si="51"/>
        <v>188</v>
      </c>
      <c r="N67" s="123">
        <f t="shared" si="52"/>
        <v>49</v>
      </c>
      <c r="O67" s="123">
        <f t="shared" si="53"/>
        <v>14</v>
      </c>
      <c r="P67" s="80">
        <f t="shared" si="0"/>
        <v>0.128968</v>
      </c>
      <c r="Q67" s="80"/>
      <c r="R67" s="123">
        <f t="shared" si="54"/>
        <v>188</v>
      </c>
      <c r="S67" s="123">
        <f t="shared" si="55"/>
        <v>49</v>
      </c>
      <c r="T67" s="123">
        <f t="shared" si="56"/>
        <v>14</v>
      </c>
      <c r="U67" s="80">
        <f t="shared" si="1"/>
        <v>0.128968</v>
      </c>
      <c r="V67" s="80"/>
      <c r="W67" s="80"/>
      <c r="X67" s="80"/>
      <c r="Y67" s="80"/>
      <c r="Z67" s="80"/>
      <c r="AA67" s="80">
        <f t="shared" si="57"/>
        <v>19</v>
      </c>
      <c r="AB67" s="80">
        <f t="shared" si="58"/>
        <v>223</v>
      </c>
      <c r="AC67" s="80">
        <f t="shared" si="59"/>
        <v>223</v>
      </c>
      <c r="AD67" s="80">
        <v>0</v>
      </c>
      <c r="AE67" s="126">
        <f t="shared" si="60"/>
        <v>120</v>
      </c>
      <c r="AF67" s="125"/>
      <c r="AG67" s="135"/>
      <c r="AH67" s="137">
        <f t="shared" si="2"/>
        <v>120</v>
      </c>
      <c r="AI67" s="80" t="s">
        <v>568</v>
      </c>
      <c r="AJ67" s="129">
        <f t="shared" si="3"/>
        <v>15.47616</v>
      </c>
      <c r="AK67" s="129">
        <f t="shared" si="4"/>
        <v>15.47616</v>
      </c>
      <c r="AL67" s="80">
        <f t="shared" si="5"/>
        <v>73</v>
      </c>
      <c r="AM67" s="80" t="str">
        <f t="shared" si="62"/>
        <v>31-90天</v>
      </c>
      <c r="AN67" s="81">
        <v>0.7</v>
      </c>
      <c r="AO67" s="80" t="s">
        <v>575</v>
      </c>
      <c r="AP67" s="130">
        <f t="shared" si="6"/>
        <v>10.833312</v>
      </c>
      <c r="AQ67" s="95"/>
    </row>
    <row r="68" spans="1:43">
      <c r="A68" s="80">
        <v>202510</v>
      </c>
      <c r="B68" s="120">
        <v>45931</v>
      </c>
      <c r="C68" s="80" t="s">
        <v>613</v>
      </c>
      <c r="D68" s="10" t="s">
        <v>614</v>
      </c>
      <c r="E68" s="10" t="s">
        <v>97</v>
      </c>
      <c r="F68" s="10" t="s">
        <v>615</v>
      </c>
      <c r="G68" s="10" t="s">
        <v>616</v>
      </c>
      <c r="H68" s="121">
        <v>45889</v>
      </c>
      <c r="I68" s="10" t="s">
        <v>212</v>
      </c>
      <c r="J68" s="10"/>
      <c r="K68" s="122" t="str">
        <f>VLOOKUP(I68,物品明细!A:B,2,0)</f>
        <v>金属储物柜71英寸高</v>
      </c>
      <c r="L68" s="80"/>
      <c r="M68" s="123">
        <f>VLOOKUP(I68,物品明细!A:E,5,0)</f>
        <v>188</v>
      </c>
      <c r="N68" s="123">
        <f>VLOOKUP(I68,物品明细!A:F,6,0)</f>
        <v>49</v>
      </c>
      <c r="O68" s="123">
        <f>VLOOKUP(I68,物品明细!A:G,7,0)</f>
        <v>14</v>
      </c>
      <c r="P68" s="80">
        <f t="shared" si="0"/>
        <v>0.128968</v>
      </c>
      <c r="Q68" s="80"/>
      <c r="R68" s="123">
        <f>VLOOKUP(I68,物品明细!A:E,5,0)</f>
        <v>188</v>
      </c>
      <c r="S68" s="123">
        <f>VLOOKUP(I68,物品明细!A:F,6,0)</f>
        <v>49</v>
      </c>
      <c r="T68" s="123">
        <f>VLOOKUP(I68,物品明细!A:G,7,0)</f>
        <v>14</v>
      </c>
      <c r="U68" s="80">
        <f t="shared" si="1"/>
        <v>0.128968</v>
      </c>
      <c r="V68" s="80"/>
      <c r="W68" s="80"/>
      <c r="X68" s="80"/>
      <c r="Y68" s="80"/>
      <c r="Z68" s="80"/>
      <c r="AA68" s="124">
        <v>13</v>
      </c>
      <c r="AB68" s="124">
        <v>151</v>
      </c>
      <c r="AC68" s="124">
        <v>151</v>
      </c>
      <c r="AD68" s="80">
        <v>0</v>
      </c>
      <c r="AE68" s="125">
        <v>56</v>
      </c>
      <c r="AF68" s="126"/>
      <c r="AG68" s="135"/>
      <c r="AH68" s="128">
        <f t="shared" si="2"/>
        <v>56</v>
      </c>
      <c r="AI68" s="80" t="s">
        <v>568</v>
      </c>
      <c r="AJ68" s="129">
        <f t="shared" si="3"/>
        <v>7.222208</v>
      </c>
      <c r="AK68" s="129">
        <f t="shared" si="4"/>
        <v>7.222208</v>
      </c>
      <c r="AL68" s="80">
        <f t="shared" si="5"/>
        <v>43</v>
      </c>
      <c r="AM68" s="80" t="str">
        <f t="shared" si="62"/>
        <v>31-90天</v>
      </c>
      <c r="AN68" s="81">
        <v>0.7</v>
      </c>
      <c r="AO68" s="80" t="s">
        <v>575</v>
      </c>
      <c r="AP68" s="130">
        <f t="shared" si="6"/>
        <v>5.0555456</v>
      </c>
      <c r="AQ68" s="95"/>
    </row>
    <row r="69" spans="1:43">
      <c r="A69" s="80">
        <v>202510</v>
      </c>
      <c r="B69" s="131">
        <v>45932</v>
      </c>
      <c r="C69" s="80" t="s">
        <v>613</v>
      </c>
      <c r="D69" s="3" t="str">
        <f t="shared" ref="D69:I69" si="91">D68</f>
        <v>M » N2 - 1</v>
      </c>
      <c r="E69" s="80" t="str">
        <f t="shared" si="91"/>
        <v>YCD-EX:HUPPER TEK</v>
      </c>
      <c r="F69" s="80" t="str">
        <f t="shared" si="91"/>
        <v>MI202508130012</v>
      </c>
      <c r="G69" s="80" t="str">
        <f t="shared" si="91"/>
        <v>DE2508031-G7-MIC</v>
      </c>
      <c r="H69" s="132">
        <f t="shared" si="91"/>
        <v>45889</v>
      </c>
      <c r="I69" s="133" t="str">
        <f t="shared" si="91"/>
        <v>B07Q3SQT6C</v>
      </c>
      <c r="J69" s="80"/>
      <c r="K69" s="134" t="str">
        <f t="shared" ref="K69:K98" si="92">K68</f>
        <v>金属储物柜71英寸高</v>
      </c>
      <c r="L69" s="80"/>
      <c r="M69" s="123">
        <f t="shared" ref="M69:M98" si="93">M68</f>
        <v>188</v>
      </c>
      <c r="N69" s="123">
        <f t="shared" ref="N69:N98" si="94">N68</f>
        <v>49</v>
      </c>
      <c r="O69" s="123">
        <f t="shared" ref="O69:O98" si="95">O68</f>
        <v>14</v>
      </c>
      <c r="P69" s="80">
        <f t="shared" si="0"/>
        <v>0.128968</v>
      </c>
      <c r="Q69" s="80"/>
      <c r="R69" s="123">
        <f t="shared" ref="R69:R98" si="96">R68</f>
        <v>188</v>
      </c>
      <c r="S69" s="123">
        <f t="shared" ref="S69:S98" si="97">S68</f>
        <v>49</v>
      </c>
      <c r="T69" s="123">
        <f t="shared" ref="T69:T98" si="98">T68</f>
        <v>14</v>
      </c>
      <c r="U69" s="80">
        <f t="shared" si="1"/>
        <v>0.128968</v>
      </c>
      <c r="V69" s="80"/>
      <c r="W69" s="80"/>
      <c r="X69" s="80"/>
      <c r="Y69" s="80"/>
      <c r="Z69" s="80"/>
      <c r="AA69" s="80">
        <f t="shared" ref="AA69:AA98" si="99">AA68</f>
        <v>13</v>
      </c>
      <c r="AB69" s="80">
        <f t="shared" ref="AB69:AB98" si="100">AB68</f>
        <v>151</v>
      </c>
      <c r="AC69" s="80">
        <f t="shared" ref="AC69:AC98" si="101">AC68</f>
        <v>151</v>
      </c>
      <c r="AD69" s="80">
        <v>0</v>
      </c>
      <c r="AE69" s="126">
        <f t="shared" ref="AE69:AE98" si="102">AH68</f>
        <v>56</v>
      </c>
      <c r="AF69" s="126"/>
      <c r="AG69" s="135"/>
      <c r="AH69" s="128">
        <f t="shared" si="2"/>
        <v>56</v>
      </c>
      <c r="AI69" s="80" t="s">
        <v>568</v>
      </c>
      <c r="AJ69" s="129">
        <f t="shared" si="3"/>
        <v>7.222208</v>
      </c>
      <c r="AK69" s="129">
        <f t="shared" si="4"/>
        <v>7.222208</v>
      </c>
      <c r="AL69" s="80">
        <f t="shared" si="5"/>
        <v>44</v>
      </c>
      <c r="AM69" s="80" t="str">
        <f t="shared" si="62"/>
        <v>31-90天</v>
      </c>
      <c r="AN69" s="81">
        <v>0.7</v>
      </c>
      <c r="AO69" s="80" t="s">
        <v>575</v>
      </c>
      <c r="AP69" s="130">
        <f t="shared" si="6"/>
        <v>5.0555456</v>
      </c>
      <c r="AQ69" s="95"/>
    </row>
    <row r="70" spans="1:43">
      <c r="A70" s="80">
        <v>202510</v>
      </c>
      <c r="B70" s="131">
        <v>45933</v>
      </c>
      <c r="C70" s="80" t="s">
        <v>613</v>
      </c>
      <c r="D70" s="80" t="str">
        <f t="shared" ref="D70:I70" si="103">D69</f>
        <v>M » N2 - 1</v>
      </c>
      <c r="E70" s="80" t="str">
        <f t="shared" si="103"/>
        <v>YCD-EX:HUPPER TEK</v>
      </c>
      <c r="F70" s="80" t="str">
        <f t="shared" si="103"/>
        <v>MI202508130012</v>
      </c>
      <c r="G70" s="80" t="str">
        <f t="shared" si="103"/>
        <v>DE2508031-G7-MIC</v>
      </c>
      <c r="H70" s="132">
        <f t="shared" si="103"/>
        <v>45889</v>
      </c>
      <c r="I70" s="133" t="str">
        <f t="shared" si="103"/>
        <v>B07Q3SQT6C</v>
      </c>
      <c r="J70" s="80"/>
      <c r="K70" s="134" t="str">
        <f t="shared" si="92"/>
        <v>金属储物柜71英寸高</v>
      </c>
      <c r="L70" s="80"/>
      <c r="M70" s="123">
        <f t="shared" si="93"/>
        <v>188</v>
      </c>
      <c r="N70" s="123">
        <f t="shared" si="94"/>
        <v>49</v>
      </c>
      <c r="O70" s="123">
        <f t="shared" si="95"/>
        <v>14</v>
      </c>
      <c r="P70" s="80">
        <f t="shared" ref="P70:P133" si="104">M70*N70*O70/1000000</f>
        <v>0.128968</v>
      </c>
      <c r="Q70" s="80"/>
      <c r="R70" s="123">
        <f t="shared" si="96"/>
        <v>188</v>
      </c>
      <c r="S70" s="123">
        <f t="shared" si="97"/>
        <v>49</v>
      </c>
      <c r="T70" s="123">
        <f t="shared" si="98"/>
        <v>14</v>
      </c>
      <c r="U70" s="80">
        <f t="shared" ref="U70:U133" si="105">R70*S70*T70/1000000</f>
        <v>0.128968</v>
      </c>
      <c r="V70" s="80"/>
      <c r="W70" s="80"/>
      <c r="X70" s="80"/>
      <c r="Y70" s="80"/>
      <c r="Z70" s="80"/>
      <c r="AA70" s="80">
        <f t="shared" si="99"/>
        <v>13</v>
      </c>
      <c r="AB70" s="80">
        <f t="shared" si="100"/>
        <v>151</v>
      </c>
      <c r="AC70" s="80">
        <f t="shared" si="101"/>
        <v>151</v>
      </c>
      <c r="AD70" s="80">
        <v>0</v>
      </c>
      <c r="AE70" s="126">
        <f t="shared" si="102"/>
        <v>56</v>
      </c>
      <c r="AF70" s="126"/>
      <c r="AG70" s="135"/>
      <c r="AH70" s="128">
        <f t="shared" ref="AH70:AH133" si="106">AE70+AF70-AG70</f>
        <v>56</v>
      </c>
      <c r="AI70" s="80" t="s">
        <v>568</v>
      </c>
      <c r="AJ70" s="129">
        <f t="shared" ref="AJ70:AJ133" si="107">AH70*P70</f>
        <v>7.222208</v>
      </c>
      <c r="AK70" s="129">
        <f t="shared" ref="AK70:AK133" si="108">AJ70</f>
        <v>7.222208</v>
      </c>
      <c r="AL70" s="80">
        <f t="shared" ref="AL70:AL133" si="109">B70-H70+1</f>
        <v>45</v>
      </c>
      <c r="AM70" s="80" t="str">
        <f t="shared" si="62"/>
        <v>31-90天</v>
      </c>
      <c r="AN70" s="81">
        <v>0.7</v>
      </c>
      <c r="AO70" s="80" t="s">
        <v>575</v>
      </c>
      <c r="AP70" s="130">
        <f t="shared" ref="AP70:AP133" si="110">AK70*AN70</f>
        <v>5.0555456</v>
      </c>
      <c r="AQ70" s="95"/>
    </row>
    <row r="71" spans="1:43">
      <c r="A71" s="80">
        <v>202510</v>
      </c>
      <c r="B71" s="131">
        <v>45934</v>
      </c>
      <c r="C71" s="80" t="s">
        <v>613</v>
      </c>
      <c r="D71" s="80" t="str">
        <f t="shared" ref="D71:I71" si="111">D70</f>
        <v>M » N2 - 1</v>
      </c>
      <c r="E71" s="80" t="str">
        <f t="shared" si="111"/>
        <v>YCD-EX:HUPPER TEK</v>
      </c>
      <c r="F71" s="80" t="str">
        <f t="shared" si="111"/>
        <v>MI202508130012</v>
      </c>
      <c r="G71" s="80" t="str">
        <f t="shared" si="111"/>
        <v>DE2508031-G7-MIC</v>
      </c>
      <c r="H71" s="132">
        <f t="shared" si="111"/>
        <v>45889</v>
      </c>
      <c r="I71" s="133" t="str">
        <f t="shared" si="111"/>
        <v>B07Q3SQT6C</v>
      </c>
      <c r="J71" s="80"/>
      <c r="K71" s="134" t="str">
        <f t="shared" si="92"/>
        <v>金属储物柜71英寸高</v>
      </c>
      <c r="L71" s="80"/>
      <c r="M71" s="123">
        <f t="shared" si="93"/>
        <v>188</v>
      </c>
      <c r="N71" s="123">
        <f t="shared" si="94"/>
        <v>49</v>
      </c>
      <c r="O71" s="123">
        <f t="shared" si="95"/>
        <v>14</v>
      </c>
      <c r="P71" s="80">
        <f t="shared" si="104"/>
        <v>0.128968</v>
      </c>
      <c r="Q71" s="80"/>
      <c r="R71" s="123">
        <f t="shared" si="96"/>
        <v>188</v>
      </c>
      <c r="S71" s="123">
        <f t="shared" si="97"/>
        <v>49</v>
      </c>
      <c r="T71" s="123">
        <f t="shared" si="98"/>
        <v>14</v>
      </c>
      <c r="U71" s="80">
        <f t="shared" si="105"/>
        <v>0.128968</v>
      </c>
      <c r="V71" s="80"/>
      <c r="W71" s="80"/>
      <c r="X71" s="80"/>
      <c r="Y71" s="80"/>
      <c r="Z71" s="80"/>
      <c r="AA71" s="80">
        <f t="shared" si="99"/>
        <v>13</v>
      </c>
      <c r="AB71" s="80">
        <f t="shared" si="100"/>
        <v>151</v>
      </c>
      <c r="AC71" s="80">
        <f t="shared" si="101"/>
        <v>151</v>
      </c>
      <c r="AD71" s="80">
        <v>0</v>
      </c>
      <c r="AE71" s="126">
        <f t="shared" si="102"/>
        <v>56</v>
      </c>
      <c r="AF71" s="126"/>
      <c r="AG71" s="135"/>
      <c r="AH71" s="128">
        <f t="shared" si="106"/>
        <v>56</v>
      </c>
      <c r="AI71" s="80" t="s">
        <v>568</v>
      </c>
      <c r="AJ71" s="129">
        <f t="shared" si="107"/>
        <v>7.222208</v>
      </c>
      <c r="AK71" s="129">
        <f t="shared" si="108"/>
        <v>7.222208</v>
      </c>
      <c r="AL71" s="80">
        <f t="shared" si="109"/>
        <v>46</v>
      </c>
      <c r="AM71" s="80" t="str">
        <f t="shared" ref="AM71:AM102" si="112">IF(AL71&lt;=30,"30天内",IF(AL71&lt;=90,"31-90天","91天以上"))</f>
        <v>31-90天</v>
      </c>
      <c r="AN71" s="81">
        <v>0.7</v>
      </c>
      <c r="AO71" s="80" t="s">
        <v>575</v>
      </c>
      <c r="AP71" s="130">
        <f t="shared" si="110"/>
        <v>5.0555456</v>
      </c>
      <c r="AQ71" s="95"/>
    </row>
    <row r="72" spans="1:43">
      <c r="A72" s="80">
        <v>202510</v>
      </c>
      <c r="B72" s="131">
        <v>45935</v>
      </c>
      <c r="C72" s="80" t="s">
        <v>613</v>
      </c>
      <c r="D72" s="80" t="str">
        <f t="shared" ref="D72:I72" si="113">D71</f>
        <v>M » N2 - 1</v>
      </c>
      <c r="E72" s="80" t="str">
        <f t="shared" si="113"/>
        <v>YCD-EX:HUPPER TEK</v>
      </c>
      <c r="F72" s="80" t="str">
        <f t="shared" si="113"/>
        <v>MI202508130012</v>
      </c>
      <c r="G72" s="80" t="str">
        <f t="shared" si="113"/>
        <v>DE2508031-G7-MIC</v>
      </c>
      <c r="H72" s="132">
        <f t="shared" si="113"/>
        <v>45889</v>
      </c>
      <c r="I72" s="133" t="str">
        <f t="shared" si="113"/>
        <v>B07Q3SQT6C</v>
      </c>
      <c r="J72" s="136"/>
      <c r="K72" s="134" t="str">
        <f t="shared" si="92"/>
        <v>金属储物柜71英寸高</v>
      </c>
      <c r="L72" s="80"/>
      <c r="M72" s="123">
        <f t="shared" si="93"/>
        <v>188</v>
      </c>
      <c r="N72" s="123">
        <f t="shared" si="94"/>
        <v>49</v>
      </c>
      <c r="O72" s="123">
        <f t="shared" si="95"/>
        <v>14</v>
      </c>
      <c r="P72" s="80">
        <f t="shared" si="104"/>
        <v>0.128968</v>
      </c>
      <c r="Q72" s="80"/>
      <c r="R72" s="123">
        <f t="shared" si="96"/>
        <v>188</v>
      </c>
      <c r="S72" s="123">
        <f t="shared" si="97"/>
        <v>49</v>
      </c>
      <c r="T72" s="123">
        <f t="shared" si="98"/>
        <v>14</v>
      </c>
      <c r="U72" s="80">
        <f t="shared" si="105"/>
        <v>0.128968</v>
      </c>
      <c r="V72" s="80"/>
      <c r="W72" s="80"/>
      <c r="X72" s="80"/>
      <c r="Y72" s="80"/>
      <c r="Z72" s="80"/>
      <c r="AA72" s="80">
        <f t="shared" si="99"/>
        <v>13</v>
      </c>
      <c r="AB72" s="80">
        <f t="shared" si="100"/>
        <v>151</v>
      </c>
      <c r="AC72" s="80">
        <f t="shared" si="101"/>
        <v>151</v>
      </c>
      <c r="AD72" s="80">
        <v>0</v>
      </c>
      <c r="AE72" s="126">
        <f t="shared" si="102"/>
        <v>56</v>
      </c>
      <c r="AF72" s="126"/>
      <c r="AG72" s="135"/>
      <c r="AH72" s="128">
        <f t="shared" si="106"/>
        <v>56</v>
      </c>
      <c r="AI72" s="80" t="s">
        <v>568</v>
      </c>
      <c r="AJ72" s="129">
        <f t="shared" si="107"/>
        <v>7.222208</v>
      </c>
      <c r="AK72" s="129">
        <f t="shared" si="108"/>
        <v>7.222208</v>
      </c>
      <c r="AL72" s="80">
        <f t="shared" si="109"/>
        <v>47</v>
      </c>
      <c r="AM72" s="80" t="str">
        <f t="shared" si="112"/>
        <v>31-90天</v>
      </c>
      <c r="AN72" s="81">
        <v>0.7</v>
      </c>
      <c r="AO72" s="80" t="s">
        <v>575</v>
      </c>
      <c r="AP72" s="130">
        <f t="shared" si="110"/>
        <v>5.0555456</v>
      </c>
      <c r="AQ72" s="95"/>
    </row>
    <row r="73" spans="1:43">
      <c r="A73" s="80">
        <v>202510</v>
      </c>
      <c r="B73" s="131">
        <v>45936</v>
      </c>
      <c r="C73" s="80" t="s">
        <v>613</v>
      </c>
      <c r="D73" s="80" t="str">
        <f t="shared" ref="D73:I73" si="114">D72</f>
        <v>M » N2 - 1</v>
      </c>
      <c r="E73" s="80" t="str">
        <f t="shared" si="114"/>
        <v>YCD-EX:HUPPER TEK</v>
      </c>
      <c r="F73" s="80" t="str">
        <f t="shared" si="114"/>
        <v>MI202508130012</v>
      </c>
      <c r="G73" s="80" t="str">
        <f t="shared" si="114"/>
        <v>DE2508031-G7-MIC</v>
      </c>
      <c r="H73" s="132">
        <f t="shared" si="114"/>
        <v>45889</v>
      </c>
      <c r="I73" s="133" t="str">
        <f t="shared" si="114"/>
        <v>B07Q3SQT6C</v>
      </c>
      <c r="J73" s="80"/>
      <c r="K73" s="134" t="str">
        <f t="shared" si="92"/>
        <v>金属储物柜71英寸高</v>
      </c>
      <c r="L73" s="80"/>
      <c r="M73" s="123">
        <f t="shared" si="93"/>
        <v>188</v>
      </c>
      <c r="N73" s="123">
        <f t="shared" si="94"/>
        <v>49</v>
      </c>
      <c r="O73" s="123">
        <f t="shared" si="95"/>
        <v>14</v>
      </c>
      <c r="P73" s="80">
        <f t="shared" si="104"/>
        <v>0.128968</v>
      </c>
      <c r="Q73" s="80"/>
      <c r="R73" s="123">
        <f t="shared" si="96"/>
        <v>188</v>
      </c>
      <c r="S73" s="123">
        <f t="shared" si="97"/>
        <v>49</v>
      </c>
      <c r="T73" s="123">
        <f t="shared" si="98"/>
        <v>14</v>
      </c>
      <c r="U73" s="80">
        <f t="shared" si="105"/>
        <v>0.128968</v>
      </c>
      <c r="V73" s="80"/>
      <c r="W73" s="80"/>
      <c r="X73" s="80"/>
      <c r="Y73" s="80"/>
      <c r="Z73" s="80"/>
      <c r="AA73" s="80">
        <f t="shared" si="99"/>
        <v>13</v>
      </c>
      <c r="AB73" s="80">
        <f t="shared" si="100"/>
        <v>151</v>
      </c>
      <c r="AC73" s="80">
        <f t="shared" si="101"/>
        <v>151</v>
      </c>
      <c r="AD73" s="80">
        <v>0</v>
      </c>
      <c r="AE73" s="126">
        <f t="shared" si="102"/>
        <v>56</v>
      </c>
      <c r="AF73" s="126"/>
      <c r="AG73" s="127">
        <v>10</v>
      </c>
      <c r="AH73" s="128">
        <f t="shared" si="106"/>
        <v>46</v>
      </c>
      <c r="AI73" s="80" t="s">
        <v>568</v>
      </c>
      <c r="AJ73" s="129">
        <f t="shared" si="107"/>
        <v>5.932528</v>
      </c>
      <c r="AK73" s="129">
        <f t="shared" si="108"/>
        <v>5.932528</v>
      </c>
      <c r="AL73" s="80">
        <f t="shared" si="109"/>
        <v>48</v>
      </c>
      <c r="AM73" s="80" t="str">
        <f t="shared" si="112"/>
        <v>31-90天</v>
      </c>
      <c r="AN73" s="81">
        <v>0.7</v>
      </c>
      <c r="AO73" s="80" t="s">
        <v>575</v>
      </c>
      <c r="AP73" s="130">
        <f t="shared" si="110"/>
        <v>4.1527696</v>
      </c>
      <c r="AQ73" s="95"/>
    </row>
    <row r="74" spans="1:43">
      <c r="A74" s="80">
        <v>202510</v>
      </c>
      <c r="B74" s="131">
        <v>45937</v>
      </c>
      <c r="C74" s="80" t="s">
        <v>613</v>
      </c>
      <c r="D74" s="80" t="str">
        <f t="shared" ref="D74:I74" si="115">D73</f>
        <v>M » N2 - 1</v>
      </c>
      <c r="E74" s="80" t="str">
        <f t="shared" si="115"/>
        <v>YCD-EX:HUPPER TEK</v>
      </c>
      <c r="F74" s="80" t="str">
        <f t="shared" si="115"/>
        <v>MI202508130012</v>
      </c>
      <c r="G74" s="80" t="str">
        <f t="shared" si="115"/>
        <v>DE2508031-G7-MIC</v>
      </c>
      <c r="H74" s="132">
        <f t="shared" si="115"/>
        <v>45889</v>
      </c>
      <c r="I74" s="133" t="str">
        <f t="shared" si="115"/>
        <v>B07Q3SQT6C</v>
      </c>
      <c r="J74" s="80"/>
      <c r="K74" s="134" t="str">
        <f t="shared" si="92"/>
        <v>金属储物柜71英寸高</v>
      </c>
      <c r="L74" s="80"/>
      <c r="M74" s="123">
        <f t="shared" si="93"/>
        <v>188</v>
      </c>
      <c r="N74" s="123">
        <f t="shared" si="94"/>
        <v>49</v>
      </c>
      <c r="O74" s="123">
        <f t="shared" si="95"/>
        <v>14</v>
      </c>
      <c r="P74" s="80">
        <f t="shared" si="104"/>
        <v>0.128968</v>
      </c>
      <c r="Q74" s="80"/>
      <c r="R74" s="123">
        <f t="shared" si="96"/>
        <v>188</v>
      </c>
      <c r="S74" s="123">
        <f t="shared" si="97"/>
        <v>49</v>
      </c>
      <c r="T74" s="123">
        <f t="shared" si="98"/>
        <v>14</v>
      </c>
      <c r="U74" s="80">
        <f t="shared" si="105"/>
        <v>0.128968</v>
      </c>
      <c r="V74" s="80"/>
      <c r="W74" s="80"/>
      <c r="X74" s="80"/>
      <c r="Y74" s="80"/>
      <c r="Z74" s="80"/>
      <c r="AA74" s="80">
        <f t="shared" si="99"/>
        <v>13</v>
      </c>
      <c r="AB74" s="80">
        <f t="shared" si="100"/>
        <v>151</v>
      </c>
      <c r="AC74" s="80">
        <f t="shared" si="101"/>
        <v>151</v>
      </c>
      <c r="AD74" s="80">
        <v>0</v>
      </c>
      <c r="AE74" s="126">
        <f t="shared" si="102"/>
        <v>46</v>
      </c>
      <c r="AF74" s="126"/>
      <c r="AG74" s="127">
        <v>1</v>
      </c>
      <c r="AH74" s="128">
        <f t="shared" si="106"/>
        <v>45</v>
      </c>
      <c r="AI74" s="80" t="s">
        <v>568</v>
      </c>
      <c r="AJ74" s="129">
        <f t="shared" si="107"/>
        <v>5.80356</v>
      </c>
      <c r="AK74" s="129">
        <f t="shared" si="108"/>
        <v>5.80356</v>
      </c>
      <c r="AL74" s="80">
        <f t="shared" si="109"/>
        <v>49</v>
      </c>
      <c r="AM74" s="80" t="str">
        <f t="shared" si="112"/>
        <v>31-90天</v>
      </c>
      <c r="AN74" s="81">
        <v>0.7</v>
      </c>
      <c r="AO74" s="80" t="s">
        <v>575</v>
      </c>
      <c r="AP74" s="130">
        <f t="shared" si="110"/>
        <v>4.062492</v>
      </c>
      <c r="AQ74" s="95"/>
    </row>
    <row r="75" spans="1:43">
      <c r="A75" s="80">
        <v>202510</v>
      </c>
      <c r="B75" s="131">
        <v>45938</v>
      </c>
      <c r="C75" s="80" t="s">
        <v>613</v>
      </c>
      <c r="D75" s="80" t="str">
        <f t="shared" ref="D75:I75" si="116">D74</f>
        <v>M » N2 - 1</v>
      </c>
      <c r="E75" s="80" t="str">
        <f t="shared" si="116"/>
        <v>YCD-EX:HUPPER TEK</v>
      </c>
      <c r="F75" s="80" t="str">
        <f t="shared" si="116"/>
        <v>MI202508130012</v>
      </c>
      <c r="G75" s="80" t="str">
        <f t="shared" si="116"/>
        <v>DE2508031-G7-MIC</v>
      </c>
      <c r="H75" s="132">
        <f t="shared" si="116"/>
        <v>45889</v>
      </c>
      <c r="I75" s="133" t="str">
        <f t="shared" si="116"/>
        <v>B07Q3SQT6C</v>
      </c>
      <c r="J75" s="80"/>
      <c r="K75" s="134" t="str">
        <f t="shared" si="92"/>
        <v>金属储物柜71英寸高</v>
      </c>
      <c r="L75" s="80"/>
      <c r="M75" s="123">
        <f t="shared" si="93"/>
        <v>188</v>
      </c>
      <c r="N75" s="123">
        <f t="shared" si="94"/>
        <v>49</v>
      </c>
      <c r="O75" s="123">
        <f t="shared" si="95"/>
        <v>14</v>
      </c>
      <c r="P75" s="80">
        <f t="shared" si="104"/>
        <v>0.128968</v>
      </c>
      <c r="Q75" s="80"/>
      <c r="R75" s="123">
        <f t="shared" si="96"/>
        <v>188</v>
      </c>
      <c r="S75" s="123">
        <f t="shared" si="97"/>
        <v>49</v>
      </c>
      <c r="T75" s="123">
        <f t="shared" si="98"/>
        <v>14</v>
      </c>
      <c r="U75" s="80">
        <f t="shared" si="105"/>
        <v>0.128968</v>
      </c>
      <c r="V75" s="80"/>
      <c r="W75" s="80"/>
      <c r="X75" s="80"/>
      <c r="Y75" s="80"/>
      <c r="Z75" s="80"/>
      <c r="AA75" s="80">
        <f t="shared" si="99"/>
        <v>13</v>
      </c>
      <c r="AB75" s="80">
        <f t="shared" si="100"/>
        <v>151</v>
      </c>
      <c r="AC75" s="80">
        <f t="shared" si="101"/>
        <v>151</v>
      </c>
      <c r="AD75" s="80">
        <v>0</v>
      </c>
      <c r="AE75" s="126">
        <f t="shared" si="102"/>
        <v>45</v>
      </c>
      <c r="AF75" s="126"/>
      <c r="AG75" s="127">
        <v>3</v>
      </c>
      <c r="AH75" s="128">
        <f t="shared" si="106"/>
        <v>42</v>
      </c>
      <c r="AI75" s="80" t="s">
        <v>568</v>
      </c>
      <c r="AJ75" s="129">
        <f t="shared" si="107"/>
        <v>5.416656</v>
      </c>
      <c r="AK75" s="129">
        <f t="shared" si="108"/>
        <v>5.416656</v>
      </c>
      <c r="AL75" s="80">
        <f t="shared" si="109"/>
        <v>50</v>
      </c>
      <c r="AM75" s="80" t="str">
        <f t="shared" si="112"/>
        <v>31-90天</v>
      </c>
      <c r="AN75" s="81">
        <v>0.7</v>
      </c>
      <c r="AO75" s="80" t="s">
        <v>575</v>
      </c>
      <c r="AP75" s="130">
        <f t="shared" si="110"/>
        <v>3.7916592</v>
      </c>
      <c r="AQ75" s="95"/>
    </row>
    <row r="76" spans="1:43">
      <c r="A76" s="80">
        <v>202510</v>
      </c>
      <c r="B76" s="131">
        <v>45939</v>
      </c>
      <c r="C76" s="80" t="s">
        <v>613</v>
      </c>
      <c r="D76" s="80" t="str">
        <f t="shared" ref="D76:I76" si="117">D75</f>
        <v>M » N2 - 1</v>
      </c>
      <c r="E76" s="80" t="str">
        <f t="shared" si="117"/>
        <v>YCD-EX:HUPPER TEK</v>
      </c>
      <c r="F76" s="80" t="str">
        <f t="shared" si="117"/>
        <v>MI202508130012</v>
      </c>
      <c r="G76" s="80" t="str">
        <f t="shared" si="117"/>
        <v>DE2508031-G7-MIC</v>
      </c>
      <c r="H76" s="132">
        <f t="shared" si="117"/>
        <v>45889</v>
      </c>
      <c r="I76" s="133" t="str">
        <f t="shared" si="117"/>
        <v>B07Q3SQT6C</v>
      </c>
      <c r="J76" s="80"/>
      <c r="K76" s="134" t="str">
        <f t="shared" si="92"/>
        <v>金属储物柜71英寸高</v>
      </c>
      <c r="L76" s="80"/>
      <c r="M76" s="123">
        <f t="shared" si="93"/>
        <v>188</v>
      </c>
      <c r="N76" s="123">
        <f t="shared" si="94"/>
        <v>49</v>
      </c>
      <c r="O76" s="123">
        <f t="shared" si="95"/>
        <v>14</v>
      </c>
      <c r="P76" s="80">
        <f t="shared" si="104"/>
        <v>0.128968</v>
      </c>
      <c r="Q76" s="80"/>
      <c r="R76" s="123">
        <f t="shared" si="96"/>
        <v>188</v>
      </c>
      <c r="S76" s="123">
        <f t="shared" si="97"/>
        <v>49</v>
      </c>
      <c r="T76" s="123">
        <f t="shared" si="98"/>
        <v>14</v>
      </c>
      <c r="U76" s="80">
        <f t="shared" si="105"/>
        <v>0.128968</v>
      </c>
      <c r="V76" s="80"/>
      <c r="W76" s="80"/>
      <c r="X76" s="80"/>
      <c r="Y76" s="80"/>
      <c r="Z76" s="80"/>
      <c r="AA76" s="80">
        <f t="shared" si="99"/>
        <v>13</v>
      </c>
      <c r="AB76" s="80">
        <f t="shared" si="100"/>
        <v>151</v>
      </c>
      <c r="AC76" s="80">
        <f t="shared" si="101"/>
        <v>151</v>
      </c>
      <c r="AD76" s="80">
        <v>0</v>
      </c>
      <c r="AE76" s="126">
        <f t="shared" si="102"/>
        <v>42</v>
      </c>
      <c r="AF76" s="126"/>
      <c r="AG76" s="127">
        <v>1</v>
      </c>
      <c r="AH76" s="128">
        <f t="shared" si="106"/>
        <v>41</v>
      </c>
      <c r="AI76" s="80" t="s">
        <v>568</v>
      </c>
      <c r="AJ76" s="129">
        <f t="shared" si="107"/>
        <v>5.287688</v>
      </c>
      <c r="AK76" s="129">
        <f t="shared" si="108"/>
        <v>5.287688</v>
      </c>
      <c r="AL76" s="80">
        <f t="shared" si="109"/>
        <v>51</v>
      </c>
      <c r="AM76" s="80" t="str">
        <f t="shared" si="112"/>
        <v>31-90天</v>
      </c>
      <c r="AN76" s="81">
        <v>0.7</v>
      </c>
      <c r="AO76" s="80" t="s">
        <v>575</v>
      </c>
      <c r="AP76" s="130">
        <f t="shared" si="110"/>
        <v>3.7013816</v>
      </c>
      <c r="AQ76" s="95"/>
    </row>
    <row r="77" spans="1:43">
      <c r="A77" s="80">
        <v>202510</v>
      </c>
      <c r="B77" s="131">
        <v>45940</v>
      </c>
      <c r="C77" s="80" t="s">
        <v>613</v>
      </c>
      <c r="D77" s="80" t="str">
        <f t="shared" ref="D77:I77" si="118">D76</f>
        <v>M » N2 - 1</v>
      </c>
      <c r="E77" s="80" t="str">
        <f t="shared" si="118"/>
        <v>YCD-EX:HUPPER TEK</v>
      </c>
      <c r="F77" s="80" t="str">
        <f t="shared" si="118"/>
        <v>MI202508130012</v>
      </c>
      <c r="G77" s="80" t="str">
        <f t="shared" si="118"/>
        <v>DE2508031-G7-MIC</v>
      </c>
      <c r="H77" s="132">
        <f t="shared" si="118"/>
        <v>45889</v>
      </c>
      <c r="I77" s="133" t="str">
        <f t="shared" si="118"/>
        <v>B07Q3SQT6C</v>
      </c>
      <c r="J77" s="80"/>
      <c r="K77" s="134" t="str">
        <f t="shared" si="92"/>
        <v>金属储物柜71英寸高</v>
      </c>
      <c r="L77" s="80"/>
      <c r="M77" s="123">
        <f t="shared" si="93"/>
        <v>188</v>
      </c>
      <c r="N77" s="123">
        <f t="shared" si="94"/>
        <v>49</v>
      </c>
      <c r="O77" s="123">
        <f t="shared" si="95"/>
        <v>14</v>
      </c>
      <c r="P77" s="80">
        <f t="shared" si="104"/>
        <v>0.128968</v>
      </c>
      <c r="Q77" s="80"/>
      <c r="R77" s="123">
        <f t="shared" si="96"/>
        <v>188</v>
      </c>
      <c r="S77" s="123">
        <f t="shared" si="97"/>
        <v>49</v>
      </c>
      <c r="T77" s="123">
        <f t="shared" si="98"/>
        <v>14</v>
      </c>
      <c r="U77" s="80">
        <f t="shared" si="105"/>
        <v>0.128968</v>
      </c>
      <c r="V77" s="80"/>
      <c r="W77" s="80"/>
      <c r="X77" s="80"/>
      <c r="Y77" s="80"/>
      <c r="Z77" s="80"/>
      <c r="AA77" s="80">
        <f t="shared" si="99"/>
        <v>13</v>
      </c>
      <c r="AB77" s="80">
        <f t="shared" si="100"/>
        <v>151</v>
      </c>
      <c r="AC77" s="80">
        <f t="shared" si="101"/>
        <v>151</v>
      </c>
      <c r="AD77" s="80">
        <v>0</v>
      </c>
      <c r="AE77" s="126">
        <f t="shared" si="102"/>
        <v>41</v>
      </c>
      <c r="AF77" s="126"/>
      <c r="AG77" s="127">
        <v>1</v>
      </c>
      <c r="AH77" s="128">
        <f t="shared" si="106"/>
        <v>40</v>
      </c>
      <c r="AI77" s="80" t="s">
        <v>568</v>
      </c>
      <c r="AJ77" s="129">
        <f t="shared" si="107"/>
        <v>5.15872</v>
      </c>
      <c r="AK77" s="129">
        <f t="shared" si="108"/>
        <v>5.15872</v>
      </c>
      <c r="AL77" s="80">
        <f t="shared" si="109"/>
        <v>52</v>
      </c>
      <c r="AM77" s="80" t="str">
        <f t="shared" si="112"/>
        <v>31-90天</v>
      </c>
      <c r="AN77" s="81">
        <v>0.7</v>
      </c>
      <c r="AO77" s="80" t="s">
        <v>575</v>
      </c>
      <c r="AP77" s="130">
        <f t="shared" si="110"/>
        <v>3.611104</v>
      </c>
      <c r="AQ77" s="95"/>
    </row>
    <row r="78" spans="1:43">
      <c r="A78" s="80">
        <v>202510</v>
      </c>
      <c r="B78" s="131">
        <v>45941</v>
      </c>
      <c r="C78" s="80" t="s">
        <v>613</v>
      </c>
      <c r="D78" s="80" t="str">
        <f t="shared" ref="D78:I78" si="119">D77</f>
        <v>M » N2 - 1</v>
      </c>
      <c r="E78" s="80" t="str">
        <f t="shared" si="119"/>
        <v>YCD-EX:HUPPER TEK</v>
      </c>
      <c r="F78" s="80" t="str">
        <f t="shared" si="119"/>
        <v>MI202508130012</v>
      </c>
      <c r="G78" s="80" t="str">
        <f t="shared" si="119"/>
        <v>DE2508031-G7-MIC</v>
      </c>
      <c r="H78" s="132">
        <f t="shared" si="119"/>
        <v>45889</v>
      </c>
      <c r="I78" s="133" t="str">
        <f t="shared" si="119"/>
        <v>B07Q3SQT6C</v>
      </c>
      <c r="J78" s="80"/>
      <c r="K78" s="134" t="str">
        <f t="shared" si="92"/>
        <v>金属储物柜71英寸高</v>
      </c>
      <c r="L78" s="80"/>
      <c r="M78" s="123">
        <f t="shared" si="93"/>
        <v>188</v>
      </c>
      <c r="N78" s="123">
        <f t="shared" si="94"/>
        <v>49</v>
      </c>
      <c r="O78" s="123">
        <f t="shared" si="95"/>
        <v>14</v>
      </c>
      <c r="P78" s="80">
        <f t="shared" si="104"/>
        <v>0.128968</v>
      </c>
      <c r="Q78" s="80"/>
      <c r="R78" s="123">
        <f t="shared" si="96"/>
        <v>188</v>
      </c>
      <c r="S78" s="123">
        <f t="shared" si="97"/>
        <v>49</v>
      </c>
      <c r="T78" s="123">
        <f t="shared" si="98"/>
        <v>14</v>
      </c>
      <c r="U78" s="80">
        <f t="shared" si="105"/>
        <v>0.128968</v>
      </c>
      <c r="V78" s="80"/>
      <c r="W78" s="80"/>
      <c r="X78" s="80"/>
      <c r="Y78" s="80"/>
      <c r="Z78" s="80"/>
      <c r="AA78" s="80">
        <f t="shared" si="99"/>
        <v>13</v>
      </c>
      <c r="AB78" s="80">
        <f t="shared" si="100"/>
        <v>151</v>
      </c>
      <c r="AC78" s="80">
        <f t="shared" si="101"/>
        <v>151</v>
      </c>
      <c r="AD78" s="80">
        <v>0</v>
      </c>
      <c r="AE78" s="126">
        <f t="shared" si="102"/>
        <v>40</v>
      </c>
      <c r="AF78" s="126"/>
      <c r="AG78" s="135"/>
      <c r="AH78" s="128">
        <f t="shared" si="106"/>
        <v>40</v>
      </c>
      <c r="AI78" s="80" t="s">
        <v>568</v>
      </c>
      <c r="AJ78" s="129">
        <f t="shared" si="107"/>
        <v>5.15872</v>
      </c>
      <c r="AK78" s="129">
        <f t="shared" si="108"/>
        <v>5.15872</v>
      </c>
      <c r="AL78" s="80">
        <f t="shared" si="109"/>
        <v>53</v>
      </c>
      <c r="AM78" s="80" t="str">
        <f t="shared" si="112"/>
        <v>31-90天</v>
      </c>
      <c r="AN78" s="81">
        <v>0.7</v>
      </c>
      <c r="AO78" s="80" t="s">
        <v>575</v>
      </c>
      <c r="AP78" s="130">
        <f t="shared" si="110"/>
        <v>3.611104</v>
      </c>
      <c r="AQ78" s="95"/>
    </row>
    <row r="79" spans="1:43">
      <c r="A79" s="80">
        <v>202510</v>
      </c>
      <c r="B79" s="131">
        <v>45942</v>
      </c>
      <c r="C79" s="80" t="s">
        <v>613</v>
      </c>
      <c r="D79" s="80" t="str">
        <f t="shared" ref="D79:I79" si="120">D78</f>
        <v>M » N2 - 1</v>
      </c>
      <c r="E79" s="80" t="str">
        <f t="shared" si="120"/>
        <v>YCD-EX:HUPPER TEK</v>
      </c>
      <c r="F79" s="80" t="str">
        <f t="shared" si="120"/>
        <v>MI202508130012</v>
      </c>
      <c r="G79" s="80" t="str">
        <f t="shared" si="120"/>
        <v>DE2508031-G7-MIC</v>
      </c>
      <c r="H79" s="132">
        <f t="shared" si="120"/>
        <v>45889</v>
      </c>
      <c r="I79" s="133" t="str">
        <f t="shared" si="120"/>
        <v>B07Q3SQT6C</v>
      </c>
      <c r="J79" s="80"/>
      <c r="K79" s="134" t="str">
        <f t="shared" si="92"/>
        <v>金属储物柜71英寸高</v>
      </c>
      <c r="L79" s="80"/>
      <c r="M79" s="123">
        <f t="shared" si="93"/>
        <v>188</v>
      </c>
      <c r="N79" s="123">
        <f t="shared" si="94"/>
        <v>49</v>
      </c>
      <c r="O79" s="123">
        <f t="shared" si="95"/>
        <v>14</v>
      </c>
      <c r="P79" s="80">
        <f t="shared" si="104"/>
        <v>0.128968</v>
      </c>
      <c r="Q79" s="80"/>
      <c r="R79" s="123">
        <f t="shared" si="96"/>
        <v>188</v>
      </c>
      <c r="S79" s="123">
        <f t="shared" si="97"/>
        <v>49</v>
      </c>
      <c r="T79" s="123">
        <f t="shared" si="98"/>
        <v>14</v>
      </c>
      <c r="U79" s="80">
        <f t="shared" si="105"/>
        <v>0.128968</v>
      </c>
      <c r="V79" s="80"/>
      <c r="W79" s="80"/>
      <c r="X79" s="80"/>
      <c r="Y79" s="80"/>
      <c r="Z79" s="80"/>
      <c r="AA79" s="80">
        <f t="shared" si="99"/>
        <v>13</v>
      </c>
      <c r="AB79" s="80">
        <f t="shared" si="100"/>
        <v>151</v>
      </c>
      <c r="AC79" s="80">
        <f t="shared" si="101"/>
        <v>151</v>
      </c>
      <c r="AD79" s="80">
        <v>0</v>
      </c>
      <c r="AE79" s="126">
        <f t="shared" si="102"/>
        <v>40</v>
      </c>
      <c r="AF79" s="126"/>
      <c r="AG79" s="135"/>
      <c r="AH79" s="128">
        <f t="shared" si="106"/>
        <v>40</v>
      </c>
      <c r="AI79" s="80" t="s">
        <v>568</v>
      </c>
      <c r="AJ79" s="129">
        <f t="shared" si="107"/>
        <v>5.15872</v>
      </c>
      <c r="AK79" s="129">
        <f t="shared" si="108"/>
        <v>5.15872</v>
      </c>
      <c r="AL79" s="80">
        <f t="shared" si="109"/>
        <v>54</v>
      </c>
      <c r="AM79" s="80" t="str">
        <f t="shared" si="112"/>
        <v>31-90天</v>
      </c>
      <c r="AN79" s="81">
        <v>0.7</v>
      </c>
      <c r="AO79" s="80" t="s">
        <v>575</v>
      </c>
      <c r="AP79" s="130">
        <f t="shared" si="110"/>
        <v>3.611104</v>
      </c>
      <c r="AQ79" s="95"/>
    </row>
    <row r="80" spans="1:43">
      <c r="A80" s="80">
        <v>202510</v>
      </c>
      <c r="B80" s="131">
        <v>45943</v>
      </c>
      <c r="C80" s="80" t="s">
        <v>613</v>
      </c>
      <c r="D80" s="80" t="str">
        <f t="shared" ref="D80:I80" si="121">D79</f>
        <v>M » N2 - 1</v>
      </c>
      <c r="E80" s="80" t="str">
        <f t="shared" si="121"/>
        <v>YCD-EX:HUPPER TEK</v>
      </c>
      <c r="F80" s="80" t="str">
        <f t="shared" si="121"/>
        <v>MI202508130012</v>
      </c>
      <c r="G80" s="80" t="str">
        <f t="shared" si="121"/>
        <v>DE2508031-G7-MIC</v>
      </c>
      <c r="H80" s="132">
        <f t="shared" si="121"/>
        <v>45889</v>
      </c>
      <c r="I80" s="133" t="str">
        <f t="shared" si="121"/>
        <v>B07Q3SQT6C</v>
      </c>
      <c r="J80" s="80"/>
      <c r="K80" s="134" t="str">
        <f t="shared" si="92"/>
        <v>金属储物柜71英寸高</v>
      </c>
      <c r="L80" s="80"/>
      <c r="M80" s="123">
        <f t="shared" si="93"/>
        <v>188</v>
      </c>
      <c r="N80" s="123">
        <f t="shared" si="94"/>
        <v>49</v>
      </c>
      <c r="O80" s="123">
        <f t="shared" si="95"/>
        <v>14</v>
      </c>
      <c r="P80" s="80">
        <f t="shared" si="104"/>
        <v>0.128968</v>
      </c>
      <c r="Q80" s="80"/>
      <c r="R80" s="123">
        <f t="shared" si="96"/>
        <v>188</v>
      </c>
      <c r="S80" s="123">
        <f t="shared" si="97"/>
        <v>49</v>
      </c>
      <c r="T80" s="123">
        <f t="shared" si="98"/>
        <v>14</v>
      </c>
      <c r="U80" s="80">
        <f t="shared" si="105"/>
        <v>0.128968</v>
      </c>
      <c r="V80" s="80"/>
      <c r="W80" s="80"/>
      <c r="X80" s="80"/>
      <c r="Y80" s="80"/>
      <c r="Z80" s="80"/>
      <c r="AA80" s="80">
        <f t="shared" si="99"/>
        <v>13</v>
      </c>
      <c r="AB80" s="80">
        <f t="shared" si="100"/>
        <v>151</v>
      </c>
      <c r="AC80" s="80">
        <f t="shared" si="101"/>
        <v>151</v>
      </c>
      <c r="AD80" s="80">
        <v>0</v>
      </c>
      <c r="AE80" s="126">
        <f t="shared" si="102"/>
        <v>40</v>
      </c>
      <c r="AF80" s="126"/>
      <c r="AG80" s="127">
        <v>6</v>
      </c>
      <c r="AH80" s="128">
        <f t="shared" si="106"/>
        <v>34</v>
      </c>
      <c r="AI80" s="80" t="s">
        <v>568</v>
      </c>
      <c r="AJ80" s="129">
        <f t="shared" si="107"/>
        <v>4.384912</v>
      </c>
      <c r="AK80" s="129">
        <f t="shared" si="108"/>
        <v>4.384912</v>
      </c>
      <c r="AL80" s="80">
        <f t="shared" si="109"/>
        <v>55</v>
      </c>
      <c r="AM80" s="80" t="str">
        <f t="shared" si="112"/>
        <v>31-90天</v>
      </c>
      <c r="AN80" s="81">
        <v>0.7</v>
      </c>
      <c r="AO80" s="80" t="s">
        <v>575</v>
      </c>
      <c r="AP80" s="130">
        <f t="shared" si="110"/>
        <v>3.0694384</v>
      </c>
      <c r="AQ80" s="95"/>
    </row>
    <row r="81" spans="1:43">
      <c r="A81" s="80">
        <v>202510</v>
      </c>
      <c r="B81" s="131">
        <v>45944</v>
      </c>
      <c r="C81" s="80" t="s">
        <v>613</v>
      </c>
      <c r="D81" s="80" t="str">
        <f t="shared" ref="D81:I81" si="122">D80</f>
        <v>M » N2 - 1</v>
      </c>
      <c r="E81" s="80" t="str">
        <f t="shared" si="122"/>
        <v>YCD-EX:HUPPER TEK</v>
      </c>
      <c r="F81" s="80" t="str">
        <f t="shared" si="122"/>
        <v>MI202508130012</v>
      </c>
      <c r="G81" s="80" t="str">
        <f t="shared" si="122"/>
        <v>DE2508031-G7-MIC</v>
      </c>
      <c r="H81" s="132">
        <f t="shared" si="122"/>
        <v>45889</v>
      </c>
      <c r="I81" s="133" t="str">
        <f t="shared" si="122"/>
        <v>B07Q3SQT6C</v>
      </c>
      <c r="J81" s="80"/>
      <c r="K81" s="134" t="str">
        <f t="shared" si="92"/>
        <v>金属储物柜71英寸高</v>
      </c>
      <c r="L81" s="80"/>
      <c r="M81" s="123">
        <f t="shared" si="93"/>
        <v>188</v>
      </c>
      <c r="N81" s="123">
        <f t="shared" si="94"/>
        <v>49</v>
      </c>
      <c r="O81" s="123">
        <f t="shared" si="95"/>
        <v>14</v>
      </c>
      <c r="P81" s="80">
        <f t="shared" si="104"/>
        <v>0.128968</v>
      </c>
      <c r="Q81" s="80"/>
      <c r="R81" s="123">
        <f t="shared" si="96"/>
        <v>188</v>
      </c>
      <c r="S81" s="123">
        <f t="shared" si="97"/>
        <v>49</v>
      </c>
      <c r="T81" s="123">
        <f t="shared" si="98"/>
        <v>14</v>
      </c>
      <c r="U81" s="80">
        <f t="shared" si="105"/>
        <v>0.128968</v>
      </c>
      <c r="V81" s="80"/>
      <c r="W81" s="80"/>
      <c r="X81" s="80"/>
      <c r="Y81" s="80"/>
      <c r="Z81" s="80"/>
      <c r="AA81" s="80">
        <f t="shared" si="99"/>
        <v>13</v>
      </c>
      <c r="AB81" s="80">
        <f t="shared" si="100"/>
        <v>151</v>
      </c>
      <c r="AC81" s="80">
        <f t="shared" si="101"/>
        <v>151</v>
      </c>
      <c r="AD81" s="80">
        <v>0</v>
      </c>
      <c r="AE81" s="126">
        <f t="shared" si="102"/>
        <v>34</v>
      </c>
      <c r="AF81" s="126"/>
      <c r="AG81" s="127">
        <v>1</v>
      </c>
      <c r="AH81" s="128">
        <f t="shared" si="106"/>
        <v>33</v>
      </c>
      <c r="AI81" s="80" t="s">
        <v>568</v>
      </c>
      <c r="AJ81" s="129">
        <f t="shared" si="107"/>
        <v>4.255944</v>
      </c>
      <c r="AK81" s="129">
        <f t="shared" si="108"/>
        <v>4.255944</v>
      </c>
      <c r="AL81" s="80">
        <f t="shared" si="109"/>
        <v>56</v>
      </c>
      <c r="AM81" s="80" t="str">
        <f t="shared" si="112"/>
        <v>31-90天</v>
      </c>
      <c r="AN81" s="81">
        <v>0.7</v>
      </c>
      <c r="AO81" s="80" t="s">
        <v>575</v>
      </c>
      <c r="AP81" s="130">
        <f t="shared" si="110"/>
        <v>2.9791608</v>
      </c>
      <c r="AQ81" s="95"/>
    </row>
    <row r="82" spans="1:43">
      <c r="A82" s="80">
        <v>202510</v>
      </c>
      <c r="B82" s="131">
        <v>45945</v>
      </c>
      <c r="C82" s="80" t="s">
        <v>613</v>
      </c>
      <c r="D82" s="80" t="str">
        <f t="shared" ref="D82:I82" si="123">D81</f>
        <v>M » N2 - 1</v>
      </c>
      <c r="E82" s="80" t="str">
        <f t="shared" si="123"/>
        <v>YCD-EX:HUPPER TEK</v>
      </c>
      <c r="F82" s="80" t="str">
        <f t="shared" si="123"/>
        <v>MI202508130012</v>
      </c>
      <c r="G82" s="80" t="str">
        <f t="shared" si="123"/>
        <v>DE2508031-G7-MIC</v>
      </c>
      <c r="H82" s="132">
        <f t="shared" si="123"/>
        <v>45889</v>
      </c>
      <c r="I82" s="133" t="str">
        <f t="shared" si="123"/>
        <v>B07Q3SQT6C</v>
      </c>
      <c r="J82" s="80"/>
      <c r="K82" s="134" t="str">
        <f t="shared" si="92"/>
        <v>金属储物柜71英寸高</v>
      </c>
      <c r="L82" s="80"/>
      <c r="M82" s="123">
        <f t="shared" si="93"/>
        <v>188</v>
      </c>
      <c r="N82" s="123">
        <f t="shared" si="94"/>
        <v>49</v>
      </c>
      <c r="O82" s="123">
        <f t="shared" si="95"/>
        <v>14</v>
      </c>
      <c r="P82" s="80">
        <f t="shared" si="104"/>
        <v>0.128968</v>
      </c>
      <c r="Q82" s="80"/>
      <c r="R82" s="123">
        <f t="shared" si="96"/>
        <v>188</v>
      </c>
      <c r="S82" s="123">
        <f t="shared" si="97"/>
        <v>49</v>
      </c>
      <c r="T82" s="123">
        <f t="shared" si="98"/>
        <v>14</v>
      </c>
      <c r="U82" s="80">
        <f t="shared" si="105"/>
        <v>0.128968</v>
      </c>
      <c r="V82" s="80"/>
      <c r="W82" s="80"/>
      <c r="X82" s="80"/>
      <c r="Y82" s="80"/>
      <c r="Z82" s="80"/>
      <c r="AA82" s="80">
        <f t="shared" si="99"/>
        <v>13</v>
      </c>
      <c r="AB82" s="80">
        <f t="shared" si="100"/>
        <v>151</v>
      </c>
      <c r="AC82" s="80">
        <f t="shared" si="101"/>
        <v>151</v>
      </c>
      <c r="AD82" s="80">
        <v>0</v>
      </c>
      <c r="AE82" s="126">
        <f t="shared" si="102"/>
        <v>33</v>
      </c>
      <c r="AF82" s="126"/>
      <c r="AG82" s="135"/>
      <c r="AH82" s="128">
        <f t="shared" si="106"/>
        <v>33</v>
      </c>
      <c r="AI82" s="80" t="s">
        <v>568</v>
      </c>
      <c r="AJ82" s="129">
        <f t="shared" si="107"/>
        <v>4.255944</v>
      </c>
      <c r="AK82" s="129">
        <f t="shared" si="108"/>
        <v>4.255944</v>
      </c>
      <c r="AL82" s="80">
        <f t="shared" si="109"/>
        <v>57</v>
      </c>
      <c r="AM82" s="80" t="str">
        <f t="shared" si="112"/>
        <v>31-90天</v>
      </c>
      <c r="AN82" s="81">
        <v>0.7</v>
      </c>
      <c r="AO82" s="80" t="s">
        <v>575</v>
      </c>
      <c r="AP82" s="130">
        <f t="shared" si="110"/>
        <v>2.9791608</v>
      </c>
      <c r="AQ82" s="95"/>
    </row>
    <row r="83" spans="1:43">
      <c r="A83" s="80">
        <v>202510</v>
      </c>
      <c r="B83" s="131">
        <v>45946</v>
      </c>
      <c r="C83" s="80" t="s">
        <v>613</v>
      </c>
      <c r="D83" s="80" t="str">
        <f t="shared" ref="D83:I83" si="124">D82</f>
        <v>M » N2 - 1</v>
      </c>
      <c r="E83" s="80" t="str">
        <f t="shared" si="124"/>
        <v>YCD-EX:HUPPER TEK</v>
      </c>
      <c r="F83" s="80" t="str">
        <f t="shared" si="124"/>
        <v>MI202508130012</v>
      </c>
      <c r="G83" s="80" t="str">
        <f t="shared" si="124"/>
        <v>DE2508031-G7-MIC</v>
      </c>
      <c r="H83" s="132">
        <f t="shared" si="124"/>
        <v>45889</v>
      </c>
      <c r="I83" s="133" t="str">
        <f t="shared" si="124"/>
        <v>B07Q3SQT6C</v>
      </c>
      <c r="J83" s="80"/>
      <c r="K83" s="134" t="str">
        <f t="shared" si="92"/>
        <v>金属储物柜71英寸高</v>
      </c>
      <c r="L83" s="80"/>
      <c r="M83" s="123">
        <f t="shared" si="93"/>
        <v>188</v>
      </c>
      <c r="N83" s="123">
        <f t="shared" si="94"/>
        <v>49</v>
      </c>
      <c r="O83" s="123">
        <f t="shared" si="95"/>
        <v>14</v>
      </c>
      <c r="P83" s="80">
        <f t="shared" si="104"/>
        <v>0.128968</v>
      </c>
      <c r="Q83" s="80"/>
      <c r="R83" s="123">
        <f t="shared" si="96"/>
        <v>188</v>
      </c>
      <c r="S83" s="123">
        <f t="shared" si="97"/>
        <v>49</v>
      </c>
      <c r="T83" s="123">
        <f t="shared" si="98"/>
        <v>14</v>
      </c>
      <c r="U83" s="80">
        <f t="shared" si="105"/>
        <v>0.128968</v>
      </c>
      <c r="V83" s="80"/>
      <c r="W83" s="80"/>
      <c r="X83" s="80"/>
      <c r="Y83" s="80"/>
      <c r="Z83" s="80"/>
      <c r="AA83" s="80">
        <f t="shared" si="99"/>
        <v>13</v>
      </c>
      <c r="AB83" s="80">
        <f t="shared" si="100"/>
        <v>151</v>
      </c>
      <c r="AC83" s="80">
        <f t="shared" si="101"/>
        <v>151</v>
      </c>
      <c r="AD83" s="80">
        <v>0</v>
      </c>
      <c r="AE83" s="126">
        <f t="shared" si="102"/>
        <v>33</v>
      </c>
      <c r="AF83" s="126"/>
      <c r="AG83" s="135"/>
      <c r="AH83" s="128">
        <f t="shared" si="106"/>
        <v>33</v>
      </c>
      <c r="AI83" s="80" t="s">
        <v>568</v>
      </c>
      <c r="AJ83" s="129">
        <f t="shared" si="107"/>
        <v>4.255944</v>
      </c>
      <c r="AK83" s="129">
        <f t="shared" si="108"/>
        <v>4.255944</v>
      </c>
      <c r="AL83" s="80">
        <f t="shared" si="109"/>
        <v>58</v>
      </c>
      <c r="AM83" s="80" t="str">
        <f t="shared" si="112"/>
        <v>31-90天</v>
      </c>
      <c r="AN83" s="81">
        <v>0.7</v>
      </c>
      <c r="AO83" s="80" t="s">
        <v>575</v>
      </c>
      <c r="AP83" s="130">
        <f t="shared" si="110"/>
        <v>2.9791608</v>
      </c>
      <c r="AQ83" s="95"/>
    </row>
    <row r="84" spans="1:43">
      <c r="A84" s="80">
        <v>202510</v>
      </c>
      <c r="B84" s="131">
        <v>45947</v>
      </c>
      <c r="C84" s="80" t="s">
        <v>613</v>
      </c>
      <c r="D84" s="80" t="str">
        <f t="shared" ref="D84:I84" si="125">D83</f>
        <v>M » N2 - 1</v>
      </c>
      <c r="E84" s="80" t="str">
        <f t="shared" si="125"/>
        <v>YCD-EX:HUPPER TEK</v>
      </c>
      <c r="F84" s="80" t="str">
        <f t="shared" si="125"/>
        <v>MI202508130012</v>
      </c>
      <c r="G84" s="80" t="str">
        <f t="shared" si="125"/>
        <v>DE2508031-G7-MIC</v>
      </c>
      <c r="H84" s="132">
        <f t="shared" si="125"/>
        <v>45889</v>
      </c>
      <c r="I84" s="133" t="str">
        <f t="shared" si="125"/>
        <v>B07Q3SQT6C</v>
      </c>
      <c r="J84" s="80"/>
      <c r="K84" s="134" t="str">
        <f t="shared" si="92"/>
        <v>金属储物柜71英寸高</v>
      </c>
      <c r="L84" s="80"/>
      <c r="M84" s="123">
        <f t="shared" si="93"/>
        <v>188</v>
      </c>
      <c r="N84" s="123">
        <f t="shared" si="94"/>
        <v>49</v>
      </c>
      <c r="O84" s="123">
        <f t="shared" si="95"/>
        <v>14</v>
      </c>
      <c r="P84" s="80">
        <f t="shared" si="104"/>
        <v>0.128968</v>
      </c>
      <c r="Q84" s="80"/>
      <c r="R84" s="123">
        <f t="shared" si="96"/>
        <v>188</v>
      </c>
      <c r="S84" s="123">
        <f t="shared" si="97"/>
        <v>49</v>
      </c>
      <c r="T84" s="123">
        <f t="shared" si="98"/>
        <v>14</v>
      </c>
      <c r="U84" s="80">
        <f t="shared" si="105"/>
        <v>0.128968</v>
      </c>
      <c r="V84" s="80"/>
      <c r="W84" s="80"/>
      <c r="X84" s="80"/>
      <c r="Y84" s="80"/>
      <c r="Z84" s="80"/>
      <c r="AA84" s="80">
        <f t="shared" si="99"/>
        <v>13</v>
      </c>
      <c r="AB84" s="80">
        <f t="shared" si="100"/>
        <v>151</v>
      </c>
      <c r="AC84" s="80">
        <f t="shared" si="101"/>
        <v>151</v>
      </c>
      <c r="AD84" s="80">
        <v>0</v>
      </c>
      <c r="AE84" s="126">
        <f t="shared" si="102"/>
        <v>33</v>
      </c>
      <c r="AF84" s="126"/>
      <c r="AG84" s="127">
        <v>1</v>
      </c>
      <c r="AH84" s="128">
        <f t="shared" si="106"/>
        <v>32</v>
      </c>
      <c r="AI84" s="80" t="s">
        <v>568</v>
      </c>
      <c r="AJ84" s="129">
        <f t="shared" si="107"/>
        <v>4.126976</v>
      </c>
      <c r="AK84" s="129">
        <f t="shared" si="108"/>
        <v>4.126976</v>
      </c>
      <c r="AL84" s="80">
        <f t="shared" si="109"/>
        <v>59</v>
      </c>
      <c r="AM84" s="80" t="str">
        <f t="shared" si="112"/>
        <v>31-90天</v>
      </c>
      <c r="AN84" s="81">
        <v>0.7</v>
      </c>
      <c r="AO84" s="80" t="s">
        <v>575</v>
      </c>
      <c r="AP84" s="130">
        <f t="shared" si="110"/>
        <v>2.8888832</v>
      </c>
      <c r="AQ84" s="95"/>
    </row>
    <row r="85" spans="1:43">
      <c r="A85" s="80">
        <v>202510</v>
      </c>
      <c r="B85" s="131">
        <v>45948</v>
      </c>
      <c r="C85" s="80" t="s">
        <v>613</v>
      </c>
      <c r="D85" s="80" t="str">
        <f t="shared" ref="D85:I85" si="126">D84</f>
        <v>M » N2 - 1</v>
      </c>
      <c r="E85" s="80" t="str">
        <f t="shared" si="126"/>
        <v>YCD-EX:HUPPER TEK</v>
      </c>
      <c r="F85" s="80" t="str">
        <f t="shared" si="126"/>
        <v>MI202508130012</v>
      </c>
      <c r="G85" s="80" t="str">
        <f t="shared" si="126"/>
        <v>DE2508031-G7-MIC</v>
      </c>
      <c r="H85" s="132">
        <f t="shared" si="126"/>
        <v>45889</v>
      </c>
      <c r="I85" s="133" t="str">
        <f t="shared" si="126"/>
        <v>B07Q3SQT6C</v>
      </c>
      <c r="J85" s="80"/>
      <c r="K85" s="134" t="str">
        <f t="shared" si="92"/>
        <v>金属储物柜71英寸高</v>
      </c>
      <c r="L85" s="80"/>
      <c r="M85" s="123">
        <f t="shared" si="93"/>
        <v>188</v>
      </c>
      <c r="N85" s="123">
        <f t="shared" si="94"/>
        <v>49</v>
      </c>
      <c r="O85" s="123">
        <f t="shared" si="95"/>
        <v>14</v>
      </c>
      <c r="P85" s="80">
        <f t="shared" si="104"/>
        <v>0.128968</v>
      </c>
      <c r="Q85" s="80"/>
      <c r="R85" s="123">
        <f t="shared" si="96"/>
        <v>188</v>
      </c>
      <c r="S85" s="123">
        <f t="shared" si="97"/>
        <v>49</v>
      </c>
      <c r="T85" s="123">
        <f t="shared" si="98"/>
        <v>14</v>
      </c>
      <c r="U85" s="80">
        <f t="shared" si="105"/>
        <v>0.128968</v>
      </c>
      <c r="V85" s="80"/>
      <c r="W85" s="80"/>
      <c r="X85" s="80"/>
      <c r="Y85" s="80"/>
      <c r="Z85" s="80"/>
      <c r="AA85" s="80">
        <f t="shared" si="99"/>
        <v>13</v>
      </c>
      <c r="AB85" s="80">
        <f t="shared" si="100"/>
        <v>151</v>
      </c>
      <c r="AC85" s="80">
        <f t="shared" si="101"/>
        <v>151</v>
      </c>
      <c r="AD85" s="80">
        <v>0</v>
      </c>
      <c r="AE85" s="126">
        <f t="shared" si="102"/>
        <v>32</v>
      </c>
      <c r="AF85" s="126"/>
      <c r="AG85" s="135"/>
      <c r="AH85" s="128">
        <f t="shared" si="106"/>
        <v>32</v>
      </c>
      <c r="AI85" s="80" t="s">
        <v>568</v>
      </c>
      <c r="AJ85" s="129">
        <f t="shared" si="107"/>
        <v>4.126976</v>
      </c>
      <c r="AK85" s="129">
        <f t="shared" si="108"/>
        <v>4.126976</v>
      </c>
      <c r="AL85" s="80">
        <f t="shared" si="109"/>
        <v>60</v>
      </c>
      <c r="AM85" s="80" t="str">
        <f t="shared" si="112"/>
        <v>31-90天</v>
      </c>
      <c r="AN85" s="81">
        <v>0.7</v>
      </c>
      <c r="AO85" s="80" t="s">
        <v>575</v>
      </c>
      <c r="AP85" s="130">
        <f t="shared" si="110"/>
        <v>2.8888832</v>
      </c>
      <c r="AQ85" s="95"/>
    </row>
    <row r="86" spans="1:43">
      <c r="A86" s="80">
        <v>202510</v>
      </c>
      <c r="B86" s="131">
        <v>45949</v>
      </c>
      <c r="C86" s="80" t="s">
        <v>613</v>
      </c>
      <c r="D86" s="80" t="str">
        <f t="shared" ref="D86:I86" si="127">D85</f>
        <v>M » N2 - 1</v>
      </c>
      <c r="E86" s="80" t="str">
        <f t="shared" si="127"/>
        <v>YCD-EX:HUPPER TEK</v>
      </c>
      <c r="F86" s="80" t="str">
        <f t="shared" si="127"/>
        <v>MI202508130012</v>
      </c>
      <c r="G86" s="80" t="str">
        <f t="shared" si="127"/>
        <v>DE2508031-G7-MIC</v>
      </c>
      <c r="H86" s="132">
        <f t="shared" si="127"/>
        <v>45889</v>
      </c>
      <c r="I86" s="133" t="str">
        <f t="shared" si="127"/>
        <v>B07Q3SQT6C</v>
      </c>
      <c r="J86" s="80"/>
      <c r="K86" s="134" t="str">
        <f t="shared" si="92"/>
        <v>金属储物柜71英寸高</v>
      </c>
      <c r="L86" s="80"/>
      <c r="M86" s="123">
        <f t="shared" si="93"/>
        <v>188</v>
      </c>
      <c r="N86" s="123">
        <f t="shared" si="94"/>
        <v>49</v>
      </c>
      <c r="O86" s="123">
        <f t="shared" si="95"/>
        <v>14</v>
      </c>
      <c r="P86" s="80">
        <f t="shared" si="104"/>
        <v>0.128968</v>
      </c>
      <c r="Q86" s="80"/>
      <c r="R86" s="123">
        <f t="shared" si="96"/>
        <v>188</v>
      </c>
      <c r="S86" s="123">
        <f t="shared" si="97"/>
        <v>49</v>
      </c>
      <c r="T86" s="123">
        <f t="shared" si="98"/>
        <v>14</v>
      </c>
      <c r="U86" s="80">
        <f t="shared" si="105"/>
        <v>0.128968</v>
      </c>
      <c r="V86" s="80"/>
      <c r="W86" s="80"/>
      <c r="X86" s="80"/>
      <c r="Y86" s="80"/>
      <c r="Z86" s="80"/>
      <c r="AA86" s="80">
        <f t="shared" si="99"/>
        <v>13</v>
      </c>
      <c r="AB86" s="80">
        <f t="shared" si="100"/>
        <v>151</v>
      </c>
      <c r="AC86" s="80">
        <f t="shared" si="101"/>
        <v>151</v>
      </c>
      <c r="AD86" s="80">
        <v>0</v>
      </c>
      <c r="AE86" s="126">
        <f t="shared" si="102"/>
        <v>32</v>
      </c>
      <c r="AF86" s="126"/>
      <c r="AG86" s="135"/>
      <c r="AH86" s="128">
        <f t="shared" si="106"/>
        <v>32</v>
      </c>
      <c r="AI86" s="80" t="s">
        <v>568</v>
      </c>
      <c r="AJ86" s="129">
        <f t="shared" si="107"/>
        <v>4.126976</v>
      </c>
      <c r="AK86" s="129">
        <f t="shared" si="108"/>
        <v>4.126976</v>
      </c>
      <c r="AL86" s="80">
        <f t="shared" si="109"/>
        <v>61</v>
      </c>
      <c r="AM86" s="80" t="str">
        <f t="shared" si="112"/>
        <v>31-90天</v>
      </c>
      <c r="AN86" s="81">
        <v>0.7</v>
      </c>
      <c r="AO86" s="80" t="s">
        <v>575</v>
      </c>
      <c r="AP86" s="130">
        <f t="shared" si="110"/>
        <v>2.8888832</v>
      </c>
      <c r="AQ86" s="95"/>
    </row>
    <row r="87" spans="1:43">
      <c r="A87" s="80">
        <v>202510</v>
      </c>
      <c r="B87" s="131">
        <v>45950</v>
      </c>
      <c r="C87" s="80" t="s">
        <v>613</v>
      </c>
      <c r="D87" s="80" t="str">
        <f t="shared" ref="D87:I87" si="128">D86</f>
        <v>M » N2 - 1</v>
      </c>
      <c r="E87" s="80" t="str">
        <f t="shared" si="128"/>
        <v>YCD-EX:HUPPER TEK</v>
      </c>
      <c r="F87" s="80" t="str">
        <f t="shared" si="128"/>
        <v>MI202508130012</v>
      </c>
      <c r="G87" s="80" t="str">
        <f t="shared" si="128"/>
        <v>DE2508031-G7-MIC</v>
      </c>
      <c r="H87" s="132">
        <f t="shared" si="128"/>
        <v>45889</v>
      </c>
      <c r="I87" s="133" t="str">
        <f t="shared" si="128"/>
        <v>B07Q3SQT6C</v>
      </c>
      <c r="J87" s="80"/>
      <c r="K87" s="134" t="str">
        <f t="shared" si="92"/>
        <v>金属储物柜71英寸高</v>
      </c>
      <c r="L87" s="80"/>
      <c r="M87" s="123">
        <f t="shared" si="93"/>
        <v>188</v>
      </c>
      <c r="N87" s="123">
        <f t="shared" si="94"/>
        <v>49</v>
      </c>
      <c r="O87" s="123">
        <f t="shared" si="95"/>
        <v>14</v>
      </c>
      <c r="P87" s="80">
        <f t="shared" si="104"/>
        <v>0.128968</v>
      </c>
      <c r="Q87" s="80"/>
      <c r="R87" s="123">
        <f t="shared" si="96"/>
        <v>188</v>
      </c>
      <c r="S87" s="123">
        <f t="shared" si="97"/>
        <v>49</v>
      </c>
      <c r="T87" s="123">
        <f t="shared" si="98"/>
        <v>14</v>
      </c>
      <c r="U87" s="80">
        <f t="shared" si="105"/>
        <v>0.128968</v>
      </c>
      <c r="V87" s="80"/>
      <c r="W87" s="80"/>
      <c r="X87" s="80"/>
      <c r="Y87" s="80"/>
      <c r="Z87" s="80"/>
      <c r="AA87" s="80">
        <f t="shared" si="99"/>
        <v>13</v>
      </c>
      <c r="AB87" s="80">
        <f t="shared" si="100"/>
        <v>151</v>
      </c>
      <c r="AC87" s="80">
        <f t="shared" si="101"/>
        <v>151</v>
      </c>
      <c r="AD87" s="80">
        <v>0</v>
      </c>
      <c r="AE87" s="126">
        <f t="shared" si="102"/>
        <v>32</v>
      </c>
      <c r="AF87" s="126"/>
      <c r="AG87" s="127">
        <v>3</v>
      </c>
      <c r="AH87" s="128">
        <f t="shared" si="106"/>
        <v>29</v>
      </c>
      <c r="AI87" s="80" t="s">
        <v>568</v>
      </c>
      <c r="AJ87" s="129">
        <f t="shared" si="107"/>
        <v>3.740072</v>
      </c>
      <c r="AK87" s="129">
        <f t="shared" si="108"/>
        <v>3.740072</v>
      </c>
      <c r="AL87" s="80">
        <f t="shared" si="109"/>
        <v>62</v>
      </c>
      <c r="AM87" s="80" t="str">
        <f t="shared" si="112"/>
        <v>31-90天</v>
      </c>
      <c r="AN87" s="81">
        <v>0.7</v>
      </c>
      <c r="AO87" s="80" t="s">
        <v>575</v>
      </c>
      <c r="AP87" s="130">
        <f t="shared" si="110"/>
        <v>2.6180504</v>
      </c>
      <c r="AQ87" s="95"/>
    </row>
    <row r="88" spans="1:43">
      <c r="A88" s="80">
        <v>202510</v>
      </c>
      <c r="B88" s="131">
        <v>45951</v>
      </c>
      <c r="C88" s="80" t="s">
        <v>613</v>
      </c>
      <c r="D88" s="80" t="str">
        <f t="shared" ref="D88:I88" si="129">D87</f>
        <v>M » N2 - 1</v>
      </c>
      <c r="E88" s="80" t="str">
        <f t="shared" si="129"/>
        <v>YCD-EX:HUPPER TEK</v>
      </c>
      <c r="F88" s="80" t="str">
        <f t="shared" si="129"/>
        <v>MI202508130012</v>
      </c>
      <c r="G88" s="80" t="str">
        <f t="shared" si="129"/>
        <v>DE2508031-G7-MIC</v>
      </c>
      <c r="H88" s="132">
        <f t="shared" si="129"/>
        <v>45889</v>
      </c>
      <c r="I88" s="133" t="str">
        <f t="shared" si="129"/>
        <v>B07Q3SQT6C</v>
      </c>
      <c r="J88" s="80"/>
      <c r="K88" s="134" t="str">
        <f t="shared" si="92"/>
        <v>金属储物柜71英寸高</v>
      </c>
      <c r="L88" s="80"/>
      <c r="M88" s="123">
        <f t="shared" si="93"/>
        <v>188</v>
      </c>
      <c r="N88" s="123">
        <f t="shared" si="94"/>
        <v>49</v>
      </c>
      <c r="O88" s="123">
        <f t="shared" si="95"/>
        <v>14</v>
      </c>
      <c r="P88" s="80">
        <f t="shared" si="104"/>
        <v>0.128968</v>
      </c>
      <c r="Q88" s="80"/>
      <c r="R88" s="123">
        <f t="shared" si="96"/>
        <v>188</v>
      </c>
      <c r="S88" s="123">
        <f t="shared" si="97"/>
        <v>49</v>
      </c>
      <c r="T88" s="123">
        <f t="shared" si="98"/>
        <v>14</v>
      </c>
      <c r="U88" s="80">
        <f t="shared" si="105"/>
        <v>0.128968</v>
      </c>
      <c r="V88" s="80"/>
      <c r="W88" s="80"/>
      <c r="X88" s="80"/>
      <c r="Y88" s="80"/>
      <c r="Z88" s="80"/>
      <c r="AA88" s="80">
        <f t="shared" si="99"/>
        <v>13</v>
      </c>
      <c r="AB88" s="80">
        <f t="shared" si="100"/>
        <v>151</v>
      </c>
      <c r="AC88" s="80">
        <f t="shared" si="101"/>
        <v>151</v>
      </c>
      <c r="AD88" s="80">
        <v>0</v>
      </c>
      <c r="AE88" s="126">
        <f t="shared" si="102"/>
        <v>29</v>
      </c>
      <c r="AF88" s="126"/>
      <c r="AG88" s="135"/>
      <c r="AH88" s="128">
        <f t="shared" si="106"/>
        <v>29</v>
      </c>
      <c r="AI88" s="80" t="s">
        <v>568</v>
      </c>
      <c r="AJ88" s="129">
        <f t="shared" si="107"/>
        <v>3.740072</v>
      </c>
      <c r="AK88" s="129">
        <f t="shared" si="108"/>
        <v>3.740072</v>
      </c>
      <c r="AL88" s="80">
        <f t="shared" si="109"/>
        <v>63</v>
      </c>
      <c r="AM88" s="80" t="str">
        <f t="shared" si="112"/>
        <v>31-90天</v>
      </c>
      <c r="AN88" s="81">
        <v>0.7</v>
      </c>
      <c r="AO88" s="80" t="s">
        <v>575</v>
      </c>
      <c r="AP88" s="130">
        <f t="shared" si="110"/>
        <v>2.6180504</v>
      </c>
      <c r="AQ88" s="95"/>
    </row>
    <row r="89" spans="1:43">
      <c r="A89" s="80">
        <v>202510</v>
      </c>
      <c r="B89" s="131">
        <v>45952</v>
      </c>
      <c r="C89" s="80" t="s">
        <v>613</v>
      </c>
      <c r="D89" s="80" t="str">
        <f t="shared" ref="D89:I89" si="130">D88</f>
        <v>M » N2 - 1</v>
      </c>
      <c r="E89" s="80" t="str">
        <f t="shared" si="130"/>
        <v>YCD-EX:HUPPER TEK</v>
      </c>
      <c r="F89" s="80" t="str">
        <f t="shared" si="130"/>
        <v>MI202508130012</v>
      </c>
      <c r="G89" s="80" t="str">
        <f t="shared" si="130"/>
        <v>DE2508031-G7-MIC</v>
      </c>
      <c r="H89" s="132">
        <f t="shared" si="130"/>
        <v>45889</v>
      </c>
      <c r="I89" s="133" t="str">
        <f t="shared" si="130"/>
        <v>B07Q3SQT6C</v>
      </c>
      <c r="J89" s="80"/>
      <c r="K89" s="134" t="str">
        <f t="shared" si="92"/>
        <v>金属储物柜71英寸高</v>
      </c>
      <c r="L89" s="80"/>
      <c r="M89" s="123">
        <f t="shared" si="93"/>
        <v>188</v>
      </c>
      <c r="N89" s="123">
        <f t="shared" si="94"/>
        <v>49</v>
      </c>
      <c r="O89" s="123">
        <f t="shared" si="95"/>
        <v>14</v>
      </c>
      <c r="P89" s="80">
        <f t="shared" si="104"/>
        <v>0.128968</v>
      </c>
      <c r="Q89" s="80"/>
      <c r="R89" s="123">
        <f t="shared" si="96"/>
        <v>188</v>
      </c>
      <c r="S89" s="123">
        <f t="shared" si="97"/>
        <v>49</v>
      </c>
      <c r="T89" s="123">
        <f t="shared" si="98"/>
        <v>14</v>
      </c>
      <c r="U89" s="80">
        <f t="shared" si="105"/>
        <v>0.128968</v>
      </c>
      <c r="V89" s="80"/>
      <c r="W89" s="80"/>
      <c r="X89" s="80"/>
      <c r="Y89" s="80"/>
      <c r="Z89" s="80"/>
      <c r="AA89" s="80">
        <f t="shared" si="99"/>
        <v>13</v>
      </c>
      <c r="AB89" s="80">
        <f t="shared" si="100"/>
        <v>151</v>
      </c>
      <c r="AC89" s="80">
        <f t="shared" si="101"/>
        <v>151</v>
      </c>
      <c r="AD89" s="80">
        <v>0</v>
      </c>
      <c r="AE89" s="126">
        <f t="shared" si="102"/>
        <v>29</v>
      </c>
      <c r="AF89" s="126"/>
      <c r="AG89" s="127">
        <v>1</v>
      </c>
      <c r="AH89" s="128">
        <f t="shared" si="106"/>
        <v>28</v>
      </c>
      <c r="AI89" s="80" t="s">
        <v>568</v>
      </c>
      <c r="AJ89" s="129">
        <f t="shared" si="107"/>
        <v>3.611104</v>
      </c>
      <c r="AK89" s="129">
        <f t="shared" si="108"/>
        <v>3.611104</v>
      </c>
      <c r="AL89" s="80">
        <f t="shared" si="109"/>
        <v>64</v>
      </c>
      <c r="AM89" s="80" t="str">
        <f t="shared" si="112"/>
        <v>31-90天</v>
      </c>
      <c r="AN89" s="81">
        <v>0.7</v>
      </c>
      <c r="AO89" s="80" t="s">
        <v>575</v>
      </c>
      <c r="AP89" s="130">
        <f t="shared" si="110"/>
        <v>2.5277728</v>
      </c>
      <c r="AQ89" s="95"/>
    </row>
    <row r="90" spans="1:43">
      <c r="A90" s="80">
        <v>202510</v>
      </c>
      <c r="B90" s="131">
        <v>45953</v>
      </c>
      <c r="C90" s="80" t="s">
        <v>613</v>
      </c>
      <c r="D90" s="80" t="str">
        <f t="shared" ref="D90:I90" si="131">D89</f>
        <v>M » N2 - 1</v>
      </c>
      <c r="E90" s="80" t="str">
        <f t="shared" si="131"/>
        <v>YCD-EX:HUPPER TEK</v>
      </c>
      <c r="F90" s="80" t="str">
        <f t="shared" si="131"/>
        <v>MI202508130012</v>
      </c>
      <c r="G90" s="80" t="str">
        <f t="shared" si="131"/>
        <v>DE2508031-G7-MIC</v>
      </c>
      <c r="H90" s="132">
        <f t="shared" si="131"/>
        <v>45889</v>
      </c>
      <c r="I90" s="133" t="str">
        <f t="shared" si="131"/>
        <v>B07Q3SQT6C</v>
      </c>
      <c r="J90" s="80"/>
      <c r="K90" s="134" t="str">
        <f t="shared" si="92"/>
        <v>金属储物柜71英寸高</v>
      </c>
      <c r="L90" s="80"/>
      <c r="M90" s="123">
        <f t="shared" si="93"/>
        <v>188</v>
      </c>
      <c r="N90" s="123">
        <f t="shared" si="94"/>
        <v>49</v>
      </c>
      <c r="O90" s="123">
        <f t="shared" si="95"/>
        <v>14</v>
      </c>
      <c r="P90" s="80">
        <f t="shared" si="104"/>
        <v>0.128968</v>
      </c>
      <c r="Q90" s="80"/>
      <c r="R90" s="123">
        <f t="shared" si="96"/>
        <v>188</v>
      </c>
      <c r="S90" s="123">
        <f t="shared" si="97"/>
        <v>49</v>
      </c>
      <c r="T90" s="123">
        <f t="shared" si="98"/>
        <v>14</v>
      </c>
      <c r="U90" s="80">
        <f t="shared" si="105"/>
        <v>0.128968</v>
      </c>
      <c r="V90" s="80"/>
      <c r="W90" s="80"/>
      <c r="X90" s="80"/>
      <c r="Y90" s="80"/>
      <c r="Z90" s="80"/>
      <c r="AA90" s="80">
        <f t="shared" si="99"/>
        <v>13</v>
      </c>
      <c r="AB90" s="80">
        <f t="shared" si="100"/>
        <v>151</v>
      </c>
      <c r="AC90" s="80">
        <f t="shared" si="101"/>
        <v>151</v>
      </c>
      <c r="AD90" s="80">
        <v>0</v>
      </c>
      <c r="AE90" s="126">
        <f t="shared" si="102"/>
        <v>28</v>
      </c>
      <c r="AF90" s="126"/>
      <c r="AG90" s="127">
        <v>1</v>
      </c>
      <c r="AH90" s="128">
        <f t="shared" si="106"/>
        <v>27</v>
      </c>
      <c r="AI90" s="80" t="s">
        <v>568</v>
      </c>
      <c r="AJ90" s="129">
        <f t="shared" si="107"/>
        <v>3.482136</v>
      </c>
      <c r="AK90" s="129">
        <f t="shared" si="108"/>
        <v>3.482136</v>
      </c>
      <c r="AL90" s="80">
        <f t="shared" si="109"/>
        <v>65</v>
      </c>
      <c r="AM90" s="80" t="str">
        <f t="shared" si="112"/>
        <v>31-90天</v>
      </c>
      <c r="AN90" s="81">
        <v>0.7</v>
      </c>
      <c r="AO90" s="80" t="s">
        <v>575</v>
      </c>
      <c r="AP90" s="130">
        <f t="shared" si="110"/>
        <v>2.4374952</v>
      </c>
      <c r="AQ90" s="95"/>
    </row>
    <row r="91" spans="1:43">
      <c r="A91" s="80">
        <v>202510</v>
      </c>
      <c r="B91" s="131">
        <v>45954</v>
      </c>
      <c r="C91" s="80" t="s">
        <v>613</v>
      </c>
      <c r="D91" s="80" t="str">
        <f t="shared" ref="D91:I91" si="132">D90</f>
        <v>M » N2 - 1</v>
      </c>
      <c r="E91" s="80" t="str">
        <f t="shared" si="132"/>
        <v>YCD-EX:HUPPER TEK</v>
      </c>
      <c r="F91" s="80" t="str">
        <f t="shared" si="132"/>
        <v>MI202508130012</v>
      </c>
      <c r="G91" s="80" t="str">
        <f t="shared" si="132"/>
        <v>DE2508031-G7-MIC</v>
      </c>
      <c r="H91" s="132">
        <f t="shared" si="132"/>
        <v>45889</v>
      </c>
      <c r="I91" s="133" t="str">
        <f t="shared" si="132"/>
        <v>B07Q3SQT6C</v>
      </c>
      <c r="J91" s="80"/>
      <c r="K91" s="134" t="str">
        <f t="shared" si="92"/>
        <v>金属储物柜71英寸高</v>
      </c>
      <c r="L91" s="80"/>
      <c r="M91" s="123">
        <f t="shared" si="93"/>
        <v>188</v>
      </c>
      <c r="N91" s="123">
        <f t="shared" si="94"/>
        <v>49</v>
      </c>
      <c r="O91" s="123">
        <f t="shared" si="95"/>
        <v>14</v>
      </c>
      <c r="P91" s="80">
        <f t="shared" si="104"/>
        <v>0.128968</v>
      </c>
      <c r="Q91" s="80"/>
      <c r="R91" s="123">
        <f t="shared" si="96"/>
        <v>188</v>
      </c>
      <c r="S91" s="123">
        <f t="shared" si="97"/>
        <v>49</v>
      </c>
      <c r="T91" s="123">
        <f t="shared" si="98"/>
        <v>14</v>
      </c>
      <c r="U91" s="80">
        <f t="shared" si="105"/>
        <v>0.128968</v>
      </c>
      <c r="V91" s="80"/>
      <c r="W91" s="80"/>
      <c r="X91" s="80"/>
      <c r="Y91" s="80"/>
      <c r="Z91" s="80"/>
      <c r="AA91" s="80">
        <f t="shared" si="99"/>
        <v>13</v>
      </c>
      <c r="AB91" s="80">
        <f t="shared" si="100"/>
        <v>151</v>
      </c>
      <c r="AC91" s="80">
        <f t="shared" si="101"/>
        <v>151</v>
      </c>
      <c r="AD91" s="80">
        <v>0</v>
      </c>
      <c r="AE91" s="126">
        <f t="shared" si="102"/>
        <v>27</v>
      </c>
      <c r="AF91" s="126"/>
      <c r="AG91" s="127">
        <v>2</v>
      </c>
      <c r="AH91" s="128">
        <f t="shared" si="106"/>
        <v>25</v>
      </c>
      <c r="AI91" s="80" t="s">
        <v>568</v>
      </c>
      <c r="AJ91" s="129">
        <f t="shared" si="107"/>
        <v>3.2242</v>
      </c>
      <c r="AK91" s="129">
        <f t="shared" si="108"/>
        <v>3.2242</v>
      </c>
      <c r="AL91" s="80">
        <f t="shared" si="109"/>
        <v>66</v>
      </c>
      <c r="AM91" s="80" t="str">
        <f t="shared" si="112"/>
        <v>31-90天</v>
      </c>
      <c r="AN91" s="81">
        <v>0.7</v>
      </c>
      <c r="AO91" s="80" t="s">
        <v>575</v>
      </c>
      <c r="AP91" s="130">
        <f t="shared" si="110"/>
        <v>2.25694</v>
      </c>
      <c r="AQ91" s="95"/>
    </row>
    <row r="92" spans="1:43">
      <c r="A92" s="80">
        <v>202510</v>
      </c>
      <c r="B92" s="131">
        <v>45955</v>
      </c>
      <c r="C92" s="80" t="s">
        <v>613</v>
      </c>
      <c r="D92" s="80" t="str">
        <f t="shared" ref="D92:I92" si="133">D91</f>
        <v>M » N2 - 1</v>
      </c>
      <c r="E92" s="80" t="str">
        <f t="shared" si="133"/>
        <v>YCD-EX:HUPPER TEK</v>
      </c>
      <c r="F92" s="80" t="str">
        <f t="shared" si="133"/>
        <v>MI202508130012</v>
      </c>
      <c r="G92" s="80" t="str">
        <f t="shared" si="133"/>
        <v>DE2508031-G7-MIC</v>
      </c>
      <c r="H92" s="132">
        <f t="shared" si="133"/>
        <v>45889</v>
      </c>
      <c r="I92" s="133" t="str">
        <f t="shared" si="133"/>
        <v>B07Q3SQT6C</v>
      </c>
      <c r="J92" s="80"/>
      <c r="K92" s="134" t="str">
        <f t="shared" si="92"/>
        <v>金属储物柜71英寸高</v>
      </c>
      <c r="L92" s="80"/>
      <c r="M92" s="123">
        <f t="shared" si="93"/>
        <v>188</v>
      </c>
      <c r="N92" s="123">
        <f t="shared" si="94"/>
        <v>49</v>
      </c>
      <c r="O92" s="123">
        <f t="shared" si="95"/>
        <v>14</v>
      </c>
      <c r="P92" s="80">
        <f t="shared" si="104"/>
        <v>0.128968</v>
      </c>
      <c r="Q92" s="80"/>
      <c r="R92" s="123">
        <f t="shared" si="96"/>
        <v>188</v>
      </c>
      <c r="S92" s="123">
        <f t="shared" si="97"/>
        <v>49</v>
      </c>
      <c r="T92" s="123">
        <f t="shared" si="98"/>
        <v>14</v>
      </c>
      <c r="U92" s="80">
        <f t="shared" si="105"/>
        <v>0.128968</v>
      </c>
      <c r="V92" s="80"/>
      <c r="W92" s="80"/>
      <c r="X92" s="80"/>
      <c r="Y92" s="80"/>
      <c r="Z92" s="80"/>
      <c r="AA92" s="80">
        <f t="shared" si="99"/>
        <v>13</v>
      </c>
      <c r="AB92" s="80">
        <f t="shared" si="100"/>
        <v>151</v>
      </c>
      <c r="AC92" s="80">
        <f t="shared" si="101"/>
        <v>151</v>
      </c>
      <c r="AD92" s="80">
        <v>0</v>
      </c>
      <c r="AE92" s="126">
        <f t="shared" si="102"/>
        <v>25</v>
      </c>
      <c r="AF92" s="125"/>
      <c r="AG92" s="135"/>
      <c r="AH92" s="128">
        <f t="shared" si="106"/>
        <v>25</v>
      </c>
      <c r="AI92" s="80" t="s">
        <v>568</v>
      </c>
      <c r="AJ92" s="129">
        <f t="shared" si="107"/>
        <v>3.2242</v>
      </c>
      <c r="AK92" s="129">
        <f t="shared" si="108"/>
        <v>3.2242</v>
      </c>
      <c r="AL92" s="80">
        <f t="shared" si="109"/>
        <v>67</v>
      </c>
      <c r="AM92" s="80" t="str">
        <f t="shared" si="112"/>
        <v>31-90天</v>
      </c>
      <c r="AN92" s="81">
        <v>0.7</v>
      </c>
      <c r="AO92" s="80" t="s">
        <v>575</v>
      </c>
      <c r="AP92" s="130">
        <f t="shared" si="110"/>
        <v>2.25694</v>
      </c>
      <c r="AQ92" s="95"/>
    </row>
    <row r="93" spans="1:43">
      <c r="A93" s="80">
        <v>202510</v>
      </c>
      <c r="B93" s="131">
        <v>45956</v>
      </c>
      <c r="C93" s="80" t="s">
        <v>613</v>
      </c>
      <c r="D93" s="80" t="str">
        <f t="shared" ref="D93:I93" si="134">D92</f>
        <v>M » N2 - 1</v>
      </c>
      <c r="E93" s="80" t="str">
        <f t="shared" si="134"/>
        <v>YCD-EX:HUPPER TEK</v>
      </c>
      <c r="F93" s="80" t="str">
        <f t="shared" si="134"/>
        <v>MI202508130012</v>
      </c>
      <c r="G93" s="80" t="str">
        <f t="shared" si="134"/>
        <v>DE2508031-G7-MIC</v>
      </c>
      <c r="H93" s="132">
        <f t="shared" si="134"/>
        <v>45889</v>
      </c>
      <c r="I93" s="133" t="str">
        <f t="shared" si="134"/>
        <v>B07Q3SQT6C</v>
      </c>
      <c r="J93" s="80"/>
      <c r="K93" s="134" t="str">
        <f t="shared" si="92"/>
        <v>金属储物柜71英寸高</v>
      </c>
      <c r="L93" s="80"/>
      <c r="M93" s="123">
        <f t="shared" si="93"/>
        <v>188</v>
      </c>
      <c r="N93" s="123">
        <f t="shared" si="94"/>
        <v>49</v>
      </c>
      <c r="O93" s="123">
        <f t="shared" si="95"/>
        <v>14</v>
      </c>
      <c r="P93" s="80">
        <f t="shared" si="104"/>
        <v>0.128968</v>
      </c>
      <c r="Q93" s="80"/>
      <c r="R93" s="123">
        <f t="shared" si="96"/>
        <v>188</v>
      </c>
      <c r="S93" s="123">
        <f t="shared" si="97"/>
        <v>49</v>
      </c>
      <c r="T93" s="123">
        <f t="shared" si="98"/>
        <v>14</v>
      </c>
      <c r="U93" s="80">
        <f t="shared" si="105"/>
        <v>0.128968</v>
      </c>
      <c r="V93" s="80"/>
      <c r="W93" s="80"/>
      <c r="X93" s="80"/>
      <c r="Y93" s="80"/>
      <c r="Z93" s="80"/>
      <c r="AA93" s="80">
        <f t="shared" si="99"/>
        <v>13</v>
      </c>
      <c r="AB93" s="80">
        <f t="shared" si="100"/>
        <v>151</v>
      </c>
      <c r="AC93" s="80">
        <f t="shared" si="101"/>
        <v>151</v>
      </c>
      <c r="AD93" s="80">
        <v>0</v>
      </c>
      <c r="AE93" s="126">
        <f t="shared" si="102"/>
        <v>25</v>
      </c>
      <c r="AF93" s="125"/>
      <c r="AG93" s="135"/>
      <c r="AH93" s="128">
        <f t="shared" si="106"/>
        <v>25</v>
      </c>
      <c r="AI93" s="80" t="s">
        <v>568</v>
      </c>
      <c r="AJ93" s="129">
        <f t="shared" si="107"/>
        <v>3.2242</v>
      </c>
      <c r="AK93" s="129">
        <f t="shared" si="108"/>
        <v>3.2242</v>
      </c>
      <c r="AL93" s="80">
        <f t="shared" si="109"/>
        <v>68</v>
      </c>
      <c r="AM93" s="80" t="str">
        <f t="shared" si="112"/>
        <v>31-90天</v>
      </c>
      <c r="AN93" s="81">
        <v>0.7</v>
      </c>
      <c r="AO93" s="80" t="s">
        <v>575</v>
      </c>
      <c r="AP93" s="130">
        <f t="shared" si="110"/>
        <v>2.25694</v>
      </c>
      <c r="AQ93" s="95"/>
    </row>
    <row r="94" spans="1:43">
      <c r="A94" s="80">
        <v>202510</v>
      </c>
      <c r="B94" s="131">
        <v>45957</v>
      </c>
      <c r="C94" s="80" t="s">
        <v>613</v>
      </c>
      <c r="D94" s="80" t="str">
        <f t="shared" ref="D94:I94" si="135">D93</f>
        <v>M » N2 - 1</v>
      </c>
      <c r="E94" s="80" t="str">
        <f t="shared" si="135"/>
        <v>YCD-EX:HUPPER TEK</v>
      </c>
      <c r="F94" s="80" t="str">
        <f t="shared" si="135"/>
        <v>MI202508130012</v>
      </c>
      <c r="G94" s="80" t="str">
        <f t="shared" si="135"/>
        <v>DE2508031-G7-MIC</v>
      </c>
      <c r="H94" s="132">
        <f t="shared" si="135"/>
        <v>45889</v>
      </c>
      <c r="I94" s="133" t="str">
        <f t="shared" si="135"/>
        <v>B07Q3SQT6C</v>
      </c>
      <c r="J94" s="80"/>
      <c r="K94" s="134" t="str">
        <f t="shared" si="92"/>
        <v>金属储物柜71英寸高</v>
      </c>
      <c r="L94" s="80"/>
      <c r="M94" s="123">
        <f t="shared" si="93"/>
        <v>188</v>
      </c>
      <c r="N94" s="123">
        <f t="shared" si="94"/>
        <v>49</v>
      </c>
      <c r="O94" s="123">
        <f t="shared" si="95"/>
        <v>14</v>
      </c>
      <c r="P94" s="80">
        <f t="shared" si="104"/>
        <v>0.128968</v>
      </c>
      <c r="Q94" s="80"/>
      <c r="R94" s="123">
        <f t="shared" si="96"/>
        <v>188</v>
      </c>
      <c r="S94" s="123">
        <f t="shared" si="97"/>
        <v>49</v>
      </c>
      <c r="T94" s="123">
        <f t="shared" si="98"/>
        <v>14</v>
      </c>
      <c r="U94" s="80">
        <f t="shared" si="105"/>
        <v>0.128968</v>
      </c>
      <c r="V94" s="80"/>
      <c r="W94" s="80"/>
      <c r="X94" s="80"/>
      <c r="Y94" s="80"/>
      <c r="Z94" s="80"/>
      <c r="AA94" s="80">
        <f t="shared" si="99"/>
        <v>13</v>
      </c>
      <c r="AB94" s="80">
        <f t="shared" si="100"/>
        <v>151</v>
      </c>
      <c r="AC94" s="80">
        <f t="shared" si="101"/>
        <v>151</v>
      </c>
      <c r="AD94" s="80">
        <v>0</v>
      </c>
      <c r="AE94" s="126">
        <f t="shared" si="102"/>
        <v>25</v>
      </c>
      <c r="AF94" s="126"/>
      <c r="AG94" s="127">
        <v>4</v>
      </c>
      <c r="AH94" s="128">
        <f t="shared" si="106"/>
        <v>21</v>
      </c>
      <c r="AI94" s="80" t="s">
        <v>568</v>
      </c>
      <c r="AJ94" s="129">
        <f t="shared" si="107"/>
        <v>2.708328</v>
      </c>
      <c r="AK94" s="129">
        <f t="shared" si="108"/>
        <v>2.708328</v>
      </c>
      <c r="AL94" s="80">
        <f t="shared" si="109"/>
        <v>69</v>
      </c>
      <c r="AM94" s="80" t="str">
        <f t="shared" si="112"/>
        <v>31-90天</v>
      </c>
      <c r="AN94" s="81">
        <v>0.7</v>
      </c>
      <c r="AO94" s="80" t="s">
        <v>575</v>
      </c>
      <c r="AP94" s="130">
        <f t="shared" si="110"/>
        <v>1.8958296</v>
      </c>
      <c r="AQ94" s="95"/>
    </row>
    <row r="95" spans="1:43">
      <c r="A95" s="80">
        <v>202510</v>
      </c>
      <c r="B95" s="131">
        <v>45958</v>
      </c>
      <c r="C95" s="80" t="s">
        <v>613</v>
      </c>
      <c r="D95" s="80" t="str">
        <f t="shared" ref="D95:I95" si="136">D94</f>
        <v>M » N2 - 1</v>
      </c>
      <c r="E95" s="80" t="str">
        <f t="shared" si="136"/>
        <v>YCD-EX:HUPPER TEK</v>
      </c>
      <c r="F95" s="80" t="str">
        <f t="shared" si="136"/>
        <v>MI202508130012</v>
      </c>
      <c r="G95" s="80" t="str">
        <f t="shared" si="136"/>
        <v>DE2508031-G7-MIC</v>
      </c>
      <c r="H95" s="132">
        <f t="shared" si="136"/>
        <v>45889</v>
      </c>
      <c r="I95" s="133" t="str">
        <f t="shared" si="136"/>
        <v>B07Q3SQT6C</v>
      </c>
      <c r="J95" s="80"/>
      <c r="K95" s="134" t="str">
        <f t="shared" si="92"/>
        <v>金属储物柜71英寸高</v>
      </c>
      <c r="L95" s="80"/>
      <c r="M95" s="123">
        <f t="shared" si="93"/>
        <v>188</v>
      </c>
      <c r="N95" s="123">
        <f t="shared" si="94"/>
        <v>49</v>
      </c>
      <c r="O95" s="123">
        <f t="shared" si="95"/>
        <v>14</v>
      </c>
      <c r="P95" s="80">
        <f t="shared" si="104"/>
        <v>0.128968</v>
      </c>
      <c r="Q95" s="80"/>
      <c r="R95" s="123">
        <f t="shared" si="96"/>
        <v>188</v>
      </c>
      <c r="S95" s="123">
        <f t="shared" si="97"/>
        <v>49</v>
      </c>
      <c r="T95" s="123">
        <f t="shared" si="98"/>
        <v>14</v>
      </c>
      <c r="U95" s="80">
        <f t="shared" si="105"/>
        <v>0.128968</v>
      </c>
      <c r="V95" s="80"/>
      <c r="W95" s="80"/>
      <c r="X95" s="80"/>
      <c r="Y95" s="80"/>
      <c r="Z95" s="80"/>
      <c r="AA95" s="80">
        <f t="shared" si="99"/>
        <v>13</v>
      </c>
      <c r="AB95" s="80">
        <f t="shared" si="100"/>
        <v>151</v>
      </c>
      <c r="AC95" s="80">
        <f t="shared" si="101"/>
        <v>151</v>
      </c>
      <c r="AD95" s="80">
        <v>0</v>
      </c>
      <c r="AE95" s="126">
        <f t="shared" si="102"/>
        <v>21</v>
      </c>
      <c r="AF95" s="126"/>
      <c r="AG95" s="135"/>
      <c r="AH95" s="128">
        <f t="shared" si="106"/>
        <v>21</v>
      </c>
      <c r="AI95" s="80" t="s">
        <v>568</v>
      </c>
      <c r="AJ95" s="129">
        <f t="shared" si="107"/>
        <v>2.708328</v>
      </c>
      <c r="AK95" s="129">
        <f t="shared" si="108"/>
        <v>2.708328</v>
      </c>
      <c r="AL95" s="80">
        <f t="shared" si="109"/>
        <v>70</v>
      </c>
      <c r="AM95" s="80" t="str">
        <f t="shared" si="112"/>
        <v>31-90天</v>
      </c>
      <c r="AN95" s="81">
        <v>0.7</v>
      </c>
      <c r="AO95" s="80" t="s">
        <v>575</v>
      </c>
      <c r="AP95" s="130">
        <f t="shared" si="110"/>
        <v>1.8958296</v>
      </c>
      <c r="AQ95" s="95"/>
    </row>
    <row r="96" spans="1:43">
      <c r="A96" s="80">
        <v>202510</v>
      </c>
      <c r="B96" s="131">
        <v>45959</v>
      </c>
      <c r="C96" s="80" t="s">
        <v>613</v>
      </c>
      <c r="D96" s="80" t="str">
        <f t="shared" ref="D96:I96" si="137">D95</f>
        <v>M » N2 - 1</v>
      </c>
      <c r="E96" s="80" t="str">
        <f t="shared" si="137"/>
        <v>YCD-EX:HUPPER TEK</v>
      </c>
      <c r="F96" s="80" t="str">
        <f t="shared" si="137"/>
        <v>MI202508130012</v>
      </c>
      <c r="G96" s="80" t="str">
        <f t="shared" si="137"/>
        <v>DE2508031-G7-MIC</v>
      </c>
      <c r="H96" s="132">
        <f t="shared" si="137"/>
        <v>45889</v>
      </c>
      <c r="I96" s="133" t="str">
        <f t="shared" si="137"/>
        <v>B07Q3SQT6C</v>
      </c>
      <c r="J96" s="80"/>
      <c r="K96" s="134" t="str">
        <f t="shared" si="92"/>
        <v>金属储物柜71英寸高</v>
      </c>
      <c r="L96" s="80"/>
      <c r="M96" s="123">
        <f t="shared" si="93"/>
        <v>188</v>
      </c>
      <c r="N96" s="123">
        <f t="shared" si="94"/>
        <v>49</v>
      </c>
      <c r="O96" s="123">
        <f t="shared" si="95"/>
        <v>14</v>
      </c>
      <c r="P96" s="80">
        <f t="shared" si="104"/>
        <v>0.128968</v>
      </c>
      <c r="Q96" s="80"/>
      <c r="R96" s="123">
        <f t="shared" si="96"/>
        <v>188</v>
      </c>
      <c r="S96" s="123">
        <f t="shared" si="97"/>
        <v>49</v>
      </c>
      <c r="T96" s="123">
        <f t="shared" si="98"/>
        <v>14</v>
      </c>
      <c r="U96" s="80">
        <f t="shared" si="105"/>
        <v>0.128968</v>
      </c>
      <c r="V96" s="80"/>
      <c r="W96" s="80"/>
      <c r="X96" s="80"/>
      <c r="Y96" s="80"/>
      <c r="Z96" s="80"/>
      <c r="AA96" s="80">
        <f t="shared" si="99"/>
        <v>13</v>
      </c>
      <c r="AB96" s="80">
        <f t="shared" si="100"/>
        <v>151</v>
      </c>
      <c r="AC96" s="80">
        <f t="shared" si="101"/>
        <v>151</v>
      </c>
      <c r="AD96" s="80">
        <v>0</v>
      </c>
      <c r="AE96" s="126">
        <f t="shared" si="102"/>
        <v>21</v>
      </c>
      <c r="AF96" s="126"/>
      <c r="AG96" s="127">
        <v>2</v>
      </c>
      <c r="AH96" s="128">
        <f t="shared" si="106"/>
        <v>19</v>
      </c>
      <c r="AI96" s="80" t="s">
        <v>568</v>
      </c>
      <c r="AJ96" s="129">
        <f t="shared" si="107"/>
        <v>2.450392</v>
      </c>
      <c r="AK96" s="129">
        <f t="shared" si="108"/>
        <v>2.450392</v>
      </c>
      <c r="AL96" s="80">
        <f t="shared" si="109"/>
        <v>71</v>
      </c>
      <c r="AM96" s="80" t="str">
        <f t="shared" si="112"/>
        <v>31-90天</v>
      </c>
      <c r="AN96" s="81">
        <v>0.7</v>
      </c>
      <c r="AO96" s="80" t="s">
        <v>575</v>
      </c>
      <c r="AP96" s="130">
        <f t="shared" si="110"/>
        <v>1.7152744</v>
      </c>
      <c r="AQ96" s="95"/>
    </row>
    <row r="97" spans="1:43">
      <c r="A97" s="80">
        <v>202510</v>
      </c>
      <c r="B97" s="131">
        <v>45960</v>
      </c>
      <c r="C97" s="80" t="s">
        <v>613</v>
      </c>
      <c r="D97" s="80" t="str">
        <f t="shared" ref="D97:I97" si="138">D96</f>
        <v>M » N2 - 1</v>
      </c>
      <c r="E97" s="80" t="str">
        <f t="shared" si="138"/>
        <v>YCD-EX:HUPPER TEK</v>
      </c>
      <c r="F97" s="80" t="str">
        <f t="shared" si="138"/>
        <v>MI202508130012</v>
      </c>
      <c r="G97" s="80" t="str">
        <f t="shared" si="138"/>
        <v>DE2508031-G7-MIC</v>
      </c>
      <c r="H97" s="132">
        <f t="shared" si="138"/>
        <v>45889</v>
      </c>
      <c r="I97" s="133" t="str">
        <f t="shared" si="138"/>
        <v>B07Q3SQT6C</v>
      </c>
      <c r="J97" s="80"/>
      <c r="K97" s="134" t="str">
        <f t="shared" si="92"/>
        <v>金属储物柜71英寸高</v>
      </c>
      <c r="L97" s="80"/>
      <c r="M97" s="123">
        <f t="shared" si="93"/>
        <v>188</v>
      </c>
      <c r="N97" s="123">
        <f t="shared" si="94"/>
        <v>49</v>
      </c>
      <c r="O97" s="123">
        <f t="shared" si="95"/>
        <v>14</v>
      </c>
      <c r="P97" s="80">
        <f t="shared" si="104"/>
        <v>0.128968</v>
      </c>
      <c r="Q97" s="80"/>
      <c r="R97" s="123">
        <f t="shared" si="96"/>
        <v>188</v>
      </c>
      <c r="S97" s="123">
        <f t="shared" si="97"/>
        <v>49</v>
      </c>
      <c r="T97" s="123">
        <f t="shared" si="98"/>
        <v>14</v>
      </c>
      <c r="U97" s="80">
        <f t="shared" si="105"/>
        <v>0.128968</v>
      </c>
      <c r="V97" s="80"/>
      <c r="W97" s="80"/>
      <c r="X97" s="80"/>
      <c r="Y97" s="80"/>
      <c r="Z97" s="80"/>
      <c r="AA97" s="80">
        <f t="shared" si="99"/>
        <v>13</v>
      </c>
      <c r="AB97" s="80">
        <f t="shared" si="100"/>
        <v>151</v>
      </c>
      <c r="AC97" s="80">
        <f t="shared" si="101"/>
        <v>151</v>
      </c>
      <c r="AD97" s="80">
        <v>0</v>
      </c>
      <c r="AE97" s="126">
        <f t="shared" si="102"/>
        <v>19</v>
      </c>
      <c r="AF97" s="126"/>
      <c r="AG97" s="138">
        <v>4</v>
      </c>
      <c r="AH97" s="128">
        <f t="shared" si="106"/>
        <v>15</v>
      </c>
      <c r="AI97" s="80" t="s">
        <v>568</v>
      </c>
      <c r="AJ97" s="129">
        <f t="shared" si="107"/>
        <v>1.93452</v>
      </c>
      <c r="AK97" s="129">
        <f t="shared" si="108"/>
        <v>1.93452</v>
      </c>
      <c r="AL97" s="80">
        <f t="shared" si="109"/>
        <v>72</v>
      </c>
      <c r="AM97" s="80" t="str">
        <f t="shared" si="112"/>
        <v>31-90天</v>
      </c>
      <c r="AN97" s="81">
        <v>0.7</v>
      </c>
      <c r="AO97" s="80" t="s">
        <v>575</v>
      </c>
      <c r="AP97" s="130">
        <f t="shared" si="110"/>
        <v>1.354164</v>
      </c>
      <c r="AQ97" s="95"/>
    </row>
    <row r="98" spans="1:43">
      <c r="A98" s="80">
        <v>202510</v>
      </c>
      <c r="B98" s="131">
        <v>45961</v>
      </c>
      <c r="C98" s="80" t="s">
        <v>613</v>
      </c>
      <c r="D98" s="80" t="str">
        <f t="shared" ref="D98:I98" si="139">D97</f>
        <v>M » N2 - 1</v>
      </c>
      <c r="E98" s="80" t="str">
        <f t="shared" si="139"/>
        <v>YCD-EX:HUPPER TEK</v>
      </c>
      <c r="F98" s="80" t="str">
        <f t="shared" si="139"/>
        <v>MI202508130012</v>
      </c>
      <c r="G98" s="80" t="str">
        <f t="shared" si="139"/>
        <v>DE2508031-G7-MIC</v>
      </c>
      <c r="H98" s="132">
        <f t="shared" si="139"/>
        <v>45889</v>
      </c>
      <c r="I98" s="133" t="str">
        <f t="shared" si="139"/>
        <v>B07Q3SQT6C</v>
      </c>
      <c r="J98" s="80"/>
      <c r="K98" s="134" t="str">
        <f t="shared" si="92"/>
        <v>金属储物柜71英寸高</v>
      </c>
      <c r="L98" s="80"/>
      <c r="M98" s="123">
        <f t="shared" si="93"/>
        <v>188</v>
      </c>
      <c r="N98" s="123">
        <f t="shared" si="94"/>
        <v>49</v>
      </c>
      <c r="O98" s="123">
        <f t="shared" si="95"/>
        <v>14</v>
      </c>
      <c r="P98" s="80">
        <f t="shared" si="104"/>
        <v>0.128968</v>
      </c>
      <c r="Q98" s="80"/>
      <c r="R98" s="123">
        <f t="shared" si="96"/>
        <v>188</v>
      </c>
      <c r="S98" s="123">
        <f t="shared" si="97"/>
        <v>49</v>
      </c>
      <c r="T98" s="123">
        <f t="shared" si="98"/>
        <v>14</v>
      </c>
      <c r="U98" s="80">
        <f t="shared" si="105"/>
        <v>0.128968</v>
      </c>
      <c r="V98" s="80"/>
      <c r="W98" s="80"/>
      <c r="X98" s="80"/>
      <c r="Y98" s="80"/>
      <c r="Z98" s="80"/>
      <c r="AA98" s="80">
        <f t="shared" si="99"/>
        <v>13</v>
      </c>
      <c r="AB98" s="80">
        <f t="shared" si="100"/>
        <v>151</v>
      </c>
      <c r="AC98" s="80">
        <f t="shared" si="101"/>
        <v>151</v>
      </c>
      <c r="AD98" s="80">
        <v>0</v>
      </c>
      <c r="AE98" s="126">
        <f t="shared" si="102"/>
        <v>15</v>
      </c>
      <c r="AF98" s="125"/>
      <c r="AG98" s="127">
        <v>1</v>
      </c>
      <c r="AH98" s="128">
        <f t="shared" si="106"/>
        <v>14</v>
      </c>
      <c r="AI98" s="80" t="s">
        <v>568</v>
      </c>
      <c r="AJ98" s="129">
        <f t="shared" si="107"/>
        <v>1.805552</v>
      </c>
      <c r="AK98" s="129">
        <f t="shared" si="108"/>
        <v>1.805552</v>
      </c>
      <c r="AL98" s="80">
        <f t="shared" si="109"/>
        <v>73</v>
      </c>
      <c r="AM98" s="80" t="str">
        <f t="shared" si="112"/>
        <v>31-90天</v>
      </c>
      <c r="AN98" s="81">
        <v>0.7</v>
      </c>
      <c r="AO98" s="80" t="s">
        <v>575</v>
      </c>
      <c r="AP98" s="130">
        <f t="shared" si="110"/>
        <v>1.2638864</v>
      </c>
      <c r="AQ98" s="95"/>
    </row>
    <row r="99" spans="1:43">
      <c r="A99" s="80">
        <v>202510</v>
      </c>
      <c r="B99" s="120">
        <v>45931</v>
      </c>
      <c r="C99" s="80" t="s">
        <v>613</v>
      </c>
      <c r="D99" s="10" t="s">
        <v>614</v>
      </c>
      <c r="E99" s="10" t="s">
        <v>97</v>
      </c>
      <c r="F99" s="10" t="s">
        <v>615</v>
      </c>
      <c r="G99" s="10" t="s">
        <v>616</v>
      </c>
      <c r="H99" s="121">
        <v>45889</v>
      </c>
      <c r="I99" s="10" t="s">
        <v>205</v>
      </c>
      <c r="J99" s="10"/>
      <c r="K99" s="122" t="str">
        <f>VLOOKUP(I99,物品明细!A:B,2,0)</f>
        <v>德国联邦快递金属储物柜</v>
      </c>
      <c r="L99" s="80"/>
      <c r="M99" s="123">
        <f>VLOOKUP(I99,物品明细!A:E,5,0)</f>
        <v>188</v>
      </c>
      <c r="N99" s="123">
        <f>VLOOKUP(I99,物品明细!A:F,6,0)</f>
        <v>49</v>
      </c>
      <c r="O99" s="123">
        <f>VLOOKUP(I99,物品明细!A:G,7,0)</f>
        <v>14</v>
      </c>
      <c r="P99" s="80">
        <f t="shared" si="104"/>
        <v>0.128968</v>
      </c>
      <c r="Q99" s="80"/>
      <c r="R99" s="123">
        <f>VLOOKUP(I99,物品明细!A:E,5,0)</f>
        <v>188</v>
      </c>
      <c r="S99" s="123">
        <f>VLOOKUP(I99,物品明细!A:F,6,0)</f>
        <v>49</v>
      </c>
      <c r="T99" s="123">
        <f>VLOOKUP(I99,物品明细!A:G,7,0)</f>
        <v>14</v>
      </c>
      <c r="U99" s="80">
        <f t="shared" si="105"/>
        <v>0.128968</v>
      </c>
      <c r="V99" s="80"/>
      <c r="W99" s="80"/>
      <c r="X99" s="80"/>
      <c r="Y99" s="80"/>
      <c r="Z99" s="80"/>
      <c r="AA99" s="124">
        <v>10</v>
      </c>
      <c r="AB99" s="124">
        <v>117</v>
      </c>
      <c r="AC99" s="124">
        <v>117</v>
      </c>
      <c r="AD99" s="80">
        <v>0</v>
      </c>
      <c r="AE99" s="125">
        <v>40</v>
      </c>
      <c r="AF99" s="126"/>
      <c r="AG99" s="135">
        <v>1</v>
      </c>
      <c r="AH99" s="128">
        <f t="shared" si="106"/>
        <v>39</v>
      </c>
      <c r="AI99" s="80" t="s">
        <v>568</v>
      </c>
      <c r="AJ99" s="129">
        <f t="shared" si="107"/>
        <v>5.029752</v>
      </c>
      <c r="AK99" s="129">
        <f t="shared" si="108"/>
        <v>5.029752</v>
      </c>
      <c r="AL99" s="80">
        <f t="shared" si="109"/>
        <v>43</v>
      </c>
      <c r="AM99" s="80" t="str">
        <f t="shared" si="112"/>
        <v>31-90天</v>
      </c>
      <c r="AN99" s="81">
        <v>0.7</v>
      </c>
      <c r="AO99" s="80" t="s">
        <v>575</v>
      </c>
      <c r="AP99" s="130">
        <f t="shared" si="110"/>
        <v>3.5208264</v>
      </c>
      <c r="AQ99" s="95"/>
    </row>
    <row r="100" spans="1:43">
      <c r="A100" s="80">
        <v>202510</v>
      </c>
      <c r="B100" s="131">
        <v>45932</v>
      </c>
      <c r="C100" s="80" t="s">
        <v>613</v>
      </c>
      <c r="D100" s="3" t="str">
        <f t="shared" ref="D100:I100" si="140">D99</f>
        <v>M » N2 - 1</v>
      </c>
      <c r="E100" s="80" t="str">
        <f t="shared" si="140"/>
        <v>YCD-EX:HUPPER TEK</v>
      </c>
      <c r="F100" s="80" t="str">
        <f t="shared" si="140"/>
        <v>MI202508130012</v>
      </c>
      <c r="G100" s="80" t="str">
        <f t="shared" si="140"/>
        <v>DE2508031-G7-MIC</v>
      </c>
      <c r="H100" s="132">
        <f t="shared" si="140"/>
        <v>45889</v>
      </c>
      <c r="I100" s="133" t="str">
        <f t="shared" si="140"/>
        <v>B077RVYZRF</v>
      </c>
      <c r="J100" s="80"/>
      <c r="K100" s="134" t="str">
        <f t="shared" ref="K100:K129" si="141">K99</f>
        <v>德国联邦快递金属储物柜</v>
      </c>
      <c r="L100" s="80"/>
      <c r="M100" s="123">
        <f t="shared" ref="M100:M129" si="142">M99</f>
        <v>188</v>
      </c>
      <c r="N100" s="123">
        <f t="shared" ref="N100:N129" si="143">N99</f>
        <v>49</v>
      </c>
      <c r="O100" s="123">
        <f t="shared" ref="O100:O129" si="144">O99</f>
        <v>14</v>
      </c>
      <c r="P100" s="80">
        <f t="shared" si="104"/>
        <v>0.128968</v>
      </c>
      <c r="Q100" s="80"/>
      <c r="R100" s="123">
        <f t="shared" ref="R100:R129" si="145">R99</f>
        <v>188</v>
      </c>
      <c r="S100" s="123">
        <f t="shared" ref="S100:S129" si="146">S99</f>
        <v>49</v>
      </c>
      <c r="T100" s="123">
        <f t="shared" ref="T100:T129" si="147">T99</f>
        <v>14</v>
      </c>
      <c r="U100" s="80">
        <f t="shared" si="105"/>
        <v>0.128968</v>
      </c>
      <c r="V100" s="80"/>
      <c r="W100" s="80"/>
      <c r="X100" s="80"/>
      <c r="Y100" s="80"/>
      <c r="Z100" s="80"/>
      <c r="AA100" s="80">
        <f t="shared" ref="AA100:AA129" si="148">AA99</f>
        <v>10</v>
      </c>
      <c r="AB100" s="80">
        <f t="shared" ref="AB100:AB129" si="149">AB99</f>
        <v>117</v>
      </c>
      <c r="AC100" s="80">
        <f t="shared" ref="AC100:AC129" si="150">AC99</f>
        <v>117</v>
      </c>
      <c r="AD100" s="80">
        <v>0</v>
      </c>
      <c r="AE100" s="126">
        <f t="shared" ref="AE100:AE129" si="151">AH99</f>
        <v>39</v>
      </c>
      <c r="AF100" s="126"/>
      <c r="AG100" s="135"/>
      <c r="AH100" s="128">
        <f t="shared" si="106"/>
        <v>39</v>
      </c>
      <c r="AI100" s="80" t="s">
        <v>568</v>
      </c>
      <c r="AJ100" s="129">
        <f t="shared" si="107"/>
        <v>5.029752</v>
      </c>
      <c r="AK100" s="129">
        <f t="shared" si="108"/>
        <v>5.029752</v>
      </c>
      <c r="AL100" s="80">
        <f t="shared" si="109"/>
        <v>44</v>
      </c>
      <c r="AM100" s="80" t="str">
        <f t="shared" si="112"/>
        <v>31-90天</v>
      </c>
      <c r="AN100" s="81">
        <v>0.7</v>
      </c>
      <c r="AO100" s="80" t="s">
        <v>575</v>
      </c>
      <c r="AP100" s="130">
        <f t="shared" si="110"/>
        <v>3.5208264</v>
      </c>
      <c r="AQ100" s="95"/>
    </row>
    <row r="101" spans="1:43">
      <c r="A101" s="80">
        <v>202510</v>
      </c>
      <c r="B101" s="131">
        <v>45933</v>
      </c>
      <c r="C101" s="80" t="s">
        <v>613</v>
      </c>
      <c r="D101" s="80" t="str">
        <f t="shared" ref="D101:I101" si="152">D100</f>
        <v>M » N2 - 1</v>
      </c>
      <c r="E101" s="80" t="str">
        <f t="shared" si="152"/>
        <v>YCD-EX:HUPPER TEK</v>
      </c>
      <c r="F101" s="80" t="str">
        <f t="shared" si="152"/>
        <v>MI202508130012</v>
      </c>
      <c r="G101" s="80" t="str">
        <f t="shared" si="152"/>
        <v>DE2508031-G7-MIC</v>
      </c>
      <c r="H101" s="132">
        <f t="shared" si="152"/>
        <v>45889</v>
      </c>
      <c r="I101" s="133" t="str">
        <f t="shared" si="152"/>
        <v>B077RVYZRF</v>
      </c>
      <c r="J101" s="80"/>
      <c r="K101" s="134" t="str">
        <f t="shared" si="141"/>
        <v>德国联邦快递金属储物柜</v>
      </c>
      <c r="L101" s="80"/>
      <c r="M101" s="123">
        <f t="shared" si="142"/>
        <v>188</v>
      </c>
      <c r="N101" s="123">
        <f t="shared" si="143"/>
        <v>49</v>
      </c>
      <c r="O101" s="123">
        <f t="shared" si="144"/>
        <v>14</v>
      </c>
      <c r="P101" s="80">
        <f t="shared" si="104"/>
        <v>0.128968</v>
      </c>
      <c r="Q101" s="80"/>
      <c r="R101" s="123">
        <f t="shared" si="145"/>
        <v>188</v>
      </c>
      <c r="S101" s="123">
        <f t="shared" si="146"/>
        <v>49</v>
      </c>
      <c r="T101" s="123">
        <f t="shared" si="147"/>
        <v>14</v>
      </c>
      <c r="U101" s="80">
        <f t="shared" si="105"/>
        <v>0.128968</v>
      </c>
      <c r="V101" s="80"/>
      <c r="W101" s="80"/>
      <c r="X101" s="80"/>
      <c r="Y101" s="80"/>
      <c r="Z101" s="80"/>
      <c r="AA101" s="80">
        <f t="shared" si="148"/>
        <v>10</v>
      </c>
      <c r="AB101" s="80">
        <f t="shared" si="149"/>
        <v>117</v>
      </c>
      <c r="AC101" s="80">
        <f t="shared" si="150"/>
        <v>117</v>
      </c>
      <c r="AD101" s="80">
        <v>0</v>
      </c>
      <c r="AE101" s="126">
        <f t="shared" si="151"/>
        <v>39</v>
      </c>
      <c r="AF101" s="126"/>
      <c r="AG101" s="135"/>
      <c r="AH101" s="128">
        <f t="shared" si="106"/>
        <v>39</v>
      </c>
      <c r="AI101" s="80" t="s">
        <v>568</v>
      </c>
      <c r="AJ101" s="129">
        <f t="shared" si="107"/>
        <v>5.029752</v>
      </c>
      <c r="AK101" s="129">
        <f t="shared" si="108"/>
        <v>5.029752</v>
      </c>
      <c r="AL101" s="80">
        <f t="shared" si="109"/>
        <v>45</v>
      </c>
      <c r="AM101" s="80" t="str">
        <f t="shared" si="112"/>
        <v>31-90天</v>
      </c>
      <c r="AN101" s="81">
        <v>0.7</v>
      </c>
      <c r="AO101" s="80" t="s">
        <v>575</v>
      </c>
      <c r="AP101" s="130">
        <f t="shared" si="110"/>
        <v>3.5208264</v>
      </c>
      <c r="AQ101" s="95"/>
    </row>
    <row r="102" spans="1:43">
      <c r="A102" s="80">
        <v>202510</v>
      </c>
      <c r="B102" s="131">
        <v>45934</v>
      </c>
      <c r="C102" s="80" t="s">
        <v>613</v>
      </c>
      <c r="D102" s="80" t="str">
        <f t="shared" ref="D102:I102" si="153">D101</f>
        <v>M » N2 - 1</v>
      </c>
      <c r="E102" s="80" t="str">
        <f t="shared" si="153"/>
        <v>YCD-EX:HUPPER TEK</v>
      </c>
      <c r="F102" s="80" t="str">
        <f t="shared" si="153"/>
        <v>MI202508130012</v>
      </c>
      <c r="G102" s="80" t="str">
        <f t="shared" si="153"/>
        <v>DE2508031-G7-MIC</v>
      </c>
      <c r="H102" s="132">
        <f t="shared" si="153"/>
        <v>45889</v>
      </c>
      <c r="I102" s="133" t="str">
        <f t="shared" si="153"/>
        <v>B077RVYZRF</v>
      </c>
      <c r="J102" s="80"/>
      <c r="K102" s="134" t="str">
        <f t="shared" si="141"/>
        <v>德国联邦快递金属储物柜</v>
      </c>
      <c r="L102" s="80"/>
      <c r="M102" s="123">
        <f t="shared" si="142"/>
        <v>188</v>
      </c>
      <c r="N102" s="123">
        <f t="shared" si="143"/>
        <v>49</v>
      </c>
      <c r="O102" s="123">
        <f t="shared" si="144"/>
        <v>14</v>
      </c>
      <c r="P102" s="80">
        <f t="shared" si="104"/>
        <v>0.128968</v>
      </c>
      <c r="Q102" s="80"/>
      <c r="R102" s="123">
        <f t="shared" si="145"/>
        <v>188</v>
      </c>
      <c r="S102" s="123">
        <f t="shared" si="146"/>
        <v>49</v>
      </c>
      <c r="T102" s="123">
        <f t="shared" si="147"/>
        <v>14</v>
      </c>
      <c r="U102" s="80">
        <f t="shared" si="105"/>
        <v>0.128968</v>
      </c>
      <c r="V102" s="80"/>
      <c r="W102" s="80"/>
      <c r="X102" s="80"/>
      <c r="Y102" s="80"/>
      <c r="Z102" s="80"/>
      <c r="AA102" s="80">
        <f t="shared" si="148"/>
        <v>10</v>
      </c>
      <c r="AB102" s="80">
        <f t="shared" si="149"/>
        <v>117</v>
      </c>
      <c r="AC102" s="80">
        <f t="shared" si="150"/>
        <v>117</v>
      </c>
      <c r="AD102" s="80">
        <v>0</v>
      </c>
      <c r="AE102" s="126">
        <f t="shared" si="151"/>
        <v>39</v>
      </c>
      <c r="AF102" s="126"/>
      <c r="AG102" s="135"/>
      <c r="AH102" s="128">
        <f t="shared" si="106"/>
        <v>39</v>
      </c>
      <c r="AI102" s="80" t="s">
        <v>568</v>
      </c>
      <c r="AJ102" s="129">
        <f t="shared" si="107"/>
        <v>5.029752</v>
      </c>
      <c r="AK102" s="129">
        <f t="shared" si="108"/>
        <v>5.029752</v>
      </c>
      <c r="AL102" s="80">
        <f t="shared" si="109"/>
        <v>46</v>
      </c>
      <c r="AM102" s="80" t="str">
        <f t="shared" si="112"/>
        <v>31-90天</v>
      </c>
      <c r="AN102" s="81">
        <v>0.7</v>
      </c>
      <c r="AO102" s="80" t="s">
        <v>575</v>
      </c>
      <c r="AP102" s="130">
        <f t="shared" si="110"/>
        <v>3.5208264</v>
      </c>
      <c r="AQ102" s="95"/>
    </row>
    <row r="103" spans="1:43">
      <c r="A103" s="80">
        <v>202510</v>
      </c>
      <c r="B103" s="131">
        <v>45935</v>
      </c>
      <c r="C103" s="80" t="s">
        <v>613</v>
      </c>
      <c r="D103" s="80" t="str">
        <f t="shared" ref="D103:I103" si="154">D102</f>
        <v>M » N2 - 1</v>
      </c>
      <c r="E103" s="80" t="str">
        <f t="shared" si="154"/>
        <v>YCD-EX:HUPPER TEK</v>
      </c>
      <c r="F103" s="80" t="str">
        <f t="shared" si="154"/>
        <v>MI202508130012</v>
      </c>
      <c r="G103" s="80" t="str">
        <f t="shared" si="154"/>
        <v>DE2508031-G7-MIC</v>
      </c>
      <c r="H103" s="132">
        <f t="shared" si="154"/>
        <v>45889</v>
      </c>
      <c r="I103" s="133" t="str">
        <f t="shared" si="154"/>
        <v>B077RVYZRF</v>
      </c>
      <c r="J103" s="136"/>
      <c r="K103" s="134" t="str">
        <f t="shared" si="141"/>
        <v>德国联邦快递金属储物柜</v>
      </c>
      <c r="L103" s="80"/>
      <c r="M103" s="123">
        <f t="shared" si="142"/>
        <v>188</v>
      </c>
      <c r="N103" s="123">
        <f t="shared" si="143"/>
        <v>49</v>
      </c>
      <c r="O103" s="123">
        <f t="shared" si="144"/>
        <v>14</v>
      </c>
      <c r="P103" s="80">
        <f t="shared" si="104"/>
        <v>0.128968</v>
      </c>
      <c r="Q103" s="80"/>
      <c r="R103" s="123">
        <f t="shared" si="145"/>
        <v>188</v>
      </c>
      <c r="S103" s="123">
        <f t="shared" si="146"/>
        <v>49</v>
      </c>
      <c r="T103" s="123">
        <f t="shared" si="147"/>
        <v>14</v>
      </c>
      <c r="U103" s="80">
        <f t="shared" si="105"/>
        <v>0.128968</v>
      </c>
      <c r="V103" s="80"/>
      <c r="W103" s="80"/>
      <c r="X103" s="80"/>
      <c r="Y103" s="80"/>
      <c r="Z103" s="80"/>
      <c r="AA103" s="80">
        <f t="shared" si="148"/>
        <v>10</v>
      </c>
      <c r="AB103" s="80">
        <f t="shared" si="149"/>
        <v>117</v>
      </c>
      <c r="AC103" s="80">
        <f t="shared" si="150"/>
        <v>117</v>
      </c>
      <c r="AD103" s="80">
        <v>0</v>
      </c>
      <c r="AE103" s="126">
        <f t="shared" si="151"/>
        <v>39</v>
      </c>
      <c r="AF103" s="126"/>
      <c r="AG103" s="135"/>
      <c r="AH103" s="128">
        <f t="shared" si="106"/>
        <v>39</v>
      </c>
      <c r="AI103" s="80" t="s">
        <v>568</v>
      </c>
      <c r="AJ103" s="129">
        <f t="shared" si="107"/>
        <v>5.029752</v>
      </c>
      <c r="AK103" s="129">
        <f t="shared" si="108"/>
        <v>5.029752</v>
      </c>
      <c r="AL103" s="80">
        <f t="shared" si="109"/>
        <v>47</v>
      </c>
      <c r="AM103" s="80" t="str">
        <f t="shared" ref="AM103:AM134" si="155">IF(AL103&lt;=30,"30天内",IF(AL103&lt;=90,"31-90天","91天以上"))</f>
        <v>31-90天</v>
      </c>
      <c r="AN103" s="81">
        <v>0.7</v>
      </c>
      <c r="AO103" s="80" t="s">
        <v>575</v>
      </c>
      <c r="AP103" s="130">
        <f t="shared" si="110"/>
        <v>3.5208264</v>
      </c>
      <c r="AQ103" s="95"/>
    </row>
    <row r="104" spans="1:43">
      <c r="A104" s="80">
        <v>202510</v>
      </c>
      <c r="B104" s="131">
        <v>45936</v>
      </c>
      <c r="C104" s="80" t="s">
        <v>613</v>
      </c>
      <c r="D104" s="80" t="str">
        <f t="shared" ref="D104:I104" si="156">D103</f>
        <v>M » N2 - 1</v>
      </c>
      <c r="E104" s="80" t="str">
        <f t="shared" si="156"/>
        <v>YCD-EX:HUPPER TEK</v>
      </c>
      <c r="F104" s="80" t="str">
        <f t="shared" si="156"/>
        <v>MI202508130012</v>
      </c>
      <c r="G104" s="80" t="str">
        <f t="shared" si="156"/>
        <v>DE2508031-G7-MIC</v>
      </c>
      <c r="H104" s="132">
        <f t="shared" si="156"/>
        <v>45889</v>
      </c>
      <c r="I104" s="133" t="str">
        <f t="shared" si="156"/>
        <v>B077RVYZRF</v>
      </c>
      <c r="J104" s="80"/>
      <c r="K104" s="134" t="str">
        <f t="shared" si="141"/>
        <v>德国联邦快递金属储物柜</v>
      </c>
      <c r="L104" s="80"/>
      <c r="M104" s="123">
        <f t="shared" si="142"/>
        <v>188</v>
      </c>
      <c r="N104" s="123">
        <f t="shared" si="143"/>
        <v>49</v>
      </c>
      <c r="O104" s="123">
        <f t="shared" si="144"/>
        <v>14</v>
      </c>
      <c r="P104" s="80">
        <f t="shared" si="104"/>
        <v>0.128968</v>
      </c>
      <c r="Q104" s="80"/>
      <c r="R104" s="123">
        <f t="shared" si="145"/>
        <v>188</v>
      </c>
      <c r="S104" s="123">
        <f t="shared" si="146"/>
        <v>49</v>
      </c>
      <c r="T104" s="123">
        <f t="shared" si="147"/>
        <v>14</v>
      </c>
      <c r="U104" s="80">
        <f t="shared" si="105"/>
        <v>0.128968</v>
      </c>
      <c r="V104" s="80"/>
      <c r="W104" s="80"/>
      <c r="X104" s="80"/>
      <c r="Y104" s="80"/>
      <c r="Z104" s="80"/>
      <c r="AA104" s="80">
        <f t="shared" si="148"/>
        <v>10</v>
      </c>
      <c r="AB104" s="80">
        <f t="shared" si="149"/>
        <v>117</v>
      </c>
      <c r="AC104" s="80">
        <f t="shared" si="150"/>
        <v>117</v>
      </c>
      <c r="AD104" s="80">
        <v>0</v>
      </c>
      <c r="AE104" s="126">
        <f t="shared" si="151"/>
        <v>39</v>
      </c>
      <c r="AF104" s="126"/>
      <c r="AG104" s="135">
        <v>1</v>
      </c>
      <c r="AH104" s="128">
        <f t="shared" si="106"/>
        <v>38</v>
      </c>
      <c r="AI104" s="80" t="s">
        <v>568</v>
      </c>
      <c r="AJ104" s="129">
        <f t="shared" si="107"/>
        <v>4.900784</v>
      </c>
      <c r="AK104" s="129">
        <f t="shared" si="108"/>
        <v>4.900784</v>
      </c>
      <c r="AL104" s="80">
        <f t="shared" si="109"/>
        <v>48</v>
      </c>
      <c r="AM104" s="80" t="str">
        <f t="shared" si="155"/>
        <v>31-90天</v>
      </c>
      <c r="AN104" s="81">
        <v>0.7</v>
      </c>
      <c r="AO104" s="80" t="s">
        <v>575</v>
      </c>
      <c r="AP104" s="130">
        <f t="shared" si="110"/>
        <v>3.4305488</v>
      </c>
      <c r="AQ104" s="95"/>
    </row>
    <row r="105" spans="1:43">
      <c r="A105" s="80">
        <v>202510</v>
      </c>
      <c r="B105" s="131">
        <v>45937</v>
      </c>
      <c r="C105" s="80" t="s">
        <v>613</v>
      </c>
      <c r="D105" s="80" t="str">
        <f t="shared" ref="D105:I105" si="157">D104</f>
        <v>M » N2 - 1</v>
      </c>
      <c r="E105" s="80" t="str">
        <f t="shared" si="157"/>
        <v>YCD-EX:HUPPER TEK</v>
      </c>
      <c r="F105" s="80" t="str">
        <f t="shared" si="157"/>
        <v>MI202508130012</v>
      </c>
      <c r="G105" s="80" t="str">
        <f t="shared" si="157"/>
        <v>DE2508031-G7-MIC</v>
      </c>
      <c r="H105" s="132">
        <f t="shared" si="157"/>
        <v>45889</v>
      </c>
      <c r="I105" s="133" t="str">
        <f t="shared" si="157"/>
        <v>B077RVYZRF</v>
      </c>
      <c r="J105" s="80"/>
      <c r="K105" s="134" t="str">
        <f t="shared" si="141"/>
        <v>德国联邦快递金属储物柜</v>
      </c>
      <c r="L105" s="80"/>
      <c r="M105" s="123">
        <f t="shared" si="142"/>
        <v>188</v>
      </c>
      <c r="N105" s="123">
        <f t="shared" si="143"/>
        <v>49</v>
      </c>
      <c r="O105" s="123">
        <f t="shared" si="144"/>
        <v>14</v>
      </c>
      <c r="P105" s="80">
        <f t="shared" si="104"/>
        <v>0.128968</v>
      </c>
      <c r="Q105" s="80"/>
      <c r="R105" s="123">
        <f t="shared" si="145"/>
        <v>188</v>
      </c>
      <c r="S105" s="123">
        <f t="shared" si="146"/>
        <v>49</v>
      </c>
      <c r="T105" s="123">
        <f t="shared" si="147"/>
        <v>14</v>
      </c>
      <c r="U105" s="80">
        <f t="shared" si="105"/>
        <v>0.128968</v>
      </c>
      <c r="V105" s="80"/>
      <c r="W105" s="80"/>
      <c r="X105" s="80"/>
      <c r="Y105" s="80"/>
      <c r="Z105" s="80"/>
      <c r="AA105" s="80">
        <f t="shared" si="148"/>
        <v>10</v>
      </c>
      <c r="AB105" s="80">
        <f t="shared" si="149"/>
        <v>117</v>
      </c>
      <c r="AC105" s="80">
        <f t="shared" si="150"/>
        <v>117</v>
      </c>
      <c r="AD105" s="80">
        <v>0</v>
      </c>
      <c r="AE105" s="126">
        <f t="shared" si="151"/>
        <v>38</v>
      </c>
      <c r="AF105" s="126"/>
      <c r="AG105" s="135"/>
      <c r="AH105" s="128">
        <f t="shared" si="106"/>
        <v>38</v>
      </c>
      <c r="AI105" s="80" t="s">
        <v>568</v>
      </c>
      <c r="AJ105" s="129">
        <f t="shared" si="107"/>
        <v>4.900784</v>
      </c>
      <c r="AK105" s="129">
        <f t="shared" si="108"/>
        <v>4.900784</v>
      </c>
      <c r="AL105" s="80">
        <f t="shared" si="109"/>
        <v>49</v>
      </c>
      <c r="AM105" s="80" t="str">
        <f t="shared" si="155"/>
        <v>31-90天</v>
      </c>
      <c r="AN105" s="81">
        <v>0.7</v>
      </c>
      <c r="AO105" s="80" t="s">
        <v>575</v>
      </c>
      <c r="AP105" s="130">
        <f t="shared" si="110"/>
        <v>3.4305488</v>
      </c>
      <c r="AQ105" s="95"/>
    </row>
    <row r="106" spans="1:43">
      <c r="A106" s="80">
        <v>202510</v>
      </c>
      <c r="B106" s="131">
        <v>45938</v>
      </c>
      <c r="C106" s="80" t="s">
        <v>613</v>
      </c>
      <c r="D106" s="80" t="str">
        <f t="shared" ref="D106:I106" si="158">D105</f>
        <v>M » N2 - 1</v>
      </c>
      <c r="E106" s="80" t="str">
        <f t="shared" si="158"/>
        <v>YCD-EX:HUPPER TEK</v>
      </c>
      <c r="F106" s="80" t="str">
        <f t="shared" si="158"/>
        <v>MI202508130012</v>
      </c>
      <c r="G106" s="80" t="str">
        <f t="shared" si="158"/>
        <v>DE2508031-G7-MIC</v>
      </c>
      <c r="H106" s="132">
        <f t="shared" si="158"/>
        <v>45889</v>
      </c>
      <c r="I106" s="133" t="str">
        <f t="shared" si="158"/>
        <v>B077RVYZRF</v>
      </c>
      <c r="J106" s="80"/>
      <c r="K106" s="134" t="str">
        <f t="shared" si="141"/>
        <v>德国联邦快递金属储物柜</v>
      </c>
      <c r="L106" s="80"/>
      <c r="M106" s="123">
        <f t="shared" si="142"/>
        <v>188</v>
      </c>
      <c r="N106" s="123">
        <f t="shared" si="143"/>
        <v>49</v>
      </c>
      <c r="O106" s="123">
        <f t="shared" si="144"/>
        <v>14</v>
      </c>
      <c r="P106" s="80">
        <f t="shared" si="104"/>
        <v>0.128968</v>
      </c>
      <c r="Q106" s="80"/>
      <c r="R106" s="123">
        <f t="shared" si="145"/>
        <v>188</v>
      </c>
      <c r="S106" s="123">
        <f t="shared" si="146"/>
        <v>49</v>
      </c>
      <c r="T106" s="123">
        <f t="shared" si="147"/>
        <v>14</v>
      </c>
      <c r="U106" s="80">
        <f t="shared" si="105"/>
        <v>0.128968</v>
      </c>
      <c r="V106" s="80"/>
      <c r="W106" s="80"/>
      <c r="X106" s="80"/>
      <c r="Y106" s="80"/>
      <c r="Z106" s="80"/>
      <c r="AA106" s="80">
        <f t="shared" si="148"/>
        <v>10</v>
      </c>
      <c r="AB106" s="80">
        <f t="shared" si="149"/>
        <v>117</v>
      </c>
      <c r="AC106" s="80">
        <f t="shared" si="150"/>
        <v>117</v>
      </c>
      <c r="AD106" s="80">
        <v>0</v>
      </c>
      <c r="AE106" s="126">
        <f t="shared" si="151"/>
        <v>38</v>
      </c>
      <c r="AF106" s="126"/>
      <c r="AG106" s="135"/>
      <c r="AH106" s="128">
        <f t="shared" si="106"/>
        <v>38</v>
      </c>
      <c r="AI106" s="80" t="s">
        <v>568</v>
      </c>
      <c r="AJ106" s="129">
        <f t="shared" si="107"/>
        <v>4.900784</v>
      </c>
      <c r="AK106" s="129">
        <f t="shared" si="108"/>
        <v>4.900784</v>
      </c>
      <c r="AL106" s="80">
        <f t="shared" si="109"/>
        <v>50</v>
      </c>
      <c r="AM106" s="80" t="str">
        <f t="shared" si="155"/>
        <v>31-90天</v>
      </c>
      <c r="AN106" s="81">
        <v>0.7</v>
      </c>
      <c r="AO106" s="80" t="s">
        <v>575</v>
      </c>
      <c r="AP106" s="130">
        <f t="shared" si="110"/>
        <v>3.4305488</v>
      </c>
      <c r="AQ106" s="95"/>
    </row>
    <row r="107" spans="1:43">
      <c r="A107" s="80">
        <v>202510</v>
      </c>
      <c r="B107" s="131">
        <v>45939</v>
      </c>
      <c r="C107" s="80" t="s">
        <v>613</v>
      </c>
      <c r="D107" s="80" t="str">
        <f t="shared" ref="D107:I107" si="159">D106</f>
        <v>M » N2 - 1</v>
      </c>
      <c r="E107" s="80" t="str">
        <f t="shared" si="159"/>
        <v>YCD-EX:HUPPER TEK</v>
      </c>
      <c r="F107" s="80" t="str">
        <f t="shared" si="159"/>
        <v>MI202508130012</v>
      </c>
      <c r="G107" s="80" t="str">
        <f t="shared" si="159"/>
        <v>DE2508031-G7-MIC</v>
      </c>
      <c r="H107" s="132">
        <f t="shared" si="159"/>
        <v>45889</v>
      </c>
      <c r="I107" s="133" t="str">
        <f t="shared" si="159"/>
        <v>B077RVYZRF</v>
      </c>
      <c r="J107" s="80"/>
      <c r="K107" s="134" t="str">
        <f t="shared" si="141"/>
        <v>德国联邦快递金属储物柜</v>
      </c>
      <c r="L107" s="80"/>
      <c r="M107" s="123">
        <f t="shared" si="142"/>
        <v>188</v>
      </c>
      <c r="N107" s="123">
        <f t="shared" si="143"/>
        <v>49</v>
      </c>
      <c r="O107" s="123">
        <f t="shared" si="144"/>
        <v>14</v>
      </c>
      <c r="P107" s="80">
        <f t="shared" si="104"/>
        <v>0.128968</v>
      </c>
      <c r="Q107" s="80"/>
      <c r="R107" s="123">
        <f t="shared" si="145"/>
        <v>188</v>
      </c>
      <c r="S107" s="123">
        <f t="shared" si="146"/>
        <v>49</v>
      </c>
      <c r="T107" s="123">
        <f t="shared" si="147"/>
        <v>14</v>
      </c>
      <c r="U107" s="80">
        <f t="shared" si="105"/>
        <v>0.128968</v>
      </c>
      <c r="V107" s="80"/>
      <c r="W107" s="80"/>
      <c r="X107" s="80"/>
      <c r="Y107" s="80"/>
      <c r="Z107" s="80"/>
      <c r="AA107" s="80">
        <f t="shared" si="148"/>
        <v>10</v>
      </c>
      <c r="AB107" s="80">
        <f t="shared" si="149"/>
        <v>117</v>
      </c>
      <c r="AC107" s="80">
        <f t="shared" si="150"/>
        <v>117</v>
      </c>
      <c r="AD107" s="80">
        <v>0</v>
      </c>
      <c r="AE107" s="126">
        <f t="shared" si="151"/>
        <v>38</v>
      </c>
      <c r="AF107" s="126"/>
      <c r="AG107" s="135"/>
      <c r="AH107" s="128">
        <f t="shared" si="106"/>
        <v>38</v>
      </c>
      <c r="AI107" s="80" t="s">
        <v>568</v>
      </c>
      <c r="AJ107" s="129">
        <f t="shared" si="107"/>
        <v>4.900784</v>
      </c>
      <c r="AK107" s="129">
        <f t="shared" si="108"/>
        <v>4.900784</v>
      </c>
      <c r="AL107" s="80">
        <f t="shared" si="109"/>
        <v>51</v>
      </c>
      <c r="AM107" s="80" t="str">
        <f t="shared" si="155"/>
        <v>31-90天</v>
      </c>
      <c r="AN107" s="81">
        <v>0.7</v>
      </c>
      <c r="AO107" s="80" t="s">
        <v>575</v>
      </c>
      <c r="AP107" s="130">
        <f t="shared" si="110"/>
        <v>3.4305488</v>
      </c>
      <c r="AQ107" s="95"/>
    </row>
    <row r="108" spans="1:43">
      <c r="A108" s="80">
        <v>202510</v>
      </c>
      <c r="B108" s="131">
        <v>45940</v>
      </c>
      <c r="C108" s="80" t="s">
        <v>613</v>
      </c>
      <c r="D108" s="80" t="str">
        <f t="shared" ref="D108:I108" si="160">D107</f>
        <v>M » N2 - 1</v>
      </c>
      <c r="E108" s="80" t="str">
        <f t="shared" si="160"/>
        <v>YCD-EX:HUPPER TEK</v>
      </c>
      <c r="F108" s="80" t="str">
        <f t="shared" si="160"/>
        <v>MI202508130012</v>
      </c>
      <c r="G108" s="80" t="str">
        <f t="shared" si="160"/>
        <v>DE2508031-G7-MIC</v>
      </c>
      <c r="H108" s="132">
        <f t="shared" si="160"/>
        <v>45889</v>
      </c>
      <c r="I108" s="133" t="str">
        <f t="shared" si="160"/>
        <v>B077RVYZRF</v>
      </c>
      <c r="J108" s="80"/>
      <c r="K108" s="134" t="str">
        <f t="shared" si="141"/>
        <v>德国联邦快递金属储物柜</v>
      </c>
      <c r="L108" s="80"/>
      <c r="M108" s="123">
        <f t="shared" si="142"/>
        <v>188</v>
      </c>
      <c r="N108" s="123">
        <f t="shared" si="143"/>
        <v>49</v>
      </c>
      <c r="O108" s="123">
        <f t="shared" si="144"/>
        <v>14</v>
      </c>
      <c r="P108" s="80">
        <f t="shared" si="104"/>
        <v>0.128968</v>
      </c>
      <c r="Q108" s="80"/>
      <c r="R108" s="123">
        <f t="shared" si="145"/>
        <v>188</v>
      </c>
      <c r="S108" s="123">
        <f t="shared" si="146"/>
        <v>49</v>
      </c>
      <c r="T108" s="123">
        <f t="shared" si="147"/>
        <v>14</v>
      </c>
      <c r="U108" s="80">
        <f t="shared" si="105"/>
        <v>0.128968</v>
      </c>
      <c r="V108" s="80"/>
      <c r="W108" s="80"/>
      <c r="X108" s="80"/>
      <c r="Y108" s="80"/>
      <c r="Z108" s="80"/>
      <c r="AA108" s="80">
        <f t="shared" si="148"/>
        <v>10</v>
      </c>
      <c r="AB108" s="80">
        <f t="shared" si="149"/>
        <v>117</v>
      </c>
      <c r="AC108" s="80">
        <f t="shared" si="150"/>
        <v>117</v>
      </c>
      <c r="AD108" s="80">
        <v>0</v>
      </c>
      <c r="AE108" s="126">
        <f t="shared" si="151"/>
        <v>38</v>
      </c>
      <c r="AF108" s="126"/>
      <c r="AG108" s="135"/>
      <c r="AH108" s="128">
        <f t="shared" si="106"/>
        <v>38</v>
      </c>
      <c r="AI108" s="80" t="s">
        <v>568</v>
      </c>
      <c r="AJ108" s="129">
        <f t="shared" si="107"/>
        <v>4.900784</v>
      </c>
      <c r="AK108" s="129">
        <f t="shared" si="108"/>
        <v>4.900784</v>
      </c>
      <c r="AL108" s="80">
        <f t="shared" si="109"/>
        <v>52</v>
      </c>
      <c r="AM108" s="80" t="str">
        <f t="shared" si="155"/>
        <v>31-90天</v>
      </c>
      <c r="AN108" s="81">
        <v>0.7</v>
      </c>
      <c r="AO108" s="80" t="s">
        <v>575</v>
      </c>
      <c r="AP108" s="130">
        <f t="shared" si="110"/>
        <v>3.4305488</v>
      </c>
      <c r="AQ108" s="95"/>
    </row>
    <row r="109" spans="1:43">
      <c r="A109" s="80">
        <v>202510</v>
      </c>
      <c r="B109" s="131">
        <v>45941</v>
      </c>
      <c r="C109" s="80" t="s">
        <v>613</v>
      </c>
      <c r="D109" s="80" t="str">
        <f t="shared" ref="D109:I109" si="161">D108</f>
        <v>M » N2 - 1</v>
      </c>
      <c r="E109" s="80" t="str">
        <f t="shared" si="161"/>
        <v>YCD-EX:HUPPER TEK</v>
      </c>
      <c r="F109" s="80" t="str">
        <f t="shared" si="161"/>
        <v>MI202508130012</v>
      </c>
      <c r="G109" s="80" t="str">
        <f t="shared" si="161"/>
        <v>DE2508031-G7-MIC</v>
      </c>
      <c r="H109" s="132">
        <f t="shared" si="161"/>
        <v>45889</v>
      </c>
      <c r="I109" s="133" t="str">
        <f t="shared" si="161"/>
        <v>B077RVYZRF</v>
      </c>
      <c r="J109" s="80"/>
      <c r="K109" s="134" t="str">
        <f t="shared" si="141"/>
        <v>德国联邦快递金属储物柜</v>
      </c>
      <c r="L109" s="80"/>
      <c r="M109" s="123">
        <f t="shared" si="142"/>
        <v>188</v>
      </c>
      <c r="N109" s="123">
        <f t="shared" si="143"/>
        <v>49</v>
      </c>
      <c r="O109" s="123">
        <f t="shared" si="144"/>
        <v>14</v>
      </c>
      <c r="P109" s="80">
        <f t="shared" si="104"/>
        <v>0.128968</v>
      </c>
      <c r="Q109" s="80"/>
      <c r="R109" s="123">
        <f t="shared" si="145"/>
        <v>188</v>
      </c>
      <c r="S109" s="123">
        <f t="shared" si="146"/>
        <v>49</v>
      </c>
      <c r="T109" s="123">
        <f t="shared" si="147"/>
        <v>14</v>
      </c>
      <c r="U109" s="80">
        <f t="shared" si="105"/>
        <v>0.128968</v>
      </c>
      <c r="V109" s="80"/>
      <c r="W109" s="80"/>
      <c r="X109" s="80"/>
      <c r="Y109" s="80"/>
      <c r="Z109" s="80"/>
      <c r="AA109" s="80">
        <f t="shared" si="148"/>
        <v>10</v>
      </c>
      <c r="AB109" s="80">
        <f t="shared" si="149"/>
        <v>117</v>
      </c>
      <c r="AC109" s="80">
        <f t="shared" si="150"/>
        <v>117</v>
      </c>
      <c r="AD109" s="80">
        <v>0</v>
      </c>
      <c r="AE109" s="126">
        <f t="shared" si="151"/>
        <v>38</v>
      </c>
      <c r="AF109" s="126"/>
      <c r="AG109" s="135"/>
      <c r="AH109" s="128">
        <f t="shared" si="106"/>
        <v>38</v>
      </c>
      <c r="AI109" s="80" t="s">
        <v>568</v>
      </c>
      <c r="AJ109" s="129">
        <f t="shared" si="107"/>
        <v>4.900784</v>
      </c>
      <c r="AK109" s="129">
        <f t="shared" si="108"/>
        <v>4.900784</v>
      </c>
      <c r="AL109" s="80">
        <f t="shared" si="109"/>
        <v>53</v>
      </c>
      <c r="AM109" s="80" t="str">
        <f t="shared" si="155"/>
        <v>31-90天</v>
      </c>
      <c r="AN109" s="81">
        <v>0.7</v>
      </c>
      <c r="AO109" s="80" t="s">
        <v>575</v>
      </c>
      <c r="AP109" s="130">
        <f t="shared" si="110"/>
        <v>3.4305488</v>
      </c>
      <c r="AQ109" s="95"/>
    </row>
    <row r="110" spans="1:43">
      <c r="A110" s="80">
        <v>202510</v>
      </c>
      <c r="B110" s="131">
        <v>45942</v>
      </c>
      <c r="C110" s="80" t="s">
        <v>613</v>
      </c>
      <c r="D110" s="80" t="str">
        <f t="shared" ref="D110:I110" si="162">D109</f>
        <v>M » N2 - 1</v>
      </c>
      <c r="E110" s="80" t="str">
        <f t="shared" si="162"/>
        <v>YCD-EX:HUPPER TEK</v>
      </c>
      <c r="F110" s="80" t="str">
        <f t="shared" si="162"/>
        <v>MI202508130012</v>
      </c>
      <c r="G110" s="80" t="str">
        <f t="shared" si="162"/>
        <v>DE2508031-G7-MIC</v>
      </c>
      <c r="H110" s="132">
        <f t="shared" si="162"/>
        <v>45889</v>
      </c>
      <c r="I110" s="133" t="str">
        <f t="shared" si="162"/>
        <v>B077RVYZRF</v>
      </c>
      <c r="J110" s="80"/>
      <c r="K110" s="134" t="str">
        <f t="shared" si="141"/>
        <v>德国联邦快递金属储物柜</v>
      </c>
      <c r="L110" s="80"/>
      <c r="M110" s="123">
        <f t="shared" si="142"/>
        <v>188</v>
      </c>
      <c r="N110" s="123">
        <f t="shared" si="143"/>
        <v>49</v>
      </c>
      <c r="O110" s="123">
        <f t="shared" si="144"/>
        <v>14</v>
      </c>
      <c r="P110" s="80">
        <f t="shared" si="104"/>
        <v>0.128968</v>
      </c>
      <c r="Q110" s="80"/>
      <c r="R110" s="123">
        <f t="shared" si="145"/>
        <v>188</v>
      </c>
      <c r="S110" s="123">
        <f t="shared" si="146"/>
        <v>49</v>
      </c>
      <c r="T110" s="123">
        <f t="shared" si="147"/>
        <v>14</v>
      </c>
      <c r="U110" s="80">
        <f t="shared" si="105"/>
        <v>0.128968</v>
      </c>
      <c r="V110" s="80"/>
      <c r="W110" s="80"/>
      <c r="X110" s="80"/>
      <c r="Y110" s="80"/>
      <c r="Z110" s="80"/>
      <c r="AA110" s="80">
        <f t="shared" si="148"/>
        <v>10</v>
      </c>
      <c r="AB110" s="80">
        <f t="shared" si="149"/>
        <v>117</v>
      </c>
      <c r="AC110" s="80">
        <f t="shared" si="150"/>
        <v>117</v>
      </c>
      <c r="AD110" s="80">
        <v>0</v>
      </c>
      <c r="AE110" s="126">
        <f t="shared" si="151"/>
        <v>38</v>
      </c>
      <c r="AF110" s="126"/>
      <c r="AG110" s="135"/>
      <c r="AH110" s="128">
        <f t="shared" si="106"/>
        <v>38</v>
      </c>
      <c r="AI110" s="80" t="s">
        <v>568</v>
      </c>
      <c r="AJ110" s="129">
        <f t="shared" si="107"/>
        <v>4.900784</v>
      </c>
      <c r="AK110" s="129">
        <f t="shared" si="108"/>
        <v>4.900784</v>
      </c>
      <c r="AL110" s="80">
        <f t="shared" si="109"/>
        <v>54</v>
      </c>
      <c r="AM110" s="80" t="str">
        <f t="shared" si="155"/>
        <v>31-90天</v>
      </c>
      <c r="AN110" s="81">
        <v>0.7</v>
      </c>
      <c r="AO110" s="80" t="s">
        <v>575</v>
      </c>
      <c r="AP110" s="130">
        <f t="shared" si="110"/>
        <v>3.4305488</v>
      </c>
      <c r="AQ110" s="95"/>
    </row>
    <row r="111" spans="1:43">
      <c r="A111" s="80">
        <v>202510</v>
      </c>
      <c r="B111" s="131">
        <v>45943</v>
      </c>
      <c r="C111" s="80" t="s">
        <v>613</v>
      </c>
      <c r="D111" s="80" t="str">
        <f t="shared" ref="D111:I111" si="163">D110</f>
        <v>M » N2 - 1</v>
      </c>
      <c r="E111" s="80" t="str">
        <f t="shared" si="163"/>
        <v>YCD-EX:HUPPER TEK</v>
      </c>
      <c r="F111" s="80" t="str">
        <f t="shared" si="163"/>
        <v>MI202508130012</v>
      </c>
      <c r="G111" s="80" t="str">
        <f t="shared" si="163"/>
        <v>DE2508031-G7-MIC</v>
      </c>
      <c r="H111" s="132">
        <f t="shared" si="163"/>
        <v>45889</v>
      </c>
      <c r="I111" s="133" t="str">
        <f t="shared" si="163"/>
        <v>B077RVYZRF</v>
      </c>
      <c r="J111" s="80"/>
      <c r="K111" s="134" t="str">
        <f t="shared" si="141"/>
        <v>德国联邦快递金属储物柜</v>
      </c>
      <c r="L111" s="80"/>
      <c r="M111" s="123">
        <f t="shared" si="142"/>
        <v>188</v>
      </c>
      <c r="N111" s="123">
        <f t="shared" si="143"/>
        <v>49</v>
      </c>
      <c r="O111" s="123">
        <f t="shared" si="144"/>
        <v>14</v>
      </c>
      <c r="P111" s="80">
        <f t="shared" si="104"/>
        <v>0.128968</v>
      </c>
      <c r="Q111" s="80"/>
      <c r="R111" s="123">
        <f t="shared" si="145"/>
        <v>188</v>
      </c>
      <c r="S111" s="123">
        <f t="shared" si="146"/>
        <v>49</v>
      </c>
      <c r="T111" s="123">
        <f t="shared" si="147"/>
        <v>14</v>
      </c>
      <c r="U111" s="80">
        <f t="shared" si="105"/>
        <v>0.128968</v>
      </c>
      <c r="V111" s="80"/>
      <c r="W111" s="80"/>
      <c r="X111" s="80"/>
      <c r="Y111" s="80"/>
      <c r="Z111" s="80"/>
      <c r="AA111" s="80">
        <f t="shared" si="148"/>
        <v>10</v>
      </c>
      <c r="AB111" s="80">
        <f t="shared" si="149"/>
        <v>117</v>
      </c>
      <c r="AC111" s="80">
        <f t="shared" si="150"/>
        <v>117</v>
      </c>
      <c r="AD111" s="80">
        <v>0</v>
      </c>
      <c r="AE111" s="126">
        <f t="shared" si="151"/>
        <v>38</v>
      </c>
      <c r="AF111" s="126"/>
      <c r="AG111" s="135"/>
      <c r="AH111" s="128">
        <f t="shared" si="106"/>
        <v>38</v>
      </c>
      <c r="AI111" s="80" t="s">
        <v>568</v>
      </c>
      <c r="AJ111" s="129">
        <f t="shared" si="107"/>
        <v>4.900784</v>
      </c>
      <c r="AK111" s="129">
        <f t="shared" si="108"/>
        <v>4.900784</v>
      </c>
      <c r="AL111" s="80">
        <f t="shared" si="109"/>
        <v>55</v>
      </c>
      <c r="AM111" s="80" t="str">
        <f t="shared" si="155"/>
        <v>31-90天</v>
      </c>
      <c r="AN111" s="81">
        <v>0.7</v>
      </c>
      <c r="AO111" s="80" t="s">
        <v>575</v>
      </c>
      <c r="AP111" s="130">
        <f t="shared" si="110"/>
        <v>3.4305488</v>
      </c>
      <c r="AQ111" s="95"/>
    </row>
    <row r="112" spans="1:43">
      <c r="A112" s="80">
        <v>202510</v>
      </c>
      <c r="B112" s="131">
        <v>45944</v>
      </c>
      <c r="C112" s="80" t="s">
        <v>613</v>
      </c>
      <c r="D112" s="80" t="str">
        <f t="shared" ref="D112:I112" si="164">D111</f>
        <v>M » N2 - 1</v>
      </c>
      <c r="E112" s="80" t="str">
        <f t="shared" si="164"/>
        <v>YCD-EX:HUPPER TEK</v>
      </c>
      <c r="F112" s="80" t="str">
        <f t="shared" si="164"/>
        <v>MI202508130012</v>
      </c>
      <c r="G112" s="80" t="str">
        <f t="shared" si="164"/>
        <v>DE2508031-G7-MIC</v>
      </c>
      <c r="H112" s="132">
        <f t="shared" si="164"/>
        <v>45889</v>
      </c>
      <c r="I112" s="133" t="str">
        <f t="shared" si="164"/>
        <v>B077RVYZRF</v>
      </c>
      <c r="J112" s="80"/>
      <c r="K112" s="134" t="str">
        <f t="shared" si="141"/>
        <v>德国联邦快递金属储物柜</v>
      </c>
      <c r="L112" s="80"/>
      <c r="M112" s="123">
        <f t="shared" si="142"/>
        <v>188</v>
      </c>
      <c r="N112" s="123">
        <f t="shared" si="143"/>
        <v>49</v>
      </c>
      <c r="O112" s="123">
        <f t="shared" si="144"/>
        <v>14</v>
      </c>
      <c r="P112" s="80">
        <f t="shared" si="104"/>
        <v>0.128968</v>
      </c>
      <c r="Q112" s="80"/>
      <c r="R112" s="123">
        <f t="shared" si="145"/>
        <v>188</v>
      </c>
      <c r="S112" s="123">
        <f t="shared" si="146"/>
        <v>49</v>
      </c>
      <c r="T112" s="123">
        <f t="shared" si="147"/>
        <v>14</v>
      </c>
      <c r="U112" s="80">
        <f t="shared" si="105"/>
        <v>0.128968</v>
      </c>
      <c r="V112" s="80"/>
      <c r="W112" s="80"/>
      <c r="X112" s="80"/>
      <c r="Y112" s="80"/>
      <c r="Z112" s="80"/>
      <c r="AA112" s="80">
        <f t="shared" si="148"/>
        <v>10</v>
      </c>
      <c r="AB112" s="80">
        <f t="shared" si="149"/>
        <v>117</v>
      </c>
      <c r="AC112" s="80">
        <f t="shared" si="150"/>
        <v>117</v>
      </c>
      <c r="AD112" s="80">
        <v>0</v>
      </c>
      <c r="AE112" s="126">
        <f t="shared" si="151"/>
        <v>38</v>
      </c>
      <c r="AF112" s="126"/>
      <c r="AG112" s="135"/>
      <c r="AH112" s="128">
        <f t="shared" si="106"/>
        <v>38</v>
      </c>
      <c r="AI112" s="80" t="s">
        <v>568</v>
      </c>
      <c r="AJ112" s="129">
        <f t="shared" si="107"/>
        <v>4.900784</v>
      </c>
      <c r="AK112" s="129">
        <f t="shared" si="108"/>
        <v>4.900784</v>
      </c>
      <c r="AL112" s="80">
        <f t="shared" si="109"/>
        <v>56</v>
      </c>
      <c r="AM112" s="80" t="str">
        <f t="shared" si="155"/>
        <v>31-90天</v>
      </c>
      <c r="AN112" s="81">
        <v>0.7</v>
      </c>
      <c r="AO112" s="80" t="s">
        <v>575</v>
      </c>
      <c r="AP112" s="130">
        <f t="shared" si="110"/>
        <v>3.4305488</v>
      </c>
      <c r="AQ112" s="95"/>
    </row>
    <row r="113" spans="1:43">
      <c r="A113" s="80">
        <v>202510</v>
      </c>
      <c r="B113" s="131">
        <v>45945</v>
      </c>
      <c r="C113" s="80" t="s">
        <v>613</v>
      </c>
      <c r="D113" s="80" t="str">
        <f t="shared" ref="D113:I113" si="165">D112</f>
        <v>M » N2 - 1</v>
      </c>
      <c r="E113" s="80" t="str">
        <f t="shared" si="165"/>
        <v>YCD-EX:HUPPER TEK</v>
      </c>
      <c r="F113" s="80" t="str">
        <f t="shared" si="165"/>
        <v>MI202508130012</v>
      </c>
      <c r="G113" s="80" t="str">
        <f t="shared" si="165"/>
        <v>DE2508031-G7-MIC</v>
      </c>
      <c r="H113" s="132">
        <f t="shared" si="165"/>
        <v>45889</v>
      </c>
      <c r="I113" s="133" t="str">
        <f t="shared" si="165"/>
        <v>B077RVYZRF</v>
      </c>
      <c r="J113" s="80"/>
      <c r="K113" s="134" t="str">
        <f t="shared" si="141"/>
        <v>德国联邦快递金属储物柜</v>
      </c>
      <c r="L113" s="80"/>
      <c r="M113" s="123">
        <f t="shared" si="142"/>
        <v>188</v>
      </c>
      <c r="N113" s="123">
        <f t="shared" si="143"/>
        <v>49</v>
      </c>
      <c r="O113" s="123">
        <f t="shared" si="144"/>
        <v>14</v>
      </c>
      <c r="P113" s="80">
        <f t="shared" si="104"/>
        <v>0.128968</v>
      </c>
      <c r="Q113" s="80"/>
      <c r="R113" s="123">
        <f t="shared" si="145"/>
        <v>188</v>
      </c>
      <c r="S113" s="123">
        <f t="shared" si="146"/>
        <v>49</v>
      </c>
      <c r="T113" s="123">
        <f t="shared" si="147"/>
        <v>14</v>
      </c>
      <c r="U113" s="80">
        <f t="shared" si="105"/>
        <v>0.128968</v>
      </c>
      <c r="V113" s="80"/>
      <c r="W113" s="80"/>
      <c r="X113" s="80"/>
      <c r="Y113" s="80"/>
      <c r="Z113" s="80"/>
      <c r="AA113" s="80">
        <f t="shared" si="148"/>
        <v>10</v>
      </c>
      <c r="AB113" s="80">
        <f t="shared" si="149"/>
        <v>117</v>
      </c>
      <c r="AC113" s="80">
        <f t="shared" si="150"/>
        <v>117</v>
      </c>
      <c r="AD113" s="80">
        <v>0</v>
      </c>
      <c r="AE113" s="126">
        <f t="shared" si="151"/>
        <v>38</v>
      </c>
      <c r="AF113" s="126"/>
      <c r="AG113" s="135"/>
      <c r="AH113" s="128">
        <f t="shared" si="106"/>
        <v>38</v>
      </c>
      <c r="AI113" s="80" t="s">
        <v>568</v>
      </c>
      <c r="AJ113" s="129">
        <f t="shared" si="107"/>
        <v>4.900784</v>
      </c>
      <c r="AK113" s="129">
        <f t="shared" si="108"/>
        <v>4.900784</v>
      </c>
      <c r="AL113" s="80">
        <f t="shared" si="109"/>
        <v>57</v>
      </c>
      <c r="AM113" s="80" t="str">
        <f t="shared" si="155"/>
        <v>31-90天</v>
      </c>
      <c r="AN113" s="81">
        <v>0.7</v>
      </c>
      <c r="AO113" s="80" t="s">
        <v>575</v>
      </c>
      <c r="AP113" s="130">
        <f t="shared" si="110"/>
        <v>3.4305488</v>
      </c>
      <c r="AQ113" s="95"/>
    </row>
    <row r="114" spans="1:43">
      <c r="A114" s="80">
        <v>202510</v>
      </c>
      <c r="B114" s="131">
        <v>45946</v>
      </c>
      <c r="C114" s="80" t="s">
        <v>613</v>
      </c>
      <c r="D114" s="80" t="str">
        <f t="shared" ref="D114:I114" si="166">D113</f>
        <v>M » N2 - 1</v>
      </c>
      <c r="E114" s="80" t="str">
        <f t="shared" si="166"/>
        <v>YCD-EX:HUPPER TEK</v>
      </c>
      <c r="F114" s="80" t="str">
        <f t="shared" si="166"/>
        <v>MI202508130012</v>
      </c>
      <c r="G114" s="80" t="str">
        <f t="shared" si="166"/>
        <v>DE2508031-G7-MIC</v>
      </c>
      <c r="H114" s="132">
        <f t="shared" si="166"/>
        <v>45889</v>
      </c>
      <c r="I114" s="133" t="str">
        <f t="shared" si="166"/>
        <v>B077RVYZRF</v>
      </c>
      <c r="J114" s="80"/>
      <c r="K114" s="134" t="str">
        <f t="shared" si="141"/>
        <v>德国联邦快递金属储物柜</v>
      </c>
      <c r="L114" s="80"/>
      <c r="M114" s="123">
        <f t="shared" si="142"/>
        <v>188</v>
      </c>
      <c r="N114" s="123">
        <f t="shared" si="143"/>
        <v>49</v>
      </c>
      <c r="O114" s="123">
        <f t="shared" si="144"/>
        <v>14</v>
      </c>
      <c r="P114" s="80">
        <f t="shared" si="104"/>
        <v>0.128968</v>
      </c>
      <c r="Q114" s="80"/>
      <c r="R114" s="123">
        <f t="shared" si="145"/>
        <v>188</v>
      </c>
      <c r="S114" s="123">
        <f t="shared" si="146"/>
        <v>49</v>
      </c>
      <c r="T114" s="123">
        <f t="shared" si="147"/>
        <v>14</v>
      </c>
      <c r="U114" s="80">
        <f t="shared" si="105"/>
        <v>0.128968</v>
      </c>
      <c r="V114" s="80"/>
      <c r="W114" s="80"/>
      <c r="X114" s="80"/>
      <c r="Y114" s="80"/>
      <c r="Z114" s="80"/>
      <c r="AA114" s="80">
        <f t="shared" si="148"/>
        <v>10</v>
      </c>
      <c r="AB114" s="80">
        <f t="shared" si="149"/>
        <v>117</v>
      </c>
      <c r="AC114" s="80">
        <f t="shared" si="150"/>
        <v>117</v>
      </c>
      <c r="AD114" s="80">
        <v>0</v>
      </c>
      <c r="AE114" s="126">
        <f t="shared" si="151"/>
        <v>38</v>
      </c>
      <c r="AF114" s="126"/>
      <c r="AG114" s="135"/>
      <c r="AH114" s="128">
        <f t="shared" si="106"/>
        <v>38</v>
      </c>
      <c r="AI114" s="80" t="s">
        <v>568</v>
      </c>
      <c r="AJ114" s="129">
        <f t="shared" si="107"/>
        <v>4.900784</v>
      </c>
      <c r="AK114" s="129">
        <f t="shared" si="108"/>
        <v>4.900784</v>
      </c>
      <c r="AL114" s="80">
        <f t="shared" si="109"/>
        <v>58</v>
      </c>
      <c r="AM114" s="80" t="str">
        <f t="shared" si="155"/>
        <v>31-90天</v>
      </c>
      <c r="AN114" s="81">
        <v>0.7</v>
      </c>
      <c r="AO114" s="80" t="s">
        <v>575</v>
      </c>
      <c r="AP114" s="130">
        <f t="shared" si="110"/>
        <v>3.4305488</v>
      </c>
      <c r="AQ114" s="95"/>
    </row>
    <row r="115" spans="1:43">
      <c r="A115" s="80">
        <v>202510</v>
      </c>
      <c r="B115" s="131">
        <v>45947</v>
      </c>
      <c r="C115" s="80" t="s">
        <v>613</v>
      </c>
      <c r="D115" s="80" t="str">
        <f t="shared" ref="D115:I115" si="167">D114</f>
        <v>M » N2 - 1</v>
      </c>
      <c r="E115" s="80" t="str">
        <f t="shared" si="167"/>
        <v>YCD-EX:HUPPER TEK</v>
      </c>
      <c r="F115" s="80" t="str">
        <f t="shared" si="167"/>
        <v>MI202508130012</v>
      </c>
      <c r="G115" s="80" t="str">
        <f t="shared" si="167"/>
        <v>DE2508031-G7-MIC</v>
      </c>
      <c r="H115" s="132">
        <f t="shared" si="167"/>
        <v>45889</v>
      </c>
      <c r="I115" s="133" t="str">
        <f t="shared" si="167"/>
        <v>B077RVYZRF</v>
      </c>
      <c r="J115" s="80"/>
      <c r="K115" s="134" t="str">
        <f t="shared" si="141"/>
        <v>德国联邦快递金属储物柜</v>
      </c>
      <c r="L115" s="80"/>
      <c r="M115" s="123">
        <f t="shared" si="142"/>
        <v>188</v>
      </c>
      <c r="N115" s="123">
        <f t="shared" si="143"/>
        <v>49</v>
      </c>
      <c r="O115" s="123">
        <f t="shared" si="144"/>
        <v>14</v>
      </c>
      <c r="P115" s="80">
        <f t="shared" si="104"/>
        <v>0.128968</v>
      </c>
      <c r="Q115" s="80"/>
      <c r="R115" s="123">
        <f t="shared" si="145"/>
        <v>188</v>
      </c>
      <c r="S115" s="123">
        <f t="shared" si="146"/>
        <v>49</v>
      </c>
      <c r="T115" s="123">
        <f t="shared" si="147"/>
        <v>14</v>
      </c>
      <c r="U115" s="80">
        <f t="shared" si="105"/>
        <v>0.128968</v>
      </c>
      <c r="V115" s="80"/>
      <c r="W115" s="80"/>
      <c r="X115" s="80"/>
      <c r="Y115" s="80"/>
      <c r="Z115" s="80"/>
      <c r="AA115" s="80">
        <f t="shared" si="148"/>
        <v>10</v>
      </c>
      <c r="AB115" s="80">
        <f t="shared" si="149"/>
        <v>117</v>
      </c>
      <c r="AC115" s="80">
        <f t="shared" si="150"/>
        <v>117</v>
      </c>
      <c r="AD115" s="80">
        <v>0</v>
      </c>
      <c r="AE115" s="126">
        <f t="shared" si="151"/>
        <v>38</v>
      </c>
      <c r="AF115" s="126"/>
      <c r="AG115" s="135"/>
      <c r="AH115" s="128">
        <f t="shared" si="106"/>
        <v>38</v>
      </c>
      <c r="AI115" s="80" t="s">
        <v>568</v>
      </c>
      <c r="AJ115" s="129">
        <f t="shared" si="107"/>
        <v>4.900784</v>
      </c>
      <c r="AK115" s="129">
        <f t="shared" si="108"/>
        <v>4.900784</v>
      </c>
      <c r="AL115" s="80">
        <f t="shared" si="109"/>
        <v>59</v>
      </c>
      <c r="AM115" s="80" t="str">
        <f t="shared" si="155"/>
        <v>31-90天</v>
      </c>
      <c r="AN115" s="81">
        <v>0.7</v>
      </c>
      <c r="AO115" s="80" t="s">
        <v>575</v>
      </c>
      <c r="AP115" s="130">
        <f t="shared" si="110"/>
        <v>3.4305488</v>
      </c>
      <c r="AQ115" s="95"/>
    </row>
    <row r="116" spans="1:43">
      <c r="A116" s="80">
        <v>202510</v>
      </c>
      <c r="B116" s="131">
        <v>45948</v>
      </c>
      <c r="C116" s="80" t="s">
        <v>613</v>
      </c>
      <c r="D116" s="80" t="str">
        <f t="shared" ref="D116:I116" si="168">D115</f>
        <v>M » N2 - 1</v>
      </c>
      <c r="E116" s="80" t="str">
        <f t="shared" si="168"/>
        <v>YCD-EX:HUPPER TEK</v>
      </c>
      <c r="F116" s="80" t="str">
        <f t="shared" si="168"/>
        <v>MI202508130012</v>
      </c>
      <c r="G116" s="80" t="str">
        <f t="shared" si="168"/>
        <v>DE2508031-G7-MIC</v>
      </c>
      <c r="H116" s="132">
        <f t="shared" si="168"/>
        <v>45889</v>
      </c>
      <c r="I116" s="133" t="str">
        <f t="shared" si="168"/>
        <v>B077RVYZRF</v>
      </c>
      <c r="J116" s="80"/>
      <c r="K116" s="134" t="str">
        <f t="shared" si="141"/>
        <v>德国联邦快递金属储物柜</v>
      </c>
      <c r="L116" s="80"/>
      <c r="M116" s="123">
        <f t="shared" si="142"/>
        <v>188</v>
      </c>
      <c r="N116" s="123">
        <f t="shared" si="143"/>
        <v>49</v>
      </c>
      <c r="O116" s="123">
        <f t="shared" si="144"/>
        <v>14</v>
      </c>
      <c r="P116" s="80">
        <f t="shared" si="104"/>
        <v>0.128968</v>
      </c>
      <c r="Q116" s="80"/>
      <c r="R116" s="123">
        <f t="shared" si="145"/>
        <v>188</v>
      </c>
      <c r="S116" s="123">
        <f t="shared" si="146"/>
        <v>49</v>
      </c>
      <c r="T116" s="123">
        <f t="shared" si="147"/>
        <v>14</v>
      </c>
      <c r="U116" s="80">
        <f t="shared" si="105"/>
        <v>0.128968</v>
      </c>
      <c r="V116" s="80"/>
      <c r="W116" s="80"/>
      <c r="X116" s="80"/>
      <c r="Y116" s="80"/>
      <c r="Z116" s="80"/>
      <c r="AA116" s="80">
        <f t="shared" si="148"/>
        <v>10</v>
      </c>
      <c r="AB116" s="80">
        <f t="shared" si="149"/>
        <v>117</v>
      </c>
      <c r="AC116" s="80">
        <f t="shared" si="150"/>
        <v>117</v>
      </c>
      <c r="AD116" s="80">
        <v>0</v>
      </c>
      <c r="AE116" s="126">
        <f t="shared" si="151"/>
        <v>38</v>
      </c>
      <c r="AF116" s="126"/>
      <c r="AG116" s="135"/>
      <c r="AH116" s="128">
        <f t="shared" si="106"/>
        <v>38</v>
      </c>
      <c r="AI116" s="80" t="s">
        <v>568</v>
      </c>
      <c r="AJ116" s="129">
        <f t="shared" si="107"/>
        <v>4.900784</v>
      </c>
      <c r="AK116" s="129">
        <f t="shared" si="108"/>
        <v>4.900784</v>
      </c>
      <c r="AL116" s="80">
        <f t="shared" si="109"/>
        <v>60</v>
      </c>
      <c r="AM116" s="80" t="str">
        <f t="shared" si="155"/>
        <v>31-90天</v>
      </c>
      <c r="AN116" s="81">
        <v>0.7</v>
      </c>
      <c r="AO116" s="80" t="s">
        <v>575</v>
      </c>
      <c r="AP116" s="130">
        <f t="shared" si="110"/>
        <v>3.4305488</v>
      </c>
      <c r="AQ116" s="95"/>
    </row>
    <row r="117" spans="1:43">
      <c r="A117" s="80">
        <v>202510</v>
      </c>
      <c r="B117" s="131">
        <v>45949</v>
      </c>
      <c r="C117" s="80" t="s">
        <v>613</v>
      </c>
      <c r="D117" s="80" t="str">
        <f t="shared" ref="D117:I117" si="169">D116</f>
        <v>M » N2 - 1</v>
      </c>
      <c r="E117" s="80" t="str">
        <f t="shared" si="169"/>
        <v>YCD-EX:HUPPER TEK</v>
      </c>
      <c r="F117" s="80" t="str">
        <f t="shared" si="169"/>
        <v>MI202508130012</v>
      </c>
      <c r="G117" s="80" t="str">
        <f t="shared" si="169"/>
        <v>DE2508031-G7-MIC</v>
      </c>
      <c r="H117" s="132">
        <f t="shared" si="169"/>
        <v>45889</v>
      </c>
      <c r="I117" s="133" t="str">
        <f t="shared" si="169"/>
        <v>B077RVYZRF</v>
      </c>
      <c r="J117" s="80"/>
      <c r="K117" s="134" t="str">
        <f t="shared" si="141"/>
        <v>德国联邦快递金属储物柜</v>
      </c>
      <c r="L117" s="80"/>
      <c r="M117" s="123">
        <f t="shared" si="142"/>
        <v>188</v>
      </c>
      <c r="N117" s="123">
        <f t="shared" si="143"/>
        <v>49</v>
      </c>
      <c r="O117" s="123">
        <f t="shared" si="144"/>
        <v>14</v>
      </c>
      <c r="P117" s="80">
        <f t="shared" si="104"/>
        <v>0.128968</v>
      </c>
      <c r="Q117" s="80"/>
      <c r="R117" s="123">
        <f t="shared" si="145"/>
        <v>188</v>
      </c>
      <c r="S117" s="123">
        <f t="shared" si="146"/>
        <v>49</v>
      </c>
      <c r="T117" s="123">
        <f t="shared" si="147"/>
        <v>14</v>
      </c>
      <c r="U117" s="80">
        <f t="shared" si="105"/>
        <v>0.128968</v>
      </c>
      <c r="V117" s="80"/>
      <c r="W117" s="80"/>
      <c r="X117" s="80"/>
      <c r="Y117" s="80"/>
      <c r="Z117" s="80"/>
      <c r="AA117" s="80">
        <f t="shared" si="148"/>
        <v>10</v>
      </c>
      <c r="AB117" s="80">
        <f t="shared" si="149"/>
        <v>117</v>
      </c>
      <c r="AC117" s="80">
        <f t="shared" si="150"/>
        <v>117</v>
      </c>
      <c r="AD117" s="80">
        <v>0</v>
      </c>
      <c r="AE117" s="126">
        <f t="shared" si="151"/>
        <v>38</v>
      </c>
      <c r="AF117" s="126"/>
      <c r="AG117" s="135"/>
      <c r="AH117" s="128">
        <f t="shared" si="106"/>
        <v>38</v>
      </c>
      <c r="AI117" s="80" t="s">
        <v>568</v>
      </c>
      <c r="AJ117" s="129">
        <f t="shared" si="107"/>
        <v>4.900784</v>
      </c>
      <c r="AK117" s="129">
        <f t="shared" si="108"/>
        <v>4.900784</v>
      </c>
      <c r="AL117" s="80">
        <f t="shared" si="109"/>
        <v>61</v>
      </c>
      <c r="AM117" s="80" t="str">
        <f t="shared" si="155"/>
        <v>31-90天</v>
      </c>
      <c r="AN117" s="81">
        <v>0.7</v>
      </c>
      <c r="AO117" s="80" t="s">
        <v>575</v>
      </c>
      <c r="AP117" s="130">
        <f t="shared" si="110"/>
        <v>3.4305488</v>
      </c>
      <c r="AQ117" s="95"/>
    </row>
    <row r="118" spans="1:43">
      <c r="A118" s="80">
        <v>202510</v>
      </c>
      <c r="B118" s="131">
        <v>45950</v>
      </c>
      <c r="C118" s="80" t="s">
        <v>613</v>
      </c>
      <c r="D118" s="80" t="str">
        <f t="shared" ref="D118:I118" si="170">D117</f>
        <v>M » N2 - 1</v>
      </c>
      <c r="E118" s="80" t="str">
        <f t="shared" si="170"/>
        <v>YCD-EX:HUPPER TEK</v>
      </c>
      <c r="F118" s="80" t="str">
        <f t="shared" si="170"/>
        <v>MI202508130012</v>
      </c>
      <c r="G118" s="80" t="str">
        <f t="shared" si="170"/>
        <v>DE2508031-G7-MIC</v>
      </c>
      <c r="H118" s="132">
        <f t="shared" si="170"/>
        <v>45889</v>
      </c>
      <c r="I118" s="133" t="str">
        <f t="shared" si="170"/>
        <v>B077RVYZRF</v>
      </c>
      <c r="J118" s="80"/>
      <c r="K118" s="134" t="str">
        <f t="shared" si="141"/>
        <v>德国联邦快递金属储物柜</v>
      </c>
      <c r="L118" s="80"/>
      <c r="M118" s="123">
        <f t="shared" si="142"/>
        <v>188</v>
      </c>
      <c r="N118" s="123">
        <f t="shared" si="143"/>
        <v>49</v>
      </c>
      <c r="O118" s="123">
        <f t="shared" si="144"/>
        <v>14</v>
      </c>
      <c r="P118" s="80">
        <f t="shared" si="104"/>
        <v>0.128968</v>
      </c>
      <c r="Q118" s="80"/>
      <c r="R118" s="123">
        <f t="shared" si="145"/>
        <v>188</v>
      </c>
      <c r="S118" s="123">
        <f t="shared" si="146"/>
        <v>49</v>
      </c>
      <c r="T118" s="123">
        <f t="shared" si="147"/>
        <v>14</v>
      </c>
      <c r="U118" s="80">
        <f t="shared" si="105"/>
        <v>0.128968</v>
      </c>
      <c r="V118" s="80"/>
      <c r="W118" s="80"/>
      <c r="X118" s="80"/>
      <c r="Y118" s="80"/>
      <c r="Z118" s="80"/>
      <c r="AA118" s="80">
        <f t="shared" si="148"/>
        <v>10</v>
      </c>
      <c r="AB118" s="80">
        <f t="shared" si="149"/>
        <v>117</v>
      </c>
      <c r="AC118" s="80">
        <f t="shared" si="150"/>
        <v>117</v>
      </c>
      <c r="AD118" s="80">
        <v>0</v>
      </c>
      <c r="AE118" s="126">
        <f t="shared" si="151"/>
        <v>38</v>
      </c>
      <c r="AF118" s="126"/>
      <c r="AG118" s="135"/>
      <c r="AH118" s="128">
        <f t="shared" si="106"/>
        <v>38</v>
      </c>
      <c r="AI118" s="80" t="s">
        <v>568</v>
      </c>
      <c r="AJ118" s="129">
        <f t="shared" si="107"/>
        <v>4.900784</v>
      </c>
      <c r="AK118" s="129">
        <f t="shared" si="108"/>
        <v>4.900784</v>
      </c>
      <c r="AL118" s="80">
        <f t="shared" si="109"/>
        <v>62</v>
      </c>
      <c r="AM118" s="80" t="str">
        <f t="shared" si="155"/>
        <v>31-90天</v>
      </c>
      <c r="AN118" s="81">
        <v>0.7</v>
      </c>
      <c r="AO118" s="80" t="s">
        <v>575</v>
      </c>
      <c r="AP118" s="130">
        <f t="shared" si="110"/>
        <v>3.4305488</v>
      </c>
      <c r="AQ118" s="95"/>
    </row>
    <row r="119" spans="1:43">
      <c r="A119" s="80">
        <v>202510</v>
      </c>
      <c r="B119" s="131">
        <v>45951</v>
      </c>
      <c r="C119" s="80" t="s">
        <v>613</v>
      </c>
      <c r="D119" s="80" t="str">
        <f t="shared" ref="D119:I119" si="171">D118</f>
        <v>M » N2 - 1</v>
      </c>
      <c r="E119" s="80" t="str">
        <f t="shared" si="171"/>
        <v>YCD-EX:HUPPER TEK</v>
      </c>
      <c r="F119" s="80" t="str">
        <f t="shared" si="171"/>
        <v>MI202508130012</v>
      </c>
      <c r="G119" s="80" t="str">
        <f t="shared" si="171"/>
        <v>DE2508031-G7-MIC</v>
      </c>
      <c r="H119" s="132">
        <f t="shared" si="171"/>
        <v>45889</v>
      </c>
      <c r="I119" s="133" t="str">
        <f t="shared" si="171"/>
        <v>B077RVYZRF</v>
      </c>
      <c r="J119" s="80"/>
      <c r="K119" s="134" t="str">
        <f t="shared" si="141"/>
        <v>德国联邦快递金属储物柜</v>
      </c>
      <c r="L119" s="80"/>
      <c r="M119" s="123">
        <f t="shared" si="142"/>
        <v>188</v>
      </c>
      <c r="N119" s="123">
        <f t="shared" si="143"/>
        <v>49</v>
      </c>
      <c r="O119" s="123">
        <f t="shared" si="144"/>
        <v>14</v>
      </c>
      <c r="P119" s="80">
        <f t="shared" si="104"/>
        <v>0.128968</v>
      </c>
      <c r="Q119" s="80"/>
      <c r="R119" s="123">
        <f t="shared" si="145"/>
        <v>188</v>
      </c>
      <c r="S119" s="123">
        <f t="shared" si="146"/>
        <v>49</v>
      </c>
      <c r="T119" s="123">
        <f t="shared" si="147"/>
        <v>14</v>
      </c>
      <c r="U119" s="80">
        <f t="shared" si="105"/>
        <v>0.128968</v>
      </c>
      <c r="V119" s="80"/>
      <c r="W119" s="80"/>
      <c r="X119" s="80"/>
      <c r="Y119" s="80"/>
      <c r="Z119" s="80"/>
      <c r="AA119" s="80">
        <f t="shared" si="148"/>
        <v>10</v>
      </c>
      <c r="AB119" s="80">
        <f t="shared" si="149"/>
        <v>117</v>
      </c>
      <c r="AC119" s="80">
        <f t="shared" si="150"/>
        <v>117</v>
      </c>
      <c r="AD119" s="80">
        <v>0</v>
      </c>
      <c r="AE119" s="126">
        <f t="shared" si="151"/>
        <v>38</v>
      </c>
      <c r="AF119" s="126"/>
      <c r="AG119" s="135"/>
      <c r="AH119" s="128">
        <f t="shared" si="106"/>
        <v>38</v>
      </c>
      <c r="AI119" s="80" t="s">
        <v>568</v>
      </c>
      <c r="AJ119" s="129">
        <f t="shared" si="107"/>
        <v>4.900784</v>
      </c>
      <c r="AK119" s="129">
        <f t="shared" si="108"/>
        <v>4.900784</v>
      </c>
      <c r="AL119" s="80">
        <f t="shared" si="109"/>
        <v>63</v>
      </c>
      <c r="AM119" s="80" t="str">
        <f t="shared" si="155"/>
        <v>31-90天</v>
      </c>
      <c r="AN119" s="81">
        <v>0.7</v>
      </c>
      <c r="AO119" s="80" t="s">
        <v>575</v>
      </c>
      <c r="AP119" s="130">
        <f t="shared" si="110"/>
        <v>3.4305488</v>
      </c>
      <c r="AQ119" s="95"/>
    </row>
    <row r="120" spans="1:43">
      <c r="A120" s="80">
        <v>202510</v>
      </c>
      <c r="B120" s="131">
        <v>45952</v>
      </c>
      <c r="C120" s="80" t="s">
        <v>613</v>
      </c>
      <c r="D120" s="80" t="str">
        <f t="shared" ref="D120:I120" si="172">D119</f>
        <v>M » N2 - 1</v>
      </c>
      <c r="E120" s="80" t="str">
        <f t="shared" si="172"/>
        <v>YCD-EX:HUPPER TEK</v>
      </c>
      <c r="F120" s="80" t="str">
        <f t="shared" si="172"/>
        <v>MI202508130012</v>
      </c>
      <c r="G120" s="80" t="str">
        <f t="shared" si="172"/>
        <v>DE2508031-G7-MIC</v>
      </c>
      <c r="H120" s="132">
        <f t="shared" si="172"/>
        <v>45889</v>
      </c>
      <c r="I120" s="133" t="str">
        <f t="shared" si="172"/>
        <v>B077RVYZRF</v>
      </c>
      <c r="J120" s="80"/>
      <c r="K120" s="134" t="str">
        <f t="shared" si="141"/>
        <v>德国联邦快递金属储物柜</v>
      </c>
      <c r="L120" s="80"/>
      <c r="M120" s="123">
        <f t="shared" si="142"/>
        <v>188</v>
      </c>
      <c r="N120" s="123">
        <f t="shared" si="143"/>
        <v>49</v>
      </c>
      <c r="O120" s="123">
        <f t="shared" si="144"/>
        <v>14</v>
      </c>
      <c r="P120" s="80">
        <f t="shared" si="104"/>
        <v>0.128968</v>
      </c>
      <c r="Q120" s="80"/>
      <c r="R120" s="123">
        <f t="shared" si="145"/>
        <v>188</v>
      </c>
      <c r="S120" s="123">
        <f t="shared" si="146"/>
        <v>49</v>
      </c>
      <c r="T120" s="123">
        <f t="shared" si="147"/>
        <v>14</v>
      </c>
      <c r="U120" s="80">
        <f t="shared" si="105"/>
        <v>0.128968</v>
      </c>
      <c r="V120" s="80"/>
      <c r="W120" s="80"/>
      <c r="X120" s="80"/>
      <c r="Y120" s="80"/>
      <c r="Z120" s="80"/>
      <c r="AA120" s="80">
        <f t="shared" si="148"/>
        <v>10</v>
      </c>
      <c r="AB120" s="80">
        <f t="shared" si="149"/>
        <v>117</v>
      </c>
      <c r="AC120" s="80">
        <f t="shared" si="150"/>
        <v>117</v>
      </c>
      <c r="AD120" s="80">
        <v>0</v>
      </c>
      <c r="AE120" s="126">
        <f t="shared" si="151"/>
        <v>38</v>
      </c>
      <c r="AF120" s="126"/>
      <c r="AG120" s="135"/>
      <c r="AH120" s="128">
        <f t="shared" si="106"/>
        <v>38</v>
      </c>
      <c r="AI120" s="80" t="s">
        <v>568</v>
      </c>
      <c r="AJ120" s="129">
        <f t="shared" si="107"/>
        <v>4.900784</v>
      </c>
      <c r="AK120" s="129">
        <f t="shared" si="108"/>
        <v>4.900784</v>
      </c>
      <c r="AL120" s="80">
        <f t="shared" si="109"/>
        <v>64</v>
      </c>
      <c r="AM120" s="80" t="str">
        <f t="shared" si="155"/>
        <v>31-90天</v>
      </c>
      <c r="AN120" s="81">
        <v>0.7</v>
      </c>
      <c r="AO120" s="80" t="s">
        <v>575</v>
      </c>
      <c r="AP120" s="130">
        <f t="shared" si="110"/>
        <v>3.4305488</v>
      </c>
      <c r="AQ120" s="95"/>
    </row>
    <row r="121" spans="1:43">
      <c r="A121" s="80">
        <v>202510</v>
      </c>
      <c r="B121" s="131">
        <v>45953</v>
      </c>
      <c r="C121" s="80" t="s">
        <v>613</v>
      </c>
      <c r="D121" s="80" t="str">
        <f t="shared" ref="D121:I121" si="173">D120</f>
        <v>M » N2 - 1</v>
      </c>
      <c r="E121" s="80" t="str">
        <f t="shared" si="173"/>
        <v>YCD-EX:HUPPER TEK</v>
      </c>
      <c r="F121" s="80" t="str">
        <f t="shared" si="173"/>
        <v>MI202508130012</v>
      </c>
      <c r="G121" s="80" t="str">
        <f t="shared" si="173"/>
        <v>DE2508031-G7-MIC</v>
      </c>
      <c r="H121" s="132">
        <f t="shared" si="173"/>
        <v>45889</v>
      </c>
      <c r="I121" s="133" t="str">
        <f t="shared" si="173"/>
        <v>B077RVYZRF</v>
      </c>
      <c r="J121" s="80"/>
      <c r="K121" s="134" t="str">
        <f t="shared" si="141"/>
        <v>德国联邦快递金属储物柜</v>
      </c>
      <c r="L121" s="80"/>
      <c r="M121" s="123">
        <f t="shared" si="142"/>
        <v>188</v>
      </c>
      <c r="N121" s="123">
        <f t="shared" si="143"/>
        <v>49</v>
      </c>
      <c r="O121" s="123">
        <f t="shared" si="144"/>
        <v>14</v>
      </c>
      <c r="P121" s="80">
        <f t="shared" si="104"/>
        <v>0.128968</v>
      </c>
      <c r="Q121" s="80"/>
      <c r="R121" s="123">
        <f t="shared" si="145"/>
        <v>188</v>
      </c>
      <c r="S121" s="123">
        <f t="shared" si="146"/>
        <v>49</v>
      </c>
      <c r="T121" s="123">
        <f t="shared" si="147"/>
        <v>14</v>
      </c>
      <c r="U121" s="80">
        <f t="shared" si="105"/>
        <v>0.128968</v>
      </c>
      <c r="V121" s="80"/>
      <c r="W121" s="80"/>
      <c r="X121" s="80"/>
      <c r="Y121" s="80"/>
      <c r="Z121" s="80"/>
      <c r="AA121" s="80">
        <f t="shared" si="148"/>
        <v>10</v>
      </c>
      <c r="AB121" s="80">
        <f t="shared" si="149"/>
        <v>117</v>
      </c>
      <c r="AC121" s="80">
        <f t="shared" si="150"/>
        <v>117</v>
      </c>
      <c r="AD121" s="80">
        <v>0</v>
      </c>
      <c r="AE121" s="126">
        <f t="shared" si="151"/>
        <v>38</v>
      </c>
      <c r="AF121" s="126"/>
      <c r="AG121" s="135"/>
      <c r="AH121" s="128">
        <f t="shared" si="106"/>
        <v>38</v>
      </c>
      <c r="AI121" s="80" t="s">
        <v>568</v>
      </c>
      <c r="AJ121" s="129">
        <f t="shared" si="107"/>
        <v>4.900784</v>
      </c>
      <c r="AK121" s="129">
        <f t="shared" si="108"/>
        <v>4.900784</v>
      </c>
      <c r="AL121" s="80">
        <f t="shared" si="109"/>
        <v>65</v>
      </c>
      <c r="AM121" s="80" t="str">
        <f t="shared" si="155"/>
        <v>31-90天</v>
      </c>
      <c r="AN121" s="81">
        <v>0.7</v>
      </c>
      <c r="AO121" s="80" t="s">
        <v>575</v>
      </c>
      <c r="AP121" s="130">
        <f t="shared" si="110"/>
        <v>3.4305488</v>
      </c>
      <c r="AQ121" s="95"/>
    </row>
    <row r="122" spans="1:43">
      <c r="A122" s="80">
        <v>202510</v>
      </c>
      <c r="B122" s="131">
        <v>45954</v>
      </c>
      <c r="C122" s="80" t="s">
        <v>613</v>
      </c>
      <c r="D122" s="80" t="str">
        <f t="shared" ref="D122:I122" si="174">D121</f>
        <v>M » N2 - 1</v>
      </c>
      <c r="E122" s="80" t="str">
        <f t="shared" si="174"/>
        <v>YCD-EX:HUPPER TEK</v>
      </c>
      <c r="F122" s="80" t="str">
        <f t="shared" si="174"/>
        <v>MI202508130012</v>
      </c>
      <c r="G122" s="80" t="str">
        <f t="shared" si="174"/>
        <v>DE2508031-G7-MIC</v>
      </c>
      <c r="H122" s="132">
        <f t="shared" si="174"/>
        <v>45889</v>
      </c>
      <c r="I122" s="133" t="str">
        <f t="shared" si="174"/>
        <v>B077RVYZRF</v>
      </c>
      <c r="J122" s="80"/>
      <c r="K122" s="134" t="str">
        <f t="shared" si="141"/>
        <v>德国联邦快递金属储物柜</v>
      </c>
      <c r="L122" s="80"/>
      <c r="M122" s="123">
        <f t="shared" si="142"/>
        <v>188</v>
      </c>
      <c r="N122" s="123">
        <f t="shared" si="143"/>
        <v>49</v>
      </c>
      <c r="O122" s="123">
        <f t="shared" si="144"/>
        <v>14</v>
      </c>
      <c r="P122" s="80">
        <f t="shared" si="104"/>
        <v>0.128968</v>
      </c>
      <c r="Q122" s="80"/>
      <c r="R122" s="123">
        <f t="shared" si="145"/>
        <v>188</v>
      </c>
      <c r="S122" s="123">
        <f t="shared" si="146"/>
        <v>49</v>
      </c>
      <c r="T122" s="123">
        <f t="shared" si="147"/>
        <v>14</v>
      </c>
      <c r="U122" s="80">
        <f t="shared" si="105"/>
        <v>0.128968</v>
      </c>
      <c r="V122" s="80"/>
      <c r="W122" s="80"/>
      <c r="X122" s="80"/>
      <c r="Y122" s="80"/>
      <c r="Z122" s="80"/>
      <c r="AA122" s="80">
        <f t="shared" si="148"/>
        <v>10</v>
      </c>
      <c r="AB122" s="80">
        <f t="shared" si="149"/>
        <v>117</v>
      </c>
      <c r="AC122" s="80">
        <f t="shared" si="150"/>
        <v>117</v>
      </c>
      <c r="AD122" s="80">
        <v>0</v>
      </c>
      <c r="AE122" s="126">
        <f t="shared" si="151"/>
        <v>38</v>
      </c>
      <c r="AF122" s="126"/>
      <c r="AG122" s="135"/>
      <c r="AH122" s="128">
        <f t="shared" si="106"/>
        <v>38</v>
      </c>
      <c r="AI122" s="80" t="s">
        <v>568</v>
      </c>
      <c r="AJ122" s="129">
        <f t="shared" si="107"/>
        <v>4.900784</v>
      </c>
      <c r="AK122" s="129">
        <f t="shared" si="108"/>
        <v>4.900784</v>
      </c>
      <c r="AL122" s="80">
        <f t="shared" si="109"/>
        <v>66</v>
      </c>
      <c r="AM122" s="80" t="str">
        <f t="shared" si="155"/>
        <v>31-90天</v>
      </c>
      <c r="AN122" s="81">
        <v>0.7</v>
      </c>
      <c r="AO122" s="80" t="s">
        <v>575</v>
      </c>
      <c r="AP122" s="130">
        <f t="shared" si="110"/>
        <v>3.4305488</v>
      </c>
      <c r="AQ122" s="95"/>
    </row>
    <row r="123" spans="1:43">
      <c r="A123" s="80">
        <v>202510</v>
      </c>
      <c r="B123" s="131">
        <v>45955</v>
      </c>
      <c r="C123" s="80" t="s">
        <v>613</v>
      </c>
      <c r="D123" s="80" t="str">
        <f t="shared" ref="D123:I123" si="175">D122</f>
        <v>M » N2 - 1</v>
      </c>
      <c r="E123" s="80" t="str">
        <f t="shared" si="175"/>
        <v>YCD-EX:HUPPER TEK</v>
      </c>
      <c r="F123" s="80" t="str">
        <f t="shared" si="175"/>
        <v>MI202508130012</v>
      </c>
      <c r="G123" s="80" t="str">
        <f t="shared" si="175"/>
        <v>DE2508031-G7-MIC</v>
      </c>
      <c r="H123" s="132">
        <f t="shared" si="175"/>
        <v>45889</v>
      </c>
      <c r="I123" s="133" t="str">
        <f t="shared" si="175"/>
        <v>B077RVYZRF</v>
      </c>
      <c r="J123" s="80"/>
      <c r="K123" s="134" t="str">
        <f t="shared" si="141"/>
        <v>德国联邦快递金属储物柜</v>
      </c>
      <c r="L123" s="80"/>
      <c r="M123" s="123">
        <f t="shared" si="142"/>
        <v>188</v>
      </c>
      <c r="N123" s="123">
        <f t="shared" si="143"/>
        <v>49</v>
      </c>
      <c r="O123" s="123">
        <f t="shared" si="144"/>
        <v>14</v>
      </c>
      <c r="P123" s="80">
        <f t="shared" si="104"/>
        <v>0.128968</v>
      </c>
      <c r="Q123" s="80"/>
      <c r="R123" s="123">
        <f t="shared" si="145"/>
        <v>188</v>
      </c>
      <c r="S123" s="123">
        <f t="shared" si="146"/>
        <v>49</v>
      </c>
      <c r="T123" s="123">
        <f t="shared" si="147"/>
        <v>14</v>
      </c>
      <c r="U123" s="80">
        <f t="shared" si="105"/>
        <v>0.128968</v>
      </c>
      <c r="V123" s="80"/>
      <c r="W123" s="80"/>
      <c r="X123" s="80"/>
      <c r="Y123" s="80"/>
      <c r="Z123" s="80"/>
      <c r="AA123" s="80">
        <f t="shared" si="148"/>
        <v>10</v>
      </c>
      <c r="AB123" s="80">
        <f t="shared" si="149"/>
        <v>117</v>
      </c>
      <c r="AC123" s="80">
        <f t="shared" si="150"/>
        <v>117</v>
      </c>
      <c r="AD123" s="80">
        <v>0</v>
      </c>
      <c r="AE123" s="126">
        <f t="shared" si="151"/>
        <v>38</v>
      </c>
      <c r="AF123" s="125"/>
      <c r="AG123" s="135"/>
      <c r="AH123" s="128">
        <f t="shared" si="106"/>
        <v>38</v>
      </c>
      <c r="AI123" s="80" t="s">
        <v>568</v>
      </c>
      <c r="AJ123" s="129">
        <f t="shared" si="107"/>
        <v>4.900784</v>
      </c>
      <c r="AK123" s="129">
        <f t="shared" si="108"/>
        <v>4.900784</v>
      </c>
      <c r="AL123" s="80">
        <f t="shared" si="109"/>
        <v>67</v>
      </c>
      <c r="AM123" s="80" t="str">
        <f t="shared" si="155"/>
        <v>31-90天</v>
      </c>
      <c r="AN123" s="81">
        <v>0.7</v>
      </c>
      <c r="AO123" s="80" t="s">
        <v>575</v>
      </c>
      <c r="AP123" s="130">
        <f t="shared" si="110"/>
        <v>3.4305488</v>
      </c>
      <c r="AQ123" s="95"/>
    </row>
    <row r="124" spans="1:43">
      <c r="A124" s="80">
        <v>202510</v>
      </c>
      <c r="B124" s="131">
        <v>45956</v>
      </c>
      <c r="C124" s="80" t="s">
        <v>613</v>
      </c>
      <c r="D124" s="80" t="str">
        <f t="shared" ref="D124:I124" si="176">D123</f>
        <v>M » N2 - 1</v>
      </c>
      <c r="E124" s="80" t="str">
        <f t="shared" si="176"/>
        <v>YCD-EX:HUPPER TEK</v>
      </c>
      <c r="F124" s="80" t="str">
        <f t="shared" si="176"/>
        <v>MI202508130012</v>
      </c>
      <c r="G124" s="80" t="str">
        <f t="shared" si="176"/>
        <v>DE2508031-G7-MIC</v>
      </c>
      <c r="H124" s="132">
        <f t="shared" si="176"/>
        <v>45889</v>
      </c>
      <c r="I124" s="133" t="str">
        <f t="shared" si="176"/>
        <v>B077RVYZRF</v>
      </c>
      <c r="J124" s="80"/>
      <c r="K124" s="134" t="str">
        <f t="shared" si="141"/>
        <v>德国联邦快递金属储物柜</v>
      </c>
      <c r="L124" s="80"/>
      <c r="M124" s="123">
        <f t="shared" si="142"/>
        <v>188</v>
      </c>
      <c r="N124" s="123">
        <f t="shared" si="143"/>
        <v>49</v>
      </c>
      <c r="O124" s="123">
        <f t="shared" si="144"/>
        <v>14</v>
      </c>
      <c r="P124" s="80">
        <f t="shared" si="104"/>
        <v>0.128968</v>
      </c>
      <c r="Q124" s="80"/>
      <c r="R124" s="123">
        <f t="shared" si="145"/>
        <v>188</v>
      </c>
      <c r="S124" s="123">
        <f t="shared" si="146"/>
        <v>49</v>
      </c>
      <c r="T124" s="123">
        <f t="shared" si="147"/>
        <v>14</v>
      </c>
      <c r="U124" s="80">
        <f t="shared" si="105"/>
        <v>0.128968</v>
      </c>
      <c r="V124" s="80"/>
      <c r="W124" s="80"/>
      <c r="X124" s="80"/>
      <c r="Y124" s="80"/>
      <c r="Z124" s="80"/>
      <c r="AA124" s="80">
        <f t="shared" si="148"/>
        <v>10</v>
      </c>
      <c r="AB124" s="80">
        <f t="shared" si="149"/>
        <v>117</v>
      </c>
      <c r="AC124" s="80">
        <f t="shared" si="150"/>
        <v>117</v>
      </c>
      <c r="AD124" s="80">
        <v>0</v>
      </c>
      <c r="AE124" s="126">
        <f t="shared" si="151"/>
        <v>38</v>
      </c>
      <c r="AF124" s="125"/>
      <c r="AG124" s="135"/>
      <c r="AH124" s="128">
        <f t="shared" si="106"/>
        <v>38</v>
      </c>
      <c r="AI124" s="80" t="s">
        <v>568</v>
      </c>
      <c r="AJ124" s="129">
        <f t="shared" si="107"/>
        <v>4.900784</v>
      </c>
      <c r="AK124" s="129">
        <f t="shared" si="108"/>
        <v>4.900784</v>
      </c>
      <c r="AL124" s="80">
        <f t="shared" si="109"/>
        <v>68</v>
      </c>
      <c r="AM124" s="80" t="str">
        <f t="shared" si="155"/>
        <v>31-90天</v>
      </c>
      <c r="AN124" s="81">
        <v>0.7</v>
      </c>
      <c r="AO124" s="80" t="s">
        <v>575</v>
      </c>
      <c r="AP124" s="130">
        <f t="shared" si="110"/>
        <v>3.4305488</v>
      </c>
      <c r="AQ124" s="95"/>
    </row>
    <row r="125" spans="1:43">
      <c r="A125" s="80">
        <v>202510</v>
      </c>
      <c r="B125" s="131">
        <v>45957</v>
      </c>
      <c r="C125" s="80" t="s">
        <v>613</v>
      </c>
      <c r="D125" s="80" t="str">
        <f t="shared" ref="D125:I125" si="177">D124</f>
        <v>M » N2 - 1</v>
      </c>
      <c r="E125" s="80" t="str">
        <f t="shared" si="177"/>
        <v>YCD-EX:HUPPER TEK</v>
      </c>
      <c r="F125" s="80" t="str">
        <f t="shared" si="177"/>
        <v>MI202508130012</v>
      </c>
      <c r="G125" s="80" t="str">
        <f t="shared" si="177"/>
        <v>DE2508031-G7-MIC</v>
      </c>
      <c r="H125" s="132">
        <f t="shared" si="177"/>
        <v>45889</v>
      </c>
      <c r="I125" s="133" t="str">
        <f t="shared" si="177"/>
        <v>B077RVYZRF</v>
      </c>
      <c r="J125" s="80"/>
      <c r="K125" s="134" t="str">
        <f t="shared" si="141"/>
        <v>德国联邦快递金属储物柜</v>
      </c>
      <c r="L125" s="80"/>
      <c r="M125" s="123">
        <f t="shared" si="142"/>
        <v>188</v>
      </c>
      <c r="N125" s="123">
        <f t="shared" si="143"/>
        <v>49</v>
      </c>
      <c r="O125" s="123">
        <f t="shared" si="144"/>
        <v>14</v>
      </c>
      <c r="P125" s="80">
        <f t="shared" si="104"/>
        <v>0.128968</v>
      </c>
      <c r="Q125" s="80"/>
      <c r="R125" s="123">
        <f t="shared" si="145"/>
        <v>188</v>
      </c>
      <c r="S125" s="123">
        <f t="shared" si="146"/>
        <v>49</v>
      </c>
      <c r="T125" s="123">
        <f t="shared" si="147"/>
        <v>14</v>
      </c>
      <c r="U125" s="80">
        <f t="shared" si="105"/>
        <v>0.128968</v>
      </c>
      <c r="V125" s="80"/>
      <c r="W125" s="80"/>
      <c r="X125" s="80"/>
      <c r="Y125" s="80"/>
      <c r="Z125" s="80"/>
      <c r="AA125" s="80">
        <f t="shared" si="148"/>
        <v>10</v>
      </c>
      <c r="AB125" s="80">
        <f t="shared" si="149"/>
        <v>117</v>
      </c>
      <c r="AC125" s="80">
        <f t="shared" si="150"/>
        <v>117</v>
      </c>
      <c r="AD125" s="80">
        <v>0</v>
      </c>
      <c r="AE125" s="126">
        <f t="shared" si="151"/>
        <v>38</v>
      </c>
      <c r="AF125" s="126"/>
      <c r="AG125" s="135"/>
      <c r="AH125" s="128">
        <f t="shared" si="106"/>
        <v>38</v>
      </c>
      <c r="AI125" s="80" t="s">
        <v>568</v>
      </c>
      <c r="AJ125" s="129">
        <f t="shared" si="107"/>
        <v>4.900784</v>
      </c>
      <c r="AK125" s="129">
        <f t="shared" si="108"/>
        <v>4.900784</v>
      </c>
      <c r="AL125" s="80">
        <f t="shared" si="109"/>
        <v>69</v>
      </c>
      <c r="AM125" s="80" t="str">
        <f t="shared" si="155"/>
        <v>31-90天</v>
      </c>
      <c r="AN125" s="81">
        <v>0.7</v>
      </c>
      <c r="AO125" s="80" t="s">
        <v>575</v>
      </c>
      <c r="AP125" s="130">
        <f t="shared" si="110"/>
        <v>3.4305488</v>
      </c>
      <c r="AQ125" s="95"/>
    </row>
    <row r="126" spans="1:43">
      <c r="A126" s="80">
        <v>202510</v>
      </c>
      <c r="B126" s="131">
        <v>45958</v>
      </c>
      <c r="C126" s="80" t="s">
        <v>613</v>
      </c>
      <c r="D126" s="80" t="str">
        <f t="shared" ref="D126:I126" si="178">D125</f>
        <v>M » N2 - 1</v>
      </c>
      <c r="E126" s="80" t="str">
        <f t="shared" si="178"/>
        <v>YCD-EX:HUPPER TEK</v>
      </c>
      <c r="F126" s="80" t="str">
        <f t="shared" si="178"/>
        <v>MI202508130012</v>
      </c>
      <c r="G126" s="80" t="str">
        <f t="shared" si="178"/>
        <v>DE2508031-G7-MIC</v>
      </c>
      <c r="H126" s="132">
        <f t="shared" si="178"/>
        <v>45889</v>
      </c>
      <c r="I126" s="133" t="str">
        <f t="shared" si="178"/>
        <v>B077RVYZRF</v>
      </c>
      <c r="J126" s="80"/>
      <c r="K126" s="134" t="str">
        <f t="shared" si="141"/>
        <v>德国联邦快递金属储物柜</v>
      </c>
      <c r="L126" s="80"/>
      <c r="M126" s="123">
        <f t="shared" si="142"/>
        <v>188</v>
      </c>
      <c r="N126" s="123">
        <f t="shared" si="143"/>
        <v>49</v>
      </c>
      <c r="O126" s="123">
        <f t="shared" si="144"/>
        <v>14</v>
      </c>
      <c r="P126" s="80">
        <f t="shared" si="104"/>
        <v>0.128968</v>
      </c>
      <c r="Q126" s="80"/>
      <c r="R126" s="123">
        <f t="shared" si="145"/>
        <v>188</v>
      </c>
      <c r="S126" s="123">
        <f t="shared" si="146"/>
        <v>49</v>
      </c>
      <c r="T126" s="123">
        <f t="shared" si="147"/>
        <v>14</v>
      </c>
      <c r="U126" s="80">
        <f t="shared" si="105"/>
        <v>0.128968</v>
      </c>
      <c r="V126" s="80"/>
      <c r="W126" s="80"/>
      <c r="X126" s="80"/>
      <c r="Y126" s="80"/>
      <c r="Z126" s="80"/>
      <c r="AA126" s="80">
        <f t="shared" si="148"/>
        <v>10</v>
      </c>
      <c r="AB126" s="80">
        <f t="shared" si="149"/>
        <v>117</v>
      </c>
      <c r="AC126" s="80">
        <f t="shared" si="150"/>
        <v>117</v>
      </c>
      <c r="AD126" s="80">
        <v>0</v>
      </c>
      <c r="AE126" s="126">
        <f t="shared" si="151"/>
        <v>38</v>
      </c>
      <c r="AF126" s="126"/>
      <c r="AG126" s="135"/>
      <c r="AH126" s="128">
        <f t="shared" si="106"/>
        <v>38</v>
      </c>
      <c r="AI126" s="80" t="s">
        <v>568</v>
      </c>
      <c r="AJ126" s="129">
        <f t="shared" si="107"/>
        <v>4.900784</v>
      </c>
      <c r="AK126" s="129">
        <f t="shared" si="108"/>
        <v>4.900784</v>
      </c>
      <c r="AL126" s="80">
        <f t="shared" si="109"/>
        <v>70</v>
      </c>
      <c r="AM126" s="80" t="str">
        <f t="shared" si="155"/>
        <v>31-90天</v>
      </c>
      <c r="AN126" s="81">
        <v>0.7</v>
      </c>
      <c r="AO126" s="80" t="s">
        <v>575</v>
      </c>
      <c r="AP126" s="130">
        <f t="shared" si="110"/>
        <v>3.4305488</v>
      </c>
      <c r="AQ126" s="95"/>
    </row>
    <row r="127" spans="1:43">
      <c r="A127" s="80">
        <v>202510</v>
      </c>
      <c r="B127" s="131">
        <v>45959</v>
      </c>
      <c r="C127" s="80" t="s">
        <v>613</v>
      </c>
      <c r="D127" s="80" t="str">
        <f t="shared" ref="D127:I127" si="179">D126</f>
        <v>M » N2 - 1</v>
      </c>
      <c r="E127" s="80" t="str">
        <f t="shared" si="179"/>
        <v>YCD-EX:HUPPER TEK</v>
      </c>
      <c r="F127" s="80" t="str">
        <f t="shared" si="179"/>
        <v>MI202508130012</v>
      </c>
      <c r="G127" s="80" t="str">
        <f t="shared" si="179"/>
        <v>DE2508031-G7-MIC</v>
      </c>
      <c r="H127" s="132">
        <f t="shared" si="179"/>
        <v>45889</v>
      </c>
      <c r="I127" s="133" t="str">
        <f t="shared" si="179"/>
        <v>B077RVYZRF</v>
      </c>
      <c r="J127" s="80"/>
      <c r="K127" s="134" t="str">
        <f t="shared" si="141"/>
        <v>德国联邦快递金属储物柜</v>
      </c>
      <c r="L127" s="80"/>
      <c r="M127" s="123">
        <f t="shared" si="142"/>
        <v>188</v>
      </c>
      <c r="N127" s="123">
        <f t="shared" si="143"/>
        <v>49</v>
      </c>
      <c r="O127" s="123">
        <f t="shared" si="144"/>
        <v>14</v>
      </c>
      <c r="P127" s="80">
        <f t="shared" si="104"/>
        <v>0.128968</v>
      </c>
      <c r="Q127" s="80"/>
      <c r="R127" s="123">
        <f t="shared" si="145"/>
        <v>188</v>
      </c>
      <c r="S127" s="123">
        <f t="shared" si="146"/>
        <v>49</v>
      </c>
      <c r="T127" s="123">
        <f t="shared" si="147"/>
        <v>14</v>
      </c>
      <c r="U127" s="80">
        <f t="shared" si="105"/>
        <v>0.128968</v>
      </c>
      <c r="V127" s="80"/>
      <c r="W127" s="80"/>
      <c r="X127" s="80"/>
      <c r="Y127" s="80"/>
      <c r="Z127" s="80"/>
      <c r="AA127" s="80">
        <f t="shared" si="148"/>
        <v>10</v>
      </c>
      <c r="AB127" s="80">
        <f t="shared" si="149"/>
        <v>117</v>
      </c>
      <c r="AC127" s="80">
        <f t="shared" si="150"/>
        <v>117</v>
      </c>
      <c r="AD127" s="80">
        <v>0</v>
      </c>
      <c r="AE127" s="126">
        <f t="shared" si="151"/>
        <v>38</v>
      </c>
      <c r="AF127" s="126"/>
      <c r="AG127" s="135"/>
      <c r="AH127" s="128">
        <f t="shared" si="106"/>
        <v>38</v>
      </c>
      <c r="AI127" s="80" t="s">
        <v>568</v>
      </c>
      <c r="AJ127" s="129">
        <f t="shared" si="107"/>
        <v>4.900784</v>
      </c>
      <c r="AK127" s="129">
        <f t="shared" si="108"/>
        <v>4.900784</v>
      </c>
      <c r="AL127" s="80">
        <f t="shared" si="109"/>
        <v>71</v>
      </c>
      <c r="AM127" s="80" t="str">
        <f t="shared" si="155"/>
        <v>31-90天</v>
      </c>
      <c r="AN127" s="81">
        <v>0.7</v>
      </c>
      <c r="AO127" s="80" t="s">
        <v>575</v>
      </c>
      <c r="AP127" s="130">
        <f t="shared" si="110"/>
        <v>3.4305488</v>
      </c>
      <c r="AQ127" s="95"/>
    </row>
    <row r="128" spans="1:43">
      <c r="A128" s="80">
        <v>202510</v>
      </c>
      <c r="B128" s="131">
        <v>45960</v>
      </c>
      <c r="C128" s="80" t="s">
        <v>613</v>
      </c>
      <c r="D128" s="80" t="str">
        <f t="shared" ref="D128:I128" si="180">D127</f>
        <v>M » N2 - 1</v>
      </c>
      <c r="E128" s="80" t="str">
        <f t="shared" si="180"/>
        <v>YCD-EX:HUPPER TEK</v>
      </c>
      <c r="F128" s="80" t="str">
        <f t="shared" si="180"/>
        <v>MI202508130012</v>
      </c>
      <c r="G128" s="80" t="str">
        <f t="shared" si="180"/>
        <v>DE2508031-G7-MIC</v>
      </c>
      <c r="H128" s="132">
        <f t="shared" si="180"/>
        <v>45889</v>
      </c>
      <c r="I128" s="133" t="str">
        <f t="shared" si="180"/>
        <v>B077RVYZRF</v>
      </c>
      <c r="J128" s="80"/>
      <c r="K128" s="134" t="str">
        <f t="shared" si="141"/>
        <v>德国联邦快递金属储物柜</v>
      </c>
      <c r="L128" s="80"/>
      <c r="M128" s="123">
        <f t="shared" si="142"/>
        <v>188</v>
      </c>
      <c r="N128" s="123">
        <f t="shared" si="143"/>
        <v>49</v>
      </c>
      <c r="O128" s="123">
        <f t="shared" si="144"/>
        <v>14</v>
      </c>
      <c r="P128" s="80">
        <f t="shared" si="104"/>
        <v>0.128968</v>
      </c>
      <c r="Q128" s="80"/>
      <c r="R128" s="123">
        <f t="shared" si="145"/>
        <v>188</v>
      </c>
      <c r="S128" s="123">
        <f t="shared" si="146"/>
        <v>49</v>
      </c>
      <c r="T128" s="123">
        <f t="shared" si="147"/>
        <v>14</v>
      </c>
      <c r="U128" s="80">
        <f t="shared" si="105"/>
        <v>0.128968</v>
      </c>
      <c r="V128" s="80"/>
      <c r="W128" s="80"/>
      <c r="X128" s="80"/>
      <c r="Y128" s="80"/>
      <c r="Z128" s="80"/>
      <c r="AA128" s="80">
        <f t="shared" si="148"/>
        <v>10</v>
      </c>
      <c r="AB128" s="80">
        <f t="shared" si="149"/>
        <v>117</v>
      </c>
      <c r="AC128" s="80">
        <f t="shared" si="150"/>
        <v>117</v>
      </c>
      <c r="AD128" s="80">
        <v>0</v>
      </c>
      <c r="AE128" s="126">
        <f t="shared" si="151"/>
        <v>38</v>
      </c>
      <c r="AF128" s="126"/>
      <c r="AG128" s="135"/>
      <c r="AH128" s="128">
        <f t="shared" si="106"/>
        <v>38</v>
      </c>
      <c r="AI128" s="80" t="s">
        <v>568</v>
      </c>
      <c r="AJ128" s="129">
        <f t="shared" si="107"/>
        <v>4.900784</v>
      </c>
      <c r="AK128" s="129">
        <f t="shared" si="108"/>
        <v>4.900784</v>
      </c>
      <c r="AL128" s="80">
        <f t="shared" si="109"/>
        <v>72</v>
      </c>
      <c r="AM128" s="80" t="str">
        <f t="shared" si="155"/>
        <v>31-90天</v>
      </c>
      <c r="AN128" s="81">
        <v>0.7</v>
      </c>
      <c r="AO128" s="80" t="s">
        <v>575</v>
      </c>
      <c r="AP128" s="130">
        <f t="shared" si="110"/>
        <v>3.4305488</v>
      </c>
      <c r="AQ128" s="95"/>
    </row>
    <row r="129" spans="1:43">
      <c r="A129" s="80">
        <v>202510</v>
      </c>
      <c r="B129" s="131">
        <v>45961</v>
      </c>
      <c r="C129" s="80" t="s">
        <v>613</v>
      </c>
      <c r="D129" s="80" t="str">
        <f t="shared" ref="D129:I129" si="181">D128</f>
        <v>M » N2 - 1</v>
      </c>
      <c r="E129" s="80" t="str">
        <f t="shared" si="181"/>
        <v>YCD-EX:HUPPER TEK</v>
      </c>
      <c r="F129" s="80" t="str">
        <f t="shared" si="181"/>
        <v>MI202508130012</v>
      </c>
      <c r="G129" s="80" t="str">
        <f t="shared" si="181"/>
        <v>DE2508031-G7-MIC</v>
      </c>
      <c r="H129" s="132">
        <f t="shared" si="181"/>
        <v>45889</v>
      </c>
      <c r="I129" s="133" t="str">
        <f t="shared" si="181"/>
        <v>B077RVYZRF</v>
      </c>
      <c r="J129" s="80"/>
      <c r="K129" s="134" t="str">
        <f t="shared" si="141"/>
        <v>德国联邦快递金属储物柜</v>
      </c>
      <c r="L129" s="80"/>
      <c r="M129" s="123">
        <f t="shared" si="142"/>
        <v>188</v>
      </c>
      <c r="N129" s="123">
        <f t="shared" si="143"/>
        <v>49</v>
      </c>
      <c r="O129" s="123">
        <f t="shared" si="144"/>
        <v>14</v>
      </c>
      <c r="P129" s="80">
        <f t="shared" si="104"/>
        <v>0.128968</v>
      </c>
      <c r="Q129" s="80"/>
      <c r="R129" s="123">
        <f t="shared" si="145"/>
        <v>188</v>
      </c>
      <c r="S129" s="123">
        <f t="shared" si="146"/>
        <v>49</v>
      </c>
      <c r="T129" s="123">
        <f t="shared" si="147"/>
        <v>14</v>
      </c>
      <c r="U129" s="80">
        <f t="shared" si="105"/>
        <v>0.128968</v>
      </c>
      <c r="V129" s="80"/>
      <c r="W129" s="80"/>
      <c r="X129" s="80"/>
      <c r="Y129" s="80"/>
      <c r="Z129" s="80"/>
      <c r="AA129" s="80">
        <f t="shared" si="148"/>
        <v>10</v>
      </c>
      <c r="AB129" s="80">
        <f t="shared" si="149"/>
        <v>117</v>
      </c>
      <c r="AC129" s="80">
        <f t="shared" si="150"/>
        <v>117</v>
      </c>
      <c r="AD129" s="80">
        <v>0</v>
      </c>
      <c r="AE129" s="126">
        <f t="shared" si="151"/>
        <v>38</v>
      </c>
      <c r="AF129" s="125"/>
      <c r="AG129" s="135">
        <v>3</v>
      </c>
      <c r="AH129" s="137">
        <f t="shared" si="106"/>
        <v>35</v>
      </c>
      <c r="AI129" s="80" t="s">
        <v>568</v>
      </c>
      <c r="AJ129" s="129">
        <f t="shared" si="107"/>
        <v>4.51388</v>
      </c>
      <c r="AK129" s="129">
        <f t="shared" si="108"/>
        <v>4.51388</v>
      </c>
      <c r="AL129" s="80">
        <f t="shared" si="109"/>
        <v>73</v>
      </c>
      <c r="AM129" s="80" t="str">
        <f t="shared" si="155"/>
        <v>31-90天</v>
      </c>
      <c r="AN129" s="81">
        <v>0.7</v>
      </c>
      <c r="AO129" s="80" t="s">
        <v>575</v>
      </c>
      <c r="AP129" s="130">
        <f t="shared" si="110"/>
        <v>3.159716</v>
      </c>
      <c r="AQ129" s="95"/>
    </row>
    <row r="130" spans="1:43">
      <c r="A130" s="80">
        <v>202510</v>
      </c>
      <c r="B130" s="120">
        <v>45931</v>
      </c>
      <c r="C130" s="80" t="s">
        <v>613</v>
      </c>
      <c r="D130" s="10" t="s">
        <v>101</v>
      </c>
      <c r="E130" s="10" t="s">
        <v>97</v>
      </c>
      <c r="F130" s="10" t="s">
        <v>93</v>
      </c>
      <c r="G130" s="10" t="s">
        <v>616</v>
      </c>
      <c r="H130" s="121">
        <v>45960</v>
      </c>
      <c r="I130" s="10" t="s">
        <v>99</v>
      </c>
      <c r="J130" s="10"/>
      <c r="K130" s="122" t="str">
        <f>VLOOKUP(I130,物品明细!A:B,2,0)</f>
        <v>白板</v>
      </c>
      <c r="L130" s="80"/>
      <c r="M130" s="123">
        <f>VLOOKUP(I130,物品明细!A:E,5,0)</f>
        <v>133</v>
      </c>
      <c r="N130" s="123">
        <f>VLOOKUP(I130,物品明细!A:F,6,0)</f>
        <v>87</v>
      </c>
      <c r="O130" s="123">
        <f>VLOOKUP(I130,物品明细!A:G,7,0)</f>
        <v>8</v>
      </c>
      <c r="P130" s="80">
        <f t="shared" si="104"/>
        <v>0.092568</v>
      </c>
      <c r="Q130" s="80"/>
      <c r="R130" s="123">
        <f>VLOOKUP(I130,物品明细!A:E,5,0)</f>
        <v>133</v>
      </c>
      <c r="S130" s="123">
        <f>VLOOKUP(I130,物品明细!A:F,6,0)</f>
        <v>87</v>
      </c>
      <c r="T130" s="123">
        <f>VLOOKUP(I130,物品明细!A:G,7,0)</f>
        <v>8</v>
      </c>
      <c r="U130" s="80">
        <f t="shared" si="105"/>
        <v>0.092568</v>
      </c>
      <c r="V130" s="80"/>
      <c r="W130" s="80"/>
      <c r="X130" s="80"/>
      <c r="Y130" s="80"/>
      <c r="Z130" s="80"/>
      <c r="AA130" s="124">
        <v>5</v>
      </c>
      <c r="AB130" s="124">
        <v>87</v>
      </c>
      <c r="AC130" s="124">
        <v>87</v>
      </c>
      <c r="AD130" s="80">
        <v>0</v>
      </c>
      <c r="AE130" s="125">
        <v>0</v>
      </c>
      <c r="AF130" s="126"/>
      <c r="AG130" s="135"/>
      <c r="AH130" s="128">
        <f t="shared" si="106"/>
        <v>0</v>
      </c>
      <c r="AI130" s="80" t="s">
        <v>568</v>
      </c>
      <c r="AJ130" s="129">
        <f t="shared" si="107"/>
        <v>0</v>
      </c>
      <c r="AK130" s="129">
        <f t="shared" si="108"/>
        <v>0</v>
      </c>
      <c r="AL130" s="80">
        <f t="shared" si="109"/>
        <v>-28</v>
      </c>
      <c r="AM130" s="80" t="str">
        <f t="shared" si="155"/>
        <v>30天内</v>
      </c>
      <c r="AN130" s="81">
        <f>IF(AM130="30天内",0,IF(AM130="31-90天",0.6,1))</f>
        <v>0</v>
      </c>
      <c r="AO130" s="80" t="s">
        <v>575</v>
      </c>
      <c r="AP130" s="130">
        <f t="shared" si="110"/>
        <v>0</v>
      </c>
      <c r="AQ130" s="95"/>
    </row>
    <row r="131" spans="1:43">
      <c r="A131" s="80">
        <v>202510</v>
      </c>
      <c r="B131" s="131">
        <v>45932</v>
      </c>
      <c r="C131" s="80" t="s">
        <v>613</v>
      </c>
      <c r="D131" s="3" t="str">
        <f t="shared" ref="D131:I131" si="182">D130</f>
        <v>M » Vir1</v>
      </c>
      <c r="E131" s="80" t="str">
        <f t="shared" si="182"/>
        <v>YCD-EX:HUPPER TEK</v>
      </c>
      <c r="F131" s="80" t="str">
        <f t="shared" si="182"/>
        <v>MI202510300003</v>
      </c>
      <c r="G131" s="80" t="str">
        <f t="shared" si="182"/>
        <v>DE2508031-G7-MIC</v>
      </c>
      <c r="H131" s="132">
        <f t="shared" si="182"/>
        <v>45960</v>
      </c>
      <c r="I131" s="133" t="str">
        <f t="shared" si="182"/>
        <v>ABM0009-B07GSF11XX</v>
      </c>
      <c r="J131" s="80"/>
      <c r="K131" s="134" t="str">
        <f t="shared" ref="K131:O131" si="183">K130</f>
        <v>白板</v>
      </c>
      <c r="L131" s="80"/>
      <c r="M131" s="123">
        <f t="shared" si="183"/>
        <v>133</v>
      </c>
      <c r="N131" s="123">
        <f t="shared" si="183"/>
        <v>87</v>
      </c>
      <c r="O131" s="123">
        <f t="shared" si="183"/>
        <v>8</v>
      </c>
      <c r="P131" s="80">
        <f t="shared" si="104"/>
        <v>0.092568</v>
      </c>
      <c r="Q131" s="80"/>
      <c r="R131" s="123">
        <f t="shared" ref="R131:T131" si="184">R130</f>
        <v>133</v>
      </c>
      <c r="S131" s="123">
        <f t="shared" si="184"/>
        <v>87</v>
      </c>
      <c r="T131" s="123">
        <f t="shared" si="184"/>
        <v>8</v>
      </c>
      <c r="U131" s="80">
        <f t="shared" si="105"/>
        <v>0.092568</v>
      </c>
      <c r="V131" s="80"/>
      <c r="W131" s="80"/>
      <c r="X131" s="80"/>
      <c r="Y131" s="80"/>
      <c r="Z131" s="80"/>
      <c r="AA131" s="80">
        <f t="shared" ref="AA131:AC131" si="185">AA130</f>
        <v>5</v>
      </c>
      <c r="AB131" s="80">
        <f t="shared" si="185"/>
        <v>87</v>
      </c>
      <c r="AC131" s="80">
        <f t="shared" si="185"/>
        <v>87</v>
      </c>
      <c r="AD131" s="80">
        <v>0</v>
      </c>
      <c r="AE131" s="126">
        <f t="shared" ref="AE131:AE160" si="186">AH130</f>
        <v>0</v>
      </c>
      <c r="AF131" s="126"/>
      <c r="AG131" s="135"/>
      <c r="AH131" s="128">
        <f t="shared" si="106"/>
        <v>0</v>
      </c>
      <c r="AI131" s="80" t="s">
        <v>568</v>
      </c>
      <c r="AJ131" s="129">
        <f t="shared" si="107"/>
        <v>0</v>
      </c>
      <c r="AK131" s="129">
        <f t="shared" si="108"/>
        <v>0</v>
      </c>
      <c r="AL131" s="80">
        <f t="shared" si="109"/>
        <v>-27</v>
      </c>
      <c r="AM131" s="80" t="str">
        <f t="shared" si="155"/>
        <v>30天内</v>
      </c>
      <c r="AN131" s="81">
        <f>IF(AM131="30天内",0,IF(AM131="31-90天",0.6,1))</f>
        <v>0</v>
      </c>
      <c r="AO131" s="80" t="s">
        <v>575</v>
      </c>
      <c r="AP131" s="130">
        <f t="shared" si="110"/>
        <v>0</v>
      </c>
      <c r="AQ131" s="95"/>
    </row>
    <row r="132" spans="1:43">
      <c r="A132" s="80">
        <v>202510</v>
      </c>
      <c r="B132" s="131">
        <v>45933</v>
      </c>
      <c r="C132" s="80" t="s">
        <v>613</v>
      </c>
      <c r="D132" s="80" t="str">
        <f t="shared" ref="D132:I132" si="187">D131</f>
        <v>M » Vir1</v>
      </c>
      <c r="E132" s="80" t="str">
        <f t="shared" si="187"/>
        <v>YCD-EX:HUPPER TEK</v>
      </c>
      <c r="F132" s="80" t="str">
        <f t="shared" si="187"/>
        <v>MI202510300003</v>
      </c>
      <c r="G132" s="80" t="str">
        <f t="shared" si="187"/>
        <v>DE2508031-G7-MIC</v>
      </c>
      <c r="H132" s="132">
        <f t="shared" si="187"/>
        <v>45960</v>
      </c>
      <c r="I132" s="133" t="str">
        <f t="shared" si="187"/>
        <v>ABM0009-B07GSF11XX</v>
      </c>
      <c r="J132" s="80"/>
      <c r="K132" s="134" t="str">
        <f t="shared" ref="K132:O132" si="188">K131</f>
        <v>白板</v>
      </c>
      <c r="L132" s="80"/>
      <c r="M132" s="123">
        <f t="shared" si="188"/>
        <v>133</v>
      </c>
      <c r="N132" s="123">
        <f t="shared" si="188"/>
        <v>87</v>
      </c>
      <c r="O132" s="123">
        <f t="shared" si="188"/>
        <v>8</v>
      </c>
      <c r="P132" s="80">
        <f t="shared" si="104"/>
        <v>0.092568</v>
      </c>
      <c r="Q132" s="80"/>
      <c r="R132" s="123">
        <f t="shared" ref="R132:T132" si="189">R131</f>
        <v>133</v>
      </c>
      <c r="S132" s="123">
        <f t="shared" si="189"/>
        <v>87</v>
      </c>
      <c r="T132" s="123">
        <f t="shared" si="189"/>
        <v>8</v>
      </c>
      <c r="U132" s="80">
        <f t="shared" si="105"/>
        <v>0.092568</v>
      </c>
      <c r="V132" s="80"/>
      <c r="W132" s="80"/>
      <c r="X132" s="80"/>
      <c r="Y132" s="80"/>
      <c r="Z132" s="80"/>
      <c r="AA132" s="80">
        <f t="shared" ref="AA132:AC132" si="190">AA131</f>
        <v>5</v>
      </c>
      <c r="AB132" s="80">
        <f t="shared" si="190"/>
        <v>87</v>
      </c>
      <c r="AC132" s="80">
        <f t="shared" si="190"/>
        <v>87</v>
      </c>
      <c r="AD132" s="80">
        <v>0</v>
      </c>
      <c r="AE132" s="126">
        <f t="shared" si="186"/>
        <v>0</v>
      </c>
      <c r="AF132" s="126"/>
      <c r="AG132" s="135"/>
      <c r="AH132" s="128">
        <f t="shared" si="106"/>
        <v>0</v>
      </c>
      <c r="AI132" s="80" t="s">
        <v>568</v>
      </c>
      <c r="AJ132" s="129">
        <f t="shared" si="107"/>
        <v>0</v>
      </c>
      <c r="AK132" s="129">
        <f t="shared" si="108"/>
        <v>0</v>
      </c>
      <c r="AL132" s="80">
        <f t="shared" si="109"/>
        <v>-26</v>
      </c>
      <c r="AM132" s="80" t="str">
        <f t="shared" si="155"/>
        <v>30天内</v>
      </c>
      <c r="AN132" s="81">
        <f>IF(AM132="30天内",0,IF(AM132="31-90天",0.6,1))</f>
        <v>0</v>
      </c>
      <c r="AO132" s="80" t="s">
        <v>575</v>
      </c>
      <c r="AP132" s="130">
        <f t="shared" si="110"/>
        <v>0</v>
      </c>
      <c r="AQ132" s="95"/>
    </row>
    <row r="133" spans="1:43">
      <c r="A133" s="80">
        <v>202510</v>
      </c>
      <c r="B133" s="131">
        <v>45934</v>
      </c>
      <c r="C133" s="80" t="s">
        <v>613</v>
      </c>
      <c r="D133" s="80" t="str">
        <f t="shared" ref="D133:I133" si="191">D132</f>
        <v>M » Vir1</v>
      </c>
      <c r="E133" s="80" t="str">
        <f t="shared" si="191"/>
        <v>YCD-EX:HUPPER TEK</v>
      </c>
      <c r="F133" s="80" t="str">
        <f t="shared" si="191"/>
        <v>MI202510300003</v>
      </c>
      <c r="G133" s="80" t="str">
        <f t="shared" si="191"/>
        <v>DE2508031-G7-MIC</v>
      </c>
      <c r="H133" s="132">
        <f t="shared" si="191"/>
        <v>45960</v>
      </c>
      <c r="I133" s="133" t="str">
        <f t="shared" si="191"/>
        <v>ABM0009-B07GSF11XX</v>
      </c>
      <c r="J133" s="80"/>
      <c r="K133" s="134" t="str">
        <f t="shared" ref="K133:O133" si="192">K132</f>
        <v>白板</v>
      </c>
      <c r="L133" s="80"/>
      <c r="M133" s="123">
        <f t="shared" si="192"/>
        <v>133</v>
      </c>
      <c r="N133" s="123">
        <f t="shared" si="192"/>
        <v>87</v>
      </c>
      <c r="O133" s="123">
        <f t="shared" si="192"/>
        <v>8</v>
      </c>
      <c r="P133" s="80">
        <f t="shared" si="104"/>
        <v>0.092568</v>
      </c>
      <c r="Q133" s="80"/>
      <c r="R133" s="123">
        <f t="shared" ref="R133:T133" si="193">R132</f>
        <v>133</v>
      </c>
      <c r="S133" s="123">
        <f t="shared" si="193"/>
        <v>87</v>
      </c>
      <c r="T133" s="123">
        <f t="shared" si="193"/>
        <v>8</v>
      </c>
      <c r="U133" s="80">
        <f t="shared" si="105"/>
        <v>0.092568</v>
      </c>
      <c r="V133" s="80"/>
      <c r="W133" s="80"/>
      <c r="X133" s="80"/>
      <c r="Y133" s="80"/>
      <c r="Z133" s="80"/>
      <c r="AA133" s="80">
        <f t="shared" ref="AA133:AC133" si="194">AA132</f>
        <v>5</v>
      </c>
      <c r="AB133" s="80">
        <f t="shared" si="194"/>
        <v>87</v>
      </c>
      <c r="AC133" s="80">
        <f t="shared" si="194"/>
        <v>87</v>
      </c>
      <c r="AD133" s="80">
        <v>0</v>
      </c>
      <c r="AE133" s="126">
        <f t="shared" si="186"/>
        <v>0</v>
      </c>
      <c r="AF133" s="126"/>
      <c r="AG133" s="135"/>
      <c r="AH133" s="128">
        <f t="shared" si="106"/>
        <v>0</v>
      </c>
      <c r="AI133" s="80" t="s">
        <v>568</v>
      </c>
      <c r="AJ133" s="129">
        <f t="shared" si="107"/>
        <v>0</v>
      </c>
      <c r="AK133" s="129">
        <f t="shared" si="108"/>
        <v>0</v>
      </c>
      <c r="AL133" s="80">
        <f t="shared" si="109"/>
        <v>-25</v>
      </c>
      <c r="AM133" s="80" t="str">
        <f t="shared" si="155"/>
        <v>30天内</v>
      </c>
      <c r="AN133" s="81">
        <f>IF(AM133="30天内",0,IF(AM133="31-90天",0.6,1))</f>
        <v>0</v>
      </c>
      <c r="AO133" s="80" t="s">
        <v>575</v>
      </c>
      <c r="AP133" s="130">
        <f t="shared" si="110"/>
        <v>0</v>
      </c>
      <c r="AQ133" s="95"/>
    </row>
    <row r="134" spans="1:43">
      <c r="A134" s="80">
        <v>202510</v>
      </c>
      <c r="B134" s="131">
        <v>45935</v>
      </c>
      <c r="C134" s="80" t="s">
        <v>613</v>
      </c>
      <c r="D134" s="80" t="str">
        <f t="shared" ref="D134:I134" si="195">D133</f>
        <v>M » Vir1</v>
      </c>
      <c r="E134" s="80" t="str">
        <f t="shared" si="195"/>
        <v>YCD-EX:HUPPER TEK</v>
      </c>
      <c r="F134" s="80" t="str">
        <f t="shared" si="195"/>
        <v>MI202510300003</v>
      </c>
      <c r="G134" s="80" t="str">
        <f t="shared" si="195"/>
        <v>DE2508031-G7-MIC</v>
      </c>
      <c r="H134" s="132">
        <f t="shared" si="195"/>
        <v>45960</v>
      </c>
      <c r="I134" s="133" t="str">
        <f t="shared" si="195"/>
        <v>ABM0009-B07GSF11XX</v>
      </c>
      <c r="J134" s="136"/>
      <c r="K134" s="134" t="str">
        <f t="shared" ref="K134:O134" si="196">K133</f>
        <v>白板</v>
      </c>
      <c r="L134" s="80"/>
      <c r="M134" s="123">
        <f t="shared" si="196"/>
        <v>133</v>
      </c>
      <c r="N134" s="123">
        <f t="shared" si="196"/>
        <v>87</v>
      </c>
      <c r="O134" s="123">
        <f t="shared" si="196"/>
        <v>8</v>
      </c>
      <c r="P134" s="80">
        <f t="shared" ref="P134:P160" si="197">M134*N134*O134/1000000</f>
        <v>0.092568</v>
      </c>
      <c r="Q134" s="80"/>
      <c r="R134" s="123">
        <f t="shared" ref="R134:T134" si="198">R133</f>
        <v>133</v>
      </c>
      <c r="S134" s="123">
        <f t="shared" si="198"/>
        <v>87</v>
      </c>
      <c r="T134" s="123">
        <f t="shared" si="198"/>
        <v>8</v>
      </c>
      <c r="U134" s="80">
        <f t="shared" ref="U134:U160" si="199">R134*S134*T134/1000000</f>
        <v>0.092568</v>
      </c>
      <c r="V134" s="80"/>
      <c r="W134" s="80"/>
      <c r="X134" s="80"/>
      <c r="Y134" s="80"/>
      <c r="Z134" s="80"/>
      <c r="AA134" s="80">
        <f t="shared" ref="AA134:AC134" si="200">AA133</f>
        <v>5</v>
      </c>
      <c r="AB134" s="80">
        <f t="shared" si="200"/>
        <v>87</v>
      </c>
      <c r="AC134" s="80">
        <f t="shared" si="200"/>
        <v>87</v>
      </c>
      <c r="AD134" s="80">
        <v>0</v>
      </c>
      <c r="AE134" s="126">
        <f t="shared" si="186"/>
        <v>0</v>
      </c>
      <c r="AF134" s="126"/>
      <c r="AG134" s="135"/>
      <c r="AH134" s="128">
        <f t="shared" ref="AH134:AH160" si="201">AE134+AF134-AG134</f>
        <v>0</v>
      </c>
      <c r="AI134" s="80" t="s">
        <v>568</v>
      </c>
      <c r="AJ134" s="129">
        <f t="shared" ref="AJ134:AJ160" si="202">AH134*P134</f>
        <v>0</v>
      </c>
      <c r="AK134" s="129">
        <f t="shared" ref="AK134:AK160" si="203">AJ134</f>
        <v>0</v>
      </c>
      <c r="AL134" s="80">
        <f t="shared" ref="AL134:AL160" si="204">B134-H134+1</f>
        <v>-24</v>
      </c>
      <c r="AM134" s="80" t="str">
        <f t="shared" si="155"/>
        <v>30天内</v>
      </c>
      <c r="AN134" s="81">
        <f>IF(AM134="30天内",0,IF(AM134="31-90天",0.6,1))</f>
        <v>0</v>
      </c>
      <c r="AO134" s="80" t="s">
        <v>575</v>
      </c>
      <c r="AP134" s="130">
        <f t="shared" ref="AP134:AP160" si="205">AK134*AN134</f>
        <v>0</v>
      </c>
      <c r="AQ134" s="95"/>
    </row>
    <row r="135" spans="1:43">
      <c r="A135" s="80">
        <v>202510</v>
      </c>
      <c r="B135" s="131">
        <v>45936</v>
      </c>
      <c r="C135" s="80" t="s">
        <v>613</v>
      </c>
      <c r="D135" s="80" t="str">
        <f t="shared" ref="D135:I135" si="206">D134</f>
        <v>M » Vir1</v>
      </c>
      <c r="E135" s="80" t="str">
        <f t="shared" si="206"/>
        <v>YCD-EX:HUPPER TEK</v>
      </c>
      <c r="F135" s="80" t="str">
        <f t="shared" si="206"/>
        <v>MI202510300003</v>
      </c>
      <c r="G135" s="80" t="str">
        <f t="shared" si="206"/>
        <v>DE2508031-G7-MIC</v>
      </c>
      <c r="H135" s="132">
        <f t="shared" si="206"/>
        <v>45960</v>
      </c>
      <c r="I135" s="133" t="str">
        <f t="shared" si="206"/>
        <v>ABM0009-B07GSF11XX</v>
      </c>
      <c r="J135" s="80"/>
      <c r="K135" s="134" t="str">
        <f t="shared" ref="K135:O135" si="207">K134</f>
        <v>白板</v>
      </c>
      <c r="L135" s="80"/>
      <c r="M135" s="123">
        <f t="shared" si="207"/>
        <v>133</v>
      </c>
      <c r="N135" s="123">
        <f t="shared" si="207"/>
        <v>87</v>
      </c>
      <c r="O135" s="123">
        <f t="shared" si="207"/>
        <v>8</v>
      </c>
      <c r="P135" s="80">
        <f t="shared" si="197"/>
        <v>0.092568</v>
      </c>
      <c r="Q135" s="80"/>
      <c r="R135" s="123">
        <f t="shared" ref="R135:T135" si="208">R134</f>
        <v>133</v>
      </c>
      <c r="S135" s="123">
        <f t="shared" si="208"/>
        <v>87</v>
      </c>
      <c r="T135" s="123">
        <f t="shared" si="208"/>
        <v>8</v>
      </c>
      <c r="U135" s="80">
        <f t="shared" si="199"/>
        <v>0.092568</v>
      </c>
      <c r="V135" s="80"/>
      <c r="W135" s="80"/>
      <c r="X135" s="80"/>
      <c r="Y135" s="80"/>
      <c r="Z135" s="80"/>
      <c r="AA135" s="80">
        <f t="shared" ref="AA135:AC135" si="209">AA134</f>
        <v>5</v>
      </c>
      <c r="AB135" s="80">
        <f t="shared" si="209"/>
        <v>87</v>
      </c>
      <c r="AC135" s="80">
        <f t="shared" si="209"/>
        <v>87</v>
      </c>
      <c r="AD135" s="80">
        <v>0</v>
      </c>
      <c r="AE135" s="126">
        <f t="shared" si="186"/>
        <v>0</v>
      </c>
      <c r="AF135" s="126"/>
      <c r="AG135" s="135"/>
      <c r="AH135" s="128">
        <f t="shared" si="201"/>
        <v>0</v>
      </c>
      <c r="AI135" s="80" t="s">
        <v>568</v>
      </c>
      <c r="AJ135" s="129">
        <f t="shared" si="202"/>
        <v>0</v>
      </c>
      <c r="AK135" s="129">
        <f t="shared" si="203"/>
        <v>0</v>
      </c>
      <c r="AL135" s="80">
        <f t="shared" si="204"/>
        <v>-23</v>
      </c>
      <c r="AM135" s="80" t="str">
        <f t="shared" ref="AM135:AM160" si="210">IF(AL135&lt;=30,"30天内",IF(AL135&lt;=90,"31-90天","91天以上"))</f>
        <v>30天内</v>
      </c>
      <c r="AN135" s="81">
        <f t="shared" ref="AN135:AN160" si="211">IF(AM135="30天内",0,IF(AM135="31-90天",0.6,1))</f>
        <v>0</v>
      </c>
      <c r="AO135" s="80" t="s">
        <v>575</v>
      </c>
      <c r="AP135" s="130">
        <f t="shared" si="205"/>
        <v>0</v>
      </c>
      <c r="AQ135" s="95"/>
    </row>
    <row r="136" spans="1:43">
      <c r="A136" s="80">
        <v>202510</v>
      </c>
      <c r="B136" s="131">
        <v>45937</v>
      </c>
      <c r="C136" s="80" t="s">
        <v>613</v>
      </c>
      <c r="D136" s="80" t="str">
        <f t="shared" ref="D136:I136" si="212">D135</f>
        <v>M » Vir1</v>
      </c>
      <c r="E136" s="80" t="str">
        <f t="shared" si="212"/>
        <v>YCD-EX:HUPPER TEK</v>
      </c>
      <c r="F136" s="80" t="str">
        <f t="shared" si="212"/>
        <v>MI202510300003</v>
      </c>
      <c r="G136" s="80" t="str">
        <f t="shared" si="212"/>
        <v>DE2508031-G7-MIC</v>
      </c>
      <c r="H136" s="132">
        <f t="shared" si="212"/>
        <v>45960</v>
      </c>
      <c r="I136" s="133" t="str">
        <f t="shared" si="212"/>
        <v>ABM0009-B07GSF11XX</v>
      </c>
      <c r="J136" s="80"/>
      <c r="K136" s="134" t="str">
        <f t="shared" ref="K136:O136" si="213">K135</f>
        <v>白板</v>
      </c>
      <c r="L136" s="80"/>
      <c r="M136" s="123">
        <f t="shared" si="213"/>
        <v>133</v>
      </c>
      <c r="N136" s="123">
        <f t="shared" si="213"/>
        <v>87</v>
      </c>
      <c r="O136" s="123">
        <f t="shared" si="213"/>
        <v>8</v>
      </c>
      <c r="P136" s="80">
        <f t="shared" si="197"/>
        <v>0.092568</v>
      </c>
      <c r="Q136" s="80"/>
      <c r="R136" s="123">
        <f t="shared" ref="R136:T136" si="214">R135</f>
        <v>133</v>
      </c>
      <c r="S136" s="123">
        <f t="shared" si="214"/>
        <v>87</v>
      </c>
      <c r="T136" s="123">
        <f t="shared" si="214"/>
        <v>8</v>
      </c>
      <c r="U136" s="80">
        <f t="shared" si="199"/>
        <v>0.092568</v>
      </c>
      <c r="V136" s="80"/>
      <c r="W136" s="80"/>
      <c r="X136" s="80"/>
      <c r="Y136" s="80"/>
      <c r="Z136" s="80"/>
      <c r="AA136" s="80">
        <f t="shared" ref="AA136:AC136" si="215">AA135</f>
        <v>5</v>
      </c>
      <c r="AB136" s="80">
        <f t="shared" si="215"/>
        <v>87</v>
      </c>
      <c r="AC136" s="80">
        <f t="shared" si="215"/>
        <v>87</v>
      </c>
      <c r="AD136" s="80">
        <v>0</v>
      </c>
      <c r="AE136" s="126">
        <f t="shared" si="186"/>
        <v>0</v>
      </c>
      <c r="AF136" s="126"/>
      <c r="AG136" s="135"/>
      <c r="AH136" s="128">
        <f t="shared" si="201"/>
        <v>0</v>
      </c>
      <c r="AI136" s="80" t="s">
        <v>568</v>
      </c>
      <c r="AJ136" s="129">
        <f t="shared" si="202"/>
        <v>0</v>
      </c>
      <c r="AK136" s="129">
        <f t="shared" si="203"/>
        <v>0</v>
      </c>
      <c r="AL136" s="80">
        <f t="shared" si="204"/>
        <v>-22</v>
      </c>
      <c r="AM136" s="80" t="str">
        <f t="shared" si="210"/>
        <v>30天内</v>
      </c>
      <c r="AN136" s="81">
        <f t="shared" si="211"/>
        <v>0</v>
      </c>
      <c r="AO136" s="80" t="s">
        <v>575</v>
      </c>
      <c r="AP136" s="130">
        <f t="shared" si="205"/>
        <v>0</v>
      </c>
      <c r="AQ136" s="95"/>
    </row>
    <row r="137" spans="1:43">
      <c r="A137" s="80">
        <v>202510</v>
      </c>
      <c r="B137" s="131">
        <v>45938</v>
      </c>
      <c r="C137" s="80" t="s">
        <v>613</v>
      </c>
      <c r="D137" s="80" t="str">
        <f t="shared" ref="D137:I137" si="216">D136</f>
        <v>M » Vir1</v>
      </c>
      <c r="E137" s="80" t="str">
        <f t="shared" si="216"/>
        <v>YCD-EX:HUPPER TEK</v>
      </c>
      <c r="F137" s="80" t="str">
        <f t="shared" si="216"/>
        <v>MI202510300003</v>
      </c>
      <c r="G137" s="80" t="str">
        <f t="shared" si="216"/>
        <v>DE2508031-G7-MIC</v>
      </c>
      <c r="H137" s="132">
        <f t="shared" si="216"/>
        <v>45960</v>
      </c>
      <c r="I137" s="133" t="str">
        <f t="shared" si="216"/>
        <v>ABM0009-B07GSF11XX</v>
      </c>
      <c r="J137" s="80"/>
      <c r="K137" s="134" t="str">
        <f t="shared" ref="K137:O137" si="217">K136</f>
        <v>白板</v>
      </c>
      <c r="L137" s="80"/>
      <c r="M137" s="123">
        <f t="shared" si="217"/>
        <v>133</v>
      </c>
      <c r="N137" s="123">
        <f t="shared" si="217"/>
        <v>87</v>
      </c>
      <c r="O137" s="123">
        <f t="shared" si="217"/>
        <v>8</v>
      </c>
      <c r="P137" s="80">
        <f t="shared" si="197"/>
        <v>0.092568</v>
      </c>
      <c r="Q137" s="80"/>
      <c r="R137" s="123">
        <f t="shared" ref="R137:T137" si="218">R136</f>
        <v>133</v>
      </c>
      <c r="S137" s="123">
        <f t="shared" si="218"/>
        <v>87</v>
      </c>
      <c r="T137" s="123">
        <f t="shared" si="218"/>
        <v>8</v>
      </c>
      <c r="U137" s="80">
        <f t="shared" si="199"/>
        <v>0.092568</v>
      </c>
      <c r="V137" s="80"/>
      <c r="W137" s="80"/>
      <c r="X137" s="80"/>
      <c r="Y137" s="80"/>
      <c r="Z137" s="80"/>
      <c r="AA137" s="80">
        <f t="shared" ref="AA137:AC137" si="219">AA136</f>
        <v>5</v>
      </c>
      <c r="AB137" s="80">
        <f t="shared" si="219"/>
        <v>87</v>
      </c>
      <c r="AC137" s="80">
        <f t="shared" si="219"/>
        <v>87</v>
      </c>
      <c r="AD137" s="80">
        <v>0</v>
      </c>
      <c r="AE137" s="126">
        <f t="shared" si="186"/>
        <v>0</v>
      </c>
      <c r="AF137" s="126"/>
      <c r="AG137" s="135"/>
      <c r="AH137" s="128">
        <f t="shared" si="201"/>
        <v>0</v>
      </c>
      <c r="AI137" s="80" t="s">
        <v>568</v>
      </c>
      <c r="AJ137" s="129">
        <f t="shared" si="202"/>
        <v>0</v>
      </c>
      <c r="AK137" s="129">
        <f t="shared" si="203"/>
        <v>0</v>
      </c>
      <c r="AL137" s="80">
        <f t="shared" si="204"/>
        <v>-21</v>
      </c>
      <c r="AM137" s="80" t="str">
        <f t="shared" si="210"/>
        <v>30天内</v>
      </c>
      <c r="AN137" s="81">
        <f t="shared" si="211"/>
        <v>0</v>
      </c>
      <c r="AO137" s="80" t="s">
        <v>575</v>
      </c>
      <c r="AP137" s="130">
        <f t="shared" si="205"/>
        <v>0</v>
      </c>
      <c r="AQ137" s="95"/>
    </row>
    <row r="138" spans="1:43">
      <c r="A138" s="80">
        <v>202510</v>
      </c>
      <c r="B138" s="131">
        <v>45939</v>
      </c>
      <c r="C138" s="80" t="s">
        <v>613</v>
      </c>
      <c r="D138" s="80" t="str">
        <f t="shared" ref="D138:I138" si="220">D137</f>
        <v>M » Vir1</v>
      </c>
      <c r="E138" s="80" t="str">
        <f t="shared" si="220"/>
        <v>YCD-EX:HUPPER TEK</v>
      </c>
      <c r="F138" s="80" t="str">
        <f t="shared" si="220"/>
        <v>MI202510300003</v>
      </c>
      <c r="G138" s="80" t="str">
        <f t="shared" si="220"/>
        <v>DE2508031-G7-MIC</v>
      </c>
      <c r="H138" s="132">
        <f t="shared" si="220"/>
        <v>45960</v>
      </c>
      <c r="I138" s="133" t="str">
        <f t="shared" si="220"/>
        <v>ABM0009-B07GSF11XX</v>
      </c>
      <c r="J138" s="80"/>
      <c r="K138" s="134" t="str">
        <f t="shared" ref="K138:O138" si="221">K137</f>
        <v>白板</v>
      </c>
      <c r="L138" s="80"/>
      <c r="M138" s="123">
        <f t="shared" si="221"/>
        <v>133</v>
      </c>
      <c r="N138" s="123">
        <f t="shared" si="221"/>
        <v>87</v>
      </c>
      <c r="O138" s="123">
        <f t="shared" si="221"/>
        <v>8</v>
      </c>
      <c r="P138" s="80">
        <f t="shared" si="197"/>
        <v>0.092568</v>
      </c>
      <c r="Q138" s="80"/>
      <c r="R138" s="123">
        <f t="shared" ref="R138:T138" si="222">R137</f>
        <v>133</v>
      </c>
      <c r="S138" s="123">
        <f t="shared" si="222"/>
        <v>87</v>
      </c>
      <c r="T138" s="123">
        <f t="shared" si="222"/>
        <v>8</v>
      </c>
      <c r="U138" s="80">
        <f t="shared" si="199"/>
        <v>0.092568</v>
      </c>
      <c r="V138" s="80"/>
      <c r="W138" s="80"/>
      <c r="X138" s="80"/>
      <c r="Y138" s="80"/>
      <c r="Z138" s="80"/>
      <c r="AA138" s="80">
        <f t="shared" ref="AA138:AC138" si="223">AA137</f>
        <v>5</v>
      </c>
      <c r="AB138" s="80">
        <f t="shared" si="223"/>
        <v>87</v>
      </c>
      <c r="AC138" s="80">
        <f t="shared" si="223"/>
        <v>87</v>
      </c>
      <c r="AD138" s="80">
        <v>0</v>
      </c>
      <c r="AE138" s="126">
        <f t="shared" si="186"/>
        <v>0</v>
      </c>
      <c r="AF138" s="126"/>
      <c r="AG138" s="135"/>
      <c r="AH138" s="128">
        <f t="shared" si="201"/>
        <v>0</v>
      </c>
      <c r="AI138" s="80" t="s">
        <v>568</v>
      </c>
      <c r="AJ138" s="129">
        <f t="shared" si="202"/>
        <v>0</v>
      </c>
      <c r="AK138" s="129">
        <f t="shared" si="203"/>
        <v>0</v>
      </c>
      <c r="AL138" s="80">
        <f t="shared" si="204"/>
        <v>-20</v>
      </c>
      <c r="AM138" s="80" t="str">
        <f t="shared" si="210"/>
        <v>30天内</v>
      </c>
      <c r="AN138" s="81">
        <f t="shared" si="211"/>
        <v>0</v>
      </c>
      <c r="AO138" s="80" t="s">
        <v>575</v>
      </c>
      <c r="AP138" s="130">
        <f t="shared" si="205"/>
        <v>0</v>
      </c>
      <c r="AQ138" s="95"/>
    </row>
    <row r="139" spans="1:43">
      <c r="A139" s="80">
        <v>202510</v>
      </c>
      <c r="B139" s="131">
        <v>45940</v>
      </c>
      <c r="C139" s="80" t="s">
        <v>613</v>
      </c>
      <c r="D139" s="80" t="str">
        <f t="shared" ref="D139:I139" si="224">D138</f>
        <v>M » Vir1</v>
      </c>
      <c r="E139" s="80" t="str">
        <f t="shared" si="224"/>
        <v>YCD-EX:HUPPER TEK</v>
      </c>
      <c r="F139" s="80" t="str">
        <f t="shared" si="224"/>
        <v>MI202510300003</v>
      </c>
      <c r="G139" s="80" t="str">
        <f t="shared" si="224"/>
        <v>DE2508031-G7-MIC</v>
      </c>
      <c r="H139" s="132">
        <f t="shared" si="224"/>
        <v>45960</v>
      </c>
      <c r="I139" s="133" t="str">
        <f t="shared" si="224"/>
        <v>ABM0009-B07GSF11XX</v>
      </c>
      <c r="J139" s="80"/>
      <c r="K139" s="134" t="str">
        <f t="shared" ref="K139:O139" si="225">K138</f>
        <v>白板</v>
      </c>
      <c r="L139" s="80"/>
      <c r="M139" s="123">
        <f t="shared" si="225"/>
        <v>133</v>
      </c>
      <c r="N139" s="123">
        <f t="shared" si="225"/>
        <v>87</v>
      </c>
      <c r="O139" s="123">
        <f t="shared" si="225"/>
        <v>8</v>
      </c>
      <c r="P139" s="80">
        <f t="shared" si="197"/>
        <v>0.092568</v>
      </c>
      <c r="Q139" s="80"/>
      <c r="R139" s="123">
        <f t="shared" ref="R139:T139" si="226">R138</f>
        <v>133</v>
      </c>
      <c r="S139" s="123">
        <f t="shared" si="226"/>
        <v>87</v>
      </c>
      <c r="T139" s="123">
        <f t="shared" si="226"/>
        <v>8</v>
      </c>
      <c r="U139" s="80">
        <f t="shared" si="199"/>
        <v>0.092568</v>
      </c>
      <c r="V139" s="80"/>
      <c r="W139" s="80"/>
      <c r="X139" s="80"/>
      <c r="Y139" s="80"/>
      <c r="Z139" s="80"/>
      <c r="AA139" s="80">
        <f t="shared" ref="AA139:AC139" si="227">AA138</f>
        <v>5</v>
      </c>
      <c r="AB139" s="80">
        <f t="shared" si="227"/>
        <v>87</v>
      </c>
      <c r="AC139" s="80">
        <f t="shared" si="227"/>
        <v>87</v>
      </c>
      <c r="AD139" s="80">
        <v>0</v>
      </c>
      <c r="AE139" s="126">
        <f t="shared" si="186"/>
        <v>0</v>
      </c>
      <c r="AF139" s="126"/>
      <c r="AG139" s="135"/>
      <c r="AH139" s="128">
        <f t="shared" si="201"/>
        <v>0</v>
      </c>
      <c r="AI139" s="80" t="s">
        <v>568</v>
      </c>
      <c r="AJ139" s="129">
        <f t="shared" si="202"/>
        <v>0</v>
      </c>
      <c r="AK139" s="129">
        <f t="shared" si="203"/>
        <v>0</v>
      </c>
      <c r="AL139" s="80">
        <f t="shared" si="204"/>
        <v>-19</v>
      </c>
      <c r="AM139" s="80" t="str">
        <f t="shared" si="210"/>
        <v>30天内</v>
      </c>
      <c r="AN139" s="81">
        <f t="shared" si="211"/>
        <v>0</v>
      </c>
      <c r="AO139" s="80" t="s">
        <v>575</v>
      </c>
      <c r="AP139" s="130">
        <f t="shared" si="205"/>
        <v>0</v>
      </c>
      <c r="AQ139" s="95"/>
    </row>
    <row r="140" spans="1:43">
      <c r="A140" s="80">
        <v>202510</v>
      </c>
      <c r="B140" s="131">
        <v>45941</v>
      </c>
      <c r="C140" s="80" t="s">
        <v>613</v>
      </c>
      <c r="D140" s="80" t="str">
        <f t="shared" ref="D140:I140" si="228">D139</f>
        <v>M » Vir1</v>
      </c>
      <c r="E140" s="80" t="str">
        <f t="shared" si="228"/>
        <v>YCD-EX:HUPPER TEK</v>
      </c>
      <c r="F140" s="80" t="str">
        <f t="shared" si="228"/>
        <v>MI202510300003</v>
      </c>
      <c r="G140" s="80" t="str">
        <f t="shared" si="228"/>
        <v>DE2508031-G7-MIC</v>
      </c>
      <c r="H140" s="132">
        <f t="shared" si="228"/>
        <v>45960</v>
      </c>
      <c r="I140" s="133" t="str">
        <f t="shared" si="228"/>
        <v>ABM0009-B07GSF11XX</v>
      </c>
      <c r="J140" s="80"/>
      <c r="K140" s="134" t="str">
        <f t="shared" ref="K140:O140" si="229">K139</f>
        <v>白板</v>
      </c>
      <c r="L140" s="80"/>
      <c r="M140" s="123">
        <f t="shared" si="229"/>
        <v>133</v>
      </c>
      <c r="N140" s="123">
        <f t="shared" si="229"/>
        <v>87</v>
      </c>
      <c r="O140" s="123">
        <f t="shared" si="229"/>
        <v>8</v>
      </c>
      <c r="P140" s="80">
        <f t="shared" si="197"/>
        <v>0.092568</v>
      </c>
      <c r="Q140" s="80"/>
      <c r="R140" s="123">
        <f t="shared" ref="R140:T140" si="230">R139</f>
        <v>133</v>
      </c>
      <c r="S140" s="123">
        <f t="shared" si="230"/>
        <v>87</v>
      </c>
      <c r="T140" s="123">
        <f t="shared" si="230"/>
        <v>8</v>
      </c>
      <c r="U140" s="80">
        <f t="shared" si="199"/>
        <v>0.092568</v>
      </c>
      <c r="V140" s="80"/>
      <c r="W140" s="80"/>
      <c r="X140" s="80"/>
      <c r="Y140" s="80"/>
      <c r="Z140" s="80"/>
      <c r="AA140" s="80">
        <f t="shared" ref="AA140:AC140" si="231">AA139</f>
        <v>5</v>
      </c>
      <c r="AB140" s="80">
        <f t="shared" si="231"/>
        <v>87</v>
      </c>
      <c r="AC140" s="80">
        <f t="shared" si="231"/>
        <v>87</v>
      </c>
      <c r="AD140" s="80">
        <v>0</v>
      </c>
      <c r="AE140" s="126">
        <f t="shared" si="186"/>
        <v>0</v>
      </c>
      <c r="AF140" s="126"/>
      <c r="AG140" s="135"/>
      <c r="AH140" s="128">
        <f t="shared" si="201"/>
        <v>0</v>
      </c>
      <c r="AI140" s="80" t="s">
        <v>568</v>
      </c>
      <c r="AJ140" s="129">
        <f t="shared" si="202"/>
        <v>0</v>
      </c>
      <c r="AK140" s="129">
        <f t="shared" si="203"/>
        <v>0</v>
      </c>
      <c r="AL140" s="80">
        <f t="shared" si="204"/>
        <v>-18</v>
      </c>
      <c r="AM140" s="80" t="str">
        <f t="shared" si="210"/>
        <v>30天内</v>
      </c>
      <c r="AN140" s="81">
        <f t="shared" si="211"/>
        <v>0</v>
      </c>
      <c r="AO140" s="80" t="s">
        <v>575</v>
      </c>
      <c r="AP140" s="130">
        <f t="shared" si="205"/>
        <v>0</v>
      </c>
      <c r="AQ140" s="95"/>
    </row>
    <row r="141" spans="1:43">
      <c r="A141" s="80">
        <v>202510</v>
      </c>
      <c r="B141" s="131">
        <v>45942</v>
      </c>
      <c r="C141" s="80" t="s">
        <v>613</v>
      </c>
      <c r="D141" s="80" t="str">
        <f t="shared" ref="D141:I141" si="232">D140</f>
        <v>M » Vir1</v>
      </c>
      <c r="E141" s="80" t="str">
        <f t="shared" si="232"/>
        <v>YCD-EX:HUPPER TEK</v>
      </c>
      <c r="F141" s="80" t="str">
        <f t="shared" si="232"/>
        <v>MI202510300003</v>
      </c>
      <c r="G141" s="80" t="str">
        <f t="shared" si="232"/>
        <v>DE2508031-G7-MIC</v>
      </c>
      <c r="H141" s="132">
        <f t="shared" si="232"/>
        <v>45960</v>
      </c>
      <c r="I141" s="133" t="str">
        <f t="shared" si="232"/>
        <v>ABM0009-B07GSF11XX</v>
      </c>
      <c r="J141" s="80"/>
      <c r="K141" s="134" t="str">
        <f t="shared" ref="K141:O141" si="233">K140</f>
        <v>白板</v>
      </c>
      <c r="L141" s="80"/>
      <c r="M141" s="123">
        <f t="shared" si="233"/>
        <v>133</v>
      </c>
      <c r="N141" s="123">
        <f t="shared" si="233"/>
        <v>87</v>
      </c>
      <c r="O141" s="123">
        <f t="shared" si="233"/>
        <v>8</v>
      </c>
      <c r="P141" s="80">
        <f t="shared" si="197"/>
        <v>0.092568</v>
      </c>
      <c r="Q141" s="80"/>
      <c r="R141" s="123">
        <f t="shared" ref="R141:T141" si="234">R140</f>
        <v>133</v>
      </c>
      <c r="S141" s="123">
        <f t="shared" si="234"/>
        <v>87</v>
      </c>
      <c r="T141" s="123">
        <f t="shared" si="234"/>
        <v>8</v>
      </c>
      <c r="U141" s="80">
        <f t="shared" si="199"/>
        <v>0.092568</v>
      </c>
      <c r="V141" s="80"/>
      <c r="W141" s="80"/>
      <c r="X141" s="80"/>
      <c r="Y141" s="80"/>
      <c r="Z141" s="80"/>
      <c r="AA141" s="80">
        <f t="shared" ref="AA141:AC141" si="235">AA140</f>
        <v>5</v>
      </c>
      <c r="AB141" s="80">
        <f t="shared" si="235"/>
        <v>87</v>
      </c>
      <c r="AC141" s="80">
        <f t="shared" si="235"/>
        <v>87</v>
      </c>
      <c r="AD141" s="80">
        <v>0</v>
      </c>
      <c r="AE141" s="126">
        <f t="shared" si="186"/>
        <v>0</v>
      </c>
      <c r="AF141" s="126"/>
      <c r="AG141" s="135"/>
      <c r="AH141" s="128">
        <f t="shared" si="201"/>
        <v>0</v>
      </c>
      <c r="AI141" s="80" t="s">
        <v>568</v>
      </c>
      <c r="AJ141" s="129">
        <f t="shared" si="202"/>
        <v>0</v>
      </c>
      <c r="AK141" s="129">
        <f t="shared" si="203"/>
        <v>0</v>
      </c>
      <c r="AL141" s="80">
        <f t="shared" si="204"/>
        <v>-17</v>
      </c>
      <c r="AM141" s="80" t="str">
        <f t="shared" si="210"/>
        <v>30天内</v>
      </c>
      <c r="AN141" s="81">
        <f t="shared" si="211"/>
        <v>0</v>
      </c>
      <c r="AO141" s="80" t="s">
        <v>575</v>
      </c>
      <c r="AP141" s="130">
        <f t="shared" si="205"/>
        <v>0</v>
      </c>
      <c r="AQ141" s="95"/>
    </row>
    <row r="142" spans="1:43">
      <c r="A142" s="80">
        <v>202510</v>
      </c>
      <c r="B142" s="131">
        <v>45943</v>
      </c>
      <c r="C142" s="80" t="s">
        <v>613</v>
      </c>
      <c r="D142" s="80" t="str">
        <f t="shared" ref="D142:I142" si="236">D141</f>
        <v>M » Vir1</v>
      </c>
      <c r="E142" s="80" t="str">
        <f t="shared" si="236"/>
        <v>YCD-EX:HUPPER TEK</v>
      </c>
      <c r="F142" s="80" t="str">
        <f t="shared" si="236"/>
        <v>MI202510300003</v>
      </c>
      <c r="G142" s="80" t="str">
        <f t="shared" si="236"/>
        <v>DE2508031-G7-MIC</v>
      </c>
      <c r="H142" s="132">
        <f t="shared" si="236"/>
        <v>45960</v>
      </c>
      <c r="I142" s="133" t="str">
        <f t="shared" si="236"/>
        <v>ABM0009-B07GSF11XX</v>
      </c>
      <c r="J142" s="80"/>
      <c r="K142" s="134" t="str">
        <f t="shared" ref="K142:O142" si="237">K141</f>
        <v>白板</v>
      </c>
      <c r="L142" s="80"/>
      <c r="M142" s="123">
        <f t="shared" si="237"/>
        <v>133</v>
      </c>
      <c r="N142" s="123">
        <f t="shared" si="237"/>
        <v>87</v>
      </c>
      <c r="O142" s="123">
        <f t="shared" si="237"/>
        <v>8</v>
      </c>
      <c r="P142" s="80">
        <f t="shared" si="197"/>
        <v>0.092568</v>
      </c>
      <c r="Q142" s="80"/>
      <c r="R142" s="123">
        <f t="shared" ref="R142:T142" si="238">R141</f>
        <v>133</v>
      </c>
      <c r="S142" s="123">
        <f t="shared" si="238"/>
        <v>87</v>
      </c>
      <c r="T142" s="123">
        <f t="shared" si="238"/>
        <v>8</v>
      </c>
      <c r="U142" s="80">
        <f t="shared" si="199"/>
        <v>0.092568</v>
      </c>
      <c r="V142" s="80"/>
      <c r="W142" s="80"/>
      <c r="X142" s="80"/>
      <c r="Y142" s="80"/>
      <c r="Z142" s="80"/>
      <c r="AA142" s="80">
        <f t="shared" ref="AA142:AC142" si="239">AA141</f>
        <v>5</v>
      </c>
      <c r="AB142" s="80">
        <f t="shared" si="239"/>
        <v>87</v>
      </c>
      <c r="AC142" s="80">
        <f t="shared" si="239"/>
        <v>87</v>
      </c>
      <c r="AD142" s="80">
        <v>0</v>
      </c>
      <c r="AE142" s="126">
        <f t="shared" si="186"/>
        <v>0</v>
      </c>
      <c r="AF142" s="126"/>
      <c r="AG142" s="135"/>
      <c r="AH142" s="128">
        <f t="shared" si="201"/>
        <v>0</v>
      </c>
      <c r="AI142" s="80" t="s">
        <v>568</v>
      </c>
      <c r="AJ142" s="129">
        <f t="shared" si="202"/>
        <v>0</v>
      </c>
      <c r="AK142" s="129">
        <f t="shared" si="203"/>
        <v>0</v>
      </c>
      <c r="AL142" s="80">
        <f t="shared" si="204"/>
        <v>-16</v>
      </c>
      <c r="AM142" s="80" t="str">
        <f t="shared" si="210"/>
        <v>30天内</v>
      </c>
      <c r="AN142" s="81">
        <f t="shared" si="211"/>
        <v>0</v>
      </c>
      <c r="AO142" s="80" t="s">
        <v>575</v>
      </c>
      <c r="AP142" s="130">
        <f t="shared" si="205"/>
        <v>0</v>
      </c>
      <c r="AQ142" s="95"/>
    </row>
    <row r="143" spans="1:43">
      <c r="A143" s="80">
        <v>202510</v>
      </c>
      <c r="B143" s="131">
        <v>45944</v>
      </c>
      <c r="C143" s="80" t="s">
        <v>613</v>
      </c>
      <c r="D143" s="80" t="str">
        <f t="shared" ref="D143:I143" si="240">D142</f>
        <v>M » Vir1</v>
      </c>
      <c r="E143" s="80" t="str">
        <f t="shared" si="240"/>
        <v>YCD-EX:HUPPER TEK</v>
      </c>
      <c r="F143" s="80" t="str">
        <f t="shared" si="240"/>
        <v>MI202510300003</v>
      </c>
      <c r="G143" s="80" t="str">
        <f t="shared" si="240"/>
        <v>DE2508031-G7-MIC</v>
      </c>
      <c r="H143" s="132">
        <f t="shared" si="240"/>
        <v>45960</v>
      </c>
      <c r="I143" s="133" t="str">
        <f t="shared" si="240"/>
        <v>ABM0009-B07GSF11XX</v>
      </c>
      <c r="J143" s="80"/>
      <c r="K143" s="134" t="str">
        <f t="shared" ref="K143:O143" si="241">K142</f>
        <v>白板</v>
      </c>
      <c r="L143" s="80"/>
      <c r="M143" s="123">
        <f t="shared" si="241"/>
        <v>133</v>
      </c>
      <c r="N143" s="123">
        <f t="shared" si="241"/>
        <v>87</v>
      </c>
      <c r="O143" s="123">
        <f t="shared" si="241"/>
        <v>8</v>
      </c>
      <c r="P143" s="80">
        <f t="shared" si="197"/>
        <v>0.092568</v>
      </c>
      <c r="Q143" s="80"/>
      <c r="R143" s="123">
        <f t="shared" ref="R143:T143" si="242">R142</f>
        <v>133</v>
      </c>
      <c r="S143" s="123">
        <f t="shared" si="242"/>
        <v>87</v>
      </c>
      <c r="T143" s="123">
        <f t="shared" si="242"/>
        <v>8</v>
      </c>
      <c r="U143" s="80">
        <f t="shared" si="199"/>
        <v>0.092568</v>
      </c>
      <c r="V143" s="80"/>
      <c r="W143" s="80"/>
      <c r="X143" s="80"/>
      <c r="Y143" s="80"/>
      <c r="Z143" s="80"/>
      <c r="AA143" s="80">
        <f t="shared" ref="AA143:AC143" si="243">AA142</f>
        <v>5</v>
      </c>
      <c r="AB143" s="80">
        <f t="shared" si="243"/>
        <v>87</v>
      </c>
      <c r="AC143" s="80">
        <f t="shared" si="243"/>
        <v>87</v>
      </c>
      <c r="AD143" s="80">
        <v>0</v>
      </c>
      <c r="AE143" s="126">
        <f t="shared" si="186"/>
        <v>0</v>
      </c>
      <c r="AF143" s="126"/>
      <c r="AG143" s="135"/>
      <c r="AH143" s="128">
        <f t="shared" si="201"/>
        <v>0</v>
      </c>
      <c r="AI143" s="80" t="s">
        <v>568</v>
      </c>
      <c r="AJ143" s="129">
        <f t="shared" si="202"/>
        <v>0</v>
      </c>
      <c r="AK143" s="129">
        <f t="shared" si="203"/>
        <v>0</v>
      </c>
      <c r="AL143" s="80">
        <f t="shared" si="204"/>
        <v>-15</v>
      </c>
      <c r="AM143" s="80" t="str">
        <f t="shared" si="210"/>
        <v>30天内</v>
      </c>
      <c r="AN143" s="81">
        <f t="shared" si="211"/>
        <v>0</v>
      </c>
      <c r="AO143" s="80" t="s">
        <v>575</v>
      </c>
      <c r="AP143" s="130">
        <f t="shared" si="205"/>
        <v>0</v>
      </c>
      <c r="AQ143" s="95"/>
    </row>
    <row r="144" spans="1:43">
      <c r="A144" s="80">
        <v>202510</v>
      </c>
      <c r="B144" s="131">
        <v>45945</v>
      </c>
      <c r="C144" s="80" t="s">
        <v>613</v>
      </c>
      <c r="D144" s="80" t="str">
        <f t="shared" ref="D144:I144" si="244">D143</f>
        <v>M » Vir1</v>
      </c>
      <c r="E144" s="80" t="str">
        <f t="shared" si="244"/>
        <v>YCD-EX:HUPPER TEK</v>
      </c>
      <c r="F144" s="80" t="str">
        <f t="shared" si="244"/>
        <v>MI202510300003</v>
      </c>
      <c r="G144" s="80" t="str">
        <f t="shared" si="244"/>
        <v>DE2508031-G7-MIC</v>
      </c>
      <c r="H144" s="132">
        <f t="shared" si="244"/>
        <v>45960</v>
      </c>
      <c r="I144" s="133" t="str">
        <f t="shared" si="244"/>
        <v>ABM0009-B07GSF11XX</v>
      </c>
      <c r="J144" s="80"/>
      <c r="K144" s="134" t="str">
        <f t="shared" ref="K144:O144" si="245">K143</f>
        <v>白板</v>
      </c>
      <c r="L144" s="80"/>
      <c r="M144" s="123">
        <f t="shared" si="245"/>
        <v>133</v>
      </c>
      <c r="N144" s="123">
        <f t="shared" si="245"/>
        <v>87</v>
      </c>
      <c r="O144" s="123">
        <f t="shared" si="245"/>
        <v>8</v>
      </c>
      <c r="P144" s="80">
        <f t="shared" si="197"/>
        <v>0.092568</v>
      </c>
      <c r="Q144" s="80"/>
      <c r="R144" s="123">
        <f t="shared" ref="R144:T144" si="246">R143</f>
        <v>133</v>
      </c>
      <c r="S144" s="123">
        <f t="shared" si="246"/>
        <v>87</v>
      </c>
      <c r="T144" s="123">
        <f t="shared" si="246"/>
        <v>8</v>
      </c>
      <c r="U144" s="80">
        <f t="shared" si="199"/>
        <v>0.092568</v>
      </c>
      <c r="V144" s="80"/>
      <c r="W144" s="80"/>
      <c r="X144" s="80"/>
      <c r="Y144" s="80"/>
      <c r="Z144" s="80"/>
      <c r="AA144" s="80">
        <f t="shared" ref="AA144:AC144" si="247">AA143</f>
        <v>5</v>
      </c>
      <c r="AB144" s="80">
        <f t="shared" si="247"/>
        <v>87</v>
      </c>
      <c r="AC144" s="80">
        <f t="shared" si="247"/>
        <v>87</v>
      </c>
      <c r="AD144" s="80">
        <v>0</v>
      </c>
      <c r="AE144" s="126">
        <f t="shared" si="186"/>
        <v>0</v>
      </c>
      <c r="AF144" s="126"/>
      <c r="AG144" s="135"/>
      <c r="AH144" s="128">
        <f t="shared" si="201"/>
        <v>0</v>
      </c>
      <c r="AI144" s="80" t="s">
        <v>568</v>
      </c>
      <c r="AJ144" s="129">
        <f t="shared" si="202"/>
        <v>0</v>
      </c>
      <c r="AK144" s="129">
        <f t="shared" si="203"/>
        <v>0</v>
      </c>
      <c r="AL144" s="80">
        <f t="shared" si="204"/>
        <v>-14</v>
      </c>
      <c r="AM144" s="80" t="str">
        <f t="shared" si="210"/>
        <v>30天内</v>
      </c>
      <c r="AN144" s="81">
        <f t="shared" si="211"/>
        <v>0</v>
      </c>
      <c r="AO144" s="80" t="s">
        <v>575</v>
      </c>
      <c r="AP144" s="130">
        <f t="shared" si="205"/>
        <v>0</v>
      </c>
      <c r="AQ144" s="95"/>
    </row>
    <row r="145" spans="1:43">
      <c r="A145" s="80">
        <v>202510</v>
      </c>
      <c r="B145" s="131">
        <v>45946</v>
      </c>
      <c r="C145" s="80" t="s">
        <v>613</v>
      </c>
      <c r="D145" s="80" t="str">
        <f t="shared" ref="D145:I145" si="248">D144</f>
        <v>M » Vir1</v>
      </c>
      <c r="E145" s="80" t="str">
        <f t="shared" si="248"/>
        <v>YCD-EX:HUPPER TEK</v>
      </c>
      <c r="F145" s="80" t="str">
        <f t="shared" si="248"/>
        <v>MI202510300003</v>
      </c>
      <c r="G145" s="80" t="str">
        <f t="shared" si="248"/>
        <v>DE2508031-G7-MIC</v>
      </c>
      <c r="H145" s="132">
        <f t="shared" si="248"/>
        <v>45960</v>
      </c>
      <c r="I145" s="133" t="str">
        <f t="shared" si="248"/>
        <v>ABM0009-B07GSF11XX</v>
      </c>
      <c r="J145" s="80"/>
      <c r="K145" s="134" t="str">
        <f t="shared" ref="K145:O145" si="249">K144</f>
        <v>白板</v>
      </c>
      <c r="L145" s="80"/>
      <c r="M145" s="123">
        <f t="shared" si="249"/>
        <v>133</v>
      </c>
      <c r="N145" s="123">
        <f t="shared" si="249"/>
        <v>87</v>
      </c>
      <c r="O145" s="123">
        <f t="shared" si="249"/>
        <v>8</v>
      </c>
      <c r="P145" s="80">
        <f t="shared" si="197"/>
        <v>0.092568</v>
      </c>
      <c r="Q145" s="80"/>
      <c r="R145" s="123">
        <f t="shared" ref="R145:T145" si="250">R144</f>
        <v>133</v>
      </c>
      <c r="S145" s="123">
        <f t="shared" si="250"/>
        <v>87</v>
      </c>
      <c r="T145" s="123">
        <f t="shared" si="250"/>
        <v>8</v>
      </c>
      <c r="U145" s="80">
        <f t="shared" si="199"/>
        <v>0.092568</v>
      </c>
      <c r="V145" s="80"/>
      <c r="W145" s="80"/>
      <c r="X145" s="80"/>
      <c r="Y145" s="80"/>
      <c r="Z145" s="80"/>
      <c r="AA145" s="80">
        <f t="shared" ref="AA145:AC145" si="251">AA144</f>
        <v>5</v>
      </c>
      <c r="AB145" s="80">
        <f t="shared" si="251"/>
        <v>87</v>
      </c>
      <c r="AC145" s="80">
        <f t="shared" si="251"/>
        <v>87</v>
      </c>
      <c r="AD145" s="80">
        <v>0</v>
      </c>
      <c r="AE145" s="126">
        <f t="shared" si="186"/>
        <v>0</v>
      </c>
      <c r="AF145" s="126"/>
      <c r="AG145" s="135"/>
      <c r="AH145" s="128">
        <f t="shared" si="201"/>
        <v>0</v>
      </c>
      <c r="AI145" s="80" t="s">
        <v>568</v>
      </c>
      <c r="AJ145" s="129">
        <f t="shared" si="202"/>
        <v>0</v>
      </c>
      <c r="AK145" s="129">
        <f t="shared" si="203"/>
        <v>0</v>
      </c>
      <c r="AL145" s="80">
        <f t="shared" si="204"/>
        <v>-13</v>
      </c>
      <c r="AM145" s="80" t="str">
        <f t="shared" si="210"/>
        <v>30天内</v>
      </c>
      <c r="AN145" s="81">
        <f t="shared" si="211"/>
        <v>0</v>
      </c>
      <c r="AO145" s="80" t="s">
        <v>575</v>
      </c>
      <c r="AP145" s="130">
        <f t="shared" si="205"/>
        <v>0</v>
      </c>
      <c r="AQ145" s="95"/>
    </row>
    <row r="146" spans="1:43">
      <c r="A146" s="80">
        <v>202510</v>
      </c>
      <c r="B146" s="131">
        <v>45947</v>
      </c>
      <c r="C146" s="80" t="s">
        <v>613</v>
      </c>
      <c r="D146" s="80" t="str">
        <f t="shared" ref="D146:I146" si="252">D145</f>
        <v>M » Vir1</v>
      </c>
      <c r="E146" s="80" t="str">
        <f t="shared" si="252"/>
        <v>YCD-EX:HUPPER TEK</v>
      </c>
      <c r="F146" s="80" t="str">
        <f t="shared" si="252"/>
        <v>MI202510300003</v>
      </c>
      <c r="G146" s="80" t="str">
        <f t="shared" si="252"/>
        <v>DE2508031-G7-MIC</v>
      </c>
      <c r="H146" s="132">
        <f t="shared" si="252"/>
        <v>45960</v>
      </c>
      <c r="I146" s="133" t="str">
        <f t="shared" si="252"/>
        <v>ABM0009-B07GSF11XX</v>
      </c>
      <c r="J146" s="80"/>
      <c r="K146" s="134" t="str">
        <f t="shared" ref="K146:O146" si="253">K145</f>
        <v>白板</v>
      </c>
      <c r="L146" s="80"/>
      <c r="M146" s="123">
        <f t="shared" si="253"/>
        <v>133</v>
      </c>
      <c r="N146" s="123">
        <f t="shared" si="253"/>
        <v>87</v>
      </c>
      <c r="O146" s="123">
        <f t="shared" si="253"/>
        <v>8</v>
      </c>
      <c r="P146" s="80">
        <f t="shared" si="197"/>
        <v>0.092568</v>
      </c>
      <c r="Q146" s="80"/>
      <c r="R146" s="123">
        <f t="shared" ref="R146:T146" si="254">R145</f>
        <v>133</v>
      </c>
      <c r="S146" s="123">
        <f t="shared" si="254"/>
        <v>87</v>
      </c>
      <c r="T146" s="123">
        <f t="shared" si="254"/>
        <v>8</v>
      </c>
      <c r="U146" s="80">
        <f t="shared" si="199"/>
        <v>0.092568</v>
      </c>
      <c r="V146" s="80"/>
      <c r="W146" s="80"/>
      <c r="X146" s="80"/>
      <c r="Y146" s="80"/>
      <c r="Z146" s="80"/>
      <c r="AA146" s="80">
        <f t="shared" ref="AA146:AC146" si="255">AA145</f>
        <v>5</v>
      </c>
      <c r="AB146" s="80">
        <f t="shared" si="255"/>
        <v>87</v>
      </c>
      <c r="AC146" s="80">
        <f t="shared" si="255"/>
        <v>87</v>
      </c>
      <c r="AD146" s="80">
        <v>0</v>
      </c>
      <c r="AE146" s="126">
        <f t="shared" si="186"/>
        <v>0</v>
      </c>
      <c r="AF146" s="126"/>
      <c r="AG146" s="135"/>
      <c r="AH146" s="128">
        <f t="shared" si="201"/>
        <v>0</v>
      </c>
      <c r="AI146" s="80" t="s">
        <v>568</v>
      </c>
      <c r="AJ146" s="129">
        <f t="shared" si="202"/>
        <v>0</v>
      </c>
      <c r="AK146" s="129">
        <f t="shared" si="203"/>
        <v>0</v>
      </c>
      <c r="AL146" s="80">
        <f t="shared" si="204"/>
        <v>-12</v>
      </c>
      <c r="AM146" s="80" t="str">
        <f t="shared" si="210"/>
        <v>30天内</v>
      </c>
      <c r="AN146" s="81">
        <f t="shared" si="211"/>
        <v>0</v>
      </c>
      <c r="AO146" s="80" t="s">
        <v>575</v>
      </c>
      <c r="AP146" s="130">
        <f t="shared" si="205"/>
        <v>0</v>
      </c>
      <c r="AQ146" s="95"/>
    </row>
    <row r="147" spans="1:43">
      <c r="A147" s="80">
        <v>202510</v>
      </c>
      <c r="B147" s="131">
        <v>45948</v>
      </c>
      <c r="C147" s="80" t="s">
        <v>613</v>
      </c>
      <c r="D147" s="80" t="str">
        <f t="shared" ref="D147:I147" si="256">D146</f>
        <v>M » Vir1</v>
      </c>
      <c r="E147" s="80" t="str">
        <f t="shared" si="256"/>
        <v>YCD-EX:HUPPER TEK</v>
      </c>
      <c r="F147" s="80" t="str">
        <f t="shared" si="256"/>
        <v>MI202510300003</v>
      </c>
      <c r="G147" s="80" t="str">
        <f t="shared" si="256"/>
        <v>DE2508031-G7-MIC</v>
      </c>
      <c r="H147" s="132">
        <f t="shared" si="256"/>
        <v>45960</v>
      </c>
      <c r="I147" s="133" t="str">
        <f t="shared" si="256"/>
        <v>ABM0009-B07GSF11XX</v>
      </c>
      <c r="J147" s="80"/>
      <c r="K147" s="134" t="str">
        <f t="shared" ref="K147:O147" si="257">K146</f>
        <v>白板</v>
      </c>
      <c r="L147" s="80"/>
      <c r="M147" s="123">
        <f t="shared" si="257"/>
        <v>133</v>
      </c>
      <c r="N147" s="123">
        <f t="shared" si="257"/>
        <v>87</v>
      </c>
      <c r="O147" s="123">
        <f t="shared" si="257"/>
        <v>8</v>
      </c>
      <c r="P147" s="80">
        <f t="shared" si="197"/>
        <v>0.092568</v>
      </c>
      <c r="Q147" s="80"/>
      <c r="R147" s="123">
        <f t="shared" ref="R147:T147" si="258">R146</f>
        <v>133</v>
      </c>
      <c r="S147" s="123">
        <f t="shared" si="258"/>
        <v>87</v>
      </c>
      <c r="T147" s="123">
        <f t="shared" si="258"/>
        <v>8</v>
      </c>
      <c r="U147" s="80">
        <f t="shared" si="199"/>
        <v>0.092568</v>
      </c>
      <c r="V147" s="80"/>
      <c r="W147" s="80"/>
      <c r="X147" s="80"/>
      <c r="Y147" s="80"/>
      <c r="Z147" s="80"/>
      <c r="AA147" s="80">
        <f t="shared" ref="AA147:AC147" si="259">AA146</f>
        <v>5</v>
      </c>
      <c r="AB147" s="80">
        <f t="shared" si="259"/>
        <v>87</v>
      </c>
      <c r="AC147" s="80">
        <f t="shared" si="259"/>
        <v>87</v>
      </c>
      <c r="AD147" s="80">
        <v>0</v>
      </c>
      <c r="AE147" s="126">
        <f t="shared" si="186"/>
        <v>0</v>
      </c>
      <c r="AF147" s="126"/>
      <c r="AG147" s="135"/>
      <c r="AH147" s="128">
        <f t="shared" si="201"/>
        <v>0</v>
      </c>
      <c r="AI147" s="80" t="s">
        <v>568</v>
      </c>
      <c r="AJ147" s="129">
        <f t="shared" si="202"/>
        <v>0</v>
      </c>
      <c r="AK147" s="129">
        <f t="shared" si="203"/>
        <v>0</v>
      </c>
      <c r="AL147" s="80">
        <f t="shared" si="204"/>
        <v>-11</v>
      </c>
      <c r="AM147" s="80" t="str">
        <f t="shared" si="210"/>
        <v>30天内</v>
      </c>
      <c r="AN147" s="81">
        <f t="shared" si="211"/>
        <v>0</v>
      </c>
      <c r="AO147" s="80" t="s">
        <v>575</v>
      </c>
      <c r="AP147" s="130">
        <f t="shared" si="205"/>
        <v>0</v>
      </c>
      <c r="AQ147" s="95"/>
    </row>
    <row r="148" spans="1:43">
      <c r="A148" s="80">
        <v>202510</v>
      </c>
      <c r="B148" s="131">
        <v>45949</v>
      </c>
      <c r="C148" s="80" t="s">
        <v>613</v>
      </c>
      <c r="D148" s="80" t="str">
        <f t="shared" ref="D148:I148" si="260">D147</f>
        <v>M » Vir1</v>
      </c>
      <c r="E148" s="80" t="str">
        <f t="shared" si="260"/>
        <v>YCD-EX:HUPPER TEK</v>
      </c>
      <c r="F148" s="80" t="str">
        <f t="shared" si="260"/>
        <v>MI202510300003</v>
      </c>
      <c r="G148" s="80" t="str">
        <f t="shared" si="260"/>
        <v>DE2508031-G7-MIC</v>
      </c>
      <c r="H148" s="132">
        <f t="shared" si="260"/>
        <v>45960</v>
      </c>
      <c r="I148" s="133" t="str">
        <f t="shared" si="260"/>
        <v>ABM0009-B07GSF11XX</v>
      </c>
      <c r="J148" s="80"/>
      <c r="K148" s="134" t="str">
        <f t="shared" ref="K148:O148" si="261">K147</f>
        <v>白板</v>
      </c>
      <c r="L148" s="80"/>
      <c r="M148" s="123">
        <f t="shared" si="261"/>
        <v>133</v>
      </c>
      <c r="N148" s="123">
        <f t="shared" si="261"/>
        <v>87</v>
      </c>
      <c r="O148" s="123">
        <f t="shared" si="261"/>
        <v>8</v>
      </c>
      <c r="P148" s="80">
        <f t="shared" si="197"/>
        <v>0.092568</v>
      </c>
      <c r="Q148" s="80"/>
      <c r="R148" s="123">
        <f t="shared" ref="R148:T148" si="262">R147</f>
        <v>133</v>
      </c>
      <c r="S148" s="123">
        <f t="shared" si="262"/>
        <v>87</v>
      </c>
      <c r="T148" s="123">
        <f t="shared" si="262"/>
        <v>8</v>
      </c>
      <c r="U148" s="80">
        <f t="shared" si="199"/>
        <v>0.092568</v>
      </c>
      <c r="V148" s="80"/>
      <c r="W148" s="80"/>
      <c r="X148" s="80"/>
      <c r="Y148" s="80"/>
      <c r="Z148" s="80"/>
      <c r="AA148" s="80">
        <f t="shared" ref="AA148:AC148" si="263">AA147</f>
        <v>5</v>
      </c>
      <c r="AB148" s="80">
        <f t="shared" si="263"/>
        <v>87</v>
      </c>
      <c r="AC148" s="80">
        <f t="shared" si="263"/>
        <v>87</v>
      </c>
      <c r="AD148" s="80">
        <v>0</v>
      </c>
      <c r="AE148" s="126">
        <f t="shared" si="186"/>
        <v>0</v>
      </c>
      <c r="AF148" s="126"/>
      <c r="AG148" s="135"/>
      <c r="AH148" s="128">
        <f t="shared" si="201"/>
        <v>0</v>
      </c>
      <c r="AI148" s="80" t="s">
        <v>568</v>
      </c>
      <c r="AJ148" s="129">
        <f t="shared" si="202"/>
        <v>0</v>
      </c>
      <c r="AK148" s="129">
        <f t="shared" si="203"/>
        <v>0</v>
      </c>
      <c r="AL148" s="80">
        <f t="shared" si="204"/>
        <v>-10</v>
      </c>
      <c r="AM148" s="80" t="str">
        <f t="shared" si="210"/>
        <v>30天内</v>
      </c>
      <c r="AN148" s="81">
        <f t="shared" si="211"/>
        <v>0</v>
      </c>
      <c r="AO148" s="80" t="s">
        <v>575</v>
      </c>
      <c r="AP148" s="130">
        <f t="shared" si="205"/>
        <v>0</v>
      </c>
      <c r="AQ148" s="95"/>
    </row>
    <row r="149" spans="1:43">
      <c r="A149" s="80">
        <v>202510</v>
      </c>
      <c r="B149" s="131">
        <v>45950</v>
      </c>
      <c r="C149" s="80" t="s">
        <v>613</v>
      </c>
      <c r="D149" s="80" t="str">
        <f t="shared" ref="D149:I149" si="264">D148</f>
        <v>M » Vir1</v>
      </c>
      <c r="E149" s="80" t="str">
        <f t="shared" si="264"/>
        <v>YCD-EX:HUPPER TEK</v>
      </c>
      <c r="F149" s="80" t="str">
        <f t="shared" si="264"/>
        <v>MI202510300003</v>
      </c>
      <c r="G149" s="80" t="str">
        <f t="shared" si="264"/>
        <v>DE2508031-G7-MIC</v>
      </c>
      <c r="H149" s="132">
        <f t="shared" si="264"/>
        <v>45960</v>
      </c>
      <c r="I149" s="133" t="str">
        <f t="shared" si="264"/>
        <v>ABM0009-B07GSF11XX</v>
      </c>
      <c r="J149" s="80"/>
      <c r="K149" s="134" t="str">
        <f t="shared" ref="K149:O149" si="265">K148</f>
        <v>白板</v>
      </c>
      <c r="L149" s="80"/>
      <c r="M149" s="123">
        <f t="shared" si="265"/>
        <v>133</v>
      </c>
      <c r="N149" s="123">
        <f t="shared" si="265"/>
        <v>87</v>
      </c>
      <c r="O149" s="123">
        <f t="shared" si="265"/>
        <v>8</v>
      </c>
      <c r="P149" s="80">
        <f t="shared" si="197"/>
        <v>0.092568</v>
      </c>
      <c r="Q149" s="80"/>
      <c r="R149" s="123">
        <f t="shared" ref="R149:T149" si="266">R148</f>
        <v>133</v>
      </c>
      <c r="S149" s="123">
        <f t="shared" si="266"/>
        <v>87</v>
      </c>
      <c r="T149" s="123">
        <f t="shared" si="266"/>
        <v>8</v>
      </c>
      <c r="U149" s="80">
        <f t="shared" si="199"/>
        <v>0.092568</v>
      </c>
      <c r="V149" s="80"/>
      <c r="W149" s="80"/>
      <c r="X149" s="80"/>
      <c r="Y149" s="80"/>
      <c r="Z149" s="80"/>
      <c r="AA149" s="80">
        <f t="shared" ref="AA149:AC149" si="267">AA148</f>
        <v>5</v>
      </c>
      <c r="AB149" s="80">
        <f t="shared" si="267"/>
        <v>87</v>
      </c>
      <c r="AC149" s="80">
        <f t="shared" si="267"/>
        <v>87</v>
      </c>
      <c r="AD149" s="80">
        <v>0</v>
      </c>
      <c r="AE149" s="126">
        <f t="shared" si="186"/>
        <v>0</v>
      </c>
      <c r="AF149" s="126"/>
      <c r="AG149" s="135"/>
      <c r="AH149" s="128">
        <f t="shared" si="201"/>
        <v>0</v>
      </c>
      <c r="AI149" s="80" t="s">
        <v>568</v>
      </c>
      <c r="AJ149" s="129">
        <f t="shared" si="202"/>
        <v>0</v>
      </c>
      <c r="AK149" s="129">
        <f t="shared" si="203"/>
        <v>0</v>
      </c>
      <c r="AL149" s="80">
        <f t="shared" si="204"/>
        <v>-9</v>
      </c>
      <c r="AM149" s="80" t="str">
        <f t="shared" si="210"/>
        <v>30天内</v>
      </c>
      <c r="AN149" s="81">
        <f t="shared" si="211"/>
        <v>0</v>
      </c>
      <c r="AO149" s="80" t="s">
        <v>575</v>
      </c>
      <c r="AP149" s="130">
        <f t="shared" si="205"/>
        <v>0</v>
      </c>
      <c r="AQ149" s="95"/>
    </row>
    <row r="150" spans="1:43">
      <c r="A150" s="80">
        <v>202510</v>
      </c>
      <c r="B150" s="131">
        <v>45951</v>
      </c>
      <c r="C150" s="80" t="s">
        <v>613</v>
      </c>
      <c r="D150" s="80" t="str">
        <f t="shared" ref="D150:I150" si="268">D149</f>
        <v>M » Vir1</v>
      </c>
      <c r="E150" s="80" t="str">
        <f t="shared" si="268"/>
        <v>YCD-EX:HUPPER TEK</v>
      </c>
      <c r="F150" s="80" t="str">
        <f t="shared" si="268"/>
        <v>MI202510300003</v>
      </c>
      <c r="G150" s="80" t="str">
        <f t="shared" si="268"/>
        <v>DE2508031-G7-MIC</v>
      </c>
      <c r="H150" s="132">
        <f t="shared" si="268"/>
        <v>45960</v>
      </c>
      <c r="I150" s="133" t="str">
        <f t="shared" si="268"/>
        <v>ABM0009-B07GSF11XX</v>
      </c>
      <c r="J150" s="80"/>
      <c r="K150" s="134" t="str">
        <f t="shared" ref="K150:O150" si="269">K149</f>
        <v>白板</v>
      </c>
      <c r="L150" s="80"/>
      <c r="M150" s="123">
        <f t="shared" si="269"/>
        <v>133</v>
      </c>
      <c r="N150" s="123">
        <f t="shared" si="269"/>
        <v>87</v>
      </c>
      <c r="O150" s="123">
        <f t="shared" si="269"/>
        <v>8</v>
      </c>
      <c r="P150" s="80">
        <f t="shared" si="197"/>
        <v>0.092568</v>
      </c>
      <c r="Q150" s="80"/>
      <c r="R150" s="123">
        <f t="shared" ref="R150:T150" si="270">R149</f>
        <v>133</v>
      </c>
      <c r="S150" s="123">
        <f t="shared" si="270"/>
        <v>87</v>
      </c>
      <c r="T150" s="123">
        <f t="shared" si="270"/>
        <v>8</v>
      </c>
      <c r="U150" s="80">
        <f t="shared" si="199"/>
        <v>0.092568</v>
      </c>
      <c r="V150" s="80"/>
      <c r="W150" s="80"/>
      <c r="X150" s="80"/>
      <c r="Y150" s="80"/>
      <c r="Z150" s="80"/>
      <c r="AA150" s="80">
        <f t="shared" ref="AA150:AC150" si="271">AA149</f>
        <v>5</v>
      </c>
      <c r="AB150" s="80">
        <f t="shared" si="271"/>
        <v>87</v>
      </c>
      <c r="AC150" s="80">
        <f t="shared" si="271"/>
        <v>87</v>
      </c>
      <c r="AD150" s="80">
        <v>0</v>
      </c>
      <c r="AE150" s="126">
        <f t="shared" si="186"/>
        <v>0</v>
      </c>
      <c r="AF150" s="126"/>
      <c r="AG150" s="135"/>
      <c r="AH150" s="128">
        <f t="shared" si="201"/>
        <v>0</v>
      </c>
      <c r="AI150" s="80" t="s">
        <v>568</v>
      </c>
      <c r="AJ150" s="129">
        <f t="shared" si="202"/>
        <v>0</v>
      </c>
      <c r="AK150" s="129">
        <f t="shared" si="203"/>
        <v>0</v>
      </c>
      <c r="AL150" s="80">
        <f t="shared" si="204"/>
        <v>-8</v>
      </c>
      <c r="AM150" s="80" t="str">
        <f t="shared" si="210"/>
        <v>30天内</v>
      </c>
      <c r="AN150" s="81">
        <f t="shared" si="211"/>
        <v>0</v>
      </c>
      <c r="AO150" s="80" t="s">
        <v>575</v>
      </c>
      <c r="AP150" s="130">
        <f t="shared" si="205"/>
        <v>0</v>
      </c>
      <c r="AQ150" s="95"/>
    </row>
    <row r="151" spans="1:43">
      <c r="A151" s="80">
        <v>202510</v>
      </c>
      <c r="B151" s="131">
        <v>45952</v>
      </c>
      <c r="C151" s="80" t="s">
        <v>613</v>
      </c>
      <c r="D151" s="80" t="str">
        <f t="shared" ref="D151:I151" si="272">D150</f>
        <v>M » Vir1</v>
      </c>
      <c r="E151" s="80" t="str">
        <f t="shared" si="272"/>
        <v>YCD-EX:HUPPER TEK</v>
      </c>
      <c r="F151" s="80" t="str">
        <f t="shared" si="272"/>
        <v>MI202510300003</v>
      </c>
      <c r="G151" s="80" t="str">
        <f t="shared" si="272"/>
        <v>DE2508031-G7-MIC</v>
      </c>
      <c r="H151" s="132">
        <f t="shared" si="272"/>
        <v>45960</v>
      </c>
      <c r="I151" s="133" t="str">
        <f t="shared" si="272"/>
        <v>ABM0009-B07GSF11XX</v>
      </c>
      <c r="J151" s="80"/>
      <c r="K151" s="134" t="str">
        <f t="shared" ref="K151:O151" si="273">K150</f>
        <v>白板</v>
      </c>
      <c r="L151" s="80"/>
      <c r="M151" s="123">
        <f t="shared" si="273"/>
        <v>133</v>
      </c>
      <c r="N151" s="123">
        <f t="shared" si="273"/>
        <v>87</v>
      </c>
      <c r="O151" s="123">
        <f t="shared" si="273"/>
        <v>8</v>
      </c>
      <c r="P151" s="80">
        <f t="shared" si="197"/>
        <v>0.092568</v>
      </c>
      <c r="Q151" s="80"/>
      <c r="R151" s="123">
        <f t="shared" ref="R151:T151" si="274">R150</f>
        <v>133</v>
      </c>
      <c r="S151" s="123">
        <f t="shared" si="274"/>
        <v>87</v>
      </c>
      <c r="T151" s="123">
        <f t="shared" si="274"/>
        <v>8</v>
      </c>
      <c r="U151" s="80">
        <f t="shared" si="199"/>
        <v>0.092568</v>
      </c>
      <c r="V151" s="80"/>
      <c r="W151" s="80"/>
      <c r="X151" s="80"/>
      <c r="Y151" s="80"/>
      <c r="Z151" s="80"/>
      <c r="AA151" s="80">
        <f t="shared" ref="AA151:AC151" si="275">AA150</f>
        <v>5</v>
      </c>
      <c r="AB151" s="80">
        <f t="shared" si="275"/>
        <v>87</v>
      </c>
      <c r="AC151" s="80">
        <f t="shared" si="275"/>
        <v>87</v>
      </c>
      <c r="AD151" s="80">
        <v>0</v>
      </c>
      <c r="AE151" s="126">
        <f t="shared" si="186"/>
        <v>0</v>
      </c>
      <c r="AF151" s="126"/>
      <c r="AG151" s="135"/>
      <c r="AH151" s="128">
        <f t="shared" si="201"/>
        <v>0</v>
      </c>
      <c r="AI151" s="80" t="s">
        <v>568</v>
      </c>
      <c r="AJ151" s="129">
        <f t="shared" si="202"/>
        <v>0</v>
      </c>
      <c r="AK151" s="129">
        <f t="shared" si="203"/>
        <v>0</v>
      </c>
      <c r="AL151" s="80">
        <f t="shared" si="204"/>
        <v>-7</v>
      </c>
      <c r="AM151" s="80" t="str">
        <f t="shared" si="210"/>
        <v>30天内</v>
      </c>
      <c r="AN151" s="81">
        <f t="shared" si="211"/>
        <v>0</v>
      </c>
      <c r="AO151" s="80" t="s">
        <v>575</v>
      </c>
      <c r="AP151" s="130">
        <f t="shared" si="205"/>
        <v>0</v>
      </c>
      <c r="AQ151" s="95"/>
    </row>
    <row r="152" spans="1:43">
      <c r="A152" s="80">
        <v>202510</v>
      </c>
      <c r="B152" s="131">
        <v>45953</v>
      </c>
      <c r="C152" s="80" t="s">
        <v>613</v>
      </c>
      <c r="D152" s="80" t="str">
        <f t="shared" ref="D152:I152" si="276">D151</f>
        <v>M » Vir1</v>
      </c>
      <c r="E152" s="80" t="str">
        <f t="shared" si="276"/>
        <v>YCD-EX:HUPPER TEK</v>
      </c>
      <c r="F152" s="80" t="str">
        <f t="shared" si="276"/>
        <v>MI202510300003</v>
      </c>
      <c r="G152" s="80" t="str">
        <f t="shared" si="276"/>
        <v>DE2508031-G7-MIC</v>
      </c>
      <c r="H152" s="132">
        <f t="shared" si="276"/>
        <v>45960</v>
      </c>
      <c r="I152" s="133" t="str">
        <f t="shared" si="276"/>
        <v>ABM0009-B07GSF11XX</v>
      </c>
      <c r="J152" s="80"/>
      <c r="K152" s="134" t="str">
        <f t="shared" ref="K152:O152" si="277">K151</f>
        <v>白板</v>
      </c>
      <c r="L152" s="80"/>
      <c r="M152" s="123">
        <f t="shared" si="277"/>
        <v>133</v>
      </c>
      <c r="N152" s="123">
        <f t="shared" si="277"/>
        <v>87</v>
      </c>
      <c r="O152" s="123">
        <f t="shared" si="277"/>
        <v>8</v>
      </c>
      <c r="P152" s="80">
        <f t="shared" si="197"/>
        <v>0.092568</v>
      </c>
      <c r="Q152" s="80"/>
      <c r="R152" s="123">
        <f t="shared" ref="R152:T152" si="278">R151</f>
        <v>133</v>
      </c>
      <c r="S152" s="123">
        <f t="shared" si="278"/>
        <v>87</v>
      </c>
      <c r="T152" s="123">
        <f t="shared" si="278"/>
        <v>8</v>
      </c>
      <c r="U152" s="80">
        <f t="shared" si="199"/>
        <v>0.092568</v>
      </c>
      <c r="V152" s="80"/>
      <c r="W152" s="80"/>
      <c r="X152" s="80"/>
      <c r="Y152" s="80"/>
      <c r="Z152" s="80"/>
      <c r="AA152" s="80">
        <f t="shared" ref="AA152:AC152" si="279">AA151</f>
        <v>5</v>
      </c>
      <c r="AB152" s="80">
        <f t="shared" si="279"/>
        <v>87</v>
      </c>
      <c r="AC152" s="80">
        <f t="shared" si="279"/>
        <v>87</v>
      </c>
      <c r="AD152" s="80">
        <v>0</v>
      </c>
      <c r="AE152" s="126">
        <f t="shared" si="186"/>
        <v>0</v>
      </c>
      <c r="AF152" s="126"/>
      <c r="AG152" s="135"/>
      <c r="AH152" s="128">
        <f t="shared" si="201"/>
        <v>0</v>
      </c>
      <c r="AI152" s="80" t="s">
        <v>568</v>
      </c>
      <c r="AJ152" s="129">
        <f t="shared" si="202"/>
        <v>0</v>
      </c>
      <c r="AK152" s="129">
        <f t="shared" si="203"/>
        <v>0</v>
      </c>
      <c r="AL152" s="80">
        <f t="shared" si="204"/>
        <v>-6</v>
      </c>
      <c r="AM152" s="80" t="str">
        <f t="shared" si="210"/>
        <v>30天内</v>
      </c>
      <c r="AN152" s="81">
        <f t="shared" si="211"/>
        <v>0</v>
      </c>
      <c r="AO152" s="80" t="s">
        <v>575</v>
      </c>
      <c r="AP152" s="130">
        <f t="shared" si="205"/>
        <v>0</v>
      </c>
      <c r="AQ152" s="95"/>
    </row>
    <row r="153" spans="1:43">
      <c r="A153" s="80">
        <v>202510</v>
      </c>
      <c r="B153" s="131">
        <v>45954</v>
      </c>
      <c r="C153" s="80" t="s">
        <v>613</v>
      </c>
      <c r="D153" s="80" t="str">
        <f t="shared" ref="D153:I153" si="280">D152</f>
        <v>M » Vir1</v>
      </c>
      <c r="E153" s="80" t="str">
        <f t="shared" si="280"/>
        <v>YCD-EX:HUPPER TEK</v>
      </c>
      <c r="F153" s="80" t="str">
        <f t="shared" si="280"/>
        <v>MI202510300003</v>
      </c>
      <c r="G153" s="80" t="str">
        <f t="shared" si="280"/>
        <v>DE2508031-G7-MIC</v>
      </c>
      <c r="H153" s="132">
        <f t="shared" si="280"/>
        <v>45960</v>
      </c>
      <c r="I153" s="133" t="str">
        <f t="shared" si="280"/>
        <v>ABM0009-B07GSF11XX</v>
      </c>
      <c r="J153" s="80"/>
      <c r="K153" s="134" t="str">
        <f t="shared" ref="K153:O153" si="281">K152</f>
        <v>白板</v>
      </c>
      <c r="L153" s="80"/>
      <c r="M153" s="123">
        <f t="shared" si="281"/>
        <v>133</v>
      </c>
      <c r="N153" s="123">
        <f t="shared" si="281"/>
        <v>87</v>
      </c>
      <c r="O153" s="123">
        <f t="shared" si="281"/>
        <v>8</v>
      </c>
      <c r="P153" s="80">
        <f t="shared" si="197"/>
        <v>0.092568</v>
      </c>
      <c r="Q153" s="80"/>
      <c r="R153" s="123">
        <f t="shared" ref="R153:T153" si="282">R152</f>
        <v>133</v>
      </c>
      <c r="S153" s="123">
        <f t="shared" si="282"/>
        <v>87</v>
      </c>
      <c r="T153" s="123">
        <f t="shared" si="282"/>
        <v>8</v>
      </c>
      <c r="U153" s="80">
        <f t="shared" si="199"/>
        <v>0.092568</v>
      </c>
      <c r="V153" s="80"/>
      <c r="W153" s="80"/>
      <c r="X153" s="80"/>
      <c r="Y153" s="80"/>
      <c r="Z153" s="80"/>
      <c r="AA153" s="80">
        <f t="shared" ref="AA153:AC153" si="283">AA152</f>
        <v>5</v>
      </c>
      <c r="AB153" s="80">
        <f t="shared" si="283"/>
        <v>87</v>
      </c>
      <c r="AC153" s="80">
        <f t="shared" si="283"/>
        <v>87</v>
      </c>
      <c r="AD153" s="80">
        <v>0</v>
      </c>
      <c r="AE153" s="126">
        <f t="shared" si="186"/>
        <v>0</v>
      </c>
      <c r="AF153" s="126"/>
      <c r="AG153" s="135"/>
      <c r="AH153" s="128">
        <f t="shared" si="201"/>
        <v>0</v>
      </c>
      <c r="AI153" s="80" t="s">
        <v>568</v>
      </c>
      <c r="AJ153" s="129">
        <f t="shared" si="202"/>
        <v>0</v>
      </c>
      <c r="AK153" s="129">
        <f t="shared" si="203"/>
        <v>0</v>
      </c>
      <c r="AL153" s="80">
        <f t="shared" si="204"/>
        <v>-5</v>
      </c>
      <c r="AM153" s="80" t="str">
        <f t="shared" si="210"/>
        <v>30天内</v>
      </c>
      <c r="AN153" s="81">
        <f t="shared" si="211"/>
        <v>0</v>
      </c>
      <c r="AO153" s="80" t="s">
        <v>575</v>
      </c>
      <c r="AP153" s="130">
        <f t="shared" si="205"/>
        <v>0</v>
      </c>
      <c r="AQ153" s="95"/>
    </row>
    <row r="154" spans="1:43">
      <c r="A154" s="80">
        <v>202510</v>
      </c>
      <c r="B154" s="131">
        <v>45955</v>
      </c>
      <c r="C154" s="80" t="s">
        <v>613</v>
      </c>
      <c r="D154" s="80" t="str">
        <f t="shared" ref="D154:I154" si="284">D153</f>
        <v>M » Vir1</v>
      </c>
      <c r="E154" s="80" t="str">
        <f t="shared" si="284"/>
        <v>YCD-EX:HUPPER TEK</v>
      </c>
      <c r="F154" s="80" t="str">
        <f t="shared" si="284"/>
        <v>MI202510300003</v>
      </c>
      <c r="G154" s="80" t="str">
        <f t="shared" si="284"/>
        <v>DE2508031-G7-MIC</v>
      </c>
      <c r="H154" s="132">
        <f t="shared" si="284"/>
        <v>45960</v>
      </c>
      <c r="I154" s="133" t="str">
        <f t="shared" si="284"/>
        <v>ABM0009-B07GSF11XX</v>
      </c>
      <c r="J154" s="80"/>
      <c r="K154" s="134" t="str">
        <f t="shared" ref="K154:O154" si="285">K153</f>
        <v>白板</v>
      </c>
      <c r="L154" s="80"/>
      <c r="M154" s="123">
        <f t="shared" si="285"/>
        <v>133</v>
      </c>
      <c r="N154" s="123">
        <f t="shared" si="285"/>
        <v>87</v>
      </c>
      <c r="O154" s="123">
        <f t="shared" si="285"/>
        <v>8</v>
      </c>
      <c r="P154" s="80">
        <f t="shared" si="197"/>
        <v>0.092568</v>
      </c>
      <c r="Q154" s="80"/>
      <c r="R154" s="123">
        <f t="shared" ref="R154:T154" si="286">R153</f>
        <v>133</v>
      </c>
      <c r="S154" s="123">
        <f t="shared" si="286"/>
        <v>87</v>
      </c>
      <c r="T154" s="123">
        <f t="shared" si="286"/>
        <v>8</v>
      </c>
      <c r="U154" s="80">
        <f t="shared" si="199"/>
        <v>0.092568</v>
      </c>
      <c r="V154" s="80"/>
      <c r="W154" s="80"/>
      <c r="X154" s="80"/>
      <c r="Y154" s="80"/>
      <c r="Z154" s="80"/>
      <c r="AA154" s="80">
        <f t="shared" ref="AA154:AC154" si="287">AA153</f>
        <v>5</v>
      </c>
      <c r="AB154" s="80">
        <f t="shared" si="287"/>
        <v>87</v>
      </c>
      <c r="AC154" s="80">
        <f t="shared" si="287"/>
        <v>87</v>
      </c>
      <c r="AD154" s="80">
        <v>0</v>
      </c>
      <c r="AE154" s="126">
        <f t="shared" si="186"/>
        <v>0</v>
      </c>
      <c r="AF154" s="125"/>
      <c r="AG154" s="135"/>
      <c r="AH154" s="128">
        <f t="shared" si="201"/>
        <v>0</v>
      </c>
      <c r="AI154" s="80" t="s">
        <v>568</v>
      </c>
      <c r="AJ154" s="129">
        <f t="shared" si="202"/>
        <v>0</v>
      </c>
      <c r="AK154" s="129">
        <f t="shared" si="203"/>
        <v>0</v>
      </c>
      <c r="AL154" s="80">
        <f t="shared" si="204"/>
        <v>-4</v>
      </c>
      <c r="AM154" s="80" t="str">
        <f t="shared" si="210"/>
        <v>30天内</v>
      </c>
      <c r="AN154" s="81">
        <f t="shared" si="211"/>
        <v>0</v>
      </c>
      <c r="AO154" s="80" t="s">
        <v>575</v>
      </c>
      <c r="AP154" s="130">
        <f t="shared" si="205"/>
        <v>0</v>
      </c>
      <c r="AQ154" s="95"/>
    </row>
    <row r="155" spans="1:43">
      <c r="A155" s="80">
        <v>202510</v>
      </c>
      <c r="B155" s="131">
        <v>45956</v>
      </c>
      <c r="C155" s="80" t="s">
        <v>613</v>
      </c>
      <c r="D155" s="80" t="str">
        <f t="shared" ref="D155:I155" si="288">D154</f>
        <v>M » Vir1</v>
      </c>
      <c r="E155" s="80" t="str">
        <f t="shared" si="288"/>
        <v>YCD-EX:HUPPER TEK</v>
      </c>
      <c r="F155" s="80" t="str">
        <f t="shared" si="288"/>
        <v>MI202510300003</v>
      </c>
      <c r="G155" s="80" t="str">
        <f t="shared" si="288"/>
        <v>DE2508031-G7-MIC</v>
      </c>
      <c r="H155" s="132">
        <f t="shared" si="288"/>
        <v>45960</v>
      </c>
      <c r="I155" s="133" t="str">
        <f t="shared" si="288"/>
        <v>ABM0009-B07GSF11XX</v>
      </c>
      <c r="J155" s="80"/>
      <c r="K155" s="134" t="str">
        <f t="shared" ref="K155:O155" si="289">K154</f>
        <v>白板</v>
      </c>
      <c r="L155" s="80"/>
      <c r="M155" s="123">
        <f t="shared" si="289"/>
        <v>133</v>
      </c>
      <c r="N155" s="123">
        <f t="shared" si="289"/>
        <v>87</v>
      </c>
      <c r="O155" s="123">
        <f t="shared" si="289"/>
        <v>8</v>
      </c>
      <c r="P155" s="80">
        <f t="shared" si="197"/>
        <v>0.092568</v>
      </c>
      <c r="Q155" s="80"/>
      <c r="R155" s="123">
        <f t="shared" ref="R155:T155" si="290">R154</f>
        <v>133</v>
      </c>
      <c r="S155" s="123">
        <f t="shared" si="290"/>
        <v>87</v>
      </c>
      <c r="T155" s="123">
        <f t="shared" si="290"/>
        <v>8</v>
      </c>
      <c r="U155" s="80">
        <f t="shared" si="199"/>
        <v>0.092568</v>
      </c>
      <c r="V155" s="80"/>
      <c r="W155" s="80"/>
      <c r="X155" s="80"/>
      <c r="Y155" s="80"/>
      <c r="Z155" s="80"/>
      <c r="AA155" s="80">
        <f t="shared" ref="AA155:AC155" si="291">AA154</f>
        <v>5</v>
      </c>
      <c r="AB155" s="80">
        <f t="shared" si="291"/>
        <v>87</v>
      </c>
      <c r="AC155" s="80">
        <f t="shared" si="291"/>
        <v>87</v>
      </c>
      <c r="AD155" s="80">
        <v>0</v>
      </c>
      <c r="AE155" s="126">
        <f t="shared" si="186"/>
        <v>0</v>
      </c>
      <c r="AF155" s="125"/>
      <c r="AG155" s="135"/>
      <c r="AH155" s="128">
        <f t="shared" si="201"/>
        <v>0</v>
      </c>
      <c r="AI155" s="80" t="s">
        <v>568</v>
      </c>
      <c r="AJ155" s="129">
        <f t="shared" si="202"/>
        <v>0</v>
      </c>
      <c r="AK155" s="129">
        <f t="shared" si="203"/>
        <v>0</v>
      </c>
      <c r="AL155" s="80">
        <f t="shared" si="204"/>
        <v>-3</v>
      </c>
      <c r="AM155" s="80" t="str">
        <f t="shared" si="210"/>
        <v>30天内</v>
      </c>
      <c r="AN155" s="81">
        <f t="shared" si="211"/>
        <v>0</v>
      </c>
      <c r="AO155" s="80" t="s">
        <v>575</v>
      </c>
      <c r="AP155" s="130">
        <f t="shared" si="205"/>
        <v>0</v>
      </c>
      <c r="AQ155" s="95"/>
    </row>
    <row r="156" spans="1:43">
      <c r="A156" s="80">
        <v>202510</v>
      </c>
      <c r="B156" s="131">
        <v>45957</v>
      </c>
      <c r="C156" s="80" t="s">
        <v>613</v>
      </c>
      <c r="D156" s="80" t="str">
        <f t="shared" ref="D156:I156" si="292">D155</f>
        <v>M » Vir1</v>
      </c>
      <c r="E156" s="80" t="str">
        <f t="shared" si="292"/>
        <v>YCD-EX:HUPPER TEK</v>
      </c>
      <c r="F156" s="80" t="str">
        <f t="shared" si="292"/>
        <v>MI202510300003</v>
      </c>
      <c r="G156" s="80" t="str">
        <f t="shared" si="292"/>
        <v>DE2508031-G7-MIC</v>
      </c>
      <c r="H156" s="132">
        <f t="shared" si="292"/>
        <v>45960</v>
      </c>
      <c r="I156" s="133" t="str">
        <f t="shared" si="292"/>
        <v>ABM0009-B07GSF11XX</v>
      </c>
      <c r="J156" s="80"/>
      <c r="K156" s="134" t="str">
        <f t="shared" ref="K156:O156" si="293">K155</f>
        <v>白板</v>
      </c>
      <c r="L156" s="80"/>
      <c r="M156" s="123">
        <f t="shared" si="293"/>
        <v>133</v>
      </c>
      <c r="N156" s="123">
        <f t="shared" si="293"/>
        <v>87</v>
      </c>
      <c r="O156" s="123">
        <f t="shared" si="293"/>
        <v>8</v>
      </c>
      <c r="P156" s="80">
        <f t="shared" si="197"/>
        <v>0.092568</v>
      </c>
      <c r="Q156" s="80"/>
      <c r="R156" s="123">
        <f t="shared" ref="R156:T156" si="294">R155</f>
        <v>133</v>
      </c>
      <c r="S156" s="123">
        <f t="shared" si="294"/>
        <v>87</v>
      </c>
      <c r="T156" s="123">
        <f t="shared" si="294"/>
        <v>8</v>
      </c>
      <c r="U156" s="80">
        <f t="shared" si="199"/>
        <v>0.092568</v>
      </c>
      <c r="V156" s="80"/>
      <c r="W156" s="80"/>
      <c r="X156" s="80"/>
      <c r="Y156" s="80"/>
      <c r="Z156" s="80"/>
      <c r="AA156" s="80">
        <f t="shared" ref="AA156:AC156" si="295">AA155</f>
        <v>5</v>
      </c>
      <c r="AB156" s="80">
        <f t="shared" si="295"/>
        <v>87</v>
      </c>
      <c r="AC156" s="80">
        <f t="shared" si="295"/>
        <v>87</v>
      </c>
      <c r="AD156" s="80">
        <v>0</v>
      </c>
      <c r="AE156" s="126">
        <f t="shared" si="186"/>
        <v>0</v>
      </c>
      <c r="AF156" s="126"/>
      <c r="AG156" s="135"/>
      <c r="AH156" s="128">
        <f t="shared" si="201"/>
        <v>0</v>
      </c>
      <c r="AI156" s="80" t="s">
        <v>568</v>
      </c>
      <c r="AJ156" s="129">
        <f t="shared" si="202"/>
        <v>0</v>
      </c>
      <c r="AK156" s="129">
        <f t="shared" si="203"/>
        <v>0</v>
      </c>
      <c r="AL156" s="80">
        <f t="shared" si="204"/>
        <v>-2</v>
      </c>
      <c r="AM156" s="80" t="str">
        <f t="shared" si="210"/>
        <v>30天内</v>
      </c>
      <c r="AN156" s="81">
        <f t="shared" si="211"/>
        <v>0</v>
      </c>
      <c r="AO156" s="80" t="s">
        <v>575</v>
      </c>
      <c r="AP156" s="130">
        <f t="shared" si="205"/>
        <v>0</v>
      </c>
      <c r="AQ156" s="95"/>
    </row>
    <row r="157" spans="1:43">
      <c r="A157" s="80">
        <v>202510</v>
      </c>
      <c r="B157" s="131">
        <v>45958</v>
      </c>
      <c r="C157" s="80" t="s">
        <v>613</v>
      </c>
      <c r="D157" s="80" t="str">
        <f t="shared" ref="D157:I157" si="296">D156</f>
        <v>M » Vir1</v>
      </c>
      <c r="E157" s="80" t="str">
        <f t="shared" si="296"/>
        <v>YCD-EX:HUPPER TEK</v>
      </c>
      <c r="F157" s="80" t="str">
        <f t="shared" si="296"/>
        <v>MI202510300003</v>
      </c>
      <c r="G157" s="80" t="str">
        <f t="shared" si="296"/>
        <v>DE2508031-G7-MIC</v>
      </c>
      <c r="H157" s="132">
        <f t="shared" si="296"/>
        <v>45960</v>
      </c>
      <c r="I157" s="133" t="str">
        <f t="shared" si="296"/>
        <v>ABM0009-B07GSF11XX</v>
      </c>
      <c r="J157" s="80"/>
      <c r="K157" s="134" t="str">
        <f t="shared" ref="K157:O157" si="297">K156</f>
        <v>白板</v>
      </c>
      <c r="L157" s="80"/>
      <c r="M157" s="123">
        <f t="shared" si="297"/>
        <v>133</v>
      </c>
      <c r="N157" s="123">
        <f t="shared" si="297"/>
        <v>87</v>
      </c>
      <c r="O157" s="123">
        <f t="shared" si="297"/>
        <v>8</v>
      </c>
      <c r="P157" s="80">
        <f t="shared" si="197"/>
        <v>0.092568</v>
      </c>
      <c r="Q157" s="80"/>
      <c r="R157" s="123">
        <f t="shared" ref="R157:T157" si="298">R156</f>
        <v>133</v>
      </c>
      <c r="S157" s="123">
        <f t="shared" si="298"/>
        <v>87</v>
      </c>
      <c r="T157" s="123">
        <f t="shared" si="298"/>
        <v>8</v>
      </c>
      <c r="U157" s="80">
        <f t="shared" si="199"/>
        <v>0.092568</v>
      </c>
      <c r="V157" s="80"/>
      <c r="W157" s="80"/>
      <c r="X157" s="80"/>
      <c r="Y157" s="80"/>
      <c r="Z157" s="80"/>
      <c r="AA157" s="80">
        <f t="shared" ref="AA157:AC157" si="299">AA156</f>
        <v>5</v>
      </c>
      <c r="AB157" s="80">
        <f t="shared" si="299"/>
        <v>87</v>
      </c>
      <c r="AC157" s="80">
        <f t="shared" si="299"/>
        <v>87</v>
      </c>
      <c r="AD157" s="80">
        <v>0</v>
      </c>
      <c r="AE157" s="126">
        <f t="shared" si="186"/>
        <v>0</v>
      </c>
      <c r="AF157" s="126"/>
      <c r="AG157" s="135"/>
      <c r="AH157" s="128">
        <f t="shared" si="201"/>
        <v>0</v>
      </c>
      <c r="AI157" s="80" t="s">
        <v>568</v>
      </c>
      <c r="AJ157" s="129">
        <f t="shared" si="202"/>
        <v>0</v>
      </c>
      <c r="AK157" s="129">
        <f t="shared" si="203"/>
        <v>0</v>
      </c>
      <c r="AL157" s="80">
        <f t="shared" si="204"/>
        <v>-1</v>
      </c>
      <c r="AM157" s="80" t="str">
        <f t="shared" si="210"/>
        <v>30天内</v>
      </c>
      <c r="AN157" s="81">
        <f t="shared" si="211"/>
        <v>0</v>
      </c>
      <c r="AO157" s="80" t="s">
        <v>575</v>
      </c>
      <c r="AP157" s="130">
        <f t="shared" si="205"/>
        <v>0</v>
      </c>
      <c r="AQ157" s="95"/>
    </row>
    <row r="158" spans="1:43">
      <c r="A158" s="80">
        <v>202510</v>
      </c>
      <c r="B158" s="131">
        <v>45959</v>
      </c>
      <c r="C158" s="80" t="s">
        <v>613</v>
      </c>
      <c r="D158" s="80" t="str">
        <f t="shared" ref="D158:I158" si="300">D157</f>
        <v>M » Vir1</v>
      </c>
      <c r="E158" s="80" t="str">
        <f t="shared" si="300"/>
        <v>YCD-EX:HUPPER TEK</v>
      </c>
      <c r="F158" s="80" t="str">
        <f t="shared" si="300"/>
        <v>MI202510300003</v>
      </c>
      <c r="G158" s="80" t="str">
        <f t="shared" si="300"/>
        <v>DE2508031-G7-MIC</v>
      </c>
      <c r="H158" s="132">
        <f t="shared" si="300"/>
        <v>45960</v>
      </c>
      <c r="I158" s="133" t="str">
        <f t="shared" si="300"/>
        <v>ABM0009-B07GSF11XX</v>
      </c>
      <c r="J158" s="80"/>
      <c r="K158" s="134" t="str">
        <f t="shared" ref="K158:O158" si="301">K157</f>
        <v>白板</v>
      </c>
      <c r="L158" s="80"/>
      <c r="M158" s="123">
        <f t="shared" si="301"/>
        <v>133</v>
      </c>
      <c r="N158" s="123">
        <f t="shared" si="301"/>
        <v>87</v>
      </c>
      <c r="O158" s="123">
        <f t="shared" si="301"/>
        <v>8</v>
      </c>
      <c r="P158" s="80">
        <f t="shared" si="197"/>
        <v>0.092568</v>
      </c>
      <c r="Q158" s="80"/>
      <c r="R158" s="123">
        <f t="shared" ref="R158:T158" si="302">R157</f>
        <v>133</v>
      </c>
      <c r="S158" s="123">
        <f t="shared" si="302"/>
        <v>87</v>
      </c>
      <c r="T158" s="123">
        <f t="shared" si="302"/>
        <v>8</v>
      </c>
      <c r="U158" s="80">
        <f t="shared" si="199"/>
        <v>0.092568</v>
      </c>
      <c r="V158" s="80"/>
      <c r="W158" s="80"/>
      <c r="X158" s="80"/>
      <c r="Y158" s="80"/>
      <c r="Z158" s="80"/>
      <c r="AA158" s="80">
        <f t="shared" ref="AA158:AC158" si="303">AA157</f>
        <v>5</v>
      </c>
      <c r="AB158" s="80">
        <f t="shared" si="303"/>
        <v>87</v>
      </c>
      <c r="AC158" s="80">
        <f t="shared" si="303"/>
        <v>87</v>
      </c>
      <c r="AD158" s="80">
        <v>0</v>
      </c>
      <c r="AE158" s="126">
        <f t="shared" si="186"/>
        <v>0</v>
      </c>
      <c r="AF158" s="126"/>
      <c r="AG158" s="135"/>
      <c r="AH158" s="128">
        <f t="shared" si="201"/>
        <v>0</v>
      </c>
      <c r="AI158" s="80" t="s">
        <v>568</v>
      </c>
      <c r="AJ158" s="129">
        <f t="shared" si="202"/>
        <v>0</v>
      </c>
      <c r="AK158" s="129">
        <f t="shared" si="203"/>
        <v>0</v>
      </c>
      <c r="AL158" s="80">
        <f t="shared" si="204"/>
        <v>0</v>
      </c>
      <c r="AM158" s="80" t="str">
        <f t="shared" si="210"/>
        <v>30天内</v>
      </c>
      <c r="AN158" s="81">
        <f t="shared" si="211"/>
        <v>0</v>
      </c>
      <c r="AO158" s="80" t="s">
        <v>575</v>
      </c>
      <c r="AP158" s="130">
        <f t="shared" si="205"/>
        <v>0</v>
      </c>
      <c r="AQ158" s="95"/>
    </row>
    <row r="159" spans="1:43">
      <c r="A159" s="80">
        <v>202510</v>
      </c>
      <c r="B159" s="131">
        <v>45960</v>
      </c>
      <c r="C159" s="80" t="s">
        <v>613</v>
      </c>
      <c r="D159" s="80" t="str">
        <f t="shared" ref="D159:I159" si="304">D158</f>
        <v>M » Vir1</v>
      </c>
      <c r="E159" s="80" t="str">
        <f t="shared" si="304"/>
        <v>YCD-EX:HUPPER TEK</v>
      </c>
      <c r="F159" s="80" t="str">
        <f t="shared" si="304"/>
        <v>MI202510300003</v>
      </c>
      <c r="G159" s="80" t="str">
        <f t="shared" si="304"/>
        <v>DE2508031-G7-MIC</v>
      </c>
      <c r="H159" s="132">
        <f t="shared" si="304"/>
        <v>45960</v>
      </c>
      <c r="I159" s="133" t="str">
        <f t="shared" si="304"/>
        <v>ABM0009-B07GSF11XX</v>
      </c>
      <c r="J159" s="80"/>
      <c r="K159" s="134" t="str">
        <f t="shared" ref="K159:O159" si="305">K158</f>
        <v>白板</v>
      </c>
      <c r="L159" s="80"/>
      <c r="M159" s="123">
        <f t="shared" si="305"/>
        <v>133</v>
      </c>
      <c r="N159" s="123">
        <f t="shared" si="305"/>
        <v>87</v>
      </c>
      <c r="O159" s="123">
        <f t="shared" si="305"/>
        <v>8</v>
      </c>
      <c r="P159" s="80">
        <f t="shared" si="197"/>
        <v>0.092568</v>
      </c>
      <c r="Q159" s="80"/>
      <c r="R159" s="123">
        <f t="shared" ref="R159:T159" si="306">R158</f>
        <v>133</v>
      </c>
      <c r="S159" s="123">
        <f t="shared" si="306"/>
        <v>87</v>
      </c>
      <c r="T159" s="123">
        <f t="shared" si="306"/>
        <v>8</v>
      </c>
      <c r="U159" s="80">
        <f t="shared" si="199"/>
        <v>0.092568</v>
      </c>
      <c r="V159" s="80"/>
      <c r="W159" s="80"/>
      <c r="X159" s="80"/>
      <c r="Y159" s="80"/>
      <c r="Z159" s="80"/>
      <c r="AA159" s="80">
        <f t="shared" ref="AA159:AC159" si="307">AA158</f>
        <v>5</v>
      </c>
      <c r="AB159" s="80">
        <f t="shared" si="307"/>
        <v>87</v>
      </c>
      <c r="AC159" s="80">
        <f t="shared" si="307"/>
        <v>87</v>
      </c>
      <c r="AD159" s="80">
        <v>0</v>
      </c>
      <c r="AE159" s="126">
        <f t="shared" si="186"/>
        <v>0</v>
      </c>
      <c r="AF159" s="126">
        <v>87</v>
      </c>
      <c r="AG159" s="135"/>
      <c r="AH159" s="128">
        <f t="shared" si="201"/>
        <v>87</v>
      </c>
      <c r="AI159" s="80" t="s">
        <v>568</v>
      </c>
      <c r="AJ159" s="129">
        <f t="shared" si="202"/>
        <v>8.053416</v>
      </c>
      <c r="AK159" s="129">
        <f t="shared" si="203"/>
        <v>8.053416</v>
      </c>
      <c r="AL159" s="80">
        <f t="shared" si="204"/>
        <v>1</v>
      </c>
      <c r="AM159" s="80" t="str">
        <f t="shared" si="210"/>
        <v>30天内</v>
      </c>
      <c r="AN159" s="81">
        <f t="shared" si="211"/>
        <v>0</v>
      </c>
      <c r="AO159" s="80" t="s">
        <v>575</v>
      </c>
      <c r="AP159" s="130">
        <f t="shared" si="205"/>
        <v>0</v>
      </c>
      <c r="AQ159" s="95"/>
    </row>
    <row r="160" spans="1:43">
      <c r="A160" s="80">
        <v>202510</v>
      </c>
      <c r="B160" s="131">
        <v>45961</v>
      </c>
      <c r="C160" s="80" t="s">
        <v>613</v>
      </c>
      <c r="D160" s="80" t="str">
        <f t="shared" ref="D160:I160" si="308">D159</f>
        <v>M » Vir1</v>
      </c>
      <c r="E160" s="80" t="str">
        <f t="shared" si="308"/>
        <v>YCD-EX:HUPPER TEK</v>
      </c>
      <c r="F160" s="80" t="str">
        <f t="shared" si="308"/>
        <v>MI202510300003</v>
      </c>
      <c r="G160" s="80" t="str">
        <f t="shared" si="308"/>
        <v>DE2508031-G7-MIC</v>
      </c>
      <c r="H160" s="132">
        <f t="shared" si="308"/>
        <v>45960</v>
      </c>
      <c r="I160" s="133" t="str">
        <f t="shared" si="308"/>
        <v>ABM0009-B07GSF11XX</v>
      </c>
      <c r="J160" s="80"/>
      <c r="K160" s="134" t="str">
        <f t="shared" ref="K160:O160" si="309">K159</f>
        <v>白板</v>
      </c>
      <c r="L160" s="80"/>
      <c r="M160" s="123">
        <f t="shared" si="309"/>
        <v>133</v>
      </c>
      <c r="N160" s="123">
        <f t="shared" si="309"/>
        <v>87</v>
      </c>
      <c r="O160" s="123">
        <f t="shared" si="309"/>
        <v>8</v>
      </c>
      <c r="P160" s="80">
        <f t="shared" si="197"/>
        <v>0.092568</v>
      </c>
      <c r="Q160" s="80"/>
      <c r="R160" s="123">
        <f t="shared" ref="R160:T160" si="310">R159</f>
        <v>133</v>
      </c>
      <c r="S160" s="123">
        <f t="shared" si="310"/>
        <v>87</v>
      </c>
      <c r="T160" s="123">
        <f t="shared" si="310"/>
        <v>8</v>
      </c>
      <c r="U160" s="80">
        <f t="shared" si="199"/>
        <v>0.092568</v>
      </c>
      <c r="V160" s="80"/>
      <c r="W160" s="80"/>
      <c r="X160" s="80"/>
      <c r="Y160" s="80"/>
      <c r="Z160" s="80"/>
      <c r="AA160" s="80">
        <f t="shared" ref="AA160:AC160" si="311">AA159</f>
        <v>5</v>
      </c>
      <c r="AB160" s="80">
        <f t="shared" si="311"/>
        <v>87</v>
      </c>
      <c r="AC160" s="80">
        <f t="shared" si="311"/>
        <v>87</v>
      </c>
      <c r="AD160" s="80">
        <v>0</v>
      </c>
      <c r="AE160" s="126">
        <f t="shared" si="186"/>
        <v>87</v>
      </c>
      <c r="AF160" s="125"/>
      <c r="AG160" s="135">
        <v>6</v>
      </c>
      <c r="AH160" s="137">
        <f t="shared" si="201"/>
        <v>81</v>
      </c>
      <c r="AI160" s="80" t="s">
        <v>568</v>
      </c>
      <c r="AJ160" s="129">
        <f t="shared" si="202"/>
        <v>7.498008</v>
      </c>
      <c r="AK160" s="129">
        <f t="shared" si="203"/>
        <v>7.498008</v>
      </c>
      <c r="AL160" s="80">
        <f t="shared" si="204"/>
        <v>2</v>
      </c>
      <c r="AM160" s="80" t="str">
        <f t="shared" si="210"/>
        <v>30天内</v>
      </c>
      <c r="AN160" s="81">
        <f t="shared" si="211"/>
        <v>0</v>
      </c>
      <c r="AO160" s="80" t="s">
        <v>575</v>
      </c>
      <c r="AP160" s="130">
        <f t="shared" si="205"/>
        <v>0</v>
      </c>
      <c r="AQ160" s="95"/>
    </row>
  </sheetData>
  <autoFilter xmlns:etc="http://www.wps.cn/officeDocument/2017/etCustomData" ref="A5:AQ160" etc:filterBottomFollowUsedRange="0">
    <sortState ref="A5:AQ160">
      <sortCondition ref="H5:H129"/>
    </sortState>
    <extLst/>
  </autoFilter>
  <mergeCells count="9">
    <mergeCell ref="A2:B2"/>
    <mergeCell ref="C2:H2"/>
    <mergeCell ref="I2:P2"/>
    <mergeCell ref="Q2:U2"/>
    <mergeCell ref="V2:Z2"/>
    <mergeCell ref="AA2:AD2"/>
    <mergeCell ref="AE2:AH2"/>
    <mergeCell ref="AJ2:AP2"/>
    <mergeCell ref="AQ2:AQ4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2"/>
  <sheetViews>
    <sheetView workbookViewId="0">
      <pane xSplit="2" ySplit="4" topLeftCell="AV5" activePane="bottomRight" state="frozen"/>
      <selection/>
      <selection pane="topRight"/>
      <selection pane="bottomLeft"/>
      <selection pane="bottomRight" activeCell="BL24" sqref="BL24"/>
    </sheetView>
  </sheetViews>
  <sheetFormatPr defaultColWidth="8.36666666666667" defaultRowHeight="12.75"/>
  <cols>
    <col min="1" max="1" width="14.25" style="14" customWidth="1"/>
    <col min="2" max="2" width="17.3166666666667" style="14" customWidth="1"/>
    <col min="3" max="3" width="5.375" style="14" customWidth="1"/>
    <col min="4" max="4" width="4.29166666666667" style="14" customWidth="1"/>
    <col min="5" max="5" width="8.75" style="14" hidden="1" customWidth="1" outlineLevel="1"/>
    <col min="6" max="6" width="12.625" style="14" hidden="1" customWidth="1" outlineLevel="1"/>
    <col min="7" max="7" width="13.1333333333333" style="14" customWidth="1" collapsed="1"/>
    <col min="8" max="8" width="8.19166666666667" style="14" hidden="1" customWidth="1" outlineLevel="1"/>
    <col min="9" max="9" width="21.4416666666667" style="14" customWidth="1" collapsed="1"/>
    <col min="10" max="10" width="14.625" style="14" customWidth="1"/>
    <col min="11" max="11" width="22.3833333333333" style="14" customWidth="1"/>
    <col min="12" max="12" width="4.31666666666667" style="14" hidden="1" customWidth="1" outlineLevel="1"/>
    <col min="13" max="13" width="7.94166666666667" style="14" customWidth="1" collapsed="1"/>
    <col min="14" max="14" width="5.54166666666667" style="14" customWidth="1"/>
    <col min="15" max="15" width="5.13333333333333" style="14" customWidth="1"/>
    <col min="16" max="16" width="7.075" style="14" customWidth="1"/>
    <col min="17" max="17" width="9.1" style="14" customWidth="1"/>
    <col min="18" max="18" width="10.8833333333333" style="15" customWidth="1"/>
    <col min="19" max="19" width="9.69166666666667" style="16" customWidth="1"/>
    <col min="20" max="20" width="11.3833333333333" style="16" customWidth="1"/>
    <col min="21" max="24" width="5.13333333333333" style="14" customWidth="1"/>
    <col min="25" max="25" width="8.31666666666667" style="14" customWidth="1"/>
    <col min="26" max="26" width="7.19166666666667" style="14" customWidth="1"/>
    <col min="27" max="27" width="4.38333333333333" style="14" hidden="1" customWidth="1" outlineLevel="1"/>
    <col min="28" max="28" width="10.9416666666667" style="14" hidden="1" customWidth="1" outlineLevel="1"/>
    <col min="29" max="29" width="7.19166666666667" style="14" hidden="1" customWidth="1" outlineLevel="1"/>
    <col min="30" max="30" width="5.75833333333333" style="14" customWidth="1" collapsed="1"/>
    <col min="31" max="31" width="8.69166666666667" style="14" customWidth="1"/>
    <col min="32" max="32" width="8.69166666666667" style="17" customWidth="1"/>
    <col min="33" max="34" width="4.7" style="11" customWidth="1"/>
    <col min="35" max="35" width="10.7583333333333" style="11" customWidth="1"/>
    <col min="36" max="36" width="8.36666666666667" style="11"/>
    <col min="37" max="37" width="4.94166666666667" style="11" customWidth="1"/>
    <col min="38" max="38" width="5.825" style="11" customWidth="1"/>
    <col min="39" max="39" width="4.44166666666667" style="11" customWidth="1"/>
    <col min="40" max="43" width="5.825" style="11" customWidth="1"/>
    <col min="44" max="44" width="6.325" style="11" customWidth="1"/>
    <col min="45" max="45" width="7.25833333333333" style="11" customWidth="1"/>
    <col min="46" max="46" width="8.36666666666667" style="11"/>
    <col min="47" max="59" width="5.075" style="11" customWidth="1"/>
    <col min="60" max="61" width="8.36666666666667" style="11"/>
    <col min="62" max="66" width="5.31666666666667" style="11" customWidth="1"/>
    <col min="67" max="67" width="10.0083333333333" style="11" customWidth="1"/>
    <col min="68" max="68" width="8.56666666666667" style="11" customWidth="1"/>
    <col min="69" max="72" width="5.31666666666667" style="11" customWidth="1"/>
    <col min="73" max="73" width="8" style="11" customWidth="1"/>
    <col min="74" max="74" width="5.38333333333333" style="11" customWidth="1"/>
    <col min="75" max="16384" width="8.36666666666667" style="11"/>
  </cols>
  <sheetData>
    <row r="1" s="11" customFormat="1" spans="1:76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  <c r="S1" s="16"/>
      <c r="T1" s="16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7"/>
      <c r="AJ1" s="18">
        <f>SUM(AJ2:AJ120000)</f>
        <v>19.4</v>
      </c>
      <c r="AQ1" s="18">
        <f>SUM(AQ2:AQ120000)</f>
        <v>186.2343</v>
      </c>
      <c r="BH1" s="18">
        <f>SUM(BH2:BH120000)</f>
        <v>40.4</v>
      </c>
      <c r="BI1" s="18">
        <f>SUM(BI2:BI120000)</f>
        <v>226.6343</v>
      </c>
      <c r="BW1" s="18">
        <f>SUM(BW5)</f>
        <v>0</v>
      </c>
      <c r="BX1" s="18">
        <f>SUM(BX2:BX120000)</f>
        <v>246.0343</v>
      </c>
    </row>
    <row r="2" s="12" customFormat="1" ht="18" spans="1:76">
      <c r="A2" s="19" t="s">
        <v>617</v>
      </c>
      <c r="B2" s="19"/>
      <c r="C2" s="19"/>
      <c r="D2" s="19"/>
      <c r="E2" s="19"/>
      <c r="F2" s="19"/>
      <c r="G2" s="19"/>
      <c r="H2" s="19"/>
      <c r="I2" s="19"/>
      <c r="J2" s="19"/>
      <c r="K2" s="20"/>
      <c r="L2" s="19"/>
      <c r="M2" s="19"/>
      <c r="N2" s="19"/>
      <c r="O2" s="19"/>
      <c r="P2" s="19"/>
      <c r="Q2" s="19"/>
      <c r="R2" s="21"/>
      <c r="S2" s="22"/>
      <c r="T2" s="22"/>
      <c r="U2" s="19"/>
      <c r="V2" s="19"/>
      <c r="W2" s="19"/>
      <c r="X2" s="19"/>
      <c r="Y2" s="19"/>
      <c r="Z2" s="20"/>
      <c r="AA2" s="20"/>
      <c r="AB2" s="20"/>
      <c r="AC2" s="20"/>
      <c r="AD2" s="20"/>
      <c r="AE2" s="20"/>
      <c r="AF2" s="23"/>
      <c r="AG2" s="24" t="s">
        <v>618</v>
      </c>
      <c r="AH2" s="24"/>
      <c r="AI2" s="24"/>
      <c r="AJ2" s="25"/>
      <c r="AK2" s="25" t="s">
        <v>619</v>
      </c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7" t="s">
        <v>620</v>
      </c>
      <c r="BK2" s="26"/>
      <c r="BL2" s="27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8" t="s">
        <v>621</v>
      </c>
    </row>
    <row r="3" s="11" customFormat="1" ht="20" customHeight="1" spans="1:7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9"/>
      <c r="S3" s="30" t="s">
        <v>622</v>
      </c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2"/>
      <c r="AG3" s="24"/>
      <c r="AH3" s="24"/>
      <c r="AI3" s="24"/>
      <c r="AJ3" s="33" t="s">
        <v>623</v>
      </c>
      <c r="AK3" s="34" t="s">
        <v>624</v>
      </c>
      <c r="AL3" s="35"/>
      <c r="AM3" s="35"/>
      <c r="AN3" s="35"/>
      <c r="AO3" s="35"/>
      <c r="AP3" s="36"/>
      <c r="AQ3" s="36"/>
      <c r="AR3" s="36" t="s">
        <v>625</v>
      </c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7" t="s">
        <v>626</v>
      </c>
      <c r="BJ3" s="38" t="s">
        <v>627</v>
      </c>
      <c r="BK3" s="39"/>
      <c r="BL3" s="38"/>
      <c r="BM3" s="39"/>
      <c r="BN3" s="39"/>
      <c r="BO3" s="39"/>
      <c r="BP3" s="39" t="s">
        <v>564</v>
      </c>
      <c r="BQ3" s="39"/>
      <c r="BR3" s="39"/>
      <c r="BS3" s="39"/>
      <c r="BT3" s="39"/>
      <c r="BU3" s="39"/>
      <c r="BV3" s="39"/>
      <c r="BW3" s="39"/>
      <c r="BX3" s="40"/>
    </row>
    <row r="4" s="13" customFormat="1" ht="54" customHeight="1" spans="1:76">
      <c r="A4" s="41" t="s">
        <v>628</v>
      </c>
      <c r="B4" s="41" t="s">
        <v>629</v>
      </c>
      <c r="C4" s="42" t="s">
        <v>630</v>
      </c>
      <c r="D4" s="43" t="s">
        <v>120</v>
      </c>
      <c r="E4" s="41" t="s">
        <v>127</v>
      </c>
      <c r="F4" s="41" t="s">
        <v>631</v>
      </c>
      <c r="G4" s="41" t="s">
        <v>632</v>
      </c>
      <c r="H4" s="44" t="s">
        <v>633</v>
      </c>
      <c r="I4" s="41" t="s">
        <v>634</v>
      </c>
      <c r="J4" s="41" t="s">
        <v>142</v>
      </c>
      <c r="K4" s="41" t="s">
        <v>635</v>
      </c>
      <c r="L4" s="41" t="s">
        <v>585</v>
      </c>
      <c r="M4" s="41" t="s">
        <v>146</v>
      </c>
      <c r="N4" s="42" t="s">
        <v>636</v>
      </c>
      <c r="O4" s="42" t="s">
        <v>637</v>
      </c>
      <c r="P4" s="41" t="s">
        <v>126</v>
      </c>
      <c r="Q4" s="41" t="s">
        <v>638</v>
      </c>
      <c r="R4" s="45" t="s">
        <v>639</v>
      </c>
      <c r="S4" s="46" t="s">
        <v>640</v>
      </c>
      <c r="T4" s="46" t="s">
        <v>140</v>
      </c>
      <c r="U4" s="41" t="s">
        <v>641</v>
      </c>
      <c r="V4" s="47" t="s">
        <v>543</v>
      </c>
      <c r="W4" s="47" t="s">
        <v>544</v>
      </c>
      <c r="X4" s="47" t="s">
        <v>545</v>
      </c>
      <c r="Y4" s="47" t="s">
        <v>642</v>
      </c>
      <c r="Z4" s="48" t="s">
        <v>643</v>
      </c>
      <c r="AA4" s="48" t="s">
        <v>89</v>
      </c>
      <c r="AB4" s="48" t="s">
        <v>644</v>
      </c>
      <c r="AC4" s="48" t="s">
        <v>645</v>
      </c>
      <c r="AD4" s="48" t="s">
        <v>646</v>
      </c>
      <c r="AE4" s="42" t="s">
        <v>637</v>
      </c>
      <c r="AF4" s="41" t="s">
        <v>647</v>
      </c>
      <c r="AG4" s="49" t="s">
        <v>648</v>
      </c>
      <c r="AH4" s="50" t="s">
        <v>649</v>
      </c>
      <c r="AI4" s="51" t="s">
        <v>650</v>
      </c>
      <c r="AJ4" s="42"/>
      <c r="AK4" s="52" t="s">
        <v>651</v>
      </c>
      <c r="AL4" s="53" t="s">
        <v>652</v>
      </c>
      <c r="AM4" s="53" t="s">
        <v>653</v>
      </c>
      <c r="AN4" s="53" t="s">
        <v>654</v>
      </c>
      <c r="AO4" s="54" t="s">
        <v>655</v>
      </c>
      <c r="AP4" s="50" t="s">
        <v>656</v>
      </c>
      <c r="AQ4" s="51" t="s">
        <v>650</v>
      </c>
      <c r="AR4" s="50" t="s">
        <v>657</v>
      </c>
      <c r="AS4" s="55" t="s">
        <v>658</v>
      </c>
      <c r="AT4" s="56" t="s">
        <v>659</v>
      </c>
      <c r="AU4" s="57" t="s">
        <v>660</v>
      </c>
      <c r="AV4" s="50" t="s">
        <v>661</v>
      </c>
      <c r="AW4" s="57" t="s">
        <v>662</v>
      </c>
      <c r="AX4" s="58" t="s">
        <v>663</v>
      </c>
      <c r="AY4" s="58" t="s">
        <v>483</v>
      </c>
      <c r="AZ4" s="57" t="s">
        <v>664</v>
      </c>
      <c r="BA4" s="57" t="s">
        <v>665</v>
      </c>
      <c r="BB4" s="59" t="s">
        <v>666</v>
      </c>
      <c r="BC4" s="57" t="s">
        <v>667</v>
      </c>
      <c r="BD4" s="57" t="s">
        <v>668</v>
      </c>
      <c r="BE4" s="50" t="s">
        <v>669</v>
      </c>
      <c r="BF4" s="60" t="s">
        <v>670</v>
      </c>
      <c r="BG4" s="57" t="s">
        <v>174</v>
      </c>
      <c r="BH4" s="37" t="s">
        <v>175</v>
      </c>
      <c r="BI4" s="61"/>
      <c r="BJ4" s="46" t="s">
        <v>671</v>
      </c>
      <c r="BK4" s="62" t="s">
        <v>672</v>
      </c>
      <c r="BL4" s="38" t="s">
        <v>673</v>
      </c>
      <c r="BM4" s="62" t="s">
        <v>674</v>
      </c>
      <c r="BN4" s="62" t="s">
        <v>675</v>
      </c>
      <c r="BO4" s="62" t="s">
        <v>676</v>
      </c>
      <c r="BP4" s="62" t="s">
        <v>677</v>
      </c>
      <c r="BQ4" s="62" t="s">
        <v>678</v>
      </c>
      <c r="BR4" s="62" t="s">
        <v>679</v>
      </c>
      <c r="BS4" s="62" t="s">
        <v>680</v>
      </c>
      <c r="BT4" s="62" t="s">
        <v>681</v>
      </c>
      <c r="BU4" s="63" t="s">
        <v>682</v>
      </c>
      <c r="BV4" s="64" t="s">
        <v>683</v>
      </c>
      <c r="BW4" s="65" t="s">
        <v>684</v>
      </c>
      <c r="BX4" s="40"/>
    </row>
    <row r="5" s="11" customFormat="1" ht="15" spans="1:76">
      <c r="A5" s="66" t="s">
        <v>685</v>
      </c>
      <c r="B5" s="66" t="s">
        <v>686</v>
      </c>
      <c r="C5" s="3">
        <v>1</v>
      </c>
      <c r="D5" s="3">
        <v>1</v>
      </c>
      <c r="E5" s="67" t="s">
        <v>97</v>
      </c>
      <c r="F5" s="67" t="s">
        <v>687</v>
      </c>
      <c r="G5" s="4" t="s">
        <v>688</v>
      </c>
      <c r="H5" s="3"/>
      <c r="I5" s="3" t="s">
        <v>194</v>
      </c>
      <c r="J5" s="67" t="s">
        <v>243</v>
      </c>
      <c r="K5" s="4" t="str">
        <f>VLOOKUP($J5,物品明细!A:L,2,0)</f>
        <v>金属储物柜71英寸灰色</v>
      </c>
      <c r="L5" s="3"/>
      <c r="M5" s="3">
        <v>1</v>
      </c>
      <c r="N5" s="3">
        <f>VLOOKUP(J5,物品明细!A:L,4,0)</f>
        <v>47.4</v>
      </c>
      <c r="O5" s="3">
        <v>47.4</v>
      </c>
      <c r="P5" s="67" t="s">
        <v>689</v>
      </c>
      <c r="Q5" s="67" t="s">
        <v>690</v>
      </c>
      <c r="R5" s="29">
        <v>45943</v>
      </c>
      <c r="S5" s="68" t="s">
        <v>691</v>
      </c>
      <c r="T5" s="69" t="s">
        <v>234</v>
      </c>
      <c r="U5" s="3" t="s">
        <v>199</v>
      </c>
      <c r="V5" s="3">
        <f>VLOOKUP(J5,物品明细!A:L,5,0)</f>
        <v>188</v>
      </c>
      <c r="W5" s="3">
        <f>VLOOKUP(J5,物品明细!A:L,6,0)</f>
        <v>49</v>
      </c>
      <c r="X5" s="3">
        <f>VLOOKUP(J5,物品明细!A:G,7,0)</f>
        <v>14</v>
      </c>
      <c r="Y5" s="3">
        <f>VLOOKUP(J5,物品明细!A:K,10,0)</f>
        <v>0.128968</v>
      </c>
      <c r="Z5" s="67">
        <f>N5*M5</f>
        <v>47.4</v>
      </c>
      <c r="AA5" s="3"/>
      <c r="AB5" s="3"/>
      <c r="AC5" s="3"/>
      <c r="AD5" s="3"/>
      <c r="AE5" s="3">
        <f>SUMIF(B:B,B5,Z:Z)</f>
        <v>47.4</v>
      </c>
      <c r="AF5" s="32"/>
      <c r="AG5" s="67">
        <f>M5</f>
        <v>1</v>
      </c>
      <c r="AH5" s="70">
        <v>2.5</v>
      </c>
      <c r="AI5" s="71">
        <v>4.85</v>
      </c>
      <c r="AJ5" s="72">
        <f>AI5</f>
        <v>4.85</v>
      </c>
      <c r="AK5" s="73">
        <v>1</v>
      </c>
      <c r="AL5" s="73">
        <f>$AE5</f>
        <v>47.4</v>
      </c>
      <c r="AM5" s="3"/>
      <c r="AN5" s="3" t="str">
        <f>S5</f>
        <v>12559</v>
      </c>
      <c r="AO5" s="3">
        <v>50</v>
      </c>
      <c r="AP5" s="70">
        <v>46.558575</v>
      </c>
      <c r="AQ5" s="71">
        <f>AP5*AK5</f>
        <v>46.558575</v>
      </c>
      <c r="AR5" s="74">
        <v>2.5</v>
      </c>
      <c r="AS5" s="70"/>
      <c r="AT5" s="70"/>
      <c r="AU5" s="70"/>
      <c r="AV5" s="70"/>
      <c r="AW5" s="75">
        <f>$AO5*0.024</f>
        <v>1.2</v>
      </c>
      <c r="AX5" s="70"/>
      <c r="AY5" s="70"/>
      <c r="AZ5" s="70"/>
      <c r="BA5" s="70"/>
      <c r="BB5" s="70">
        <v>2.5</v>
      </c>
      <c r="BC5" s="70"/>
      <c r="BD5" s="70"/>
      <c r="BE5" s="70"/>
      <c r="BF5" s="70"/>
      <c r="BG5" s="70">
        <v>7.8</v>
      </c>
      <c r="BH5" s="71">
        <f>SUM(AR5:BG5)</f>
        <v>14</v>
      </c>
      <c r="BI5" s="72">
        <f>AQ5+BH5</f>
        <v>60.558575</v>
      </c>
      <c r="BJ5" s="68"/>
      <c r="BK5" s="68">
        <f>M5</f>
        <v>1</v>
      </c>
      <c r="BL5" s="76"/>
      <c r="BM5" s="68">
        <f>BJ5+BK5-BL5</f>
        <v>1</v>
      </c>
      <c r="BN5" s="77">
        <f>(BJ5+BK5+BL5+BM5)/2</f>
        <v>1</v>
      </c>
      <c r="BO5" s="78">
        <f>R5</f>
        <v>45943</v>
      </c>
      <c r="BP5" s="78">
        <v>45961</v>
      </c>
      <c r="BQ5" s="68">
        <f>BP5-BO5</f>
        <v>18</v>
      </c>
      <c r="BR5" s="68">
        <f>BP5-BO5+1</f>
        <v>19</v>
      </c>
      <c r="BS5" s="79">
        <f>Y5</f>
        <v>0.128968</v>
      </c>
      <c r="BT5" s="79">
        <f>BS5*BN5</f>
        <v>0.128968</v>
      </c>
      <c r="BU5" s="80" t="str">
        <f>IF(BR5&lt;=30,"30天内",IF(BR5&lt;=90,"31-90天","91天以上"))</f>
        <v>30天内</v>
      </c>
      <c r="BV5" s="81">
        <f>IF(BU5="30天内",0,IF(BU5="31-90天",0.6,1))</f>
        <v>0</v>
      </c>
      <c r="BW5" s="71">
        <f>BV5*BT5*BR5</f>
        <v>0</v>
      </c>
      <c r="BX5" s="82">
        <f>AJ5+BI5+BW5</f>
        <v>65.408575</v>
      </c>
    </row>
    <row r="6" s="11" customFormat="1" ht="15" spans="1:76">
      <c r="A6" s="66" t="s">
        <v>692</v>
      </c>
      <c r="B6" s="66" t="s">
        <v>693</v>
      </c>
      <c r="C6" s="3">
        <v>1</v>
      </c>
      <c r="D6" s="3">
        <v>1</v>
      </c>
      <c r="E6" s="3"/>
      <c r="F6" s="3"/>
      <c r="G6" s="4" t="s">
        <v>688</v>
      </c>
      <c r="H6" s="3"/>
      <c r="I6" s="3" t="s">
        <v>194</v>
      </c>
      <c r="J6" s="67" t="s">
        <v>243</v>
      </c>
      <c r="K6" s="4" t="str">
        <f>VLOOKUP($J6,物品明细!A:L,2,0)</f>
        <v>金属储物柜71英寸灰色</v>
      </c>
      <c r="L6" s="3"/>
      <c r="M6" s="3">
        <v>1</v>
      </c>
      <c r="N6" s="3">
        <f>VLOOKUP(J6,物品明细!A:L,4,0)</f>
        <v>47.4</v>
      </c>
      <c r="O6" s="3">
        <v>47.4</v>
      </c>
      <c r="P6" s="67" t="s">
        <v>689</v>
      </c>
      <c r="Q6" s="67" t="s">
        <v>690</v>
      </c>
      <c r="R6" s="29">
        <v>45960</v>
      </c>
      <c r="S6" s="68" t="s">
        <v>224</v>
      </c>
      <c r="T6" s="68" t="s">
        <v>225</v>
      </c>
      <c r="U6" s="3" t="s">
        <v>199</v>
      </c>
      <c r="V6" s="3">
        <f>VLOOKUP(J6,物品明细!A:L,5,0)</f>
        <v>188</v>
      </c>
      <c r="W6" s="3">
        <f>VLOOKUP(J6,物品明细!A:L,6,0)</f>
        <v>49</v>
      </c>
      <c r="X6" s="3">
        <f>VLOOKUP(J6,物品明细!A:G,7,0)</f>
        <v>14</v>
      </c>
      <c r="Y6" s="3">
        <f>VLOOKUP(J6,物品明细!A:K,10,0)</f>
        <v>0.128968</v>
      </c>
      <c r="Z6" s="67">
        <f>N6*M6</f>
        <v>47.4</v>
      </c>
      <c r="AA6" s="3"/>
      <c r="AB6" s="3"/>
      <c r="AC6" s="3"/>
      <c r="AD6" s="3"/>
      <c r="AE6" s="3">
        <f>SUMIF(B:B,B6,Z:Z)</f>
        <v>47.4</v>
      </c>
      <c r="AF6" s="32"/>
      <c r="AG6" s="67">
        <f>M6</f>
        <v>1</v>
      </c>
      <c r="AH6" s="70">
        <v>2.5</v>
      </c>
      <c r="AI6" s="71">
        <v>4.85</v>
      </c>
      <c r="AJ6" s="72">
        <f>AI6</f>
        <v>4.85</v>
      </c>
      <c r="AK6" s="73">
        <v>1</v>
      </c>
      <c r="AL6" s="73">
        <f>$AE6</f>
        <v>47.4</v>
      </c>
      <c r="AM6" s="83"/>
      <c r="AN6" s="3" t="str">
        <f>S6</f>
        <v>65618</v>
      </c>
      <c r="AO6" s="3">
        <v>50</v>
      </c>
      <c r="AP6" s="70">
        <v>46.558575</v>
      </c>
      <c r="AQ6" s="71">
        <f>AP6*AK6</f>
        <v>46.558575</v>
      </c>
      <c r="AR6" s="74">
        <v>2.5</v>
      </c>
      <c r="AS6" s="83"/>
      <c r="AT6" s="83"/>
      <c r="AU6" s="83"/>
      <c r="AV6" s="83"/>
      <c r="AW6" s="75">
        <f>$AO6*0.024</f>
        <v>1.2</v>
      </c>
      <c r="AX6" s="83"/>
      <c r="AY6" s="83"/>
      <c r="AZ6" s="83"/>
      <c r="BA6" s="83"/>
      <c r="BB6" s="70">
        <v>2.5</v>
      </c>
      <c r="BC6" s="83"/>
      <c r="BD6" s="83"/>
      <c r="BE6" s="83"/>
      <c r="BF6" s="83"/>
      <c r="BG6" s="83"/>
      <c r="BH6" s="71">
        <f>SUM(AR6:BG6)</f>
        <v>6.2</v>
      </c>
      <c r="BI6" s="72">
        <f>AQ6+BH6</f>
        <v>52.758575</v>
      </c>
      <c r="BJ6" s="83">
        <v>1</v>
      </c>
      <c r="BK6" s="68">
        <f>M6</f>
        <v>1</v>
      </c>
      <c r="BL6" s="83"/>
      <c r="BM6" s="68">
        <f>BJ6+BK6-BL6</f>
        <v>2</v>
      </c>
      <c r="BN6" s="77">
        <f>(BJ6+BK6+BL6+BM6)/2</f>
        <v>2</v>
      </c>
      <c r="BO6" s="84">
        <v>45960</v>
      </c>
      <c r="BP6" s="78">
        <v>45961</v>
      </c>
      <c r="BQ6" s="68">
        <f>BP6-BO6</f>
        <v>1</v>
      </c>
      <c r="BR6" s="68">
        <f>BP6-BO6+1</f>
        <v>2</v>
      </c>
      <c r="BS6" s="79">
        <f>Y6</f>
        <v>0.128968</v>
      </c>
      <c r="BT6" s="79">
        <f>BS6*BN6</f>
        <v>0.257936</v>
      </c>
      <c r="BU6" s="80" t="str">
        <f>IF(BR6&lt;=30,"30天内",IF(BR6&lt;=90,"31-90天","91天以上"))</f>
        <v>30天内</v>
      </c>
      <c r="BV6" s="81">
        <f>IF(BU6="30天内",0,IF(BU6="31-90天",0.6,1))</f>
        <v>0</v>
      </c>
      <c r="BW6" s="71">
        <f>BV6*BT6*BR6</f>
        <v>0</v>
      </c>
      <c r="BX6" s="82">
        <f>AJ6+BI6+BW6</f>
        <v>57.608575</v>
      </c>
    </row>
    <row r="7" s="11" customFormat="1" ht="15" spans="1:76">
      <c r="A7" s="66" t="s">
        <v>232</v>
      </c>
      <c r="B7" s="66" t="s">
        <v>230</v>
      </c>
      <c r="C7" s="3">
        <v>1</v>
      </c>
      <c r="D7" s="3">
        <v>1</v>
      </c>
      <c r="E7" s="3"/>
      <c r="F7" s="3"/>
      <c r="G7" s="4" t="s">
        <v>688</v>
      </c>
      <c r="H7" s="3"/>
      <c r="I7" s="3" t="s">
        <v>194</v>
      </c>
      <c r="J7" s="67" t="s">
        <v>205</v>
      </c>
      <c r="K7" s="4" t="str">
        <f>VLOOKUP($J7,物品明细!A:L,2,0)</f>
        <v>德国联邦快递金属储物柜</v>
      </c>
      <c r="L7" s="3"/>
      <c r="M7" s="3">
        <v>1</v>
      </c>
      <c r="N7" s="3">
        <f>VLOOKUP(J7,物品明细!A:L,4,0)</f>
        <v>47.4</v>
      </c>
      <c r="O7" s="3">
        <v>47.4</v>
      </c>
      <c r="P7" s="67" t="s">
        <v>689</v>
      </c>
      <c r="Q7" s="67" t="s">
        <v>690</v>
      </c>
      <c r="R7" s="29">
        <v>45960</v>
      </c>
      <c r="S7" s="68">
        <v>10997</v>
      </c>
      <c r="T7" s="69" t="s">
        <v>234</v>
      </c>
      <c r="U7" s="3" t="s">
        <v>199</v>
      </c>
      <c r="V7" s="3">
        <f>VLOOKUP(J7,物品明细!A:L,5,0)</f>
        <v>188</v>
      </c>
      <c r="W7" s="3">
        <f>VLOOKUP(J7,物品明细!A:L,6,0)</f>
        <v>49</v>
      </c>
      <c r="X7" s="3">
        <f>VLOOKUP(J7,物品明细!A:G,7,0)</f>
        <v>14</v>
      </c>
      <c r="Y7" s="3">
        <f>VLOOKUP(J7,物品明细!A:K,10,0)</f>
        <v>0.128968</v>
      </c>
      <c r="Z7" s="67">
        <f>N7*M7</f>
        <v>47.4</v>
      </c>
      <c r="AA7" s="3"/>
      <c r="AB7" s="3"/>
      <c r="AC7" s="3"/>
      <c r="AD7" s="3"/>
      <c r="AE7" s="3">
        <f>SUMIF(B:B,B7,Z:Z)</f>
        <v>47.4</v>
      </c>
      <c r="AF7" s="32"/>
      <c r="AG7" s="67">
        <f>M7</f>
        <v>1</v>
      </c>
      <c r="AH7" s="70">
        <v>2.5</v>
      </c>
      <c r="AI7" s="71">
        <v>4.85</v>
      </c>
      <c r="AJ7" s="72">
        <f>AI7</f>
        <v>4.85</v>
      </c>
      <c r="AK7" s="73">
        <v>1</v>
      </c>
      <c r="AL7" s="73">
        <f>$AE7</f>
        <v>47.4</v>
      </c>
      <c r="AM7" s="83"/>
      <c r="AN7" s="3">
        <f>S7</f>
        <v>10997</v>
      </c>
      <c r="AO7" s="3">
        <v>50</v>
      </c>
      <c r="AP7" s="70">
        <v>46.558575</v>
      </c>
      <c r="AQ7" s="71">
        <f>AP7*AK7</f>
        <v>46.558575</v>
      </c>
      <c r="AR7" s="74">
        <v>2.5</v>
      </c>
      <c r="AS7" s="83"/>
      <c r="AT7" s="83"/>
      <c r="AU7" s="83"/>
      <c r="AV7" s="83"/>
      <c r="AW7" s="75">
        <f>$AO7*0.024</f>
        <v>1.2</v>
      </c>
      <c r="AX7" s="83"/>
      <c r="AY7" s="83"/>
      <c r="AZ7" s="83"/>
      <c r="BA7" s="83"/>
      <c r="BB7" s="70">
        <v>2.5</v>
      </c>
      <c r="BC7" s="83"/>
      <c r="BD7" s="83"/>
      <c r="BE7" s="83"/>
      <c r="BF7" s="83"/>
      <c r="BG7" s="70">
        <v>7.8</v>
      </c>
      <c r="BH7" s="71">
        <f>SUM(AR7:BG7)</f>
        <v>14</v>
      </c>
      <c r="BI7" s="72">
        <f>AQ7+BH7</f>
        <v>60.558575</v>
      </c>
      <c r="BJ7" s="83"/>
      <c r="BK7" s="68">
        <f>M7</f>
        <v>1</v>
      </c>
      <c r="BL7" s="83"/>
      <c r="BM7" s="68">
        <f>BJ7+BK7-BL7</f>
        <v>1</v>
      </c>
      <c r="BN7" s="77">
        <f>(BJ7+BK7+BL7+BM7)/2</f>
        <v>1</v>
      </c>
      <c r="BO7" s="84">
        <v>45960</v>
      </c>
      <c r="BP7" s="78">
        <v>45961</v>
      </c>
      <c r="BQ7" s="68">
        <f>BP7-BO7</f>
        <v>1</v>
      </c>
      <c r="BR7" s="68">
        <f>BP7-BO7+1</f>
        <v>2</v>
      </c>
      <c r="BS7" s="79">
        <f>Y7</f>
        <v>0.128968</v>
      </c>
      <c r="BT7" s="79">
        <f>BS7*BN7</f>
        <v>0.128968</v>
      </c>
      <c r="BU7" s="80" t="str">
        <f>IF(BR7&lt;=30,"30天内",IF(BR7&lt;=90,"31-90天","91天以上"))</f>
        <v>30天内</v>
      </c>
      <c r="BV7" s="81">
        <f>IF(BU7="30天内",0,IF(BU7="31-90天",0.6,1))</f>
        <v>0</v>
      </c>
      <c r="BW7" s="71">
        <f>BV7*BT7*BR7</f>
        <v>0</v>
      </c>
      <c r="BX7" s="82">
        <f>AJ7+BI7+BW7</f>
        <v>65.408575</v>
      </c>
    </row>
    <row r="8" s="11" customFormat="1" ht="15" spans="1:76">
      <c r="A8" s="66" t="s">
        <v>694</v>
      </c>
      <c r="B8" s="66" t="s">
        <v>695</v>
      </c>
      <c r="C8" s="3">
        <v>1</v>
      </c>
      <c r="D8" s="3">
        <v>1</v>
      </c>
      <c r="E8" s="3"/>
      <c r="F8" s="3"/>
      <c r="G8" s="4" t="s">
        <v>688</v>
      </c>
      <c r="H8" s="3"/>
      <c r="I8" s="3" t="s">
        <v>194</v>
      </c>
      <c r="J8" s="67" t="s">
        <v>212</v>
      </c>
      <c r="K8" s="4" t="str">
        <f>VLOOKUP($J8,物品明细!A:L,2,0)</f>
        <v>金属储物柜71英寸高</v>
      </c>
      <c r="L8" s="3"/>
      <c r="M8" s="3">
        <v>1</v>
      </c>
      <c r="N8" s="3">
        <f>VLOOKUP(J8,物品明细!A:L,4,0)</f>
        <v>47.4</v>
      </c>
      <c r="O8" s="3">
        <v>47.4</v>
      </c>
      <c r="P8" s="67" t="s">
        <v>689</v>
      </c>
      <c r="Q8" s="67" t="s">
        <v>690</v>
      </c>
      <c r="R8" s="29">
        <v>45960</v>
      </c>
      <c r="S8" s="68">
        <v>21337</v>
      </c>
      <c r="T8" s="68" t="s">
        <v>696</v>
      </c>
      <c r="U8" s="3" t="s">
        <v>199</v>
      </c>
      <c r="V8" s="3">
        <f>VLOOKUP(J8,物品明细!A:L,5,0)</f>
        <v>188</v>
      </c>
      <c r="W8" s="3">
        <f>VLOOKUP(J8,物品明细!A:L,6,0)</f>
        <v>49</v>
      </c>
      <c r="X8" s="3">
        <f>VLOOKUP(J8,物品明细!A:G,7,0)</f>
        <v>14</v>
      </c>
      <c r="Y8" s="3">
        <f>VLOOKUP(J8,物品明细!A:K,10,0)</f>
        <v>0.128968</v>
      </c>
      <c r="Z8" s="67">
        <f>N8*M8</f>
        <v>47.4</v>
      </c>
      <c r="AA8" s="3"/>
      <c r="AB8" s="3"/>
      <c r="AC8" s="3"/>
      <c r="AD8" s="3"/>
      <c r="AE8" s="3">
        <f>SUMIF(B:B,B8,Z:Z)</f>
        <v>47.4</v>
      </c>
      <c r="AF8" s="32"/>
      <c r="AG8" s="67">
        <f>M8</f>
        <v>1</v>
      </c>
      <c r="AH8" s="70">
        <v>2.5</v>
      </c>
      <c r="AI8" s="71">
        <v>4.85</v>
      </c>
      <c r="AJ8" s="72">
        <f>AI8</f>
        <v>4.85</v>
      </c>
      <c r="AK8" s="73">
        <v>1</v>
      </c>
      <c r="AL8" s="73">
        <f>$AE8</f>
        <v>47.4</v>
      </c>
      <c r="AM8" s="83"/>
      <c r="AN8" s="3">
        <f>S8</f>
        <v>21337</v>
      </c>
      <c r="AO8" s="3">
        <v>50</v>
      </c>
      <c r="AP8" s="70">
        <v>46.558575</v>
      </c>
      <c r="AQ8" s="71">
        <f>AP8*AK8</f>
        <v>46.558575</v>
      </c>
      <c r="AR8" s="74">
        <v>2.5</v>
      </c>
      <c r="AS8" s="83"/>
      <c r="AT8" s="83"/>
      <c r="AU8" s="83"/>
      <c r="AV8" s="83"/>
      <c r="AW8" s="75">
        <f>$AO8*0.024</f>
        <v>1.2</v>
      </c>
      <c r="AX8" s="83"/>
      <c r="AY8" s="83"/>
      <c r="AZ8" s="83"/>
      <c r="BA8" s="83"/>
      <c r="BB8" s="70">
        <v>2.5</v>
      </c>
      <c r="BC8" s="83"/>
      <c r="BD8" s="83"/>
      <c r="BE8" s="83"/>
      <c r="BF8" s="83"/>
      <c r="BG8" s="83"/>
      <c r="BH8" s="71">
        <f>SUM(AR8:BG8)</f>
        <v>6.2</v>
      </c>
      <c r="BI8" s="72">
        <f>AQ8+BH8</f>
        <v>52.758575</v>
      </c>
      <c r="BJ8" s="83"/>
      <c r="BK8" s="68">
        <f>M8</f>
        <v>1</v>
      </c>
      <c r="BL8" s="83"/>
      <c r="BM8" s="68">
        <f>BJ8+BK8-BL8</f>
        <v>1</v>
      </c>
      <c r="BN8" s="77">
        <f>(BJ8+BK8+BL8+BM8)/2</f>
        <v>1</v>
      </c>
      <c r="BO8" s="84">
        <v>45960</v>
      </c>
      <c r="BP8" s="78">
        <v>45961</v>
      </c>
      <c r="BQ8" s="68">
        <f>BP8-BO8</f>
        <v>1</v>
      </c>
      <c r="BR8" s="68">
        <f>BP8-BO8+1</f>
        <v>2</v>
      </c>
      <c r="BS8" s="79">
        <f>Y8</f>
        <v>0.128968</v>
      </c>
      <c r="BT8" s="79">
        <f>BS8*BN8</f>
        <v>0.128968</v>
      </c>
      <c r="BU8" s="80" t="str">
        <f>IF(BR8&lt;=30,"30天内",IF(BR8&lt;=90,"31-90天","91天以上"))</f>
        <v>30天内</v>
      </c>
      <c r="BV8" s="81">
        <f>IF(BU8="30天内",0,IF(BU8="31-90天",0.6,1))</f>
        <v>0</v>
      </c>
      <c r="BW8" s="71">
        <f>BV8*BT8*BR8</f>
        <v>0</v>
      </c>
      <c r="BX8" s="82">
        <f>AJ8+BI8+BW8</f>
        <v>57.608575</v>
      </c>
    </row>
    <row r="28" s="11" customFormat="1" spans="1:3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85"/>
      <c r="R28" s="15"/>
      <c r="S28" s="16"/>
      <c r="T28" s="16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7"/>
    </row>
    <row r="29" s="11" customFormat="1" spans="1:3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85"/>
      <c r="R29" s="15"/>
      <c r="S29" s="16"/>
      <c r="T29" s="16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7"/>
    </row>
    <row r="30" s="11" customFormat="1" spans="1:3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85"/>
      <c r="R30" s="15"/>
      <c r="S30" s="16"/>
      <c r="T30" s="16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7"/>
    </row>
    <row r="31" s="11" customFormat="1" spans="1:3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85"/>
      <c r="R31" s="15"/>
      <c r="S31" s="16"/>
      <c r="T31" s="16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7"/>
    </row>
    <row r="32" s="11" customFormat="1" spans="1: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85"/>
      <c r="R32" s="15"/>
      <c r="S32" s="16"/>
      <c r="T32" s="16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7"/>
    </row>
    <row r="33" s="11" customFormat="1" spans="1:3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85"/>
      <c r="R33" s="15"/>
      <c r="S33" s="16"/>
      <c r="T33" s="16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7"/>
    </row>
    <row r="34" s="11" customFormat="1" spans="1:3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85"/>
      <c r="R34" s="15"/>
      <c r="S34" s="16"/>
      <c r="T34" s="16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7"/>
    </row>
    <row r="35" s="11" customFormat="1" spans="1:3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85"/>
      <c r="R35" s="15"/>
      <c r="S35" s="16"/>
      <c r="T35" s="16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7"/>
    </row>
    <row r="36" s="11" customFormat="1" spans="1:3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85"/>
      <c r="R36" s="15"/>
      <c r="S36" s="16"/>
      <c r="T36" s="16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7"/>
    </row>
    <row r="37" s="11" customFormat="1" spans="1:3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85"/>
      <c r="R37" s="15"/>
      <c r="S37" s="16"/>
      <c r="T37" s="16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7"/>
    </row>
    <row r="38" s="11" customFormat="1" spans="1:3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85"/>
      <c r="R38" s="15"/>
      <c r="S38" s="16"/>
      <c r="T38" s="16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7"/>
    </row>
    <row r="39" s="11" customFormat="1" spans="1:3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85"/>
      <c r="R39" s="15"/>
      <c r="S39" s="16"/>
      <c r="T39" s="16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7"/>
    </row>
    <row r="40" s="11" customFormat="1" spans="1:3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85"/>
      <c r="R40" s="15"/>
      <c r="S40" s="16"/>
      <c r="T40" s="16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7"/>
    </row>
    <row r="41" s="11" customFormat="1" spans="1:3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85"/>
      <c r="R41" s="15"/>
      <c r="S41" s="16"/>
      <c r="T41" s="16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7"/>
    </row>
    <row r="42" s="11" customFormat="1" spans="1:3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85"/>
      <c r="R42" s="15"/>
      <c r="S42" s="16"/>
      <c r="T42" s="16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7"/>
    </row>
    <row r="43" s="11" customFormat="1" spans="1:3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85"/>
      <c r="R43" s="15"/>
      <c r="S43" s="16"/>
      <c r="T43" s="16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7"/>
    </row>
    <row r="45" s="11" customFormat="1" spans="1:3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85"/>
      <c r="R45" s="15"/>
      <c r="S45" s="16"/>
      <c r="T45" s="16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7"/>
    </row>
    <row r="46" s="11" customFormat="1" spans="1:3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85"/>
      <c r="R46" s="15"/>
      <c r="S46" s="16"/>
      <c r="T46" s="16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7"/>
    </row>
    <row r="47" s="11" customFormat="1" spans="1:3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85"/>
      <c r="R47" s="15"/>
      <c r="S47" s="16"/>
      <c r="T47" s="16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7"/>
    </row>
    <row r="48" s="11" customFormat="1" spans="1:3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85"/>
      <c r="R48" s="15"/>
      <c r="S48" s="16"/>
      <c r="T48" s="16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7"/>
    </row>
    <row r="49" s="11" customFormat="1" spans="1:3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85"/>
      <c r="R49" s="15"/>
      <c r="S49" s="16"/>
      <c r="T49" s="16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7"/>
    </row>
    <row r="50" s="11" customFormat="1" spans="1:3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85"/>
      <c r="R50" s="15"/>
      <c r="S50" s="16"/>
      <c r="T50" s="16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7"/>
    </row>
    <row r="51" s="11" customFormat="1" spans="1:3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85"/>
      <c r="R51" s="15"/>
      <c r="S51" s="16"/>
      <c r="T51" s="16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7"/>
    </row>
    <row r="52" s="11" customFormat="1" spans="1:3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85"/>
      <c r="R52" s="15"/>
      <c r="S52" s="16"/>
      <c r="T52" s="16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7"/>
    </row>
    <row r="53" s="11" customFormat="1" spans="1:3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85"/>
      <c r="R53" s="15"/>
      <c r="S53" s="16"/>
      <c r="T53" s="16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7"/>
    </row>
    <row r="54" s="11" customFormat="1" spans="1:3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85"/>
      <c r="R54" s="15"/>
      <c r="S54" s="16"/>
      <c r="T54" s="16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7"/>
    </row>
    <row r="55" s="11" customFormat="1" spans="1:3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85"/>
      <c r="R55" s="15"/>
      <c r="S55" s="16"/>
      <c r="T55" s="16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7"/>
    </row>
    <row r="56" s="11" customFormat="1" spans="1:3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85"/>
      <c r="R56" s="15"/>
      <c r="S56" s="16"/>
      <c r="T56" s="16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7"/>
    </row>
    <row r="57" s="11" customFormat="1" spans="1:3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85"/>
      <c r="R57" s="15"/>
      <c r="S57" s="16"/>
      <c r="T57" s="16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7"/>
    </row>
    <row r="58" s="11" customFormat="1" spans="1:3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85"/>
      <c r="R58" s="15"/>
      <c r="S58" s="16"/>
      <c r="T58" s="16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7"/>
    </row>
    <row r="59" s="11" customFormat="1" spans="1:3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85"/>
      <c r="R59" s="15"/>
      <c r="S59" s="16"/>
      <c r="T59" s="16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7"/>
    </row>
    <row r="60" s="11" customFormat="1" spans="1:3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85"/>
      <c r="R60" s="15"/>
      <c r="S60" s="16"/>
      <c r="T60" s="16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7"/>
    </row>
    <row r="61" s="11" customFormat="1" spans="1:3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85"/>
      <c r="R61" s="15"/>
      <c r="S61" s="16"/>
      <c r="T61" s="16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7"/>
    </row>
    <row r="62" s="11" customFormat="1" spans="1:3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85"/>
      <c r="R62" s="15"/>
      <c r="S62" s="16"/>
      <c r="T62" s="16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7"/>
    </row>
    <row r="63" s="11" customFormat="1" spans="1:3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85"/>
      <c r="R63" s="15"/>
      <c r="S63" s="16"/>
      <c r="T63" s="16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7"/>
    </row>
    <row r="64" s="11" customFormat="1" spans="1:3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85"/>
      <c r="R64" s="15"/>
      <c r="S64" s="16"/>
      <c r="T64" s="16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7"/>
    </row>
    <row r="65" s="11" customFormat="1" spans="1:3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85"/>
      <c r="R65" s="15"/>
      <c r="S65" s="16"/>
      <c r="T65" s="16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7"/>
    </row>
    <row r="66" s="11" customFormat="1" spans="1:3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85"/>
      <c r="R66" s="15"/>
      <c r="S66" s="16"/>
      <c r="T66" s="16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7"/>
    </row>
    <row r="67" s="11" customFormat="1" spans="1:3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85"/>
      <c r="R67" s="15"/>
      <c r="S67" s="16"/>
      <c r="T67" s="16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7"/>
    </row>
    <row r="68" s="11" customFormat="1" spans="1:3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85"/>
      <c r="R68" s="15"/>
      <c r="S68" s="16"/>
      <c r="T68" s="16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7"/>
    </row>
    <row r="69" s="11" customFormat="1" spans="1:3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85"/>
      <c r="R69" s="15"/>
      <c r="S69" s="16"/>
      <c r="T69" s="16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7"/>
    </row>
    <row r="70" s="11" customFormat="1" spans="1:3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85"/>
      <c r="R70" s="15"/>
      <c r="S70" s="16"/>
      <c r="T70" s="16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7"/>
    </row>
    <row r="71" s="11" customFormat="1" spans="1:3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85"/>
      <c r="R71" s="15"/>
      <c r="S71" s="16"/>
      <c r="T71" s="16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7"/>
    </row>
    <row r="72" s="11" customFormat="1" spans="1:3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85"/>
      <c r="R72" s="15"/>
      <c r="S72" s="16"/>
      <c r="T72" s="16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7"/>
    </row>
    <row r="73" s="11" customFormat="1" spans="1:3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85"/>
      <c r="R73" s="15"/>
      <c r="S73" s="16"/>
      <c r="T73" s="16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7"/>
    </row>
    <row r="74" s="11" customFormat="1" spans="1:3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85"/>
      <c r="R74" s="15"/>
      <c r="S74" s="16"/>
      <c r="T74" s="16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7"/>
    </row>
    <row r="75" s="11" customFormat="1" spans="1:3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85"/>
      <c r="R75" s="15"/>
      <c r="S75" s="16"/>
      <c r="T75" s="16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7"/>
    </row>
    <row r="76" s="11" customFormat="1" spans="1:3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85"/>
      <c r="R76" s="15"/>
      <c r="S76" s="16"/>
      <c r="T76" s="16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7"/>
    </row>
    <row r="77" s="11" customFormat="1" spans="1:3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85"/>
      <c r="R77" s="15"/>
      <c r="S77" s="16"/>
      <c r="T77" s="16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7"/>
    </row>
    <row r="78" s="11" customFormat="1" spans="1:3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85"/>
      <c r="R78" s="15"/>
      <c r="S78" s="16"/>
      <c r="T78" s="16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7"/>
    </row>
    <row r="79" s="11" customFormat="1" spans="1:3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85"/>
      <c r="R79" s="15"/>
      <c r="S79" s="16"/>
      <c r="T79" s="16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7"/>
    </row>
    <row r="80" s="11" customFormat="1" spans="1:3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85"/>
      <c r="R80" s="15"/>
      <c r="S80" s="16"/>
      <c r="T80" s="16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7"/>
    </row>
    <row r="81" s="11" customFormat="1" spans="1:3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85"/>
      <c r="R81" s="15"/>
      <c r="S81" s="16"/>
      <c r="T81" s="16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7"/>
    </row>
    <row r="82" s="11" customFormat="1" spans="1:3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85"/>
      <c r="R82" s="15"/>
      <c r="S82" s="16"/>
      <c r="T82" s="16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7"/>
    </row>
  </sheetData>
  <mergeCells count="10">
    <mergeCell ref="Z2:AE2"/>
    <mergeCell ref="S3:AE3"/>
    <mergeCell ref="AK3:AQ3"/>
    <mergeCell ref="AR3:BH3"/>
    <mergeCell ref="BJ3:BN3"/>
    <mergeCell ref="BP3:BW3"/>
    <mergeCell ref="AJ3:AJ4"/>
    <mergeCell ref="BI3:BI4"/>
    <mergeCell ref="BX2:BX4"/>
    <mergeCell ref="AG2:AI3"/>
  </mergeCells>
  <conditionalFormatting sqref="C4:D4">
    <cfRule type="duplicateValues" dxfId="0" priority="1"/>
  </conditionalFormatting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I22" sqref="I22"/>
    </sheetView>
  </sheetViews>
  <sheetFormatPr defaultColWidth="8.8" defaultRowHeight="14.25" outlineLevelRow="6"/>
  <cols>
    <col min="1" max="1" width="19.8166666666667" customWidth="1"/>
    <col min="2" max="2" width="21.95" customWidth="1"/>
    <col min="3" max="3" width="14.4416666666667" customWidth="1"/>
    <col min="9" max="9" width="13.5666666666667" customWidth="1"/>
    <col min="10" max="10" width="9.03333333333333"/>
    <col min="11" max="11" width="19.3833333333333" customWidth="1"/>
  </cols>
  <sheetData>
    <row r="1" ht="18.75" spans="1:12">
      <c r="A1" s="1" t="s">
        <v>142</v>
      </c>
      <c r="B1" s="1" t="s">
        <v>697</v>
      </c>
      <c r="C1" s="1" t="s">
        <v>585</v>
      </c>
      <c r="D1" s="1" t="s">
        <v>698</v>
      </c>
      <c r="E1" s="1" t="s">
        <v>699</v>
      </c>
      <c r="F1" s="1" t="s">
        <v>589</v>
      </c>
      <c r="G1" s="1" t="s">
        <v>590</v>
      </c>
      <c r="H1" s="1" t="s">
        <v>700</v>
      </c>
      <c r="I1" s="1" t="s">
        <v>701</v>
      </c>
      <c r="J1" s="2" t="s">
        <v>702</v>
      </c>
      <c r="K1" s="1" t="s">
        <v>703</v>
      </c>
      <c r="L1" t="s">
        <v>549</v>
      </c>
    </row>
    <row r="2" spans="1:12">
      <c r="A2" s="3" t="s">
        <v>243</v>
      </c>
      <c r="B2" s="4" t="s">
        <v>704</v>
      </c>
      <c r="C2" s="3" t="s">
        <v>705</v>
      </c>
      <c r="D2" s="3">
        <v>47.4</v>
      </c>
      <c r="E2" s="3">
        <v>188</v>
      </c>
      <c r="F2" s="3">
        <v>49</v>
      </c>
      <c r="G2" s="3">
        <v>14</v>
      </c>
      <c r="H2" s="5"/>
      <c r="I2" s="3" t="s">
        <v>202</v>
      </c>
      <c r="J2" s="6">
        <v>0.128968</v>
      </c>
      <c r="K2" s="3" t="s">
        <v>706</v>
      </c>
      <c r="L2" t="s">
        <v>707</v>
      </c>
    </row>
    <row r="3" spans="1:12">
      <c r="A3" s="3" t="s">
        <v>200</v>
      </c>
      <c r="B3" s="4" t="s">
        <v>708</v>
      </c>
      <c r="C3" s="3" t="s">
        <v>709</v>
      </c>
      <c r="D3" s="3">
        <v>47.4</v>
      </c>
      <c r="E3" s="3">
        <v>188</v>
      </c>
      <c r="F3" s="3">
        <v>49</v>
      </c>
      <c r="G3" s="3">
        <v>14</v>
      </c>
      <c r="H3" s="5"/>
      <c r="I3" s="3" t="s">
        <v>202</v>
      </c>
      <c r="J3" s="6">
        <v>0.128968</v>
      </c>
      <c r="K3" s="3" t="s">
        <v>710</v>
      </c>
      <c r="L3" t="s">
        <v>707</v>
      </c>
    </row>
    <row r="4" spans="1:12">
      <c r="A4" s="3" t="s">
        <v>205</v>
      </c>
      <c r="B4" s="4" t="s">
        <v>206</v>
      </c>
      <c r="C4" s="3" t="s">
        <v>711</v>
      </c>
      <c r="D4" s="3">
        <v>47.4</v>
      </c>
      <c r="E4" s="3">
        <v>188</v>
      </c>
      <c r="F4" s="3">
        <v>49</v>
      </c>
      <c r="G4" s="3">
        <v>14</v>
      </c>
      <c r="H4" s="5"/>
      <c r="I4" s="3" t="s">
        <v>202</v>
      </c>
      <c r="J4" s="6">
        <v>0.128968</v>
      </c>
      <c r="K4" s="3" t="s">
        <v>712</v>
      </c>
      <c r="L4" t="s">
        <v>707</v>
      </c>
    </row>
    <row r="5" spans="1:12">
      <c r="A5" s="3" t="s">
        <v>212</v>
      </c>
      <c r="B5" s="4" t="s">
        <v>713</v>
      </c>
      <c r="C5" s="3" t="s">
        <v>714</v>
      </c>
      <c r="D5" s="3">
        <v>47.4</v>
      </c>
      <c r="E5" s="3">
        <v>188</v>
      </c>
      <c r="F5" s="3">
        <v>49</v>
      </c>
      <c r="G5" s="3">
        <v>14</v>
      </c>
      <c r="H5" s="5"/>
      <c r="I5" s="3" t="s">
        <v>202</v>
      </c>
      <c r="J5" s="6">
        <v>0.128968</v>
      </c>
      <c r="K5" s="3" t="s">
        <v>715</v>
      </c>
      <c r="L5" t="s">
        <v>707</v>
      </c>
    </row>
    <row r="6" ht="15" spans="1:12">
      <c r="A6" s="7" t="s">
        <v>489</v>
      </c>
      <c r="B6" s="8" t="s">
        <v>100</v>
      </c>
      <c r="C6" s="7" t="s">
        <v>716</v>
      </c>
      <c r="D6" s="7">
        <v>14</v>
      </c>
      <c r="E6" s="7">
        <v>133</v>
      </c>
      <c r="F6" s="7">
        <v>87</v>
      </c>
      <c r="G6" s="7">
        <v>8</v>
      </c>
      <c r="H6" s="9"/>
      <c r="I6" s="3" t="str">
        <f>E6&amp;"x"&amp;F6&amp;"x"&amp;G6</f>
        <v>133x87x8</v>
      </c>
      <c r="J6" s="6">
        <f>E6*F6*G6/1000000</f>
        <v>0.092568</v>
      </c>
      <c r="K6" s="9"/>
      <c r="L6" s="9"/>
    </row>
    <row r="7" ht="15" spans="1:12">
      <c r="A7" s="10" t="s">
        <v>99</v>
      </c>
      <c r="B7" s="8" t="s">
        <v>100</v>
      </c>
      <c r="C7" s="7"/>
      <c r="D7" s="7">
        <v>14</v>
      </c>
      <c r="E7" s="7">
        <v>133</v>
      </c>
      <c r="F7" s="7">
        <v>87</v>
      </c>
      <c r="G7" s="7">
        <v>8</v>
      </c>
      <c r="H7" s="9"/>
      <c r="I7" s="3" t="str">
        <f>E7&amp;"x"&amp;F7&amp;"x"&amp;G7</f>
        <v>133x87x8</v>
      </c>
      <c r="J7" s="6">
        <f>E7*F7*G7/1000000</f>
        <v>0.092568</v>
      </c>
      <c r="K7" s="9"/>
      <c r="L7" s="9"/>
    </row>
  </sheetData>
  <autoFilter xmlns:etc="http://www.wps.cn/officeDocument/2017/etCustomData" ref="A1:K7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2025年应收汇总表</vt:lpstr>
      <vt:lpstr>对账单-汇总页</vt:lpstr>
      <vt:lpstr>1.1 正向-入库</vt:lpstr>
      <vt:lpstr>2.1 正向-2B</vt:lpstr>
      <vt:lpstr>2.2 正向-2C-GEL</vt:lpstr>
      <vt:lpstr>2.3 正向-2C-DHL</vt:lpstr>
      <vt:lpstr>2.4 正向-2C-PlanB </vt:lpstr>
      <vt:lpstr>3.1 正向-普货-仓储费 </vt:lpstr>
      <vt:lpstr>4.1 逆向退货&amp;仓租费</vt:lpstr>
      <vt:lpstr>物品明细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albert.liao</dc:creator>
  <cp:lastModifiedBy>蓓蓓</cp:lastModifiedBy>
  <dcterms:created xsi:type="dcterms:W3CDTF">2025-07-30T19:59:00Z</dcterms:created>
  <dcterms:modified xsi:type="dcterms:W3CDTF">2026-01-04T01:50:25Z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0EE770CDDD4E4D038F69314522EA6185_13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