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zoe</author>
  </authors>
  <commentList>
    <comment ref="C13" authorId="0">
      <text>
        <r>
          <rPr>
            <b/>
            <sz val="9"/>
            <rFont val="宋体"/>
            <charset val="134"/>
          </rPr>
          <t>zoe:</t>
        </r>
        <r>
          <rPr>
            <sz val="9"/>
            <rFont val="宋体"/>
            <charset val="134"/>
          </rPr>
          <t xml:space="preserve">
Hedas Int Logistics GmbH
B6 Klever Ring 9 , Kleve , 47533  Germany 
9:00am——4:00pm on working day
TEL:+49 0 1525 136 3984  / Dean</t>
        </r>
      </text>
    </comment>
  </commentList>
</comments>
</file>

<file path=xl/sharedStrings.xml><?xml version="1.0" encoding="utf-8"?>
<sst xmlns="http://schemas.openxmlformats.org/spreadsheetml/2006/main" count="96" uniqueCount="89">
  <si>
    <t>Worker</t>
  </si>
  <si>
    <t>ASIN</t>
  </si>
  <si>
    <t>FBA Warehouse &amp; Commercial warehouse</t>
  </si>
  <si>
    <t>Pallet  QTY</t>
  </si>
  <si>
    <t>FBA Number</t>
  </si>
  <si>
    <t>Pallet dimension</t>
  </si>
  <si>
    <t>产品名称</t>
  </si>
  <si>
    <t>EN Name</t>
  </si>
  <si>
    <t>HS-UK</t>
  </si>
  <si>
    <t>HS-DE</t>
  </si>
  <si>
    <t>QTY</t>
  </si>
  <si>
    <t>Weight per carton</t>
  </si>
  <si>
    <t>Volume per carton</t>
  </si>
  <si>
    <t>Total volume</t>
  </si>
  <si>
    <t>Number per carton</t>
  </si>
  <si>
    <t>Carton QTY</t>
  </si>
  <si>
    <t>Total weight</t>
  </si>
  <si>
    <t>给英国进口德国的关税 887欧元+1500美金挂靠服务费</t>
  </si>
  <si>
    <t>UK2507038-DE +UK2508051-1 FBA 从英国TSP到德国奥韵汇2辆卡车共51托的清关费用和运输费，共计3,296.00 欧元=27075.59</t>
  </si>
  <si>
    <t>刘洁-易仓</t>
  </si>
  <si>
    <t>B078NRXBLN</t>
  </si>
  <si>
    <t>DTM2</t>
  </si>
  <si>
    <t>FBA15KQSJG1Q</t>
  </si>
  <si>
    <t>Pallet 1 - 1.2*0.8*1.36
Pallet 2-5 - 1.2*0.8*1.78</t>
  </si>
  <si>
    <t>宽肩木衣架-复古木</t>
  </si>
  <si>
    <t>凡小雪-2个系统</t>
  </si>
  <si>
    <t>B076F61LBB</t>
  </si>
  <si>
    <t>FBA15KQT4TPQ</t>
  </si>
  <si>
    <t>Pallet 1 - 1.2*0.8*1.10
Pallet 2 - 1.2*0.8*1.96
Pallet 3-5 - 1.2*0.8*1.78</t>
  </si>
  <si>
    <t>无香蜡烛</t>
  </si>
  <si>
    <t>B000RMQM4E</t>
  </si>
  <si>
    <t>麦克风 XLR 电缆</t>
  </si>
  <si>
    <t>宽肩木衣架</t>
  </si>
  <si>
    <t>袁梦-易仓</t>
  </si>
  <si>
    <t>B07C46QPTR</t>
  </si>
  <si>
    <t>RLG1</t>
  </si>
  <si>
    <t>FBA15KQY20MW</t>
  </si>
  <si>
    <t>1.2*0.8*1.04</t>
  </si>
  <si>
    <t>登山杖－紫色</t>
  </si>
  <si>
    <t>B07GG92K1B</t>
  </si>
  <si>
    <t>FBA15KQXN1D6</t>
  </si>
  <si>
    <t>1.2*0.8*1.95</t>
  </si>
  <si>
    <t>乒乓球拍</t>
  </si>
  <si>
    <t>武文杰-领星</t>
  </si>
  <si>
    <t>B01ARVRPMM</t>
  </si>
  <si>
    <t>FBA15KQXR0L8</t>
  </si>
  <si>
    <t>Pallet 1 -1.2*0.8*1.20
Pallet 2 - 1.2*0.8*1.45</t>
  </si>
  <si>
    <t>奶油搅打器 铝制</t>
  </si>
  <si>
    <t>B0898J7G49</t>
  </si>
  <si>
    <t>厨房旋转收纳</t>
  </si>
  <si>
    <t>B09CWYMCH8</t>
  </si>
  <si>
    <t>B01FJ0KAOQ</t>
  </si>
  <si>
    <t>醒酒器</t>
  </si>
  <si>
    <t>已录入系统</t>
  </si>
  <si>
    <t>B07JG4HXJ6</t>
  </si>
  <si>
    <t>AYH</t>
  </si>
  <si>
    <t>Pallet 1-3 -1.2*0.8* 1.95
Pallet 4-6 - 1.2*0.8*1.97
Pallet 7-9 - 1.2*0.8*2.08
Pallet 10-12 - 1.2*0.8*2.10
Pallet 13-15 - 1.2*0.8*2.07
Pallet 16-18 - 1.2*0.8*2.08
Pallet 19-24 - 1.2*0.8*2.04
Pallet 25-27 - 1.2*0.8*2.06
Pallet 28-36 - 1.2*0.8*2.04
Pallet 37 - 1.2*0.8*2.08</t>
  </si>
  <si>
    <t>人造绿板</t>
  </si>
  <si>
    <t>B0938GY8DW</t>
  </si>
  <si>
    <t>梅森罐子</t>
  </si>
  <si>
    <t>B07WZX4K48</t>
  </si>
  <si>
    <t>厨房用具套装</t>
  </si>
  <si>
    <t>B072MJSB38</t>
  </si>
  <si>
    <t>健身球</t>
  </si>
  <si>
    <t>B01B3MW7CC</t>
  </si>
  <si>
    <t>户外投影屏幕</t>
  </si>
  <si>
    <t>B07HNFZHFS</t>
  </si>
  <si>
    <t>柜锁</t>
  </si>
  <si>
    <t>B00JMC9SJG</t>
  </si>
  <si>
    <t>阿迪朗达克椅</t>
  </si>
  <si>
    <t>海外仓费用已经录入系统</t>
  </si>
  <si>
    <t>Toatl：</t>
  </si>
  <si>
    <t>Pallet 1 - 1.2*0.8*1.36=1.3056</t>
  </si>
  <si>
    <t>Pallet 2-5 - 1.2*0.8*1.78=1.7088</t>
  </si>
  <si>
    <t>Pallet 1 - 1.2*0.8*1.10=1.056</t>
  </si>
  <si>
    <t>Pallet 2 - 1.2*0.8*1.96=1.8816</t>
  </si>
  <si>
    <t>Pallet 3-5 - 1.2*0.8*1.78=1.7088</t>
  </si>
  <si>
    <t>Pallet 1 -1.2*0.8*1.20=1.152</t>
  </si>
  <si>
    <t>Pallet 2 - 1.2*0.8*1.45=1.392</t>
  </si>
  <si>
    <t>Pallet 1-3 -1.2*0.8* 1.95=1.872</t>
  </si>
  <si>
    <t>Pallet 4-6 - 1.2*0.8*1.97=1.8912</t>
  </si>
  <si>
    <t>Pallet 7-9 - 1.2*0.8*2.08=1.9968</t>
  </si>
  <si>
    <t>Pallet 10-12 - 1.2*0.8*2.10=2.016</t>
  </si>
  <si>
    <t>Pallet 13-15 - 1.2*0.8*2.07=1.9872</t>
  </si>
  <si>
    <t>Pallet 16-18 - 1.2*0.8*2.08=1.9968</t>
  </si>
  <si>
    <t>Pallet 19-24 - 1.2*0.8*2.04=1.9584</t>
  </si>
  <si>
    <t>Pallet 25-27 - 1.2*0.8*2.06=1.9776</t>
  </si>
  <si>
    <t>Pallet 28-36 - 1.2*0.8*2.04=1.9584</t>
  </si>
  <si>
    <t>Pallet 37 - 1.2*0.8*2.08=1.9968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</si>
</sst>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</numFmts>
  <fonts count="2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7" borderId="11">
      <alignment vertical="center"/>
    </xf>
    <xf numFmtId="0" fontId="16" fillId="8" borderId="12">
      <alignment vertical="center"/>
    </xf>
    <xf numFmtId="0" fontId="17" fillId="8" borderId="11">
      <alignment vertical="center"/>
    </xf>
    <xf numFmtId="0" fontId="18" fillId="9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3521;&#24503;&#20122;&#39532;&#36874;&#36135;&#29289;&#39033;&#30446;\Angela\TSP\&#20135;&#21697;&#25968;&#2545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oe\WPS%20Cloud%20Files\.895375681\cachedata\66130327CBF44397B2DFFF62D3ACF377\&#21508;&#20179;&#24211;&#20135;&#21697;&#25968;&#25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che\xwechat_files\wxid_flqf2mug2v8422_e032\msg\file\2025-11\Book1%20%20&#25176;&#30424;&#25968;&#25454;+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SP"/>
      <sheetName val="G7"/>
      <sheetName val="澳洲FDM"/>
      <sheetName val="日本久喜"/>
      <sheetName val="上海"/>
      <sheetName val="产品图片"/>
      <sheetName val="TSP库存"/>
      <sheetName val="G7库存"/>
      <sheetName val="Sheet1"/>
    </sheetNames>
    <sheetDataSet>
      <sheetData sheetId="0" refreshError="1">
        <row r="1">
          <cell r="A1" t="str">
    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TSP产品数据</v>
          </cell>
        </row>
        <row r="2">
          <cell r="A2" t="str">
            <v>ASIN</v>
          </cell>
          <cell r="B2" t="str">
            <v>SKU</v>
          </cell>
          <cell r="C2" t="str">
            <v>名字</v>
          </cell>
          <cell r="D2" t="str">
            <v>英文名</v>
          </cell>
          <cell r="E2" t="str">
            <v>图片</v>
          </cell>
          <cell r="F2" t="str">
            <v>类别</v>
          </cell>
          <cell r="G2" t="str">
            <v>重量</v>
          </cell>
          <cell r="H2" t="str">
            <v>产品长</v>
          </cell>
          <cell r="I2" t="str">
            <v>产品宽</v>
          </cell>
          <cell r="J2" t="str">
            <v>产品高</v>
          </cell>
          <cell r="K2" t="str">
            <v>体积</v>
          </cell>
          <cell r="L2" t="str">
            <v>箱规</v>
          </cell>
          <cell r="M2" t="str">
            <v>箱重</v>
          </cell>
          <cell r="N2" t="str">
            <v>箱体积</v>
          </cell>
          <cell r="O2" t="str">
            <v>每箱个数</v>
          </cell>
          <cell r="P2" t="str">
            <v>UPC</v>
          </cell>
          <cell r="Q2" t="str">
            <v>COGS($）</v>
          </cell>
          <cell r="R2" t="str">
            <v>当前库存</v>
          </cell>
          <cell r="S2" t="str">
            <v>预估总箱数</v>
          </cell>
          <cell r="T2" t="str">
            <v>预估总体积</v>
          </cell>
          <cell r="U2" t="str">
            <v>易仓近30天销量</v>
          </cell>
        </row>
        <row r="3">
          <cell r="A3" t="str">
            <v>B078NRXBLN</v>
          </cell>
          <cell r="B3" t="str">
            <v>YHG-HOK-WdshWdHngr-Vtg6pk</v>
          </cell>
          <cell r="C3" t="str">
            <v>宽肩木衣架</v>
          </cell>
          <cell r="D3" t="str">
            <v>Vintage wooden coat Hangers Pack ZO-W50</v>
          </cell>
          <cell r="E3" t="str">
            <v>=DISPIMG("ID_1C955361623949798E52C5B7C8326631",1)</v>
          </cell>
          <cell r="F3" t="str">
            <v>衣架</v>
          </cell>
          <cell r="G3">
            <v>1.7</v>
          </cell>
          <cell r="H3">
            <v>40</v>
          </cell>
          <cell r="I3">
            <v>11.5</v>
          </cell>
          <cell r="J3">
            <v>12</v>
          </cell>
          <cell r="K3">
            <v>0.00552</v>
          </cell>
          <cell r="L3" t="str">
            <v>36*42*51</v>
          </cell>
          <cell r="M3">
            <v>7.8</v>
          </cell>
          <cell r="N3">
            <v>0.077112</v>
          </cell>
          <cell r="O3">
            <v>4</v>
          </cell>
          <cell r="P3" t="str">
            <v>698545985915</v>
          </cell>
          <cell r="Q3">
            <v>5.93</v>
          </cell>
          <cell r="R3">
            <v>6227</v>
          </cell>
          <cell r="S3">
            <v>1556.75</v>
          </cell>
          <cell r="T3">
            <v>120.044106</v>
          </cell>
          <cell r="U3">
            <v>1703</v>
          </cell>
        </row>
        <row r="4">
          <cell r="A4" t="str">
            <v>B07WZX4K48</v>
          </cell>
          <cell r="B4" t="str">
            <v>YHG-KND-10STLUTNSLST</v>
          </cell>
          <cell r="C4" t="str">
            <v>厨房用具套装</v>
          </cell>
          <cell r="D4" t="str">
            <v>10 Piece Stainless Steel Utensil Set</v>
          </cell>
          <cell r="E4" t="str">
            <v>=DISPIMG("ID_202089CE37CB44C9BAC67CCFB6CCA698",1)</v>
          </cell>
          <cell r="F4" t="str">
            <v>厨房用具</v>
          </cell>
          <cell r="G4" t="str">
            <v>1.3</v>
          </cell>
          <cell r="H4">
            <v>13.5</v>
          </cell>
          <cell r="I4">
            <v>13.5</v>
          </cell>
          <cell r="J4">
            <v>34</v>
          </cell>
          <cell r="K4">
            <v>0.0061965</v>
          </cell>
          <cell r="L4" t="str">
            <v>41*35*55</v>
          </cell>
          <cell r="M4">
            <v>16</v>
          </cell>
          <cell r="N4">
            <v>0.078925</v>
          </cell>
          <cell r="O4">
            <v>12</v>
          </cell>
          <cell r="P4" t="str">
            <v>810158033597,810078883043</v>
          </cell>
          <cell r="Q4">
            <v>5.75</v>
          </cell>
          <cell r="R4">
            <v>7816</v>
          </cell>
          <cell r="S4">
            <v>651.333333333333</v>
          </cell>
          <cell r="T4">
            <v>51.4064833333333</v>
          </cell>
          <cell r="U4">
            <v>1580</v>
          </cell>
        </row>
        <row r="5">
          <cell r="A5" t="str">
            <v>B06ZY896ZM</v>
          </cell>
          <cell r="B5" t="str">
            <v>TWX-APA-VC106W-Bk</v>
          </cell>
          <cell r="C5" t="str">
            <v>汽车吸尘器</v>
          </cell>
          <cell r="D5" t="str">
            <v>ThisWorx for TWC-01 Car Vacuum - corded</v>
          </cell>
          <cell r="E5" t="str">
            <v>=DISPIMG("ID_5B60F68417B945B1A81209F6D5265B35",1)</v>
          </cell>
          <cell r="F5" t="str">
            <v>汽车</v>
          </cell>
          <cell r="G5">
            <v>1.2</v>
          </cell>
          <cell r="H5">
            <v>38</v>
          </cell>
          <cell r="I5">
            <v>13</v>
          </cell>
          <cell r="J5">
            <v>13</v>
          </cell>
          <cell r="K5">
            <v>0.006422</v>
          </cell>
          <cell r="L5" t="str">
            <v>52*42*40</v>
          </cell>
          <cell r="M5">
            <v>14.2</v>
          </cell>
          <cell r="N5">
            <v>0.08736</v>
          </cell>
          <cell r="O5">
            <v>12</v>
          </cell>
          <cell r="P5" t="str">
            <v>600291935953</v>
          </cell>
          <cell r="Q5">
            <v>11.2</v>
          </cell>
          <cell r="R5">
            <v>18826</v>
          </cell>
          <cell r="S5">
            <v>1568.83333333333</v>
          </cell>
          <cell r="T5">
            <v>137.05328</v>
          </cell>
          <cell r="U5">
            <v>1173</v>
          </cell>
        </row>
        <row r="6">
          <cell r="A6" t="str">
            <v>B08BLTBJF3</v>
          </cell>
          <cell r="B6" t="str">
            <v>MXL-KND-BarKit-23pcBsSlv-ASMBL</v>
          </cell>
          <cell r="C6" t="str">
            <v>调酒套件和支架</v>
          </cell>
          <cell r="D6" t="str">
            <v>Bartender Kit 23pc Bamboo Stand Silver</v>
          </cell>
          <cell r="E6" t="str">
            <v>=DISPIMG("ID_7DB03FB752B543DEAAAEB46DCCE93C43",1)</v>
          </cell>
          <cell r="F6" t="str">
            <v>厨房用具</v>
          </cell>
          <cell r="G6">
            <v>2.1</v>
          </cell>
          <cell r="H6">
            <v>35</v>
          </cell>
          <cell r="I6">
            <v>18</v>
          </cell>
          <cell r="J6">
            <v>12</v>
          </cell>
          <cell r="K6">
            <v>0.00756</v>
          </cell>
          <cell r="L6" t="str">
            <v>51*37*36</v>
          </cell>
          <cell r="M6">
            <v>17.5</v>
          </cell>
          <cell r="N6">
            <v>0.067932</v>
          </cell>
          <cell r="O6">
            <v>8</v>
          </cell>
          <cell r="P6" t="str">
            <v>810090950150,810090951003</v>
          </cell>
          <cell r="Q6">
            <v>19.98</v>
          </cell>
          <cell r="R6">
            <v>112</v>
          </cell>
          <cell r="S6">
            <v>14</v>
          </cell>
          <cell r="T6">
            <v>0.951048</v>
          </cell>
          <cell r="U6">
            <v>1000</v>
          </cell>
        </row>
        <row r="7">
          <cell r="A7" t="str">
            <v>B08B1VTTB9</v>
          </cell>
          <cell r="B7" t="str">
            <v>YHG-SPO-StlWtrBtlSld-Rblk25</v>
          </cell>
          <cell r="C7" t="str">
            <v>钢水瓶</v>
          </cell>
          <cell r="D7" t="str">
            <v>Stainless Steel Insulated Water Bottle Straw Lid Raven Black 2oz</v>
          </cell>
          <cell r="E7" t="str">
            <v>=DISPIMG("ID_74AAD68E2DAB4D05977419393DC3940B",1)</v>
          </cell>
          <cell r="F7" t="str">
            <v>水瓶</v>
          </cell>
          <cell r="G7">
            <v>0.55</v>
          </cell>
          <cell r="H7">
            <v>35</v>
          </cell>
          <cell r="I7">
            <v>10.2</v>
          </cell>
          <cell r="J7">
            <v>9.4</v>
          </cell>
          <cell r="K7">
            <v>0.0033558</v>
          </cell>
          <cell r="L7" t="str">
            <v>59.8*40*37.6</v>
          </cell>
          <cell r="M7">
            <v>15</v>
          </cell>
          <cell r="N7">
            <v>0.0899392</v>
          </cell>
          <cell r="O7">
            <v>24</v>
          </cell>
          <cell r="P7" t="str">
            <v>810158035201</v>
          </cell>
          <cell r="Q7">
            <v>5.16</v>
          </cell>
          <cell r="R7">
            <v>17</v>
          </cell>
          <cell r="S7">
            <v>0.708333333333333</v>
          </cell>
          <cell r="T7">
            <v>0.0637069333333333</v>
          </cell>
          <cell r="U7">
            <v>698</v>
          </cell>
        </row>
        <row r="8">
          <cell r="A8" t="str">
            <v>B07T3Q1DGQ</v>
          </cell>
          <cell r="B8" t="str">
            <v>YHG-KND-BrStlMxBwl-5pk</v>
          </cell>
          <cell r="C8" t="str">
            <v>钢制搅拌碗组</v>
          </cell>
          <cell r="D8" t="str">
            <v>Stainless-Steel Mixing Bowls (Set of 5) Brushed Stainless-Steel Mixing Bowl Set Easy To Clean, Nesting Bowls for Space-Saving Storage, Great for Cooking, Baking, Prepping</v>
          </cell>
          <cell r="E8" t="str">
            <v>=DISPIMG("ID_CB3B334C1B3A4E2FA94BD1668333395E",1)</v>
          </cell>
          <cell r="F8" t="str">
            <v>厨房用具</v>
          </cell>
          <cell r="G8" t="str">
            <v>1.1</v>
          </cell>
          <cell r="H8">
            <v>30</v>
          </cell>
          <cell r="I8">
            <v>30</v>
          </cell>
          <cell r="J8">
            <v>11</v>
          </cell>
          <cell r="K8">
            <v>0.0099</v>
          </cell>
          <cell r="L8" t="str">
            <v>60 * 33 * 31</v>
          </cell>
          <cell r="M8">
            <v>7.4</v>
          </cell>
          <cell r="N8">
            <v>0.06138</v>
          </cell>
          <cell r="O8" t="str">
            <v>4,12</v>
          </cell>
          <cell r="P8" t="str">
            <v>810158031883</v>
          </cell>
          <cell r="Q8">
            <v>6.4</v>
          </cell>
          <cell r="R8">
            <v>5427</v>
          </cell>
          <cell r="S8">
            <v>452.41</v>
          </cell>
          <cell r="T8">
            <v>27.7689258</v>
          </cell>
          <cell r="U8">
            <v>608</v>
          </cell>
        </row>
        <row r="9">
          <cell r="A9" t="str">
            <v>B071F82CYJ</v>
          </cell>
          <cell r="B9" t="str">
            <v>DAT-APA-TrOr1-B</v>
          </cell>
          <cell r="C9" t="str">
            <v>后备箱整理器</v>
          </cell>
          <cell r="D9" t="str">
            <v>Drive Auto Products Car Cargo Trunk Organizer, Folding Compartments Are Easily Expandable To Suit Any In-vehicle Organization Needs, Secure Tie-down Strap System, Made Of Durable Oxford Fabric (Black)</v>
          </cell>
          <cell r="E9" t="str">
            <v>=DISPIMG("ID_C8A025E406C94AC99CF97C3BB8B3C2DE",1)</v>
          </cell>
          <cell r="F9" t="str">
            <v>汽车</v>
          </cell>
          <cell r="G9" t="str">
            <v>1.7</v>
          </cell>
          <cell r="H9">
            <v>45</v>
          </cell>
          <cell r="I9">
            <v>29</v>
          </cell>
          <cell r="J9">
            <v>5</v>
          </cell>
          <cell r="K9">
            <v>0.006525</v>
          </cell>
          <cell r="L9" t="str">
            <v>45*30*45</v>
          </cell>
          <cell r="M9">
            <v>17.4</v>
          </cell>
          <cell r="N9">
            <v>0.06075</v>
          </cell>
          <cell r="O9">
            <v>10</v>
          </cell>
          <cell r="P9" t="str">
            <v>635635176471</v>
          </cell>
          <cell r="Q9">
            <v>7.91</v>
          </cell>
          <cell r="R9">
            <v>4003</v>
          </cell>
          <cell r="S9">
            <v>400.3</v>
          </cell>
          <cell r="T9">
            <v>24.318225</v>
          </cell>
          <cell r="U9">
            <v>575</v>
          </cell>
        </row>
        <row r="10">
          <cell r="A10" t="str">
            <v>B072BC73L4</v>
          </cell>
          <cell r="B10" t="str">
            <v>YHG-KND-StlMxBwl-5pk</v>
          </cell>
          <cell r="C10" t="str">
            <v>钢制搅拌碗组</v>
          </cell>
          <cell r="D10" t="str">
            <v>Premium Stainless-Steel Mixing Bowls with Airtight Lids (Set of 5) Nesting Bowls for Space-Saving Storage, Easy-Grip Stability Design Mixing-Bowl Set Versatile For Cooking, Baking, Food Storage</v>
          </cell>
          <cell r="E10" t="str">
            <v>=DISPIMG("ID_53D5D34C7D3D41B098605783883428E9",1)</v>
          </cell>
          <cell r="F10" t="str">
            <v>厨房用具</v>
          </cell>
          <cell r="G10">
            <v>1.58</v>
          </cell>
          <cell r="H10">
            <v>27</v>
          </cell>
          <cell r="I10" t="str">
            <v>27.3</v>
          </cell>
          <cell r="J10">
            <v>15.2</v>
          </cell>
          <cell r="K10">
            <v>0.01120392</v>
          </cell>
          <cell r="L10" t="str">
            <v>47 * 56 * 29</v>
          </cell>
          <cell r="M10">
            <v>9.3</v>
          </cell>
          <cell r="N10">
            <v>0.076328</v>
          </cell>
          <cell r="O10">
            <v>6</v>
          </cell>
          <cell r="P10" t="str">
            <v>810158030152</v>
          </cell>
          <cell r="Q10">
            <v>9.36</v>
          </cell>
          <cell r="R10">
            <v>2688</v>
          </cell>
          <cell r="S10">
            <v>448</v>
          </cell>
          <cell r="T10">
            <v>34.194944</v>
          </cell>
          <cell r="U10">
            <v>511</v>
          </cell>
        </row>
        <row r="11">
          <cell r="A11" t="str">
            <v>B07ZS1S4MM</v>
          </cell>
          <cell r="B11" t="str">
            <v>YHG-KND-GlsBvgDspr-1</v>
          </cell>
          <cell r="C11" t="str">
            <v>饮料机</v>
          </cell>
          <cell r="D11" t="str">
            <v>Glass Beverage DisPener with Stainless Steel Spigot Gallons</v>
          </cell>
          <cell r="E11" t="str">
            <v>=DISPIMG("ID_7181B4CBE2BE43B28E74560DD7016B41",1)</v>
          </cell>
          <cell r="F11" t="str">
            <v>厨房用具</v>
          </cell>
          <cell r="G11">
            <v>1.75</v>
          </cell>
          <cell r="H11">
            <v>21.5</v>
          </cell>
          <cell r="I11">
            <v>18.5</v>
          </cell>
          <cell r="J11">
            <v>29.5</v>
          </cell>
          <cell r="K11">
            <v>0.011733625</v>
          </cell>
          <cell r="L11" t="str">
            <v>38 * 45 * 33</v>
          </cell>
          <cell r="M11">
            <v>7.8</v>
          </cell>
          <cell r="N11">
            <v>0.05643</v>
          </cell>
          <cell r="O11">
            <v>4</v>
          </cell>
          <cell r="P11" t="str">
            <v>810158033115</v>
          </cell>
          <cell r="Q11">
            <v>10.57</v>
          </cell>
          <cell r="R11">
            <v>1624</v>
          </cell>
          <cell r="S11">
            <v>406</v>
          </cell>
          <cell r="T11">
            <v>22.91058</v>
          </cell>
          <cell r="U11">
            <v>505</v>
          </cell>
        </row>
        <row r="12">
          <cell r="A12" t="str">
            <v>B0938GY8DW</v>
          </cell>
          <cell r="B12" t="str">
            <v>YHG-KND-GlsJrGldSld-166pk</v>
          </cell>
          <cell r="C12" t="str">
            <v>梅森罐子</v>
          </cell>
          <cell r="D12" t="str">
            <v>Glass Jars Silver Lid 16oz Pack</v>
          </cell>
          <cell r="E12" t="str">
            <v>=DISPIMG("ID_83CB5B2C40FC4F4EB3E3EEF992385128",1)</v>
          </cell>
          <cell r="F12" t="str">
            <v>厨房用具</v>
          </cell>
          <cell r="G12">
            <v>1.6</v>
          </cell>
          <cell r="H12">
            <v>26</v>
          </cell>
          <cell r="I12">
            <v>21.4</v>
          </cell>
          <cell r="J12">
            <v>7.1</v>
          </cell>
          <cell r="K12">
            <v>0.00395044</v>
          </cell>
          <cell r="L12" t="str">
            <v>63 * 32 * 38</v>
          </cell>
          <cell r="M12">
            <v>12.2</v>
          </cell>
          <cell r="N12">
            <v>0.076608</v>
          </cell>
          <cell r="O12">
            <v>6</v>
          </cell>
          <cell r="P12" t="str">
            <v>810078881681</v>
          </cell>
          <cell r="Q12">
            <v>9.2</v>
          </cell>
          <cell r="R12">
            <v>3369</v>
          </cell>
          <cell r="S12">
            <v>561.5</v>
          </cell>
          <cell r="T12">
            <v>43.015392</v>
          </cell>
          <cell r="U12">
            <v>482</v>
          </cell>
        </row>
        <row r="13">
          <cell r="A13" t="str">
            <v>B07D9V4TWJ</v>
          </cell>
          <cell r="B13" t="str">
            <v>BFR-SPO-OccBndPro-4pk</v>
          </cell>
          <cell r="C13" t="str">
            <v>遮挡带束</v>
          </cell>
          <cell r="D13" t="str">
            <v>Occlusion Training Bands PRO 4 Pack</v>
          </cell>
          <cell r="E13" t="str">
            <v>=DISPIMG("ID_6D53407010144DB4832459E2D671C667",1)</v>
          </cell>
          <cell r="F13" t="str">
            <v>健身</v>
          </cell>
          <cell r="G13">
            <v>0.3</v>
          </cell>
          <cell r="H13">
            <v>19</v>
          </cell>
          <cell r="I13">
            <v>12</v>
          </cell>
          <cell r="J13">
            <v>5</v>
          </cell>
          <cell r="K13">
            <v>0.00114</v>
          </cell>
          <cell r="L13" t="str">
            <v>42 * 36 * 37</v>
          </cell>
          <cell r="M13">
            <v>19.3</v>
          </cell>
          <cell r="N13">
            <v>0.055944</v>
          </cell>
          <cell r="O13">
            <v>50</v>
          </cell>
          <cell r="P13" t="str">
            <v>757347697928</v>
          </cell>
          <cell r="Q13">
            <v>7.91</v>
          </cell>
          <cell r="R13">
            <v>4400</v>
          </cell>
          <cell r="S13">
            <v>88</v>
          </cell>
          <cell r="T13">
            <v>4.923072</v>
          </cell>
          <cell r="U13">
            <v>461</v>
          </cell>
        </row>
        <row r="14">
          <cell r="A14" t="str">
            <v>B071LH6F2H</v>
          </cell>
          <cell r="B14" t="str">
            <v>YHG-HOK-WdStHngrNs-Vtg20pk</v>
          </cell>
          <cell r="C14" t="str">
            <v>木衣架</v>
          </cell>
          <cell r="D14" t="str">
            <v>Wooden Suit Hangers Vintage set of 20</v>
          </cell>
          <cell r="E14" t="str">
            <v>=DISPIMG("ID_F810D2873EC045D79D436CD621FBA546",1)</v>
          </cell>
          <cell r="F14" t="str">
            <v>衣架</v>
          </cell>
          <cell r="G14">
            <v>2.7</v>
          </cell>
          <cell r="H14">
            <v>36</v>
          </cell>
          <cell r="I14">
            <v>35</v>
          </cell>
          <cell r="J14">
            <v>13</v>
          </cell>
          <cell r="K14">
            <v>0.01638</v>
          </cell>
          <cell r="L14" t="str">
            <v>53*37*36</v>
          </cell>
          <cell r="M14">
            <v>11.6</v>
          </cell>
          <cell r="N14">
            <v>0.070596</v>
          </cell>
          <cell r="O14">
            <v>4</v>
          </cell>
          <cell r="P14" t="str">
            <v>745875404811</v>
          </cell>
          <cell r="Q14">
            <v>7.25</v>
          </cell>
          <cell r="R14">
            <v>398</v>
          </cell>
          <cell r="S14">
            <v>99.5</v>
          </cell>
          <cell r="T14">
            <v>7.024302</v>
          </cell>
          <cell r="U14">
            <v>456</v>
          </cell>
        </row>
        <row r="15">
          <cell r="A15" t="str">
            <v>B07GG92K1B</v>
          </cell>
          <cell r="B15" t="str">
            <v>NBR-SPO-TTns-4Plyr</v>
          </cell>
          <cell r="C15" t="str">
            <v>乒乓球拍</v>
          </cell>
          <cell r="D15" t="str">
            <v>Table Tennis 4 Player</v>
          </cell>
          <cell r="E15" t="str">
            <v>=DISPIMG("ID_9D4E9CE67C524BA39C232A47E67A58CD",1)</v>
          </cell>
          <cell r="F15" t="str">
            <v>户外</v>
          </cell>
          <cell r="G15">
            <v>1.4</v>
          </cell>
          <cell r="H15">
            <v>36</v>
          </cell>
          <cell r="I15">
            <v>31</v>
          </cell>
          <cell r="J15">
            <v>7</v>
          </cell>
          <cell r="K15">
            <v>0.007812</v>
          </cell>
          <cell r="L15" t="str">
            <v>61 * 36 * 39</v>
          </cell>
          <cell r="M15">
            <v>14.6</v>
          </cell>
          <cell r="N15">
            <v>0.085644</v>
          </cell>
          <cell r="O15">
            <v>10</v>
          </cell>
          <cell r="P15" t="str">
            <v>X001V2LP5L,3068148940623</v>
          </cell>
          <cell r="Q15">
            <v>12.76</v>
          </cell>
          <cell r="R15">
            <v>1729</v>
          </cell>
          <cell r="S15">
            <v>172.9</v>
          </cell>
          <cell r="T15">
            <v>14.8078476</v>
          </cell>
          <cell r="U15">
            <v>397</v>
          </cell>
        </row>
        <row r="16">
          <cell r="A16" t="str">
            <v>B01JIUH2OY</v>
          </cell>
          <cell r="B16" t="str">
            <v>NVT-KND-PstMkr-150</v>
          </cell>
          <cell r="C16" t="str">
            <v>意大利面机</v>
          </cell>
          <cell r="D16" t="str">
            <v>Pasta Maker with Pasta Cutter -</v>
          </cell>
          <cell r="E16" t="str">
            <v>=DISPIMG("ID_489A156481B74EFEA2CF9C0D4FBDCF5B",1)</v>
          </cell>
          <cell r="F16" t="str">
            <v>厨房用具</v>
          </cell>
          <cell r="G16">
            <v>3</v>
          </cell>
          <cell r="H16">
            <v>21.5</v>
          </cell>
          <cell r="I16">
            <v>17</v>
          </cell>
          <cell r="J16">
            <v>13.5</v>
          </cell>
          <cell r="K16">
            <v>0.00493425</v>
          </cell>
          <cell r="L16" t="str">
            <v>53*22*29</v>
          </cell>
          <cell r="M16">
            <v>17.4</v>
          </cell>
          <cell r="N16">
            <v>0.033814</v>
          </cell>
          <cell r="O16">
            <v>6</v>
          </cell>
          <cell r="P16" t="str">
            <v>712038222315</v>
          </cell>
          <cell r="Q16">
            <v>12.34</v>
          </cell>
          <cell r="R16">
            <v>10</v>
          </cell>
          <cell r="S16">
            <v>1.66666666666667</v>
          </cell>
          <cell r="T16">
            <v>0.0563566666666667</v>
          </cell>
          <cell r="U16">
            <v>335</v>
          </cell>
        </row>
        <row r="17">
          <cell r="A17" t="str">
            <v>B0756KG68F</v>
          </cell>
          <cell r="B17" t="str">
            <v>YHG-HOK-WdPntHngrMcp-Ntl10pk</v>
          </cell>
          <cell r="C17" t="str">
            <v>木衣架</v>
          </cell>
          <cell r="D17" t="str">
            <v>Wooden Skirt Hangers With Metal Clips Natural set of 10</v>
          </cell>
          <cell r="E17" t="str">
            <v>=DISPIMG("ID_7D137B0698674AA5BAC51EC45FF4CDFE",1)</v>
          </cell>
          <cell r="F17" t="str">
            <v>衣架</v>
          </cell>
          <cell r="G17">
            <v>1.1</v>
          </cell>
          <cell r="H17">
            <v>34</v>
          </cell>
          <cell r="I17">
            <v>19</v>
          </cell>
          <cell r="J17">
            <v>9</v>
          </cell>
          <cell r="K17">
            <v>0.005814</v>
          </cell>
          <cell r="L17" t="str">
            <v>58*38*37</v>
          </cell>
          <cell r="M17">
            <v>13.6</v>
          </cell>
          <cell r="N17">
            <v>0.081548</v>
          </cell>
          <cell r="O17">
            <v>12</v>
          </cell>
          <cell r="P17" t="str">
            <v>810158030985</v>
          </cell>
          <cell r="Q17">
            <v>4.96</v>
          </cell>
          <cell r="R17">
            <v>847</v>
          </cell>
          <cell r="S17">
            <v>70.5833333333333</v>
          </cell>
          <cell r="T17">
            <v>5.75592966666667</v>
          </cell>
          <cell r="U17">
            <v>309</v>
          </cell>
        </row>
        <row r="18">
          <cell r="A18" t="str">
            <v>B07C46QPTR</v>
          </cell>
          <cell r="B18" t="str">
            <v>TRB-SPO-TRKPO-PUPM</v>
          </cell>
          <cell r="C18" t="str">
            <v>登山杖</v>
          </cell>
          <cell r="D18" t="str">
            <v>TrailBuddy Lightweight Trekking Poles - 2-pc Pack Adjustable Hiking or Walking Sticks - Strong Aircraft Aluminum - Quick Adjust Flip-Lock - Cork Grip, Padded Strap - (Purple Plum)</v>
          </cell>
          <cell r="E18" t="str">
            <v>=DISPIMG("ID_4E50789ECE394943866D9C0ED7940D2F",1)</v>
          </cell>
          <cell r="F18" t="str">
            <v>户外</v>
          </cell>
          <cell r="G18">
            <v>0.8</v>
          </cell>
          <cell r="H18">
            <v>66</v>
          </cell>
          <cell r="I18">
            <v>12</v>
          </cell>
          <cell r="J18">
            <v>8</v>
          </cell>
          <cell r="K18">
            <v>0.006336</v>
          </cell>
          <cell r="L18" t="str">
            <v>68*48*23</v>
          </cell>
          <cell r="M18">
            <v>16.3</v>
          </cell>
          <cell r="N18">
            <v>0.075072</v>
          </cell>
          <cell r="O18">
            <v>20</v>
          </cell>
          <cell r="P18" t="str">
            <v>860290001244</v>
          </cell>
          <cell r="Q18">
            <v>9.09</v>
          </cell>
          <cell r="R18">
            <v>1220</v>
          </cell>
          <cell r="S18">
            <v>61</v>
          </cell>
          <cell r="T18">
            <v>4.579392</v>
          </cell>
          <cell r="U18">
            <v>302</v>
          </cell>
        </row>
        <row r="19">
          <cell r="A19" t="str">
            <v>B07HNFZHFS</v>
          </cell>
          <cell r="B19" t="str">
            <v>ECB-BBY-CabLk-20pk</v>
          </cell>
          <cell r="C19" t="str">
            <v>柜锁</v>
          </cell>
          <cell r="D19" t="str">
            <v>Magnetic Cabinet Locks 20 Locks and 3 Keys</v>
          </cell>
          <cell r="E19" t="str">
            <v>=DISPIMG("ID_CC6DFC7EA6F84894AD754B2868F92D53",1)</v>
          </cell>
          <cell r="F19" t="str">
            <v>工具</v>
          </cell>
          <cell r="G19">
            <v>0.55</v>
          </cell>
          <cell r="H19">
            <v>31</v>
          </cell>
          <cell r="I19">
            <v>10</v>
          </cell>
          <cell r="J19">
            <v>5</v>
          </cell>
          <cell r="K19">
            <v>0.00155</v>
          </cell>
          <cell r="L19" t="str">
            <v>55 * 33 * 33</v>
          </cell>
          <cell r="M19">
            <v>17.4</v>
          </cell>
          <cell r="N19">
            <v>0.059895</v>
          </cell>
          <cell r="O19">
            <v>30</v>
          </cell>
          <cell r="P19" t="str">
            <v>7432601615681</v>
          </cell>
          <cell r="Q19">
            <v>11.06</v>
          </cell>
          <cell r="R19">
            <v>1195</v>
          </cell>
          <cell r="S19">
            <v>39.8333333333333</v>
          </cell>
          <cell r="T19">
            <v>2.3858175</v>
          </cell>
          <cell r="U19">
            <v>284</v>
          </cell>
        </row>
        <row r="20">
          <cell r="A20" t="str">
            <v>B01F9IS2Y8</v>
          </cell>
          <cell r="B20" t="str">
            <v>DAT-APA-TrOr1-G</v>
          </cell>
          <cell r="C20" t="str">
            <v>后备箱整理器</v>
          </cell>
          <cell r="D20" t="str">
            <v>Car Organiser by Drive Auto Products - Storage with Tie Down Straps,Foldable</v>
          </cell>
          <cell r="E20" t="str">
            <v>=DISPIMG("ID_4ECF5394084B4A618EBB554B806E1F8B",1)</v>
          </cell>
          <cell r="F20" t="str">
            <v>汽车</v>
          </cell>
          <cell r="G20">
            <v>1.6</v>
          </cell>
          <cell r="H20">
            <v>44</v>
          </cell>
          <cell r="I20">
            <v>28</v>
          </cell>
          <cell r="J20">
            <v>5</v>
          </cell>
          <cell r="K20">
            <v>0.00616</v>
          </cell>
          <cell r="L20" t="str">
            <v>45*30*45</v>
          </cell>
          <cell r="M20">
            <v>16.8</v>
          </cell>
          <cell r="N20">
            <v>0.06075</v>
          </cell>
          <cell r="O20">
            <v>10</v>
          </cell>
          <cell r="P20" t="str">
            <v>635635175207</v>
          </cell>
          <cell r="Q20">
            <v>8.92</v>
          </cell>
          <cell r="R20">
            <v>2356</v>
          </cell>
          <cell r="S20">
            <v>235.6</v>
          </cell>
          <cell r="T20">
            <v>14.3127</v>
          </cell>
          <cell r="U20">
            <v>278</v>
          </cell>
        </row>
        <row r="21">
          <cell r="A21" t="str">
            <v>B07QRVJQSR</v>
          </cell>
          <cell r="B21" t="str">
            <v>BBD-BBY-TyCrd-Wclr48pk</v>
          </cell>
          <cell r="C21" t="str">
            <v>感谢卡</v>
          </cell>
          <cell r="D21" t="str">
            <v>Thank You Cards Watercolour 48 Pack</v>
          </cell>
          <cell r="E21" t="str">
            <v>=DISPIMG("ID_7B6B28FDC4914441B154896D815A34DC",1)</v>
          </cell>
          <cell r="F21" t="str">
            <v>贺卡</v>
          </cell>
          <cell r="G21">
            <v>0.65</v>
          </cell>
          <cell r="H21">
            <v>24</v>
          </cell>
          <cell r="I21">
            <v>17</v>
          </cell>
          <cell r="J21">
            <v>4</v>
          </cell>
          <cell r="K21">
            <v>0.001632</v>
          </cell>
          <cell r="L21" t="str">
            <v>26 * 52 * 38</v>
          </cell>
          <cell r="M21">
            <v>21.7</v>
          </cell>
          <cell r="N21">
            <v>0.051376</v>
          </cell>
          <cell r="O21">
            <v>30</v>
          </cell>
          <cell r="P21" t="str">
            <v>X0012PXIJZ,860001580013</v>
          </cell>
          <cell r="Q21">
            <v>3.24</v>
          </cell>
          <cell r="R21">
            <v>2627</v>
          </cell>
          <cell r="S21">
            <v>87.5666666666667</v>
          </cell>
          <cell r="T21">
            <v>4.49882506666667</v>
          </cell>
          <cell r="U21">
            <v>272</v>
          </cell>
        </row>
        <row r="22">
          <cell r="A22" t="str">
            <v>B072MJSB38</v>
          </cell>
          <cell r="B22" t="str">
            <v>URN-SPO-EXBALL-65R</v>
          </cell>
          <cell r="C22" t="str">
            <v>健身球</v>
          </cell>
          <cell r="D22" t="str">
            <v>Exercise Ball (Multiple Sizes) for Fitness- Anti Burst Prof Quality Design (Red, 65CM)</v>
          </cell>
          <cell r="E22" t="str">
            <v>=DISPIMG("ID_E9DB2FC84DF547D4B9F853C5595E04F8",1)</v>
          </cell>
          <cell r="F22" t="str">
            <v>健身</v>
          </cell>
          <cell r="G22">
            <v>1.25</v>
          </cell>
          <cell r="H22">
            <v>19</v>
          </cell>
          <cell r="I22">
            <v>25</v>
          </cell>
          <cell r="J22">
            <v>12</v>
          </cell>
          <cell r="K22">
            <v>0.0057</v>
          </cell>
          <cell r="L22" t="str">
            <v>64*52*22</v>
          </cell>
          <cell r="M22">
            <v>13.9</v>
          </cell>
          <cell r="N22">
            <v>0.073216</v>
          </cell>
          <cell r="O22">
            <v>10</v>
          </cell>
          <cell r="P22" t="str">
            <v>647829991876</v>
          </cell>
          <cell r="Q22">
            <v>8.55</v>
          </cell>
          <cell r="R22">
            <v>916</v>
          </cell>
          <cell r="S22">
            <v>91.6</v>
          </cell>
          <cell r="T22">
            <v>6.7065856</v>
          </cell>
          <cell r="U22">
            <v>259</v>
          </cell>
        </row>
        <row r="23">
          <cell r="A23" t="str">
            <v>B0725NZR9C</v>
          </cell>
          <cell r="B23" t="str">
            <v>YHG-KND-StlTrvlMg-Stl2pk</v>
          </cell>
          <cell r="C23" t="str">
            <v>保温咖啡杯</v>
          </cell>
          <cell r="D23" t="str">
            <v>FineDine Double Stainless Steel Walled Insulated Coffee Mugs with Lids FD-S50</v>
          </cell>
          <cell r="E23" t="str">
            <v>=DISPIMG("ID_1744384167394A4897B0879BAA1A17F6",1)</v>
          </cell>
          <cell r="F23" t="str">
            <v>水瓶</v>
          </cell>
          <cell r="G23" t="str">
            <v>0.550</v>
          </cell>
          <cell r="H23">
            <v>19</v>
          </cell>
          <cell r="I23">
            <v>13</v>
          </cell>
          <cell r="J23">
            <v>10</v>
          </cell>
          <cell r="K23">
            <v>0.00247</v>
          </cell>
          <cell r="L23" t="str">
            <v>40 * 33 * 29</v>
          </cell>
          <cell r="M23">
            <v>6.7</v>
          </cell>
          <cell r="N23">
            <v>0.03828</v>
          </cell>
          <cell r="O23">
            <v>12</v>
          </cell>
          <cell r="P23" t="str">
            <v>810158030077</v>
          </cell>
          <cell r="Q23">
            <v>5.57</v>
          </cell>
          <cell r="R23">
            <v>238</v>
          </cell>
          <cell r="S23">
            <v>19.8333333333333</v>
          </cell>
          <cell r="T23">
            <v>0.75922</v>
          </cell>
          <cell r="U23">
            <v>244</v>
          </cell>
        </row>
        <row r="24">
          <cell r="A24" t="str">
            <v>B01G35D2NC</v>
          </cell>
          <cell r="B24" t="str">
            <v>NVT-KND-BrMg-SS</v>
          </cell>
          <cell r="C24" t="str">
            <v>不锈钢啤酒杯</v>
          </cell>
          <cell r="D24" t="str">
            <v>Stainless Steel Beer Mug 500ML #201</v>
          </cell>
          <cell r="E24" t="str">
            <v>=DISPIMG("ID_3F81CA1E04334D7495E7D3199DD8EEC6",1)</v>
          </cell>
          <cell r="F24" t="str">
            <v>水瓶</v>
          </cell>
          <cell r="G24">
            <v>0.35</v>
          </cell>
          <cell r="H24">
            <v>15</v>
          </cell>
          <cell r="I24">
            <v>13</v>
          </cell>
          <cell r="J24">
            <v>10</v>
          </cell>
          <cell r="K24">
            <v>0.00195</v>
          </cell>
          <cell r="L24" t="str">
            <v>54*43*31</v>
          </cell>
          <cell r="M24">
            <v>11.5</v>
          </cell>
          <cell r="N24">
            <v>0.071982</v>
          </cell>
          <cell r="O24">
            <v>32</v>
          </cell>
          <cell r="P24" t="str">
            <v>646437796156</v>
          </cell>
          <cell r="Q24">
            <v>5.34</v>
          </cell>
          <cell r="R24">
            <v>11</v>
          </cell>
          <cell r="S24">
            <v>0.34375</v>
          </cell>
          <cell r="T24">
            <v>0.0247438125</v>
          </cell>
          <cell r="U24">
            <v>244</v>
          </cell>
        </row>
        <row r="25">
          <cell r="A25" t="str">
            <v>B01N199WJ1</v>
          </cell>
          <cell r="B25" t="str">
            <v>YHG-HOK-WdCtRk-Ntl</v>
          </cell>
          <cell r="C25" t="str">
            <v>木树衣帽架</v>
          </cell>
          <cell r="D25" t="str">
            <v>Wooden Tree Coat Natural</v>
          </cell>
          <cell r="E25" t="str">
            <v>=DISPIMG("ID_1F4F427832254B0F8DABD46C6DA49975",1)</v>
          </cell>
          <cell r="F25" t="str">
            <v>衣架</v>
          </cell>
          <cell r="G25" t="str">
            <v>2.200</v>
          </cell>
          <cell r="H25">
            <v>39.5</v>
          </cell>
          <cell r="I25">
            <v>12.5</v>
          </cell>
          <cell r="J25">
            <v>11</v>
          </cell>
          <cell r="K25">
            <v>0.00543125</v>
          </cell>
          <cell r="L25" t="str">
            <v>42 * 28 * 35</v>
          </cell>
          <cell r="M25">
            <v>13.8</v>
          </cell>
          <cell r="N25">
            <v>0.04116</v>
          </cell>
          <cell r="O25">
            <v>6</v>
          </cell>
          <cell r="P25" t="str">
            <v>711717440897</v>
          </cell>
          <cell r="Q25">
            <v>10.95</v>
          </cell>
          <cell r="R25">
            <v>905</v>
          </cell>
          <cell r="S25">
            <v>150.833333333333</v>
          </cell>
          <cell r="T25">
            <v>6.20829999999999</v>
          </cell>
          <cell r="U25">
            <v>242</v>
          </cell>
        </row>
        <row r="26">
          <cell r="A26" t="str">
            <v>B06Y1VM9RT</v>
          </cell>
          <cell r="B26" t="str">
            <v>NVT-KND-IcCshr-Alloy</v>
          </cell>
          <cell r="C26" t="str">
            <v>碎冰机</v>
          </cell>
          <cell r="D26" t="str">
            <v>hand crank ice crush made of Zinc alloy, chrome surface finishing</v>
          </cell>
          <cell r="E26" t="str">
            <v>=DISPIMG("ID_3CBDF22AF4554788AB85DAF426281909",1)</v>
          </cell>
          <cell r="F26" t="str">
            <v>厨房用具</v>
          </cell>
          <cell r="G26">
            <v>1.9</v>
          </cell>
          <cell r="H26">
            <v>27</v>
          </cell>
          <cell r="I26">
            <v>17</v>
          </cell>
          <cell r="J26">
            <v>17</v>
          </cell>
          <cell r="K26">
            <v>0.007803</v>
          </cell>
          <cell r="L26" t="str">
            <v>52*36*29</v>
          </cell>
          <cell r="M26">
            <v>11.55</v>
          </cell>
          <cell r="N26">
            <v>0.054288</v>
          </cell>
          <cell r="O26">
            <v>6</v>
          </cell>
          <cell r="P26" t="str">
            <v>712038222339</v>
          </cell>
          <cell r="Q26">
            <v>20.93</v>
          </cell>
          <cell r="R26">
            <v>3304</v>
          </cell>
          <cell r="S26">
            <v>550.666666666667</v>
          </cell>
          <cell r="T26">
            <v>29.894592</v>
          </cell>
          <cell r="U26">
            <v>225</v>
          </cell>
        </row>
        <row r="27">
          <cell r="A27" t="str">
            <v>B00JMC9SJG</v>
          </cell>
          <cell r="B27" t="str">
            <v>PLT-GAO-FldGrdChr-ExQlty</v>
          </cell>
          <cell r="C27" t="str">
            <v>阿迪朗达克椅</v>
          </cell>
          <cell r="D27" t="str">
            <v>Foldable Hardwood Garden Chair - Excellent Quality</v>
          </cell>
          <cell r="E27" t="str">
            <v>=DISPIMG("ID_1E713420251E4AEF906619652D61C30E",1)</v>
          </cell>
          <cell r="F27" t="str">
            <v>桌椅</v>
          </cell>
          <cell r="G27">
            <v>13</v>
          </cell>
          <cell r="H27">
            <v>97</v>
          </cell>
          <cell r="I27">
            <v>60</v>
          </cell>
          <cell r="J27">
            <v>20</v>
          </cell>
          <cell r="K27">
            <v>0.1164</v>
          </cell>
          <cell r="L27" t="str">
            <v>96*60*21</v>
          </cell>
          <cell r="M27">
            <v>14</v>
          </cell>
          <cell r="N27">
            <v>0.12096</v>
          </cell>
          <cell r="O27">
            <v>1</v>
          </cell>
          <cell r="P27" t="str">
            <v>5060236731272,5060236731135</v>
          </cell>
          <cell r="Q27">
            <v>74.95</v>
          </cell>
          <cell r="R27">
            <v>676</v>
          </cell>
          <cell r="S27">
            <v>676</v>
          </cell>
          <cell r="T27">
            <v>81.76896</v>
          </cell>
          <cell r="U27">
            <v>224</v>
          </cell>
        </row>
        <row r="28">
          <cell r="A28" t="str">
            <v>B01ARVRPMM</v>
          </cell>
          <cell r="B28" t="str">
            <v>NVT-KND-CrmWpr-3Nz</v>
          </cell>
          <cell r="C28" t="str">
            <v>鲜奶油分配器套装</v>
          </cell>
          <cell r="D28" t="str">
            <v>Cream Whipper Aluminum</v>
          </cell>
          <cell r="E28" t="str">
            <v>=DISPIMG("ID_9979CA1A9FD4426CBA340DFE9558A2AD",1)</v>
          </cell>
          <cell r="F28" t="str">
            <v>厨房用具</v>
          </cell>
          <cell r="G28">
            <v>0.9</v>
          </cell>
          <cell r="H28">
            <v>31</v>
          </cell>
          <cell r="I28">
            <v>9</v>
          </cell>
          <cell r="J28">
            <v>9</v>
          </cell>
          <cell r="K28">
            <v>0.002511</v>
          </cell>
          <cell r="L28" t="str">
            <v>39 * 29 * 33</v>
          </cell>
          <cell r="M28">
            <v>10.8</v>
          </cell>
          <cell r="N28">
            <v>0.037323</v>
          </cell>
          <cell r="O28">
            <v>12</v>
          </cell>
          <cell r="P28" t="str">
            <v>X000GQ9GV5,784672802598</v>
          </cell>
          <cell r="Q28">
            <v>17.65</v>
          </cell>
          <cell r="R28">
            <v>4260</v>
          </cell>
          <cell r="S28">
            <v>355</v>
          </cell>
          <cell r="T28">
            <v>13.249665</v>
          </cell>
          <cell r="U28">
            <v>221</v>
          </cell>
        </row>
        <row r="29">
          <cell r="A29" t="str">
            <v>B08B1WP27D</v>
          </cell>
          <cell r="B29" t="str">
            <v>YHG-SPO-StlWtrBtlSld-Pnkgrn25</v>
          </cell>
          <cell r="C29" t="str">
            <v>钢水瓶</v>
          </cell>
          <cell r="D29" t="str">
            <v>Stainless Steel Insulated Water Bottle Straw Lid Dreamy Pink-Green 2oz</v>
          </cell>
          <cell r="E29" t="str">
            <v>=DISPIMG("ID_E7F1BE2D714945B88FF1E4E4FD2348DA",1)</v>
          </cell>
          <cell r="F29" t="str">
            <v>水瓶</v>
          </cell>
          <cell r="G29">
            <v>0.6</v>
          </cell>
          <cell r="H29">
            <v>10</v>
          </cell>
          <cell r="I29">
            <v>10</v>
          </cell>
          <cell r="J29">
            <v>35</v>
          </cell>
          <cell r="K29">
            <v>0.0035</v>
          </cell>
          <cell r="L29" t="str">
            <v>61 * 35 * 45</v>
          </cell>
          <cell r="M29">
            <v>14.5</v>
          </cell>
          <cell r="N29">
            <v>0.096075</v>
          </cell>
          <cell r="O29">
            <v>24</v>
          </cell>
          <cell r="P29" t="str">
            <v>810158035256</v>
          </cell>
          <cell r="Q29">
            <v>6.05</v>
          </cell>
          <cell r="R29">
            <v>2092</v>
          </cell>
          <cell r="S29">
            <v>87.1666666666667</v>
          </cell>
          <cell r="T29">
            <v>8.3745375</v>
          </cell>
          <cell r="U29">
            <v>203</v>
          </cell>
        </row>
        <row r="30">
          <cell r="A30" t="str">
            <v>B07VGM121L</v>
          </cell>
          <cell r="B30" t="str">
            <v>YHG-HOK-VlvtHngrTb-Blk20pk</v>
          </cell>
          <cell r="C30" t="str">
            <v>天鹅绒衣架</v>
          </cell>
          <cell r="D30" t="str">
            <v>Velvet Hangers With Tie Bar Black set of 20</v>
          </cell>
          <cell r="E30" t="str">
            <v>=DISPIMG("ID_C34A3B171E92485B87619EBC92D85443",1)</v>
          </cell>
          <cell r="F30" t="str">
            <v>衣架</v>
          </cell>
          <cell r="G30">
            <v>1.8</v>
          </cell>
          <cell r="H30">
            <v>44</v>
          </cell>
          <cell r="I30">
            <v>34</v>
          </cell>
          <cell r="J30">
            <v>7</v>
          </cell>
          <cell r="K30">
            <v>0.010472</v>
          </cell>
          <cell r="L30" t="str">
            <v>61*46*36</v>
          </cell>
          <cell r="M30">
            <v>14.7</v>
          </cell>
          <cell r="N30">
            <v>0.101016</v>
          </cell>
          <cell r="O30">
            <v>8</v>
          </cell>
          <cell r="P30" t="str">
            <v>810158033566</v>
          </cell>
          <cell r="Q30">
            <v>5.13</v>
          </cell>
          <cell r="R30">
            <v>400</v>
          </cell>
          <cell r="S30">
            <v>50</v>
          </cell>
          <cell r="T30">
            <v>5.0508</v>
          </cell>
          <cell r="U30">
            <v>191</v>
          </cell>
        </row>
        <row r="31">
          <cell r="A31" t="str">
            <v>B07JG4HXJ6</v>
          </cell>
          <cell r="B31" t="str">
            <v>CSP-PLG-Bxpnl-20x20</v>
          </cell>
          <cell r="C31" t="str">
            <v>人造绿板</v>
          </cell>
          <cell r="D31" t="str">
            <v>Boxwood Panels 20 x 20 Inch</v>
          </cell>
          <cell r="E31" t="str">
            <v>=DISPIMG("ID_00D388FAE9EF4E41A5D36BA30201CF7A",1)</v>
          </cell>
          <cell r="F31" t="str">
            <v>户外</v>
          </cell>
          <cell r="G31">
            <v>8.75</v>
          </cell>
          <cell r="H31">
            <v>60</v>
          </cell>
          <cell r="I31">
            <v>52</v>
          </cell>
          <cell r="J31">
            <v>30</v>
          </cell>
          <cell r="K31">
            <v>0.0936</v>
          </cell>
          <cell r="L31" t="str">
            <v>60*53*34</v>
          </cell>
          <cell r="M31">
            <v>8</v>
          </cell>
          <cell r="N31">
            <v>0.10812</v>
          </cell>
          <cell r="O31">
            <v>1</v>
          </cell>
          <cell r="P31" t="str">
            <v>704751858384</v>
          </cell>
          <cell r="Q31">
            <v>80.35</v>
          </cell>
          <cell r="R31">
            <v>1296</v>
          </cell>
          <cell r="S31">
            <v>1296</v>
          </cell>
          <cell r="T31">
            <v>140.12352</v>
          </cell>
          <cell r="U31">
            <v>187</v>
          </cell>
        </row>
        <row r="32">
          <cell r="A32" t="str">
            <v>B08C5LCDYC</v>
          </cell>
          <cell r="B32" t="str">
            <v>MXL-KND-ShkCot-WsD</v>
          </cell>
          <cell r="C32" t="str">
            <v>调酒套件和支架</v>
          </cell>
          <cell r="D32" t="str">
            <v>Cocktail Shaker with Stand Dark</v>
          </cell>
          <cell r="E32" t="str">
            <v>=DISPIMG("ID_DFEF9A2387E149E98302324A17CCFB0C",1)</v>
          </cell>
          <cell r="F32" t="str">
            <v>厨房用具</v>
          </cell>
          <cell r="G32">
            <v>0.8</v>
          </cell>
          <cell r="H32">
            <v>21</v>
          </cell>
          <cell r="I32">
            <v>18</v>
          </cell>
          <cell r="J32">
            <v>10</v>
          </cell>
          <cell r="K32">
            <v>0.00378</v>
          </cell>
          <cell r="L32" t="str">
            <v>51*35*23</v>
          </cell>
          <cell r="M32">
            <v>8.59</v>
          </cell>
          <cell r="N32">
            <v>0.041055</v>
          </cell>
          <cell r="O32">
            <v>10</v>
          </cell>
          <cell r="P32" t="str">
            <v>810090950143</v>
          </cell>
          <cell r="Q32">
            <v>9.59</v>
          </cell>
          <cell r="R32">
            <v>684</v>
          </cell>
          <cell r="S32">
            <v>68.4</v>
          </cell>
          <cell r="T32">
            <v>2.808162</v>
          </cell>
          <cell r="U32">
            <v>184</v>
          </cell>
        </row>
        <row r="33">
          <cell r="A33" t="str">
            <v>B01C2BAE82</v>
          </cell>
          <cell r="B33" t="str">
            <v>BFR-SPO-OccBndPro-1Set</v>
          </cell>
          <cell r="C33" t="str">
            <v>遮挡带</v>
          </cell>
          <cell r="D33" t="str">
            <v>Occlusion Training Bands PRO 1 Set</v>
          </cell>
          <cell r="E33" t="str">
            <v>=DISPIMG("ID_44930317F568402497B71A2BF06F0DBA",1)</v>
          </cell>
          <cell r="F33" t="str">
            <v>健身</v>
          </cell>
          <cell r="G33">
            <v>0.2</v>
          </cell>
          <cell r="H33">
            <v>18</v>
          </cell>
          <cell r="I33">
            <v>11</v>
          </cell>
          <cell r="J33">
            <v>4</v>
          </cell>
          <cell r="K33">
            <v>0.000792</v>
          </cell>
          <cell r="L33" t="str">
            <v>40*32*30</v>
          </cell>
          <cell r="M33">
            <v>11.5</v>
          </cell>
          <cell r="N33">
            <v>0.0384</v>
          </cell>
          <cell r="O33">
            <v>55</v>
          </cell>
          <cell r="P33" t="str">
            <v>753807214896, 744288830903</v>
          </cell>
          <cell r="Q33">
            <v>4.37</v>
          </cell>
          <cell r="R33">
            <v>2990</v>
          </cell>
          <cell r="S33">
            <v>54.3636363636364</v>
          </cell>
          <cell r="T33">
            <v>2.08756363636364</v>
          </cell>
          <cell r="U33">
            <v>182</v>
          </cell>
        </row>
        <row r="34">
          <cell r="A34" t="str">
            <v>B015FWSJ3W</v>
          </cell>
          <cell r="B34" t="str">
            <v>NVT-KND-CktlSkr-24oz</v>
          </cell>
          <cell r="C34" t="str">
            <v>鸡尾酒调酒器套装</v>
          </cell>
          <cell r="D34" t="str">
            <v>Cocktail Shaker - Premium Bar Set</v>
          </cell>
          <cell r="E34" t="str">
            <v>=DISPIMG("ID_BB17C10F87164ED2AA995B2725B70872",1)</v>
          </cell>
          <cell r="F34" t="str">
            <v>厨房用具</v>
          </cell>
          <cell r="G34">
            <v>0.45</v>
          </cell>
          <cell r="H34">
            <v>19</v>
          </cell>
          <cell r="I34">
            <v>9</v>
          </cell>
          <cell r="J34">
            <v>9</v>
          </cell>
          <cell r="K34">
            <v>0.001539</v>
          </cell>
          <cell r="L34" t="str">
            <v>40*38*30</v>
          </cell>
          <cell r="M34">
            <v>11.1</v>
          </cell>
          <cell r="N34">
            <v>0.0456</v>
          </cell>
          <cell r="O34">
            <v>24</v>
          </cell>
          <cell r="P34" t="str">
            <v>784672802581</v>
          </cell>
          <cell r="Q34">
            <v>4.75</v>
          </cell>
          <cell r="R34">
            <v>835</v>
          </cell>
          <cell r="S34">
            <v>34.7916666666667</v>
          </cell>
          <cell r="T34">
            <v>1.5865</v>
          </cell>
          <cell r="U34">
            <v>182</v>
          </cell>
        </row>
        <row r="35">
          <cell r="A35" t="str">
            <v>B0897CPDRZ</v>
          </cell>
          <cell r="B35" t="str">
            <v>YHG-SPO-StlWtrBtlSld-Stl25</v>
          </cell>
          <cell r="C35" t="str">
            <v>钢水瓶</v>
          </cell>
          <cell r="D35" t="str">
            <v>Stainless Steel Insulated Water Bottle Straw Lid Stainless Steel 2oz</v>
          </cell>
          <cell r="E35" t="str">
            <v>=DISPIMG("ID_852CFC7D6D174F8DAB5CAAD611519994",1)</v>
          </cell>
          <cell r="F35" t="str">
            <v>水瓶</v>
          </cell>
          <cell r="G35">
            <v>0.6</v>
          </cell>
          <cell r="H35">
            <v>35</v>
          </cell>
          <cell r="I35">
            <v>10</v>
          </cell>
          <cell r="J35">
            <v>9.5</v>
          </cell>
          <cell r="K35">
            <v>0.003325</v>
          </cell>
          <cell r="L35" t="str">
            <v>58.5*40*38</v>
          </cell>
          <cell r="M35">
            <v>14.1</v>
          </cell>
          <cell r="N35">
            <v>0.08892</v>
          </cell>
          <cell r="O35">
            <v>24</v>
          </cell>
          <cell r="P35" t="str">
            <v>810158035300</v>
          </cell>
          <cell r="Q35">
            <v>5.03</v>
          </cell>
          <cell r="R35">
            <v>1468</v>
          </cell>
          <cell r="S35">
            <v>61.1666666666667</v>
          </cell>
          <cell r="T35">
            <v>5.43894</v>
          </cell>
          <cell r="U35">
            <v>181</v>
          </cell>
        </row>
        <row r="36">
          <cell r="A36" t="str">
            <v>B07C3G575Q</v>
          </cell>
          <cell r="B36" t="str">
            <v>YHG-HOK-4SktHngr-6pk</v>
          </cell>
          <cell r="C36" t="str">
            <v>4 层裙架</v>
          </cell>
          <cell r="D36" t="str">
            <v>Metal Skirt Hangers 4 Tier set of 6</v>
          </cell>
          <cell r="E36" t="str">
            <v>=DISPIMG("ID_943F1A4AE5C74E2CA8163A30B4ACBC04",1)</v>
          </cell>
          <cell r="F36" t="str">
            <v>衣架</v>
          </cell>
          <cell r="G36">
            <v>1.8</v>
          </cell>
          <cell r="H36">
            <v>39</v>
          </cell>
          <cell r="I36">
            <v>34</v>
          </cell>
          <cell r="J36">
            <v>7</v>
          </cell>
          <cell r="K36">
            <v>0.009282</v>
          </cell>
          <cell r="L36" t="str">
            <v>41 * 36 * 39</v>
          </cell>
          <cell r="M36">
            <v>10</v>
          </cell>
          <cell r="N36">
            <v>0.057564</v>
          </cell>
          <cell r="O36">
            <v>5</v>
          </cell>
          <cell r="P36" t="str">
            <v>810158031678,698545987087</v>
          </cell>
          <cell r="Q36">
            <v>7.99</v>
          </cell>
          <cell r="R36">
            <v>1212</v>
          </cell>
          <cell r="S36">
            <v>242.4</v>
          </cell>
          <cell r="T36">
            <v>13.9535136</v>
          </cell>
          <cell r="U36">
            <v>181</v>
          </cell>
        </row>
        <row r="37">
          <cell r="A37" t="str">
            <v>B01IABZWPI</v>
          </cell>
          <cell r="B37" t="str">
            <v>HCO-HOK-MoPe-G6</v>
          </cell>
          <cell r="C37" t="str">
            <v>研钵和杵</v>
          </cell>
          <cell r="D37" t="str">
            <v>Granite Mortar and Pestle, 6 Inch Large</v>
          </cell>
          <cell r="E37" t="str">
            <v>=DISPIMG("ID_A05272CEEE564ACB8498D68A4C8E8B6D",1)</v>
          </cell>
          <cell r="F37" t="str">
            <v>厨房用具</v>
          </cell>
          <cell r="G37" t="str">
            <v>3.600</v>
          </cell>
          <cell r="H37">
            <v>16</v>
          </cell>
          <cell r="I37">
            <v>17</v>
          </cell>
          <cell r="J37">
            <v>16</v>
          </cell>
          <cell r="K37">
            <v>0.004352</v>
          </cell>
          <cell r="L37" t="str">
            <v>35 * 35 * 18</v>
          </cell>
          <cell r="M37">
            <v>14.6</v>
          </cell>
          <cell r="N37">
            <v>0.02205</v>
          </cell>
          <cell r="O37">
            <v>4</v>
          </cell>
          <cell r="P37" t="str">
            <v>703546207390</v>
          </cell>
          <cell r="Q37">
            <v>7.86</v>
          </cell>
          <cell r="R37">
            <v>1155</v>
          </cell>
          <cell r="S37">
            <v>288.75</v>
          </cell>
          <cell r="T37">
            <v>6.3669375</v>
          </cell>
          <cell r="U37">
            <v>178</v>
          </cell>
        </row>
        <row r="38">
          <cell r="A38" t="str">
            <v>B08F5HHJ4G</v>
          </cell>
          <cell r="B38" t="str">
            <v>MXL-KND-GftSet-8sT2gWb4</v>
          </cell>
          <cell r="C38" t="str">
            <v>威士忌酒杯和石头套装</v>
          </cell>
          <cell r="D38" t="str">
            <v>Whiskey Glass Stone Set</v>
          </cell>
          <cell r="E38" t="str">
            <v>=DISPIMG("ID_68C0B8D23135420391D2FC4D832805E7",1)</v>
          </cell>
          <cell r="F38" t="str">
            <v>厨房用具</v>
          </cell>
          <cell r="G38">
            <v>2.2</v>
          </cell>
          <cell r="H38">
            <v>28</v>
          </cell>
          <cell r="I38">
            <v>22</v>
          </cell>
          <cell r="J38">
            <v>14</v>
          </cell>
          <cell r="K38">
            <v>0.008624</v>
          </cell>
          <cell r="L38" t="str">
            <v>54*46*30</v>
          </cell>
          <cell r="M38">
            <v>17.8</v>
          </cell>
          <cell r="N38">
            <v>0.07452</v>
          </cell>
          <cell r="O38">
            <v>8</v>
          </cell>
          <cell r="P38" t="str">
            <v>810090950464</v>
          </cell>
          <cell r="Q38">
            <v>12.94</v>
          </cell>
          <cell r="R38">
            <v>656</v>
          </cell>
          <cell r="S38">
            <v>82</v>
          </cell>
          <cell r="T38">
            <v>6.11064</v>
          </cell>
          <cell r="U38">
            <v>178</v>
          </cell>
        </row>
        <row r="39">
          <cell r="A39" t="str">
            <v>B01B3MW7CC</v>
          </cell>
          <cell r="B39" t="str">
            <v>HNS-ETC-OutDrPojector-200In</v>
          </cell>
          <cell r="C39" t="str">
            <v>户外投影屏幕</v>
          </cell>
          <cell r="D39" t="str">
            <v>Outdoor Projector 200 Inch</v>
          </cell>
          <cell r="E39" t="str">
            <v>=DISPIMG("ID_93CD96EE00444966B23E3D6AD38DA0EF",1)</v>
          </cell>
          <cell r="F39" t="str">
            <v>户外</v>
          </cell>
          <cell r="G39">
            <v>18.5</v>
          </cell>
          <cell r="H39">
            <v>60</v>
          </cell>
          <cell r="I39">
            <v>46</v>
          </cell>
          <cell r="J39">
            <v>41</v>
          </cell>
          <cell r="K39">
            <v>0.11316</v>
          </cell>
          <cell r="L39" t="str">
            <v>60*46*41</v>
          </cell>
          <cell r="M39">
            <v>18.3</v>
          </cell>
          <cell r="N39">
            <v>0.11316</v>
          </cell>
          <cell r="O39">
            <v>1</v>
          </cell>
          <cell r="P39" t="str">
            <v>748723670208</v>
          </cell>
          <cell r="Q39">
            <v>139.85</v>
          </cell>
          <cell r="R39">
            <v>778</v>
          </cell>
          <cell r="S39">
            <v>778</v>
          </cell>
          <cell r="T39">
            <v>88.03848</v>
          </cell>
          <cell r="U39">
            <v>174</v>
          </cell>
        </row>
        <row r="40">
          <cell r="A40" t="str">
            <v>B01ELYJFEM</v>
          </cell>
          <cell r="B40" t="str">
            <v>MDK-BPC-DBdPad-36pk</v>
          </cell>
          <cell r="C40" t="str">
            <v>一次性床垫</v>
          </cell>
          <cell r="D40" t="str">
            <v>Medokare Disposable Bed Pads - 36 Pack</v>
          </cell>
          <cell r="E40" t="str">
            <v>=DISPIMG("ID_B7F4E296E1B74A209189F5F3E2A9F113",1)</v>
          </cell>
          <cell r="F40" t="str">
            <v>床品</v>
          </cell>
          <cell r="G40">
            <v>2.64</v>
          </cell>
          <cell r="H40">
            <v>30</v>
          </cell>
          <cell r="I40">
            <v>29.8</v>
          </cell>
          <cell r="J40">
            <v>19.4</v>
          </cell>
          <cell r="K40">
            <v>0.0173436</v>
          </cell>
          <cell r="L40" t="str">
            <v>60*41.2*31.4</v>
          </cell>
          <cell r="M40">
            <v>11.46</v>
          </cell>
          <cell r="N40">
            <v>0.0776208</v>
          </cell>
          <cell r="O40">
            <v>4</v>
          </cell>
          <cell r="P40" t="str">
            <v>641606998829</v>
          </cell>
          <cell r="Q40">
            <v>12.45</v>
          </cell>
          <cell r="R40">
            <v>949</v>
          </cell>
          <cell r="S40">
            <v>237.25</v>
          </cell>
          <cell r="T40">
            <v>18.4155348</v>
          </cell>
          <cell r="U40">
            <v>171</v>
          </cell>
        </row>
        <row r="41">
          <cell r="A41" t="str">
            <v>B015HVQDIY</v>
          </cell>
          <cell r="B41" t="str">
            <v>BCV-ACS-YrnStoBag-Blu</v>
          </cell>
          <cell r="C41" t="str">
            <v>编织袋</v>
          </cell>
          <cell r="D41" t="str">
            <v>Yarn Storage Bag Blue</v>
          </cell>
          <cell r="E41" t="str">
            <v>=DISPIMG("ID_4BF108F2B28347FAAE728AB9FD119411",1)</v>
          </cell>
        </row>
        <row r="41">
          <cell r="G41">
            <v>0.45</v>
          </cell>
          <cell r="H41">
            <v>32</v>
          </cell>
          <cell r="I41">
            <v>30</v>
          </cell>
          <cell r="J41">
            <v>5</v>
          </cell>
          <cell r="K41">
            <v>0.0048</v>
          </cell>
          <cell r="L41" t="str">
            <v>42 * 40 * 61</v>
          </cell>
          <cell r="M41">
            <v>13.2</v>
          </cell>
          <cell r="N41">
            <v>0.10248</v>
          </cell>
          <cell r="O41">
            <v>30</v>
          </cell>
          <cell r="P41" t="str">
            <v>X000FD3M91,646437442367</v>
          </cell>
          <cell r="Q41">
            <v>6.71</v>
          </cell>
          <cell r="R41">
            <v>1733</v>
          </cell>
          <cell r="S41">
            <v>57.7666666666667</v>
          </cell>
          <cell r="T41">
            <v>5.919928</v>
          </cell>
          <cell r="U41">
            <v>168</v>
          </cell>
        </row>
        <row r="42">
          <cell r="A42" t="str">
            <v>B01HC4FFSI</v>
          </cell>
          <cell r="B42" t="str">
            <v>BKY-HOK-SRPLW-2P</v>
          </cell>
          <cell r="C42" t="str">
            <v>凝胶枕头</v>
          </cell>
          <cell r="D42" t="str">
            <v>SR Gel Pillow 2pk-King-White</v>
          </cell>
          <cell r="E42" t="str">
            <v>=DISPIMG("ID_1B3581117BEA4C96B0CA3247334EA3EB",1)</v>
          </cell>
          <cell r="F42" t="str">
            <v>家居</v>
          </cell>
          <cell r="G42">
            <v>3.4</v>
          </cell>
          <cell r="H42">
            <v>35</v>
          </cell>
          <cell r="I42">
            <v>44</v>
          </cell>
          <cell r="J42">
            <v>20</v>
          </cell>
          <cell r="K42">
            <v>0.0308</v>
          </cell>
          <cell r="L42" t="str">
            <v>37 * 61 * 46</v>
          </cell>
          <cell r="M42">
            <v>11.5</v>
          </cell>
          <cell r="N42">
            <v>0.103822</v>
          </cell>
          <cell r="O42">
            <v>3</v>
          </cell>
          <cell r="P42" t="str">
            <v>X002I89D3N,80119075045</v>
          </cell>
          <cell r="Q42">
            <v>17.52</v>
          </cell>
          <cell r="R42">
            <v>1</v>
          </cell>
          <cell r="S42">
            <v>0.333333333333333</v>
          </cell>
          <cell r="T42">
            <v>0.0346073333333333</v>
          </cell>
          <cell r="U42">
            <v>164</v>
          </cell>
        </row>
        <row r="43">
          <cell r="A43" t="str">
            <v>B01M6Z8VB1</v>
          </cell>
          <cell r="B43" t="str">
            <v>ECB-BBY-CabLk-12pk</v>
          </cell>
          <cell r="C43" t="str">
            <v>柜锁</v>
          </cell>
          <cell r="D43" t="str">
            <v>Magnetic Cabinet Locks 12 Locks &amp; 2 Keys</v>
          </cell>
          <cell r="E43" t="str">
            <v>=DISPIMG("ID_0700C63018254B08948E945A659DD161",1)</v>
          </cell>
          <cell r="F43" t="str">
            <v>工具</v>
          </cell>
          <cell r="G43">
            <v>0.35</v>
          </cell>
          <cell r="H43">
            <v>22</v>
          </cell>
          <cell r="I43">
            <v>10</v>
          </cell>
          <cell r="J43">
            <v>5</v>
          </cell>
          <cell r="K43">
            <v>0.0011</v>
          </cell>
          <cell r="L43" t="str">
            <v>55 * 46 * 27</v>
          </cell>
          <cell r="M43">
            <v>18.6</v>
          </cell>
          <cell r="N43">
            <v>0.06831</v>
          </cell>
          <cell r="O43">
            <v>50</v>
          </cell>
          <cell r="P43" t="str">
            <v>682500362323</v>
          </cell>
          <cell r="Q43">
            <v>6.94</v>
          </cell>
          <cell r="R43">
            <v>98</v>
          </cell>
          <cell r="S43">
            <v>1.96</v>
          </cell>
          <cell r="T43">
            <v>0.1338876</v>
          </cell>
          <cell r="U43">
            <v>163</v>
          </cell>
        </row>
        <row r="44">
          <cell r="A44" t="str">
            <v>B08B1VVVB1</v>
          </cell>
          <cell r="B44" t="str">
            <v>YHG-SPO-StlWtrBtlSld-Wmbl25</v>
          </cell>
          <cell r="C44" t="str">
            <v>钢水瓶</v>
          </cell>
          <cell r="D44" t="str">
            <v>Stainless Steel Insulated Water Bottle Straw Lid White Marble 2oz</v>
          </cell>
          <cell r="E44" t="str">
            <v>=DISPIMG("ID_83C62FFCB8C54FD7965B17AE41B3A0E3",1)</v>
          </cell>
          <cell r="F44" t="str">
            <v>水瓶</v>
          </cell>
          <cell r="G44">
            <v>0.5</v>
          </cell>
          <cell r="H44">
            <v>9.5</v>
          </cell>
          <cell r="I44">
            <v>9.5</v>
          </cell>
          <cell r="J44">
            <v>34.5</v>
          </cell>
          <cell r="K44">
            <v>0.003113625</v>
          </cell>
          <cell r="L44" t="str">
            <v>57.5*39*36*5</v>
          </cell>
          <cell r="M44">
            <v>14</v>
          </cell>
          <cell r="N44">
            <v>0.08185125</v>
          </cell>
          <cell r="O44">
            <v>24</v>
          </cell>
          <cell r="P44" t="str">
            <v>810158035249</v>
          </cell>
          <cell r="Q44">
            <v>6.16</v>
          </cell>
          <cell r="R44">
            <v>1120</v>
          </cell>
          <cell r="S44">
            <v>46.6666666666667</v>
          </cell>
          <cell r="T44">
            <v>3.819725</v>
          </cell>
          <cell r="U44">
            <v>160</v>
          </cell>
        </row>
        <row r="45">
          <cell r="A45" t="str">
            <v>B07RJTKL5W</v>
          </cell>
          <cell r="B45" t="str">
            <v>YHG-KND-StlWtrBtl-17Stl2pk</v>
          </cell>
          <cell r="C45" t="str">
            <v>钢水瓶</v>
          </cell>
          <cell r="D45" t="str">
            <v>FINEDINE Insulated Stainless Steel Water Bottle With Handle Clips Set of FD-S40</v>
          </cell>
          <cell r="E45" t="str">
            <v>=DISPIMG("ID_73D207E24FC045C386FF0F2D1DB0336A",1)</v>
          </cell>
          <cell r="F45" t="str">
            <v>水瓶</v>
          </cell>
          <cell r="G45" t="str">
            <v>0.7</v>
          </cell>
          <cell r="H45" t="str">
            <v>28.0</v>
          </cell>
          <cell r="I45" t="str">
            <v>16.0</v>
          </cell>
          <cell r="J45" t="str">
            <v>8.0</v>
          </cell>
          <cell r="K45">
            <v>0.003584</v>
          </cell>
          <cell r="L45" t="str">
            <v>47*32*29</v>
          </cell>
          <cell r="M45">
            <v>9</v>
          </cell>
          <cell r="N45">
            <v>0.043616</v>
          </cell>
          <cell r="O45">
            <v>12</v>
          </cell>
          <cell r="P45" t="str">
            <v>810158032972,810158037182</v>
          </cell>
          <cell r="Q45">
            <v>7.19</v>
          </cell>
          <cell r="R45">
            <v>352</v>
          </cell>
          <cell r="S45">
            <v>29.3333333333333</v>
          </cell>
          <cell r="T45">
            <v>1.27940266666667</v>
          </cell>
          <cell r="U45">
            <v>156</v>
          </cell>
        </row>
        <row r="46">
          <cell r="A46" t="str">
            <v>B08MFSPHL5</v>
          </cell>
          <cell r="B46" t="str">
            <v>YHG-SPO-StlWtrBtlSld-Dppl25</v>
          </cell>
          <cell r="C46" t="str">
            <v>钢水瓶</v>
          </cell>
          <cell r="D46" t="str">
            <v>Stainless Steel Insulated Water Bottle Straw Lid Dreamy Purple 2oz</v>
          </cell>
          <cell r="E46" t="str">
            <v>=DISPIMG("ID_3BCAA7649B6349D5AD4945DF11520F1F",1)</v>
          </cell>
          <cell r="F46" t="str">
            <v>水瓶</v>
          </cell>
          <cell r="G46">
            <v>0.6</v>
          </cell>
          <cell r="H46">
            <v>25</v>
          </cell>
          <cell r="I46">
            <v>10</v>
          </cell>
          <cell r="J46">
            <v>10</v>
          </cell>
          <cell r="K46">
            <v>0.0025</v>
          </cell>
          <cell r="L46" t="str">
            <v>40 * 58 * 37</v>
          </cell>
          <cell r="M46">
            <v>14.6</v>
          </cell>
          <cell r="N46">
            <v>0.08584</v>
          </cell>
          <cell r="O46">
            <v>24</v>
          </cell>
          <cell r="P46" t="str">
            <v>810158038059</v>
          </cell>
          <cell r="Q46">
            <v>5.97</v>
          </cell>
          <cell r="R46">
            <v>156</v>
          </cell>
          <cell r="S46">
            <v>6.5</v>
          </cell>
          <cell r="T46">
            <v>0.55796</v>
          </cell>
          <cell r="U46">
            <v>154</v>
          </cell>
        </row>
        <row r="47">
          <cell r="A47" t="str">
            <v>B08MFRBGBH</v>
          </cell>
          <cell r="B47" t="str">
            <v>YHG-SPO-StlWtrBtlSld-Blkwte25</v>
          </cell>
          <cell r="C47" t="str">
            <v>钢水瓶</v>
          </cell>
          <cell r="D47" t="str">
            <v>Stainless Steel Insulated Water Bottle Straw Lid Black-White 2oz</v>
          </cell>
          <cell r="E47" t="str">
            <v>=DISPIMG("ID_B5FCE09F26044BEE89ECC3B25056D4DF",1)</v>
          </cell>
          <cell r="F47" t="str">
            <v>水瓶</v>
          </cell>
          <cell r="G47" t="str">
            <v>0.52</v>
          </cell>
          <cell r="H47">
            <v>34.9</v>
          </cell>
          <cell r="I47" t="str">
            <v>9.4</v>
          </cell>
          <cell r="J47" t="str">
            <v>9.6</v>
          </cell>
          <cell r="K47">
            <v>0.003149376</v>
          </cell>
          <cell r="L47" t="str">
            <v>40 * 59 * 38 </v>
          </cell>
          <cell r="M47">
            <v>14.6</v>
          </cell>
          <cell r="N47">
            <v>0.08584</v>
          </cell>
          <cell r="O47">
            <v>24</v>
          </cell>
          <cell r="P47" t="str">
            <v>810158038035</v>
          </cell>
          <cell r="Q47">
            <v>5.37</v>
          </cell>
          <cell r="R47">
            <v>811</v>
          </cell>
          <cell r="S47">
            <v>33.7916666666667</v>
          </cell>
          <cell r="T47">
            <v>2.90067666666667</v>
          </cell>
          <cell r="U47">
            <v>153</v>
          </cell>
        </row>
        <row r="48">
          <cell r="A48" t="str">
            <v>B083QXSD86</v>
          </cell>
          <cell r="B48" t="str">
            <v>HNS-TOH-LghtPoles-9ft2Pk</v>
          </cell>
          <cell r="C48" t="str">
            <v>户外灯杆</v>
          </cell>
          <cell r="D48" t="str">
            <v>String Light Poles 9ft 2 Pack</v>
          </cell>
          <cell r="E48" t="str">
            <v>=DISPIMG("ID_8C45620197FF474BA85748FFB01377E5",1)</v>
          </cell>
          <cell r="F48" t="str">
            <v>户外</v>
          </cell>
          <cell r="G48">
            <v>5.6</v>
          </cell>
          <cell r="H48">
            <v>150</v>
          </cell>
          <cell r="I48">
            <v>14</v>
          </cell>
          <cell r="J48">
            <v>13</v>
          </cell>
          <cell r="K48">
            <v>0.0273</v>
          </cell>
          <cell r="L48" t="str">
            <v>150*28*27</v>
          </cell>
          <cell r="M48">
            <v>22.6</v>
          </cell>
          <cell r="N48">
            <v>0.1134</v>
          </cell>
          <cell r="O48">
            <v>4</v>
          </cell>
          <cell r="P48" t="str">
            <v>766234799188</v>
          </cell>
          <cell r="Q48">
            <v>36.45</v>
          </cell>
          <cell r="R48">
            <v>773</v>
          </cell>
          <cell r="S48">
            <v>193.25</v>
          </cell>
          <cell r="T48">
            <v>21.91455</v>
          </cell>
          <cell r="U48">
            <v>151</v>
          </cell>
        </row>
        <row r="49">
          <cell r="A49" t="str">
            <v>B01KOQULLC</v>
          </cell>
          <cell r="B49" t="str">
            <v>YHG-HOK-10HngShoOrg-Flk</v>
          </cell>
          <cell r="C49" t="str">
            <v>悬挂式衣柜收纳件</v>
          </cell>
          <cell r="D49" t="str">
            <v>HANGING SHOE SHELVES</v>
          </cell>
          <cell r="E49" t="str">
            <v>=DISPIMG("ID_7510A64D7A924D9E9A6855F6678581CA",1)</v>
          </cell>
          <cell r="F49" t="str">
            <v>收纳</v>
          </cell>
          <cell r="G49">
            <v>0.45</v>
          </cell>
          <cell r="H49">
            <v>30.8</v>
          </cell>
          <cell r="I49">
            <v>16.4</v>
          </cell>
          <cell r="J49">
            <v>5.2</v>
          </cell>
          <cell r="K49">
            <v>0.002626624</v>
          </cell>
          <cell r="L49" t="str">
            <v>35.2*32.5*32.5</v>
          </cell>
          <cell r="M49">
            <v>7.74</v>
          </cell>
          <cell r="N49">
            <v>0.03718</v>
          </cell>
          <cell r="O49">
            <v>12</v>
          </cell>
          <cell r="P49" t="str">
            <v>810158030619</v>
          </cell>
          <cell r="Q49">
            <v>3.48</v>
          </cell>
          <cell r="R49">
            <v>144</v>
          </cell>
          <cell r="S49">
            <v>12</v>
          </cell>
          <cell r="T49">
            <v>0.44616</v>
          </cell>
          <cell r="U49">
            <v>147</v>
          </cell>
        </row>
        <row r="50">
          <cell r="A50" t="str">
            <v>B015OJF0AG</v>
          </cell>
          <cell r="B50" t="str">
            <v>PLT-GAO-StmrChrCsn-Grn</v>
          </cell>
          <cell r="C50" t="str">
            <v>户外椅垫</v>
          </cell>
          <cell r="D50" t="str">
            <v>Plant Theatre Luxury Steamer Chair Cushion with Head Pillow</v>
          </cell>
          <cell r="E50" t="str">
            <v>=DISPIMG("ID_E54971AEB56E44B6B8FB3973AE8052E6",1)</v>
          </cell>
          <cell r="F50" t="str">
            <v>桌椅</v>
          </cell>
          <cell r="G50">
            <v>2</v>
          </cell>
          <cell r="H50">
            <v>11</v>
          </cell>
          <cell r="I50">
            <v>48</v>
          </cell>
          <cell r="J50">
            <v>96</v>
          </cell>
          <cell r="K50">
            <v>0.050688</v>
          </cell>
          <cell r="L50" t="str">
            <v>105 * 99 * 49</v>
          </cell>
          <cell r="M50">
            <v>23.5</v>
          </cell>
          <cell r="N50">
            <v>0.509355</v>
          </cell>
          <cell r="O50">
            <v>10</v>
          </cell>
          <cell r="P50" t="str">
            <v>5060236731753</v>
          </cell>
          <cell r="Q50">
            <v>29.7</v>
          </cell>
          <cell r="R50">
            <v>132</v>
          </cell>
          <cell r="S50">
            <v>13.2</v>
          </cell>
          <cell r="T50">
            <v>6.723486</v>
          </cell>
          <cell r="U50">
            <v>145</v>
          </cell>
        </row>
        <row r="51">
          <cell r="A51" t="str">
            <v>B08B1VQB39</v>
          </cell>
          <cell r="B51" t="str">
            <v>YHG-SPO-StlWtrBtlSld-Bmbl25</v>
          </cell>
          <cell r="C51" t="str">
            <v>钢水瓶</v>
          </cell>
          <cell r="D51" t="str">
            <v>Stainless Steel Insulated Water Bottle Straw Lid Blue Marble 2oz</v>
          </cell>
          <cell r="E51" t="str">
            <v>=DISPIMG("ID_7AD33A6FCDAE43B19345E84F2075FFEB",1)</v>
          </cell>
          <cell r="F51" t="str">
            <v>水瓶</v>
          </cell>
          <cell r="G51">
            <v>0.6</v>
          </cell>
          <cell r="H51">
            <v>35</v>
          </cell>
          <cell r="I51">
            <v>10</v>
          </cell>
          <cell r="J51">
            <v>10</v>
          </cell>
          <cell r="K51">
            <v>0.0035</v>
          </cell>
          <cell r="L51" t="str">
            <v>58*40*38</v>
          </cell>
          <cell r="M51">
            <v>14.5</v>
          </cell>
          <cell r="N51">
            <v>0.08816</v>
          </cell>
          <cell r="O51">
            <v>24</v>
          </cell>
          <cell r="P51" t="str">
            <v>810158035218</v>
          </cell>
          <cell r="Q51">
            <v>6.54</v>
          </cell>
          <cell r="R51">
            <v>591</v>
          </cell>
          <cell r="S51">
            <v>24.625</v>
          </cell>
          <cell r="T51">
            <v>2.17094</v>
          </cell>
          <cell r="U51">
            <v>144</v>
          </cell>
        </row>
        <row r="52">
          <cell r="A52" t="str">
            <v>B08MFSSN8Q</v>
          </cell>
          <cell r="B52" t="str">
            <v>YHG-SPO-StlWtrBtlSld-Agrn25</v>
          </cell>
          <cell r="C52" t="str">
            <v>钢水瓶</v>
          </cell>
          <cell r="D52" t="str">
            <v>Stainless Steel Insulated Water Bottle Straw Lid Army Green 2oz</v>
          </cell>
          <cell r="E52" t="str">
            <v>=DISPIMG("ID_1C4442E559614D828A6DAC9ED92EBB56",1)</v>
          </cell>
          <cell r="F52" t="str">
            <v>水瓶</v>
          </cell>
          <cell r="G52">
            <v>0.6</v>
          </cell>
          <cell r="H52">
            <v>35</v>
          </cell>
          <cell r="I52">
            <v>10</v>
          </cell>
          <cell r="J52">
            <v>10</v>
          </cell>
          <cell r="K52">
            <v>0.0035</v>
          </cell>
          <cell r="L52" t="str">
            <v>59 * 38 * 39</v>
          </cell>
          <cell r="M52">
            <v>14.4</v>
          </cell>
          <cell r="N52">
            <v>0.087438</v>
          </cell>
          <cell r="O52">
            <v>24</v>
          </cell>
          <cell r="P52" t="str">
            <v>810158038028</v>
          </cell>
          <cell r="Q52">
            <v>5.22</v>
          </cell>
          <cell r="R52">
            <v>1300</v>
          </cell>
          <cell r="S52">
            <v>54.1666666666667</v>
          </cell>
          <cell r="T52">
            <v>4.736225</v>
          </cell>
          <cell r="U52">
            <v>140</v>
          </cell>
        </row>
        <row r="53">
          <cell r="A53" t="str">
            <v>B08B1VQJ64</v>
          </cell>
          <cell r="B53" t="str">
            <v>YHG-SPO-StlWtrBtlSld-Pnk25</v>
          </cell>
          <cell r="C53" t="str">
            <v>钢水瓶</v>
          </cell>
          <cell r="D53" t="str">
            <v>Stainless Steel Insulated Water Bottle Straw Lid Pink 2oz</v>
          </cell>
          <cell r="E53" t="str">
            <v>=DISPIMG("ID_4C3EC3B4040B407D88322C2A04F2FBF9",1)</v>
          </cell>
          <cell r="F53" t="str">
            <v>水瓶</v>
          </cell>
          <cell r="G53">
            <v>0.6</v>
          </cell>
          <cell r="H53">
            <v>35</v>
          </cell>
          <cell r="I53">
            <v>10</v>
          </cell>
          <cell r="J53">
            <v>10</v>
          </cell>
          <cell r="K53">
            <v>0.0035</v>
          </cell>
          <cell r="L53" t="str">
            <v>58 * 40 * 37</v>
          </cell>
          <cell r="M53">
            <v>14.8</v>
          </cell>
          <cell r="N53">
            <v>0.08584</v>
          </cell>
          <cell r="O53">
            <v>24</v>
          </cell>
          <cell r="P53" t="str">
            <v>810158035263</v>
          </cell>
          <cell r="Q53">
            <v>5.64</v>
          </cell>
          <cell r="R53">
            <v>144</v>
          </cell>
          <cell r="S53">
            <v>6</v>
          </cell>
          <cell r="T53">
            <v>0.51504</v>
          </cell>
          <cell r="U53">
            <v>138</v>
          </cell>
        </row>
        <row r="54">
          <cell r="A54" t="str">
            <v>B0898J7G49</v>
          </cell>
          <cell r="B54" t="str">
            <v>YHG-KND-360StlUtnslHldr</v>
          </cell>
          <cell r="C54" t="str">
            <v>不锈钢餐具盒</v>
          </cell>
          <cell r="D54" t="str">
            <v>360 Stainless Steel Utensil Holder</v>
          </cell>
          <cell r="E54" t="str">
            <v>=DISPIMG("ID_0BD6DC5321A843EDA6CF9648659EF15B",1)</v>
          </cell>
          <cell r="F54" t="str">
            <v>厨房用具</v>
          </cell>
          <cell r="G54">
            <v>1</v>
          </cell>
          <cell r="H54">
            <v>21</v>
          </cell>
          <cell r="I54">
            <v>19</v>
          </cell>
          <cell r="J54">
            <v>18</v>
          </cell>
          <cell r="K54">
            <v>0.007182</v>
          </cell>
          <cell r="L54" t="str">
            <v>57*38*22</v>
          </cell>
          <cell r="M54">
            <v>6.3</v>
          </cell>
          <cell r="N54">
            <v>0.047652</v>
          </cell>
          <cell r="O54">
            <v>6</v>
          </cell>
          <cell r="P54" t="str">
            <v>810158035102</v>
          </cell>
          <cell r="Q54">
            <v>7.56</v>
          </cell>
          <cell r="R54">
            <v>1370</v>
          </cell>
          <cell r="S54">
            <v>228.333333333333</v>
          </cell>
          <cell r="T54">
            <v>10.88054</v>
          </cell>
          <cell r="U54">
            <v>136</v>
          </cell>
        </row>
        <row r="55">
          <cell r="A55" t="str">
            <v>B08B1VH53X</v>
          </cell>
          <cell r="B55" t="str">
            <v>YHG-SPO-StlWtrBtlSld-Pwte25</v>
          </cell>
          <cell r="C55" t="str">
            <v>钢水瓶</v>
          </cell>
          <cell r="D55" t="str">
            <v>Stainless Steel Insulated Water Bottle Straw Lid Pearl White 2oz</v>
          </cell>
          <cell r="E55" t="str">
            <v>=DISPIMG("ID_7577C7E5354846A497E783AFB06DBAB6",1)</v>
          </cell>
          <cell r="F55" t="str">
            <v>水瓶</v>
          </cell>
          <cell r="G55">
            <v>0.6</v>
          </cell>
          <cell r="H55">
            <v>35</v>
          </cell>
          <cell r="I55">
            <v>10</v>
          </cell>
          <cell r="J55">
            <v>10</v>
          </cell>
          <cell r="K55">
            <v>0.0035</v>
          </cell>
          <cell r="L55" t="str">
            <v>59 * 37 * 40</v>
          </cell>
          <cell r="M55">
            <v>14.3</v>
          </cell>
          <cell r="N55">
            <v>0.08732</v>
          </cell>
          <cell r="O55">
            <v>24</v>
          </cell>
          <cell r="P55" t="str">
            <v>810158035287</v>
          </cell>
          <cell r="Q55">
            <v>5.55</v>
          </cell>
          <cell r="R55">
            <v>951</v>
          </cell>
          <cell r="S55">
            <v>39.625</v>
          </cell>
          <cell r="T55">
            <v>3.460055</v>
          </cell>
          <cell r="U55">
            <v>135</v>
          </cell>
        </row>
        <row r="56">
          <cell r="A56" t="str">
            <v>B01C7JM7CU</v>
          </cell>
          <cell r="B56" t="str">
            <v>YSH-SPO-BkCv-XXL</v>
          </cell>
          <cell r="C56" t="str">
            <v>自行车罩</v>
          </cell>
          <cell r="D56" t="str">
            <v>YardStash XL and XXL Outdoor Waterproof Bike Cover | Bicycle Storage Tarp for 2 to 3 Bikes | Shelter from All Weather Conditions for Mountain and Road Bikes (Bicycle Cover XXL)</v>
          </cell>
          <cell r="E56" t="str">
            <v>=DISPIMG("ID_9AF0AA687E744978A09982E29135438A",1)</v>
          </cell>
          <cell r="F56" t="str">
            <v>户外</v>
          </cell>
          <cell r="G56">
            <v>1.75</v>
          </cell>
          <cell r="H56">
            <v>32</v>
          </cell>
          <cell r="I56">
            <v>27</v>
          </cell>
          <cell r="J56">
            <v>6</v>
          </cell>
          <cell r="K56">
            <v>0.005184</v>
          </cell>
          <cell r="L56" t="str">
            <v>52 * 42 * 32</v>
          </cell>
          <cell r="M56">
            <v>21.5</v>
          </cell>
          <cell r="N56">
            <v>0.069888</v>
          </cell>
          <cell r="O56">
            <v>12</v>
          </cell>
          <cell r="P56" t="str">
            <v>656729851661</v>
          </cell>
          <cell r="Q56">
            <v>18.36</v>
          </cell>
          <cell r="R56">
            <v>815</v>
          </cell>
          <cell r="S56">
            <v>67.9166666666667</v>
          </cell>
          <cell r="T56">
            <v>4.74656</v>
          </cell>
          <cell r="U56">
            <v>135</v>
          </cell>
        </row>
        <row r="57">
          <cell r="A57" t="str">
            <v>B019BNMVFI</v>
          </cell>
          <cell r="B57" t="str">
            <v>HMC-MUT-UnvslGtrStnd-1pk</v>
          </cell>
          <cell r="C57" t="str">
            <v>三脚吉他架</v>
          </cell>
          <cell r="D57" t="str">
            <v>Universal Guitar Stand Black 1 Pack</v>
          </cell>
          <cell r="E57" t="str">
            <v>=DISPIMG("ID_A13F1E6D572C493FAEFB0DE64D572C0D",1)</v>
          </cell>
          <cell r="F57" t="str">
            <v>工具</v>
          </cell>
          <cell r="G57" t="str">
            <v>1.500</v>
          </cell>
          <cell r="H57">
            <v>44.5</v>
          </cell>
          <cell r="I57">
            <v>12</v>
          </cell>
          <cell r="J57">
            <v>17.5</v>
          </cell>
          <cell r="K57">
            <v>0.009345</v>
          </cell>
          <cell r="L57" t="str">
            <v>38*37*46</v>
          </cell>
          <cell r="M57">
            <v>9.5</v>
          </cell>
          <cell r="N57">
            <v>0.064676</v>
          </cell>
          <cell r="O57">
            <v>6</v>
          </cell>
          <cell r="P57" t="str">
            <v>643345921748</v>
          </cell>
          <cell r="Q57">
            <v>7.99</v>
          </cell>
          <cell r="R57">
            <v>325</v>
          </cell>
          <cell r="S57">
            <v>54.1666666666667</v>
          </cell>
          <cell r="T57">
            <v>3.50328333333333</v>
          </cell>
          <cell r="U57">
            <v>131</v>
          </cell>
        </row>
        <row r="58">
          <cell r="A58" t="str">
            <v>B08MFS4HHS</v>
          </cell>
          <cell r="B58" t="str">
            <v>YHG-SPO-StlWtrBtlSld-Grn25</v>
          </cell>
          <cell r="C58" t="str">
            <v>钢水瓶</v>
          </cell>
          <cell r="D58" t="str">
            <v>Stainless Steel Insulated Water Bottle Straw Lid Green 2oz</v>
          </cell>
          <cell r="E58" t="str">
            <v>=DISPIMG("ID_78FE8F1F6DE84E4FAD7C0EFAEB8D3BB8",1)</v>
          </cell>
          <cell r="F58" t="str">
            <v>水瓶</v>
          </cell>
          <cell r="G58" t="str">
            <v>0.6</v>
          </cell>
          <cell r="H58">
            <v>9.5</v>
          </cell>
          <cell r="I58">
            <v>9.5</v>
          </cell>
          <cell r="J58">
            <v>35</v>
          </cell>
          <cell r="K58">
            <v>0.00315875</v>
          </cell>
          <cell r="L58" t="str">
            <v>40 * 59 * 38 </v>
          </cell>
          <cell r="M58">
            <v>14.6</v>
          </cell>
          <cell r="N58">
            <v>0.08968</v>
          </cell>
          <cell r="O58">
            <v>24</v>
          </cell>
          <cell r="P58" t="str">
            <v>810158038042</v>
          </cell>
          <cell r="Q58">
            <v>5.93</v>
          </cell>
          <cell r="R58">
            <v>832</v>
          </cell>
          <cell r="S58">
            <v>34.6666666666667</v>
          </cell>
          <cell r="T58">
            <v>3.10890666666667</v>
          </cell>
          <cell r="U58">
            <v>128</v>
          </cell>
        </row>
        <row r="59">
          <cell r="A59" t="str">
            <v>B07VHFQVTF</v>
          </cell>
          <cell r="B59" t="str">
            <v>YHG-KND-GlsOilDspnr-2pk</v>
          </cell>
          <cell r="C59" t="str">
            <v>加油机</v>
          </cell>
          <cell r="D59" t="str">
            <v>Superior Glass Oil and Vinegar DisPener 2Pack</v>
          </cell>
          <cell r="E59" t="str">
            <v>=DISPIMG("ID_7E3F18148E7F4D0ABC38228E88979108",1)</v>
          </cell>
          <cell r="F59" t="str">
            <v>厨房用具</v>
          </cell>
          <cell r="G59">
            <v>1.1</v>
          </cell>
          <cell r="H59">
            <v>36</v>
          </cell>
          <cell r="I59">
            <v>21</v>
          </cell>
          <cell r="J59">
            <v>11</v>
          </cell>
          <cell r="K59">
            <v>0.008316</v>
          </cell>
          <cell r="L59" t="str">
            <v>44 * 38 * 56</v>
          </cell>
          <cell r="M59">
            <v>11.6</v>
          </cell>
          <cell r="N59">
            <v>0.093632</v>
          </cell>
          <cell r="O59">
            <v>10</v>
          </cell>
          <cell r="P59" t="str">
            <v>810158032132</v>
          </cell>
          <cell r="Q59">
            <v>5.79</v>
          </cell>
          <cell r="R59">
            <v>1709</v>
          </cell>
          <cell r="S59">
            <v>170.9</v>
          </cell>
          <cell r="T59">
            <v>16.0017088</v>
          </cell>
          <cell r="U59">
            <v>127</v>
          </cell>
        </row>
        <row r="60">
          <cell r="A60" t="str">
            <v>B084GD884R</v>
          </cell>
          <cell r="B60" t="str">
            <v>YHG-KND-StlIceBkt-3</v>
          </cell>
          <cell r="C60" t="str">
            <v>厨房用具架</v>
          </cell>
          <cell r="D60" t="str">
            <v>Stainless Steel Ice Bucket Liter</v>
          </cell>
          <cell r="E60" t="str">
            <v>=DISPIMG("ID_BB91824A645344D5AB2E8CA4902F1D73",1)</v>
          </cell>
          <cell r="F60" t="str">
            <v>厨房用具</v>
          </cell>
          <cell r="G60" t="str">
            <v>1.230</v>
          </cell>
          <cell r="H60">
            <v>30.9</v>
          </cell>
          <cell r="I60" t="str">
            <v>19.8</v>
          </cell>
          <cell r="J60" t="str">
            <v>23.4</v>
          </cell>
          <cell r="K60">
            <v>0.014316588</v>
          </cell>
          <cell r="L60" t="str">
            <v>38*38*61</v>
          </cell>
          <cell r="M60">
            <v>15.9</v>
          </cell>
          <cell r="N60">
            <v>0.088084</v>
          </cell>
          <cell r="O60">
            <v>4</v>
          </cell>
          <cell r="P60" t="str">
            <v>810158035614</v>
          </cell>
          <cell r="Q60">
            <v>8.65</v>
          </cell>
          <cell r="R60">
            <v>8</v>
          </cell>
          <cell r="S60">
            <v>2</v>
          </cell>
          <cell r="T60">
            <v>0.176168</v>
          </cell>
          <cell r="U60">
            <v>118</v>
          </cell>
        </row>
        <row r="61">
          <cell r="A61" t="str">
            <v>B07QTPMG52</v>
          </cell>
          <cell r="B61" t="str">
            <v>YHG-HOK-WrpOrg-Grn</v>
          </cell>
          <cell r="C61" t="str">
            <v>包装储存</v>
          </cell>
          <cell r="D61" t="str">
            <v>ZOBER PE Underbed Gift Wrap Organizer, Interior Pockets, fits 18-2 Standard Rolls,</v>
          </cell>
          <cell r="E61" t="str">
            <v>=DISPIMG("ID_7F924FA462D44079A9DABBC02F3925E8",1)</v>
          </cell>
          <cell r="F61" t="str">
            <v>圣诞</v>
          </cell>
          <cell r="G61">
            <v>0.35</v>
          </cell>
          <cell r="H61">
            <v>22</v>
          </cell>
          <cell r="I61">
            <v>19</v>
          </cell>
          <cell r="J61">
            <v>9</v>
          </cell>
          <cell r="K61">
            <v>0.003762</v>
          </cell>
          <cell r="L61" t="str">
            <v>43*39*32</v>
          </cell>
          <cell r="M61">
            <v>9</v>
          </cell>
          <cell r="N61">
            <v>0.053664</v>
          </cell>
          <cell r="O61">
            <v>24</v>
          </cell>
          <cell r="P61" t="str">
            <v>810158032187</v>
          </cell>
          <cell r="Q61">
            <v>2.64</v>
          </cell>
          <cell r="R61">
            <v>697</v>
          </cell>
          <cell r="S61">
            <v>29.0416666666667</v>
          </cell>
          <cell r="T61">
            <v>1.558492</v>
          </cell>
          <cell r="U61">
            <v>115</v>
          </cell>
        </row>
        <row r="62">
          <cell r="A62" t="str">
            <v>B07N2VZGYH</v>
          </cell>
          <cell r="B62" t="str">
            <v>BBD-BBY-ClstHngrDvdrSt-Bho</v>
          </cell>
          <cell r="C62" t="str">
            <v>衣架和分隔器套装</v>
          </cell>
          <cell r="D62" t="str">
            <v>Baby Closet Hanger (20) and Divder (7) Set Boho</v>
          </cell>
          <cell r="E62" t="str">
            <v>=DISPIMG("ID_0F3BED50CC0F48E592BCAAF62E9314DF",1)</v>
          </cell>
          <cell r="F62" t="str">
            <v>衣架</v>
          </cell>
          <cell r="G62">
            <v>3.2</v>
          </cell>
          <cell r="H62">
            <v>38</v>
          </cell>
          <cell r="I62">
            <v>29</v>
          </cell>
          <cell r="J62" t="str">
            <v>27.6</v>
          </cell>
          <cell r="K62">
            <v>0.0304152</v>
          </cell>
          <cell r="L62" t="str">
            <v>59 * 40 * 41</v>
          </cell>
          <cell r="M62">
            <v>14.1</v>
          </cell>
          <cell r="N62">
            <v>0.09676</v>
          </cell>
          <cell r="O62">
            <v>10</v>
          </cell>
          <cell r="P62" t="str">
            <v>X0012Q2K2F,647213982558</v>
          </cell>
          <cell r="Q62">
            <v>4.22</v>
          </cell>
          <cell r="R62">
            <v>1702</v>
          </cell>
          <cell r="S62">
            <v>170.2</v>
          </cell>
          <cell r="T62">
            <v>16.468552</v>
          </cell>
          <cell r="U62">
            <v>114</v>
          </cell>
        </row>
        <row r="63">
          <cell r="A63" t="str">
            <v>B00O83CTOK</v>
          </cell>
          <cell r="B63" t="str">
            <v>SKY-KND-PzSt-Bk</v>
          </cell>
          <cell r="C63" t="str">
            <v>披萨石和披萨刀轮</v>
          </cell>
          <cell r="D63" t="str">
            <v>Black Ceramic Pizza Stone and Pizza Cutter Wheel</v>
          </cell>
          <cell r="E63" t="str">
            <v>=DISPIMG("ID_285D71A2D3AD4403AA5BF79342DEFEC0",1)</v>
          </cell>
          <cell r="F63" t="str">
            <v>厨房用具</v>
          </cell>
          <cell r="G63">
            <v>2.9</v>
          </cell>
          <cell r="H63">
            <v>41</v>
          </cell>
          <cell r="I63">
            <v>41</v>
          </cell>
          <cell r="J63">
            <v>6</v>
          </cell>
          <cell r="K63">
            <v>0.010086</v>
          </cell>
          <cell r="L63" t="str">
            <v>43*43*33</v>
          </cell>
          <cell r="M63">
            <v>15</v>
          </cell>
          <cell r="N63">
            <v>0.061017</v>
          </cell>
          <cell r="O63">
            <v>5</v>
          </cell>
          <cell r="P63" t="str">
            <v>784672455732</v>
          </cell>
          <cell r="Q63">
            <v>13.07</v>
          </cell>
          <cell r="R63">
            <v>2495</v>
          </cell>
          <cell r="S63">
            <v>499</v>
          </cell>
          <cell r="T63">
            <v>30.447483</v>
          </cell>
          <cell r="U63">
            <v>111</v>
          </cell>
        </row>
        <row r="64">
          <cell r="A64" t="str">
            <v>B01HTYH8YA</v>
          </cell>
          <cell r="B64" t="str">
            <v>YHG-KND-StlMxBwl-6pk</v>
          </cell>
          <cell r="C64" t="str">
            <v>钢制搅拌碗组</v>
          </cell>
          <cell r="D64" t="str">
            <v>Stainless Steel Mixing Bowls Pack</v>
          </cell>
          <cell r="E64" t="str">
            <v>=DISPIMG("ID_0F8BF3B2001D4366A74339EA6A5A8935",1)</v>
          </cell>
          <cell r="F64" t="str">
            <v>厨房用具</v>
          </cell>
          <cell r="G64">
            <v>1.8</v>
          </cell>
          <cell r="H64">
            <v>35</v>
          </cell>
          <cell r="I64" t="str">
            <v>35.2</v>
          </cell>
          <cell r="J64" t="str">
            <v>13.4</v>
          </cell>
          <cell r="K64">
            <v>0.0165088</v>
          </cell>
          <cell r="L64" t="str">
            <v>53.6*36.4*36.4</v>
          </cell>
          <cell r="M64">
            <v>7.08</v>
          </cell>
          <cell r="N64">
            <v>0.071017856</v>
          </cell>
          <cell r="O64">
            <v>24</v>
          </cell>
          <cell r="P64" t="str">
            <v>810158030022</v>
          </cell>
          <cell r="Q64">
            <v>9.33</v>
          </cell>
          <cell r="R64">
            <v>2647</v>
          </cell>
          <cell r="S64">
            <v>110.291666666667</v>
          </cell>
          <cell r="T64">
            <v>7.83267770133333</v>
          </cell>
          <cell r="U64">
            <v>108</v>
          </cell>
        </row>
        <row r="65">
          <cell r="A65" t="str">
            <v>B071CTSNLT</v>
          </cell>
          <cell r="B65" t="str">
            <v>PPC-KND-RfMg-12</v>
          </cell>
          <cell r="C65" t="str">
            <v>磁铁夹组</v>
          </cell>
          <cell r="D65" t="str">
            <v>(Upgraded) 12 Strong Scratch-Free Refrigerator Magnet Clips</v>
          </cell>
          <cell r="E65" t="str">
            <v>=DISPIMG("ID_397D8833146641D594A59B9E17BFEB7D",1)</v>
          </cell>
          <cell r="F65" t="str">
            <v>工具</v>
          </cell>
          <cell r="G65">
            <v>0.25</v>
          </cell>
          <cell r="H65">
            <v>12</v>
          </cell>
          <cell r="I65">
            <v>10</v>
          </cell>
          <cell r="J65">
            <v>6</v>
          </cell>
          <cell r="K65">
            <v>0.00072</v>
          </cell>
          <cell r="L65" t="str">
            <v>46*38*29</v>
          </cell>
          <cell r="M65">
            <v>20</v>
          </cell>
          <cell r="N65">
            <v>0.050692</v>
          </cell>
          <cell r="O65">
            <v>80</v>
          </cell>
          <cell r="P65" t="str">
            <v>861809000338</v>
          </cell>
          <cell r="Q65">
            <v>2.31</v>
          </cell>
          <cell r="R65">
            <v>4910</v>
          </cell>
          <cell r="S65">
            <v>61.375</v>
          </cell>
          <cell r="T65">
            <v>3.1112215</v>
          </cell>
          <cell r="U65">
            <v>106</v>
          </cell>
        </row>
        <row r="66">
          <cell r="A66" t="str">
            <v>B013IAA3P0</v>
          </cell>
          <cell r="B66" t="str">
            <v>PLT-GAO-StmrChr-FlAsmbl</v>
          </cell>
          <cell r="C66" t="str">
            <v>可躺硬木蒸笼椅</v>
          </cell>
          <cell r="D66" t="str">
            <v>Plant Theatre Reclining Hardwood Steamer Chair</v>
          </cell>
          <cell r="E66" t="str">
            <v>=DISPIMG("ID_9E29A10581134CFEAC6FACCA8E8CB4E2",1)</v>
          </cell>
          <cell r="F66" t="str">
            <v>桌椅</v>
          </cell>
          <cell r="G66">
            <v>16</v>
          </cell>
          <cell r="H66">
            <v>120</v>
          </cell>
          <cell r="I66">
            <v>60</v>
          </cell>
          <cell r="J66">
            <v>15</v>
          </cell>
          <cell r="K66">
            <v>0.108</v>
          </cell>
          <cell r="L66" t="str">
            <v>120*60*15</v>
          </cell>
          <cell r="M66">
            <v>16</v>
          </cell>
          <cell r="N66">
            <v>0.108</v>
          </cell>
          <cell r="O66">
            <v>1</v>
          </cell>
          <cell r="P66" t="str">
            <v>X0024080P9</v>
          </cell>
          <cell r="Q66">
            <v>79.11</v>
          </cell>
          <cell r="R66">
            <v>228</v>
          </cell>
          <cell r="S66">
            <v>228</v>
          </cell>
          <cell r="T66">
            <v>24.624</v>
          </cell>
          <cell r="U66">
            <v>106</v>
          </cell>
        </row>
        <row r="67">
          <cell r="A67" t="str">
            <v>B08B1VDCXH</v>
          </cell>
          <cell r="B67" t="str">
            <v>YHG-SPO-StlWtrBtlSld-Lgry25</v>
          </cell>
          <cell r="C67" t="str">
            <v>钢水瓶</v>
          </cell>
          <cell r="D67" t="str">
            <v>Stainless Steel Insulated Water Bottle Straw Lid Lava Gray 2oz</v>
          </cell>
          <cell r="E67" t="str">
            <v>=DISPIMG("ID_5A59A4081DD04963B2366E1ED14918B5",1)</v>
          </cell>
          <cell r="F67" t="str">
            <v>水瓶</v>
          </cell>
          <cell r="G67">
            <v>0.6</v>
          </cell>
          <cell r="H67">
            <v>35</v>
          </cell>
          <cell r="I67">
            <v>10</v>
          </cell>
          <cell r="J67">
            <v>10</v>
          </cell>
          <cell r="K67">
            <v>0.0035</v>
          </cell>
          <cell r="L67" t="str">
            <v>59 * 37 * 40</v>
          </cell>
          <cell r="M67">
            <v>8.9</v>
          </cell>
          <cell r="N67">
            <v>0.08732</v>
          </cell>
          <cell r="O67">
            <v>24</v>
          </cell>
          <cell r="P67" t="str">
            <v>810158035232</v>
          </cell>
          <cell r="Q67">
            <v>5.39</v>
          </cell>
          <cell r="R67">
            <v>1878</v>
          </cell>
          <cell r="S67">
            <v>78.25</v>
          </cell>
          <cell r="T67">
            <v>6.83279</v>
          </cell>
          <cell r="U67">
            <v>101</v>
          </cell>
        </row>
        <row r="68">
          <cell r="A68" t="str">
            <v>B078JJ3C61</v>
          </cell>
          <cell r="B68" t="str">
            <v>YHG-HOK-UndbdStrgBg-Gry2pk</v>
          </cell>
          <cell r="C68" t="str">
            <v>家居及园艺杂项。</v>
          </cell>
          <cell r="D68" t="str">
            <v>JUMBO UNDERBED BAGS</v>
          </cell>
          <cell r="E68" t="str">
            <v>=DISPIMG("ID_9DBD703B52E2416C8C1FCDEC2EC9E84B",1)</v>
          </cell>
          <cell r="F68" t="str">
            <v>收纳</v>
          </cell>
          <cell r="G68">
            <v>0.5</v>
          </cell>
          <cell r="H68">
            <v>22</v>
          </cell>
          <cell r="I68">
            <v>18</v>
          </cell>
          <cell r="J68" t="str">
            <v>8.4</v>
          </cell>
          <cell r="K68">
            <v>0.0033264</v>
          </cell>
          <cell r="L68" t="str">
            <v>46*37*23</v>
          </cell>
          <cell r="M68">
            <v>6.5</v>
          </cell>
          <cell r="N68">
            <v>0.039146</v>
          </cell>
          <cell r="O68">
            <v>12</v>
          </cell>
          <cell r="P68" t="str">
            <v>810158031104</v>
          </cell>
          <cell r="Q68">
            <v>2.97</v>
          </cell>
          <cell r="R68">
            <v>1894</v>
          </cell>
          <cell r="S68">
            <v>157.833333333333</v>
          </cell>
          <cell r="T68">
            <v>6.17854366666667</v>
          </cell>
          <cell r="U68">
            <v>97</v>
          </cell>
        </row>
        <row r="69">
          <cell r="A69" t="str">
            <v>B0833H497Q</v>
          </cell>
          <cell r="B69" t="str">
            <v>YHG-KND-PltFdStrgCntnr-MxGry6pk</v>
          </cell>
          <cell r="C69" t="str">
            <v>塑料食品容器套装</v>
          </cell>
          <cell r="D69" t="str">
            <v>Plastic Food Storage Container Mixed Gray Pack</v>
          </cell>
          <cell r="E69" t="str">
            <v>=DISPIMG("ID_E21DACA2BF6343A58B0A56E081CC79C2",1)</v>
          </cell>
          <cell r="F69" t="str">
            <v>厨房用具</v>
          </cell>
          <cell r="G69">
            <v>2.4</v>
          </cell>
          <cell r="H69">
            <v>43</v>
          </cell>
          <cell r="I69">
            <v>26</v>
          </cell>
          <cell r="J69">
            <v>20</v>
          </cell>
          <cell r="K69">
            <v>0.02236</v>
          </cell>
          <cell r="L69" t="str">
            <v>60 * 28 * 45</v>
          </cell>
          <cell r="M69">
            <v>8.3</v>
          </cell>
          <cell r="N69">
            <v>0.0756</v>
          </cell>
          <cell r="O69">
            <v>3</v>
          </cell>
          <cell r="P69" t="str">
            <v>810158032910</v>
          </cell>
          <cell r="Q69">
            <v>15.3</v>
          </cell>
          <cell r="R69">
            <v>16</v>
          </cell>
          <cell r="S69">
            <v>5.33333333333333</v>
          </cell>
          <cell r="T69">
            <v>0.4032</v>
          </cell>
          <cell r="U69">
            <v>95</v>
          </cell>
        </row>
        <row r="70">
          <cell r="A70" t="str">
            <v>B06ZZD1W4C</v>
          </cell>
          <cell r="B70" t="str">
            <v>YHG-HOK-RbrHngr-Pnk20pk</v>
          </cell>
          <cell r="C70" t="str">
            <v>橡胶涂层 U 型衣架</v>
          </cell>
          <cell r="D70" t="str">
            <v>Plastic Rubber Coated U-Slide Hangers Pink set of 2</v>
          </cell>
          <cell r="E70" t="str">
            <v>=DISPIMG("ID_9E92B1E801584C88A5CBF9DBE6C94DFF",1)</v>
          </cell>
          <cell r="F70" t="str">
            <v>衣架</v>
          </cell>
          <cell r="G70">
            <v>1.9</v>
          </cell>
          <cell r="H70">
            <v>41</v>
          </cell>
          <cell r="I70">
            <v>32</v>
          </cell>
          <cell r="J70">
            <v>7</v>
          </cell>
          <cell r="K70">
            <v>0.009184</v>
          </cell>
          <cell r="L70" t="str">
            <v>56 * 43 * 34</v>
          </cell>
          <cell r="M70">
            <v>16</v>
          </cell>
          <cell r="N70">
            <v>0.081872</v>
          </cell>
          <cell r="O70">
            <v>8</v>
          </cell>
          <cell r="P70" t="str">
            <v>810158030312</v>
          </cell>
          <cell r="Q70">
            <v>6.94</v>
          </cell>
          <cell r="R70">
            <v>33</v>
          </cell>
          <cell r="S70">
            <v>4.125</v>
          </cell>
          <cell r="T70">
            <v>0.337722</v>
          </cell>
          <cell r="U70">
            <v>93</v>
          </cell>
        </row>
        <row r="71">
          <cell r="A71" t="str">
            <v>B07DK61BNJ</v>
          </cell>
          <cell r="B71" t="str">
            <v>PPC-OFP-NbJr2-G</v>
          </cell>
          <cell r="C71" t="str">
            <v>笔记本</v>
          </cell>
          <cell r="D71" t="str">
            <v>Notebook Journal 2 Pack Steel Gray</v>
          </cell>
          <cell r="E71" t="str">
            <v>=DISPIMG("ID_C863AECF0FC24166B416BC67A3AD3933",1)</v>
          </cell>
          <cell r="F71" t="str">
            <v>办公</v>
          </cell>
          <cell r="G71">
            <v>0.6</v>
          </cell>
          <cell r="H71">
            <v>21</v>
          </cell>
          <cell r="I71">
            <v>15</v>
          </cell>
          <cell r="J71" t="str">
            <v>2.6</v>
          </cell>
          <cell r="K71">
            <v>0.000819</v>
          </cell>
          <cell r="L71" t="str">
            <v>44 * 32 * 25</v>
          </cell>
          <cell r="M71">
            <v>21</v>
          </cell>
          <cell r="N71">
            <v>0.0352</v>
          </cell>
          <cell r="O71">
            <v>40</v>
          </cell>
          <cell r="P71" t="str">
            <v>850005061045</v>
          </cell>
          <cell r="Q71">
            <v>2.88</v>
          </cell>
          <cell r="R71">
            <v>626</v>
          </cell>
          <cell r="S71">
            <v>15.65</v>
          </cell>
          <cell r="T71">
            <v>0.55088</v>
          </cell>
          <cell r="U71">
            <v>87</v>
          </cell>
        </row>
        <row r="72">
          <cell r="A72" t="str">
            <v>B06WVD2K6N</v>
          </cell>
          <cell r="B72" t="str">
            <v>OTC-KND-SSDis1-500ml</v>
          </cell>
          <cell r="C72" t="str">
            <v>鲜奶油分配器套装</v>
          </cell>
          <cell r="D72" t="str">
            <v>Whipped Cream Dispenser Stainless Steel - Professional Whipped Cream Maker Grips</v>
          </cell>
          <cell r="E72" t="str">
            <v>=DISPIMG("ID_5FD260AE09C14FE3AF17A55CC77A8138",1)</v>
          </cell>
          <cell r="F72" t="str">
            <v>厨房用具</v>
          </cell>
          <cell r="G72">
            <v>1.2</v>
          </cell>
          <cell r="H72">
            <v>31</v>
          </cell>
          <cell r="I72">
            <v>9</v>
          </cell>
          <cell r="J72">
            <v>9</v>
          </cell>
          <cell r="K72">
            <v>0.002511</v>
          </cell>
          <cell r="L72" t="str">
            <v>39*30*33</v>
          </cell>
          <cell r="M72">
            <v>14.5</v>
          </cell>
          <cell r="N72">
            <v>0.03861</v>
          </cell>
          <cell r="O72">
            <v>12</v>
          </cell>
          <cell r="P72" t="str">
            <v>643690934103</v>
          </cell>
          <cell r="Q72">
            <v>33.26</v>
          </cell>
          <cell r="R72">
            <v>2</v>
          </cell>
          <cell r="S72">
            <v>0.166666666666667</v>
          </cell>
          <cell r="T72">
            <v>0.006435</v>
          </cell>
          <cell r="U72">
            <v>87</v>
          </cell>
        </row>
        <row r="73">
          <cell r="A73" t="str">
            <v>B07K818BBJ</v>
          </cell>
          <cell r="B73" t="str">
            <v>YHG-HOK-PrWrpOrg-40Red</v>
          </cell>
          <cell r="C73" t="str">
            <v>包装储存</v>
          </cell>
          <cell r="D73" t="str">
            <v>Premium Gift Wrap Organizer 40</v>
          </cell>
          <cell r="E73" t="str">
            <v>=DISPIMG("ID_FFE8E2F66561415599FA063783DBA9D1",1)</v>
          </cell>
          <cell r="F73" t="str">
            <v>圣诞</v>
          </cell>
          <cell r="G73">
            <v>2.1</v>
          </cell>
          <cell r="H73">
            <v>18</v>
          </cell>
          <cell r="I73">
            <v>36</v>
          </cell>
          <cell r="J73">
            <v>9</v>
          </cell>
          <cell r="K73">
            <v>0.005832</v>
          </cell>
          <cell r="L73" t="str">
            <v>39 * 39 * 24</v>
          </cell>
          <cell r="M73">
            <v>13.5</v>
          </cell>
          <cell r="N73">
            <v>0.036504</v>
          </cell>
          <cell r="O73">
            <v>6</v>
          </cell>
          <cell r="P73" t="str">
            <v>810158030459</v>
          </cell>
          <cell r="Q73">
            <v>5.97</v>
          </cell>
          <cell r="R73">
            <v>2283</v>
          </cell>
          <cell r="S73">
            <v>380.5</v>
          </cell>
          <cell r="T73">
            <v>13.889772</v>
          </cell>
          <cell r="U73">
            <v>86</v>
          </cell>
        </row>
        <row r="74">
          <cell r="A74" t="str">
            <v>B01AU292NS</v>
          </cell>
          <cell r="B74" t="str">
            <v>EZY-SPO-TU-JBK</v>
          </cell>
          <cell r="C74" t="str">
            <v>旅行伞</v>
          </cell>
          <cell r="D74" t="str">
            <v>EEZ-Y Compact Travel Umbrella，Windproof Double Canopy Construction</v>
          </cell>
          <cell r="E74" t="str">
            <v>=DISPIMG("ID_150EE234700E49A799308F1CCE0BDD5A",1)</v>
          </cell>
        </row>
        <row r="74">
          <cell r="G74">
            <v>0.4</v>
          </cell>
          <cell r="H74">
            <v>29</v>
          </cell>
          <cell r="I74">
            <v>6</v>
          </cell>
          <cell r="J74">
            <v>5</v>
          </cell>
          <cell r="K74">
            <v>0.00087</v>
          </cell>
          <cell r="L74" t="str">
            <v>31*29*46</v>
          </cell>
          <cell r="M74">
            <v>18.35</v>
          </cell>
          <cell r="N74">
            <v>0.041354</v>
          </cell>
          <cell r="O74">
            <v>40</v>
          </cell>
          <cell r="P74" t="str">
            <v>787639557630</v>
          </cell>
          <cell r="Q74">
            <v>3.75</v>
          </cell>
          <cell r="R74">
            <v>484</v>
          </cell>
          <cell r="S74">
            <v>12.1</v>
          </cell>
          <cell r="T74">
            <v>0.5003834</v>
          </cell>
          <cell r="U74">
            <v>86</v>
          </cell>
        </row>
        <row r="75">
          <cell r="A75" t="str">
            <v>B0B355HQ3D</v>
          </cell>
          <cell r="B75" t="str">
            <v>YHG-HOK-FD-G101-3-PK</v>
          </cell>
          <cell r="C75" t="str">
            <v>保鲜饭盒</v>
          </cell>
          <cell r="D75" t="str">
            <v>Fine Dine-Glass Meal Prep Food Storage Containers rectangular 3 Pack, FD-G101/3-pink</v>
          </cell>
          <cell r="E75" t="str">
            <v>=DISPIMG("ID_BD001E19132B4ED193FC148818D17207",1)</v>
          </cell>
          <cell r="F75" t="str">
            <v>厨房用具</v>
          </cell>
          <cell r="G75" t="str">
            <v>2.060</v>
          </cell>
          <cell r="H75" t="str">
            <v>23.1</v>
          </cell>
          <cell r="I75" t="str">
            <v>15.5</v>
          </cell>
          <cell r="J75" t="str">
            <v>21.0</v>
          </cell>
          <cell r="K75">
            <v>0.00751905</v>
          </cell>
        </row>
        <row r="75">
          <cell r="O75">
            <v>6</v>
          </cell>
          <cell r="P75" t="str">
            <v>810158038691</v>
          </cell>
          <cell r="Q75">
            <v>10</v>
          </cell>
          <cell r="R75">
            <v>246</v>
          </cell>
          <cell r="S75">
            <v>41</v>
          </cell>
          <cell r="T75">
            <v>0</v>
          </cell>
          <cell r="U75">
            <v>81</v>
          </cell>
        </row>
        <row r="76">
          <cell r="A76" t="str">
            <v>B08DP566CW</v>
          </cell>
          <cell r="B76" t="str">
            <v>YHG-SPO-StlWtrBtl-17Blk2pk</v>
          </cell>
          <cell r="C76" t="str">
            <v>钢水瓶</v>
          </cell>
          <cell r="D76" t="str">
            <v>FINEDINE Insulated Stainlless Steel Water Bottle With Handle Clips Set of FD-S40</v>
          </cell>
          <cell r="E76" t="str">
            <v>=DISPIMG("ID_C5253E7EBB2540528421A0EA39678189",1)</v>
          </cell>
          <cell r="F76" t="str">
            <v>水瓶</v>
          </cell>
          <cell r="G76" t="str">
            <v>0.7</v>
          </cell>
          <cell r="H76">
            <v>28</v>
          </cell>
          <cell r="I76">
            <v>16</v>
          </cell>
          <cell r="J76">
            <v>8</v>
          </cell>
          <cell r="K76">
            <v>0.003584</v>
          </cell>
          <cell r="L76" t="str">
            <v>48*33*30</v>
          </cell>
          <cell r="M76">
            <v>9</v>
          </cell>
          <cell r="N76">
            <v>0.04752</v>
          </cell>
          <cell r="O76">
            <v>12</v>
          </cell>
          <cell r="P76" t="str">
            <v>810158037182</v>
          </cell>
          <cell r="Q76">
            <v>7.64</v>
          </cell>
          <cell r="R76">
            <v>432</v>
          </cell>
          <cell r="S76">
            <v>36</v>
          </cell>
          <cell r="T76">
            <v>1.71072</v>
          </cell>
          <cell r="U76">
            <v>80</v>
          </cell>
        </row>
        <row r="77">
          <cell r="A77" t="str">
            <v>B0B35653MH</v>
          </cell>
          <cell r="B77" t="str">
            <v>YHG-HOK-FD-G101-3-WHT</v>
          </cell>
          <cell r="C77" t="str">
            <v>保鲜饭盒</v>
          </cell>
          <cell r="D77" t="str">
            <v>Fine Dine-Glass Meal Prep Food Storage Containers Rectangular  3 Pack, FD-G101/3-white</v>
          </cell>
          <cell r="E77" t="str">
            <v>=DISPIMG("ID_849D9BCADA18405EA748F0EA5FEFABD0",1)</v>
          </cell>
          <cell r="F77" t="str">
            <v>厨房用具</v>
          </cell>
          <cell r="G77" t="str">
            <v>2.060</v>
          </cell>
          <cell r="H77" t="str">
            <v>23.1</v>
          </cell>
          <cell r="I77" t="str">
            <v>15.5</v>
          </cell>
          <cell r="J77" t="str">
            <v>21.0</v>
          </cell>
          <cell r="K77">
            <v>0.00751905</v>
          </cell>
        </row>
        <row r="77">
          <cell r="O77">
            <v>6</v>
          </cell>
          <cell r="P77" t="str">
            <v>810158038721</v>
          </cell>
          <cell r="Q77">
            <v>8.79</v>
          </cell>
          <cell r="R77">
            <v>284</v>
          </cell>
          <cell r="S77">
            <v>47.3333333333333</v>
          </cell>
          <cell r="T77">
            <v>0</v>
          </cell>
          <cell r="U77">
            <v>80</v>
          </cell>
        </row>
        <row r="78">
          <cell r="A78" t="str">
            <v>B09XRDF6XZ</v>
          </cell>
          <cell r="B78" t="str">
            <v>YHG-HOK-FD-S1102</v>
          </cell>
          <cell r="C78" t="str">
            <v>钢制搅拌碗组</v>
          </cell>
          <cell r="D78" t="str">
            <v>Fine Dine-SS 6pcs Mixing Bowls-black</v>
          </cell>
          <cell r="E78" t="str">
            <v>=DISPIMG("ID_3DB60EC85F3448F18A99E92061EB1601",1)</v>
          </cell>
          <cell r="F78" t="str">
            <v>厨房用具</v>
          </cell>
          <cell r="G78">
            <v>1.8</v>
          </cell>
          <cell r="H78">
            <v>36</v>
          </cell>
          <cell r="I78">
            <v>36</v>
          </cell>
          <cell r="J78">
            <v>13</v>
          </cell>
          <cell r="K78">
            <v>0.016848</v>
          </cell>
          <cell r="L78" t="str">
            <v>37*33*53</v>
          </cell>
          <cell r="M78">
            <v>7.6</v>
          </cell>
          <cell r="N78">
            <v>0.064713</v>
          </cell>
          <cell r="O78">
            <v>4</v>
          </cell>
          <cell r="P78" t="str">
            <v>810078882848</v>
          </cell>
          <cell r="Q78">
            <v>8.61</v>
          </cell>
          <cell r="R78">
            <v>0</v>
          </cell>
          <cell r="S78">
            <v>0</v>
          </cell>
          <cell r="T78">
            <v>0</v>
          </cell>
          <cell r="U78">
            <v>80</v>
          </cell>
        </row>
        <row r="79">
          <cell r="A79" t="str">
            <v>B06Y5F3NGY</v>
          </cell>
          <cell r="B79" t="str">
            <v>CCF-KND-BkRkHlf-2pk</v>
          </cell>
          <cell r="C79" t="str">
            <v>烤架套装</v>
          </cell>
          <cell r="D79" t="str">
            <v>Stainless Steel Baking Rack 17x12" Half 2 Pack</v>
          </cell>
          <cell r="E79" t="str">
            <v>=DISPIMG("ID_3B883EBBE6BD49BBAC55229F1D754DFC",1)</v>
          </cell>
          <cell r="F79" t="str">
            <v>厨房用具</v>
          </cell>
          <cell r="G79">
            <v>0.807</v>
          </cell>
          <cell r="H79" t="str">
            <v>43.1</v>
          </cell>
          <cell r="I79">
            <v>30</v>
          </cell>
          <cell r="J79">
            <v>1.5</v>
          </cell>
          <cell r="K79">
            <v>0.0019395</v>
          </cell>
          <cell r="L79" t="str">
            <v>45*32*36</v>
          </cell>
          <cell r="M79">
            <v>14.526</v>
          </cell>
          <cell r="N79">
            <v>0.05184</v>
          </cell>
          <cell r="O79">
            <v>18</v>
          </cell>
          <cell r="P79" t="str">
            <v>751570952472</v>
          </cell>
          <cell r="Q79">
            <v>5.27</v>
          </cell>
          <cell r="R79">
            <v>363</v>
          </cell>
          <cell r="S79">
            <v>20.1666666666667</v>
          </cell>
          <cell r="T79">
            <v>1.04544</v>
          </cell>
          <cell r="U79">
            <v>79</v>
          </cell>
        </row>
        <row r="80">
          <cell r="A80" t="str">
            <v>B000RMQM4E</v>
          </cell>
          <cell r="B80" t="str">
            <v>GLS-ETC-CabMic-Blk50ft2pk</v>
          </cell>
          <cell r="C80" t="str">
            <v>麦克风 XLR 电缆</v>
          </cell>
          <cell r="D80" t="str">
            <v>Cable Mic 50ft XLR M-XLR FM Black 2Pack</v>
          </cell>
          <cell r="E80" t="str">
            <v>=DISPIMG("ID_44A9498600AF40769F6C82240792D9E2",1)</v>
          </cell>
          <cell r="F80" t="str">
            <v>工具</v>
          </cell>
          <cell r="G80">
            <v>1.5</v>
          </cell>
          <cell r="H80">
            <v>31</v>
          </cell>
          <cell r="I80">
            <v>25</v>
          </cell>
          <cell r="J80">
            <v>6</v>
          </cell>
          <cell r="K80">
            <v>0.00465</v>
          </cell>
          <cell r="L80" t="str">
            <v>39 * 34 * 28</v>
          </cell>
          <cell r="M80">
            <v>16.1</v>
          </cell>
          <cell r="N80">
            <v>0.037128</v>
          </cell>
          <cell r="O80">
            <v>10</v>
          </cell>
          <cell r="P80" t="str">
            <v>814422010277</v>
          </cell>
          <cell r="Q80">
            <v>17.77</v>
          </cell>
          <cell r="R80">
            <v>301</v>
          </cell>
          <cell r="S80">
            <v>30.1</v>
          </cell>
          <cell r="T80">
            <v>1.1175528</v>
          </cell>
          <cell r="U80">
            <v>78</v>
          </cell>
        </row>
        <row r="81">
          <cell r="A81" t="str">
            <v>B076F61LBB</v>
          </cell>
          <cell r="B81" t="str">
            <v>MCC-HOK-PiCnd-3x6Wht3pk</v>
          </cell>
          <cell r="C81" t="str">
            <v>无香蜡烛</v>
          </cell>
          <cell r="D81" t="str">
            <v>White Pillar Candles 3" x 6" Set of 3</v>
          </cell>
          <cell r="E81" t="str">
            <v>=DISPIMG("ID_7E136B9AD76E4076998B2D92EF4A3B09",1)</v>
          </cell>
          <cell r="F81" t="str">
            <v>蜡烛</v>
          </cell>
          <cell r="G81">
            <v>1.8</v>
          </cell>
          <cell r="H81">
            <v>16</v>
          </cell>
          <cell r="I81">
            <v>16.5</v>
          </cell>
          <cell r="J81">
            <v>9</v>
          </cell>
          <cell r="K81">
            <v>0.002376</v>
          </cell>
          <cell r="L81" t="str">
            <v>35*25*18</v>
          </cell>
          <cell r="M81">
            <v>7.5</v>
          </cell>
          <cell r="N81">
            <v>0.01575</v>
          </cell>
          <cell r="O81">
            <v>4</v>
          </cell>
          <cell r="P81" t="str">
            <v>850031125193</v>
          </cell>
          <cell r="Q81">
            <v>7.56</v>
          </cell>
          <cell r="R81">
            <v>2648</v>
          </cell>
          <cell r="S81">
            <v>662</v>
          </cell>
          <cell r="T81">
            <v>10.4265</v>
          </cell>
          <cell r="U81">
            <v>74</v>
          </cell>
        </row>
        <row r="82">
          <cell r="A82" t="str">
            <v>B0854P3XS1</v>
          </cell>
          <cell r="B82" t="str">
            <v>YHG-KND-GlsbbyFdCntnr-5Tqse6pk</v>
          </cell>
          <cell r="C82" t="str">
            <v>膳食准备容器</v>
          </cell>
          <cell r="D82" t="str">
            <v>Superior Glass Baby Food Storage Containers 5oz Turquoise Pack</v>
          </cell>
          <cell r="E82" t="str">
            <v>=DISPIMG("ID_C622FA227FA84319864BEED7A1C22CBB",1)</v>
          </cell>
          <cell r="F82" t="str">
            <v>厨房用具</v>
          </cell>
          <cell r="G82">
            <v>1.5</v>
          </cell>
          <cell r="H82">
            <v>17.5</v>
          </cell>
          <cell r="I82">
            <v>12.5</v>
          </cell>
          <cell r="J82">
            <v>17.5</v>
          </cell>
          <cell r="K82">
            <v>0.003828125</v>
          </cell>
          <cell r="L82" t="str">
            <v>18.5*37*11.1</v>
          </cell>
          <cell r="M82">
            <v>11.1</v>
          </cell>
          <cell r="N82">
            <v>0.00759795</v>
          </cell>
          <cell r="O82">
            <v>8</v>
          </cell>
          <cell r="P82" t="str">
            <v>810158035089</v>
          </cell>
          <cell r="Q82">
            <v>5.49</v>
          </cell>
          <cell r="R82">
            <v>65</v>
          </cell>
          <cell r="S82">
            <v>8.125</v>
          </cell>
          <cell r="T82">
            <v>0.06173334375</v>
          </cell>
          <cell r="U82">
            <v>74</v>
          </cell>
        </row>
        <row r="83">
          <cell r="A83" t="str">
            <v>B00JZKH7K2</v>
          </cell>
          <cell r="B83" t="str">
            <v>ESP-SPO-AbRoller-Duo</v>
          </cell>
          <cell r="C83" t="str">
            <v>健腹轮</v>
          </cell>
          <cell r="D83" t="str">
            <v>Ab Wheel Rollers Dual</v>
          </cell>
          <cell r="E83" t="str">
            <v>=DISPIMG("ID_9D758D5EBE6D48CDB82EA10B50371983",1)</v>
          </cell>
          <cell r="F83" t="str">
            <v>健身</v>
          </cell>
          <cell r="G83">
            <v>0.6</v>
          </cell>
          <cell r="H83">
            <v>31</v>
          </cell>
          <cell r="I83">
            <v>15</v>
          </cell>
          <cell r="J83">
            <v>15</v>
          </cell>
          <cell r="K83">
            <v>0.006975</v>
          </cell>
          <cell r="L83" t="str">
            <v>62*47*46</v>
          </cell>
          <cell r="M83">
            <v>8</v>
          </cell>
          <cell r="N83">
            <v>0.134044</v>
          </cell>
          <cell r="O83">
            <v>1</v>
          </cell>
          <cell r="P83" t="str">
            <v>702565054329</v>
          </cell>
          <cell r="Q83">
            <v>4.76</v>
          </cell>
          <cell r="R83">
            <v>552</v>
          </cell>
          <cell r="S83">
            <v>552</v>
          </cell>
          <cell r="T83">
            <v>73.992288</v>
          </cell>
          <cell r="U83">
            <v>70</v>
          </cell>
        </row>
        <row r="84">
          <cell r="A84" t="str">
            <v>B09BDKXPFZ</v>
          </cell>
          <cell r="B84" t="str">
            <v>FD-S4717-FBA</v>
          </cell>
          <cell r="C84" t="str">
            <v>钢水瓶</v>
          </cell>
          <cell r="D84" t="str">
            <v>32oz BOTTLE
DOUBLE WALL 304 S/S 
Coppering
2 color Powder Coated
black&amp;white(new color)
3 LIDS(PP+PE+Silicone)</v>
          </cell>
          <cell r="E84" t="str">
            <v>=DISPIMG("ID_7ED040583424419193733CDC56CF2A08",1)</v>
          </cell>
          <cell r="F84" t="str">
            <v>水瓶</v>
          </cell>
          <cell r="G84" t="str">
            <v>0.681</v>
          </cell>
          <cell r="H84" t="str">
            <v>34.7</v>
          </cell>
          <cell r="I84" t="str">
            <v>10.1</v>
          </cell>
          <cell r="J84" t="str">
            <v>10.4</v>
          </cell>
          <cell r="K84">
            <v>0.003644888</v>
          </cell>
          <cell r="L84" t="str">
            <v>61*42*37</v>
          </cell>
          <cell r="M84">
            <v>16.3</v>
          </cell>
          <cell r="N84">
            <v>0.094794</v>
          </cell>
          <cell r="O84">
            <v>24</v>
          </cell>
          <cell r="P84" t="str">
            <v>810158039032</v>
          </cell>
          <cell r="Q84">
            <v>7.49</v>
          </cell>
          <cell r="R84">
            <v>261</v>
          </cell>
          <cell r="S84">
            <v>10.875</v>
          </cell>
          <cell r="T84">
            <v>1.03088475</v>
          </cell>
          <cell r="U84">
            <v>70</v>
          </cell>
        </row>
        <row r="85">
          <cell r="A85" t="str">
            <v>B07W7Q6Q2D</v>
          </cell>
          <cell r="B85" t="str">
            <v>BBD-BBY-ClstHngrDvdrSt-Cld</v>
          </cell>
          <cell r="C85" t="str">
            <v>衣架和分隔器套装</v>
          </cell>
          <cell r="D85" t="str">
            <v>Baby Closet Hanger (20) and Divder (7) Set Clouds</v>
          </cell>
          <cell r="E85" t="str">
            <v>=DISPIMG("ID_FE6B4F8C4FC946658E9D659612D60C27",1)</v>
          </cell>
          <cell r="F85" t="str">
            <v>衣架</v>
          </cell>
          <cell r="G85">
            <v>1</v>
          </cell>
          <cell r="H85">
            <v>27</v>
          </cell>
          <cell r="I85">
            <v>27</v>
          </cell>
          <cell r="J85">
            <v>7</v>
          </cell>
          <cell r="K85">
            <v>0.005103</v>
          </cell>
          <cell r="L85" t="str">
            <v>57*36*31</v>
          </cell>
          <cell r="M85">
            <v>10.8</v>
          </cell>
          <cell r="N85">
            <v>0.063612</v>
          </cell>
          <cell r="O85">
            <v>10</v>
          </cell>
          <cell r="P85" t="str">
            <v>X0014M15EL,796029103937</v>
          </cell>
          <cell r="Q85">
            <v>4.73</v>
          </cell>
          <cell r="R85">
            <v>1675</v>
          </cell>
          <cell r="S85">
            <v>167.5</v>
          </cell>
          <cell r="T85">
            <v>10.65501</v>
          </cell>
          <cell r="U85">
            <v>69</v>
          </cell>
        </row>
        <row r="86">
          <cell r="A86" t="str">
            <v>B08DP6G9CP</v>
          </cell>
          <cell r="B86" t="str">
            <v>YHG-SPO-StlWtrBtl-17Lgry2pk</v>
          </cell>
          <cell r="C86" t="str">
            <v>钢水瓶</v>
          </cell>
          <cell r="D86" t="str">
            <v>Stainless Steel Insulated Water Bottle 17oz Lava Gray 2Pack</v>
          </cell>
          <cell r="E86" t="str">
            <v>=DISPIMG("ID_88BC141C67B64F2DAE968A0FE19FF646",1)</v>
          </cell>
          <cell r="F86" t="str">
            <v>水瓶</v>
          </cell>
          <cell r="G86">
            <v>0.7</v>
          </cell>
          <cell r="H86" t="str">
            <v>28.0</v>
          </cell>
          <cell r="I86" t="str">
            <v>16.0</v>
          </cell>
          <cell r="J86" t="str">
            <v>8.0</v>
          </cell>
          <cell r="K86">
            <v>0.003584</v>
          </cell>
          <cell r="L86" t="str">
            <v>46*33*29</v>
          </cell>
          <cell r="M86">
            <v>9</v>
          </cell>
          <cell r="N86">
            <v>0.044022</v>
          </cell>
          <cell r="O86">
            <v>12</v>
          </cell>
          <cell r="P86" t="str">
            <v>810158037205</v>
          </cell>
          <cell r="Q86">
            <v>8.78</v>
          </cell>
          <cell r="R86">
            <v>556</v>
          </cell>
          <cell r="S86">
            <v>46.3333333333333</v>
          </cell>
          <cell r="T86">
            <v>2.039686</v>
          </cell>
          <cell r="U86">
            <v>69</v>
          </cell>
        </row>
        <row r="87">
          <cell r="A87" t="str">
            <v>B09BNWR6DV</v>
          </cell>
          <cell r="B87" t="str">
            <v>FD-S4707-FBA</v>
          </cell>
          <cell r="C87" t="str">
            <v>钢水瓶</v>
          </cell>
          <cell r="D87" t="str">
            <v>32oz BOTTLE 
DOUBLE WALL 304 S/S  
Coppering 
Powder Coated 
blue 
3 LIDS(PP+PE+Silicone) 
100% leakproof  
can pass the paint adhesion testing 
Keep Hot 8H&amp; Cold 10H 
color Box</v>
          </cell>
          <cell r="E87" t="str">
            <v>=DISPIMG("ID_24150A48E6974C0C9C98B8D2C6FFA4AD",1)</v>
          </cell>
          <cell r="F87" t="str">
            <v>水瓶</v>
          </cell>
          <cell r="G87">
            <v>0.7</v>
          </cell>
          <cell r="H87">
            <v>35</v>
          </cell>
          <cell r="I87">
            <v>10</v>
          </cell>
          <cell r="J87">
            <v>10</v>
          </cell>
          <cell r="K87">
            <v>0.0035</v>
          </cell>
          <cell r="L87" t="str">
            <v>61*42*37</v>
          </cell>
          <cell r="M87">
            <v>16.3</v>
          </cell>
          <cell r="N87">
            <v>0.094794</v>
          </cell>
          <cell r="O87">
            <v>24</v>
          </cell>
          <cell r="P87" t="str">
            <v>810158038943</v>
          </cell>
          <cell r="Q87">
            <v>5.99</v>
          </cell>
          <cell r="R87">
            <v>125</v>
          </cell>
          <cell r="S87">
            <v>5.20833333333333</v>
          </cell>
          <cell r="T87">
            <v>0.49371875</v>
          </cell>
          <cell r="U87">
            <v>69</v>
          </cell>
        </row>
        <row r="88">
          <cell r="A88" t="str">
            <v>B086RLR2KL</v>
          </cell>
          <cell r="B88" t="str">
            <v>MXL-KND-ShkCot-Ws</v>
          </cell>
          <cell r="C88" t="str">
            <v>调酒套件和支架</v>
          </cell>
          <cell r="D88" t="str">
            <v>Cocktail Shaker with Stand</v>
          </cell>
          <cell r="E88" t="str">
            <v>=DISPIMG("ID_4AD39D1EDFCF4741B41A79E98866B661",1)</v>
          </cell>
          <cell r="F88" t="str">
            <v>厨房用具</v>
          </cell>
          <cell r="G88">
            <v>1</v>
          </cell>
          <cell r="H88">
            <v>27</v>
          </cell>
          <cell r="I88">
            <v>18</v>
          </cell>
          <cell r="J88">
            <v>10</v>
          </cell>
          <cell r="K88">
            <v>0.00486</v>
          </cell>
          <cell r="L88" t="str">
            <v>51*36*29</v>
          </cell>
          <cell r="M88">
            <v>10</v>
          </cell>
          <cell r="N88">
            <v>0.053244</v>
          </cell>
          <cell r="O88">
            <v>10</v>
          </cell>
          <cell r="P88" t="str">
            <v>810090950228</v>
          </cell>
          <cell r="Q88">
            <v>9.28</v>
          </cell>
          <cell r="R88">
            <v>1464</v>
          </cell>
          <cell r="S88">
            <v>146.4</v>
          </cell>
          <cell r="T88">
            <v>7.7949216</v>
          </cell>
          <cell r="U88">
            <v>68</v>
          </cell>
        </row>
        <row r="89">
          <cell r="A89" t="str">
            <v>B09XSX7KQN</v>
          </cell>
          <cell r="B89" t="str">
            <v>YHG-HOK-FD-S1103-5-1</v>
          </cell>
          <cell r="C89" t="str">
            <v>钢制搅拌碗组</v>
          </cell>
          <cell r="D89" t="str">
            <v>Fine Dine-SS 5pcs Mixing Bowls set-white</v>
          </cell>
          <cell r="E89" t="str">
            <v>=DISPIMG("ID_C0DA5B2A71104633A0F73812E38BAF97",1)</v>
          </cell>
          <cell r="F89" t="str">
            <v>厨房用具</v>
          </cell>
          <cell r="G89">
            <v>1.02</v>
          </cell>
          <cell r="H89">
            <v>29.4</v>
          </cell>
          <cell r="I89">
            <v>29</v>
          </cell>
          <cell r="J89">
            <v>10.8</v>
          </cell>
          <cell r="K89">
            <v>0.00920808</v>
          </cell>
          <cell r="L89" t="str">
            <v>59.2*59*34</v>
          </cell>
          <cell r="M89">
            <v>13.92</v>
          </cell>
          <cell r="N89">
            <v>0.1187552</v>
          </cell>
          <cell r="O89">
            <v>12</v>
          </cell>
          <cell r="P89" t="str">
            <v>810078882916</v>
          </cell>
          <cell r="Q89">
            <v>6.99</v>
          </cell>
          <cell r="R89">
            <v>110</v>
          </cell>
          <cell r="S89">
            <v>9.16666666666667</v>
          </cell>
          <cell r="T89">
            <v>1.08858933333333</v>
          </cell>
          <cell r="U89">
            <v>66</v>
          </cell>
        </row>
        <row r="90">
          <cell r="A90" t="str">
            <v>B07613TPVL</v>
          </cell>
          <cell r="B90" t="str">
            <v>BFR-SPO-OccBndProX-1Set</v>
          </cell>
          <cell r="C90" t="str">
            <v>遮挡带</v>
          </cell>
          <cell r="D90" t="str">
            <v>Occlusion Training Bands PRO X 1 Set</v>
          </cell>
          <cell r="E90" t="str">
            <v>=DISPIMG("ID_AECBF01B3FD7451CAE5BF3373B384687",1)</v>
          </cell>
          <cell r="F90" t="str">
            <v>健身</v>
          </cell>
          <cell r="G90">
            <v>0.2</v>
          </cell>
          <cell r="H90">
            <v>16</v>
          </cell>
          <cell r="I90">
            <v>14</v>
          </cell>
          <cell r="J90">
            <v>4</v>
          </cell>
          <cell r="K90">
            <v>0.000896</v>
          </cell>
          <cell r="L90" t="str">
            <v>40*31*30</v>
          </cell>
          <cell r="M90">
            <v>11</v>
          </cell>
          <cell r="N90">
            <v>0.0372</v>
          </cell>
          <cell r="O90">
            <v>55</v>
          </cell>
          <cell r="P90" t="str">
            <v>722512369344</v>
          </cell>
          <cell r="Q90">
            <v>4.05</v>
          </cell>
          <cell r="R90">
            <v>1293</v>
          </cell>
          <cell r="S90">
            <v>23.5090909090909</v>
          </cell>
          <cell r="T90">
            <v>0.874538181818182</v>
          </cell>
          <cell r="U90">
            <v>65</v>
          </cell>
        </row>
        <row r="91">
          <cell r="A91" t="str">
            <v>B09BDNGP1P</v>
          </cell>
          <cell r="B91" t="str">
            <v>FD-S4802-FBA</v>
          </cell>
          <cell r="C91" t="str">
            <v>钢水瓶</v>
          </cell>
          <cell r="D91" t="str">
            <v>40oz BOTTLE
DOUBLE WALL 304 S/S 
Coppering
Powder Coated
black natural black C
3 LIDS(PP+PE+Silicone)
100% leakproof 
can pass the paint adhesion testing
Keep Hot 8H&amp; Cold 10H
color Box</v>
          </cell>
          <cell r="E91" t="str">
            <v>=DISPIMG("ID_3860306D6C3E49A3843346FB23A3B1C0",1)</v>
          </cell>
          <cell r="F91" t="str">
            <v>水瓶</v>
          </cell>
          <cell r="G91" t="str">
            <v>0.7</v>
          </cell>
          <cell r="H91">
            <v>39</v>
          </cell>
          <cell r="I91">
            <v>10</v>
          </cell>
          <cell r="J91">
            <v>10</v>
          </cell>
          <cell r="K91">
            <v>0.0039</v>
          </cell>
          <cell r="L91" t="str">
            <v>42 * 62 * 41</v>
          </cell>
          <cell r="M91">
            <v>17.7</v>
          </cell>
          <cell r="N91">
            <v>0.106764</v>
          </cell>
          <cell r="O91">
            <v>24</v>
          </cell>
          <cell r="P91" t="str">
            <v>810158039087</v>
          </cell>
          <cell r="Q91">
            <v>6.55</v>
          </cell>
          <cell r="R91">
            <v>350</v>
          </cell>
          <cell r="S91">
            <v>14.5833333333333</v>
          </cell>
          <cell r="T91">
            <v>1.556975</v>
          </cell>
          <cell r="U91">
            <v>64</v>
          </cell>
        </row>
        <row r="92">
          <cell r="A92" t="str">
            <v>B07VHFWRF9</v>
          </cell>
          <cell r="B92" t="str">
            <v>EDU-BSS-FshMgKt400</v>
          </cell>
          <cell r="C92" t="str">
            <v>磁铁钓鱼套件</v>
          </cell>
          <cell r="D92" t="str">
            <v>King Kong Magnetics Magnet Fishing Kit - 2.36 inch Strong Neodymium Fishing Magnets w/ 400 lb Pulling Force</v>
          </cell>
          <cell r="E92" t="str">
            <v>=DISPIMG("ID_75058E57207D48A5BFF05AB18C8B5B18",1)</v>
          </cell>
          <cell r="F92" t="str">
            <v>户外</v>
          </cell>
          <cell r="G92">
            <v>0.96</v>
          </cell>
          <cell r="H92">
            <v>21</v>
          </cell>
          <cell r="I92">
            <v>11</v>
          </cell>
          <cell r="J92">
            <v>16</v>
          </cell>
          <cell r="K92">
            <v>0.003696</v>
          </cell>
          <cell r="L92" t="str">
            <v>58 * 23 * 49</v>
          </cell>
          <cell r="M92">
            <v>15.5</v>
          </cell>
          <cell r="N92">
            <v>0.065366</v>
          </cell>
          <cell r="O92">
            <v>15</v>
          </cell>
          <cell r="P92" t="str">
            <v>X00181A9RR,704817393576</v>
          </cell>
          <cell r="Q92">
            <v>10.72</v>
          </cell>
          <cell r="R92">
            <v>60</v>
          </cell>
          <cell r="S92">
            <v>4</v>
          </cell>
          <cell r="T92">
            <v>0.261464</v>
          </cell>
          <cell r="U92">
            <v>64</v>
          </cell>
        </row>
        <row r="93">
          <cell r="A93" t="str">
            <v>B09XRGK2K2</v>
          </cell>
          <cell r="B93" t="str">
            <v>YHG-HOK-FD-S1107-5</v>
          </cell>
          <cell r="C93" t="str">
            <v>钢制搅拌碗组</v>
          </cell>
          <cell r="D93" t="str">
            <v>Fine Dine-SS 5pcs Mixing Bowls set-green</v>
          </cell>
          <cell r="E93" t="str">
            <v>=DISPIMG("ID_DEBC81C1888B4F2789C795DAD68FB385",1)</v>
          </cell>
          <cell r="F93" t="str">
            <v>厨房用具</v>
          </cell>
          <cell r="G93">
            <v>0.8</v>
          </cell>
          <cell r="H93" t="str">
            <v>29.0</v>
          </cell>
          <cell r="I93">
            <v>29</v>
          </cell>
          <cell r="J93">
            <v>10</v>
          </cell>
          <cell r="K93">
            <v>0.00841</v>
          </cell>
          <cell r="L93" t="str">
            <v>59*59*31.5</v>
          </cell>
          <cell r="M93">
            <v>13.4</v>
          </cell>
          <cell r="N93">
            <v>0.1096515</v>
          </cell>
          <cell r="O93">
            <v>12</v>
          </cell>
          <cell r="P93" t="str">
            <v>810078882954</v>
          </cell>
          <cell r="Q93">
            <v>0.37</v>
          </cell>
          <cell r="R93">
            <v>228</v>
          </cell>
          <cell r="S93">
            <v>19</v>
          </cell>
          <cell r="T93">
            <v>2.0833785</v>
          </cell>
          <cell r="U93">
            <v>62</v>
          </cell>
        </row>
        <row r="94">
          <cell r="A94" t="str">
            <v>B07RRBKM1S</v>
          </cell>
          <cell r="B94" t="str">
            <v>BES-KND-FnlSt-Wte4pc</v>
          </cell>
          <cell r="C94" t="str">
            <v>漏斗套装</v>
          </cell>
          <cell r="D94" t="str">
            <v>All Purpose Funnel Set White 4 Pieces</v>
          </cell>
          <cell r="E94" t="str">
            <v>=DISPIMG("ID_F8132D33571D4709943621E53034F375",1)</v>
          </cell>
        </row>
        <row r="94">
          <cell r="G94" t="str">
            <v>0.045</v>
          </cell>
          <cell r="H94" t="str">
            <v>13.9</v>
          </cell>
          <cell r="I94" t="str">
            <v>12.7</v>
          </cell>
          <cell r="J94" t="str">
            <v>2.7</v>
          </cell>
          <cell r="K94">
            <v>0.000476631</v>
          </cell>
        </row>
        <row r="94">
          <cell r="P94" t="str">
            <v>850036674320</v>
          </cell>
        </row>
        <row r="94">
          <cell r="R94">
            <v>133</v>
          </cell>
        </row>
        <row r="94">
          <cell r="U94">
            <v>62</v>
          </cell>
        </row>
        <row r="95">
          <cell r="A95" t="str">
            <v>B07PF5BKNQ</v>
          </cell>
          <cell r="B95" t="str">
            <v>STB-BPC-RoRlr-100Ntrl</v>
          </cell>
          <cell r="C95" t="str">
            <v>玉石滚轮</v>
          </cell>
          <cell r="D95" t="str">
            <v>Rose Quartz Roller</v>
          </cell>
          <cell r="E95" t="str">
            <v>=DISPIMG("ID_35EF034C0A564A808F47C85A04E2B6BF",1)</v>
          </cell>
          <cell r="F95" t="str">
            <v>美容</v>
          </cell>
          <cell r="G95">
            <v>0.18</v>
          </cell>
          <cell r="H95">
            <v>19</v>
          </cell>
          <cell r="I95">
            <v>9</v>
          </cell>
          <cell r="J95">
            <v>4</v>
          </cell>
          <cell r="K95">
            <v>0.000684</v>
          </cell>
          <cell r="L95" t="str">
            <v>47*46*34</v>
          </cell>
          <cell r="M95">
            <v>12.08</v>
          </cell>
          <cell r="N95">
            <v>0.073508</v>
          </cell>
          <cell r="O95">
            <v>72</v>
          </cell>
          <cell r="P95" t="str">
            <v>707486993023,B07PF5BKNQ</v>
          </cell>
          <cell r="Q95">
            <v>5.59</v>
          </cell>
          <cell r="R95">
            <v>1033</v>
          </cell>
          <cell r="S95">
            <v>14.3472222222222</v>
          </cell>
          <cell r="T95">
            <v>1.05463561111111</v>
          </cell>
          <cell r="U95">
            <v>61</v>
          </cell>
        </row>
        <row r="96">
          <cell r="A96" t="str">
            <v>B00M8O122G</v>
          </cell>
          <cell r="B96" t="str">
            <v>SKY-KND-FMat-39BK</v>
          </cell>
          <cell r="C96" t="str">
            <v>抗疲劳垫</v>
          </cell>
          <cell r="D96" t="str">
            <v>Anti Fatigue Comfort Floor Mat by Sky Mats  (20x39x3/4-Inch, Black)</v>
          </cell>
          <cell r="E96" t="str">
            <v>=DISPIMG("ID_52516043CE5B4504954EAD904C7E02EF",1)</v>
          </cell>
          <cell r="F96" t="str">
            <v>脚垫</v>
          </cell>
          <cell r="G96">
            <v>1.4</v>
          </cell>
          <cell r="H96">
            <v>101</v>
          </cell>
          <cell r="I96">
            <v>52</v>
          </cell>
          <cell r="J96">
            <v>2</v>
          </cell>
          <cell r="K96">
            <v>0.010504</v>
          </cell>
          <cell r="L96" t="str">
            <v>102 * 54 * 21</v>
          </cell>
          <cell r="M96">
            <v>16.8</v>
          </cell>
          <cell r="N96">
            <v>0.115668</v>
          </cell>
          <cell r="O96">
            <v>10</v>
          </cell>
          <cell r="P96" t="str">
            <v>700220295513</v>
          </cell>
          <cell r="Q96">
            <v>12.88</v>
          </cell>
          <cell r="R96">
            <v>1017</v>
          </cell>
          <cell r="S96">
            <v>101.7</v>
          </cell>
          <cell r="T96">
            <v>11.7634356</v>
          </cell>
          <cell r="U96">
            <v>60</v>
          </cell>
        </row>
        <row r="97">
          <cell r="A97" t="str">
            <v>B075RFC6YT</v>
          </cell>
          <cell r="B97" t="str">
            <v>YHG-HOK-WdCtRk-Chy</v>
          </cell>
          <cell r="C97" t="str">
            <v>木树衣帽架</v>
          </cell>
          <cell r="D97" t="str">
            <v>Wooden Coat Rack Cherry</v>
          </cell>
          <cell r="E97" t="str">
            <v>=DISPIMG("ID_21FCEC23F33849768F6914610338DD88",1)</v>
          </cell>
          <cell r="F97" t="str">
            <v>衣架</v>
          </cell>
          <cell r="G97" t="str">
            <v>2.300</v>
          </cell>
          <cell r="H97">
            <v>39.5</v>
          </cell>
          <cell r="I97">
            <v>12</v>
          </cell>
          <cell r="J97">
            <v>11</v>
          </cell>
          <cell r="K97">
            <v>0.005214</v>
          </cell>
          <cell r="L97" t="str">
            <v>27 * 35 * 42</v>
          </cell>
          <cell r="M97">
            <v>14.3</v>
          </cell>
          <cell r="N97">
            <v>0.03969</v>
          </cell>
          <cell r="O97">
            <v>6</v>
          </cell>
          <cell r="P97" t="str">
            <v>810158031036</v>
          </cell>
          <cell r="Q97">
            <v>13.9</v>
          </cell>
          <cell r="R97">
            <v>792</v>
          </cell>
          <cell r="S97">
            <v>132</v>
          </cell>
          <cell r="T97">
            <v>5.23908</v>
          </cell>
          <cell r="U97">
            <v>60</v>
          </cell>
        </row>
        <row r="98">
          <cell r="A98" t="str">
            <v>B0833FTBFR</v>
          </cell>
          <cell r="B98" t="str">
            <v>YHG-KND-PltFdStrgCntnr-MxWte6pk</v>
          </cell>
          <cell r="C98" t="str">
            <v>塑料食品容器套装</v>
          </cell>
          <cell r="D98" t="str">
            <v>Plastic Food Storage Container Mixed White Pack</v>
          </cell>
          <cell r="E98" t="str">
            <v>=DISPIMG("ID_34CCEFBA749245C2885AC2803E586999",1)</v>
          </cell>
          <cell r="F98" t="str">
            <v>厨房用具</v>
          </cell>
          <cell r="G98">
            <v>2.4</v>
          </cell>
          <cell r="H98">
            <v>44</v>
          </cell>
          <cell r="I98">
            <v>27</v>
          </cell>
          <cell r="J98">
            <v>20</v>
          </cell>
          <cell r="K98">
            <v>0.02376</v>
          </cell>
          <cell r="L98" t="str">
            <v>61*46*29</v>
          </cell>
          <cell r="M98">
            <v>8.6</v>
          </cell>
          <cell r="N98">
            <v>0.081374</v>
          </cell>
          <cell r="O98">
            <v>3</v>
          </cell>
          <cell r="P98" t="str">
            <v>810158032866</v>
          </cell>
          <cell r="Q98">
            <v>11.75</v>
          </cell>
          <cell r="R98">
            <v>122</v>
          </cell>
          <cell r="S98">
            <v>40.6666666666667</v>
          </cell>
          <cell r="T98">
            <v>3.30920933333333</v>
          </cell>
          <cell r="U98">
            <v>59</v>
          </cell>
        </row>
        <row r="99">
          <cell r="A99" t="str">
            <v>B0756LD12Y</v>
          </cell>
          <cell r="B99" t="str">
            <v>YHG-HOK-WdPntHngr360-Ntl10pk</v>
          </cell>
          <cell r="C99" t="str">
            <v>天然木裙夹衣架</v>
          </cell>
          <cell r="D99" t="str">
            <v>Wooden Skirt Clamp Hangers Natural set of 10</v>
          </cell>
          <cell r="E99" t="str">
            <v>=DISPIMG("ID_AEA1022ECD07448B91A1E25EF5351DB1",1)</v>
          </cell>
          <cell r="F99" t="str">
            <v>衣架</v>
          </cell>
          <cell r="G99" t="str">
            <v>1.500</v>
          </cell>
          <cell r="H99">
            <v>26</v>
          </cell>
          <cell r="I99">
            <v>25</v>
          </cell>
          <cell r="J99">
            <v>12.5</v>
          </cell>
          <cell r="K99">
            <v>0.008125</v>
          </cell>
          <cell r="L99" t="str">
            <v>52 * 28 * 51</v>
          </cell>
          <cell r="M99">
            <v>12.3</v>
          </cell>
          <cell r="N99">
            <v>0.074256</v>
          </cell>
          <cell r="O99">
            <v>8</v>
          </cell>
          <cell r="P99" t="str">
            <v>810158031005</v>
          </cell>
          <cell r="Q99">
            <v>13.2</v>
          </cell>
          <cell r="R99">
            <v>2</v>
          </cell>
          <cell r="S99">
            <v>0.25</v>
          </cell>
          <cell r="T99">
            <v>0.018564</v>
          </cell>
          <cell r="U99">
            <v>59</v>
          </cell>
        </row>
        <row r="100">
          <cell r="A100" t="str">
            <v>B01MXRSMZP</v>
          </cell>
          <cell r="B100" t="str">
            <v>YHG-KND-14CKTLST</v>
          </cell>
          <cell r="C100" t="str">
            <v>调酒套件</v>
          </cell>
          <cell r="D100" t="str">
            <v>14 Piece Cocktail Shaker Set</v>
          </cell>
          <cell r="E100" t="str">
            <v>=DISPIMG("ID_B6FDC9D0838842229F7ABF7D6B601EF0",1)</v>
          </cell>
          <cell r="F100" t="str">
            <v>厨房用具</v>
          </cell>
          <cell r="G100" t="str">
            <v>0.8</v>
          </cell>
          <cell r="H100">
            <v>28</v>
          </cell>
          <cell r="I100">
            <v>10</v>
          </cell>
          <cell r="J100">
            <v>10</v>
          </cell>
          <cell r="K100">
            <v>0.0028</v>
          </cell>
          <cell r="L100" t="str">
            <v>58*33*20</v>
          </cell>
          <cell r="M100">
            <v>9.8</v>
          </cell>
          <cell r="N100">
            <v>0.03828</v>
          </cell>
          <cell r="O100" t="str">
            <v>6，12</v>
          </cell>
          <cell r="P100" t="str">
            <v>810158030039</v>
          </cell>
          <cell r="Q100">
            <v>6.71</v>
          </cell>
          <cell r="R100">
            <v>6347</v>
          </cell>
          <cell r="S100" t="e">
            <v>#VALUE!</v>
          </cell>
          <cell r="T100" t="e">
            <v>#VALUE!</v>
          </cell>
          <cell r="U100">
            <v>58</v>
          </cell>
        </row>
        <row r="101">
          <cell r="A101" t="str">
            <v>B07GSF11XX</v>
          </cell>
          <cell r="B101" t="str">
            <v>CSP-OFP-Whbrd-32x48</v>
          </cell>
          <cell r="C101" t="str">
            <v>白板</v>
          </cell>
          <cell r="D101" t="str">
            <v>Whiteboard 32x48 inch</v>
          </cell>
          <cell r="E101" t="str">
            <v>=DISPIMG("ID_1C156D6193D948E28510A7AB16AB7F6D",1)</v>
          </cell>
          <cell r="F101" t="str">
            <v>办公</v>
          </cell>
          <cell r="G101">
            <v>14.5</v>
          </cell>
          <cell r="H101">
            <v>133</v>
          </cell>
          <cell r="I101">
            <v>86</v>
          </cell>
          <cell r="J101">
            <v>8</v>
          </cell>
          <cell r="K101">
            <v>0.091504</v>
          </cell>
          <cell r="L101" t="str">
            <v>133 * 8 * 88</v>
          </cell>
          <cell r="M101">
            <v>14.3</v>
          </cell>
          <cell r="N101">
            <v>0.093632</v>
          </cell>
          <cell r="O101">
            <v>1</v>
          </cell>
          <cell r="P101" t="str">
            <v>704751858339</v>
          </cell>
          <cell r="Q101">
            <v>89.69</v>
          </cell>
          <cell r="R101">
            <v>0</v>
          </cell>
          <cell r="S101">
            <v>0</v>
          </cell>
          <cell r="T101">
            <v>0</v>
          </cell>
          <cell r="U101">
            <v>58</v>
          </cell>
        </row>
        <row r="102">
          <cell r="A102" t="str">
            <v>B01N33U6Y5</v>
          </cell>
          <cell r="B102" t="str">
            <v>WWE-KND-TSPGr-2</v>
          </cell>
          <cell r="C102" t="str">
            <v>原装不锈钢盐
和胡椒研磨器套装</v>
          </cell>
          <cell r="D102" t="str">
            <v>Original Stainless Steel Salt and Pepper Grinder Set With Stand - Tall Salt and Pepper Shakers with Adjustable Coarseness - Salt Grinders and Pepper Mill Shaker Set</v>
          </cell>
          <cell r="E102" t="str">
            <v>=DISPIMG("ID_11016456E7BC44CB8B1841AB8664715D",1)</v>
          </cell>
          <cell r="F102" t="str">
            <v>厨房用具</v>
          </cell>
          <cell r="G102">
            <v>0.8</v>
          </cell>
          <cell r="H102">
            <v>24.2</v>
          </cell>
          <cell r="I102">
            <v>15.4</v>
          </cell>
          <cell r="J102">
            <v>7.8</v>
          </cell>
          <cell r="K102">
            <v>0.002906904</v>
          </cell>
          <cell r="L102" t="str">
            <v>44.6*31.3*62.8</v>
          </cell>
          <cell r="M102">
            <v>20</v>
          </cell>
          <cell r="N102">
            <v>0.087667544</v>
          </cell>
          <cell r="O102">
            <v>24</v>
          </cell>
        </row>
        <row r="102">
          <cell r="R102">
            <v>704</v>
          </cell>
          <cell r="S102">
            <v>29.3333333333333</v>
          </cell>
          <cell r="T102">
            <v>2.57158129066667</v>
          </cell>
          <cell r="U102">
            <v>57</v>
          </cell>
        </row>
        <row r="103">
          <cell r="A103" t="str">
            <v>B07DGLW1R6</v>
          </cell>
          <cell r="B103" t="str">
            <v>HKW-HOK-16Sh4BtOrg-Bg2Pk</v>
          </cell>
          <cell r="C103" t="str">
            <v>鞋子收纳盒</v>
          </cell>
          <cell r="D103" t="str">
            <v>12 Shoes 4 Boots Organizer Beige 2 Pack</v>
          </cell>
          <cell r="E103" t="str">
            <v>=DISPIMG("ID_B5200EF6758D425096E335578D7C8880",1)</v>
          </cell>
        </row>
        <row r="103">
          <cell r="G103">
            <v>1.48</v>
          </cell>
          <cell r="H103">
            <v>32</v>
          </cell>
          <cell r="I103">
            <v>18</v>
          </cell>
          <cell r="J103">
            <v>11</v>
          </cell>
          <cell r="K103">
            <v>0.006336</v>
          </cell>
          <cell r="L103" t="str">
            <v>38*36*38</v>
          </cell>
          <cell r="M103">
            <v>9.6</v>
          </cell>
          <cell r="N103">
            <v>0.051984</v>
          </cell>
          <cell r="O103">
            <v>6</v>
          </cell>
          <cell r="P103" t="str">
            <v>856499008122</v>
          </cell>
          <cell r="Q103">
            <v>8.77</v>
          </cell>
          <cell r="R103">
            <v>1</v>
          </cell>
          <cell r="S103">
            <v>0.166666666666667</v>
          </cell>
          <cell r="T103">
            <v>0.008664</v>
          </cell>
          <cell r="U103">
            <v>56</v>
          </cell>
        </row>
        <row r="104">
          <cell r="A104" t="str">
            <v>B00SS3GUNM</v>
          </cell>
          <cell r="B104" t="str">
            <v>SKY-KND-PzPe-22x14</v>
          </cell>
          <cell r="C104" t="str">
            <v>披萨皮</v>
          </cell>
          <cell r="D104" t="str">
            <v>Heritage Acacia Wood Pizza Peel, Great for Homemade Pizza</v>
          </cell>
          <cell r="E104" t="str">
            <v>=DISPIMG("ID_D53F0DD2F1E4401EB30C6D2C79E5BACA",1)</v>
          </cell>
          <cell r="F104" t="str">
            <v>厨房用具</v>
          </cell>
          <cell r="G104">
            <v>1.37</v>
          </cell>
          <cell r="H104">
            <v>57</v>
          </cell>
          <cell r="I104">
            <v>37</v>
          </cell>
          <cell r="J104">
            <v>3</v>
          </cell>
          <cell r="K104">
            <v>0.006327</v>
          </cell>
          <cell r="L104" t="str">
            <v>59.2*39*2*25</v>
          </cell>
          <cell r="M104">
            <v>14</v>
          </cell>
          <cell r="N104">
            <v>0.058016</v>
          </cell>
          <cell r="O104">
            <v>10</v>
          </cell>
          <cell r="P104" t="str">
            <v>784672455794</v>
          </cell>
          <cell r="Q104">
            <v>11.58</v>
          </cell>
          <cell r="R104">
            <v>623</v>
          </cell>
          <cell r="S104">
            <v>62.3</v>
          </cell>
          <cell r="T104">
            <v>3.6143968</v>
          </cell>
          <cell r="U104">
            <v>55</v>
          </cell>
        </row>
        <row r="105">
          <cell r="A105" t="str">
            <v>B08LYGM9R8</v>
          </cell>
          <cell r="B105" t="str">
            <v>YHG-KND-GlsOlDspnsrSlm-Abrn2pk</v>
          </cell>
          <cell r="C105" t="str">
            <v>加油机</v>
          </cell>
          <cell r="D105" t="str">
            <v>Finedine-17oz brown olives oil bottle pack of 2FD-G20 /2</v>
          </cell>
          <cell r="E105" t="str">
            <v>=DISPIMG("ID_C320123A053B41D7AB6709F9600AD061",1)</v>
          </cell>
          <cell r="F105" t="str">
            <v>厨房用具</v>
          </cell>
          <cell r="G105">
            <v>1.1</v>
          </cell>
          <cell r="H105">
            <v>30</v>
          </cell>
          <cell r="I105">
            <v>16</v>
          </cell>
          <cell r="J105">
            <v>8</v>
          </cell>
          <cell r="K105">
            <v>0.00384</v>
          </cell>
          <cell r="L105" t="str">
            <v>48 * 35 * 22</v>
          </cell>
          <cell r="M105">
            <v>13.2</v>
          </cell>
          <cell r="N105">
            <v>0.03696</v>
          </cell>
          <cell r="O105">
            <v>12</v>
          </cell>
          <cell r="P105" t="str">
            <v>810158037700</v>
          </cell>
          <cell r="Q105">
            <v>4.99</v>
          </cell>
          <cell r="R105">
            <v>611</v>
          </cell>
          <cell r="S105">
            <v>50.9166666666667</v>
          </cell>
          <cell r="T105">
            <v>1.88188</v>
          </cell>
          <cell r="U105">
            <v>55</v>
          </cell>
        </row>
        <row r="106">
          <cell r="A106" t="str">
            <v>B00842P9P2</v>
          </cell>
          <cell r="B106" t="str">
            <v>PLT-GAO-HiBkCsn-Gren</v>
          </cell>
          <cell r="C106" t="str">
            <v>阿迪朗达克椅垫</v>
          </cell>
          <cell r="D106" t="str">
            <v>High-Back Cushion with Pillow Green</v>
          </cell>
          <cell r="E106" t="str">
            <v>=DISPIMG("ID_9275F26387244E9D9182721A5731B73E",1)</v>
          </cell>
          <cell r="F106" t="str">
            <v>桌椅</v>
          </cell>
          <cell r="G106">
            <v>2</v>
          </cell>
          <cell r="H106">
            <v>78</v>
          </cell>
          <cell r="I106">
            <v>56</v>
          </cell>
          <cell r="J106">
            <v>13</v>
          </cell>
          <cell r="K106">
            <v>0.056784</v>
          </cell>
          <cell r="L106" t="str">
            <v>103 * 58 * 77</v>
          </cell>
          <cell r="M106">
            <v>21</v>
          </cell>
          <cell r="N106">
            <v>0.459998</v>
          </cell>
          <cell r="O106">
            <v>10</v>
          </cell>
          <cell r="P106" t="str">
            <v>5060236730893</v>
          </cell>
          <cell r="Q106">
            <v>25.07</v>
          </cell>
          <cell r="R106">
            <v>445</v>
          </cell>
          <cell r="S106">
            <v>44.5</v>
          </cell>
          <cell r="T106">
            <v>20.469911</v>
          </cell>
          <cell r="U106">
            <v>55</v>
          </cell>
        </row>
        <row r="107">
          <cell r="A107" t="str">
            <v>B018UYS55O</v>
          </cell>
          <cell r="B107" t="str">
            <v>SDT-TOH-SPWDB-CX-MBK</v>
          </cell>
          <cell r="C107" t="str">
            <v>无线门铃</v>
          </cell>
          <cell r="D107" t="str">
            <v>Star Point Wireless Doorbell Model CX Matte Black</v>
          </cell>
          <cell r="E107" t="str">
            <v>=DISPIMG("ID_C2E838B8DE204E18B8252AE842CEE80C",1)</v>
          </cell>
          <cell r="F107" t="str">
            <v>门铃</v>
          </cell>
          <cell r="G107">
            <v>0.2</v>
          </cell>
          <cell r="H107">
            <v>15</v>
          </cell>
          <cell r="I107">
            <v>8.9</v>
          </cell>
          <cell r="J107">
            <v>6.7</v>
          </cell>
          <cell r="K107">
            <v>0.00089445</v>
          </cell>
          <cell r="L107" t="str">
            <v>35.3*31.5*46</v>
          </cell>
          <cell r="M107">
            <v>11.8</v>
          </cell>
          <cell r="N107">
            <v>0.0511497</v>
          </cell>
          <cell r="O107">
            <v>50</v>
          </cell>
          <cell r="P107" t="str">
            <v>616453923805</v>
          </cell>
          <cell r="Q107">
            <v>8.76</v>
          </cell>
          <cell r="R107">
            <v>2217</v>
          </cell>
          <cell r="S107">
            <v>44.34</v>
          </cell>
          <cell r="T107">
            <v>2.267977698</v>
          </cell>
          <cell r="U107">
            <v>54</v>
          </cell>
        </row>
        <row r="108">
          <cell r="A108" t="str">
            <v>B07X31T4R6</v>
          </cell>
          <cell r="B108" t="str">
            <v>YHG-KND-7CktlSt</v>
          </cell>
          <cell r="C108" t="str">
            <v>鸡尾酒调酒器套装</v>
          </cell>
          <cell r="D108" t="str">
            <v>7 PCS. BAR SET</v>
          </cell>
          <cell r="E108" t="str">
            <v>=DISPIMG("ID_ED14EEA40F48437788D2C3851A2EB623",1)</v>
          </cell>
          <cell r="F108" t="str">
            <v>厨房用具</v>
          </cell>
          <cell r="G108" t="str">
            <v>0.600</v>
          </cell>
          <cell r="H108">
            <v>28</v>
          </cell>
          <cell r="I108">
            <v>10</v>
          </cell>
          <cell r="J108">
            <v>10</v>
          </cell>
          <cell r="K108">
            <v>0.0028</v>
          </cell>
          <cell r="L108" t="str">
            <v>57 * 20 * 30</v>
          </cell>
          <cell r="M108">
            <v>7.3</v>
          </cell>
          <cell r="N108">
            <v>0.0342</v>
          </cell>
          <cell r="O108">
            <v>12</v>
          </cell>
          <cell r="P108" t="str">
            <v>810158033610</v>
          </cell>
          <cell r="Q108">
            <v>5.85</v>
          </cell>
          <cell r="R108">
            <v>2742</v>
          </cell>
          <cell r="S108">
            <v>228.5</v>
          </cell>
          <cell r="T108">
            <v>7.8147</v>
          </cell>
          <cell r="U108">
            <v>52</v>
          </cell>
        </row>
        <row r="109">
          <cell r="A109" t="str">
            <v>B073BQKHPR</v>
          </cell>
          <cell r="B109" t="str">
            <v>SKY-KND-FMAT-39GY</v>
          </cell>
          <cell r="C109" t="str">
            <v>抗疲劳垫</v>
          </cell>
          <cell r="D109" t="str">
            <v>Anti Fatigue Comfort Floor Mat By Sky Mats -Commercial Grade Quality Perfect for Standup Desks, Kitchens, and Garages</v>
          </cell>
          <cell r="E109" t="str">
            <v>=DISPIMG("ID_DC7A13F9BDC74F9DB635847DB7821F26",1)</v>
          </cell>
          <cell r="F109" t="str">
            <v>脚垫</v>
          </cell>
          <cell r="G109">
            <v>1.7</v>
          </cell>
          <cell r="H109">
            <v>101</v>
          </cell>
          <cell r="I109">
            <v>53</v>
          </cell>
          <cell r="J109">
            <v>2</v>
          </cell>
          <cell r="K109">
            <v>0.010706</v>
          </cell>
          <cell r="L109" t="str">
            <v>102*54*22</v>
          </cell>
          <cell r="M109">
            <v>17.3</v>
          </cell>
          <cell r="N109">
            <v>0.121176</v>
          </cell>
          <cell r="O109">
            <v>10</v>
          </cell>
          <cell r="P109" t="str">
            <v>712038025794</v>
          </cell>
          <cell r="Q109">
            <v>14.08</v>
          </cell>
          <cell r="R109">
            <v>388</v>
          </cell>
          <cell r="S109">
            <v>38.8</v>
          </cell>
          <cell r="T109">
            <v>4.7016288</v>
          </cell>
          <cell r="U109">
            <v>52</v>
          </cell>
        </row>
        <row r="110">
          <cell r="A110" t="str">
            <v>B08DP5P435</v>
          </cell>
          <cell r="B110" t="str">
            <v>YHG-KND-StlWtrBtl-17Pywte2pk</v>
          </cell>
          <cell r="C110" t="str">
            <v>钢水瓶</v>
          </cell>
          <cell r="D110" t="str">
            <v>Stainless Steel Insulated Water Bottle 17oz Pearly White 2Pack</v>
          </cell>
          <cell r="E110" t="str">
            <v>=DISPIMG("ID_48A77FAE89AE484782BFA1C6E304289A",1)</v>
          </cell>
          <cell r="F110" t="str">
            <v>水瓶</v>
          </cell>
          <cell r="G110" t="str">
            <v>0.7</v>
          </cell>
          <cell r="H110">
            <v>28</v>
          </cell>
          <cell r="I110">
            <v>15.5</v>
          </cell>
          <cell r="J110">
            <v>8</v>
          </cell>
          <cell r="K110">
            <v>0.003472</v>
          </cell>
          <cell r="L110" t="str">
            <v>47 * 33 * 30</v>
          </cell>
          <cell r="M110">
            <v>8.9</v>
          </cell>
          <cell r="N110">
            <v>0.04653</v>
          </cell>
          <cell r="O110">
            <v>12</v>
          </cell>
          <cell r="P110" t="str">
            <v>810158037199</v>
          </cell>
          <cell r="Q110">
            <v>7.68</v>
          </cell>
          <cell r="R110">
            <v>303</v>
          </cell>
          <cell r="S110">
            <v>25.25</v>
          </cell>
          <cell r="T110">
            <v>1.1748825</v>
          </cell>
          <cell r="U110">
            <v>52</v>
          </cell>
        </row>
        <row r="111">
          <cell r="A111" t="str">
            <v>B08LY68KZS</v>
          </cell>
          <cell r="B111" t="str">
            <v>YHG-KND-GlsOlDspnsr-2pk</v>
          </cell>
          <cell r="C111" t="str">
            <v>加油机</v>
          </cell>
          <cell r="D111" t="str">
            <v>Finedine-17oz clear oilves oil bottle with scale line pack of 2FD-G20 /2with spouts</v>
          </cell>
          <cell r="E111" t="str">
            <v>=DISPIMG("ID_1FC74801A3EA413195B36B074ECF3E10",1)</v>
          </cell>
          <cell r="F111" t="str">
            <v>厨房用具</v>
          </cell>
          <cell r="G111" t="str">
            <v>1.100</v>
          </cell>
          <cell r="H111">
            <v>30</v>
          </cell>
          <cell r="I111">
            <v>16</v>
          </cell>
          <cell r="J111">
            <v>8</v>
          </cell>
          <cell r="K111">
            <v>0.00384</v>
          </cell>
          <cell r="L111" t="str">
            <v>33 * 52 * 32</v>
          </cell>
          <cell r="M111">
            <v>13.2</v>
          </cell>
          <cell r="N111">
            <v>0.054912</v>
          </cell>
          <cell r="O111">
            <v>12</v>
          </cell>
          <cell r="P111" t="str">
            <v>810158037892</v>
          </cell>
          <cell r="Q111">
            <v>4.46</v>
          </cell>
          <cell r="R111">
            <v>269</v>
          </cell>
          <cell r="S111">
            <v>22.4166666666667</v>
          </cell>
          <cell r="T111">
            <v>1.230944</v>
          </cell>
          <cell r="U111">
            <v>52</v>
          </cell>
        </row>
        <row r="112">
          <cell r="A112" t="str">
            <v>B01FJ0KAOQ</v>
          </cell>
          <cell r="B112" t="str">
            <v>HCO-HOK-Decan-CG</v>
          </cell>
          <cell r="C112" t="str">
            <v>醒酒器</v>
          </cell>
          <cell r="D112" t="str">
            <v>Wine Decanter 100% Lead-Free Crystal Glass</v>
          </cell>
          <cell r="E112" t="str">
            <v>=DISPIMG("ID_EDA5BECCE6444E9AAB36BCDE040C25A5",1)</v>
          </cell>
          <cell r="F112" t="str">
            <v>厨房用具</v>
          </cell>
          <cell r="G112" t="str">
            <v>0.680</v>
          </cell>
          <cell r="H112" t="str">
            <v>38.6</v>
          </cell>
          <cell r="I112" t="str">
            <v>14.0</v>
          </cell>
          <cell r="J112" t="str">
            <v>24.6</v>
          </cell>
          <cell r="K112">
            <v>0.01329384</v>
          </cell>
        </row>
        <row r="112">
          <cell r="O112">
            <v>8</v>
          </cell>
          <cell r="P112" t="str">
            <v>703546207383</v>
          </cell>
          <cell r="Q112">
            <v>10.73</v>
          </cell>
          <cell r="R112">
            <v>512</v>
          </cell>
          <cell r="S112">
            <v>64</v>
          </cell>
          <cell r="T112">
            <v>0</v>
          </cell>
          <cell r="U112">
            <v>51</v>
          </cell>
        </row>
        <row r="113">
          <cell r="A113" t="str">
            <v>B07CBFBXMM</v>
          </cell>
          <cell r="B113" t="str">
            <v>PLT-GAO-GrdSfa-2seat</v>
          </cell>
          <cell r="C113" t="str">
            <v>花园沙发</v>
          </cell>
          <cell r="D113" t="str">
            <v>Garden Sofa with Cushion Included. Superior Quality 2 Seater</v>
          </cell>
          <cell r="E113" t="str">
            <v>=DISPIMG("ID_49D4EBB3A1C942149367A316AB23DAA9",1)</v>
          </cell>
          <cell r="F113" t="str">
            <v>桌椅</v>
          </cell>
          <cell r="G113">
            <v>20.1</v>
          </cell>
          <cell r="H113">
            <v>60.5</v>
          </cell>
          <cell r="I113">
            <v>123.7</v>
          </cell>
          <cell r="J113">
            <v>19.5</v>
          </cell>
          <cell r="K113">
            <v>0.145935075</v>
          </cell>
          <cell r="L113" t="str">
            <v>60.5*123.7*19.5</v>
          </cell>
          <cell r="M113">
            <v>20.1</v>
          </cell>
          <cell r="N113">
            <v>0.145935075</v>
          </cell>
          <cell r="O113">
            <v>1</v>
          </cell>
          <cell r="P113" t="str">
            <v>5060236732231</v>
          </cell>
          <cell r="Q113">
            <v>62.76</v>
          </cell>
          <cell r="R113">
            <v>258</v>
          </cell>
          <cell r="S113">
            <v>258</v>
          </cell>
          <cell r="T113">
            <v>37.65124935</v>
          </cell>
          <cell r="U113">
            <v>51</v>
          </cell>
        </row>
        <row r="114">
          <cell r="A114" t="str">
            <v>B07QTXSDWD</v>
          </cell>
          <cell r="B114" t="str">
            <v>PYP-PET-PwGrmRke</v>
          </cell>
          <cell r="C114" t="str">
            <v>底漆耙</v>
          </cell>
          <cell r="D114" t="str">
            <v>Pawradise Pet Grooming Rake</v>
          </cell>
          <cell r="E114" t="str">
            <v>=DISPIMG("ID_8E33E50AA38E48888CC26A4C109D3EA3",1)</v>
          </cell>
          <cell r="F114" t="str">
            <v>工具</v>
          </cell>
          <cell r="G114">
            <v>0.15</v>
          </cell>
          <cell r="H114">
            <v>24</v>
          </cell>
          <cell r="I114">
            <v>14</v>
          </cell>
          <cell r="J114">
            <v>3</v>
          </cell>
          <cell r="K114">
            <v>0.001008</v>
          </cell>
          <cell r="L114" t="str">
            <v>56*42*40</v>
          </cell>
          <cell r="M114">
            <v>16.5</v>
          </cell>
          <cell r="N114">
            <v>0.09408</v>
          </cell>
          <cell r="O114">
            <v>100</v>
          </cell>
          <cell r="P114" t="str">
            <v>860007497803</v>
          </cell>
          <cell r="Q114">
            <v>3.54</v>
          </cell>
          <cell r="R114">
            <v>1270</v>
          </cell>
          <cell r="S114">
            <v>12.7</v>
          </cell>
          <cell r="T114">
            <v>1.194816</v>
          </cell>
          <cell r="U114">
            <v>50</v>
          </cell>
        </row>
        <row r="115">
          <cell r="A115" t="str">
            <v>B07659R3VT</v>
          </cell>
          <cell r="B115" t="str">
            <v>BES-BSS-400IndPlyBg-Cmbo</v>
          </cell>
          <cell r="C115" t="str">
            <v>聚乙烯包装袋套装</v>
          </cell>
          <cell r="D115" t="str">
            <v>400 Industrial Poly Bag Combo</v>
          </cell>
          <cell r="E115" t="str">
            <v>=DISPIMG("ID_201A3BF9DBAD49C996400CFFA275AEC8",1)</v>
          </cell>
          <cell r="F115" t="str">
            <v>工具</v>
          </cell>
          <cell r="G115">
            <v>2.1</v>
          </cell>
          <cell r="H115">
            <v>22</v>
          </cell>
          <cell r="I115">
            <v>29</v>
          </cell>
          <cell r="J115">
            <v>7</v>
          </cell>
          <cell r="K115">
            <v>0.004466</v>
          </cell>
          <cell r="L115" t="str">
            <v>41 * 30 * 21</v>
          </cell>
          <cell r="M115">
            <v>13</v>
          </cell>
          <cell r="N115">
            <v>0.02583</v>
          </cell>
          <cell r="O115">
            <v>6</v>
          </cell>
          <cell r="P115" t="str">
            <v>850036674221,649870643179</v>
          </cell>
          <cell r="Q115">
            <v>11.32</v>
          </cell>
          <cell r="R115">
            <v>852</v>
          </cell>
          <cell r="S115">
            <v>142</v>
          </cell>
          <cell r="T115">
            <v>3.66786</v>
          </cell>
          <cell r="U115">
            <v>48</v>
          </cell>
        </row>
        <row r="116">
          <cell r="A116" t="str">
            <v>B07CBJ454L</v>
          </cell>
          <cell r="B116" t="str">
            <v>PLT-GAO-GrdSfaTbl-Rctng</v>
          </cell>
          <cell r="C116" t="str">
            <v>硬木花园沙发桌</v>
          </cell>
          <cell r="D116" t="str">
            <v>Hardwood Garden Sofa Table Rectangle</v>
          </cell>
          <cell r="E116" t="str">
            <v>=DISPIMG("ID_D0F9B1B7816E4371B105FA8C3BF66361",1)</v>
          </cell>
          <cell r="F116" t="str">
            <v>桌椅</v>
          </cell>
          <cell r="G116">
            <v>7.2</v>
          </cell>
          <cell r="H116" t="str">
            <v>82.7</v>
          </cell>
          <cell r="I116">
            <v>83.5</v>
          </cell>
          <cell r="J116" t="str">
            <v>53.0</v>
          </cell>
          <cell r="K116">
            <v>0.36598885</v>
          </cell>
          <cell r="L116" t="str">
            <v>53*83.5*8.1</v>
          </cell>
          <cell r="M116">
            <v>7.2</v>
          </cell>
          <cell r="N116">
            <v>0.03584655</v>
          </cell>
          <cell r="O116">
            <v>1</v>
          </cell>
          <cell r="P116" t="str">
            <v>5060236732255</v>
          </cell>
          <cell r="Q116">
            <v>17.91</v>
          </cell>
          <cell r="R116">
            <v>60</v>
          </cell>
          <cell r="S116">
            <v>60</v>
          </cell>
          <cell r="T116">
            <v>2.150793</v>
          </cell>
          <cell r="U116">
            <v>48</v>
          </cell>
        </row>
        <row r="117">
          <cell r="A117" t="str">
            <v>B07F3SPS5Y</v>
          </cell>
          <cell r="B117" t="str">
            <v>HMC-MUT-RndMicStnd</v>
          </cell>
          <cell r="C117" t="str">
            <v>三脚架麦克风支架</v>
          </cell>
          <cell r="D117" t="str">
            <v>Professional Round Base Microphone Stand</v>
          </cell>
          <cell r="E117" t="str">
            <v>=DISPIMG("ID_466AC5C80C924990995F6588EAA0394B",1)</v>
          </cell>
          <cell r="F117" t="str">
            <v>工具</v>
          </cell>
          <cell r="G117">
            <v>4.6</v>
          </cell>
          <cell r="H117">
            <v>30</v>
          </cell>
          <cell r="I117">
            <v>90</v>
          </cell>
          <cell r="J117">
            <v>7</v>
          </cell>
          <cell r="K117">
            <v>0.0189</v>
          </cell>
          <cell r="L117" t="str">
            <v>40*94*14</v>
          </cell>
          <cell r="M117">
            <v>19.1</v>
          </cell>
          <cell r="N117">
            <v>0.05264</v>
          </cell>
          <cell r="O117">
            <v>4</v>
          </cell>
          <cell r="P117" t="str">
            <v>649964177481</v>
          </cell>
          <cell r="Q117">
            <v>20.94</v>
          </cell>
          <cell r="R117">
            <v>176</v>
          </cell>
          <cell r="S117">
            <v>44</v>
          </cell>
          <cell r="T117">
            <v>2.31616</v>
          </cell>
          <cell r="U117">
            <v>46</v>
          </cell>
        </row>
        <row r="118">
          <cell r="A118" t="str">
            <v>B08BR1Z4D1</v>
          </cell>
          <cell r="B118" t="str">
            <v>SKY-KND-FMat-32Bg</v>
          </cell>
          <cell r="C118" t="str">
            <v>抗疲劳垫</v>
          </cell>
          <cell r="D118" t="str">
            <v>Floor Mat 20x32 Beige</v>
          </cell>
          <cell r="E118" t="str">
            <v>=DISPIMG("ID_A2FDB2D9F8C64A47ABF454790549DBA1",1)</v>
          </cell>
          <cell r="F118" t="str">
            <v>脚垫</v>
          </cell>
          <cell r="G118">
            <v>1.3</v>
          </cell>
          <cell r="H118">
            <v>50</v>
          </cell>
          <cell r="I118">
            <v>81</v>
          </cell>
          <cell r="J118">
            <v>2</v>
          </cell>
          <cell r="K118">
            <v>0.0081</v>
          </cell>
          <cell r="L118" t="str">
            <v>85 * 54 * 22</v>
          </cell>
          <cell r="M118">
            <v>14.2</v>
          </cell>
          <cell r="N118">
            <v>0.10098</v>
          </cell>
          <cell r="O118">
            <v>10</v>
          </cell>
          <cell r="P118" t="str">
            <v>850011409152</v>
          </cell>
          <cell r="Q118">
            <v>12.54</v>
          </cell>
          <cell r="R118">
            <v>754</v>
          </cell>
          <cell r="S118">
            <v>75.4</v>
          </cell>
          <cell r="T118">
            <v>7.613892</v>
          </cell>
          <cell r="U118">
            <v>45</v>
          </cell>
        </row>
        <row r="119">
          <cell r="A119" t="str">
            <v>B08LP54XTF</v>
          </cell>
          <cell r="B119" t="str">
            <v>YHG-KND-GlsFdCntnr-Gry20pk</v>
          </cell>
          <cell r="C119" t="str">
            <v>塑料食品容器</v>
          </cell>
          <cell r="D119" t="str">
            <v>Superior Glass Food Storage Container Gray Pack</v>
          </cell>
          <cell r="E119" t="str">
            <v>=DISPIMG("ID_A64054ED824D4646BB5E0B8BEEABA1C4",1)</v>
          </cell>
          <cell r="F119" t="str">
            <v>厨房用具</v>
          </cell>
          <cell r="G119">
            <v>3.3</v>
          </cell>
          <cell r="H119">
            <v>38</v>
          </cell>
          <cell r="I119">
            <v>29</v>
          </cell>
          <cell r="J119">
            <v>19</v>
          </cell>
          <cell r="K119">
            <v>0.020938</v>
          </cell>
          <cell r="L119" t="str">
            <v>59 * 42 * 40</v>
          </cell>
          <cell r="M119">
            <v>14.6</v>
          </cell>
          <cell r="N119">
            <v>0.09912</v>
          </cell>
          <cell r="O119">
            <v>4</v>
          </cell>
          <cell r="P119" t="str">
            <v>810158037878</v>
          </cell>
          <cell r="Q119">
            <v>14.42</v>
          </cell>
          <cell r="R119">
            <v>435</v>
          </cell>
          <cell r="S119">
            <v>108.75</v>
          </cell>
          <cell r="T119">
            <v>10.7793</v>
          </cell>
          <cell r="U119">
            <v>45</v>
          </cell>
        </row>
        <row r="120">
          <cell r="A120" t="str">
            <v>B0B2JDSV74</v>
          </cell>
          <cell r="B120" t="str">
            <v>YHG-HOK-FD-SC205</v>
          </cell>
          <cell r="C120" t="str">
            <v>硅胶烘焙垫</v>
          </cell>
          <cell r="D120" t="str">
            <v>Fine Dine-Silicone baking mat set of 3-red</v>
          </cell>
          <cell r="E120" t="str">
            <v>=DISPIMG("ID_F3174E8CF828402689642D5577FE2775",1)</v>
          </cell>
          <cell r="F120" t="str">
            <v>厨房用具</v>
          </cell>
          <cell r="G120" t="str">
            <v>0.400</v>
          </cell>
          <cell r="H120">
            <v>32</v>
          </cell>
          <cell r="I120">
            <v>5</v>
          </cell>
          <cell r="J120">
            <v>5</v>
          </cell>
          <cell r="K120">
            <v>0.0008</v>
          </cell>
          <cell r="L120" t="str">
            <v>43 * 29 * 36</v>
          </cell>
          <cell r="M120">
            <v>12.8</v>
          </cell>
          <cell r="N120">
            <v>0.044892</v>
          </cell>
          <cell r="O120">
            <v>40</v>
          </cell>
          <cell r="P120" t="str">
            <v>810078882817</v>
          </cell>
          <cell r="Q120">
            <v>5.32</v>
          </cell>
          <cell r="R120">
            <v>270</v>
          </cell>
          <cell r="S120">
            <v>6.75</v>
          </cell>
          <cell r="T120">
            <v>0.303021</v>
          </cell>
          <cell r="U120">
            <v>45</v>
          </cell>
        </row>
        <row r="121">
          <cell r="A121" t="str">
            <v>B0B356B5HD</v>
          </cell>
          <cell r="B121" t="str">
            <v>YHG-HOK-FD-G101-3-GRN</v>
          </cell>
          <cell r="C121" t="str">
            <v>保鲜饭盒</v>
          </cell>
          <cell r="D121" t="str">
            <v>Fine Dine-Glass Meal Prep Food Storage Containers rectangular 3 Pack, FD-G101/3-green</v>
          </cell>
          <cell r="E121" t="str">
            <v>=DISPIMG("ID_1CF56F64D1BA4AEC877AF6448EE5A925",1)</v>
          </cell>
          <cell r="F121" t="str">
            <v>厨房用具</v>
          </cell>
          <cell r="G121" t="str">
            <v>2.060</v>
          </cell>
          <cell r="H121" t="str">
            <v>23.1</v>
          </cell>
          <cell r="I121" t="str">
            <v>15.5</v>
          </cell>
          <cell r="J121" t="str">
            <v>21.0</v>
          </cell>
          <cell r="K121">
            <v>0.00751905</v>
          </cell>
        </row>
        <row r="121">
          <cell r="O121">
            <v>6</v>
          </cell>
          <cell r="P121" t="str">
            <v>810158038684</v>
          </cell>
          <cell r="Q121">
            <v>8.96</v>
          </cell>
          <cell r="R121">
            <v>148</v>
          </cell>
          <cell r="S121">
            <v>24.6666666666667</v>
          </cell>
          <cell r="T121">
            <v>0</v>
          </cell>
          <cell r="U121">
            <v>45</v>
          </cell>
        </row>
        <row r="122">
          <cell r="A122" t="str">
            <v>B01091ZF4K</v>
          </cell>
          <cell r="B122" t="str">
            <v>BTL-HHB-PFB-L</v>
          </cell>
          <cell r="C122" t="str">
            <v>足底筋膜炎袜</v>
          </cell>
          <cell r="D122" t="str">
            <v>Bitly Plantar Fasciitis Compression Socks Black Large</v>
          </cell>
          <cell r="E122" t="str">
            <v>=DISPIMG("ID_16F5863294B142DDBCD00F54C3974E06",1)</v>
          </cell>
          <cell r="F122" t="str">
            <v>衣物</v>
          </cell>
          <cell r="G122" t="str">
            <v>0.1</v>
          </cell>
          <cell r="H122" t="str">
            <v>22.5</v>
          </cell>
          <cell r="I122">
            <v>13</v>
          </cell>
          <cell r="J122">
            <v>15</v>
          </cell>
          <cell r="K122">
            <v>0.0043875</v>
          </cell>
          <cell r="L122" t="str">
            <v>34 * 28 * 47</v>
          </cell>
          <cell r="M122">
            <v>9.1</v>
          </cell>
          <cell r="N122">
            <v>0.044744</v>
          </cell>
          <cell r="O122">
            <v>100</v>
          </cell>
          <cell r="P122" t="str">
            <v>684191899119</v>
          </cell>
          <cell r="Q122">
            <v>2.71</v>
          </cell>
          <cell r="R122">
            <v>3193</v>
          </cell>
          <cell r="S122">
            <v>31.93</v>
          </cell>
          <cell r="T122">
            <v>1.42867592</v>
          </cell>
          <cell r="U122">
            <v>44</v>
          </cell>
        </row>
        <row r="123">
          <cell r="A123" t="str">
            <v>B06XD8JBCW</v>
          </cell>
          <cell r="B123" t="str">
            <v>PRM-KND-SpltScr4Cb-13in</v>
          </cell>
          <cell r="C123" t="str">
            <v>飞溅屏幕</v>
          </cell>
          <cell r="D123" t="str">
            <v>Splatter Screen 13 inch 4 Cutting Boards</v>
          </cell>
          <cell r="E123" t="str">
            <v>=DISPIMG("ID_9F31A6A4D8B04E5ABCCA801CACA30A9D",1)</v>
          </cell>
          <cell r="F123" t="str">
            <v>户外</v>
          </cell>
          <cell r="G123">
            <v>0.65</v>
          </cell>
          <cell r="H123">
            <v>43</v>
          </cell>
          <cell r="I123">
            <v>33</v>
          </cell>
          <cell r="J123">
            <v>2</v>
          </cell>
          <cell r="K123">
            <v>0.002838</v>
          </cell>
          <cell r="L123" t="str">
            <v>48*45*39</v>
          </cell>
          <cell r="M123">
            <v>17</v>
          </cell>
          <cell r="N123">
            <v>0.08424</v>
          </cell>
          <cell r="O123">
            <v>24</v>
          </cell>
          <cell r="P123" t="str">
            <v>647732057904</v>
          </cell>
          <cell r="Q123">
            <v>5.93</v>
          </cell>
          <cell r="R123">
            <v>842</v>
          </cell>
          <cell r="S123">
            <v>35.0833333333333</v>
          </cell>
          <cell r="T123">
            <v>2.95542</v>
          </cell>
          <cell r="U123">
            <v>44</v>
          </cell>
        </row>
        <row r="124">
          <cell r="A124" t="str">
            <v>B0B355L49D</v>
          </cell>
          <cell r="B124" t="str">
            <v>YHG-HOK-FD-G101-3-TBL</v>
          </cell>
          <cell r="C124" t="str">
            <v>保鲜饭盒</v>
          </cell>
          <cell r="D124" t="str">
            <v>Fine Dine-Glass Meal Prep Food Storage Containers rectangular 3 Pack, FD-G101/3-teal blue</v>
          </cell>
          <cell r="E124" t="str">
            <v>=DISPIMG("ID_80DADDEC7F7544D18420AC44C92B5413",1)</v>
          </cell>
          <cell r="F124" t="str">
            <v>厨房用具</v>
          </cell>
          <cell r="G124" t="str">
            <v>2.060</v>
          </cell>
          <cell r="H124" t="str">
            <v>23.1</v>
          </cell>
          <cell r="I124" t="str">
            <v>15.5</v>
          </cell>
          <cell r="J124" t="str">
            <v>21.0</v>
          </cell>
          <cell r="K124">
            <v>0.00751905</v>
          </cell>
        </row>
        <row r="124">
          <cell r="O124">
            <v>6</v>
          </cell>
          <cell r="P124" t="str">
            <v>810158038714</v>
          </cell>
          <cell r="Q124">
            <v>9.11</v>
          </cell>
          <cell r="R124">
            <v>223</v>
          </cell>
          <cell r="S124">
            <v>37.1666666666667</v>
          </cell>
          <cell r="T124">
            <v>0</v>
          </cell>
          <cell r="U124">
            <v>43</v>
          </cell>
        </row>
        <row r="125">
          <cell r="A125" t="str">
            <v>B09BNTN2L5</v>
          </cell>
          <cell r="B125" t="str">
            <v>FD-S4715-FBA</v>
          </cell>
          <cell r="C125" t="str">
            <v>钢水瓶</v>
          </cell>
          <cell r="D125" t="str">
            <v>32oz BOTTLE
DOUBLE WALL 304 S/S
Coppering 
2 color powder coated
mix pink /blue
3 LIDS(PP+PE+Silicone)</v>
          </cell>
          <cell r="E125" t="str">
            <v>=DISPIMG("ID_BEE554FE6F2A4D75877075F97814776B",1)</v>
          </cell>
          <cell r="F125" t="str">
            <v>水瓶</v>
          </cell>
          <cell r="G125" t="str">
            <v>0.681</v>
          </cell>
          <cell r="H125" t="str">
            <v>34.9</v>
          </cell>
          <cell r="I125" t="str">
            <v>9.8</v>
          </cell>
          <cell r="J125">
            <v>10.3</v>
          </cell>
          <cell r="K125">
            <v>0.003522806</v>
          </cell>
          <cell r="L125" t="str">
            <v>61*42*37</v>
          </cell>
          <cell r="M125">
            <v>16.3</v>
          </cell>
          <cell r="N125">
            <v>0.094794</v>
          </cell>
          <cell r="O125">
            <v>24</v>
          </cell>
          <cell r="P125" t="str">
            <v>810158039018</v>
          </cell>
          <cell r="Q125">
            <v>8.65</v>
          </cell>
          <cell r="R125">
            <v>192</v>
          </cell>
          <cell r="S125">
            <v>8</v>
          </cell>
          <cell r="T125">
            <v>0.758352</v>
          </cell>
          <cell r="U125">
            <v>43</v>
          </cell>
        </row>
        <row r="126">
          <cell r="A126" t="str">
            <v>B07G4ZG7L4</v>
          </cell>
          <cell r="B126" t="str">
            <v>TMP-HHB-BtlBrshClnr</v>
          </cell>
          <cell r="C126" t="str">
            <v>瓶刷套装</v>
          </cell>
          <cell r="D126" t="str">
            <v>Turbo Mops</v>
          </cell>
          <cell r="E126" t="str">
            <v>=DISPIMG("ID_801070A0275E471B91DA07195847B67E",1)</v>
          </cell>
          <cell r="F126" t="str">
            <v>洗浴</v>
          </cell>
          <cell r="G126">
            <v>0.15</v>
          </cell>
          <cell r="H126">
            <v>45</v>
          </cell>
          <cell r="I126">
            <v>17</v>
          </cell>
          <cell r="J126">
            <v>4</v>
          </cell>
          <cell r="K126">
            <v>0.00306</v>
          </cell>
          <cell r="L126" t="str">
            <v>59*35*44</v>
          </cell>
          <cell r="M126">
            <v>9.2</v>
          </cell>
          <cell r="N126">
            <v>0.09086</v>
          </cell>
          <cell r="O126">
            <v>48</v>
          </cell>
          <cell r="P126" t="str">
            <v>851587008367</v>
          </cell>
          <cell r="Q126">
            <v>2.81</v>
          </cell>
          <cell r="R126">
            <v>1371</v>
          </cell>
          <cell r="S126">
            <v>28.5625</v>
          </cell>
          <cell r="T126">
            <v>2.59518875</v>
          </cell>
          <cell r="U126">
            <v>42</v>
          </cell>
        </row>
        <row r="127">
          <cell r="A127" t="str">
            <v>B07881WCQY</v>
          </cell>
          <cell r="B127" t="str">
            <v>NLK-KND-DcntGlsSet-Tmn</v>
          </cell>
          <cell r="C127" t="str">
            <v>威士忌杯</v>
          </cell>
          <cell r="D127" t="str">
            <v>Whisky Decanter and 4 Whiskey Glasses Tasman</v>
          </cell>
          <cell r="E127" t="str">
            <v>=DISPIMG("ID_2DC509FF9E874EFFA9DA62EA7A8BB8C3",1)</v>
          </cell>
          <cell r="F127" t="str">
            <v>厨房用具</v>
          </cell>
          <cell r="G127">
            <v>4.5</v>
          </cell>
          <cell r="H127">
            <v>37</v>
          </cell>
          <cell r="I127">
            <v>36</v>
          </cell>
          <cell r="J127">
            <v>17</v>
          </cell>
          <cell r="K127">
            <v>0.022644</v>
          </cell>
          <cell r="L127" t="str">
            <v>51*40*38</v>
          </cell>
          <cell r="M127">
            <v>14.5</v>
          </cell>
          <cell r="N127">
            <v>0.07752</v>
          </cell>
          <cell r="O127">
            <v>3</v>
          </cell>
          <cell r="P127" t="str">
            <v>X000TJUNON，45924092120</v>
          </cell>
          <cell r="Q127">
            <v>19.17</v>
          </cell>
          <cell r="R127">
            <v>567</v>
          </cell>
          <cell r="S127">
            <v>189</v>
          </cell>
          <cell r="T127">
            <v>14.65128</v>
          </cell>
          <cell r="U127">
            <v>42</v>
          </cell>
        </row>
        <row r="128">
          <cell r="A128" t="str">
            <v>B01MSQWPG2</v>
          </cell>
          <cell r="B128" t="str">
            <v>PT/LOFT</v>
          </cell>
          <cell r="C128" t="str">
            <v>植物支架</v>
          </cell>
          <cell r="D128" t="str">
            <v>Plant Theatre Sparrow Loft - 3 Bird Nesting Terrace - Perfect Garden Gift</v>
          </cell>
          <cell r="E128" t="str">
            <v>=DISPIMG("ID_7BD880F1345E43358A4BEA66B9EAB88F",1)</v>
          </cell>
          <cell r="F128" t="str">
            <v>园艺</v>
          </cell>
          <cell r="G128">
            <v>2</v>
          </cell>
          <cell r="H128">
            <v>43</v>
          </cell>
          <cell r="I128">
            <v>18.5</v>
          </cell>
          <cell r="J128" t="str">
            <v>18.5</v>
          </cell>
          <cell r="K128">
            <v>0.01471675</v>
          </cell>
          <cell r="L128" t="str">
            <v>56.5*46*48</v>
          </cell>
          <cell r="M128">
            <v>13.2</v>
          </cell>
          <cell r="N128">
            <v>0.12475</v>
          </cell>
          <cell r="O128">
            <v>6</v>
          </cell>
          <cell r="P128" t="str">
            <v>5060236732033</v>
          </cell>
          <cell r="Q128">
            <v>8.96</v>
          </cell>
          <cell r="R128">
            <v>76</v>
          </cell>
          <cell r="S128">
            <v>12.6666666666667</v>
          </cell>
          <cell r="T128">
            <v>1.58016666666667</v>
          </cell>
          <cell r="U128">
            <v>42</v>
          </cell>
        </row>
        <row r="129">
          <cell r="A129" t="str">
            <v>B075LKVP7R</v>
          </cell>
          <cell r="B129" t="str">
            <v>PRM-HHB-FbrTwl-3setGy</v>
          </cell>
          <cell r="C129" t="str">
            <v>超细纤维毛巾</v>
          </cell>
          <cell r="D129" t="str">
            <v>Microfiber Towels Set Grey</v>
          </cell>
          <cell r="E129" t="str">
            <v>=DISPIMG("ID_5AC6BA7A4B354A0FB23080858DD67FD3",1)</v>
          </cell>
        </row>
        <row r="129">
          <cell r="G129">
            <v>0.32</v>
          </cell>
          <cell r="H129">
            <v>24</v>
          </cell>
          <cell r="I129">
            <v>12.5</v>
          </cell>
          <cell r="J129">
            <v>7.5</v>
          </cell>
          <cell r="K129">
            <v>0.00225</v>
          </cell>
          <cell r="L129" t="str">
            <v>51*41*40</v>
          </cell>
          <cell r="M129">
            <v>17.9</v>
          </cell>
          <cell r="N129">
            <v>0.08364</v>
          </cell>
          <cell r="O129">
            <v>50</v>
          </cell>
          <cell r="P129" t="str">
            <v>850030330086</v>
          </cell>
          <cell r="Q129">
            <v>4.43</v>
          </cell>
          <cell r="R129">
            <v>41</v>
          </cell>
          <cell r="S129">
            <v>0.82</v>
          </cell>
          <cell r="T129">
            <v>0.0685848</v>
          </cell>
          <cell r="U129">
            <v>42</v>
          </cell>
        </row>
        <row r="130">
          <cell r="A130" t="str">
            <v>B08DP6BVLJ</v>
          </cell>
          <cell r="B130" t="str">
            <v>YHG-SPO-StlWtrBtl-17Bmbl2pk</v>
          </cell>
          <cell r="C130" t="str">
            <v>钢水瓶</v>
          </cell>
          <cell r="D130" t="str">
            <v>Stainless Steel Insulated Water Bottle 17oz Blue Marble 2Pack</v>
          </cell>
          <cell r="E130" t="str">
            <v>=DISPIMG("ID_B53193A19E4D474B8996AEEC894CBFC6",1)</v>
          </cell>
          <cell r="F130" t="str">
            <v>水瓶</v>
          </cell>
          <cell r="G130" t="str">
            <v>0.75</v>
          </cell>
          <cell r="H130" t="str">
            <v>27.7</v>
          </cell>
          <cell r="I130" t="str">
            <v>7.6</v>
          </cell>
          <cell r="J130" t="str">
            <v>15.3</v>
          </cell>
          <cell r="K130">
            <v>0.003220956</v>
          </cell>
          <cell r="L130" t="str">
            <v>47 * 33 * 30</v>
          </cell>
          <cell r="M130">
            <v>8.9</v>
          </cell>
          <cell r="N130">
            <v>0.04653</v>
          </cell>
          <cell r="O130">
            <v>12</v>
          </cell>
          <cell r="P130" t="str">
            <v>810158037243</v>
          </cell>
          <cell r="Q130">
            <v>9.44</v>
          </cell>
          <cell r="R130">
            <v>235</v>
          </cell>
          <cell r="S130">
            <v>19.5833333333333</v>
          </cell>
          <cell r="T130">
            <v>0.911212499999999</v>
          </cell>
          <cell r="U130">
            <v>41</v>
          </cell>
        </row>
        <row r="131">
          <cell r="A131" t="str">
            <v>B01HFKUJEY</v>
          </cell>
          <cell r="B131" t="str">
            <v>SKY-KND-FMAT-32BK</v>
          </cell>
          <cell r="C131" t="str">
            <v>抗疲劳垫</v>
          </cell>
          <cell r="D131" t="str">
            <v>Anti Fatigue Comfort Floor Mat By Sky Mats -Commercial Grade Quality Perfect for Standup Desks, Kitchens, and Garages</v>
          </cell>
          <cell r="E131" t="str">
            <v>=DISPIMG("ID_3C95F6C408E045838365ACDA20E6F887",1)</v>
          </cell>
          <cell r="F131" t="str">
            <v>脚垫</v>
          </cell>
          <cell r="G131">
            <v>1.2</v>
          </cell>
          <cell r="H131">
            <v>81</v>
          </cell>
          <cell r="I131">
            <v>51</v>
          </cell>
          <cell r="J131">
            <v>2</v>
          </cell>
          <cell r="K131">
            <v>0.008262</v>
          </cell>
          <cell r="L131" t="str">
            <v>84*53*21.5</v>
          </cell>
          <cell r="M131">
            <v>14.3</v>
          </cell>
          <cell r="N131">
            <v>0.09572</v>
          </cell>
          <cell r="O131">
            <v>10</v>
          </cell>
          <cell r="P131" t="str">
            <v>712038025732</v>
          </cell>
          <cell r="Q131">
            <v>12.24</v>
          </cell>
          <cell r="R131">
            <v>440</v>
          </cell>
          <cell r="S131">
            <v>44</v>
          </cell>
          <cell r="T131">
            <v>4.21168</v>
          </cell>
          <cell r="U131">
            <v>40</v>
          </cell>
        </row>
        <row r="132">
          <cell r="A132" t="str">
            <v>B01KKNFTPC</v>
          </cell>
          <cell r="B132" t="str">
            <v>YHG-HOK-RctChrsTreBg-9Red</v>
          </cell>
          <cell r="C132" t="str">
            <v>圣诞树收纳袋</v>
          </cell>
          <cell r="D132" t="str">
            <v>Large Christmas Tree Storage Bag Fits Up to ft Tall Holiday Artificial Disassembled Trees</v>
          </cell>
          <cell r="E132" t="str">
            <v>=DISPIMG("ID_E9BCB35B4EF24B718E07A44D659EF604",1)</v>
          </cell>
          <cell r="F132" t="str">
            <v>圣诞</v>
          </cell>
          <cell r="G132">
            <v>0.7</v>
          </cell>
          <cell r="H132">
            <v>27.6</v>
          </cell>
          <cell r="I132">
            <v>27</v>
          </cell>
          <cell r="J132">
            <v>8</v>
          </cell>
          <cell r="K132">
            <v>0.0059616</v>
          </cell>
          <cell r="L132" t="str">
            <v>31 * 49 * 25</v>
          </cell>
          <cell r="M132">
            <v>17.4</v>
          </cell>
          <cell r="N132">
            <v>0.03798</v>
          </cell>
          <cell r="O132">
            <v>24</v>
          </cell>
          <cell r="P132" t="str">
            <v>810158030466</v>
          </cell>
          <cell r="Q132">
            <v>3.3</v>
          </cell>
          <cell r="R132">
            <v>30</v>
          </cell>
          <cell r="S132">
            <v>1.25</v>
          </cell>
          <cell r="T132">
            <v>0.047475</v>
          </cell>
          <cell r="U132">
            <v>40</v>
          </cell>
        </row>
        <row r="133">
          <cell r="A133" t="str">
            <v>B08B1TVCRF</v>
          </cell>
          <cell r="B133" t="str">
            <v>MXL-KND-ShkCot-8pcSlv</v>
          </cell>
          <cell r="C133" t="str">
            <v>鸡尾酒调酒器套装</v>
          </cell>
          <cell r="D133" t="str">
            <v>Cocktail Shaker 8pc Silver</v>
          </cell>
          <cell r="E133" t="str">
            <v>=DISPIMG("ID_BE1A3A1672A243C6BA1CC2538F416FFA",1)</v>
          </cell>
          <cell r="F133" t="str">
            <v>厨房用具</v>
          </cell>
          <cell r="G133">
            <v>0.6</v>
          </cell>
          <cell r="H133">
            <v>26</v>
          </cell>
          <cell r="I133">
            <v>10.4</v>
          </cell>
          <cell r="J133">
            <v>9.8</v>
          </cell>
          <cell r="K133">
            <v>0.00264992</v>
          </cell>
          <cell r="L133" t="str">
            <v>51*42*28</v>
          </cell>
          <cell r="M133">
            <v>13.02</v>
          </cell>
          <cell r="N133">
            <v>0.05998</v>
          </cell>
          <cell r="O133">
            <v>20</v>
          </cell>
          <cell r="P133" t="str">
            <v>810090950990,810090950303</v>
          </cell>
          <cell r="Q133">
            <v>8.42</v>
          </cell>
          <cell r="R133">
            <v>710</v>
          </cell>
          <cell r="S133">
            <v>35.5</v>
          </cell>
          <cell r="T133">
            <v>2.12929</v>
          </cell>
          <cell r="U133">
            <v>38</v>
          </cell>
        </row>
        <row r="134">
          <cell r="A134" t="str">
            <v>B00Z9WU2ES</v>
          </cell>
          <cell r="B134" t="str">
            <v>HMC-MUT-TriMicStnd-Sgl</v>
          </cell>
          <cell r="C134" t="str">
            <v>三脚架麦克风支架</v>
          </cell>
          <cell r="D134" t="str">
            <v>Professional Tripod Microphone Stand Single</v>
          </cell>
          <cell r="E134" t="str">
            <v>=DISPIMG("ID_B0102A61AB58466AA7774282AF488C4A",1)</v>
          </cell>
          <cell r="F134" t="str">
            <v>工具</v>
          </cell>
          <cell r="G134" t="str">
            <v>2.500</v>
          </cell>
          <cell r="H134">
            <v>87</v>
          </cell>
          <cell r="I134">
            <v>10</v>
          </cell>
          <cell r="J134">
            <v>10</v>
          </cell>
          <cell r="K134">
            <v>0.0087</v>
          </cell>
          <cell r="L134" t="str">
            <v>90 * 33 * 22</v>
          </cell>
          <cell r="M134">
            <v>15.5</v>
          </cell>
          <cell r="N134">
            <v>0.06534</v>
          </cell>
          <cell r="O134">
            <v>6</v>
          </cell>
          <cell r="P134" t="str">
            <v>643345921526</v>
          </cell>
          <cell r="Q134">
            <v>12.66</v>
          </cell>
          <cell r="R134">
            <v>362</v>
          </cell>
          <cell r="S134">
            <v>60.3333333333333</v>
          </cell>
          <cell r="T134">
            <v>3.94218</v>
          </cell>
          <cell r="U134">
            <v>38</v>
          </cell>
        </row>
        <row r="135">
          <cell r="A135" t="str">
            <v>B09BDLVK7L</v>
          </cell>
          <cell r="B135" t="str">
            <v>FD-S4919-FBA</v>
          </cell>
          <cell r="C135" t="str">
            <v>钢水瓶</v>
          </cell>
          <cell r="D135" t="str">
            <v>64oz BOTTLE
DOUBLE WALL 304 S/S 
Coppering
2 color Powder Coated
mix purple(new color)
3 LIDS(PP+PE+Silicone)</v>
          </cell>
          <cell r="E135" t="str">
            <v>=DISPIMG("ID_1DD47880D7E1485CA9FCD035F5753EDA",1)</v>
          </cell>
          <cell r="F135" t="str">
            <v>水瓶</v>
          </cell>
          <cell r="G135">
            <v>1.1</v>
          </cell>
          <cell r="H135">
            <v>33</v>
          </cell>
          <cell r="I135">
            <v>13</v>
          </cell>
          <cell r="J135">
            <v>13</v>
          </cell>
          <cell r="K135">
            <v>0.005577</v>
          </cell>
          <cell r="L135" t="str">
            <v>55*42*35</v>
          </cell>
          <cell r="M135">
            <v>14</v>
          </cell>
          <cell r="N135">
            <v>0.08085</v>
          </cell>
          <cell r="O135">
            <v>12</v>
          </cell>
          <cell r="P135" t="str">
            <v>810158039469</v>
          </cell>
          <cell r="Q135">
            <v>10.15</v>
          </cell>
          <cell r="R135">
            <v>205</v>
          </cell>
          <cell r="S135">
            <v>17.0833333333333</v>
          </cell>
          <cell r="T135">
            <v>1.3811875</v>
          </cell>
          <cell r="U135">
            <v>38</v>
          </cell>
        </row>
        <row r="136">
          <cell r="A136" t="str">
            <v>B07YBDJ67L</v>
          </cell>
          <cell r="B136" t="str">
            <v>YHG-HOK-WdKdHngr360-Ntl10pk</v>
          </cell>
          <cell r="C136" t="str">
            <v>木衣架</v>
          </cell>
          <cell r="D136" t="str">
            <v>Wooden Standard Kids Hangers Natural set of 10</v>
          </cell>
          <cell r="E136" t="str">
            <v>=DISPIMG("ID_875806374D744796ACEBF55CF4730EAA",1)</v>
          </cell>
          <cell r="F136" t="str">
            <v>衣架</v>
          </cell>
          <cell r="G136">
            <v>1</v>
          </cell>
          <cell r="H136">
            <v>32</v>
          </cell>
          <cell r="I136">
            <v>27</v>
          </cell>
          <cell r="J136">
            <v>7</v>
          </cell>
          <cell r="K136">
            <v>0.006048</v>
          </cell>
          <cell r="L136" t="str">
            <v>55 * 34 * 28</v>
          </cell>
        </row>
        <row r="136">
          <cell r="N136">
            <v>0.05236</v>
          </cell>
          <cell r="O136">
            <v>8</v>
          </cell>
          <cell r="P136" t="str">
            <v>810158033689</v>
          </cell>
          <cell r="Q136">
            <v>5.93</v>
          </cell>
          <cell r="R136">
            <v>2</v>
          </cell>
          <cell r="S136">
            <v>0.25</v>
          </cell>
          <cell r="T136">
            <v>0.01309</v>
          </cell>
          <cell r="U136">
            <v>38</v>
          </cell>
        </row>
        <row r="137">
          <cell r="A137" t="str">
            <v>B00FUZLT78</v>
          </cell>
          <cell r="B137" t="str">
            <v>PLT-GAO-TeCpPlntr-GftBx</v>
          </cell>
          <cell r="C137" t="str">
            <v>盆景</v>
          </cell>
          <cell r="D137" t="str">
            <v>2 Willow Teacup Planters – Gift Boxed – Ideal Gift</v>
          </cell>
          <cell r="E137" t="str">
            <v>=DISPIMG("ID_F436A9C641FB46CEA9FAC0E621FEF961",1)</v>
          </cell>
          <cell r="F137" t="str">
            <v>园艺</v>
          </cell>
          <cell r="G137">
            <v>1</v>
          </cell>
          <cell r="H137">
            <v>34</v>
          </cell>
          <cell r="I137">
            <v>34</v>
          </cell>
          <cell r="J137">
            <v>19</v>
          </cell>
          <cell r="K137">
            <v>0.021964</v>
          </cell>
          <cell r="L137" t="str">
            <v>57 * 71 * 70</v>
          </cell>
          <cell r="M137">
            <v>13.04</v>
          </cell>
          <cell r="N137">
            <v>0.28329</v>
          </cell>
          <cell r="O137">
            <v>12</v>
          </cell>
          <cell r="P137" t="str">
            <v>5060236731203</v>
          </cell>
          <cell r="Q137">
            <v>26.39</v>
          </cell>
          <cell r="R137">
            <v>1006</v>
          </cell>
          <cell r="S137">
            <v>83.8333333333333</v>
          </cell>
          <cell r="T137">
            <v>23.749145</v>
          </cell>
          <cell r="U137">
            <v>37</v>
          </cell>
        </row>
        <row r="138">
          <cell r="A138" t="str">
            <v>B01C5D4Z5A</v>
          </cell>
          <cell r="B138" t="str">
            <v>DAT-APA-KMAT2-GRY</v>
          </cell>
          <cell r="C138" t="str">
            <v>汽车踢脚垫</v>
          </cell>
          <cell r="D138" t="str">
            <v>Heavy Duty Kick Mats (2 Pack) - Best Car Seat Back Protector</v>
          </cell>
          <cell r="E138" t="str">
            <v>=DISPIMG("ID_CD06923F18F64F4280E3F4E5548C336C",1)</v>
          </cell>
          <cell r="F138" t="str">
            <v>汽车</v>
          </cell>
          <cell r="G138">
            <v>0.8</v>
          </cell>
          <cell r="H138">
            <v>50</v>
          </cell>
          <cell r="I138">
            <v>10</v>
          </cell>
          <cell r="J138">
            <v>44</v>
          </cell>
          <cell r="K138">
            <v>0.022</v>
          </cell>
          <cell r="L138" t="str">
            <v>40 * 49 * 47</v>
          </cell>
          <cell r="M138">
            <v>17.1</v>
          </cell>
          <cell r="N138">
            <v>0.09212</v>
          </cell>
          <cell r="O138">
            <v>20</v>
          </cell>
          <cell r="P138" t="str">
            <v>635635174774,635635174781</v>
          </cell>
          <cell r="Q138">
            <v>8.23</v>
          </cell>
          <cell r="R138">
            <v>380</v>
          </cell>
          <cell r="S138">
            <v>19</v>
          </cell>
          <cell r="T138">
            <v>1.75028</v>
          </cell>
          <cell r="U138">
            <v>37</v>
          </cell>
        </row>
        <row r="139">
          <cell r="A139" t="str">
            <v>B00FR4YQYK</v>
          </cell>
          <cell r="B139" t="str">
            <v>SDT-TOH-SPWDbC-Wh</v>
          </cell>
          <cell r="C139" t="str">
            <v>无线门铃</v>
          </cell>
          <cell r="D139" t="str">
            <v>Star Point Wireless Doorbell Model C White</v>
          </cell>
          <cell r="E139" t="str">
            <v>=DISPIMG("ID_4AA19E10D69A4309BF633CB788268646",1)</v>
          </cell>
          <cell r="F139" t="str">
            <v>门铃</v>
          </cell>
          <cell r="G139">
            <v>0.2</v>
          </cell>
          <cell r="H139">
            <v>10</v>
          </cell>
          <cell r="I139">
            <v>7</v>
          </cell>
          <cell r="J139">
            <v>9</v>
          </cell>
          <cell r="K139">
            <v>0.00063</v>
          </cell>
          <cell r="L139" t="str">
            <v>23* 46*33</v>
          </cell>
          <cell r="M139">
            <v>9.3</v>
          </cell>
          <cell r="N139">
            <v>0.03491</v>
          </cell>
          <cell r="O139">
            <v>50</v>
          </cell>
          <cell r="P139" t="str">
            <v>661799579001</v>
          </cell>
          <cell r="Q139">
            <v>7.05</v>
          </cell>
          <cell r="R139">
            <v>10006</v>
          </cell>
          <cell r="S139">
            <v>200.12</v>
          </cell>
          <cell r="T139">
            <v>6.9861892</v>
          </cell>
          <cell r="U139">
            <v>36</v>
          </cell>
        </row>
        <row r="140">
          <cell r="A140" t="str">
            <v>B01CFIHGLA</v>
          </cell>
          <cell r="B140" t="str">
            <v>TMP-BSS-MpSystm</v>
          </cell>
          <cell r="C140" t="str">
            <v>拖把套件</v>
          </cell>
          <cell r="D140" t="str">
            <v>Turbo Mops</v>
          </cell>
          <cell r="E140" t="str">
            <v>=DISPIMG("ID_46C0EF35E94D408583F7240D43C6350B",1)</v>
          </cell>
          <cell r="F140" t="str">
            <v>清洁</v>
          </cell>
          <cell r="G140">
            <v>0.7</v>
          </cell>
          <cell r="H140">
            <v>91.5</v>
          </cell>
          <cell r="I140">
            <v>14</v>
          </cell>
          <cell r="J140">
            <v>15</v>
          </cell>
          <cell r="K140">
            <v>0.019215</v>
          </cell>
          <cell r="L140" t="str">
            <v>91 * 28 * 31</v>
          </cell>
          <cell r="M140">
            <v>11.85</v>
          </cell>
          <cell r="N140">
            <v>0.07899</v>
          </cell>
          <cell r="O140">
            <v>16</v>
          </cell>
          <cell r="P140" t="str">
            <v>740999841924</v>
          </cell>
          <cell r="Q140">
            <v>10.8</v>
          </cell>
          <cell r="R140">
            <v>679</v>
          </cell>
          <cell r="S140">
            <v>42.4375</v>
          </cell>
          <cell r="T140">
            <v>3.352138125</v>
          </cell>
          <cell r="U140">
            <v>36</v>
          </cell>
        </row>
        <row r="141">
          <cell r="A141" t="str">
            <v>B07C412KYF</v>
          </cell>
          <cell r="B141" t="str">
            <v>VLT-CSJ-MtShoHrn-1652pk</v>
          </cell>
          <cell r="C141" t="str">
            <v>金属鞋拔</v>
          </cell>
          <cell r="D141" t="str">
            <v>Metal Shoe Horn 16.5" 2 Pack</v>
          </cell>
          <cell r="E141" t="str">
            <v>=DISPIMG("ID_DF6E32A9B7C64C9B89DD4785549DE8AE",1)</v>
          </cell>
          <cell r="F141" t="str">
            <v>工具</v>
          </cell>
          <cell r="G141" t="str">
            <v>0.400</v>
          </cell>
          <cell r="H141">
            <v>42</v>
          </cell>
          <cell r="I141">
            <v>5.5</v>
          </cell>
          <cell r="J141">
            <v>4</v>
          </cell>
          <cell r="K141">
            <v>0.000924</v>
          </cell>
          <cell r="L141" t="str">
            <v>55 * 22 * 12</v>
          </cell>
          <cell r="M141">
            <v>19.2</v>
          </cell>
          <cell r="N141">
            <v>0.01452</v>
          </cell>
          <cell r="O141">
            <v>50</v>
          </cell>
          <cell r="P141" t="str">
            <v>B07C412KYF,46708909924</v>
          </cell>
          <cell r="Q141">
            <v>2.86</v>
          </cell>
          <cell r="R141">
            <v>546</v>
          </cell>
          <cell r="S141">
            <v>10.92</v>
          </cell>
          <cell r="T141">
            <v>0.1585584</v>
          </cell>
          <cell r="U141">
            <v>36</v>
          </cell>
        </row>
        <row r="142">
          <cell r="A142" t="str">
            <v>B08CNN2KQT</v>
          </cell>
          <cell r="B142" t="str">
            <v>YHG-HOK-DflChrsTreBg-9Blk</v>
          </cell>
          <cell r="C142" t="str">
            <v>圣诞树收纳袋</v>
          </cell>
          <cell r="D142" t="str">
            <v>STORAGE BAG</v>
          </cell>
          <cell r="E142" t="str">
            <v>=DISPIMG("ID_AE1FD9BF45494C49A0771B1DD71E0382",1)</v>
          </cell>
          <cell r="F142" t="str">
            <v>圣诞</v>
          </cell>
          <cell r="G142">
            <v>1.9</v>
          </cell>
          <cell r="H142">
            <v>32</v>
          </cell>
          <cell r="I142">
            <v>26</v>
          </cell>
          <cell r="J142">
            <v>7</v>
          </cell>
          <cell r="K142">
            <v>0.005824</v>
          </cell>
          <cell r="L142" t="str">
            <v>34 * 28 * 33</v>
          </cell>
          <cell r="M142">
            <v>12.1</v>
          </cell>
          <cell r="N142">
            <v>0.03142</v>
          </cell>
          <cell r="O142">
            <v>6</v>
          </cell>
          <cell r="P142" t="str">
            <v>810158036697</v>
          </cell>
          <cell r="Q142">
            <v>6.27</v>
          </cell>
          <cell r="R142">
            <v>299</v>
          </cell>
          <cell r="S142">
            <v>49.8333333333333</v>
          </cell>
          <cell r="T142">
            <v>1.56576333333333</v>
          </cell>
          <cell r="U142">
            <v>36</v>
          </cell>
        </row>
        <row r="143">
          <cell r="A143" t="str">
            <v>B00J4FVZU6</v>
          </cell>
          <cell r="B143" t="str">
            <v>SDT-TOH-SPWDB-CX-WH</v>
          </cell>
          <cell r="C143" t="str">
            <v>无线门铃</v>
          </cell>
          <cell r="D143" t="str">
            <v>Star Point Wireless Doorbell Model CX White</v>
          </cell>
          <cell r="E143" t="str">
            <v>=DISPIMG("ID_F105A3C3615845C28B9B9F0C085835B2",1)</v>
          </cell>
          <cell r="F143" t="str">
            <v>门铃</v>
          </cell>
          <cell r="G143">
            <v>0.2</v>
          </cell>
          <cell r="H143">
            <v>15</v>
          </cell>
          <cell r="I143">
            <v>8.9</v>
          </cell>
          <cell r="J143">
            <v>6.7</v>
          </cell>
          <cell r="K143">
            <v>0.00089445</v>
          </cell>
          <cell r="L143" t="str">
            <v>35.3*31.5*46</v>
          </cell>
          <cell r="M143">
            <v>11.8</v>
          </cell>
          <cell r="N143">
            <v>0.05115</v>
          </cell>
          <cell r="O143">
            <v>50</v>
          </cell>
          <cell r="P143" t="str">
            <v>616453922839</v>
          </cell>
          <cell r="Q143">
            <v>9.46</v>
          </cell>
          <cell r="R143">
            <v>9300</v>
          </cell>
          <cell r="S143">
            <v>186</v>
          </cell>
          <cell r="T143">
            <v>9.5139</v>
          </cell>
          <cell r="U143">
            <v>35</v>
          </cell>
        </row>
        <row r="144">
          <cell r="A144" t="str">
            <v>B00KI08R2A</v>
          </cell>
          <cell r="B144" t="str">
            <v>PT/HWOOD/PBLU</v>
          </cell>
          <cell r="C144" t="str">
            <v>三层硬木香草和植物剧场</v>
          </cell>
          <cell r="D144" t="str">
            <v>Three Tier Hardwood Herb &amp; Plant Theater in Painted Powder Blue</v>
          </cell>
          <cell r="E144" t="str">
            <v>=DISPIMG("ID_AD6F02B8EA9645FE96ABF99EF4A832AC",1)</v>
          </cell>
          <cell r="F144" t="str">
            <v>园艺</v>
          </cell>
          <cell r="G144">
            <v>4.1</v>
          </cell>
          <cell r="H144">
            <v>82</v>
          </cell>
          <cell r="I144">
            <v>59.5</v>
          </cell>
          <cell r="J144">
            <v>6.5</v>
          </cell>
          <cell r="K144">
            <v>0.0317135</v>
          </cell>
          <cell r="L144" t="str">
            <v>82.5*61*7</v>
          </cell>
          <cell r="M144">
            <v>4.2</v>
          </cell>
          <cell r="N144">
            <v>0.03523</v>
          </cell>
          <cell r="O144">
            <v>1</v>
          </cell>
          <cell r="P144" t="str">
            <v>5060236731760</v>
          </cell>
          <cell r="Q144">
            <v>17.61</v>
          </cell>
          <cell r="R144">
            <v>307</v>
          </cell>
          <cell r="S144">
            <v>307</v>
          </cell>
          <cell r="T144">
            <v>10.81561</v>
          </cell>
          <cell r="U144">
            <v>35</v>
          </cell>
        </row>
        <row r="145">
          <cell r="A145" t="str">
            <v>B0756KSLFV</v>
          </cell>
          <cell r="B145" t="str">
            <v>YHG-HOK-WdPntHngrMcp-Chy10pk</v>
          </cell>
          <cell r="C145" t="str">
            <v>木衣架</v>
          </cell>
          <cell r="D145" t="str">
            <v>Wooden Skirt Hangers With Metal Clips Cherry set of 10</v>
          </cell>
          <cell r="E145" t="str">
            <v>=DISPIMG("ID_446C55B46603456793AB2E6EC2F3EC3E",1)</v>
          </cell>
          <cell r="F145" t="str">
            <v>衣架</v>
          </cell>
          <cell r="G145" t="str">
            <v>1.040</v>
          </cell>
          <cell r="H145" t="str">
            <v>33.7</v>
          </cell>
          <cell r="I145" t="str">
            <v>9.0</v>
          </cell>
          <cell r="J145" t="str">
            <v>18.1</v>
          </cell>
          <cell r="K145">
            <v>0.00548973</v>
          </cell>
        </row>
        <row r="145">
          <cell r="O145">
            <v>12</v>
          </cell>
          <cell r="P145" t="str">
            <v>810158030992</v>
          </cell>
          <cell r="Q145">
            <v>6.17</v>
          </cell>
          <cell r="R145">
            <v>56</v>
          </cell>
          <cell r="S145">
            <v>4.66666666666667</v>
          </cell>
          <cell r="T145">
            <v>0</v>
          </cell>
          <cell r="U145">
            <v>33</v>
          </cell>
        </row>
        <row r="146">
          <cell r="A146" t="str">
            <v>B07NKPKJR7</v>
          </cell>
          <cell r="B146" t="str">
            <v>PLT-GAO-ChrCsn-Navy</v>
          </cell>
          <cell r="C146" t="str">
            <v>户外椅垫</v>
          </cell>
          <cell r="D146" t="str">
            <v>Plant Theatre Adirondack Chair Luxury High Back Cushion with Head Pillow in Cool Dark Navy</v>
          </cell>
          <cell r="E146" t="str">
            <v>=DISPIMG("ID_B20F97B463464321917A0D6E9C40687A",1)</v>
          </cell>
          <cell r="F146" t="str">
            <v>桌椅</v>
          </cell>
          <cell r="G146">
            <v>1.7</v>
          </cell>
          <cell r="H146">
            <v>77</v>
          </cell>
          <cell r="I146">
            <v>54</v>
          </cell>
          <cell r="J146">
            <v>12</v>
          </cell>
          <cell r="K146">
            <v>0.049896</v>
          </cell>
          <cell r="L146" t="str">
            <v>103*76*57</v>
          </cell>
          <cell r="M146">
            <v>20.12</v>
          </cell>
          <cell r="N146">
            <v>0.4462</v>
          </cell>
          <cell r="O146">
            <v>10</v>
          </cell>
          <cell r="P146" t="str">
            <v>5060236732309</v>
          </cell>
          <cell r="Q146">
            <v>28.97</v>
          </cell>
          <cell r="R146">
            <v>151</v>
          </cell>
          <cell r="S146">
            <v>15.1</v>
          </cell>
          <cell r="T146">
            <v>6.73762</v>
          </cell>
          <cell r="U146">
            <v>32</v>
          </cell>
        </row>
        <row r="147">
          <cell r="A147" t="str">
            <v>B09BDK16J7</v>
          </cell>
          <cell r="B147" t="str">
            <v>FD-S4901-FBA</v>
          </cell>
          <cell r="C147" t="str">
            <v>钢水瓶</v>
          </cell>
          <cell r="D147" t="str">
            <v>64oz BOTTLE
DOUBLE WALL 304 S/S 
Coppering
Stainless Steel
3 LIDS(PP+PE+Silicone)</v>
          </cell>
          <cell r="E147" t="str">
            <v>=DISPIMG("ID_0B04F168E0894577A5915693DEBFABEE",1)</v>
          </cell>
          <cell r="F147" t="str">
            <v>水瓶</v>
          </cell>
          <cell r="G147" t="str">
            <v>1.135</v>
          </cell>
          <cell r="H147" t="str">
            <v>32.9</v>
          </cell>
          <cell r="I147" t="str">
            <v>13.1</v>
          </cell>
          <cell r="J147" t="str">
            <v>13.6</v>
          </cell>
          <cell r="K147">
            <v>0.005861464</v>
          </cell>
          <cell r="L147" t="str">
            <v>55 * 42 * 35</v>
          </cell>
          <cell r="M147">
            <v>13.8</v>
          </cell>
          <cell r="N147">
            <v>0.08085</v>
          </cell>
          <cell r="O147">
            <v>12</v>
          </cell>
          <cell r="P147" t="str">
            <v>810158039292</v>
          </cell>
          <cell r="Q147">
            <v>11.2</v>
          </cell>
          <cell r="R147">
            <v>112</v>
          </cell>
          <cell r="S147">
            <v>9.33333333333333</v>
          </cell>
          <cell r="T147">
            <v>0.7546</v>
          </cell>
          <cell r="U147">
            <v>32</v>
          </cell>
        </row>
        <row r="148">
          <cell r="A148" t="str">
            <v>B09BDNNGMN</v>
          </cell>
          <cell r="B148" t="str">
            <v>FD-S4705-FBA</v>
          </cell>
          <cell r="C148" t="str">
            <v>钢水瓶</v>
          </cell>
          <cell r="D148" t="str">
            <v>32oz BOTTLE
DOUBLE WALL 304 S/S 
Coppering
Powder Coated
pink 709c
3 LIDS(PP+PE+Silicone)</v>
          </cell>
          <cell r="E148" t="str">
            <v>=DISPIMG("ID_C123F8719A4E4435ACF5D42FD66BFD43",1)</v>
          </cell>
          <cell r="F148" t="str">
            <v>水瓶</v>
          </cell>
          <cell r="G148" t="str">
            <v>0.681</v>
          </cell>
          <cell r="H148" t="str">
            <v>34.7</v>
          </cell>
          <cell r="I148" t="str">
            <v>10.0</v>
          </cell>
          <cell r="J148" t="str">
            <v>10.4</v>
          </cell>
          <cell r="K148">
            <v>0.0036088</v>
          </cell>
          <cell r="L148" t="str">
            <v>61*42*37</v>
          </cell>
          <cell r="M148">
            <v>16.3</v>
          </cell>
          <cell r="N148">
            <v>0.094794</v>
          </cell>
          <cell r="O148">
            <v>24</v>
          </cell>
          <cell r="P148" t="str">
            <v>810158038929</v>
          </cell>
          <cell r="Q148">
            <v>9.89</v>
          </cell>
          <cell r="R148">
            <v>74</v>
          </cell>
          <cell r="S148">
            <v>3.08333333333333</v>
          </cell>
          <cell r="T148">
            <v>0.2922815</v>
          </cell>
          <cell r="U148">
            <v>31</v>
          </cell>
        </row>
        <row r="149">
          <cell r="A149" t="str">
            <v>B06WGRJ2T9</v>
          </cell>
          <cell r="B149" t="str">
            <v>TRH-BPC-WHPad-Nscented</v>
          </cell>
          <cell r="C149" t="str">
            <v>颈部加热垫</v>
          </cell>
          <cell r="D149" t="str">
            <v>HOT COLD PACK FOR NECK AND SHOULDER WITH MICRO-BEADS INSIDE 2 COLOR</v>
          </cell>
          <cell r="E149" t="str">
            <v>=DISPIMG("ID_2E9A29EE81224326B2DEDB66C25AF360",1)</v>
          </cell>
        </row>
        <row r="149">
          <cell r="G149">
            <v>1.78</v>
          </cell>
          <cell r="H149">
            <v>21</v>
          </cell>
          <cell r="I149">
            <v>19</v>
          </cell>
          <cell r="J149">
            <v>9</v>
          </cell>
          <cell r="K149">
            <v>0.003591</v>
          </cell>
          <cell r="L149" t="str">
            <v>39.2*29.2*22.8</v>
          </cell>
          <cell r="M149">
            <v>11.3</v>
          </cell>
          <cell r="N149">
            <v>0.0261</v>
          </cell>
          <cell r="O149">
            <v>6</v>
          </cell>
          <cell r="P149" t="str">
            <v>850026418002,X000S840H1</v>
          </cell>
          <cell r="Q149">
            <v>6.24</v>
          </cell>
          <cell r="R149">
            <v>642</v>
          </cell>
          <cell r="S149">
            <v>107</v>
          </cell>
          <cell r="T149">
            <v>2.7927</v>
          </cell>
          <cell r="U149">
            <v>30</v>
          </cell>
        </row>
        <row r="150">
          <cell r="A150" t="str">
            <v>B01KKN54WA</v>
          </cell>
          <cell r="B150" t="str">
            <v>YHG-HOK-DsbChrsTreBg-9Grn</v>
          </cell>
          <cell r="C150" t="str">
            <v>圣诞树收纳袋</v>
          </cell>
          <cell r="D150" t="str">
            <v>Disassembled Christmas Tree Storage Bag 9ft Green 1</v>
          </cell>
          <cell r="E150" t="str">
            <v>=DISPIMG("ID_8C9B161E66F44494852E2E15D2C2C465",1)</v>
          </cell>
          <cell r="F150" t="str">
            <v>圣诞</v>
          </cell>
          <cell r="G150">
            <v>0.5</v>
          </cell>
          <cell r="H150">
            <v>27</v>
          </cell>
          <cell r="I150">
            <v>19</v>
          </cell>
          <cell r="J150">
            <v>7</v>
          </cell>
          <cell r="K150">
            <v>0.003591</v>
          </cell>
          <cell r="L150" t="str">
            <v>42*32*60</v>
          </cell>
          <cell r="M150">
            <v>16.7</v>
          </cell>
          <cell r="N150">
            <v>0.08064</v>
          </cell>
          <cell r="O150">
            <v>24</v>
          </cell>
          <cell r="P150" t="str">
            <v>810158030473</v>
          </cell>
          <cell r="Q150">
            <v>2.97</v>
          </cell>
          <cell r="R150">
            <v>603</v>
          </cell>
          <cell r="S150">
            <v>25.125</v>
          </cell>
          <cell r="T150">
            <v>2.02608</v>
          </cell>
          <cell r="U150">
            <v>30</v>
          </cell>
        </row>
        <row r="151">
          <cell r="A151" t="str">
            <v>B0749FK1FS</v>
          </cell>
          <cell r="B151" t="str">
            <v>URN-SPO-PUBAND-5P</v>
          </cell>
          <cell r="C151" t="str">
            <v>拉力带套装</v>
          </cell>
          <cell r="D151" t="str">
            <v>Pull Up Assist Band - Stretch Resistance Band - Mobility Band - Powerlifting Bands - Extra Durable Pull-Up (5 Band Set)</v>
          </cell>
          <cell r="E151" t="str">
            <v>=DISPIMG("ID_47E53E4BD4CB4A58A5930251E96A451B",1)</v>
          </cell>
          <cell r="F151" t="str">
            <v>健身</v>
          </cell>
          <cell r="G151">
            <v>1.6</v>
          </cell>
          <cell r="H151">
            <v>29</v>
          </cell>
          <cell r="I151">
            <v>29</v>
          </cell>
          <cell r="J151">
            <v>6</v>
          </cell>
          <cell r="K151">
            <v>0.005046</v>
          </cell>
          <cell r="L151" t="str">
            <v>42 * 34 * 32</v>
          </cell>
          <cell r="M151">
            <v>16.5</v>
          </cell>
          <cell r="N151">
            <v>0.0457</v>
          </cell>
          <cell r="O151">
            <v>10</v>
          </cell>
          <cell r="P151" t="str">
            <v>653829996742</v>
          </cell>
          <cell r="Q151">
            <v>22.3</v>
          </cell>
          <cell r="R151">
            <v>3</v>
          </cell>
          <cell r="S151">
            <v>0.3</v>
          </cell>
          <cell r="T151">
            <v>0.01371</v>
          </cell>
          <cell r="U151">
            <v>30</v>
          </cell>
        </row>
        <row r="152">
          <cell r="A152" t="str">
            <v>B08DP5R6DX</v>
          </cell>
          <cell r="B152" t="str">
            <v>YHG-SPO-StlWtrBtl-17Wmbl2pk</v>
          </cell>
          <cell r="C152" t="str">
            <v>钢水瓶</v>
          </cell>
          <cell r="D152" t="str">
            <v>Stainless Steel Insulated Water Bottle 17oz White Marble 2Pack</v>
          </cell>
          <cell r="E152" t="str">
            <v>=DISPIMG("ID_1041F1C445B3467290DA8894A86991EE",1)</v>
          </cell>
          <cell r="F152" t="str">
            <v>水瓶</v>
          </cell>
          <cell r="G152" t="str">
            <v>0.7</v>
          </cell>
          <cell r="H152">
            <v>28</v>
          </cell>
          <cell r="I152">
            <v>15</v>
          </cell>
          <cell r="J152">
            <v>7.5</v>
          </cell>
          <cell r="K152">
            <v>0.00315</v>
          </cell>
          <cell r="L152" t="str">
            <v>47 * 33 * 30</v>
          </cell>
          <cell r="M152">
            <v>8.9</v>
          </cell>
          <cell r="N152">
            <v>0.04653</v>
          </cell>
          <cell r="O152">
            <v>12</v>
          </cell>
          <cell r="P152" t="str">
            <v>810158037236</v>
          </cell>
          <cell r="Q152">
            <v>9.31</v>
          </cell>
          <cell r="R152">
            <v>516</v>
          </cell>
          <cell r="S152">
            <v>43</v>
          </cell>
          <cell r="T152">
            <v>2.00079</v>
          </cell>
          <cell r="U152">
            <v>29</v>
          </cell>
        </row>
        <row r="153">
          <cell r="A153" t="str">
            <v>B08BDWSSR2</v>
          </cell>
          <cell r="B153" t="str">
            <v>SKY-KND-FMat-39Bg</v>
          </cell>
          <cell r="C153" t="str">
            <v>抗疲劳垫</v>
          </cell>
          <cell r="D153" t="str">
            <v>Floor Mat 20x39 Beige</v>
          </cell>
          <cell r="E153" t="str">
            <v>=DISPIMG("ID_D2A03527ABB44BA4AF5A88A8AA06087E",1)</v>
          </cell>
          <cell r="F153" t="str">
            <v>脚垫</v>
          </cell>
          <cell r="G153">
            <v>1.5</v>
          </cell>
          <cell r="H153">
            <v>101</v>
          </cell>
          <cell r="I153">
            <v>53</v>
          </cell>
          <cell r="J153">
            <v>2</v>
          </cell>
          <cell r="K153">
            <v>0.010706</v>
          </cell>
          <cell r="L153" t="str">
            <v>102*54*22</v>
          </cell>
          <cell r="M153">
            <v>16.6</v>
          </cell>
          <cell r="N153">
            <v>0.12118</v>
          </cell>
          <cell r="O153">
            <v>10</v>
          </cell>
          <cell r="P153" t="str">
            <v>850011409145</v>
          </cell>
          <cell r="Q153">
            <v>14.24</v>
          </cell>
          <cell r="R153">
            <v>430</v>
          </cell>
          <cell r="S153">
            <v>43</v>
          </cell>
          <cell r="T153">
            <v>5.21074</v>
          </cell>
          <cell r="U153">
            <v>29</v>
          </cell>
        </row>
        <row r="154">
          <cell r="A154" t="str">
            <v>B07FXG4JVG</v>
          </cell>
          <cell r="B154" t="str">
            <v>NLK-KND-DcntGlsSet-Hbt</v>
          </cell>
          <cell r="C154" t="str">
            <v>威士忌杯</v>
          </cell>
          <cell r="D154" t="str">
            <v>Whisky Decanter and 4 Whiskey Glasses Hobart</v>
          </cell>
          <cell r="E154" t="str">
            <v>=DISPIMG("ID_C5D5DCD7138F4511AE4D30C5F6B34415",1)</v>
          </cell>
          <cell r="F154" t="str">
            <v>厨房用具</v>
          </cell>
          <cell r="G154" t="str">
            <v>5.070</v>
          </cell>
          <cell r="H154" t="str">
            <v>37.8</v>
          </cell>
          <cell r="I154" t="str">
            <v>15.6</v>
          </cell>
          <cell r="J154" t="str">
            <v>31.0</v>
          </cell>
          <cell r="K154">
            <v>0.01828008</v>
          </cell>
          <cell r="L154" t="str">
            <v>51*40*38</v>
          </cell>
          <cell r="M154">
            <v>14.5</v>
          </cell>
          <cell r="N154">
            <v>0.07752</v>
          </cell>
          <cell r="O154">
            <v>3</v>
          </cell>
          <cell r="P154" t="str">
            <v>X000VJ4SE7</v>
          </cell>
          <cell r="Q154">
            <v>8.27</v>
          </cell>
          <cell r="R154">
            <v>236</v>
          </cell>
          <cell r="S154">
            <v>78.6666666666667</v>
          </cell>
          <cell r="T154">
            <v>6.09824</v>
          </cell>
          <cell r="U154">
            <v>29</v>
          </cell>
        </row>
        <row r="155">
          <cell r="A155" t="str">
            <v>B09BDKT1M4</v>
          </cell>
          <cell r="B155" t="str">
            <v>FD-S4801-FBA</v>
          </cell>
          <cell r="C155" t="str">
            <v>钢水瓶</v>
          </cell>
          <cell r="D155" t="str">
            <v>40oz BOTTLE
DOUBLE WALL 304 S/S 
Coppering
Stainless Steel
3 LIDS(PP+PE+Silicone)</v>
          </cell>
          <cell r="E155" t="str">
            <v>=DISPIMG("ID_B71FE21E7D8C46688AC9241FF325EA84",1)</v>
          </cell>
          <cell r="F155" t="str">
            <v>水瓶</v>
          </cell>
          <cell r="G155" t="str">
            <v>0.74</v>
          </cell>
          <cell r="H155" t="str">
            <v>38.6</v>
          </cell>
          <cell r="I155" t="str">
            <v>9.9</v>
          </cell>
          <cell r="J155" t="str">
            <v>10.3</v>
          </cell>
          <cell r="K155">
            <v>0.003936042</v>
          </cell>
          <cell r="L155" t="str">
            <v>61*42*37</v>
          </cell>
          <cell r="M155">
            <v>16.3</v>
          </cell>
          <cell r="N155">
            <v>0.094794</v>
          </cell>
          <cell r="O155">
            <v>24</v>
          </cell>
          <cell r="P155" t="str">
            <v>810158039063</v>
          </cell>
          <cell r="Q155">
            <v>7.98</v>
          </cell>
          <cell r="R155">
            <v>56</v>
          </cell>
          <cell r="S155">
            <v>2.33333333333333</v>
          </cell>
          <cell r="T155">
            <v>0.221186</v>
          </cell>
          <cell r="U155">
            <v>28</v>
          </cell>
        </row>
        <row r="156">
          <cell r="A156" t="str">
            <v>B07V5QDM28</v>
          </cell>
          <cell r="B156" t="str">
            <v>BBD-BBY-ClstDvdr-Gryanml7pk</v>
          </cell>
          <cell r="C156" t="str">
            <v>婴儿衣柜分隔板</v>
          </cell>
          <cell r="D156" t="str">
            <v>Baby Closet Divider Unisex Grey Animals 7 Pack</v>
          </cell>
          <cell r="E156" t="str">
            <v>=DISPIMG("ID_6A5B31B1EDC141EDBD5964392133A7A1",1)</v>
          </cell>
          <cell r="F156" t="str">
            <v>衣架</v>
          </cell>
          <cell r="G156">
            <v>0.1</v>
          </cell>
          <cell r="H156">
            <v>10</v>
          </cell>
          <cell r="I156">
            <v>10</v>
          </cell>
          <cell r="J156">
            <v>2</v>
          </cell>
          <cell r="K156">
            <v>0.0002</v>
          </cell>
          <cell r="L156" t="str">
            <v>40*31*29</v>
          </cell>
          <cell r="M156">
            <v>12.7</v>
          </cell>
          <cell r="N156">
            <v>0.03596</v>
          </cell>
          <cell r="O156">
            <v>150</v>
          </cell>
          <cell r="P156" t="str">
            <v>X00147MBIZ,647213982749</v>
          </cell>
          <cell r="Q156">
            <v>1.02</v>
          </cell>
          <cell r="R156">
            <v>1650</v>
          </cell>
          <cell r="S156">
            <v>11</v>
          </cell>
          <cell r="T156">
            <v>0.39556</v>
          </cell>
          <cell r="U156">
            <v>27</v>
          </cell>
        </row>
        <row r="157">
          <cell r="A157" t="str">
            <v>B01MXKLYYI</v>
          </cell>
          <cell r="B157" t="str">
            <v>PLT-GAO-FldFtStl-Acacia</v>
          </cell>
          <cell r="C157" t="str">
            <v>脚凳</v>
          </cell>
          <cell r="D157" t="str">
            <v>Folding Hardwood Footstool Acacia</v>
          </cell>
          <cell r="E157" t="str">
            <v>=DISPIMG("ID_25B02DE612C04A589BE205E7910BBB82",1)</v>
          </cell>
          <cell r="F157" t="str">
            <v>桌椅</v>
          </cell>
          <cell r="G157">
            <v>4.6</v>
          </cell>
          <cell r="H157">
            <v>54.5</v>
          </cell>
          <cell r="I157">
            <v>67.5</v>
          </cell>
          <cell r="J157">
            <v>13</v>
          </cell>
          <cell r="K157">
            <v>0.04782375</v>
          </cell>
          <cell r="L157" t="str">
            <v>54.5*67.5*13</v>
          </cell>
          <cell r="M157">
            <v>4.6</v>
          </cell>
          <cell r="N157">
            <v>0.04782375</v>
          </cell>
          <cell r="O157">
            <v>1</v>
          </cell>
          <cell r="P157" t="str">
            <v>5060236732040</v>
          </cell>
          <cell r="Q157">
            <v>26.68</v>
          </cell>
          <cell r="R157">
            <v>213</v>
          </cell>
          <cell r="S157">
            <v>213</v>
          </cell>
          <cell r="T157">
            <v>10.18645875</v>
          </cell>
          <cell r="U157">
            <v>27</v>
          </cell>
        </row>
        <row r="158">
          <cell r="A158" t="str">
            <v>B08DP4TGR2</v>
          </cell>
          <cell r="B158" t="str">
            <v>YHG-SPO-StlWtrBtl-17Tqse2pk</v>
          </cell>
          <cell r="C158" t="str">
            <v>钢水瓶</v>
          </cell>
          <cell r="D158" t="str">
            <v>Stainless Steel Insulated Water Bottle 17oz Tuquoise 2Pack</v>
          </cell>
          <cell r="E158" t="str">
            <v>=DISPIMG("ID_29341EE3BCAF440B8E043303FA6BCFCD",1)</v>
          </cell>
          <cell r="F158" t="str">
            <v>水瓶</v>
          </cell>
          <cell r="G158" t="str">
            <v>0.75</v>
          </cell>
          <cell r="H158" t="str">
            <v>27.5</v>
          </cell>
          <cell r="I158" t="str">
            <v>7.7</v>
          </cell>
          <cell r="J158" t="str">
            <v>15.2</v>
          </cell>
          <cell r="K158">
            <v>0.0032186</v>
          </cell>
          <cell r="L158" t="str">
            <v>47 * 33 * 30</v>
          </cell>
          <cell r="M158">
            <v>8.9</v>
          </cell>
          <cell r="N158">
            <v>0.04653</v>
          </cell>
          <cell r="O158">
            <v>12</v>
          </cell>
          <cell r="P158" t="str">
            <v>810158037229</v>
          </cell>
          <cell r="Q158">
            <v>8.17</v>
          </cell>
          <cell r="R158">
            <v>144</v>
          </cell>
          <cell r="S158">
            <v>12</v>
          </cell>
          <cell r="T158">
            <v>0.55836</v>
          </cell>
          <cell r="U158">
            <v>27</v>
          </cell>
        </row>
        <row r="159">
          <cell r="A159" t="str">
            <v>B076X89GRW</v>
          </cell>
          <cell r="B159" t="str">
            <v>PWP-AZL-LEDBkL-WhXL</v>
          </cell>
          <cell r="C159" t="str">
            <v>电视背光灯条</v>
          </cell>
          <cell r="D159" t="str">
            <v>LED Backlight White XL</v>
          </cell>
          <cell r="E159" t="str">
            <v>=DISPIMG("ID_ECCF415B3ABB42308BA6D06D9BD3CBCA",1)</v>
          </cell>
          <cell r="F159" t="str">
            <v>工具</v>
          </cell>
          <cell r="G159" t="str">
            <v>0.1</v>
          </cell>
          <cell r="H159">
            <v>17</v>
          </cell>
          <cell r="I159">
            <v>15</v>
          </cell>
          <cell r="J159">
            <v>3</v>
          </cell>
          <cell r="K159">
            <v>0.000765</v>
          </cell>
          <cell r="L159" t="str">
            <v>36 * 23 * 44</v>
          </cell>
          <cell r="M159">
            <v>8.8</v>
          </cell>
          <cell r="N159">
            <v>0.036432</v>
          </cell>
          <cell r="O159">
            <v>110</v>
          </cell>
          <cell r="P159" t="str">
            <v>855640004556</v>
          </cell>
          <cell r="Q159">
            <v>7.79</v>
          </cell>
          <cell r="R159">
            <v>140</v>
          </cell>
          <cell r="S159">
            <v>1.27272727272727</v>
          </cell>
          <cell r="T159">
            <v>0.046368</v>
          </cell>
          <cell r="U159">
            <v>27</v>
          </cell>
        </row>
        <row r="160">
          <cell r="A160" t="str">
            <v>B07JBMSK1T</v>
          </cell>
          <cell r="B160" t="str">
            <v>YHG-HOK-OrnSrtgBx-364Grn1</v>
          </cell>
          <cell r="C160" t="str">
            <v>饰品收纳</v>
          </cell>
          <cell r="D160" t="str">
            <v>Christmas Ornament Storage Box 3" 64 Compartment</v>
          </cell>
          <cell r="E160" t="str">
            <v>=DISPIMG("ID_CF8C9994B6764C269BA99AD4800AC0F2",1)</v>
          </cell>
          <cell r="F160" t="str">
            <v>圣诞</v>
          </cell>
          <cell r="G160">
            <v>1.7</v>
          </cell>
          <cell r="H160">
            <v>35</v>
          </cell>
          <cell r="I160">
            <v>33</v>
          </cell>
          <cell r="J160">
            <v>4</v>
          </cell>
          <cell r="K160">
            <v>0.00462</v>
          </cell>
          <cell r="L160" t="str">
            <v>38*35*31</v>
          </cell>
          <cell r="M160">
            <v>14</v>
          </cell>
          <cell r="N160">
            <v>0.04123</v>
          </cell>
          <cell r="O160">
            <v>8</v>
          </cell>
          <cell r="P160" t="str">
            <v>810158031456</v>
          </cell>
          <cell r="Q160">
            <v>3.67</v>
          </cell>
          <cell r="R160">
            <v>93</v>
          </cell>
          <cell r="S160">
            <v>11.625</v>
          </cell>
          <cell r="T160">
            <v>0.47929875</v>
          </cell>
          <cell r="U160">
            <v>27</v>
          </cell>
        </row>
        <row r="161">
          <cell r="A161" t="str">
            <v>B07BXZ1QNS</v>
          </cell>
          <cell r="B161" t="str">
            <v>PLT-GAO-FldFtStl-PntWht</v>
          </cell>
          <cell r="C161" t="str">
            <v>脚凳</v>
          </cell>
          <cell r="D161" t="str">
            <v>Plant Theater Adirondack Hardwood Footstool Painted White - Excellent Quality</v>
          </cell>
          <cell r="E161" t="str">
            <v>=DISPIMG("ID_3A5259934B794C5FBD6B18D3140E0BE1",1)</v>
          </cell>
          <cell r="F161" t="str">
            <v>桌椅</v>
          </cell>
        </row>
        <row r="161">
          <cell r="P161" t="e">
            <v>#N/A</v>
          </cell>
          <cell r="Q161">
            <v>33.66</v>
          </cell>
          <cell r="R161">
            <v>7</v>
          </cell>
          <cell r="S161" t="e">
            <v>#DIV/0!</v>
          </cell>
          <cell r="T161">
            <v>0</v>
          </cell>
          <cell r="U161">
            <v>27</v>
          </cell>
        </row>
        <row r="162">
          <cell r="A162" t="str">
            <v>B07NKVWGRX</v>
          </cell>
          <cell r="B162" t="str">
            <v>PLT-GAO-HiBkCsn-LuxWrBge</v>
          </cell>
          <cell r="C162" t="str">
            <v>户外椅垫</v>
          </cell>
          <cell r="D162" t="str">
            <v>Luxury High Back Cushion with Head Pillow Warm Beige</v>
          </cell>
          <cell r="E162" t="str">
            <v>=DISPIMG("ID_D5455F8A71EF49E68BF06B60384F49CD",1)</v>
          </cell>
          <cell r="F162" t="str">
            <v>桌椅</v>
          </cell>
          <cell r="G162">
            <v>1.7</v>
          </cell>
          <cell r="H162">
            <v>16</v>
          </cell>
          <cell r="I162">
            <v>30</v>
          </cell>
          <cell r="J162">
            <v>55</v>
          </cell>
          <cell r="K162">
            <v>0.0264</v>
          </cell>
          <cell r="L162" t="str">
            <v>103 * 77 * 57</v>
          </cell>
          <cell r="M162">
            <v>20.9</v>
          </cell>
          <cell r="N162">
            <v>0.452067</v>
          </cell>
          <cell r="O162">
            <v>10</v>
          </cell>
          <cell r="P162" t="str">
            <v>5060236732316</v>
          </cell>
          <cell r="Q162">
            <v>21.87</v>
          </cell>
          <cell r="R162">
            <v>456</v>
          </cell>
          <cell r="S162">
            <v>45.6</v>
          </cell>
          <cell r="T162">
            <v>20.6142552</v>
          </cell>
          <cell r="U162">
            <v>26</v>
          </cell>
        </row>
        <row r="163">
          <cell r="A163" t="str">
            <v>B09BDMHSQD</v>
          </cell>
          <cell r="B163" t="str">
            <v>FD-S4701-FBA</v>
          </cell>
          <cell r="C163" t="str">
            <v>钢水瓶</v>
          </cell>
          <cell r="D163" t="str">
            <v>32oz BOTTLE
DOUBLE WALL 304 S/S 
Coppering
Stainless Steel
3 LIDS(PP+PE+Silicone)
100% leakproof 
can pass the paint adhesion testing
Keep Hot 8H&amp; Cold 10H
color Box</v>
          </cell>
          <cell r="E163" t="str">
            <v>=DISPIMG("ID_467B8A941E5D4273B3E78E45C13069FC",1)</v>
          </cell>
          <cell r="F163" t="str">
            <v>水瓶</v>
          </cell>
          <cell r="G163" t="str">
            <v>0.7</v>
          </cell>
          <cell r="H163">
            <v>10</v>
          </cell>
          <cell r="I163">
            <v>10</v>
          </cell>
          <cell r="J163">
            <v>35</v>
          </cell>
          <cell r="K163">
            <v>0.0035</v>
          </cell>
          <cell r="L163" t="str">
            <v>42 * 62 * 38</v>
          </cell>
          <cell r="M163">
            <v>16.1</v>
          </cell>
          <cell r="N163">
            <v>0.098952</v>
          </cell>
          <cell r="O163">
            <v>24</v>
          </cell>
          <cell r="P163" t="str">
            <v>810158038882</v>
          </cell>
          <cell r="Q163">
            <v>6.88</v>
          </cell>
          <cell r="R163">
            <v>213</v>
          </cell>
          <cell r="S163">
            <v>8.875</v>
          </cell>
          <cell r="T163">
            <v>0.878199</v>
          </cell>
          <cell r="U163">
            <v>26</v>
          </cell>
        </row>
        <row r="164">
          <cell r="A164" t="str">
            <v>B09BNTKZ5D</v>
          </cell>
          <cell r="B164" t="str">
            <v>FD-S4816-FBA</v>
          </cell>
          <cell r="C164" t="str">
            <v>钢水瓶</v>
          </cell>
          <cell r="D164" t="str">
            <v>40oz BOTTLE
DOUBLE WALL 304 S/S 
Coppering
2 color Powder Coated
mix purple/green
3 LIDS(PP+PE+Silicone)</v>
          </cell>
          <cell r="E164" t="str">
            <v>=DISPIMG("ID_5B0A29D08168453793D2F8B44C5714A5",1)</v>
          </cell>
          <cell r="F164" t="str">
            <v>水瓶</v>
          </cell>
          <cell r="G164" t="str">
            <v>0.76</v>
          </cell>
          <cell r="H164" t="str">
            <v>38.5</v>
          </cell>
          <cell r="I164" t="str">
            <v>9.9</v>
          </cell>
          <cell r="J164" t="str">
            <v>10.7</v>
          </cell>
          <cell r="K164">
            <v>0.004078305</v>
          </cell>
          <cell r="L164" t="str">
            <v>61*42*37</v>
          </cell>
          <cell r="M164">
            <v>16.3</v>
          </cell>
          <cell r="N164">
            <v>0.094794</v>
          </cell>
          <cell r="O164">
            <v>24</v>
          </cell>
          <cell r="P164" t="str">
            <v>810158039209</v>
          </cell>
          <cell r="Q164">
            <v>6.87</v>
          </cell>
          <cell r="R164">
            <v>57</v>
          </cell>
          <cell r="S164">
            <v>2.375</v>
          </cell>
          <cell r="T164">
            <v>0.22513575</v>
          </cell>
          <cell r="U164">
            <v>26</v>
          </cell>
        </row>
        <row r="165">
          <cell r="A165" t="str">
            <v>B09BDMR4H1</v>
          </cell>
          <cell r="B165" t="str">
            <v>FD-S4819-FBA</v>
          </cell>
          <cell r="C165" t="str">
            <v>钢水瓶</v>
          </cell>
          <cell r="D165" t="str">
            <v>40oz BOTTLE
DOUBLE WALL 304 S/S 
Coppering
2 color Powder Coated
mix purple(new color)
3 LIDS(PP+PE+Silicone)</v>
          </cell>
          <cell r="E165" t="str">
            <v>=DISPIMG("ID_BB229DDB003D463A917F6B9750ACF034",1)</v>
          </cell>
          <cell r="F165" t="str">
            <v>水瓶</v>
          </cell>
          <cell r="G165" t="str">
            <v>0.76</v>
          </cell>
          <cell r="H165" t="str">
            <v>38.7</v>
          </cell>
          <cell r="I165" t="str">
            <v>9.8</v>
          </cell>
          <cell r="J165" t="str">
            <v>10.3</v>
          </cell>
          <cell r="K165">
            <v>0.003906378</v>
          </cell>
        </row>
        <row r="165">
          <cell r="O165">
            <v>24</v>
          </cell>
          <cell r="P165" t="str">
            <v>810158039230</v>
          </cell>
          <cell r="Q165">
            <v>7.7</v>
          </cell>
          <cell r="R165">
            <v>0</v>
          </cell>
          <cell r="S165">
            <v>0</v>
          </cell>
          <cell r="T165">
            <v>0</v>
          </cell>
          <cell r="U165">
            <v>26</v>
          </cell>
        </row>
        <row r="166">
          <cell r="A166" t="str">
            <v>B00CFXH4S6</v>
          </cell>
          <cell r="B166" t="str">
            <v>ANX-MUT-Mic-6InBk</v>
          </cell>
          <cell r="C166" t="str">
            <v>麦克风防喷罩</v>
          </cell>
          <cell r="D166" t="str">
            <v>Microphone Pop Filter 6 inch (MPF-1) Black</v>
          </cell>
          <cell r="E166" t="str">
            <v>=DISPIMG("ID_82BE31FFA66E41CA8B0A96D77C1D40A2",1)</v>
          </cell>
          <cell r="F166" t="str">
            <v>工具</v>
          </cell>
          <cell r="G166">
            <v>0.3</v>
          </cell>
          <cell r="H166">
            <v>37</v>
          </cell>
          <cell r="I166">
            <v>19</v>
          </cell>
          <cell r="J166">
            <v>4</v>
          </cell>
          <cell r="K166">
            <v>0.002812</v>
          </cell>
          <cell r="L166" t="str">
            <v>60 * 39 * 40</v>
          </cell>
          <cell r="M166">
            <v>16</v>
          </cell>
          <cell r="N166">
            <v>0.0936</v>
          </cell>
          <cell r="O166">
            <v>50</v>
          </cell>
          <cell r="P166" t="str">
            <v>820103187602</v>
          </cell>
          <cell r="Q166">
            <v>3.63</v>
          </cell>
          <cell r="R166">
            <v>413</v>
          </cell>
          <cell r="S166">
            <v>8.26</v>
          </cell>
          <cell r="T166">
            <v>0.773136</v>
          </cell>
          <cell r="U166">
            <v>25</v>
          </cell>
        </row>
        <row r="167">
          <cell r="A167" t="str">
            <v>B07QSXHZPF</v>
          </cell>
          <cell r="B167" t="str">
            <v>YHG-HOK-WrpOrg-Red</v>
          </cell>
          <cell r="C167" t="str">
            <v>包装储存</v>
          </cell>
          <cell r="D167" t="str">
            <v>ZOBER Underbed Gift Wrap Organizer, Interior Pockets, fits 18-2 Standard Rolls, Underbed Storage</v>
          </cell>
          <cell r="E167" t="str">
            <v>=DISPIMG("ID_C66C42214E464187A6833FEA34300192",1)</v>
          </cell>
          <cell r="F167" t="str">
            <v>圣诞</v>
          </cell>
          <cell r="G167">
            <v>0.35</v>
          </cell>
          <cell r="H167">
            <v>21</v>
          </cell>
          <cell r="I167">
            <v>20</v>
          </cell>
          <cell r="J167">
            <v>7</v>
          </cell>
          <cell r="K167">
            <v>0.00294</v>
          </cell>
          <cell r="L167" t="str">
            <v>41*40*32</v>
          </cell>
          <cell r="M167">
            <v>9</v>
          </cell>
          <cell r="N167">
            <v>0.05248</v>
          </cell>
          <cell r="O167">
            <v>24</v>
          </cell>
          <cell r="P167" t="str">
            <v>810158032170</v>
          </cell>
          <cell r="Q167">
            <v>2.6</v>
          </cell>
          <cell r="R167">
            <v>304</v>
          </cell>
          <cell r="S167">
            <v>12.6666666666667</v>
          </cell>
          <cell r="T167">
            <v>0.664746666666667</v>
          </cell>
          <cell r="U167">
            <v>25</v>
          </cell>
        </row>
        <row r="168">
          <cell r="A168" t="str">
            <v>B0B2JGCKZV</v>
          </cell>
          <cell r="B168" t="str">
            <v>YHG-HOK-FD-SC207</v>
          </cell>
          <cell r="C168" t="str">
            <v>硅胶烘焙垫</v>
          </cell>
          <cell r="D168" t="str">
            <v>Fine Dine-Silicone baking mat set of 3-green</v>
          </cell>
          <cell r="E168" t="str">
            <v>=DISPIMG("ID_A6B277CE7FD04B49A6ED0B2F4157ACD7",1)</v>
          </cell>
          <cell r="F168" t="str">
            <v>厨房用具</v>
          </cell>
          <cell r="G168" t="str">
            <v>1.600</v>
          </cell>
          <cell r="H168" t="str">
            <v>12.6</v>
          </cell>
          <cell r="I168" t="str">
            <v>1.7</v>
          </cell>
          <cell r="J168" t="str">
            <v>2.0</v>
          </cell>
          <cell r="K168">
            <v>4.284e-5</v>
          </cell>
          <cell r="L168" t="str">
            <v>43 * 29 * 36</v>
          </cell>
          <cell r="M168">
            <v>12.8</v>
          </cell>
          <cell r="N168">
            <v>0.044892</v>
          </cell>
          <cell r="O168">
            <v>40</v>
          </cell>
          <cell r="P168" t="str">
            <v>810078882831</v>
          </cell>
          <cell r="Q168">
            <v>5.14</v>
          </cell>
          <cell r="R168">
            <v>198</v>
          </cell>
          <cell r="S168">
            <v>4.95</v>
          </cell>
          <cell r="T168">
            <v>0.2222154</v>
          </cell>
          <cell r="U168">
            <v>25</v>
          </cell>
        </row>
        <row r="169">
          <cell r="A169" t="str">
            <v>B09BNVQYQT</v>
          </cell>
          <cell r="B169" t="str">
            <v>FD-S4714-FBA</v>
          </cell>
          <cell r="C169" t="str">
            <v>钢水瓶</v>
          </cell>
          <cell r="D169" t="str">
            <v>32oz BOTTLE
DOUBLE WALL 304 S/S 
Coppering
air tranfer print
black marble
3 LIDS(PP+PE+Silicone)
100% leakproof 
can pass the paint adhesion testing
Keep Hot 8H&amp; Cold 10H
color Box</v>
          </cell>
          <cell r="E169" t="str">
            <v>=DISPIMG("ID_F42B62159DB144AC84ABBADED8B9ACE1",1)</v>
          </cell>
          <cell r="F169" t="str">
            <v>水瓶</v>
          </cell>
          <cell r="G169">
            <v>0.7</v>
          </cell>
          <cell r="H169">
            <v>35</v>
          </cell>
          <cell r="I169">
            <v>10</v>
          </cell>
          <cell r="J169">
            <v>10</v>
          </cell>
          <cell r="K169">
            <v>0.0035</v>
          </cell>
          <cell r="L169" t="str">
            <v>62 * 41 * 62</v>
          </cell>
          <cell r="M169">
            <v>16.2</v>
          </cell>
          <cell r="N169">
            <v>0.157604</v>
          </cell>
          <cell r="O169">
            <v>24</v>
          </cell>
          <cell r="P169" t="str">
            <v>810158039001</v>
          </cell>
          <cell r="Q169">
            <v>5.2</v>
          </cell>
          <cell r="R169">
            <v>215</v>
          </cell>
          <cell r="S169">
            <v>8.95833333333333</v>
          </cell>
          <cell r="T169">
            <v>1.41186916666667</v>
          </cell>
          <cell r="U169">
            <v>24</v>
          </cell>
        </row>
        <row r="170">
          <cell r="A170" t="str">
            <v>B08ZJKWQ39</v>
          </cell>
          <cell r="B170" t="str">
            <v>YHG-HOK-WdCtRk-Gry</v>
          </cell>
          <cell r="C170" t="str">
            <v>木树衣帽架</v>
          </cell>
          <cell r="D170" t="str">
            <v>Wooden Coat Rack Gray</v>
          </cell>
          <cell r="E170" t="str">
            <v>=DISPIMG("ID_84FFED4905E540A3BECF9997285374D2",1)</v>
          </cell>
          <cell r="F170" t="str">
            <v>衣架</v>
          </cell>
          <cell r="G170" t="str">
            <v>2.350</v>
          </cell>
          <cell r="H170" t="str">
            <v>40.1</v>
          </cell>
          <cell r="I170" t="str">
            <v>10.7</v>
          </cell>
          <cell r="J170" t="str">
            <v>13.1</v>
          </cell>
          <cell r="K170">
            <v>0.005620817</v>
          </cell>
          <cell r="L170" t="str">
            <v>42 * 28 * 35</v>
          </cell>
          <cell r="M170">
            <v>14</v>
          </cell>
          <cell r="N170">
            <v>0.04116</v>
          </cell>
          <cell r="O170">
            <v>6</v>
          </cell>
          <cell r="P170" t="str">
            <v>810158036277</v>
          </cell>
          <cell r="Q170">
            <v>14.36</v>
          </cell>
          <cell r="R170">
            <v>60</v>
          </cell>
          <cell r="S170">
            <v>10</v>
          </cell>
          <cell r="T170">
            <v>0.4116</v>
          </cell>
          <cell r="U170">
            <v>24</v>
          </cell>
        </row>
        <row r="171">
          <cell r="A171" t="str">
            <v>B076LGWYW2</v>
          </cell>
          <cell r="B171" t="str">
            <v>SKY-KND-FMAT-32GY</v>
          </cell>
          <cell r="C171" t="str">
            <v>抗疲劳垫</v>
          </cell>
          <cell r="D171" t="str">
            <v>Anti Fatigue Comfort Floor Mat By Sky Mats</v>
          </cell>
          <cell r="E171" t="str">
            <v>=DISPIMG("ID_2D7B9FD40C1B419880A9E84C765E54B3",1)</v>
          </cell>
          <cell r="F171" t="str">
            <v>脚垫</v>
          </cell>
          <cell r="G171">
            <v>1.4</v>
          </cell>
          <cell r="H171">
            <v>82</v>
          </cell>
          <cell r="I171">
            <v>51</v>
          </cell>
          <cell r="J171">
            <v>2</v>
          </cell>
          <cell r="K171">
            <v>0.008364</v>
          </cell>
          <cell r="L171" t="str">
            <v>84 * 53 * 22</v>
          </cell>
          <cell r="M171">
            <v>14.5</v>
          </cell>
          <cell r="N171">
            <v>0.097944</v>
          </cell>
          <cell r="O171">
            <v>10</v>
          </cell>
          <cell r="P171" t="str">
            <v>712038025800</v>
          </cell>
          <cell r="Q171">
            <v>13.15</v>
          </cell>
          <cell r="R171">
            <v>56</v>
          </cell>
          <cell r="S171">
            <v>5.6</v>
          </cell>
          <cell r="T171">
            <v>0.5484864</v>
          </cell>
          <cell r="U171">
            <v>24</v>
          </cell>
        </row>
        <row r="172">
          <cell r="A172" t="str">
            <v>B07DZS2VXJ</v>
          </cell>
          <cell r="B172" t="str">
            <v>MXL-KND-BarKit-11pcRwsSlv-ASMBL</v>
          </cell>
          <cell r="C172" t="str">
            <v>调酒套件和支架</v>
          </cell>
          <cell r="D172" t="str">
            <v>Bartender Kit 11pc Rustic Wood Stand Silver</v>
          </cell>
          <cell r="E172" t="str">
            <v>=DISPIMG("ID_8848BA31545447139E7AB280A3B77CAC",1)</v>
          </cell>
          <cell r="F172" t="str">
            <v>厨房用具</v>
          </cell>
          <cell r="G172">
            <v>1.7</v>
          </cell>
          <cell r="H172">
            <v>39</v>
          </cell>
          <cell r="I172">
            <v>31</v>
          </cell>
          <cell r="J172">
            <v>11</v>
          </cell>
          <cell r="K172">
            <v>0.013299</v>
          </cell>
          <cell r="L172" t="str">
            <v>57*41*32</v>
          </cell>
          <cell r="M172">
            <v>9.79</v>
          </cell>
          <cell r="N172">
            <v>0.074784</v>
          </cell>
          <cell r="O172">
            <v>5</v>
          </cell>
          <cell r="P172" t="str">
            <v>810090950082</v>
          </cell>
          <cell r="Q172">
            <v>14.84</v>
          </cell>
          <cell r="R172">
            <v>37</v>
          </cell>
          <cell r="S172">
            <v>7.4</v>
          </cell>
          <cell r="T172">
            <v>0.5534016</v>
          </cell>
          <cell r="U172">
            <v>23</v>
          </cell>
        </row>
        <row r="173">
          <cell r="A173" t="str">
            <v>B00DO899HU</v>
          </cell>
          <cell r="B173" t="str">
            <v>PLT-GAO-BxTrk-GftBx</v>
          </cell>
          <cell r="C173" t="str">
            <v>园丁盒</v>
          </cell>
          <cell r="D173" t="str">
            <v>Plant Theatre Gardeners Box of Tricks</v>
          </cell>
          <cell r="E173" t="str">
            <v>=DISPIMG("ID_7F2CF191C66148F2900D5F07D2FCBF7A",1)</v>
          </cell>
          <cell r="F173" t="str">
            <v>园艺</v>
          </cell>
          <cell r="G173">
            <v>1.2</v>
          </cell>
          <cell r="H173">
            <v>28</v>
          </cell>
          <cell r="I173">
            <v>28</v>
          </cell>
          <cell r="J173" t="str">
            <v>6.1</v>
          </cell>
          <cell r="K173">
            <v>0.0047824</v>
          </cell>
          <cell r="L173" t="str">
            <v>57.6*52.4*29*6</v>
          </cell>
          <cell r="M173">
            <v>20.76</v>
          </cell>
          <cell r="N173">
            <v>0.089339904</v>
          </cell>
          <cell r="O173">
            <v>16</v>
          </cell>
          <cell r="P173" t="str">
            <v>5060236731050,5060236731098</v>
          </cell>
          <cell r="Q173">
            <v>10.88</v>
          </cell>
          <cell r="R173">
            <v>3171</v>
          </cell>
          <cell r="S173">
            <v>198.1875</v>
          </cell>
          <cell r="T173">
            <v>17.706052224</v>
          </cell>
          <cell r="U173">
            <v>22</v>
          </cell>
        </row>
        <row r="174">
          <cell r="A174" t="str">
            <v>B08NTRQX3B</v>
          </cell>
          <cell r="B174" t="str">
            <v>DAT-APA-TrOr1-Tn</v>
          </cell>
          <cell r="C174" t="str">
            <v>汽车后备箱收纳器</v>
          </cell>
          <cell r="D174" t="str">
            <v>Car Trunk Storage Organizer 1 Pack Tan</v>
          </cell>
          <cell r="E174" t="str">
            <v>=DISPIMG("ID_A730ED25D27949DE8372A0062AAFCCFA",1)</v>
          </cell>
          <cell r="F174" t="str">
            <v>汽车</v>
          </cell>
          <cell r="G174" t="str">
            <v>1.7</v>
          </cell>
          <cell r="H174">
            <v>45</v>
          </cell>
          <cell r="I174">
            <v>29</v>
          </cell>
          <cell r="J174">
            <v>5</v>
          </cell>
          <cell r="K174">
            <v>0.006525</v>
          </cell>
          <cell r="L174" t="str">
            <v>45*30*45</v>
          </cell>
          <cell r="M174">
            <v>17.4</v>
          </cell>
          <cell r="N174">
            <v>0.06075</v>
          </cell>
          <cell r="O174">
            <v>10</v>
          </cell>
        </row>
        <row r="174">
          <cell r="R174">
            <v>731</v>
          </cell>
        </row>
        <row r="174">
          <cell r="U174">
            <v>22</v>
          </cell>
        </row>
        <row r="175">
          <cell r="A175" t="str">
            <v>B07M6FXGLC</v>
          </cell>
          <cell r="B175" t="str">
            <v>QLT-HOK-WB8692Q20lb-BLU</v>
          </cell>
          <cell r="C175" t="str">
            <v>加重毯子</v>
          </cell>
          <cell r="D175" t="str">
            <v>Weighted Blanket- 20 lbs - 86"x92" Queen Size Bed, Navy Blue</v>
          </cell>
          <cell r="E175" t="str">
            <v>=DISPIMG("ID_7C8A0E67814742448FA62ECCAE859739",1)</v>
          </cell>
          <cell r="F175" t="str">
            <v>家居</v>
          </cell>
          <cell r="G175">
            <v>12.5</v>
          </cell>
          <cell r="H175">
            <v>50</v>
          </cell>
          <cell r="I175">
            <v>39</v>
          </cell>
          <cell r="J175">
            <v>24</v>
          </cell>
          <cell r="K175">
            <v>0.0468</v>
          </cell>
          <cell r="L175" t="str">
            <v>50*41*29</v>
          </cell>
          <cell r="M175">
            <v>22</v>
          </cell>
          <cell r="N175">
            <v>0.02093</v>
          </cell>
          <cell r="O175">
            <v>1</v>
          </cell>
          <cell r="P175" t="str">
            <v>850017233973</v>
          </cell>
          <cell r="Q175">
            <v>58.9</v>
          </cell>
          <cell r="R175">
            <v>473</v>
          </cell>
          <cell r="S175">
            <v>473</v>
          </cell>
          <cell r="T175">
            <v>9.89989</v>
          </cell>
          <cell r="U175">
            <v>21</v>
          </cell>
        </row>
        <row r="176">
          <cell r="A176" t="str">
            <v>B09BNTL4WJ</v>
          </cell>
          <cell r="B176" t="str">
            <v>FD-S4716-FBA</v>
          </cell>
          <cell r="C176" t="str">
            <v>钢水瓶</v>
          </cell>
          <cell r="D176" t="str">
            <v>32oz BOTTLE
DOUBLE WALL 304 S/S 
Coppering
2 color Powder Coated
mix purple/green
3 LIDS(PP+PE+Silicone)</v>
          </cell>
          <cell r="E176" t="str">
            <v>=DISPIMG("ID_2F19677B944C4ACB9A564F4F87348A60",1)</v>
          </cell>
          <cell r="F176" t="str">
            <v>水瓶</v>
          </cell>
          <cell r="G176" t="str">
            <v>0.681</v>
          </cell>
          <cell r="H176" t="str">
            <v>35.1</v>
          </cell>
          <cell r="I176" t="str">
            <v>9.8</v>
          </cell>
          <cell r="J176" t="str">
            <v>10.8</v>
          </cell>
          <cell r="K176">
            <v>0.003714984</v>
          </cell>
          <cell r="L176" t="str">
            <v>61*42*37</v>
          </cell>
          <cell r="M176">
            <v>16.3</v>
          </cell>
          <cell r="N176">
            <v>0.094794</v>
          </cell>
          <cell r="O176">
            <v>24</v>
          </cell>
          <cell r="P176" t="str">
            <v>810158039025</v>
          </cell>
          <cell r="Q176">
            <v>8.5</v>
          </cell>
          <cell r="R176">
            <v>382</v>
          </cell>
          <cell r="S176">
            <v>15.9166666666667</v>
          </cell>
          <cell r="T176">
            <v>1.5088045</v>
          </cell>
          <cell r="U176">
            <v>21</v>
          </cell>
        </row>
        <row r="177">
          <cell r="A177" t="str">
            <v>B09BDKZ8K9</v>
          </cell>
          <cell r="B177" t="str">
            <v>FD-S4706-FBA</v>
          </cell>
          <cell r="C177" t="str">
            <v>钢水瓶</v>
          </cell>
          <cell r="D177" t="str">
            <v>32oz BOTTLE
DOUBLE WALL 304 S/S 
Coppering
Powder Coated
turquoise 7465c</v>
          </cell>
          <cell r="E177" t="str">
            <v>=DISPIMG("ID_FFE58FE3E2D84659939A98D3DBD61313",1)</v>
          </cell>
          <cell r="F177" t="str">
            <v>水瓶</v>
          </cell>
          <cell r="G177" t="str">
            <v>0.681</v>
          </cell>
          <cell r="H177" t="str">
            <v>34.9</v>
          </cell>
          <cell r="I177" t="str">
            <v>10.0</v>
          </cell>
          <cell r="J177" t="str">
            <v>10.2</v>
          </cell>
          <cell r="K177">
            <v>0.0035598</v>
          </cell>
          <cell r="L177" t="str">
            <v>61*42*37</v>
          </cell>
          <cell r="M177">
            <v>16.3</v>
          </cell>
          <cell r="N177">
            <v>0.094794</v>
          </cell>
          <cell r="O177">
            <v>24</v>
          </cell>
          <cell r="P177" t="str">
            <v>810158038936</v>
          </cell>
          <cell r="Q177">
            <v>7.24</v>
          </cell>
          <cell r="R177">
            <v>206</v>
          </cell>
          <cell r="S177">
            <v>8.58333333333333</v>
          </cell>
          <cell r="T177">
            <v>0.8136485</v>
          </cell>
          <cell r="U177">
            <v>21</v>
          </cell>
        </row>
        <row r="178">
          <cell r="A178" t="str">
            <v>B01078GH6A</v>
          </cell>
          <cell r="B178" t="str">
            <v>DAT-APA-GC1P-BS</v>
          </cell>
          <cell r="C178" t="str">
            <v>汽车垃圾桶</v>
          </cell>
          <cell r="D178" t="str">
            <v>Car Garbage Can by Drive Auto Products from The Drive Bin As Seen On TV Collection, Black Strap</v>
          </cell>
          <cell r="E178" t="str">
            <v>=DISPIMG("ID_356892EA19DD4251837E3E98B1E93B79",1)</v>
          </cell>
          <cell r="F178" t="str">
            <v>汽车</v>
          </cell>
          <cell r="G178" t="str">
            <v>0.340</v>
          </cell>
          <cell r="H178">
            <v>26</v>
          </cell>
          <cell r="I178">
            <v>24</v>
          </cell>
          <cell r="J178">
            <v>5</v>
          </cell>
          <cell r="K178">
            <v>0.00312</v>
          </cell>
          <cell r="L178" t="str">
            <v>49 * 40 * 46</v>
          </cell>
          <cell r="M178">
            <v>17</v>
          </cell>
          <cell r="N178">
            <v>0.09016</v>
          </cell>
          <cell r="O178">
            <v>50</v>
          </cell>
          <cell r="P178" t="str">
            <v>712324502381</v>
          </cell>
          <cell r="Q178">
            <v>4.1</v>
          </cell>
          <cell r="R178">
            <v>499</v>
          </cell>
          <cell r="S178">
            <v>9.98</v>
          </cell>
          <cell r="T178">
            <v>0.8997968</v>
          </cell>
          <cell r="U178">
            <v>20</v>
          </cell>
        </row>
        <row r="179">
          <cell r="A179" t="str">
            <v>B01D3TQHUQ</v>
          </cell>
          <cell r="B179" t="str">
            <v>DAT-APA-AFr1P-G</v>
          </cell>
          <cell r="C179" t="str">
            <v>汽车空气清新剂</v>
          </cell>
          <cell r="D179" t="str">
            <v>DRIVE Natural Car Air Freshener (Gray)</v>
          </cell>
          <cell r="E179" t="str">
            <v>=DISPIMG("ID_29E8F5D882DE4D73A58E13A0BFDA3017",1)</v>
          </cell>
          <cell r="F179" t="str">
            <v>汽车</v>
          </cell>
          <cell r="G179" t="str">
            <v>0.140</v>
          </cell>
          <cell r="H179" t="str">
            <v>12.7</v>
          </cell>
          <cell r="I179" t="str">
            <v>5.0</v>
          </cell>
          <cell r="J179" t="str">
            <v>15.2</v>
          </cell>
          <cell r="K179">
            <v>0.0009652</v>
          </cell>
        </row>
        <row r="179">
          <cell r="O179">
            <v>84</v>
          </cell>
          <cell r="P179" t="str">
            <v>635635174842</v>
          </cell>
          <cell r="Q179">
            <v>2.2</v>
          </cell>
          <cell r="R179">
            <v>420</v>
          </cell>
          <cell r="S179">
            <v>5</v>
          </cell>
          <cell r="T179">
            <v>0</v>
          </cell>
          <cell r="U179">
            <v>20</v>
          </cell>
        </row>
        <row r="180">
          <cell r="A180" t="str">
            <v>B01GM35TJU</v>
          </cell>
          <cell r="B180" t="str">
            <v>ULB-HOK-PPwPro2-K</v>
          </cell>
          <cell r="C180" t="str">
            <v>枕头保护套</v>
          </cell>
          <cell r="D180" t="str">
            <v>UltraPlush King Size Waterproof Pillow Protector - Dust Mite, Bed Bug Cover - Hypoallergenic - Zippered - Set of 2</v>
          </cell>
          <cell r="E180" t="str">
            <v>=DISPIMG("ID_A8F16309CFCC47D0AB8D60C2DFA07A86",1)</v>
          </cell>
          <cell r="F180" t="str">
            <v>床品</v>
          </cell>
          <cell r="G180">
            <v>0.4</v>
          </cell>
          <cell r="H180">
            <v>24.5</v>
          </cell>
          <cell r="I180">
            <v>23.5</v>
          </cell>
          <cell r="J180">
            <v>9</v>
          </cell>
          <cell r="K180">
            <v>0.00518175</v>
          </cell>
          <cell r="L180" t="str">
            <v>50*47*38</v>
          </cell>
          <cell r="M180">
            <v>10.7</v>
          </cell>
          <cell r="N180">
            <v>0.0893</v>
          </cell>
          <cell r="O180">
            <v>20</v>
          </cell>
          <cell r="P180" t="str">
            <v>712038097838</v>
          </cell>
          <cell r="Q180">
            <v>7.63</v>
          </cell>
          <cell r="R180">
            <v>220</v>
          </cell>
          <cell r="S180">
            <v>11</v>
          </cell>
          <cell r="T180">
            <v>0.9823</v>
          </cell>
          <cell r="U180">
            <v>20</v>
          </cell>
        </row>
        <row r="181">
          <cell r="A181" t="str">
            <v>B08HC8JBM2</v>
          </cell>
          <cell r="B181" t="str">
            <v>YHG-HOK-VlvtHngrTb-Ivy20pk</v>
          </cell>
          <cell r="C181" t="str">
            <v>天鹅绒衣架</v>
          </cell>
          <cell r="D181" t="str">
            <v>Velvet Hangers With Tie Bar Ivory set of 20</v>
          </cell>
          <cell r="E181" t="str">
            <v>=DISPIMG("ID_C3D6A4B6F5B440CD858E59E9A393B41E",1)</v>
          </cell>
          <cell r="F181" t="str">
            <v>衣架</v>
          </cell>
          <cell r="G181" t="str">
            <v>1.800</v>
          </cell>
          <cell r="H181">
            <v>43</v>
          </cell>
          <cell r="I181">
            <v>33</v>
          </cell>
          <cell r="J181">
            <v>7</v>
          </cell>
          <cell r="K181">
            <v>0.009933</v>
          </cell>
          <cell r="L181" t="str">
            <v>61 * 35 * 45</v>
          </cell>
          <cell r="M181">
            <v>14.9</v>
          </cell>
          <cell r="N181">
            <v>0.096075</v>
          </cell>
          <cell r="O181">
            <v>8</v>
          </cell>
          <cell r="P181" t="str">
            <v>810158035690</v>
          </cell>
          <cell r="Q181">
            <v>4.87</v>
          </cell>
          <cell r="R181">
            <v>3</v>
          </cell>
          <cell r="S181">
            <v>0.375</v>
          </cell>
          <cell r="T181">
            <v>0.036028125</v>
          </cell>
          <cell r="U181">
            <v>20</v>
          </cell>
        </row>
        <row r="182">
          <cell r="A182" t="str">
            <v>B00J4FHOB0</v>
          </cell>
          <cell r="B182" t="str">
            <v>SDT-TOH-SPWDbCXR-WH</v>
          </cell>
          <cell r="C182" t="str">
            <v>无线门铃</v>
          </cell>
          <cell r="D182" t="str">
            <v>Wireless Doorbell</v>
          </cell>
          <cell r="E182" t="str">
            <v>=DISPIMG("ID_DD5B43F984AF4C49AC0E3000CFE59EE4",1)</v>
          </cell>
          <cell r="F182" t="str">
            <v>门铃</v>
          </cell>
          <cell r="G182">
            <v>0.3</v>
          </cell>
          <cell r="H182">
            <v>18</v>
          </cell>
          <cell r="I182">
            <v>9.4</v>
          </cell>
          <cell r="J182">
            <v>8</v>
          </cell>
          <cell r="K182">
            <v>0.0013536</v>
          </cell>
          <cell r="L182" t="str">
            <v>38*34*40</v>
          </cell>
          <cell r="M182">
            <v>9.9</v>
          </cell>
          <cell r="N182">
            <v>0.05168</v>
          </cell>
          <cell r="O182">
            <v>32</v>
          </cell>
          <cell r="P182" t="str">
            <v>616453922822</v>
          </cell>
          <cell r="Q182">
            <v>11.42</v>
          </cell>
          <cell r="R182">
            <v>4992</v>
          </cell>
          <cell r="S182">
            <v>156</v>
          </cell>
          <cell r="T182">
            <v>8.06208</v>
          </cell>
          <cell r="U182">
            <v>19</v>
          </cell>
        </row>
        <row r="183">
          <cell r="A183" t="str">
            <v>B0B356JGLD</v>
          </cell>
          <cell r="B183" t="str">
            <v>YHG-HOK-FD-G101-3-RD</v>
          </cell>
          <cell r="C183" t="str">
            <v>保鲜饭盒</v>
          </cell>
          <cell r="D183" t="str">
            <v>Fine Dine-Glass Meal Prep Food Storage Containers rectangular 3 Pack, FD-G101/3-red</v>
          </cell>
          <cell r="E183" t="str">
            <v>=DISPIMG("ID_D951CBC85C2A40E5B102B3B3E2889346",1)</v>
          </cell>
          <cell r="F183" t="str">
            <v>厨房用具</v>
          </cell>
          <cell r="G183" t="str">
            <v>2.060</v>
          </cell>
          <cell r="H183" t="str">
            <v>23.1</v>
          </cell>
          <cell r="I183" t="str">
            <v>15.5</v>
          </cell>
          <cell r="J183" t="str">
            <v>21.0</v>
          </cell>
          <cell r="K183">
            <v>0.00751905</v>
          </cell>
        </row>
        <row r="183">
          <cell r="O183">
            <v>6</v>
          </cell>
          <cell r="P183" t="str">
            <v>810158038707</v>
          </cell>
          <cell r="Q183">
            <v>9.61</v>
          </cell>
          <cell r="R183">
            <v>171</v>
          </cell>
          <cell r="S183">
            <v>28.5</v>
          </cell>
          <cell r="T183">
            <v>0</v>
          </cell>
          <cell r="U183">
            <v>19</v>
          </cell>
        </row>
        <row r="184">
          <cell r="A184" t="str">
            <v>B08172M1KW</v>
          </cell>
          <cell r="B184" t="str">
            <v>BBD-BBY-VlvtHngr-Pnk15pk</v>
          </cell>
          <cell r="C184" t="str">
            <v>婴儿衣架</v>
          </cell>
          <cell r="D184" t="str">
            <v>Velvet Baby Hangers Pink 15 Pack</v>
          </cell>
          <cell r="E184" t="str">
            <v>=DISPIMG("ID_49AC89B9EC1246C391231889E430BCD2",1)</v>
          </cell>
          <cell r="F184" t="str">
            <v>衣架</v>
          </cell>
          <cell r="G184">
            <v>0.8</v>
          </cell>
          <cell r="H184">
            <v>28</v>
          </cell>
          <cell r="I184">
            <v>25</v>
          </cell>
          <cell r="J184">
            <v>6</v>
          </cell>
          <cell r="K184">
            <v>0.0042</v>
          </cell>
          <cell r="L184" t="str">
            <v>46*53*30</v>
          </cell>
          <cell r="M184">
            <v>13</v>
          </cell>
          <cell r="N184">
            <v>0.07314</v>
          </cell>
          <cell r="O184">
            <v>16</v>
          </cell>
          <cell r="P184" t="str">
            <v>X0016H2YH1,796029104002</v>
          </cell>
          <cell r="Q184">
            <v>3.05</v>
          </cell>
          <cell r="R184">
            <v>138</v>
          </cell>
          <cell r="S184">
            <v>8.625</v>
          </cell>
          <cell r="T184">
            <v>0.6308325</v>
          </cell>
          <cell r="U184">
            <v>19</v>
          </cell>
        </row>
        <row r="185">
          <cell r="A185" t="str">
            <v>B0722CY615</v>
          </cell>
          <cell r="B185" t="str">
            <v>YHG-KND-GlsFdCntnr-28Blu3pk</v>
          </cell>
          <cell r="C185" t="str">
            <v>膳食准备容器</v>
          </cell>
          <cell r="D185" t="str">
            <v>FineDine Superior Glass Meal Prep Food Storage Containers rectangular (3 Pack,) FD-G10 /3</v>
          </cell>
          <cell r="E185" t="str">
            <v>=DISPIMG("ID_C4D940FC58FA401E9A8330980CD7DC0B",1)</v>
          </cell>
          <cell r="F185" t="str">
            <v>厨房用具</v>
          </cell>
          <cell r="G185">
            <v>2</v>
          </cell>
          <cell r="H185">
            <v>24</v>
          </cell>
          <cell r="I185">
            <v>21</v>
          </cell>
          <cell r="J185">
            <v>16</v>
          </cell>
          <cell r="K185">
            <v>0.008064</v>
          </cell>
          <cell r="L185" t="str">
            <v>52*50*23</v>
          </cell>
          <cell r="M185">
            <v>12.8</v>
          </cell>
          <cell r="N185">
            <v>0.0598</v>
          </cell>
          <cell r="O185">
            <v>6</v>
          </cell>
          <cell r="P185" t="str">
            <v>810158030060</v>
          </cell>
          <cell r="Q185">
            <v>6.59</v>
          </cell>
          <cell r="R185">
            <v>43</v>
          </cell>
          <cell r="S185">
            <v>7.16666666666667</v>
          </cell>
          <cell r="T185">
            <v>0.428566666666667</v>
          </cell>
          <cell r="U185">
            <v>19</v>
          </cell>
        </row>
        <row r="186">
          <cell r="A186" t="str">
            <v>B0B2JD8HM1</v>
          </cell>
          <cell r="B186" t="str">
            <v>YHG-HOK-FD-SC105</v>
          </cell>
          <cell r="C186" t="str">
            <v>硅胶烘焙垫</v>
          </cell>
          <cell r="D186" t="str">
            <v>Fine Dine-Silicone baking mat set of 2-red</v>
          </cell>
          <cell r="E186" t="str">
            <v>=DISPIMG("ID_43AFA139A200466CAB3F050DB7FBEE94",1)</v>
          </cell>
          <cell r="F186" t="str">
            <v>厨房用具</v>
          </cell>
          <cell r="G186" t="str">
            <v>0.150</v>
          </cell>
          <cell r="H186" t="str">
            <v>12.7</v>
          </cell>
          <cell r="I186" t="str">
            <v>1.8</v>
          </cell>
          <cell r="J186" t="str">
            <v>2.0</v>
          </cell>
          <cell r="K186">
            <v>4.572e-5</v>
          </cell>
          <cell r="L186" t="str">
            <v>53 * 29 * 36</v>
          </cell>
          <cell r="M186">
            <v>14.5</v>
          </cell>
          <cell r="N186">
            <v>0.055332</v>
          </cell>
          <cell r="O186">
            <v>50</v>
          </cell>
          <cell r="P186" t="str">
            <v>810078882756</v>
          </cell>
          <cell r="Q186">
            <v>3.68</v>
          </cell>
          <cell r="R186">
            <v>347</v>
          </cell>
          <cell r="S186">
            <v>6.94</v>
          </cell>
          <cell r="T186">
            <v>0.38400408</v>
          </cell>
          <cell r="U186">
            <v>18</v>
          </cell>
        </row>
        <row r="187">
          <cell r="A187" t="str">
            <v>B01IAM9NZ2</v>
          </cell>
          <cell r="B187" t="str">
            <v>YHG-HOK-UndbdStrgBg-Blk2pk</v>
          </cell>
          <cell r="C187" t="str">
            <v>衣柜收纳件</v>
          </cell>
          <cell r="D187" t="str">
            <v>Underbed Storage Bag Organizer (2Pack) Large Capacity Storage Box with Reinforced Strap Handles</v>
          </cell>
          <cell r="E187" t="str">
            <v>=DISPIMG("ID_A4AE302FA2AF4379AA9A7FA1F843F01D",1)</v>
          </cell>
          <cell r="F187" t="str">
            <v>收纳</v>
          </cell>
          <cell r="G187">
            <v>0.5</v>
          </cell>
          <cell r="H187">
            <v>22</v>
          </cell>
          <cell r="I187">
            <v>16</v>
          </cell>
          <cell r="J187">
            <v>8</v>
          </cell>
          <cell r="K187">
            <v>0.002816</v>
          </cell>
          <cell r="L187" t="str">
            <v>36 * 24 * 46</v>
          </cell>
          <cell r="M187">
            <v>6.5</v>
          </cell>
          <cell r="N187">
            <v>0.039744</v>
          </cell>
          <cell r="O187">
            <v>12</v>
          </cell>
          <cell r="P187" t="str">
            <v>810158030701</v>
          </cell>
          <cell r="Q187">
            <v>2.61</v>
          </cell>
          <cell r="R187">
            <v>1956</v>
          </cell>
          <cell r="S187">
            <v>163</v>
          </cell>
          <cell r="T187">
            <v>6.478272</v>
          </cell>
          <cell r="U187">
            <v>17</v>
          </cell>
        </row>
        <row r="188">
          <cell r="A188" t="str">
            <v>B09BDLMCXL</v>
          </cell>
          <cell r="B188" t="str">
            <v>FD-S4709-FBA</v>
          </cell>
          <cell r="C188" t="str">
            <v>钢水瓶</v>
          </cell>
          <cell r="D188" t="str">
            <v>32oz BOTTLE
DOUBLE WALL 304 S/S 
Coppering
Powder Coated
Army Green(new color)
3 LIDS(PP+PE+Silicone)
100% leakproof 
can pass the paint adhesion testing
Keep Hot 8H&amp; Cold 10H
color Box</v>
          </cell>
          <cell r="E188" t="str">
            <v>=DISPIMG("ID_E0320943C04942CDB4C57741664E63EC",1)</v>
          </cell>
          <cell r="F188" t="str">
            <v>水瓶</v>
          </cell>
          <cell r="G188">
            <v>0.58</v>
          </cell>
          <cell r="H188">
            <v>34.8</v>
          </cell>
          <cell r="I188">
            <v>10.2</v>
          </cell>
          <cell r="J188">
            <v>10</v>
          </cell>
          <cell r="K188">
            <v>0.0035496</v>
          </cell>
          <cell r="L188" t="str">
            <v>61.5*41.8*38</v>
          </cell>
          <cell r="M188">
            <v>16.12</v>
          </cell>
          <cell r="N188">
            <v>0.0976866</v>
          </cell>
          <cell r="O188">
            <v>24</v>
          </cell>
          <cell r="P188" t="str">
            <v>810158038950</v>
          </cell>
          <cell r="Q188">
            <v>6.07</v>
          </cell>
          <cell r="R188">
            <v>287</v>
          </cell>
          <cell r="S188">
            <v>11.9583333333333</v>
          </cell>
          <cell r="T188">
            <v>1.168168925</v>
          </cell>
          <cell r="U188">
            <v>17</v>
          </cell>
        </row>
        <row r="189">
          <cell r="A189" t="str">
            <v>B09CWYMCH8</v>
          </cell>
          <cell r="B189" t="str">
            <v>YHG-HOK-FD-S3101-BLK</v>
          </cell>
          <cell r="C189" t="str">
            <v>厨房用具架</v>
          </cell>
          <cell r="D189" t="str">
            <v>STAINLESS STEEL ROTATION UTENSIL HOLDER WITH REMOVEABLE INSERT FD-S3101/BLACK</v>
          </cell>
          <cell r="E189" t="str">
            <v>=DISPIMG("ID_F709C3A0FCE249D09355EA5964EEE868",1)</v>
          </cell>
          <cell r="F189" t="str">
            <v>厨房用具</v>
          </cell>
          <cell r="G189" t="str">
            <v>1.06</v>
          </cell>
          <cell r="H189" t="str">
            <v>20.2</v>
          </cell>
          <cell r="I189" t="str">
            <v>18.2</v>
          </cell>
          <cell r="J189" t="str">
            <v>18.5</v>
          </cell>
          <cell r="K189">
            <v>0.00680134</v>
          </cell>
          <cell r="L189" t="str">
            <v>56*40*23</v>
          </cell>
          <cell r="M189">
            <v>6.5</v>
          </cell>
          <cell r="N189">
            <v>0.05152</v>
          </cell>
          <cell r="O189">
            <v>6</v>
          </cell>
          <cell r="P189" t="str">
            <v>810078881599</v>
          </cell>
          <cell r="Q189">
            <v>8.83</v>
          </cell>
          <cell r="R189">
            <v>186</v>
          </cell>
          <cell r="S189">
            <v>31</v>
          </cell>
          <cell r="T189">
            <v>1.59712</v>
          </cell>
          <cell r="U189">
            <v>17</v>
          </cell>
        </row>
        <row r="190">
          <cell r="A190" t="str">
            <v>B07N8HFW6D</v>
          </cell>
          <cell r="B190" t="str">
            <v>HAD-HAK-SpgHld-Wht</v>
          </cell>
          <cell r="C190" t="str">
            <v>海绵托白色</v>
          </cell>
          <cell r="D190" t="str">
            <v>Sponge Holder White</v>
          </cell>
          <cell r="E190" t="str">
            <v>=DISPIMG("ID_6C4342EECC6246F5960540BF9E97B50E",1)</v>
          </cell>
          <cell r="F190" t="str">
            <v>清洁</v>
          </cell>
        </row>
        <row r="190">
          <cell r="P190" t="str">
            <v>X002179H5P</v>
          </cell>
        </row>
        <row r="190">
          <cell r="R190">
            <v>162</v>
          </cell>
        </row>
        <row r="190">
          <cell r="T190">
            <v>0</v>
          </cell>
          <cell r="U190">
            <v>17</v>
          </cell>
        </row>
        <row r="191">
          <cell r="A191" t="str">
            <v>B07NDSWRY8</v>
          </cell>
          <cell r="B191" t="str">
            <v>MCC-HOK-PiCnd-3x6LtBlu3pk</v>
          </cell>
          <cell r="C191" t="str">
            <v>无香蜡烛</v>
          </cell>
          <cell r="D191" t="str">
            <v>Light Blue Pillar Candles 3" x 6" Set of 3</v>
          </cell>
          <cell r="E191" t="str">
            <v>=DISPIMG("ID_87C5380FCDE741A4A75E465AC906B542",1)</v>
          </cell>
          <cell r="F191" t="str">
            <v>蜡烛</v>
          </cell>
          <cell r="G191">
            <v>1.8</v>
          </cell>
          <cell r="H191">
            <v>24</v>
          </cell>
          <cell r="I191">
            <v>16</v>
          </cell>
          <cell r="J191">
            <v>9</v>
          </cell>
          <cell r="K191">
            <v>0.003456</v>
          </cell>
          <cell r="L191" t="str">
            <v>36*26*17</v>
          </cell>
          <cell r="M191">
            <v>7.5</v>
          </cell>
          <cell r="N191">
            <v>0.015912</v>
          </cell>
          <cell r="O191">
            <v>4</v>
          </cell>
          <cell r="P191" t="str">
            <v>850031125148</v>
          </cell>
          <cell r="Q191">
            <v>8.62</v>
          </cell>
          <cell r="R191">
            <v>141</v>
          </cell>
          <cell r="S191">
            <v>35.25</v>
          </cell>
          <cell r="T191">
            <v>0.560898</v>
          </cell>
          <cell r="U191">
            <v>17</v>
          </cell>
        </row>
        <row r="192">
          <cell r="A192" t="str">
            <v>B01AMOB3AY</v>
          </cell>
          <cell r="B192" t="str">
            <v>PWP-SPO-LEDRope-PLS10ft</v>
          </cell>
          <cell r="C192" t="str">
            <v>LED灯绳</v>
          </cell>
          <cell r="D192" t="str">
            <v>LED Light Rope Plus 10 ft</v>
          </cell>
          <cell r="E192" t="str">
            <v>=DISPIMG("ID_950C64312A904DAF8BD21ED1DE2CDC55",1)</v>
          </cell>
          <cell r="F192" t="str">
            <v>工具</v>
          </cell>
          <cell r="G192">
            <v>0.4</v>
          </cell>
          <cell r="H192">
            <v>30</v>
          </cell>
          <cell r="I192">
            <v>16</v>
          </cell>
          <cell r="J192">
            <v>7</v>
          </cell>
          <cell r="K192">
            <v>0.00336</v>
          </cell>
          <cell r="L192" t="str">
            <v>46*46*41</v>
          </cell>
          <cell r="M192">
            <v>21.4</v>
          </cell>
          <cell r="N192">
            <v>0.086756</v>
          </cell>
          <cell r="O192">
            <v>50</v>
          </cell>
          <cell r="P192" t="str">
            <v>855640004235</v>
          </cell>
          <cell r="Q192">
            <v>18.18</v>
          </cell>
          <cell r="R192">
            <v>122</v>
          </cell>
          <cell r="S192">
            <v>2.44</v>
          </cell>
          <cell r="T192">
            <v>0.21168464</v>
          </cell>
          <cell r="U192">
            <v>17</v>
          </cell>
        </row>
        <row r="193">
          <cell r="A193" t="str">
            <v>B07ZJYD1H5</v>
          </cell>
          <cell r="B193" t="str">
            <v>YHG-HOK-OrnSrtgBx-3128Rdot1</v>
          </cell>
          <cell r="C193" t="str">
            <v>饰品收纳</v>
          </cell>
          <cell r="D193" t="str">
            <v>Large 128 PP Ornament 3" Box Clear Red trim</v>
          </cell>
          <cell r="E193" t="str">
            <v>=DISPIMG("ID_36ACA212D1154230AB4A771A2D76338E",1)</v>
          </cell>
          <cell r="F193" t="str">
            <v>圣诞</v>
          </cell>
          <cell r="G193">
            <v>2.04</v>
          </cell>
          <cell r="H193">
            <v>37</v>
          </cell>
          <cell r="I193">
            <v>34.4</v>
          </cell>
          <cell r="J193">
            <v>6.2</v>
          </cell>
          <cell r="K193">
            <v>0.00789136</v>
          </cell>
          <cell r="L193" t="str">
            <v>38*38*36.4</v>
          </cell>
          <cell r="M193">
            <v>13.06</v>
          </cell>
          <cell r="N193">
            <v>0.0525616</v>
          </cell>
          <cell r="O193">
            <v>6</v>
          </cell>
          <cell r="P193" t="str">
            <v>810158036574</v>
          </cell>
          <cell r="Q193">
            <v>7.48</v>
          </cell>
          <cell r="R193">
            <v>99</v>
          </cell>
          <cell r="S193">
            <v>16.5</v>
          </cell>
          <cell r="T193">
            <v>0.8672664</v>
          </cell>
          <cell r="U193">
            <v>17</v>
          </cell>
        </row>
        <row r="194">
          <cell r="A194" t="str">
            <v>B00KFM68OA</v>
          </cell>
          <cell r="B194" t="str">
            <v>SDT-TOH-SPWDbC-Rd</v>
          </cell>
          <cell r="C194" t="str">
            <v>无线门铃</v>
          </cell>
          <cell r="D194" t="str">
            <v>Star Point Wireless Doorbell Model C Red</v>
          </cell>
          <cell r="E194" t="str">
            <v>=DISPIMG("ID_C0D1296AA1D8445B9AE0422BE5607834",1)</v>
          </cell>
          <cell r="F194" t="str">
            <v>门铃</v>
          </cell>
          <cell r="G194">
            <v>0.2</v>
          </cell>
          <cell r="H194">
            <v>10</v>
          </cell>
          <cell r="I194">
            <v>9</v>
          </cell>
          <cell r="J194">
            <v>7</v>
          </cell>
          <cell r="K194">
            <v>0.00063</v>
          </cell>
          <cell r="L194" t="str">
            <v>47*39*23</v>
          </cell>
          <cell r="M194">
            <v>9.3</v>
          </cell>
          <cell r="N194">
            <v>0.042159</v>
          </cell>
          <cell r="O194">
            <v>50</v>
          </cell>
          <cell r="P194" t="str">
            <v>616453922945</v>
          </cell>
          <cell r="Q194">
            <v>6.43</v>
          </cell>
          <cell r="R194">
            <v>2847</v>
          </cell>
          <cell r="S194">
            <v>56.94</v>
          </cell>
          <cell r="T194">
            <v>2.40053346</v>
          </cell>
          <cell r="U194">
            <v>15</v>
          </cell>
        </row>
        <row r="195">
          <cell r="A195" t="str">
            <v>B01466XCSA</v>
          </cell>
          <cell r="B195" t="str">
            <v>DAT-APA-LnRef-40</v>
          </cell>
          <cell r="C195" t="str">
            <v>汽车垃圾桶内衬</v>
          </cell>
          <cell r="D195" t="str">
            <v>Liner Refill Kit (40 Pack) - The DRIVE Car Bin</v>
          </cell>
          <cell r="E195" t="str">
            <v>=DISPIMG("ID_AFCCA2171C254A7199647810D0D17F0C",1)</v>
          </cell>
          <cell r="F195" t="str">
            <v>汽车</v>
          </cell>
          <cell r="G195">
            <v>0.2</v>
          </cell>
          <cell r="H195">
            <v>10</v>
          </cell>
          <cell r="I195">
            <v>13</v>
          </cell>
          <cell r="J195">
            <v>5</v>
          </cell>
          <cell r="K195">
            <v>0.00065</v>
          </cell>
          <cell r="L195" t="str">
            <v>29 * 40 * 20</v>
          </cell>
          <cell r="M195">
            <v>7.3</v>
          </cell>
          <cell r="N195">
            <v>0.0232</v>
          </cell>
          <cell r="O195">
            <v>32</v>
          </cell>
          <cell r="P195" t="str">
            <v>731236562252</v>
          </cell>
          <cell r="Q195">
            <v>1.08</v>
          </cell>
          <cell r="R195">
            <v>191</v>
          </cell>
          <cell r="S195">
            <v>5.96875</v>
          </cell>
          <cell r="T195">
            <v>0.138475</v>
          </cell>
          <cell r="U195">
            <v>15</v>
          </cell>
        </row>
        <row r="196">
          <cell r="A196" t="str">
            <v>B09BDMKZN4</v>
          </cell>
          <cell r="B196" t="str">
            <v>FD-S4906-FBA</v>
          </cell>
          <cell r="C196" t="str">
            <v>钢水瓶</v>
          </cell>
          <cell r="D196" t="str">
            <v>64oz BOTTLE
DOUBLE WALL 304 S/S 
Coppering
Powder Coated
turquoise 7465c
3 LIDS(PP+PE+Silicone)</v>
          </cell>
          <cell r="E196" t="str">
            <v>=DISPIMG("ID_6198BE57A18F4658B0D6F2B9E8DFCA4E",1)</v>
          </cell>
          <cell r="F196" t="str">
            <v>水瓶</v>
          </cell>
          <cell r="G196" t="str">
            <v>1.17</v>
          </cell>
          <cell r="H196" t="str">
            <v>32.9</v>
          </cell>
          <cell r="I196" t="str">
            <v>13.2</v>
          </cell>
          <cell r="J196" t="str">
            <v>13.2</v>
          </cell>
          <cell r="K196">
            <v>0.005732496</v>
          </cell>
          <cell r="L196" t="str">
            <v>55 * 42 * 35</v>
          </cell>
          <cell r="M196">
            <v>13.8</v>
          </cell>
          <cell r="N196">
            <v>0.08085</v>
          </cell>
          <cell r="O196">
            <v>12</v>
          </cell>
          <cell r="P196" t="str">
            <v>810158039346</v>
          </cell>
          <cell r="Q196">
            <v>12.41</v>
          </cell>
          <cell r="R196">
            <v>160</v>
          </cell>
          <cell r="S196">
            <v>13.3333333333333</v>
          </cell>
          <cell r="T196">
            <v>1.078</v>
          </cell>
          <cell r="U196">
            <v>15</v>
          </cell>
        </row>
        <row r="197">
          <cell r="A197" t="str">
            <v>B00AT9IYAU</v>
          </cell>
          <cell r="B197" t="str">
            <v>HMC-MUT-SpnoUkleBdl-Blu</v>
          </cell>
          <cell r="C197" t="str">
            <v>女高音尤克里里</v>
          </cell>
          <cell r="D197" t="str">
            <v>Soprano 21" Ukulele Bundle Blue</v>
          </cell>
          <cell r="E197" t="str">
            <v>=DISPIMG("ID_13A3F7A8E56641F69287F9FCFD3E4575",1)</v>
          </cell>
        </row>
        <row r="197">
          <cell r="G197">
            <v>0.9</v>
          </cell>
          <cell r="H197">
            <v>22</v>
          </cell>
          <cell r="I197">
            <v>56</v>
          </cell>
          <cell r="J197">
            <v>8</v>
          </cell>
          <cell r="K197">
            <v>0.009856</v>
          </cell>
          <cell r="L197" t="str">
            <v>60*58*35</v>
          </cell>
          <cell r="M197">
            <v>14</v>
          </cell>
          <cell r="N197">
            <v>0.1218</v>
          </cell>
          <cell r="O197">
            <v>6</v>
          </cell>
          <cell r="P197" t="str">
            <v>639266213741</v>
          </cell>
          <cell r="Q197">
            <v>14.48</v>
          </cell>
          <cell r="R197">
            <v>112</v>
          </cell>
          <cell r="S197">
            <v>18.6666666666667</v>
          </cell>
          <cell r="T197">
            <v>2.2736</v>
          </cell>
          <cell r="U197">
            <v>15</v>
          </cell>
        </row>
        <row r="198">
          <cell r="A198" t="str">
            <v>B09BNWQPG1</v>
          </cell>
          <cell r="B198" t="str">
            <v>FD-S4915-FBA</v>
          </cell>
          <cell r="C198" t="str">
            <v>钢水瓶</v>
          </cell>
          <cell r="D198" t="str">
            <v>64oz BOTTLE
DOUBLE WALL 304 S/S
Coppering 
2 color powder coated
mix pink /blue
3 LIDS(PP+PE+Silicone)
100% leakproof 
can pass the paint adhesion testing
Keep Hot 8H&amp; Cold 10H
color Box</v>
          </cell>
          <cell r="E198" t="str">
            <v>=DISPIMG("ID_7E001A54FA1345909BAC9081ED1F7932",1)</v>
          </cell>
          <cell r="F198" t="str">
            <v>水瓶</v>
          </cell>
          <cell r="G198" t="str">
            <v>1.1</v>
          </cell>
          <cell r="H198">
            <v>13</v>
          </cell>
          <cell r="I198">
            <v>13</v>
          </cell>
          <cell r="J198">
            <v>33</v>
          </cell>
          <cell r="K198">
            <v>0.005577</v>
          </cell>
          <cell r="L198" t="str">
            <v>55 * 42 * 35</v>
          </cell>
          <cell r="M198">
            <v>13.8</v>
          </cell>
          <cell r="N198">
            <v>0.08085</v>
          </cell>
          <cell r="O198">
            <v>12</v>
          </cell>
          <cell r="P198" t="str">
            <v>810158039421</v>
          </cell>
          <cell r="Q198">
            <v>13.3</v>
          </cell>
          <cell r="R198">
            <v>64</v>
          </cell>
          <cell r="S198">
            <v>5.33333333333333</v>
          </cell>
          <cell r="T198">
            <v>0.4312</v>
          </cell>
          <cell r="U198">
            <v>15</v>
          </cell>
        </row>
        <row r="199">
          <cell r="A199" t="str">
            <v>B01N5V5GHU</v>
          </cell>
          <cell r="B199" t="str">
            <v>MCC-HOK-PiCnd-3x6T/TlFF3pk</v>
          </cell>
          <cell r="C199" t="str">
            <v>无香蜡烛</v>
          </cell>
          <cell r="D199" t="str">
            <v>Turquoise/Teal Pillar Candles 3" x 6" Set of 3</v>
          </cell>
          <cell r="E199" t="str">
            <v>=DISPIMG("ID_7359DA423DC84FABA6EC82C4D1D92337",1)</v>
          </cell>
          <cell r="F199" t="str">
            <v>蜡烛</v>
          </cell>
          <cell r="G199" t="str">
            <v>1.800</v>
          </cell>
          <cell r="H199">
            <v>24.5</v>
          </cell>
          <cell r="I199">
            <v>16</v>
          </cell>
          <cell r="J199">
            <v>9</v>
          </cell>
          <cell r="K199">
            <v>0.003528</v>
          </cell>
          <cell r="L199" t="str">
            <v>26 * 18 * 36</v>
          </cell>
          <cell r="M199">
            <v>7.4</v>
          </cell>
          <cell r="N199">
            <v>0.016848</v>
          </cell>
          <cell r="O199">
            <v>4</v>
          </cell>
          <cell r="P199" t="str">
            <v>850031125209</v>
          </cell>
          <cell r="Q199">
            <v>9.04</v>
          </cell>
          <cell r="R199">
            <v>852</v>
          </cell>
          <cell r="S199">
            <v>213</v>
          </cell>
          <cell r="T199">
            <v>3.588624</v>
          </cell>
          <cell r="U199">
            <v>14</v>
          </cell>
        </row>
        <row r="200">
          <cell r="A200" t="str">
            <v>B00842PDE4</v>
          </cell>
          <cell r="B200" t="str">
            <v>PT/BIRDBOX/FEEDER/</v>
          </cell>
          <cell r="C200" t="str">
            <v>植物支架</v>
          </cell>
          <cell r="D200" t="str">
            <v>Plant Theatre Bird Nesting Box &amp; Apple Feeder Set, Gift Boxed - Ideal Present</v>
          </cell>
          <cell r="E200" t="str">
            <v>=DISPIMG("ID_6EFD08C346B64EC59D43DDC166F17682",1)</v>
          </cell>
          <cell r="F200" t="str">
            <v>园艺</v>
          </cell>
          <cell r="G200">
            <v>1</v>
          </cell>
          <cell r="H200">
            <v>23</v>
          </cell>
          <cell r="I200">
            <v>19</v>
          </cell>
          <cell r="J200">
            <v>22.5</v>
          </cell>
          <cell r="K200">
            <v>0.0098325</v>
          </cell>
          <cell r="L200" t="str">
            <v>48*48*47</v>
          </cell>
          <cell r="M200">
            <v>8.7</v>
          </cell>
          <cell r="N200">
            <v>0.108288</v>
          </cell>
          <cell r="O200">
            <v>8</v>
          </cell>
          <cell r="P200" t="str">
            <v>5060236730916</v>
          </cell>
          <cell r="Q200">
            <v>3.31</v>
          </cell>
          <cell r="R200">
            <v>126</v>
          </cell>
          <cell r="S200">
            <v>15.75</v>
          </cell>
          <cell r="T200">
            <v>1.705536</v>
          </cell>
          <cell r="U200">
            <v>14</v>
          </cell>
        </row>
        <row r="201">
          <cell r="A201" t="str">
            <v>B081TKCW5F</v>
          </cell>
          <cell r="B201" t="str">
            <v>YHG-KND-InsulBgSt-Blk</v>
          </cell>
          <cell r="C201" t="str">
            <v>午餐盒套装</v>
          </cell>
          <cell r="D201" t="str">
            <v>2Compartment Lunch Insulation Bag, Ice Pack, and Glass Box Set Black</v>
          </cell>
          <cell r="E201" t="str">
            <v>=DISPIMG("ID_4ACE4884FB274478A649CDEDE3D6B8FD",1)</v>
          </cell>
          <cell r="F201" t="str">
            <v>厨房用具</v>
          </cell>
          <cell r="G201">
            <v>2.2</v>
          </cell>
          <cell r="H201">
            <v>27</v>
          </cell>
          <cell r="I201">
            <v>25</v>
          </cell>
          <cell r="J201">
            <v>18</v>
          </cell>
          <cell r="K201">
            <v>0.01215</v>
          </cell>
          <cell r="L201" t="str">
            <v>57*55*27</v>
          </cell>
          <cell r="M201">
            <v>14</v>
          </cell>
          <cell r="N201">
            <v>0.084645</v>
          </cell>
          <cell r="O201">
            <v>6</v>
          </cell>
          <cell r="P201" t="e">
            <v>#N/A</v>
          </cell>
          <cell r="Q201">
            <v>10.29</v>
          </cell>
          <cell r="R201">
            <v>7</v>
          </cell>
          <cell r="S201">
            <v>1.16666666666667</v>
          </cell>
          <cell r="T201">
            <v>0.0987525</v>
          </cell>
          <cell r="U201">
            <v>14</v>
          </cell>
        </row>
        <row r="202">
          <cell r="A202" t="str">
            <v>B07S7NJJRZ</v>
          </cell>
          <cell r="B202" t="str">
            <v>FNW-HOK-PlwQn-2Pk</v>
          </cell>
          <cell r="C202" t="str">
            <v>床枕套装</v>
          </cell>
          <cell r="D202" t="str">
            <v>Bed Pillow Set - 2 Pack of Prem, Down Alt Pillows</v>
          </cell>
          <cell r="E202" t="str">
            <v>=DISPIMG("ID_F5276040A00B4D09B5EE1FD4E90482B6",1)</v>
          </cell>
          <cell r="F202" t="str">
            <v>床品</v>
          </cell>
        </row>
        <row r="202">
          <cell r="R202">
            <v>227</v>
          </cell>
        </row>
        <row r="202">
          <cell r="U202">
            <v>13</v>
          </cell>
        </row>
        <row r="203">
          <cell r="A203" t="str">
            <v>B015P5XL8W</v>
          </cell>
          <cell r="B203" t="str">
            <v>HCO-HOK-Cork2</v>
          </cell>
          <cell r="C203" t="str">
            <v>翼形开瓶器</v>
          </cell>
          <cell r="D203" t="str">
            <v>Wing Corkscrew</v>
          </cell>
          <cell r="E203" t="str">
            <v>=DISPIMG("ID_A1335EF7D3DC4319AD4EE7025FA8EE3B",1)</v>
          </cell>
          <cell r="F203" t="str">
            <v>厨房用具</v>
          </cell>
          <cell r="G203">
            <v>0.6</v>
          </cell>
          <cell r="H203">
            <v>25</v>
          </cell>
          <cell r="I203">
            <v>14</v>
          </cell>
          <cell r="J203">
            <v>6</v>
          </cell>
          <cell r="K203">
            <v>0.0021</v>
          </cell>
          <cell r="L203" t="str">
            <v>58 * 29 * 25</v>
          </cell>
          <cell r="M203">
            <v>12.7</v>
          </cell>
          <cell r="N203">
            <v>0.04205</v>
          </cell>
          <cell r="O203">
            <v>20</v>
          </cell>
          <cell r="P203" t="str">
            <v>703546207369</v>
          </cell>
          <cell r="Q203">
            <v>5.76</v>
          </cell>
          <cell r="R203">
            <v>585</v>
          </cell>
          <cell r="S203">
            <v>29.25</v>
          </cell>
          <cell r="T203">
            <v>1.2299625</v>
          </cell>
          <cell r="U203">
            <v>12</v>
          </cell>
        </row>
        <row r="204">
          <cell r="A204" t="str">
            <v>B07JPJX3XL</v>
          </cell>
          <cell r="B204" t="str">
            <v>SKY-KND-GMat-Bk</v>
          </cell>
          <cell r="C204" t="str">
            <v>抗疲劳垫</v>
          </cell>
          <cell r="D204" t="str">
            <v>Genius Mat by Sky Mats - Standing Desk Anti Fatigue Mat - Ergonomic Surface, Office Desk Accessories</v>
          </cell>
          <cell r="E204" t="str">
            <v>=DISPIMG("ID_BD72CC62A2654F2E8AC1B3C9A08A8FA7",1)</v>
          </cell>
          <cell r="F204" t="str">
            <v>脚垫</v>
          </cell>
        </row>
        <row r="204">
          <cell r="O204">
            <v>4</v>
          </cell>
          <cell r="P204" t="str">
            <v>711841668990</v>
          </cell>
          <cell r="Q204">
            <v>30.91</v>
          </cell>
          <cell r="R204">
            <v>403</v>
          </cell>
          <cell r="S204">
            <v>100.75</v>
          </cell>
          <cell r="T204">
            <v>0</v>
          </cell>
          <cell r="U204">
            <v>12</v>
          </cell>
        </row>
        <row r="205">
          <cell r="A205" t="str">
            <v>B09BDMFSL8</v>
          </cell>
          <cell r="B205" t="str">
            <v>FD-S4718-FBA</v>
          </cell>
          <cell r="C205" t="str">
            <v>钢水瓶</v>
          </cell>
          <cell r="D205" t="str">
            <v>"32oz BOTTLE DOUBLE WALL 304 S/S   Coppering 2 color Powder Coated Mix Green(new color) 3 LIDS(PP+PE+Silicone) 100% leakproof  can pass the paint adhesion testing Keep Hot 8H&amp; Cold 10H color Box"</v>
          </cell>
          <cell r="E205" t="str">
            <v>=DISPIMG("ID_9CA0FF1017EB4C8F9847184B17516B22",1)</v>
          </cell>
          <cell r="F205" t="str">
            <v>水瓶</v>
          </cell>
          <cell r="G205">
            <v>0.65</v>
          </cell>
          <cell r="H205">
            <v>10</v>
          </cell>
          <cell r="I205">
            <v>10</v>
          </cell>
          <cell r="J205">
            <v>35</v>
          </cell>
          <cell r="K205">
            <v>0.0035</v>
          </cell>
          <cell r="L205" t="str">
            <v>43 * 62 * 38</v>
          </cell>
          <cell r="M205">
            <v>16.3</v>
          </cell>
          <cell r="N205">
            <v>0.101308</v>
          </cell>
          <cell r="O205">
            <v>24</v>
          </cell>
          <cell r="P205" t="str">
            <v>810158039049</v>
          </cell>
          <cell r="Q205">
            <v>7.51</v>
          </cell>
          <cell r="R205">
            <v>287</v>
          </cell>
          <cell r="S205">
            <v>11.9583333333333</v>
          </cell>
          <cell r="T205">
            <v>1.21147483333333</v>
          </cell>
          <cell r="U205">
            <v>12</v>
          </cell>
        </row>
        <row r="206">
          <cell r="A206" t="str">
            <v>B08BLW24DD</v>
          </cell>
          <cell r="B206" t="str">
            <v>MXL-KND-BarKit-Bst11pcSlv</v>
          </cell>
          <cell r="C206" t="str">
            <v>调酒套件</v>
          </cell>
          <cell r="D206" t="str">
            <v>Bartender Kit Weighted Boston 11pc silver</v>
          </cell>
          <cell r="E206" t="str">
            <v>=DISPIMG("ID_8ECD130CA2334A7FA0B064AAEDB8B054",1)</v>
          </cell>
          <cell r="F206" t="str">
            <v>厨房用具</v>
          </cell>
          <cell r="G206">
            <v>1.1</v>
          </cell>
          <cell r="H206">
            <v>45</v>
          </cell>
          <cell r="I206">
            <v>11</v>
          </cell>
          <cell r="J206">
            <v>31</v>
          </cell>
          <cell r="K206">
            <v>0.015345</v>
          </cell>
          <cell r="L206" t="str">
            <v>45*33*44</v>
          </cell>
          <cell r="M206">
            <v>17</v>
          </cell>
          <cell r="N206">
            <v>0.06534</v>
          </cell>
          <cell r="O206">
            <v>16</v>
          </cell>
          <cell r="P206" t="str">
            <v>810090950341</v>
          </cell>
          <cell r="Q206">
            <v>23.23</v>
          </cell>
          <cell r="R206">
            <v>890</v>
          </cell>
          <cell r="S206">
            <v>55.625</v>
          </cell>
          <cell r="T206">
            <v>3.6345375</v>
          </cell>
          <cell r="U206">
            <v>11</v>
          </cell>
        </row>
        <row r="207">
          <cell r="A207" t="str">
            <v>B01CDY8SOK</v>
          </cell>
          <cell r="B207" t="str">
            <v>NLK-KND-SlrRl-2pk11x50</v>
          </cell>
          <cell r="C207" t="str">
            <v>真空封口袋</v>
          </cell>
          <cell r="D207" t="str">
            <v>Vaccum Sealer Bag Rolls 2 Pack 11"x50'</v>
          </cell>
          <cell r="E207" t="str">
            <v>=DISPIMG("ID_8CD139D563944491B94A7F1F91FC559D",1)</v>
          </cell>
          <cell r="F207" t="str">
            <v>工具</v>
          </cell>
          <cell r="G207">
            <v>1.4</v>
          </cell>
          <cell r="H207" t="str">
            <v>28.4</v>
          </cell>
          <cell r="I207">
            <v>17</v>
          </cell>
          <cell r="J207">
            <v>8</v>
          </cell>
          <cell r="K207">
            <v>0.0038624</v>
          </cell>
          <cell r="L207" t="str">
            <v>30*26*35</v>
          </cell>
          <cell r="M207">
            <v>9</v>
          </cell>
          <cell r="N207">
            <v>0.0273</v>
          </cell>
          <cell r="O207">
            <v>6</v>
          </cell>
          <cell r="P207" t="str">
            <v>646437963428,X000R6GQ17</v>
          </cell>
          <cell r="Q207">
            <v>7.03</v>
          </cell>
          <cell r="R207">
            <v>378</v>
          </cell>
          <cell r="S207">
            <v>63</v>
          </cell>
          <cell r="T207">
            <v>1.7199</v>
          </cell>
          <cell r="U207">
            <v>11</v>
          </cell>
        </row>
        <row r="208">
          <cell r="A208" t="str">
            <v>B01KKNJN4K</v>
          </cell>
          <cell r="B208" t="str">
            <v>YHG-HOK-RctChrsTreBg-9Grn</v>
          </cell>
          <cell r="C208" t="str">
            <v>圣诞树收纳袋</v>
          </cell>
          <cell r="D208" t="str">
            <v>ZOBER Green Tree Storage Bag ZCP-10 grn  1294</v>
          </cell>
          <cell r="E208" t="str">
            <v>=DISPIMG("ID_E02F025A625041D2B2ED178A67EE0651",1)</v>
          </cell>
          <cell r="F208" t="str">
            <v>圣诞</v>
          </cell>
          <cell r="G208">
            <v>0.5</v>
          </cell>
          <cell r="H208">
            <v>27</v>
          </cell>
          <cell r="I208">
            <v>21</v>
          </cell>
          <cell r="J208">
            <v>4</v>
          </cell>
          <cell r="K208">
            <v>0.002268</v>
          </cell>
          <cell r="L208" t="str">
            <v>43 * 28 * 42</v>
          </cell>
          <cell r="M208">
            <v>12.2</v>
          </cell>
          <cell r="N208">
            <v>0.050568</v>
          </cell>
          <cell r="O208">
            <v>24</v>
          </cell>
          <cell r="P208" t="str">
            <v>810158030497</v>
          </cell>
          <cell r="Q208">
            <v>2.32</v>
          </cell>
          <cell r="R208">
            <v>351</v>
          </cell>
          <cell r="S208">
            <v>14.625</v>
          </cell>
          <cell r="T208">
            <v>0.739557</v>
          </cell>
          <cell r="U208">
            <v>11</v>
          </cell>
        </row>
        <row r="209">
          <cell r="A209" t="str">
            <v>B09BDKMN6C</v>
          </cell>
          <cell r="B209" t="str">
            <v>FD-S4805-FBA</v>
          </cell>
          <cell r="C209" t="str">
            <v>钢水瓶</v>
          </cell>
          <cell r="D209" t="str">
            <v>40oz BOTTLE
DOUBLE WALL 304 S/S 
Coppering
Powder Coated
pink 709c
3 LIDS(PP+PE+Silicone)
100% leakproof</v>
          </cell>
          <cell r="E209" t="str">
            <v>=DISPIMG("ID_856BF80E328E416894F97603EC381FC3",1)</v>
          </cell>
          <cell r="F209" t="str">
            <v>水瓶</v>
          </cell>
          <cell r="G209" t="str">
            <v>0.76</v>
          </cell>
          <cell r="H209" t="str">
            <v>38.8</v>
          </cell>
          <cell r="I209" t="str">
            <v>10.1</v>
          </cell>
          <cell r="J209" t="str">
            <v>10.3</v>
          </cell>
          <cell r="K209">
            <v>0.004036364</v>
          </cell>
          <cell r="L209" t="str">
            <v>55*42*35</v>
          </cell>
          <cell r="M209">
            <v>14</v>
          </cell>
          <cell r="N209">
            <v>0.08085</v>
          </cell>
          <cell r="O209">
            <v>12</v>
          </cell>
          <cell r="P209" t="str">
            <v>810158039100</v>
          </cell>
          <cell r="Q209">
            <v>6.66</v>
          </cell>
          <cell r="R209">
            <v>311</v>
          </cell>
          <cell r="S209">
            <v>25.9166666666667</v>
          </cell>
          <cell r="T209">
            <v>2.0953625</v>
          </cell>
          <cell r="U209">
            <v>11</v>
          </cell>
        </row>
        <row r="210">
          <cell r="A210" t="str">
            <v>B07H1YDGK4</v>
          </cell>
          <cell r="B210" t="str">
            <v>GRB-CFA-PhnLanWb-Blk</v>
          </cell>
          <cell r="C210" t="str">
            <v>手机挂绳</v>
          </cell>
          <cell r="D210" t="str">
            <v>Cell Phone Silicone Lanyard Web Back Black</v>
          </cell>
          <cell r="E210" t="str">
            <v>=DISPIMG("ID_4A0977664DCE4BF386DA6DFB243C614F",1)</v>
          </cell>
        </row>
        <row r="210">
          <cell r="G210">
            <v>0.025</v>
          </cell>
          <cell r="H210">
            <v>24</v>
          </cell>
          <cell r="I210">
            <v>14</v>
          </cell>
          <cell r="J210">
            <v>1</v>
          </cell>
          <cell r="K210">
            <v>0.000336</v>
          </cell>
          <cell r="L210" t="str">
            <v>44*31*27</v>
          </cell>
          <cell r="M210">
            <v>3</v>
          </cell>
          <cell r="N210">
            <v>0.036828</v>
          </cell>
          <cell r="O210">
            <v>100</v>
          </cell>
          <cell r="P210" t="str">
            <v>750408926739</v>
          </cell>
          <cell r="Q210">
            <v>1.06</v>
          </cell>
          <cell r="R210">
            <v>300</v>
          </cell>
          <cell r="S210">
            <v>3</v>
          </cell>
          <cell r="T210">
            <v>0.110484</v>
          </cell>
          <cell r="U210">
            <v>11</v>
          </cell>
        </row>
        <row r="211">
          <cell r="A211" t="str">
            <v>B09BDKB2P1</v>
          </cell>
          <cell r="B211" t="str">
            <v>FD-S4903-FBA</v>
          </cell>
          <cell r="C211" t="str">
            <v>钢水瓶</v>
          </cell>
          <cell r="D211" t="str">
            <v>64oz BOTTLE
DOUBLE WALL 304 S/S 
Coppering
Powder Coated
white
3 LIDS(PP+PE+Silicone)
100% leakproof 
can pass the paint adhesion testing
Keep Hot 8H&amp; Cold 10H
color Box</v>
          </cell>
          <cell r="E211" t="str">
            <v>=DISPIMG("ID_A8069AD59C4E45548B787B954B8DD1BC",1)</v>
          </cell>
          <cell r="F211" t="str">
            <v>水瓶</v>
          </cell>
          <cell r="G211" t="str">
            <v>1.1</v>
          </cell>
          <cell r="H211">
            <v>33</v>
          </cell>
          <cell r="I211">
            <v>13</v>
          </cell>
          <cell r="J211">
            <v>13</v>
          </cell>
          <cell r="K211">
            <v>0.005577</v>
          </cell>
          <cell r="L211" t="str">
            <v>55 * 42 * 35</v>
          </cell>
          <cell r="M211">
            <v>13.9</v>
          </cell>
          <cell r="N211">
            <v>0.08085</v>
          </cell>
          <cell r="O211">
            <v>12</v>
          </cell>
          <cell r="P211" t="str">
            <v>810158039308</v>
          </cell>
          <cell r="Q211">
            <v>15.01</v>
          </cell>
          <cell r="R211">
            <v>141</v>
          </cell>
          <cell r="S211">
            <v>11.75</v>
          </cell>
          <cell r="T211">
            <v>0.9499875</v>
          </cell>
          <cell r="U211">
            <v>11</v>
          </cell>
        </row>
        <row r="212">
          <cell r="A212" t="str">
            <v>B01G7STKUE</v>
          </cell>
          <cell r="B212" t="str">
            <v>PWP-AZL-LEDString-5ft</v>
          </cell>
          <cell r="C212" t="str">
            <v>LED灯绳</v>
          </cell>
          <cell r="D212" t="str">
            <v>LED String 5ft</v>
          </cell>
          <cell r="E212" t="str">
            <v>=DISPIMG("ID_8909783268C8498E9C9F649AB5A7F9EC",1)</v>
          </cell>
          <cell r="F212" t="str">
            <v>工具</v>
          </cell>
          <cell r="G212">
            <v>0.15</v>
          </cell>
          <cell r="H212">
            <v>16</v>
          </cell>
          <cell r="I212">
            <v>21</v>
          </cell>
          <cell r="J212">
            <v>5</v>
          </cell>
          <cell r="K212">
            <v>0.00168</v>
          </cell>
          <cell r="L212" t="str">
            <v>37 * 46 * 46</v>
          </cell>
          <cell r="M212">
            <v>13.2</v>
          </cell>
          <cell r="N212">
            <v>0.078292</v>
          </cell>
          <cell r="O212">
            <v>60</v>
          </cell>
          <cell r="P212" t="str">
            <v>855640004273</v>
          </cell>
          <cell r="Q212">
            <v>11.08</v>
          </cell>
          <cell r="R212">
            <v>120</v>
          </cell>
          <cell r="S212">
            <v>2</v>
          </cell>
          <cell r="T212">
            <v>0.156584</v>
          </cell>
          <cell r="U212">
            <v>11</v>
          </cell>
        </row>
        <row r="213">
          <cell r="A213" t="str">
            <v>B07MQFXNML</v>
          </cell>
          <cell r="B213" t="str">
            <v>PPC-OFP-ElPln-L</v>
          </cell>
          <cell r="C213" t="str">
            <v>每日计划</v>
          </cell>
          <cell r="D213" t="str">
            <v>Simple Elephant Planner 2020 - Daily, Weekly, Monthly Agenda - Undated Productivity Journal - Gratitude, Life &amp; Goal, Success (Lilac)</v>
          </cell>
          <cell r="E213" t="str">
            <v>=DISPIMG("ID_8C1DC88D722D4317A4B4BB7B940662F1",1)</v>
          </cell>
          <cell r="F213" t="str">
            <v>办公</v>
          </cell>
          <cell r="G213">
            <v>0.5</v>
          </cell>
          <cell r="H213">
            <v>23</v>
          </cell>
          <cell r="I213">
            <v>17</v>
          </cell>
          <cell r="J213">
            <v>3</v>
          </cell>
          <cell r="K213">
            <v>0.001173</v>
          </cell>
          <cell r="L213" t="str">
            <v>53*36*25</v>
          </cell>
          <cell r="M213">
            <v>20</v>
          </cell>
          <cell r="N213">
            <v>0.0477</v>
          </cell>
          <cell r="O213">
            <v>40</v>
          </cell>
          <cell r="P213" t="str">
            <v>9421904288621</v>
          </cell>
          <cell r="Q213">
            <v>3.16</v>
          </cell>
          <cell r="R213">
            <v>1237</v>
          </cell>
          <cell r="S213">
            <v>30.925</v>
          </cell>
          <cell r="T213">
            <v>1.4751225</v>
          </cell>
          <cell r="U213">
            <v>10</v>
          </cell>
        </row>
        <row r="214">
          <cell r="A214" t="str">
            <v>B073V5RFJC</v>
          </cell>
          <cell r="B214" t="str">
            <v>PPC-OFP-ElPln-B</v>
          </cell>
          <cell r="C214" t="str">
            <v>每日计划</v>
          </cell>
          <cell r="D214" t="str">
            <v>Elephant Planner Black</v>
          </cell>
          <cell r="E214" t="str">
            <v>=DISPIMG("ID_619C286296314024BC250E61236A7767",1)</v>
          </cell>
          <cell r="F214" t="str">
            <v>办公</v>
          </cell>
          <cell r="G214">
            <v>0.5</v>
          </cell>
          <cell r="H214">
            <v>23</v>
          </cell>
          <cell r="I214">
            <v>17</v>
          </cell>
          <cell r="J214">
            <v>3</v>
          </cell>
          <cell r="K214">
            <v>0.001173</v>
          </cell>
          <cell r="L214" t="str">
            <v>52*35*25</v>
          </cell>
          <cell r="M214">
            <v>20</v>
          </cell>
          <cell r="N214">
            <v>0.0455</v>
          </cell>
          <cell r="O214">
            <v>40</v>
          </cell>
          <cell r="P214" t="str">
            <v>861809000376</v>
          </cell>
          <cell r="Q214">
            <v>2.64</v>
          </cell>
          <cell r="R214">
            <v>785</v>
          </cell>
          <cell r="S214">
            <v>19.625</v>
          </cell>
          <cell r="T214">
            <v>0.8929375</v>
          </cell>
          <cell r="U214">
            <v>10</v>
          </cell>
        </row>
        <row r="215">
          <cell r="A215" t="str">
            <v>B076HD1WQW</v>
          </cell>
          <cell r="B215" t="str">
            <v>MCC-HOK-PiCnd-3x6Org3pk</v>
          </cell>
          <cell r="C215" t="str">
            <v>无香蜡烛</v>
          </cell>
          <cell r="D215" t="str">
            <v>Orange Pillar Candles 3" x 6"by Melt Candle Company Set of 3</v>
          </cell>
          <cell r="E215" t="str">
            <v>=DISPIMG("ID_857562D5501A49B686BD99AF262C8B81",1)</v>
          </cell>
          <cell r="F215" t="str">
            <v>蜡烛</v>
          </cell>
          <cell r="G215">
            <v>1.8</v>
          </cell>
          <cell r="H215">
            <v>24</v>
          </cell>
          <cell r="I215">
            <v>16</v>
          </cell>
          <cell r="J215">
            <v>9</v>
          </cell>
          <cell r="K215">
            <v>0.003456</v>
          </cell>
          <cell r="L215" t="str">
            <v>36*26*17</v>
          </cell>
          <cell r="M215">
            <v>7.5</v>
          </cell>
          <cell r="N215">
            <v>0.015912</v>
          </cell>
          <cell r="O215">
            <v>4</v>
          </cell>
          <cell r="P215" t="str">
            <v>850031125247</v>
          </cell>
          <cell r="Q215">
            <v>9.96</v>
          </cell>
          <cell r="R215">
            <v>180</v>
          </cell>
          <cell r="S215">
            <v>45</v>
          </cell>
          <cell r="T215">
            <v>0.71604</v>
          </cell>
          <cell r="U215">
            <v>10</v>
          </cell>
        </row>
        <row r="216">
          <cell r="A216" t="str">
            <v>B09XRDJF8B</v>
          </cell>
          <cell r="B216" t="str">
            <v>YHG-HOK-FD-S1103</v>
          </cell>
          <cell r="C216" t="str">
            <v>钢制搅拌碗组</v>
          </cell>
          <cell r="D216" t="str">
            <v>Fine Dine-SS 6pcs Mixing Bowls-white</v>
          </cell>
          <cell r="E216" t="str">
            <v>=DISPIMG("ID_E1B3E50D7BF24E36853716036034F0E5",1)</v>
          </cell>
          <cell r="F216" t="str">
            <v>厨房用具</v>
          </cell>
          <cell r="G216">
            <v>1.7</v>
          </cell>
          <cell r="H216">
            <v>35.4</v>
          </cell>
          <cell r="I216">
            <v>35.4</v>
          </cell>
          <cell r="J216">
            <v>13.2</v>
          </cell>
          <cell r="K216">
            <v>0.016541712</v>
          </cell>
          <cell r="L216" t="str">
            <v>54*36.5*36</v>
          </cell>
          <cell r="M216">
            <v>7.38</v>
          </cell>
          <cell r="N216">
            <v>0.070956</v>
          </cell>
          <cell r="O216">
            <v>4</v>
          </cell>
          <cell r="P216" t="str">
            <v>810078882855</v>
          </cell>
          <cell r="Q216">
            <v>8.24</v>
          </cell>
          <cell r="R216">
            <v>167</v>
          </cell>
          <cell r="S216">
            <v>41.75</v>
          </cell>
          <cell r="T216">
            <v>2.962413</v>
          </cell>
          <cell r="U216">
            <v>10</v>
          </cell>
        </row>
        <row r="217">
          <cell r="A217" t="str">
            <v>B08563ZLF3</v>
          </cell>
          <cell r="B217" t="str">
            <v>YHG-HOK-EwChrsTreBg-9Grn</v>
          </cell>
          <cell r="C217" t="str">
            <v>圣诞树收纳袋</v>
          </cell>
          <cell r="D217" t="str">
            <v>STORAGE BAG</v>
          </cell>
          <cell r="E217" t="str">
            <v>=DISPIMG("ID_080BC5C44F374A6A9B89CB948A37F27B",1)</v>
          </cell>
          <cell r="F217" t="str">
            <v>圣诞</v>
          </cell>
          <cell r="G217" t="str">
            <v>2.080</v>
          </cell>
          <cell r="H217" t="str">
            <v>36.2</v>
          </cell>
          <cell r="I217" t="str">
            <v>9.8</v>
          </cell>
          <cell r="J217" t="str">
            <v>31.0</v>
          </cell>
          <cell r="K217">
            <v>0.01099756</v>
          </cell>
        </row>
        <row r="217">
          <cell r="O217">
            <v>6</v>
          </cell>
          <cell r="P217" t="str">
            <v>810158036826</v>
          </cell>
          <cell r="Q217">
            <v>8.46</v>
          </cell>
          <cell r="R217">
            <v>122</v>
          </cell>
          <cell r="S217">
            <v>20.3333333333333</v>
          </cell>
          <cell r="T217">
            <v>0</v>
          </cell>
          <cell r="U217">
            <v>10</v>
          </cell>
        </row>
        <row r="218">
          <cell r="A218" t="str">
            <v>B09BNTC223</v>
          </cell>
          <cell r="B218" t="str">
            <v>FD-S4814-FBA</v>
          </cell>
          <cell r="C218" t="str">
            <v>钢水瓶</v>
          </cell>
          <cell r="D218" t="str">
            <v>40oz BOTTLE
DOUBLE WALL 304 S/S 
Coppering
air tranfer print
black marble
3 LIDS(PP+PE+Silicone)</v>
          </cell>
          <cell r="E218" t="str">
            <v>=DISPIMG("ID_33A9D6E07B874627B726BD76AC3633FA",1)</v>
          </cell>
          <cell r="F218" t="str">
            <v>水瓶</v>
          </cell>
          <cell r="G218" t="str">
            <v>0.76</v>
          </cell>
          <cell r="H218" t="str">
            <v>38.5</v>
          </cell>
          <cell r="I218" t="str">
            <v>10.3</v>
          </cell>
          <cell r="J218" t="str">
            <v>10.3</v>
          </cell>
          <cell r="K218">
            <v>0.004084465</v>
          </cell>
          <cell r="L218" t="str">
            <v>61*42*37</v>
          </cell>
          <cell r="M218">
            <v>16.3</v>
          </cell>
          <cell r="N218">
            <v>0.094794</v>
          </cell>
          <cell r="O218">
            <v>24</v>
          </cell>
          <cell r="P218" t="str">
            <v>810158039186</v>
          </cell>
          <cell r="Q218">
            <v>12.75</v>
          </cell>
          <cell r="R218">
            <v>95</v>
          </cell>
          <cell r="S218">
            <v>3.95833333333333</v>
          </cell>
          <cell r="T218">
            <v>0.37522625</v>
          </cell>
          <cell r="U218">
            <v>10</v>
          </cell>
        </row>
        <row r="219">
          <cell r="A219" t="str">
            <v>B079H5MDZB</v>
          </cell>
          <cell r="B219" t="str">
            <v>YHG-HOK-RlChrsTreBg-9Red1</v>
          </cell>
          <cell r="C219" t="str">
            <v>圣诞树收纳袋</v>
          </cell>
          <cell r="D219" t="str">
            <v>Premium Rolling Large Christmas Tree Storage Bag- Fits Upto 7.5ft. Artificial Disassembled Trees</v>
          </cell>
          <cell r="E219" t="str">
            <v>=DISPIMG("ID_69DC3501D4BD4DAFBE00BF1F50D59685",1)</v>
          </cell>
          <cell r="F219" t="str">
            <v>圣诞</v>
          </cell>
          <cell r="G219" t="str">
            <v>2.420</v>
          </cell>
          <cell r="H219">
            <v>45.1</v>
          </cell>
          <cell r="I219" t="str">
            <v>9.7</v>
          </cell>
          <cell r="J219" t="str">
            <v>43.6</v>
          </cell>
          <cell r="K219">
            <v>0.019073692</v>
          </cell>
        </row>
        <row r="219">
          <cell r="O219">
            <v>6</v>
          </cell>
          <cell r="P219" t="str">
            <v>810158031203</v>
          </cell>
          <cell r="Q219">
            <v>10.62</v>
          </cell>
          <cell r="R219">
            <v>67</v>
          </cell>
          <cell r="S219">
            <v>11.1666666666667</v>
          </cell>
          <cell r="T219">
            <v>0</v>
          </cell>
          <cell r="U219">
            <v>10</v>
          </cell>
        </row>
        <row r="220">
          <cell r="A220" t="str">
            <v>B08BS7FWM7</v>
          </cell>
          <cell r="B220" t="str">
            <v>YHG-HOK-ChrsTreBg-9Snw</v>
          </cell>
          <cell r="C220" t="str">
            <v>圣诞树收纳袋</v>
          </cell>
          <cell r="D220" t="str">
            <v>STORAGE BAG</v>
          </cell>
          <cell r="E220" t="str">
            <v>=DISPIMG("ID_9901D67D5BF944E1ADE45951DE67F1D2",1)</v>
          </cell>
          <cell r="F220" t="str">
            <v>圣诞</v>
          </cell>
          <cell r="G220">
            <v>1.72</v>
          </cell>
          <cell r="H220">
            <v>32</v>
          </cell>
          <cell r="I220">
            <v>25</v>
          </cell>
          <cell r="J220">
            <v>6</v>
          </cell>
          <cell r="K220">
            <v>0.0048</v>
          </cell>
          <cell r="L220" t="str">
            <v>34*32*28</v>
          </cell>
          <cell r="M220">
            <v>10.5</v>
          </cell>
          <cell r="N220">
            <v>0.030464</v>
          </cell>
          <cell r="O220">
            <v>6</v>
          </cell>
          <cell r="P220" t="str">
            <v>810158037649</v>
          </cell>
          <cell r="Q220">
            <v>7.97</v>
          </cell>
          <cell r="R220">
            <v>71</v>
          </cell>
          <cell r="S220">
            <v>11.8333333333333</v>
          </cell>
          <cell r="T220">
            <v>0.360490666666667</v>
          </cell>
          <cell r="U220">
            <v>10</v>
          </cell>
        </row>
        <row r="221">
          <cell r="A221" t="str">
            <v>B0858C3FZQ</v>
          </cell>
          <cell r="B221" t="str">
            <v>YHG-HOK-WdStHngrNs-Wte20pk</v>
          </cell>
          <cell r="C221" t="str">
            <v>木衣架</v>
          </cell>
          <cell r="D221" t="str">
            <v>Wooden Suit Hangers White set of 20</v>
          </cell>
          <cell r="E221" t="str">
            <v>=DISPIMG("ID_22CFF3E51C72419C86567851C69690AC",1)</v>
          </cell>
          <cell r="F221" t="str">
            <v>衣架</v>
          </cell>
          <cell r="G221">
            <v>2.7</v>
          </cell>
          <cell r="H221">
            <v>35</v>
          </cell>
          <cell r="I221">
            <v>34</v>
          </cell>
          <cell r="J221">
            <v>13</v>
          </cell>
          <cell r="K221">
            <v>0.01547</v>
          </cell>
          <cell r="L221" t="str">
            <v>37 * 36 * 53</v>
          </cell>
          <cell r="M221">
            <v>11.8</v>
          </cell>
          <cell r="N221">
            <v>0.070596</v>
          </cell>
          <cell r="O221">
            <v>4</v>
          </cell>
          <cell r="P221" t="str">
            <v>810158033931</v>
          </cell>
          <cell r="Q221">
            <v>12.29</v>
          </cell>
          <cell r="R221">
            <v>3</v>
          </cell>
          <cell r="S221">
            <v>0.75</v>
          </cell>
          <cell r="T221">
            <v>0.052947</v>
          </cell>
          <cell r="U221">
            <v>10</v>
          </cell>
        </row>
        <row r="222">
          <cell r="A222" t="str">
            <v>B00P09INH8</v>
          </cell>
          <cell r="B222" t="str">
            <v>SDT-TOH-SPWDBCXR-BK</v>
          </cell>
          <cell r="C222" t="str">
            <v>无线门铃</v>
          </cell>
          <cell r="D222" t="str">
            <v>Star Point Wireless Doorbell Model CXR Black</v>
          </cell>
          <cell r="E222" t="str">
            <v>=DISPIMG("ID_755E50BE275A4816A83DA417BA400C8B",1)</v>
          </cell>
          <cell r="F222" t="str">
            <v>门铃</v>
          </cell>
          <cell r="G222">
            <v>0.3</v>
          </cell>
          <cell r="H222">
            <v>18</v>
          </cell>
          <cell r="I222">
            <v>9.6</v>
          </cell>
          <cell r="J222">
            <v>7.8</v>
          </cell>
          <cell r="K222">
            <v>0.00134784</v>
          </cell>
          <cell r="L222" t="str">
            <v>40.8*37.8*34</v>
          </cell>
          <cell r="M222">
            <v>9.84</v>
          </cell>
          <cell r="N222">
            <v>0.05243616</v>
          </cell>
          <cell r="O222">
            <v>32</v>
          </cell>
          <cell r="P222" t="str">
            <v>616453923331</v>
          </cell>
          <cell r="Q222">
            <v>11.4</v>
          </cell>
          <cell r="R222">
            <v>1376</v>
          </cell>
          <cell r="S222">
            <v>43</v>
          </cell>
          <cell r="T222">
            <v>2.25475488</v>
          </cell>
          <cell r="U222">
            <v>9</v>
          </cell>
        </row>
        <row r="223">
          <cell r="A223" t="str">
            <v>B08CPSJC6Z</v>
          </cell>
          <cell r="B223" t="str">
            <v>YHG-HOK-WrpOrg-Gry</v>
          </cell>
          <cell r="C223" t="str">
            <v>包装储存</v>
          </cell>
          <cell r="D223" t="str">
            <v>GIFT WRAP STORAGE BAG</v>
          </cell>
          <cell r="E223" t="str">
            <v>=DISPIMG("ID_5D6915309B7540C2B4FC0DE3573780C3",1)</v>
          </cell>
          <cell r="F223" t="str">
            <v>圣诞</v>
          </cell>
          <cell r="G223">
            <v>0.4</v>
          </cell>
          <cell r="H223">
            <v>19</v>
          </cell>
          <cell r="I223">
            <v>22</v>
          </cell>
          <cell r="J223">
            <v>8</v>
          </cell>
          <cell r="K223">
            <v>0.003344</v>
          </cell>
          <cell r="L223" t="str">
            <v>40 * 41 * 31</v>
          </cell>
          <cell r="M223">
            <v>9.1</v>
          </cell>
          <cell r="N223">
            <v>0.05084</v>
          </cell>
          <cell r="O223">
            <v>24</v>
          </cell>
          <cell r="P223" t="str">
            <v>810158036918</v>
          </cell>
          <cell r="Q223">
            <v>2.91</v>
          </cell>
          <cell r="R223">
            <v>1017</v>
          </cell>
          <cell r="S223">
            <v>42.375</v>
          </cell>
          <cell r="T223">
            <v>2.154345</v>
          </cell>
          <cell r="U223">
            <v>9</v>
          </cell>
        </row>
        <row r="224">
          <cell r="A224" t="str">
            <v>B0B2JT6P2Y</v>
          </cell>
          <cell r="B224" t="str">
            <v>YHG-HOK-FD-SC204</v>
          </cell>
          <cell r="C224" t="str">
            <v>硅胶烘焙垫</v>
          </cell>
          <cell r="D224" t="str">
            <v>Fine Dine-Silicone baking mat set of 3-gray</v>
          </cell>
          <cell r="E224" t="str">
            <v>=DISPIMG("ID_31AB36A6F8184E059DE99582FBF4925E",1)</v>
          </cell>
          <cell r="F224" t="str">
            <v>厨房用具</v>
          </cell>
          <cell r="G224" t="str">
            <v>0.400</v>
          </cell>
          <cell r="H224">
            <v>32</v>
          </cell>
          <cell r="I224">
            <v>5</v>
          </cell>
          <cell r="J224">
            <v>5</v>
          </cell>
          <cell r="K224">
            <v>0.0008</v>
          </cell>
          <cell r="L224" t="str">
            <v>43 * 29 * 36</v>
          </cell>
          <cell r="M224">
            <v>13.5</v>
          </cell>
          <cell r="N224">
            <v>0.044892</v>
          </cell>
          <cell r="O224">
            <v>40</v>
          </cell>
          <cell r="P224" t="str">
            <v>810078882800</v>
          </cell>
          <cell r="Q224">
            <v>4.83</v>
          </cell>
          <cell r="R224">
            <v>1120</v>
          </cell>
          <cell r="S224">
            <v>28</v>
          </cell>
          <cell r="T224">
            <v>1.256976</v>
          </cell>
          <cell r="U224">
            <v>9</v>
          </cell>
        </row>
        <row r="225">
          <cell r="A225" t="str">
            <v>B01MTRZ0SB</v>
          </cell>
          <cell r="B225" t="str">
            <v>GTL-HOK-VlvtBthRg-22x36Gry</v>
          </cell>
          <cell r="C225" t="str">
            <v>天鹅绒记忆浴室地毯</v>
          </cell>
          <cell r="D225" t="str">
            <v>VELVET MEMORY BATHROOM RUG</v>
          </cell>
          <cell r="E225" t="str">
            <v>=DISPIMG("ID_33F8A8C7F5C74B2998493D97CCA64519",1)</v>
          </cell>
        </row>
        <row r="225">
          <cell r="P225" t="e">
            <v>#N/A</v>
          </cell>
          <cell r="Q225" t="e">
            <v>#N/A</v>
          </cell>
          <cell r="R225">
            <v>54</v>
          </cell>
          <cell r="S225" t="e">
            <v>#DIV/0!</v>
          </cell>
          <cell r="T225">
            <v>0</v>
          </cell>
          <cell r="U225">
            <v>9</v>
          </cell>
        </row>
        <row r="226">
          <cell r="A226" t="str">
            <v>B07RTNWGNG</v>
          </cell>
          <cell r="B226" t="str">
            <v>SPG-HOK-SgrCntrSt-6pc</v>
          </cell>
          <cell r="C226" t="str">
            <v>密封食品储存容器</v>
          </cell>
          <cell r="D226" t="str">
            <v>6 Piece Sugar &amp; Flour Container Set</v>
          </cell>
          <cell r="E226" t="str">
            <v>=DISPIMG("ID_B2FCB61B388542B1AF732C9508685AE5",1)</v>
          </cell>
          <cell r="F226" t="str">
            <v>厨房用具</v>
          </cell>
          <cell r="G226">
            <v>1.65</v>
          </cell>
          <cell r="H226">
            <v>39.3</v>
          </cell>
          <cell r="I226">
            <v>23.1</v>
          </cell>
          <cell r="J226">
            <v>16.2</v>
          </cell>
          <cell r="K226">
            <v>0.014706846</v>
          </cell>
        </row>
        <row r="226">
          <cell r="P226" t="str">
            <v>669002826799</v>
          </cell>
        </row>
        <row r="226">
          <cell r="R226">
            <v>963</v>
          </cell>
        </row>
        <row r="226">
          <cell r="U226">
            <v>8</v>
          </cell>
        </row>
        <row r="227">
          <cell r="A227" t="str">
            <v>B01GM35QXO</v>
          </cell>
          <cell r="B227" t="str">
            <v>ULB-HOK-PPwPro2-Sd</v>
          </cell>
          <cell r="C227" t="str">
            <v>枕头保护套</v>
          </cell>
          <cell r="D227" t="str">
            <v>UltraPlush Premium Waterproof Pillow Protectors - 2 Pack -(Standard Size 20 inches x 26 inches)</v>
          </cell>
          <cell r="E227" t="str">
            <v>=DISPIMG("ID_4297E86F0E754B2D8385465246557DAA",1)</v>
          </cell>
          <cell r="F227" t="str">
            <v>床品</v>
          </cell>
          <cell r="G227">
            <v>0.4</v>
          </cell>
          <cell r="H227">
            <v>24</v>
          </cell>
          <cell r="I227">
            <v>23</v>
          </cell>
          <cell r="J227">
            <v>7</v>
          </cell>
          <cell r="K227">
            <v>0.003864</v>
          </cell>
          <cell r="L227" t="str">
            <v>50*50*39</v>
          </cell>
          <cell r="M227">
            <v>10.4</v>
          </cell>
          <cell r="N227">
            <v>0.0975</v>
          </cell>
          <cell r="O227">
            <v>20</v>
          </cell>
          <cell r="P227" t="str">
            <v>712038097814</v>
          </cell>
          <cell r="Q227">
            <v>6.35</v>
          </cell>
          <cell r="R227">
            <v>699</v>
          </cell>
          <cell r="S227">
            <v>34.95</v>
          </cell>
          <cell r="T227">
            <v>3.407625</v>
          </cell>
          <cell r="U227">
            <v>8</v>
          </cell>
        </row>
        <row r="228">
          <cell r="A228" t="str">
            <v>B09BDL9M8N</v>
          </cell>
          <cell r="B228" t="str">
            <v>FD-S4710-FBA</v>
          </cell>
          <cell r="C228" t="str">
            <v>钢水瓶</v>
          </cell>
          <cell r="D228" t="str">
            <v>32oz BOTTLE
DOUBLE WALL 304 S/S 
Coppering
air tranfer print
marble
3 LIDS(PP+PE+Silicone)
100% leakproof 
can pass the paint adhesion testing
Keep Hot 8H&amp; Cold 10H
color Box</v>
          </cell>
          <cell r="E228" t="str">
            <v>=DISPIMG("ID_983BAB2CC4D44D69904E473DEA20EFBA",1)</v>
          </cell>
          <cell r="F228" t="str">
            <v>水瓶</v>
          </cell>
          <cell r="G228" t="str">
            <v>0.7</v>
          </cell>
          <cell r="H228">
            <v>10</v>
          </cell>
          <cell r="I228">
            <v>10</v>
          </cell>
          <cell r="J228">
            <v>35</v>
          </cell>
          <cell r="K228">
            <v>0.0035</v>
          </cell>
          <cell r="L228" t="str">
            <v>42 * 62 * 38</v>
          </cell>
          <cell r="M228">
            <v>16.2</v>
          </cell>
          <cell r="N228">
            <v>0.098952</v>
          </cell>
          <cell r="O228">
            <v>24</v>
          </cell>
          <cell r="P228" t="str">
            <v>810158038967</v>
          </cell>
          <cell r="Q228">
            <v>11.11</v>
          </cell>
          <cell r="R228">
            <v>480</v>
          </cell>
          <cell r="S228">
            <v>20</v>
          </cell>
          <cell r="T228">
            <v>1.97904</v>
          </cell>
          <cell r="U228">
            <v>8</v>
          </cell>
        </row>
        <row r="229">
          <cell r="A229" t="str">
            <v>B0754M8GD3</v>
          </cell>
          <cell r="B229" t="str">
            <v>KHM-BPC-NlClp-448</v>
          </cell>
          <cell r="C229" t="str">
            <v>指甲钳</v>
          </cell>
          <cell r="D229" t="str">
            <v>WHS-448L Nail Clipper with Curved Blade and Built In File 3.25 inches</v>
          </cell>
          <cell r="E229" t="str">
            <v>=DISPIMG("ID_D4E0670A543B494194998E3A55743529",1)</v>
          </cell>
          <cell r="F229" t="str">
            <v>指甲钳</v>
          </cell>
          <cell r="G229">
            <v>0.1</v>
          </cell>
          <cell r="H229">
            <v>14</v>
          </cell>
          <cell r="I229">
            <v>7</v>
          </cell>
          <cell r="J229">
            <v>3</v>
          </cell>
          <cell r="K229">
            <v>0.000294</v>
          </cell>
          <cell r="L229" t="str">
            <v>68*33*16</v>
          </cell>
          <cell r="M229">
            <v>9</v>
          </cell>
          <cell r="N229">
            <v>0.035904</v>
          </cell>
          <cell r="O229">
            <v>100</v>
          </cell>
          <cell r="P229" t="str">
            <v>X000VK3TTL</v>
          </cell>
          <cell r="Q229">
            <v>2.14</v>
          </cell>
          <cell r="R229">
            <v>399</v>
          </cell>
          <cell r="S229">
            <v>3.99</v>
          </cell>
          <cell r="T229">
            <v>0.14325696</v>
          </cell>
          <cell r="U229">
            <v>8</v>
          </cell>
        </row>
        <row r="230">
          <cell r="A230" t="str">
            <v>B09BDLXHYL</v>
          </cell>
          <cell r="B230" t="str">
            <v>FD-S4910-FBA</v>
          </cell>
          <cell r="C230" t="str">
            <v>钢水瓶</v>
          </cell>
          <cell r="D230" t="str">
            <v>64oz BOTTLE
DOUBLE WALL 304 S/S 
Coppering
air tranfer print
marble
3 LIDS(PP+PE+Silicone)
100% leakproof 
can pass the paint adhesion testing
Keep Hot 8H&amp; Cold 10H
color Box</v>
          </cell>
          <cell r="E230" t="str">
            <v>=DISPIMG("ID_6467A831DF6F4AE0ABD25DA820055C2F",1)</v>
          </cell>
          <cell r="F230" t="str">
            <v>水瓶</v>
          </cell>
          <cell r="G230" t="str">
            <v>1.1</v>
          </cell>
          <cell r="H230">
            <v>14</v>
          </cell>
          <cell r="I230">
            <v>33</v>
          </cell>
          <cell r="J230">
            <v>14</v>
          </cell>
          <cell r="K230">
            <v>0.006468</v>
          </cell>
          <cell r="L230" t="str">
            <v>54 * 41 * 35</v>
          </cell>
          <cell r="M230">
            <v>14.5</v>
          </cell>
          <cell r="N230">
            <v>0.07749</v>
          </cell>
          <cell r="O230">
            <v>12</v>
          </cell>
          <cell r="P230" t="str">
            <v>810158039377</v>
          </cell>
          <cell r="Q230">
            <v>11.9</v>
          </cell>
          <cell r="R230">
            <v>264</v>
          </cell>
          <cell r="S230">
            <v>22</v>
          </cell>
          <cell r="T230">
            <v>1.70478</v>
          </cell>
          <cell r="U230">
            <v>8</v>
          </cell>
        </row>
        <row r="231">
          <cell r="A231" t="str">
            <v>B076LCGJ1W</v>
          </cell>
          <cell r="B231" t="str">
            <v>SKY-KND-FMat-70Gy</v>
          </cell>
          <cell r="C231" t="str">
            <v>抗疲劳垫</v>
          </cell>
          <cell r="D231" t="str">
            <v>Anti Fatigue Comfort Floor Mat By Sky Mats -Commercial Grade Quality Perfect for Standup Desks, Kitchens, and Garages</v>
          </cell>
          <cell r="E231" t="str">
            <v>=DISPIMG("ID_B5378DA86D19444F84B61B4B4ECBA304",1)</v>
          </cell>
          <cell r="F231" t="str">
            <v>脚垫</v>
          </cell>
          <cell r="G231">
            <v>3.5</v>
          </cell>
          <cell r="H231">
            <v>180</v>
          </cell>
          <cell r="I231">
            <v>62</v>
          </cell>
          <cell r="J231">
            <v>2</v>
          </cell>
          <cell r="K231">
            <v>0.02232</v>
          </cell>
          <cell r="L231" t="str">
            <v>180 * 63 * 11</v>
          </cell>
          <cell r="M231">
            <v>18.5</v>
          </cell>
          <cell r="N231">
            <v>0.12474</v>
          </cell>
          <cell r="O231">
            <v>5</v>
          </cell>
          <cell r="P231" t="str">
            <v>712038025824</v>
          </cell>
          <cell r="Q231">
            <v>28.25</v>
          </cell>
          <cell r="R231">
            <v>238</v>
          </cell>
          <cell r="S231">
            <v>47.6</v>
          </cell>
          <cell r="T231">
            <v>5.937624</v>
          </cell>
          <cell r="U231">
            <v>8</v>
          </cell>
        </row>
        <row r="232">
          <cell r="A232" t="str">
            <v>B07Q3SQT6C</v>
          </cell>
          <cell r="B232" t="str">
            <v>FDM-HOK-MtlCbnt-71inBk</v>
          </cell>
          <cell r="C232" t="str">
            <v>金属储物柜</v>
          </cell>
          <cell r="D232" t="str">
            <v>Metal Storage Cabinet 71" Tall, Lockable Doors and Adjustable Shelves, 70.86" Tall x 31.5" W x 15.75"</v>
          </cell>
          <cell r="E232" t="str">
            <v>=DISPIMG("ID_0D4900EB823D417E9954623F0C5C2821",1)</v>
          </cell>
        </row>
        <row r="232">
          <cell r="G232">
            <v>48</v>
          </cell>
          <cell r="H232">
            <v>180</v>
          </cell>
          <cell r="I232">
            <v>49</v>
          </cell>
          <cell r="J232">
            <v>14</v>
          </cell>
          <cell r="K232">
            <v>0.12348</v>
          </cell>
          <cell r="L232" t="str">
            <v>180*49*14</v>
          </cell>
          <cell r="M232">
            <v>48</v>
          </cell>
          <cell r="N232">
            <v>0.12348</v>
          </cell>
          <cell r="O232">
            <v>1</v>
          </cell>
          <cell r="P232" t="str">
            <v>600413399021</v>
          </cell>
          <cell r="Q232">
            <v>123.73</v>
          </cell>
          <cell r="R232">
            <v>25</v>
          </cell>
          <cell r="S232">
            <v>25</v>
          </cell>
          <cell r="T232">
            <v>3.087</v>
          </cell>
          <cell r="U232">
            <v>8</v>
          </cell>
        </row>
        <row r="233">
          <cell r="A233" t="str">
            <v>B018UYRUZU</v>
          </cell>
          <cell r="B233" t="str">
            <v>SDT-TOH-SPWDbC-Bk</v>
          </cell>
          <cell r="C233" t="str">
            <v>无线门铃</v>
          </cell>
          <cell r="D233" t="str">
            <v>SadoTech Wireless Doorbell for Home - Battery Operated, 1000 Feet, Wireless Door Bell w/LED Flash, 1 push button + 1 receiver, Matte Black</v>
          </cell>
          <cell r="E233" t="str">
            <v>=DISPIMG("ID_986EE5A72A404E36B051C06DF7738F6B",1)</v>
          </cell>
          <cell r="F233" t="str">
            <v>门铃</v>
          </cell>
          <cell r="G233">
            <v>0.2</v>
          </cell>
          <cell r="H233">
            <v>10</v>
          </cell>
          <cell r="I233">
            <v>9</v>
          </cell>
          <cell r="J233">
            <v>7</v>
          </cell>
          <cell r="K233">
            <v>0.00063</v>
          </cell>
          <cell r="L233" t="str">
            <v>47*39*23</v>
          </cell>
          <cell r="M233">
            <v>9.3</v>
          </cell>
          <cell r="N233">
            <v>0.042159</v>
          </cell>
          <cell r="O233">
            <v>50</v>
          </cell>
          <cell r="P233" t="str">
            <v>616453923799</v>
          </cell>
          <cell r="Q233">
            <v>7.11</v>
          </cell>
          <cell r="R233">
            <v>5780</v>
          </cell>
          <cell r="S233">
            <v>115.6</v>
          </cell>
          <cell r="T233">
            <v>4.8735804</v>
          </cell>
          <cell r="U233">
            <v>7</v>
          </cell>
        </row>
        <row r="234">
          <cell r="A234" t="str">
            <v>B016LI8E4S</v>
          </cell>
          <cell r="B234" t="str">
            <v>TWG-BPC-TwzrSlnt-Bk</v>
          </cell>
          <cell r="C234" t="str">
            <v>斜尖镊子</v>
          </cell>
          <cell r="D234" t="str">
            <v>Slant Tweezers - Tweezer Guru Professional Stainless Steel Slant Tip Tweezer - The Best Precision Eyebrow Tweezers for Your Daily Beauty Routine</v>
          </cell>
          <cell r="E234" t="str">
            <v>=DISPIMG("ID_0E6D710ADB394314BDA704C4555A8F54",1)</v>
          </cell>
          <cell r="F234" t="str">
            <v>美容</v>
          </cell>
          <cell r="G234" t="str">
            <v>0.090</v>
          </cell>
          <cell r="H234" t="str">
            <v>14.0</v>
          </cell>
          <cell r="I234" t="str">
            <v>0.6</v>
          </cell>
          <cell r="J234" t="str">
            <v>3.4</v>
          </cell>
          <cell r="K234">
            <v>2.856e-5</v>
          </cell>
          <cell r="L234" t="str">
            <v>19*13*18</v>
          </cell>
          <cell r="M234">
            <v>3</v>
          </cell>
          <cell r="N234">
            <v>0.02205</v>
          </cell>
          <cell r="O234">
            <v>150</v>
          </cell>
          <cell r="P234" t="str">
            <v>X000UR6H85</v>
          </cell>
          <cell r="Q234">
            <v>0.76</v>
          </cell>
          <cell r="R234">
            <v>1136</v>
          </cell>
          <cell r="S234">
            <v>7.57333333333333</v>
          </cell>
          <cell r="T234">
            <v>0.166992</v>
          </cell>
          <cell r="U234">
            <v>7</v>
          </cell>
        </row>
        <row r="235">
          <cell r="A235" t="str">
            <v>B09BDLDW6H</v>
          </cell>
          <cell r="B235" t="str">
            <v>FD-S4813-FBA</v>
          </cell>
          <cell r="C235" t="str">
            <v>钢水瓶</v>
          </cell>
          <cell r="D235" t="str">
            <v>40oz BOTTLE
DOUBLE WALL 304 S/S
Coppering 
2 color powder coated
mix pink 706c/331c
3 LIDS(PP+PE+Silicone)</v>
          </cell>
          <cell r="E235" t="str">
            <v>=DISPIMG("ID_1330064F84E1479DBCE1B794690B0DF8",1)</v>
          </cell>
          <cell r="F235" t="str">
            <v>水瓶</v>
          </cell>
          <cell r="G235">
            <v>0.7</v>
          </cell>
          <cell r="H235">
            <v>39</v>
          </cell>
          <cell r="I235">
            <v>10</v>
          </cell>
          <cell r="J235">
            <v>10</v>
          </cell>
          <cell r="K235">
            <v>0.0039</v>
          </cell>
          <cell r="L235" t="str">
            <v>61*42*41</v>
          </cell>
          <cell r="M235">
            <v>18</v>
          </cell>
          <cell r="N235">
            <v>0.105042</v>
          </cell>
          <cell r="O235">
            <v>24</v>
          </cell>
          <cell r="P235" t="str">
            <v>810158039179</v>
          </cell>
          <cell r="Q235">
            <v>6.49</v>
          </cell>
          <cell r="R235">
            <v>456</v>
          </cell>
          <cell r="S235">
            <v>19</v>
          </cell>
          <cell r="T235">
            <v>1.995798</v>
          </cell>
          <cell r="U235">
            <v>7</v>
          </cell>
        </row>
        <row r="236">
          <cell r="A236" t="str">
            <v>B07DDQMBG3</v>
          </cell>
          <cell r="B236" t="str">
            <v>MXL-KND-ShkBst-SetSlv</v>
          </cell>
          <cell r="C236" t="str">
            <v>调酒套件</v>
          </cell>
          <cell r="D236" t="str">
            <v>Boston Shaker Set Silver</v>
          </cell>
          <cell r="E236" t="str">
            <v>=DISPIMG("ID_E45128604DAB4067B8B3F7AC21028193",1)</v>
          </cell>
          <cell r="F236" t="str">
            <v>厨房用具</v>
          </cell>
          <cell r="G236">
            <v>1</v>
          </cell>
          <cell r="H236">
            <v>27</v>
          </cell>
          <cell r="I236">
            <v>17</v>
          </cell>
          <cell r="J236">
            <v>10</v>
          </cell>
          <cell r="K236">
            <v>0.00459</v>
          </cell>
          <cell r="L236" t="str">
            <v>51*36*29</v>
          </cell>
          <cell r="M236">
            <v>10</v>
          </cell>
          <cell r="N236">
            <v>0.053244</v>
          </cell>
          <cell r="O236">
            <v>10</v>
          </cell>
          <cell r="P236" t="str">
            <v>810090950266</v>
          </cell>
          <cell r="Q236">
            <v>7.36</v>
          </cell>
          <cell r="R236">
            <v>440</v>
          </cell>
          <cell r="S236">
            <v>44</v>
          </cell>
          <cell r="T236">
            <v>2.342736</v>
          </cell>
          <cell r="U236">
            <v>7</v>
          </cell>
        </row>
        <row r="237">
          <cell r="A237" t="str">
            <v>B01HAHZBHW</v>
          </cell>
          <cell r="B237" t="str">
            <v>KHM-BPC-NlFleLftSet</v>
          </cell>
          <cell r="C237" t="str">
            <v>内嵌趾甲套装</v>
          </cell>
          <cell r="D237" t="str">
            <v>KP-7100 Ingrown Toenail File and Lifter Set</v>
          </cell>
          <cell r="E237" t="str">
            <v>=DISPIMG("ID_971F8AA08599477F89804846520A1817",1)</v>
          </cell>
          <cell r="F237" t="str">
            <v>指甲钳</v>
          </cell>
          <cell r="G237" t="str">
            <v>0.100</v>
          </cell>
          <cell r="H237" t="str">
            <v>9.0</v>
          </cell>
          <cell r="I237" t="str">
            <v>2.5</v>
          </cell>
          <cell r="J237" t="str">
            <v>19.0</v>
          </cell>
          <cell r="K237">
            <v>0.0004275</v>
          </cell>
        </row>
        <row r="237">
          <cell r="O237">
            <v>100</v>
          </cell>
          <cell r="P237" t="str">
            <v>X000NB0YTL</v>
          </cell>
          <cell r="Q237">
            <v>1.76</v>
          </cell>
          <cell r="R237">
            <v>368</v>
          </cell>
          <cell r="S237">
            <v>3.68</v>
          </cell>
          <cell r="T237">
            <v>0</v>
          </cell>
          <cell r="U237">
            <v>7</v>
          </cell>
        </row>
        <row r="238">
          <cell r="A238" t="str">
            <v>B09BDK2DMJ</v>
          </cell>
          <cell r="B238" t="str">
            <v>FD-S4712-FBA</v>
          </cell>
          <cell r="C238" t="str">
            <v>钢水瓶</v>
          </cell>
          <cell r="D238" t="str">
            <v>32oz BOTTLE
DOUBLE WALL 304 S/S 
Coppering
water transfer print
wood
3 LIDS(PP+PE+Silicone)</v>
          </cell>
          <cell r="E238" t="str">
            <v>=DISPIMG("ID_D3ED0E3DC6ED48D9A37119601BA0F25D",1)</v>
          </cell>
          <cell r="F238" t="str">
            <v>水瓶</v>
          </cell>
          <cell r="G238" t="str">
            <v>0.681</v>
          </cell>
          <cell r="H238" t="str">
            <v>34.9</v>
          </cell>
          <cell r="I238" t="str">
            <v>10.1</v>
          </cell>
          <cell r="J238" t="str">
            <v>10.3</v>
          </cell>
          <cell r="K238">
            <v>0.003630647</v>
          </cell>
          <cell r="L238" t="str">
            <v>61*42*37</v>
          </cell>
          <cell r="M238">
            <v>16.3</v>
          </cell>
          <cell r="N238">
            <v>0.094794</v>
          </cell>
          <cell r="O238">
            <v>24</v>
          </cell>
          <cell r="P238" t="str">
            <v>810158038981</v>
          </cell>
          <cell r="Q238">
            <v>11.84</v>
          </cell>
          <cell r="R238">
            <v>216</v>
          </cell>
          <cell r="S238">
            <v>9</v>
          </cell>
          <cell r="T238">
            <v>0.853146</v>
          </cell>
          <cell r="U238">
            <v>7</v>
          </cell>
        </row>
        <row r="239">
          <cell r="A239" t="str">
            <v>B07YCWKFFV</v>
          </cell>
          <cell r="B239" t="str">
            <v>YHG-HOK-UbedOrnSrtgBx-364Grn</v>
          </cell>
          <cell r="C239" t="str">
            <v>饰品收纳</v>
          </cell>
          <cell r="D239" t="str">
            <v>ZOBER Underbed Christmas Ornament Storage Box Zippered Closure Stores up to 64 of The 3-inch Standard Christmas OrnaMens, and Xmas Holiday Accessories Storage Container with Dividers Two Handles</v>
          </cell>
          <cell r="E239" t="str">
            <v>=DISPIMG("ID_41DFE4068D60489F91AE92D710DE1FBA",1)</v>
          </cell>
          <cell r="F239" t="str">
            <v>圣诞</v>
          </cell>
          <cell r="G239" t="str">
            <v>1.700</v>
          </cell>
          <cell r="H239">
            <v>33</v>
          </cell>
          <cell r="I239">
            <v>33</v>
          </cell>
          <cell r="J239">
            <v>5</v>
          </cell>
          <cell r="K239">
            <v>0.005445</v>
          </cell>
          <cell r="L239" t="str">
            <v>30 * 36 * 35</v>
          </cell>
          <cell r="M239">
            <v>10.1</v>
          </cell>
          <cell r="N239">
            <v>0.0378</v>
          </cell>
          <cell r="O239">
            <v>6</v>
          </cell>
          <cell r="P239" t="str">
            <v>810158036512</v>
          </cell>
          <cell r="Q239">
            <v>5.02</v>
          </cell>
          <cell r="R239">
            <v>113</v>
          </cell>
          <cell r="S239">
            <v>18.8333333333333</v>
          </cell>
          <cell r="T239">
            <v>0.7119</v>
          </cell>
          <cell r="U239">
            <v>7</v>
          </cell>
        </row>
        <row r="240">
          <cell r="A240" t="str">
            <v>B01LG99NXI</v>
          </cell>
          <cell r="B240" t="str">
            <v>PWP-AZL-LEDBkL-L</v>
          </cell>
          <cell r="C240" t="str">
            <v>电视背光灯条</v>
          </cell>
          <cell r="D240" t="str">
            <v>LED Backlight L</v>
          </cell>
          <cell r="E240" t="str">
            <v>=DISPIMG("ID_FCACD0BCADF0430785E4A73297E0F1BB",1)</v>
          </cell>
          <cell r="F240" t="str">
            <v>工具</v>
          </cell>
          <cell r="G240" t="str">
            <v>0.1</v>
          </cell>
          <cell r="H240">
            <v>17</v>
          </cell>
          <cell r="I240">
            <v>14.5</v>
          </cell>
          <cell r="J240">
            <v>4</v>
          </cell>
          <cell r="K240">
            <v>0.000986</v>
          </cell>
          <cell r="L240" t="str">
            <v>46 * 37 * 33</v>
          </cell>
          <cell r="M240">
            <v>12.5</v>
          </cell>
          <cell r="N240">
            <v>0.05617</v>
          </cell>
          <cell r="O240">
            <v>120</v>
          </cell>
          <cell r="P240" t="str">
            <v>855640004365</v>
          </cell>
          <cell r="Q240">
            <v>11.51</v>
          </cell>
          <cell r="R240">
            <v>100</v>
          </cell>
          <cell r="S240">
            <v>0.833333333333333</v>
          </cell>
          <cell r="T240">
            <v>0.0468083333333333</v>
          </cell>
          <cell r="U240">
            <v>7</v>
          </cell>
        </row>
        <row r="241">
          <cell r="A241" t="str">
            <v>B08CQL865Z</v>
          </cell>
          <cell r="B241" t="str">
            <v>YHG-HOK-WdPntHngrClp-Wte10pk</v>
          </cell>
          <cell r="C241" t="str">
            <v>木衣架</v>
          </cell>
          <cell r="D241" t="str">
            <v>Wooden Skirt Clamp Hangers White set of 10</v>
          </cell>
          <cell r="E241" t="str">
            <v>=DISPIMG("ID_A15526D4D5AB436FB330B16D5A95073D",1)</v>
          </cell>
          <cell r="F241" t="str">
            <v>衣架</v>
          </cell>
          <cell r="G241" t="str">
            <v>1.560</v>
          </cell>
          <cell r="H241" t="str">
            <v>26.1</v>
          </cell>
          <cell r="I241" t="str">
            <v>12.1</v>
          </cell>
          <cell r="J241" t="str">
            <v>25.4</v>
          </cell>
          <cell r="K241">
            <v>0.008021574</v>
          </cell>
        </row>
        <row r="241">
          <cell r="O241">
            <v>8</v>
          </cell>
          <cell r="P241" t="str">
            <v>810158033979</v>
          </cell>
          <cell r="Q241">
            <v>7.81</v>
          </cell>
          <cell r="R241">
            <v>78</v>
          </cell>
          <cell r="S241">
            <v>9.75</v>
          </cell>
          <cell r="T241">
            <v>0</v>
          </cell>
          <cell r="U241">
            <v>7</v>
          </cell>
        </row>
        <row r="242">
          <cell r="A242" t="str">
            <v>B007OOUZ9G</v>
          </cell>
          <cell r="B242" t="str">
            <v>CCO-MUT-CELLO100-4-4</v>
          </cell>
          <cell r="C242" t="str">
            <v>乐器为儿童和成人</v>
          </cell>
          <cell r="D242" t="str">
            <v>Musical Instrument For Kids &amp; Adults</v>
          </cell>
          <cell r="E242" t="str">
            <v>=DISPIMG("ID_8EDA8F2ABE064B989859BACEEC848536",1)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 t="str">
            <v>58.8*58*8*31.5</v>
          </cell>
        </row>
        <row r="242">
          <cell r="N242">
            <v>0.85942</v>
          </cell>
          <cell r="O242">
            <v>12</v>
          </cell>
          <cell r="P242" t="e">
            <v>#N/A</v>
          </cell>
          <cell r="Q242" t="e">
            <v>#N/A</v>
          </cell>
          <cell r="R242">
            <v>76</v>
          </cell>
          <cell r="S242">
            <v>6.33333333333333</v>
          </cell>
          <cell r="T242">
            <v>5.44299333333333</v>
          </cell>
          <cell r="U242">
            <v>7</v>
          </cell>
        </row>
        <row r="243">
          <cell r="A243" t="str">
            <v>B01C6GK03M</v>
          </cell>
          <cell r="B243" t="str">
            <v>FLX-HHB-BBPCo-SM</v>
          </cell>
          <cell r="C243" t="str">
            <v>背撑</v>
          </cell>
          <cell r="D243" t="str">
            <v>Back Brace Posture Corrector Small Medium</v>
          </cell>
          <cell r="E243" t="str">
            <v>=DISPIMG("ID_690D948A29E8470CA7D3B0D3646B16A8",1)</v>
          </cell>
          <cell r="F243" t="str">
            <v>健身</v>
          </cell>
          <cell r="G243">
            <v>0.36</v>
          </cell>
          <cell r="H243">
            <v>23</v>
          </cell>
          <cell r="I243">
            <v>16</v>
          </cell>
          <cell r="J243">
            <v>7</v>
          </cell>
          <cell r="K243">
            <v>0.002576</v>
          </cell>
          <cell r="L243" t="str">
            <v>60*38*39</v>
          </cell>
          <cell r="M243">
            <v>20</v>
          </cell>
          <cell r="N243">
            <v>0.08892</v>
          </cell>
          <cell r="O243">
            <v>50</v>
          </cell>
          <cell r="P243" t="str">
            <v>644287990182</v>
          </cell>
          <cell r="Q243">
            <v>7.12</v>
          </cell>
          <cell r="R243">
            <v>900</v>
          </cell>
          <cell r="S243">
            <v>18</v>
          </cell>
          <cell r="T243">
            <v>1.60056</v>
          </cell>
          <cell r="U243">
            <v>6</v>
          </cell>
        </row>
        <row r="244">
          <cell r="A244" t="str">
            <v>B08GBDVFHX</v>
          </cell>
          <cell r="B244" t="str">
            <v>STB-BPC-JdRlr-GSS</v>
          </cell>
          <cell r="C244" t="str">
            <v>玉石滚轮</v>
          </cell>
          <cell r="D244" t="str">
            <v>Sdara Gua Sha Stone and Jade Roller Set</v>
          </cell>
          <cell r="E244" t="str">
            <v>=DISPIMG("ID_46E27E9837D54C6D9C3E55180AB18AB7",1)</v>
          </cell>
          <cell r="F244" t="str">
            <v>美容</v>
          </cell>
          <cell r="G244">
            <v>0.25</v>
          </cell>
          <cell r="H244">
            <v>18</v>
          </cell>
          <cell r="I244">
            <v>12</v>
          </cell>
          <cell r="J244">
            <v>3.4</v>
          </cell>
          <cell r="K244">
            <v>0.0007344</v>
          </cell>
          <cell r="L244" t="str">
            <v>52.8*32.8*29.6</v>
          </cell>
          <cell r="M244">
            <v>14.2</v>
          </cell>
          <cell r="N244">
            <v>0.05126</v>
          </cell>
          <cell r="O244" t="str">
            <v>52,56</v>
          </cell>
          <cell r="P244" t="str">
            <v>707486993092,B08GBDVFHX</v>
          </cell>
          <cell r="Q244">
            <v>4.89</v>
          </cell>
          <cell r="R244">
            <v>865</v>
          </cell>
          <cell r="S244">
            <v>16.63</v>
          </cell>
          <cell r="T244">
            <v>0.8524538</v>
          </cell>
          <cell r="U244">
            <v>6</v>
          </cell>
        </row>
        <row r="245">
          <cell r="A245" t="str">
            <v>B019ZK0WSU</v>
          </cell>
          <cell r="B245" t="str">
            <v>UFL-SPO-KneSleev-L</v>
          </cell>
          <cell r="C245" t="str">
            <v>及膝套</v>
          </cell>
          <cell r="D245" t="str">
            <v>UFlex Athletics Knee Compression Sleeve Support for Running, Jogging, Sports</v>
          </cell>
          <cell r="E245" t="str">
            <v>=DISPIMG("ID_A28C3653B2D644D0BD21B9F00A5D478F",1)</v>
          </cell>
          <cell r="F245" t="str">
            <v>健身</v>
          </cell>
          <cell r="G245">
            <v>0.04</v>
          </cell>
          <cell r="H245">
            <v>31.5</v>
          </cell>
          <cell r="I245">
            <v>15</v>
          </cell>
          <cell r="J245">
            <v>2</v>
          </cell>
          <cell r="K245">
            <v>0.000945</v>
          </cell>
          <cell r="L245" t="str">
            <v>47.5*47*33.5</v>
          </cell>
          <cell r="M245">
            <v>9.5</v>
          </cell>
          <cell r="N245">
            <v>0.07479</v>
          </cell>
          <cell r="O245">
            <v>100</v>
          </cell>
          <cell r="P245" t="str">
            <v>X000XFHN5D,752830834064</v>
          </cell>
          <cell r="Q245">
            <v>1.47</v>
          </cell>
          <cell r="R245">
            <v>800</v>
          </cell>
          <cell r="S245">
            <v>8</v>
          </cell>
          <cell r="T245">
            <v>0.59832</v>
          </cell>
          <cell r="U245">
            <v>6</v>
          </cell>
        </row>
        <row r="246">
          <cell r="A246" t="str">
            <v>B07TSL7FJB</v>
          </cell>
          <cell r="B246" t="str">
            <v>YHG-HOK-WdHngrKd-Bhle10pk</v>
          </cell>
          <cell r="C246" t="str">
            <v>木衣架</v>
          </cell>
          <cell r="D246" t="str">
            <v>Wooden Standard Kids Hangers Blue Polka Dot set of 10</v>
          </cell>
          <cell r="E246" t="str">
            <v>=DISPIMG("ID_8D93C234D42A4F2B952B45E6A7CC3B4A",1)</v>
          </cell>
          <cell r="F246" t="str">
            <v>衣架</v>
          </cell>
          <cell r="G246">
            <v>1.2</v>
          </cell>
          <cell r="H246">
            <v>32.2</v>
          </cell>
          <cell r="I246">
            <v>27.2</v>
          </cell>
          <cell r="J246">
            <v>7</v>
          </cell>
          <cell r="K246">
            <v>0.00613088</v>
          </cell>
          <cell r="L246" t="str">
            <v>55.4*33.6*29.8</v>
          </cell>
          <cell r="M246">
            <v>10.5</v>
          </cell>
          <cell r="N246">
            <v>0.05547</v>
          </cell>
          <cell r="O246">
            <v>8</v>
          </cell>
          <cell r="P246" t="str">
            <v>810158032996</v>
          </cell>
          <cell r="Q246">
            <v>6.78</v>
          </cell>
          <cell r="R246">
            <v>668</v>
          </cell>
          <cell r="S246">
            <v>83.5</v>
          </cell>
          <cell r="T246">
            <v>4.631745</v>
          </cell>
          <cell r="U246">
            <v>6</v>
          </cell>
        </row>
        <row r="247">
          <cell r="A247" t="str">
            <v>B09BDLCJTP</v>
          </cell>
          <cell r="B247" t="str">
            <v>FD-S4703-FBA</v>
          </cell>
          <cell r="C247" t="str">
            <v>钢水瓶</v>
          </cell>
          <cell r="D247" t="str">
            <v>32oz BOTTLE
DOUBLE WALL 304 S/S 
Coppering
Powder Coated
white
3 LIDS(PP+PE+Silicone)</v>
          </cell>
          <cell r="E247" t="str">
            <v>=DISPIMG("ID_CE940F4ECEA14061B6EBC9060CB366AC",1)</v>
          </cell>
          <cell r="F247" t="str">
            <v>水瓶</v>
          </cell>
          <cell r="G247">
            <v>0.66</v>
          </cell>
          <cell r="H247" t="str">
            <v>35.6</v>
          </cell>
          <cell r="I247" t="str">
            <v>9.8</v>
          </cell>
          <cell r="J247" t="str">
            <v>10.3</v>
          </cell>
          <cell r="K247">
            <v>0.003593464</v>
          </cell>
          <cell r="L247" t="str">
            <v>61*42*37</v>
          </cell>
          <cell r="M247">
            <v>16.3</v>
          </cell>
          <cell r="N247">
            <v>0.094794</v>
          </cell>
          <cell r="O247">
            <v>24</v>
          </cell>
          <cell r="P247" t="str">
            <v>810158038905</v>
          </cell>
          <cell r="Q247">
            <v>7.41</v>
          </cell>
          <cell r="R247">
            <v>312</v>
          </cell>
          <cell r="S247">
            <v>13</v>
          </cell>
          <cell r="T247">
            <v>1.232322</v>
          </cell>
          <cell r="U247">
            <v>6</v>
          </cell>
        </row>
        <row r="248">
          <cell r="A248" t="str">
            <v>B09BDLSRVM</v>
          </cell>
          <cell r="B248" t="str">
            <v>FD-S4804-FBA</v>
          </cell>
          <cell r="C248" t="str">
            <v>钢水瓶</v>
          </cell>
          <cell r="D248" t="str">
            <v>40oz BOTTLE
DOUBLE WALL 304 S/S 
Coppering
Powder Coated
gray 877c
3 LIDS(PP+PE+Silicone)
100% leakproof</v>
          </cell>
          <cell r="E248" t="str">
            <v>=DISPIMG("ID_998551BF81E647E0B314011FD8E68310",1)</v>
          </cell>
          <cell r="F248" t="str">
            <v>水瓶</v>
          </cell>
          <cell r="G248" t="str">
            <v>0.76</v>
          </cell>
          <cell r="H248" t="str">
            <v>39.0</v>
          </cell>
          <cell r="I248" t="str">
            <v>10.0</v>
          </cell>
          <cell r="J248" t="str">
            <v>10.6</v>
          </cell>
          <cell r="K248">
            <v>0.004134</v>
          </cell>
          <cell r="L248" t="str">
            <v>61*42*37</v>
          </cell>
          <cell r="M248">
            <v>16.3</v>
          </cell>
          <cell r="N248">
            <v>0.094794</v>
          </cell>
          <cell r="O248">
            <v>24</v>
          </cell>
          <cell r="P248" t="str">
            <v>810158039094</v>
          </cell>
          <cell r="Q248">
            <v>8.11</v>
          </cell>
          <cell r="R248">
            <v>310</v>
          </cell>
          <cell r="S248">
            <v>12.9166666666667</v>
          </cell>
          <cell r="T248">
            <v>1.2244225</v>
          </cell>
          <cell r="U248">
            <v>6</v>
          </cell>
        </row>
        <row r="249">
          <cell r="A249" t="str">
            <v>B01MRBVK1G</v>
          </cell>
          <cell r="B249" t="str">
            <v>MCC-HOK-PiCnd-3x6GreF3pk</v>
          </cell>
          <cell r="C249" t="str">
            <v>无香蜡烛</v>
          </cell>
          <cell r="D249" t="str">
            <v>Green Pillar Candles 3" x 6" Candles Set of 3</v>
          </cell>
          <cell r="E249" t="str">
            <v>=DISPIMG("ID_E528796550F64725BD5C27CD96FF15CC",1)</v>
          </cell>
          <cell r="F249" t="str">
            <v>蜡烛</v>
          </cell>
          <cell r="G249">
            <v>1.8</v>
          </cell>
          <cell r="H249">
            <v>24</v>
          </cell>
          <cell r="I249">
            <v>16</v>
          </cell>
          <cell r="J249">
            <v>9</v>
          </cell>
          <cell r="K249">
            <v>0.003456</v>
          </cell>
          <cell r="L249" t="str">
            <v>36*26*17</v>
          </cell>
          <cell r="M249">
            <v>7.5</v>
          </cell>
          <cell r="N249">
            <v>0.015912</v>
          </cell>
          <cell r="O249">
            <v>4</v>
          </cell>
          <cell r="P249" t="str">
            <v>850031125261</v>
          </cell>
          <cell r="Q249">
            <v>9.31</v>
          </cell>
          <cell r="R249">
            <v>308</v>
          </cell>
          <cell r="S249">
            <v>77</v>
          </cell>
          <cell r="T249">
            <v>1.225224</v>
          </cell>
          <cell r="U249">
            <v>6</v>
          </cell>
        </row>
        <row r="250">
          <cell r="A250" t="str">
            <v>B0B2JG7S7N</v>
          </cell>
          <cell r="B250" t="str">
            <v>YHG-HOK-FD-SC202</v>
          </cell>
          <cell r="C250" t="str">
            <v>硅胶烘焙垫</v>
          </cell>
          <cell r="D250" t="str">
            <v>Fine Dine-Silicone baking mat set of 3-black</v>
          </cell>
          <cell r="E250" t="str">
            <v>=DISPIMG("ID_56B6F5A383734D589AB96FF0F13FEE49",1)</v>
          </cell>
          <cell r="F250" t="str">
            <v>厨房用具</v>
          </cell>
          <cell r="G250" t="str">
            <v>0.400</v>
          </cell>
          <cell r="H250">
            <v>32</v>
          </cell>
          <cell r="I250">
            <v>5</v>
          </cell>
          <cell r="J250">
            <v>5</v>
          </cell>
          <cell r="K250">
            <v>0.0008</v>
          </cell>
          <cell r="L250" t="str">
            <v>29 * 43 * 36</v>
          </cell>
          <cell r="M250">
            <v>13.8</v>
          </cell>
          <cell r="N250">
            <v>0.044892</v>
          </cell>
          <cell r="O250">
            <v>40</v>
          </cell>
          <cell r="P250" t="str">
            <v>810078882787</v>
          </cell>
          <cell r="Q250">
            <v>5.32</v>
          </cell>
          <cell r="R250">
            <v>280</v>
          </cell>
          <cell r="S250">
            <v>7</v>
          </cell>
          <cell r="T250">
            <v>0.314244</v>
          </cell>
          <cell r="U250">
            <v>6</v>
          </cell>
        </row>
        <row r="251">
          <cell r="A251" t="str">
            <v>B087V8JHSD</v>
          </cell>
          <cell r="B251" t="str">
            <v>TMP-HHB-SwfSwprMpPd-2</v>
          </cell>
          <cell r="C251" t="str">
            <v>蒸汽拖把垫和刷子</v>
          </cell>
          <cell r="D251" t="str">
            <v>Turbo Mops</v>
          </cell>
          <cell r="E251" t="str">
            <v>=DISPIMG("ID_39D2C8C972D04EA497BCF56D07FE108F",1)</v>
          </cell>
          <cell r="F251" t="str">
            <v>清洁</v>
          </cell>
          <cell r="G251">
            <v>0.15</v>
          </cell>
          <cell r="H251">
            <v>29.5</v>
          </cell>
          <cell r="I251">
            <v>28.5</v>
          </cell>
          <cell r="J251">
            <v>3</v>
          </cell>
          <cell r="K251">
            <v>0.00252225</v>
          </cell>
        </row>
        <row r="251">
          <cell r="M251">
            <v>10</v>
          </cell>
        </row>
        <row r="251">
          <cell r="O251">
            <v>50</v>
          </cell>
          <cell r="P251" t="str">
            <v>851587008664</v>
          </cell>
          <cell r="Q251">
            <v>4.37</v>
          </cell>
          <cell r="R251">
            <v>250</v>
          </cell>
          <cell r="S251">
            <v>5</v>
          </cell>
          <cell r="T251">
            <v>0</v>
          </cell>
          <cell r="U251">
            <v>6</v>
          </cell>
        </row>
        <row r="252">
          <cell r="A252" t="str">
            <v>B09BDMJDW6</v>
          </cell>
          <cell r="B252" t="str">
            <v>FD-S4803-FBA</v>
          </cell>
          <cell r="C252" t="str">
            <v>钢水瓶</v>
          </cell>
          <cell r="D252" t="str">
            <v>40oz BOTTLE
DOUBLE WALL 304 S/S 
Coppering
Powder Coated
white
3 LIDS(PP+PE+Silicone)
100% leakproof 
can pass the paint adhesion testing
Keep Hot 8H&amp; Cold 10H
color Box</v>
          </cell>
          <cell r="E252" t="str">
            <v>=DISPIMG("ID_97EC3595883F4A11A0BCD3A44BC0C5ED",1)</v>
          </cell>
          <cell r="F252" t="str">
            <v>水瓶</v>
          </cell>
          <cell r="G252" t="str">
            <v>0.8</v>
          </cell>
          <cell r="H252">
            <v>39</v>
          </cell>
          <cell r="I252">
            <v>10</v>
          </cell>
          <cell r="J252">
            <v>10</v>
          </cell>
          <cell r="K252">
            <v>0.0039</v>
          </cell>
          <cell r="L252" t="str">
            <v>43 * 62 * 41</v>
          </cell>
          <cell r="M252">
            <v>18.1</v>
          </cell>
          <cell r="N252">
            <v>0.109306</v>
          </cell>
          <cell r="O252">
            <v>24</v>
          </cell>
          <cell r="P252" t="str">
            <v>810158039070</v>
          </cell>
          <cell r="Q252">
            <v>10.23</v>
          </cell>
          <cell r="R252">
            <v>215</v>
          </cell>
          <cell r="S252">
            <v>8.95833333333333</v>
          </cell>
          <cell r="T252">
            <v>0.979199583333333</v>
          </cell>
          <cell r="U252">
            <v>6</v>
          </cell>
        </row>
        <row r="253">
          <cell r="A253" t="str">
            <v>B00I0BS5JY</v>
          </cell>
          <cell r="B253" t="str">
            <v>GDL-ETC-DrWyAlmSnsr500ft</v>
          </cell>
          <cell r="C253" t="str">
            <v>车道警报传感器</v>
          </cell>
          <cell r="D253" t="str">
            <v>Extra 500 ft Sensor for Driveway Alarm Kit</v>
          </cell>
          <cell r="E253" t="str">
            <v>=DISPIMG("ID_9B3602D9997349BB883AF33C72F54285",1)</v>
          </cell>
          <cell r="F253" t="str">
            <v>汽车</v>
          </cell>
          <cell r="G253" t="str">
            <v>0.300</v>
          </cell>
          <cell r="H253">
            <v>14</v>
          </cell>
          <cell r="I253">
            <v>12.5</v>
          </cell>
          <cell r="J253">
            <v>9</v>
          </cell>
          <cell r="K253">
            <v>0.001575</v>
          </cell>
          <cell r="L253" t="str">
            <v>46 * 39 * 28</v>
          </cell>
          <cell r="M253">
            <v>8.8</v>
          </cell>
          <cell r="N253">
            <v>0.050232</v>
          </cell>
          <cell r="O253">
            <v>30</v>
          </cell>
          <cell r="P253" t="str">
            <v>753677310049</v>
          </cell>
          <cell r="Q253">
            <v>9.28</v>
          </cell>
          <cell r="R253">
            <v>166</v>
          </cell>
          <cell r="S253">
            <v>5.53333333333333</v>
          </cell>
          <cell r="T253">
            <v>0.2779504</v>
          </cell>
          <cell r="U253">
            <v>6</v>
          </cell>
        </row>
        <row r="254">
          <cell r="A254" t="str">
            <v>B083JLV312</v>
          </cell>
          <cell r="B254" t="str">
            <v>HAD-HAK-SopDis-Wht13oz</v>
          </cell>
          <cell r="C254" t="str">
            <v>洗碗皂盒白色</v>
          </cell>
          <cell r="D254" t="str">
            <v>Dish  Soap Dispenser White</v>
          </cell>
          <cell r="E254" t="str">
            <v>=DISPIMG("ID_427C7332477A43EAA9CFB4FAA9574B5D",1)</v>
          </cell>
        </row>
        <row r="254">
          <cell r="R254">
            <v>107</v>
          </cell>
        </row>
        <row r="254">
          <cell r="T254">
            <v>0</v>
          </cell>
          <cell r="U254">
            <v>6</v>
          </cell>
        </row>
        <row r="255">
          <cell r="A255" t="str">
            <v>B07TWT4NWB</v>
          </cell>
          <cell r="B255" t="str">
            <v>YHG-HOK-WdHngrKd-Pnk10pk</v>
          </cell>
          <cell r="C255" t="str">
            <v>木衣架</v>
          </cell>
          <cell r="D255" t="str">
            <v>Wooden Standard Kids Hangers Pink Polka Dot set of 10</v>
          </cell>
          <cell r="E255" t="str">
            <v>=DISPIMG("ID_CCD49474F7AF4ED58D5FB6A0ED8ABCC2",1)</v>
          </cell>
          <cell r="F255" t="str">
            <v>衣架</v>
          </cell>
          <cell r="G255" t="str">
            <v>1.310</v>
          </cell>
          <cell r="H255" t="str">
            <v>32.2</v>
          </cell>
          <cell r="I255" t="str">
            <v>6.8</v>
          </cell>
          <cell r="J255" t="str">
            <v>27.2</v>
          </cell>
          <cell r="K255">
            <v>0.005955712</v>
          </cell>
        </row>
        <row r="255">
          <cell r="O255">
            <v>12</v>
          </cell>
          <cell r="P255" t="str">
            <v>810158032989</v>
          </cell>
          <cell r="Q255">
            <v>11.96</v>
          </cell>
          <cell r="R255">
            <v>92</v>
          </cell>
          <cell r="S255">
            <v>7.66666666666667</v>
          </cell>
          <cell r="T255">
            <v>0</v>
          </cell>
          <cell r="U255">
            <v>6</v>
          </cell>
        </row>
        <row r="256">
          <cell r="A256" t="str">
            <v>B01N99056Q</v>
          </cell>
          <cell r="B256" t="str">
            <v>GTL-HOK-VlvtBthRg-17x24Nvy</v>
          </cell>
          <cell r="C256" t="str">
            <v>天鹅绒记忆浴室地毯-海军蓝</v>
          </cell>
          <cell r="D256" t="str">
            <v>VELVET MEMORY BATHROOM RUG-NAVY</v>
          </cell>
          <cell r="E256" t="str">
            <v>=DISPIMG("ID_378471AAFBAC4CFD82650E63578DA737",1)</v>
          </cell>
        </row>
        <row r="256">
          <cell r="P256" t="e">
            <v>#N/A</v>
          </cell>
          <cell r="Q256" t="e">
            <v>#N/A</v>
          </cell>
          <cell r="R256">
            <v>37</v>
          </cell>
          <cell r="S256" t="e">
            <v>#DIV/0!</v>
          </cell>
          <cell r="T256">
            <v>0</v>
          </cell>
          <cell r="U256">
            <v>6</v>
          </cell>
        </row>
        <row r="257">
          <cell r="A257" t="str">
            <v>B019ZK0WR6</v>
          </cell>
          <cell r="B257" t="str">
            <v>UFL-SPO-KneSleev-S</v>
          </cell>
          <cell r="C257" t="str">
            <v>及膝套</v>
          </cell>
          <cell r="D257" t="str">
            <v>UFlex Athletics Knee Compression Sleeve Support for Running, Jogging, Sports</v>
          </cell>
          <cell r="E257" t="str">
            <v>=DISPIMG("ID_C2009F1CC9DC4150AED73365CE66124A",1)</v>
          </cell>
          <cell r="F257" t="str">
            <v>健身</v>
          </cell>
          <cell r="G257">
            <v>0.1</v>
          </cell>
          <cell r="H257">
            <v>32</v>
          </cell>
          <cell r="I257">
            <v>11.6</v>
          </cell>
          <cell r="J257" t="str">
            <v>2.0</v>
          </cell>
          <cell r="K257">
            <v>0.0007424</v>
          </cell>
          <cell r="L257" t="str">
            <v>50*36.4*24.2</v>
          </cell>
          <cell r="M257">
            <v>8.7</v>
          </cell>
          <cell r="N257">
            <v>0.044044</v>
          </cell>
          <cell r="O257">
            <v>100</v>
          </cell>
          <cell r="P257" t="str">
            <v>687077576272,X000TREOUT</v>
          </cell>
          <cell r="Q257">
            <v>2.02</v>
          </cell>
          <cell r="R257">
            <v>3328</v>
          </cell>
          <cell r="S257">
            <v>33.28</v>
          </cell>
          <cell r="T257">
            <v>1.46578432</v>
          </cell>
          <cell r="U257">
            <v>5</v>
          </cell>
        </row>
        <row r="258">
          <cell r="A258" t="str">
            <v>B01BKA11B0</v>
          </cell>
          <cell r="B258" t="str">
            <v>CCA-HOK-HHMix-2s</v>
          </cell>
          <cell r="C258" t="str">
            <v>起泡剂</v>
          </cell>
          <cell r="D258" t="str">
            <v>Cafe Casa Hand Mixer and Milk Frother for Home Use | Battery-Operated Foamer | Stainless Steel Drink Mixer for Expert Lattes Milkshakes Matcha Cappuccinos | 2-Speed Handheld Electric Mixer</v>
          </cell>
          <cell r="E258" t="str">
            <v>=DISPIMG("ID_54F37C1649FF4B0082182F56A201A521",1)</v>
          </cell>
          <cell r="F258" t="str">
            <v>厨房用具</v>
          </cell>
          <cell r="G258" t="str">
            <v>0.250</v>
          </cell>
          <cell r="H258">
            <v>26.5</v>
          </cell>
          <cell r="I258">
            <v>8</v>
          </cell>
          <cell r="J258">
            <v>4</v>
          </cell>
          <cell r="K258">
            <v>0.000848</v>
          </cell>
          <cell r="L258" t="str">
            <v>42*37*29</v>
          </cell>
          <cell r="M258">
            <v>10.6</v>
          </cell>
          <cell r="N258">
            <v>0.045066</v>
          </cell>
          <cell r="O258">
            <v>40</v>
          </cell>
          <cell r="P258" t="str">
            <v>784672326544</v>
          </cell>
          <cell r="Q258">
            <v>3.64</v>
          </cell>
          <cell r="R258">
            <v>2509</v>
          </cell>
          <cell r="S258">
            <v>62.725</v>
          </cell>
          <cell r="T258">
            <v>2.82676485</v>
          </cell>
          <cell r="U258">
            <v>5</v>
          </cell>
        </row>
        <row r="259">
          <cell r="A259" t="str">
            <v>B09BDLSNY8</v>
          </cell>
          <cell r="B259" t="str">
            <v>FD-S4811-FBA</v>
          </cell>
          <cell r="C259" t="str">
            <v>钢水瓶</v>
          </cell>
          <cell r="D259" t="str">
            <v>40oz BOTTLE
DOUBLE WALL 304 S/S 
Coppering
water transfer print
blue-marble
3 LIDS(PP+PE+Silicone)</v>
          </cell>
          <cell r="E259" t="str">
            <v>=DISPIMG("ID_CF4938DB7372453DAE4DDB3C6F30347A",1)</v>
          </cell>
          <cell r="F259" t="str">
            <v>水瓶</v>
          </cell>
          <cell r="G259">
            <v>0.7</v>
          </cell>
          <cell r="H259">
            <v>39</v>
          </cell>
          <cell r="I259">
            <v>10</v>
          </cell>
          <cell r="J259">
            <v>10</v>
          </cell>
          <cell r="K259">
            <v>0.0039</v>
          </cell>
          <cell r="L259" t="str">
            <v>61*42*41</v>
          </cell>
          <cell r="M259">
            <v>18</v>
          </cell>
          <cell r="N259">
            <v>0.105042</v>
          </cell>
          <cell r="O259">
            <v>24</v>
          </cell>
          <cell r="P259" t="str">
            <v>810158039155</v>
          </cell>
          <cell r="Q259">
            <v>6.61</v>
          </cell>
          <cell r="R259">
            <v>528</v>
          </cell>
          <cell r="S259">
            <v>22</v>
          </cell>
          <cell r="T259">
            <v>2.310924</v>
          </cell>
          <cell r="U259">
            <v>5</v>
          </cell>
        </row>
        <row r="260">
          <cell r="A260" t="str">
            <v>B06W2FM8C8</v>
          </cell>
          <cell r="B260" t="str">
            <v>MCC-HOK-PiCnd-3x4T/TlF3pk</v>
          </cell>
          <cell r="C260" t="str">
            <v>无香蜡烛</v>
          </cell>
          <cell r="D260" t="str">
            <v>Turquoise/Teal Pillar Candles 3" x 4" Set of 3</v>
          </cell>
          <cell r="E260" t="str">
            <v>=DISPIMG("ID_2E51F722320B461FAFCFD9332AB4250A",1)</v>
          </cell>
          <cell r="F260" t="str">
            <v>蜡烛</v>
          </cell>
          <cell r="G260">
            <v>1.3</v>
          </cell>
          <cell r="H260">
            <v>25</v>
          </cell>
          <cell r="I260">
            <v>11</v>
          </cell>
          <cell r="J260">
            <v>9</v>
          </cell>
          <cell r="K260">
            <v>0.002475</v>
          </cell>
          <cell r="L260" t="str">
            <v>35*23*26</v>
          </cell>
          <cell r="M260">
            <v>10</v>
          </cell>
          <cell r="N260">
            <v>0.02093</v>
          </cell>
          <cell r="O260">
            <v>8</v>
          </cell>
          <cell r="P260" t="str">
            <v>850031125117</v>
          </cell>
          <cell r="Q260">
            <v>6.69</v>
          </cell>
          <cell r="R260">
            <v>480</v>
          </cell>
          <cell r="S260">
            <v>60</v>
          </cell>
          <cell r="T260">
            <v>1.2558</v>
          </cell>
          <cell r="U260">
            <v>5</v>
          </cell>
        </row>
        <row r="261">
          <cell r="A261" t="str">
            <v>B099NTLM92</v>
          </cell>
          <cell r="B261" t="str">
            <v>YHG-KND-XlRtStlUtlHldr-Tqe</v>
          </cell>
          <cell r="C261" t="str">
            <v>厨房用具架</v>
          </cell>
          <cell r="D261" t="str">
            <v>Extra-Large Rotating Stainless Steel Utensil Holder Tuquoise</v>
          </cell>
          <cell r="E261" t="str">
            <v>=DISPIMG("ID_724FDF45A8CB49F0861B2D9A0AAF19AE",1)</v>
          </cell>
          <cell r="F261" t="str">
            <v>厨房用具</v>
          </cell>
          <cell r="G261">
            <v>1</v>
          </cell>
          <cell r="H261">
            <v>18.5</v>
          </cell>
          <cell r="I261">
            <v>18.5</v>
          </cell>
          <cell r="J261">
            <v>21</v>
          </cell>
          <cell r="K261">
            <v>0.00718725</v>
          </cell>
          <cell r="L261" t="str">
            <v>56*40*23</v>
          </cell>
          <cell r="M261">
            <v>6.5</v>
          </cell>
          <cell r="N261">
            <v>0.05152</v>
          </cell>
          <cell r="O261">
            <v>6</v>
          </cell>
          <cell r="P261" t="str">
            <v>810158038493</v>
          </cell>
          <cell r="Q261">
            <v>6.65</v>
          </cell>
          <cell r="R261">
            <v>324</v>
          </cell>
          <cell r="S261">
            <v>54</v>
          </cell>
          <cell r="T261">
            <v>2.78208</v>
          </cell>
          <cell r="U261">
            <v>5</v>
          </cell>
        </row>
        <row r="262">
          <cell r="A262" t="str">
            <v>B08CNNMGXB</v>
          </cell>
          <cell r="B262" t="str">
            <v>YHG-HOK-EwChrsTreBg-9Blk</v>
          </cell>
          <cell r="C262" t="str">
            <v>圣诞树收纳袋</v>
          </cell>
          <cell r="D262" t="str">
            <v>STORAGE BAG</v>
          </cell>
          <cell r="E262" t="str">
            <v>=DISPIMG("ID_74A079D18F3B4EECBA8A2A0D9C25D17F",1)</v>
          </cell>
          <cell r="F262" t="str">
            <v>圣诞</v>
          </cell>
          <cell r="G262">
            <v>2.2</v>
          </cell>
          <cell r="H262">
            <v>37</v>
          </cell>
          <cell r="I262">
            <v>30</v>
          </cell>
          <cell r="J262">
            <v>7</v>
          </cell>
          <cell r="K262">
            <v>0.00777</v>
          </cell>
          <cell r="L262" t="str">
            <v>39 * 32 * 38</v>
          </cell>
          <cell r="M262">
            <v>13.5</v>
          </cell>
          <cell r="N262">
            <v>0.047424</v>
          </cell>
          <cell r="O262">
            <v>6</v>
          </cell>
          <cell r="P262" t="str">
            <v>810158036833</v>
          </cell>
          <cell r="Q262">
            <v>10.27</v>
          </cell>
          <cell r="R262">
            <v>90</v>
          </cell>
          <cell r="S262">
            <v>15</v>
          </cell>
          <cell r="T262">
            <v>0.71136</v>
          </cell>
          <cell r="U262">
            <v>5</v>
          </cell>
        </row>
        <row r="263">
          <cell r="A263" t="str">
            <v>B083JNYFKY</v>
          </cell>
          <cell r="B263" t="str">
            <v>BBD-BBY-TyCrd-Chlkf48pk1</v>
          </cell>
          <cell r="C263" t="str">
            <v>感谢卡</v>
          </cell>
          <cell r="D263" t="str">
            <v>Thank You Cards Chalkboard Floral 48 Pack 1</v>
          </cell>
          <cell r="E263" t="str">
            <v>=DISPIMG("ID_80BF178D8BA94FAABF17CC741667B280",1)</v>
          </cell>
          <cell r="F263" t="str">
            <v>贺卡</v>
          </cell>
          <cell r="G263" t="str">
            <v>0.69</v>
          </cell>
          <cell r="H263" t="str">
            <v>23.0</v>
          </cell>
          <cell r="I263" t="str">
            <v>3.7</v>
          </cell>
          <cell r="J263" t="str">
            <v>16.8</v>
          </cell>
          <cell r="K263">
            <v>0.00142968</v>
          </cell>
          <cell r="L263" t="str">
            <v>53 * 25 * 38</v>
          </cell>
          <cell r="M263">
            <v>22</v>
          </cell>
          <cell r="N263">
            <v>0.05035</v>
          </cell>
          <cell r="O263">
            <v>30</v>
          </cell>
          <cell r="P263" t="str">
            <v>X0014QLNC1</v>
          </cell>
          <cell r="Q263">
            <v>3.18</v>
          </cell>
          <cell r="R263">
            <v>90</v>
          </cell>
          <cell r="S263">
            <v>3</v>
          </cell>
          <cell r="T263">
            <v>0.15105</v>
          </cell>
          <cell r="U263">
            <v>5</v>
          </cell>
        </row>
        <row r="264">
          <cell r="A264" t="str">
            <v>B07C3VDS13</v>
          </cell>
          <cell r="B264" t="str">
            <v>YHG-KND-GlsFdCntnr-Blu20pk</v>
          </cell>
          <cell r="C264" t="str">
            <v>塑料食品容器套装</v>
          </cell>
          <cell r="D264" t="str">
            <v>Superior Glass Food Storage Container Blue Pack</v>
          </cell>
          <cell r="E264" t="str">
            <v>=DISPIMG("ID_9523BB101D114C4A83FFFCC0A60D5BA2",1)</v>
          </cell>
          <cell r="F264" t="str">
            <v>厨房用具</v>
          </cell>
          <cell r="G264">
            <v>3.2</v>
          </cell>
          <cell r="H264">
            <v>38</v>
          </cell>
          <cell r="I264">
            <v>29</v>
          </cell>
          <cell r="J264">
            <v>20</v>
          </cell>
          <cell r="K264">
            <v>0.02204</v>
          </cell>
          <cell r="L264" t="str">
            <v>59 * 40 * 41</v>
          </cell>
          <cell r="M264">
            <v>14.1</v>
          </cell>
          <cell r="N264">
            <v>0.09676</v>
          </cell>
          <cell r="O264">
            <v>4</v>
          </cell>
          <cell r="P264" t="str">
            <v>810158031753</v>
          </cell>
          <cell r="Q264">
            <v>19.69</v>
          </cell>
          <cell r="R264">
            <v>66</v>
          </cell>
          <cell r="S264">
            <v>16.5</v>
          </cell>
          <cell r="T264">
            <v>1.59654</v>
          </cell>
          <cell r="U264">
            <v>5</v>
          </cell>
        </row>
        <row r="265">
          <cell r="A265" t="str">
            <v>B00Z7N7KGW</v>
          </cell>
          <cell r="B265" t="str">
            <v>BRH-APA-StarterSet</v>
          </cell>
          <cell r="C265" t="str">
            <v>汽车轮刷</v>
          </cell>
          <cell r="D265" t="str">
            <v>Water Powered Wheel Brush Starter Set</v>
          </cell>
          <cell r="E265" t="str">
            <v>=DISPIMG("ID_CBA8544B7E7D475DA69DF58C0619ECD9",1)</v>
          </cell>
        </row>
        <row r="265">
          <cell r="G265">
            <v>0.3</v>
          </cell>
          <cell r="H265">
            <v>34</v>
          </cell>
          <cell r="I265">
            <v>10</v>
          </cell>
          <cell r="J265">
            <v>7</v>
          </cell>
          <cell r="K265">
            <v>0.00238</v>
          </cell>
          <cell r="L265" t="str">
            <v>51 * 53 * 39</v>
          </cell>
          <cell r="M265">
            <v>14.5</v>
          </cell>
          <cell r="N265">
            <v>0.105417</v>
          </cell>
          <cell r="O265">
            <v>56</v>
          </cell>
          <cell r="P265" t="str">
            <v>743074862876</v>
          </cell>
          <cell r="Q265">
            <v>6.9</v>
          </cell>
          <cell r="R265">
            <v>65</v>
          </cell>
          <cell r="S265">
            <v>1.16071428571429</v>
          </cell>
          <cell r="T265">
            <v>0.122359017857143</v>
          </cell>
          <cell r="U265">
            <v>5</v>
          </cell>
        </row>
        <row r="266">
          <cell r="A266" t="str">
            <v>B07RR956HS</v>
          </cell>
          <cell r="B266" t="str">
            <v>BES-APA-AutFnlSt-Blu3pc</v>
          </cell>
          <cell r="C266" t="str">
            <v>漏斗</v>
          </cell>
          <cell r="D266" t="str">
            <v>All Purpose Automotive Funnel Set Blue 3 Pieces</v>
          </cell>
          <cell r="E266" t="str">
            <v>=DISPIMG("ID_7970C27E391D48638839518900C71B1B",1)</v>
          </cell>
        </row>
        <row r="266">
          <cell r="G266">
            <v>0.1</v>
          </cell>
          <cell r="H266">
            <v>33</v>
          </cell>
          <cell r="I266">
            <v>9</v>
          </cell>
          <cell r="J266">
            <v>9</v>
          </cell>
          <cell r="K266">
            <v>0.002673</v>
          </cell>
          <cell r="L266" t="str">
            <v>60 * 40 * 33</v>
          </cell>
          <cell r="M266">
            <v>7.1</v>
          </cell>
          <cell r="N266">
            <v>0.0792</v>
          </cell>
          <cell r="O266">
            <v>60</v>
          </cell>
          <cell r="P266" t="str">
            <v>850036674405,649870646163</v>
          </cell>
          <cell r="Q266">
            <v>1.74</v>
          </cell>
          <cell r="R266">
            <v>46</v>
          </cell>
          <cell r="S266">
            <v>0.766666666666667</v>
          </cell>
          <cell r="T266">
            <v>0.06072</v>
          </cell>
          <cell r="U266">
            <v>5</v>
          </cell>
        </row>
        <row r="267">
          <cell r="A267" t="str">
            <v>B00KFM67RS</v>
          </cell>
          <cell r="B267" t="str">
            <v>SDT-TOH-SPWDbC-Gr</v>
          </cell>
          <cell r="C267" t="str">
            <v>无线门铃</v>
          </cell>
          <cell r="D267" t="str">
            <v>Star Point Wireless Doorbell Model C Green</v>
          </cell>
          <cell r="E267" t="str">
            <v>=DISPIMG("ID_7686FFCC43BF4AB8A935B640D6A4D2AA",1)</v>
          </cell>
          <cell r="F267" t="str">
            <v>门铃</v>
          </cell>
          <cell r="G267">
            <v>0.2</v>
          </cell>
          <cell r="H267">
            <v>10</v>
          </cell>
          <cell r="I267">
            <v>9</v>
          </cell>
          <cell r="J267">
            <v>7</v>
          </cell>
          <cell r="K267">
            <v>0.00063</v>
          </cell>
          <cell r="L267" t="str">
            <v>47*39*23</v>
          </cell>
          <cell r="M267">
            <v>9.3</v>
          </cell>
          <cell r="N267">
            <v>0.042159</v>
          </cell>
          <cell r="O267">
            <v>50</v>
          </cell>
          <cell r="P267" t="str">
            <v>616453922938</v>
          </cell>
          <cell r="Q267">
            <v>6.49</v>
          </cell>
          <cell r="R267">
            <v>1934</v>
          </cell>
          <cell r="S267">
            <v>38.68</v>
          </cell>
          <cell r="T267">
            <v>1.63071012</v>
          </cell>
          <cell r="U267">
            <v>4</v>
          </cell>
        </row>
        <row r="268">
          <cell r="A268" t="str">
            <v>B018UYRXY8</v>
          </cell>
          <cell r="B268" t="str">
            <v>SDT-TOH-SPWDbC-Gy</v>
          </cell>
          <cell r="C268" t="str">
            <v>无线门铃</v>
          </cell>
          <cell r="D268" t="str">
            <v>Star Point Wireless Doorbell Model C Grey</v>
          </cell>
          <cell r="E268" t="str">
            <v>=DISPIMG("ID_5635EAAE6C124754ABB43E929D54B083",1)</v>
          </cell>
          <cell r="F268" t="str">
            <v>门铃</v>
          </cell>
          <cell r="G268">
            <v>0.2</v>
          </cell>
          <cell r="H268">
            <v>10</v>
          </cell>
          <cell r="I268">
            <v>9</v>
          </cell>
          <cell r="J268">
            <v>7</v>
          </cell>
          <cell r="K268">
            <v>0.00063</v>
          </cell>
          <cell r="L268" t="str">
            <v>47*39*23</v>
          </cell>
          <cell r="M268">
            <v>9.3</v>
          </cell>
          <cell r="N268">
            <v>0.042159</v>
          </cell>
          <cell r="O268">
            <v>50</v>
          </cell>
          <cell r="P268" t="str">
            <v>616453923744,798154090731</v>
          </cell>
          <cell r="Q268">
            <v>6.37</v>
          </cell>
          <cell r="R268">
            <v>1150</v>
          </cell>
          <cell r="S268">
            <v>23</v>
          </cell>
          <cell r="T268">
            <v>0.969657</v>
          </cell>
          <cell r="U268">
            <v>4</v>
          </cell>
        </row>
        <row r="269">
          <cell r="A269" t="str">
            <v>B097S7SKGD</v>
          </cell>
          <cell r="B269" t="str">
            <v>YHG-KND-10CktlShkrSt-Tbag</v>
          </cell>
          <cell r="C269" t="str">
            <v>鸡尾酒调酒器套装</v>
          </cell>
          <cell r="D269" t="str">
            <v>10 Piece Cocktail Shaker Set with Travel Bag</v>
          </cell>
          <cell r="E269" t="str">
            <v>=DISPIMG("ID_E800CF9098C34AE494842CA40A2C3A4C",1)</v>
          </cell>
          <cell r="F269" t="str">
            <v>厨房用具</v>
          </cell>
          <cell r="G269">
            <v>1.2</v>
          </cell>
          <cell r="H269">
            <v>31</v>
          </cell>
          <cell r="I269">
            <v>17</v>
          </cell>
          <cell r="J269">
            <v>17</v>
          </cell>
          <cell r="K269">
            <v>0.008959</v>
          </cell>
          <cell r="L269" t="str">
            <v>38 * 54 * 33</v>
          </cell>
          <cell r="M269">
            <v>9</v>
          </cell>
          <cell r="N269">
            <v>0.067716</v>
          </cell>
          <cell r="O269">
            <v>6</v>
          </cell>
          <cell r="P269" t="str">
            <v>810158037915</v>
          </cell>
          <cell r="Q269">
            <v>15.1</v>
          </cell>
          <cell r="R269">
            <v>880</v>
          </cell>
          <cell r="S269">
            <v>146.666666666667</v>
          </cell>
          <cell r="T269">
            <v>9.93168</v>
          </cell>
          <cell r="U269">
            <v>4</v>
          </cell>
        </row>
        <row r="270">
          <cell r="A270" t="str">
            <v>B0B2JGFLBG</v>
          </cell>
          <cell r="B270" t="str">
            <v>YHG-HOK-FD-SC104</v>
          </cell>
          <cell r="C270" t="str">
            <v>硅胶烘焙垫</v>
          </cell>
          <cell r="D270" t="str">
            <v>Fine Dine-Silicone baking mat set of 2-gray</v>
          </cell>
          <cell r="E270" t="str">
            <v>=DISPIMG("ID_6FD6B721D1644C11B4D6678FAA935B74",1)</v>
          </cell>
          <cell r="F270" t="str">
            <v>厨房用具</v>
          </cell>
          <cell r="G270" t="str">
            <v>0.300</v>
          </cell>
          <cell r="H270">
            <v>33</v>
          </cell>
          <cell r="I270">
            <v>5</v>
          </cell>
          <cell r="J270">
            <v>5</v>
          </cell>
          <cell r="K270">
            <v>0.000825</v>
          </cell>
          <cell r="L270" t="str">
            <v>53 * 29 * 36</v>
          </cell>
          <cell r="M270">
            <v>14.5</v>
          </cell>
          <cell r="N270">
            <v>0.055332</v>
          </cell>
          <cell r="O270">
            <v>50</v>
          </cell>
          <cell r="P270" t="str">
            <v>810078882749</v>
          </cell>
          <cell r="Q270">
            <v>3.71</v>
          </cell>
          <cell r="R270">
            <v>850</v>
          </cell>
          <cell r="S270">
            <v>17</v>
          </cell>
          <cell r="T270">
            <v>0.940644</v>
          </cell>
          <cell r="U270">
            <v>4</v>
          </cell>
        </row>
        <row r="271">
          <cell r="A271" t="str">
            <v>B07RHPXT5K</v>
          </cell>
          <cell r="B271" t="str">
            <v>HSL-CFA-MPhnCrChgH-36W</v>
          </cell>
          <cell r="C271" t="str">
            <v>车载充电器适配器</v>
          </cell>
          <cell r="D271" t="str">
            <v>Metal Phone Car Charger by Hussel 36W / 6A</v>
          </cell>
          <cell r="E271" t="str">
            <v>=DISPIMG("ID_F94D3599C3FC4318A9A4371A636FC757",1)</v>
          </cell>
          <cell r="F271" t="str">
            <v>汽车</v>
          </cell>
          <cell r="G271" t="str">
            <v>0.1</v>
          </cell>
          <cell r="H271">
            <v>8.5</v>
          </cell>
          <cell r="I271">
            <v>5</v>
          </cell>
          <cell r="J271">
            <v>4</v>
          </cell>
          <cell r="K271">
            <v>0.00017</v>
          </cell>
          <cell r="L271" t="str">
            <v>53*30*22</v>
          </cell>
          <cell r="M271">
            <v>6.95</v>
          </cell>
          <cell r="N271">
            <v>0.03498</v>
          </cell>
          <cell r="O271">
            <v>150</v>
          </cell>
          <cell r="P271" t="str">
            <v>37203942028</v>
          </cell>
          <cell r="Q271">
            <v>3.96</v>
          </cell>
          <cell r="R271">
            <v>548</v>
          </cell>
          <cell r="S271">
            <v>3.65333333333333</v>
          </cell>
          <cell r="T271">
            <v>0.1277936</v>
          </cell>
          <cell r="U271">
            <v>4</v>
          </cell>
        </row>
        <row r="272">
          <cell r="A272" t="str">
            <v>B0752T7VSP</v>
          </cell>
          <cell r="B272" t="str">
            <v>YHG-HOK-DflChrsTreBg-75Red</v>
          </cell>
          <cell r="C272" t="str">
            <v>圣诞树收纳袋</v>
          </cell>
          <cell r="D272" t="str">
            <v>STORAGE BAG</v>
          </cell>
          <cell r="E272" t="str">
            <v>=DISPIMG("ID_D1857A9B260D45E08BE3288F6CCBF45C",1)</v>
          </cell>
          <cell r="F272" t="str">
            <v>圣诞</v>
          </cell>
          <cell r="G272">
            <v>1.1</v>
          </cell>
          <cell r="H272">
            <v>25</v>
          </cell>
          <cell r="I272">
            <v>29</v>
          </cell>
          <cell r="J272">
            <v>26</v>
          </cell>
          <cell r="K272">
            <v>0.01885</v>
          </cell>
          <cell r="L272" t="str">
            <v>57 * 36 * 32</v>
          </cell>
          <cell r="M272">
            <v>13.8</v>
          </cell>
          <cell r="N272">
            <v>0.065664</v>
          </cell>
          <cell r="O272">
            <v>4</v>
          </cell>
          <cell r="P272" t="str">
            <v>810158031159</v>
          </cell>
          <cell r="Q272">
            <v>5.21</v>
          </cell>
          <cell r="R272">
            <v>296</v>
          </cell>
          <cell r="S272">
            <v>74</v>
          </cell>
          <cell r="T272">
            <v>4.859136</v>
          </cell>
          <cell r="U272">
            <v>4</v>
          </cell>
        </row>
        <row r="273">
          <cell r="A273" t="str">
            <v>B0198VDWPQ</v>
          </cell>
          <cell r="B273" t="str">
            <v>PWP-SPO-LEDRope-5ft</v>
          </cell>
          <cell r="C273" t="str">
            <v>LED灯绳</v>
          </cell>
          <cell r="D273" t="str">
            <v>LED Light Rope 5ft</v>
          </cell>
          <cell r="E273" t="str">
            <v>=DISPIMG("ID_59FC5AA8F8DE49E786B7041DD5C47DD5",1)</v>
          </cell>
          <cell r="F273" t="str">
            <v>工具</v>
          </cell>
          <cell r="G273">
            <v>0.1</v>
          </cell>
          <cell r="H273">
            <v>21</v>
          </cell>
          <cell r="I273">
            <v>14</v>
          </cell>
          <cell r="J273">
            <v>5</v>
          </cell>
          <cell r="K273">
            <v>0.00147</v>
          </cell>
          <cell r="L273" t="str">
            <v>37 * 45 * 46</v>
          </cell>
          <cell r="M273">
            <v>15.3</v>
          </cell>
          <cell r="N273">
            <v>0.07659</v>
          </cell>
          <cell r="O273">
            <v>100</v>
          </cell>
          <cell r="P273" t="str">
            <v>855640004204</v>
          </cell>
          <cell r="Q273">
            <v>6.71</v>
          </cell>
          <cell r="R273">
            <v>288</v>
          </cell>
          <cell r="S273">
            <v>2.88</v>
          </cell>
          <cell r="T273">
            <v>0.2205792</v>
          </cell>
          <cell r="U273">
            <v>4</v>
          </cell>
        </row>
        <row r="274">
          <cell r="A274" t="str">
            <v>B00N296Y4M</v>
          </cell>
          <cell r="B274" t="str">
            <v>SKY-KND-FMat-70Bk</v>
          </cell>
          <cell r="C274" t="str">
            <v>抗疲劳垫</v>
          </cell>
          <cell r="D274" t="str">
            <v>Anti Fatigue Comfort Floor Mat By Sky Mats -Commercial Grade Quality Perfect for Standup Desks, Kitchens, and Garages</v>
          </cell>
          <cell r="E274" t="str">
            <v>=DISPIMG("ID_451D474DE1484CAD87C4837CA9EE1143",1)</v>
          </cell>
          <cell r="F274" t="str">
            <v>地垫</v>
          </cell>
          <cell r="G274">
            <v>3.5</v>
          </cell>
          <cell r="H274">
            <v>180</v>
          </cell>
          <cell r="I274">
            <v>62</v>
          </cell>
          <cell r="J274">
            <v>2</v>
          </cell>
          <cell r="K274">
            <v>0.02232</v>
          </cell>
          <cell r="L274" t="str">
            <v>180 * 63 * 11</v>
          </cell>
          <cell r="M274">
            <v>18.5</v>
          </cell>
          <cell r="N274">
            <v>0.12474</v>
          </cell>
          <cell r="O274">
            <v>5</v>
          </cell>
          <cell r="P274" t="str">
            <v>700220295520</v>
          </cell>
          <cell r="Q274">
            <v>31</v>
          </cell>
          <cell r="R274">
            <v>179</v>
          </cell>
          <cell r="S274">
            <v>35.8</v>
          </cell>
          <cell r="T274">
            <v>4.465692</v>
          </cell>
          <cell r="U274">
            <v>4</v>
          </cell>
        </row>
        <row r="275">
          <cell r="A275" t="str">
            <v>B08CY1589Q</v>
          </cell>
          <cell r="B275" t="str">
            <v>MXL-KND-BarKit-15pcBsSlv-ASMBL</v>
          </cell>
          <cell r="C275" t="str">
            <v>调酒套件和支架</v>
          </cell>
          <cell r="D275" t="str">
            <v>Bartender Kit 15pc Bamboo Stand Silver</v>
          </cell>
          <cell r="E275" t="str">
            <v>=DISPIMG("ID_EEE1197DAB6E4463BFA2C2C0AAEB0513",1)</v>
          </cell>
          <cell r="F275" t="str">
            <v>厨房用具</v>
          </cell>
          <cell r="G275">
            <v>1.7</v>
          </cell>
          <cell r="H275">
            <v>32</v>
          </cell>
          <cell r="I275">
            <v>22</v>
          </cell>
          <cell r="J275">
            <v>10</v>
          </cell>
          <cell r="K275">
            <v>0.00704</v>
          </cell>
          <cell r="L275" t="str">
            <v>44*41*34</v>
          </cell>
          <cell r="M275">
            <v>14</v>
          </cell>
          <cell r="N275">
            <v>0.061336</v>
          </cell>
          <cell r="O275">
            <v>8</v>
          </cell>
          <cell r="P275" t="str">
            <v>810090950198</v>
          </cell>
          <cell r="Q275">
            <v>18.75</v>
          </cell>
          <cell r="R275">
            <v>154</v>
          </cell>
          <cell r="S275">
            <v>19.25</v>
          </cell>
          <cell r="T275">
            <v>1.180718</v>
          </cell>
          <cell r="U275">
            <v>4</v>
          </cell>
        </row>
        <row r="276">
          <cell r="A276" t="str">
            <v>B08CNNG7TB</v>
          </cell>
          <cell r="B276" t="str">
            <v>YHG-HOK-RctChrsTreBg-75Gry</v>
          </cell>
          <cell r="C276" t="str">
            <v>圣诞树收纳袋</v>
          </cell>
          <cell r="D276" t="str">
            <v>STORAGE BAG</v>
          </cell>
          <cell r="E276" t="str">
            <v>=DISPIMG("ID_EAA55983C1D8407A83E380C21E1E6CC5",1)</v>
          </cell>
          <cell r="F276" t="str">
            <v>圣诞</v>
          </cell>
          <cell r="G276" t="str">
            <v>0.460</v>
          </cell>
          <cell r="H276" t="str">
            <v>34.2</v>
          </cell>
          <cell r="I276" t="str">
            <v>6.3</v>
          </cell>
          <cell r="J276" t="str">
            <v>24.6</v>
          </cell>
          <cell r="K276">
            <v>0.005300316</v>
          </cell>
        </row>
        <row r="276">
          <cell r="P276" t="str">
            <v>810158036758</v>
          </cell>
          <cell r="Q276">
            <v>2.63</v>
          </cell>
          <cell r="R276">
            <v>150</v>
          </cell>
        </row>
        <row r="276">
          <cell r="T276">
            <v>0</v>
          </cell>
          <cell r="U276">
            <v>4</v>
          </cell>
        </row>
        <row r="277">
          <cell r="A277" t="str">
            <v>B08PL6MC7G</v>
          </cell>
          <cell r="B277" t="str">
            <v>YHG-KND-SwgBrBtl-16Amb6pk</v>
          </cell>
          <cell r="C277" t="str">
            <v>平顶玻璃瓶</v>
          </cell>
          <cell r="D277" t="str">
            <v>Amber Glass Swing Top Beer Bottles 16-Ounce (6-Pack) Grolsch Bottles, with Flip-Top Airtight Lid, for Carbonated Drinks</v>
          </cell>
          <cell r="E277" t="str">
            <v>=DISPIMG("ID_37F6927CEB5F4F17999FF80D2AD70B19",1)</v>
          </cell>
        </row>
        <row r="277">
          <cell r="G277">
            <v>0.5</v>
          </cell>
          <cell r="H277">
            <v>23</v>
          </cell>
          <cell r="I277">
            <v>8</v>
          </cell>
          <cell r="J277">
            <v>8</v>
          </cell>
          <cell r="K277">
            <v>0.001472</v>
          </cell>
          <cell r="L277" t="str">
            <v>30 * 20 * 28</v>
          </cell>
        </row>
        <row r="277">
          <cell r="N277">
            <v>0.0168</v>
          </cell>
          <cell r="O277">
            <v>12</v>
          </cell>
          <cell r="P277" t="str">
            <v>810158038226</v>
          </cell>
          <cell r="Q277">
            <v>9.99</v>
          </cell>
          <cell r="R277">
            <v>107</v>
          </cell>
          <cell r="S277">
            <v>8.91666666666667</v>
          </cell>
          <cell r="T277">
            <v>0.1498</v>
          </cell>
          <cell r="U277">
            <v>4</v>
          </cell>
        </row>
        <row r="278">
          <cell r="A278" t="str">
            <v>B072FL2FHN</v>
          </cell>
          <cell r="B278" t="str">
            <v>PLT-GAO-LtnBchCsn-LuxGrn</v>
          </cell>
          <cell r="C278" t="str">
            <v>长凳坐垫</v>
          </cell>
          <cell r="D278" t="str">
            <v>Luxury Lutyens Bench Cushion Green</v>
          </cell>
          <cell r="E278" t="str">
            <v>=DISPIMG("ID_00677A56EBBF49498927D19D36B90C90",1)</v>
          </cell>
          <cell r="F278" t="str">
            <v>桌椅</v>
          </cell>
        </row>
        <row r="278">
          <cell r="O278">
            <v>10</v>
          </cell>
          <cell r="P278" t="e">
            <v>#N/A</v>
          </cell>
          <cell r="Q278">
            <v>21.07</v>
          </cell>
          <cell r="R278">
            <v>6</v>
          </cell>
          <cell r="S278">
            <v>0.6</v>
          </cell>
          <cell r="T278">
            <v>0</v>
          </cell>
          <cell r="U278">
            <v>4</v>
          </cell>
        </row>
        <row r="279">
          <cell r="A279" t="str">
            <v>B07GXZXQQ4</v>
          </cell>
          <cell r="B279" t="str">
            <v>FLX-HHB-LBBra-ML</v>
          </cell>
          <cell r="C279" t="str">
            <v>背撑</v>
          </cell>
          <cell r="D279" t="str">
            <v>Lower Back Brace Medium Large</v>
          </cell>
          <cell r="E279" t="str">
            <v>=DISPIMG("ID_4D267EB4BD4046398B292348DC438793",1)</v>
          </cell>
          <cell r="F279" t="str">
            <v>健身</v>
          </cell>
          <cell r="G279">
            <v>0.5</v>
          </cell>
          <cell r="H279">
            <v>25</v>
          </cell>
          <cell r="I279">
            <v>19</v>
          </cell>
          <cell r="J279">
            <v>7</v>
          </cell>
          <cell r="K279">
            <v>0.003325</v>
          </cell>
          <cell r="L279" t="str">
            <v>54*50*43</v>
          </cell>
          <cell r="M279">
            <v>21</v>
          </cell>
          <cell r="N279">
            <v>0.1161</v>
          </cell>
          <cell r="O279">
            <v>40</v>
          </cell>
          <cell r="P279" t="str">
            <v>851985007344</v>
          </cell>
          <cell r="Q279">
            <v>7.69</v>
          </cell>
          <cell r="R279">
            <v>1600</v>
          </cell>
          <cell r="S279">
            <v>40</v>
          </cell>
          <cell r="T279">
            <v>4.644</v>
          </cell>
          <cell r="U279">
            <v>3</v>
          </cell>
        </row>
        <row r="280">
          <cell r="A280" t="str">
            <v>B075CWFLSF</v>
          </cell>
          <cell r="B280" t="str">
            <v>NLK-KND-UnqWskyGls-2pk</v>
          </cell>
          <cell r="C280" t="str">
            <v>威士忌杯</v>
          </cell>
          <cell r="D280" t="str">
            <v>Unique Whiskey Glasses 2pk</v>
          </cell>
          <cell r="E280" t="str">
            <v>=DISPIMG("ID_1CDE710DE81F41F98B82F016299461F4",1)</v>
          </cell>
          <cell r="F280" t="str">
            <v>厨房用具</v>
          </cell>
          <cell r="G280">
            <v>1.2</v>
          </cell>
          <cell r="H280">
            <v>24</v>
          </cell>
          <cell r="I280">
            <v>13</v>
          </cell>
          <cell r="J280">
            <v>11</v>
          </cell>
          <cell r="K280">
            <v>0.003432</v>
          </cell>
          <cell r="L280" t="str">
            <v>50*36*29</v>
          </cell>
          <cell r="M280">
            <v>15</v>
          </cell>
          <cell r="N280">
            <v>0.0522</v>
          </cell>
          <cell r="O280">
            <v>12</v>
          </cell>
          <cell r="P280" t="str">
            <v>X000S91MI5</v>
          </cell>
          <cell r="Q280">
            <v>7.55</v>
          </cell>
          <cell r="R280">
            <v>660</v>
          </cell>
          <cell r="S280">
            <v>55</v>
          </cell>
          <cell r="T280">
            <v>2.871</v>
          </cell>
          <cell r="U280">
            <v>3</v>
          </cell>
        </row>
        <row r="281">
          <cell r="A281" t="str">
            <v>B013AUKIQ2</v>
          </cell>
          <cell r="B281" t="str">
            <v>SDT-TOH-SPWDbCXR-Bw</v>
          </cell>
          <cell r="C281" t="str">
            <v>无线门铃</v>
          </cell>
          <cell r="D281" t="str">
            <v>Star Point Wireless Doorbell Model CXR Brown</v>
          </cell>
          <cell r="E281" t="str">
            <v>=DISPIMG("ID_12ABF903B8F049318AF82A1379AD449B",1)</v>
          </cell>
          <cell r="F281" t="str">
            <v>门铃</v>
          </cell>
          <cell r="G281">
            <v>0.3</v>
          </cell>
          <cell r="H281">
            <v>18</v>
          </cell>
          <cell r="I281">
            <v>9.6</v>
          </cell>
          <cell r="J281">
            <v>7.8</v>
          </cell>
          <cell r="K281">
            <v>0.00134784</v>
          </cell>
          <cell r="L281" t="str">
            <v>40.8*37.8*34</v>
          </cell>
          <cell r="M281">
            <v>9.84</v>
          </cell>
          <cell r="N281">
            <v>0.05243616</v>
          </cell>
          <cell r="O281">
            <v>32</v>
          </cell>
          <cell r="P281" t="str">
            <v>616453923676</v>
          </cell>
          <cell r="Q281">
            <v>10.99</v>
          </cell>
          <cell r="R281">
            <v>575</v>
          </cell>
          <cell r="S281">
            <v>17.96875</v>
          </cell>
          <cell r="T281">
            <v>0.94221225</v>
          </cell>
          <cell r="U281">
            <v>3</v>
          </cell>
        </row>
        <row r="282">
          <cell r="A282" t="str">
            <v>B09BDKZ23F</v>
          </cell>
          <cell r="B282" t="str">
            <v>FD-S4810-FBA</v>
          </cell>
          <cell r="C282" t="str">
            <v>钢水瓶</v>
          </cell>
          <cell r="D282" t="str">
            <v>40oz BOTTLE
DOUBLE WALL 304 S/S 
Coppering
air tranfer print
marble
3 LIDS(PP+PE+Silicone)
100% leakproof 
can pass the paint adhesion testing
Keep Hot 8H&amp; Cold 10H
color Box</v>
          </cell>
          <cell r="E282" t="str">
            <v>=DISPIMG("ID_802BE3E449A44686ABBBEB666591EDF5",1)</v>
          </cell>
          <cell r="F282" t="str">
            <v>水瓶</v>
          </cell>
          <cell r="G282" t="str">
            <v>0.7</v>
          </cell>
          <cell r="H282">
            <v>39</v>
          </cell>
          <cell r="I282">
            <v>10</v>
          </cell>
          <cell r="J282">
            <v>10</v>
          </cell>
          <cell r="K282">
            <v>0.0039</v>
          </cell>
          <cell r="L282" t="str">
            <v>42 * 42 * 61</v>
          </cell>
          <cell r="M282">
            <v>17.8</v>
          </cell>
          <cell r="N282">
            <v>0.107604</v>
          </cell>
          <cell r="O282">
            <v>24</v>
          </cell>
          <cell r="P282" t="str">
            <v>810158039148</v>
          </cell>
          <cell r="Q282">
            <v>10.58</v>
          </cell>
          <cell r="R282">
            <v>480</v>
          </cell>
          <cell r="S282">
            <v>20</v>
          </cell>
          <cell r="T282">
            <v>2.15208</v>
          </cell>
          <cell r="U282">
            <v>3</v>
          </cell>
        </row>
        <row r="283">
          <cell r="A283" t="str">
            <v>B07DQP1V7Q</v>
          </cell>
          <cell r="B283" t="str">
            <v>PPC-OFP-ElPln-Pk</v>
          </cell>
          <cell r="C283" t="str">
            <v>每日计划</v>
          </cell>
          <cell r="D283" t="str">
            <v>Elephant Planner Pink</v>
          </cell>
          <cell r="E283" t="str">
            <v>=DISPIMG("ID_9DD792EBC72A4FA08E644DC8F6F4A88F",1)</v>
          </cell>
          <cell r="F283" t="str">
            <v>办公</v>
          </cell>
          <cell r="G283">
            <v>0.5</v>
          </cell>
          <cell r="H283">
            <v>23</v>
          </cell>
          <cell r="I283">
            <v>17</v>
          </cell>
          <cell r="J283">
            <v>3</v>
          </cell>
          <cell r="K283">
            <v>0.001173</v>
          </cell>
          <cell r="L283" t="str">
            <v>52*36*24</v>
          </cell>
          <cell r="M283">
            <v>20</v>
          </cell>
          <cell r="N283">
            <v>0.044928</v>
          </cell>
          <cell r="O283">
            <v>40</v>
          </cell>
          <cell r="P283" t="str">
            <v>X001T777SH</v>
          </cell>
          <cell r="Q283">
            <v>3.59</v>
          </cell>
          <cell r="R283">
            <v>456</v>
          </cell>
          <cell r="S283">
            <v>11.4</v>
          </cell>
          <cell r="T283">
            <v>0.5121792</v>
          </cell>
          <cell r="U283">
            <v>3</v>
          </cell>
        </row>
        <row r="284">
          <cell r="A284" t="str">
            <v>B0746QM77B</v>
          </cell>
          <cell r="B284" t="str">
            <v>NVT-KND-RvlMkr-SS</v>
          </cell>
          <cell r="C284" t="str">
            <v>馄饨机</v>
          </cell>
          <cell r="D284" t="str">
            <v>Ravioli Maker Attachment</v>
          </cell>
          <cell r="E284" t="str">
            <v>=DISPIMG("ID_84B178DB18C24C4C860D153FCFA7397F",1)</v>
          </cell>
          <cell r="F284" t="str">
            <v>厨房用具</v>
          </cell>
          <cell r="G284">
            <v>1.1</v>
          </cell>
          <cell r="H284">
            <v>17</v>
          </cell>
          <cell r="I284">
            <v>12</v>
          </cell>
          <cell r="J284" t="str">
            <v>12.4</v>
          </cell>
          <cell r="K284">
            <v>0.0025296</v>
          </cell>
        </row>
        <row r="284">
          <cell r="M284">
            <v>25.5</v>
          </cell>
        </row>
        <row r="284">
          <cell r="O284">
            <v>24</v>
          </cell>
          <cell r="P284" t="str">
            <v>712038222360</v>
          </cell>
          <cell r="Q284">
            <v>5.65</v>
          </cell>
          <cell r="R284">
            <v>332</v>
          </cell>
          <cell r="S284">
            <v>13.8333333333333</v>
          </cell>
          <cell r="T284">
            <v>0</v>
          </cell>
          <cell r="U284">
            <v>3</v>
          </cell>
        </row>
        <row r="285">
          <cell r="A285" t="str">
            <v>B07P1QML6X</v>
          </cell>
          <cell r="B285" t="str">
            <v>QGG-TOG-Flrt-Mnst</v>
          </cell>
          <cell r="C285" t="str">
            <v>充气草坪飞镖套装</v>
          </cell>
          <cell r="D285" t="str">
            <v>Flarts (Floor Darts) Set - Monster</v>
          </cell>
          <cell r="E285" t="str">
            <v>=DISPIMG("ID_C098BB7A5D3C4D988C18793E6D17479C",1)</v>
          </cell>
          <cell r="F285" t="str">
            <v>户外</v>
          </cell>
          <cell r="G285">
            <v>0.7</v>
          </cell>
          <cell r="H285">
            <v>28</v>
          </cell>
          <cell r="I285">
            <v>20.5</v>
          </cell>
          <cell r="J285">
            <v>5</v>
          </cell>
          <cell r="K285">
            <v>0.00287</v>
          </cell>
          <cell r="L285" t="str">
            <v>30*30*23</v>
          </cell>
          <cell r="M285">
            <v>4.5</v>
          </cell>
          <cell r="N285">
            <v>0.0207</v>
          </cell>
          <cell r="O285">
            <v>6</v>
          </cell>
          <cell r="P285" t="str">
            <v>850032800099,X0022KFOMB</v>
          </cell>
          <cell r="Q285">
            <v>7.14</v>
          </cell>
          <cell r="R285">
            <v>326</v>
          </cell>
          <cell r="S285">
            <v>54.3333333333333</v>
          </cell>
          <cell r="T285">
            <v>1.1247</v>
          </cell>
          <cell r="U285">
            <v>3</v>
          </cell>
        </row>
        <row r="286">
          <cell r="A286" t="str">
            <v>B08WYS4TFY</v>
          </cell>
          <cell r="B286" t="str">
            <v>YHG-HOK-WrpprBg-20Blkwte</v>
          </cell>
          <cell r="C286" t="str">
            <v>包装储存</v>
          </cell>
          <cell r="D286" t="str">
            <v>COLLAPSIBLE STORAGE BAG</v>
          </cell>
          <cell r="E286" t="str">
            <v>=DISPIMG("ID_DD9DF2BD58D743E0844D5FE798205172",1)</v>
          </cell>
          <cell r="F286" t="str">
            <v>圣诞</v>
          </cell>
          <cell r="G286" t="str">
            <v>0.360</v>
          </cell>
          <cell r="H286" t="str">
            <v>39.5</v>
          </cell>
          <cell r="I286" t="str">
            <v>22.6</v>
          </cell>
          <cell r="J286" t="str">
            <v>8.8</v>
          </cell>
          <cell r="K286">
            <v>0.00785576</v>
          </cell>
          <cell r="L286" t="str">
            <v>39*38.2*25.6</v>
          </cell>
        </row>
        <row r="286">
          <cell r="N286">
            <v>0.03813888</v>
          </cell>
          <cell r="O286">
            <v>6</v>
          </cell>
          <cell r="P286" t="str">
            <v>810052664057</v>
          </cell>
          <cell r="Q286">
            <v>6.96</v>
          </cell>
          <cell r="R286">
            <v>299</v>
          </cell>
          <cell r="S286">
            <v>49.8333333333333</v>
          </cell>
          <cell r="T286">
            <v>1.90058752</v>
          </cell>
          <cell r="U286">
            <v>3</v>
          </cell>
        </row>
        <row r="287">
          <cell r="A287" t="str">
            <v>B013RJL2K2</v>
          </cell>
          <cell r="B287" t="str">
            <v>DAT-APA-GC1P-PS</v>
          </cell>
          <cell r="C287" t="str">
            <v>汽车垃圾桶</v>
          </cell>
          <cell r="D287" t="str">
            <v>The Drive Bin Car Garbage Can, Pink - Best Auto Trash Bag for Litter, Free Waste Basket Liners</v>
          </cell>
          <cell r="E287" t="str">
            <v>=DISPIMG("ID_8AF98B34B2384E129BBF2993DC61C772",1)</v>
          </cell>
          <cell r="F287" t="str">
            <v>汽车</v>
          </cell>
          <cell r="G287">
            <v>0.35</v>
          </cell>
          <cell r="H287">
            <v>26</v>
          </cell>
          <cell r="I287">
            <v>25</v>
          </cell>
          <cell r="J287">
            <v>4</v>
          </cell>
          <cell r="K287">
            <v>0.0026</v>
          </cell>
          <cell r="L287" t="str">
            <v>51 * 46 * 47</v>
          </cell>
          <cell r="M287">
            <v>17.3</v>
          </cell>
          <cell r="N287">
            <v>0.110262</v>
          </cell>
          <cell r="O287">
            <v>50</v>
          </cell>
          <cell r="P287" t="str">
            <v>731236562634</v>
          </cell>
          <cell r="Q287">
            <v>4.19</v>
          </cell>
          <cell r="R287">
            <v>251</v>
          </cell>
          <cell r="S287">
            <v>5.02</v>
          </cell>
          <cell r="T287">
            <v>0.55351524</v>
          </cell>
          <cell r="U287">
            <v>3</v>
          </cell>
        </row>
        <row r="288">
          <cell r="A288" t="str">
            <v>B009Y7C2MO</v>
          </cell>
          <cell r="B288" t="str">
            <v>PT/FUNKY/TOOLS</v>
          </cell>
          <cell r="C288" t="str">
            <v>盆景</v>
          </cell>
          <cell r="D288" t="str">
            <v>Funky Garden Tool Set - Gift Boxed - Great Gift</v>
          </cell>
          <cell r="E288" t="str">
            <v>=DISPIMG("ID_2C0F6AB791AE41F4993B9CB77BF04A2E",1)</v>
          </cell>
          <cell r="F288" t="str">
            <v>园艺</v>
          </cell>
          <cell r="G288">
            <v>0.6</v>
          </cell>
          <cell r="H288" t="str">
            <v>31.2</v>
          </cell>
          <cell r="I288">
            <v>30.4</v>
          </cell>
          <cell r="J288">
            <v>6.4</v>
          </cell>
          <cell r="K288">
            <v>0.006070272</v>
          </cell>
          <cell r="L288" t="str">
            <v>33*43.5*40.6</v>
          </cell>
          <cell r="M288">
            <v>16</v>
          </cell>
          <cell r="N288">
            <v>0.0582813</v>
          </cell>
          <cell r="O288">
            <v>24</v>
          </cell>
          <cell r="P288" t="str">
            <v>5060236730992</v>
          </cell>
          <cell r="Q288">
            <v>8.95</v>
          </cell>
          <cell r="R288">
            <v>237</v>
          </cell>
          <cell r="S288">
            <v>9.875</v>
          </cell>
          <cell r="T288">
            <v>0.5755278375</v>
          </cell>
          <cell r="U288">
            <v>3</v>
          </cell>
        </row>
        <row r="289">
          <cell r="A289" t="str">
            <v>B0B2JFNG69</v>
          </cell>
          <cell r="B289" t="str">
            <v>YHG-HOK-FD-SC206</v>
          </cell>
          <cell r="C289" t="str">
            <v>硅胶烘焙垫</v>
          </cell>
          <cell r="D289" t="str">
            <v>Fine Dine-Silicone baking mat set of 3-teal blue</v>
          </cell>
          <cell r="E289" t="str">
            <v>=DISPIMG("ID_05E2BA703F18406AA9E0C382C5E8B8CE",1)</v>
          </cell>
          <cell r="F289" t="str">
            <v>厨房用具</v>
          </cell>
          <cell r="G289" t="str">
            <v>0.150</v>
          </cell>
          <cell r="H289" t="str">
            <v>11.5</v>
          </cell>
          <cell r="I289" t="str">
            <v>2.0</v>
          </cell>
          <cell r="J289" t="str">
            <v>2.0</v>
          </cell>
          <cell r="K289">
            <v>4.6e-5</v>
          </cell>
          <cell r="L289" t="str">
            <v>43 * 29 * 36</v>
          </cell>
          <cell r="M289">
            <v>12.8</v>
          </cell>
          <cell r="N289">
            <v>0.044892</v>
          </cell>
          <cell r="O289">
            <v>40</v>
          </cell>
          <cell r="P289" t="str">
            <v>810078882824</v>
          </cell>
          <cell r="Q289">
            <v>4.25</v>
          </cell>
          <cell r="R289">
            <v>200</v>
          </cell>
          <cell r="S289">
            <v>5</v>
          </cell>
          <cell r="T289">
            <v>0.22446</v>
          </cell>
          <cell r="U289">
            <v>3</v>
          </cell>
        </row>
        <row r="290">
          <cell r="A290" t="str">
            <v>B09BDK7G4R</v>
          </cell>
          <cell r="B290" t="str">
            <v>FD-S4812-FBA</v>
          </cell>
          <cell r="C290" t="str">
            <v>钢水瓶</v>
          </cell>
          <cell r="D290" t="str">
            <v>40oz BOTTLE
DOUBLE WALL 304 S/S 
Coppering
water transfer print
wood
3 LIDS(PP+PE+Silicone)</v>
          </cell>
          <cell r="E290" t="str">
            <v>=DISPIMG("ID_2EDA3ED07C4742C0B50182A5D14EBE23",1)</v>
          </cell>
          <cell r="F290" t="str">
            <v>水瓶</v>
          </cell>
          <cell r="G290" t="str">
            <v>0.76</v>
          </cell>
          <cell r="H290" t="str">
            <v>38.7</v>
          </cell>
          <cell r="I290" t="str">
            <v>9.9</v>
          </cell>
          <cell r="J290" t="str">
            <v>10.2</v>
          </cell>
          <cell r="K290">
            <v>0.003907926</v>
          </cell>
          <cell r="L290" t="str">
            <v>61*42*37</v>
          </cell>
          <cell r="M290">
            <v>16.3</v>
          </cell>
          <cell r="N290">
            <v>0.094794</v>
          </cell>
          <cell r="O290">
            <v>24</v>
          </cell>
          <cell r="P290" t="str">
            <v>810158039162</v>
          </cell>
          <cell r="Q290">
            <v>6.81</v>
          </cell>
          <cell r="R290">
            <v>185</v>
          </cell>
          <cell r="S290">
            <v>7.70833333333333</v>
          </cell>
          <cell r="T290">
            <v>0.73070375</v>
          </cell>
          <cell r="U290">
            <v>3</v>
          </cell>
        </row>
        <row r="291">
          <cell r="A291" t="str">
            <v>B07P8TNJBG</v>
          </cell>
          <cell r="B291" t="str">
            <v>PLT-GAO-BstCsn-WrBge2Pk</v>
          </cell>
          <cell r="C291" t="str">
            <v>座垫</v>
          </cell>
          <cell r="D291" t="str">
            <v>Luxury Bistro Seat Cushions - Set of 2 in Warm Beige</v>
          </cell>
          <cell r="E291" t="str">
            <v>=DISPIMG("ID_A8E5BB2896384BE19FFF41026F0EF00B",1)</v>
          </cell>
          <cell r="F291" t="str">
            <v>桌椅</v>
          </cell>
          <cell r="G291">
            <v>0.6</v>
          </cell>
          <cell r="H291" t="str">
            <v>38.2</v>
          </cell>
          <cell r="I291">
            <v>38.2</v>
          </cell>
          <cell r="J291">
            <v>11</v>
          </cell>
          <cell r="K291">
            <v>0.01605164</v>
          </cell>
          <cell r="L291" t="str">
            <v>39*78.5*54.5</v>
          </cell>
          <cell r="M291">
            <v>8.1</v>
          </cell>
          <cell r="N291">
            <v>0.16685175</v>
          </cell>
          <cell r="O291">
            <v>10</v>
          </cell>
          <cell r="P291" t="str">
            <v>5060236732293</v>
          </cell>
          <cell r="Q291">
            <v>12.93</v>
          </cell>
          <cell r="R291">
            <v>129</v>
          </cell>
          <cell r="S291">
            <v>12.9</v>
          </cell>
          <cell r="T291">
            <v>2.152387575</v>
          </cell>
          <cell r="U291">
            <v>3</v>
          </cell>
        </row>
        <row r="292">
          <cell r="A292" t="str">
            <v>B01N1L8SKX</v>
          </cell>
          <cell r="B292" t="str">
            <v>TRB-SPO-TRKPO-BERD</v>
          </cell>
          <cell r="C292" t="str">
            <v>登山杖</v>
          </cell>
          <cell r="D292" t="str">
            <v>TrailBuddy Lightweight Trekking Poles - 2-pc Pack Adjustable Hiking or Walking Sticks - Strong Aircraft Aluminum - Quick Adjust Flip-Lock - Cork Grip, Padded Strap (Beetle Red)</v>
          </cell>
          <cell r="E292" t="str">
            <v>=DISPIMG("ID_C19A3C8A6C6148D681B4E3E5AA8E2DED",1)</v>
          </cell>
        </row>
        <row r="292">
          <cell r="H292">
            <v>0</v>
          </cell>
        </row>
        <row r="292">
          <cell r="K292">
            <v>0</v>
          </cell>
        </row>
        <row r="292">
          <cell r="P292" t="e">
            <v>#N/A</v>
          </cell>
          <cell r="Q292" t="e">
            <v>#N/A</v>
          </cell>
          <cell r="R292">
            <v>8</v>
          </cell>
          <cell r="S292" t="e">
            <v>#DIV/0!</v>
          </cell>
          <cell r="T292">
            <v>0</v>
          </cell>
          <cell r="U292">
            <v>3</v>
          </cell>
        </row>
        <row r="293">
          <cell r="A293" t="str">
            <v>B019ZK0WS0</v>
          </cell>
          <cell r="B293" t="str">
            <v>UFL-SPO-KneeSleev-M</v>
          </cell>
          <cell r="C293" t="str">
            <v>及膝套</v>
          </cell>
          <cell r="D293" t="str">
            <v>Knee Compression Sleeve Medium</v>
          </cell>
          <cell r="E293" t="str">
            <v>=DISPIMG("ID_22F11BDA0212400D838CE9DF7047234F",1)</v>
          </cell>
          <cell r="F293" t="str">
            <v>健身</v>
          </cell>
          <cell r="G293">
            <v>0.1</v>
          </cell>
          <cell r="H293">
            <v>15</v>
          </cell>
          <cell r="I293">
            <v>32</v>
          </cell>
          <cell r="J293">
            <v>2</v>
          </cell>
          <cell r="K293">
            <v>0.00096</v>
          </cell>
          <cell r="L293" t="str">
            <v>50*40*30</v>
          </cell>
          <cell r="M293">
            <v>9</v>
          </cell>
          <cell r="N293">
            <v>0.06</v>
          </cell>
          <cell r="O293">
            <v>100</v>
          </cell>
          <cell r="P293" t="str">
            <v>752830833968</v>
          </cell>
          <cell r="Q293">
            <v>1.55</v>
          </cell>
          <cell r="R293">
            <v>2005</v>
          </cell>
          <cell r="S293">
            <v>20.05</v>
          </cell>
          <cell r="T293">
            <v>1.203</v>
          </cell>
          <cell r="U293">
            <v>2</v>
          </cell>
        </row>
        <row r="294">
          <cell r="A294" t="str">
            <v>B01EVOJ51A</v>
          </cell>
          <cell r="B294" t="str">
            <v>FLX-HHB-BBPCo-XL</v>
          </cell>
          <cell r="C294" t="str">
            <v>背撑</v>
          </cell>
          <cell r="D294" t="str">
            <v>Back Brace Posture Corrector Extra Large</v>
          </cell>
          <cell r="E294" t="str">
            <v>=DISPIMG("ID_73D40FF2AE714594B925EE042456F913",1)</v>
          </cell>
          <cell r="F294" t="str">
            <v>健身</v>
          </cell>
          <cell r="G294">
            <v>0.4</v>
          </cell>
          <cell r="H294">
            <v>17</v>
          </cell>
          <cell r="I294">
            <v>8</v>
          </cell>
          <cell r="J294">
            <v>23</v>
          </cell>
          <cell r="K294">
            <v>0.003128</v>
          </cell>
          <cell r="L294" t="str">
            <v>38 * 62 * 41</v>
          </cell>
          <cell r="M294">
            <v>20.8</v>
          </cell>
          <cell r="N294">
            <v>0.096596</v>
          </cell>
          <cell r="O294">
            <v>50</v>
          </cell>
          <cell r="P294" t="str">
            <v>646816953736</v>
          </cell>
          <cell r="Q294">
            <v>5.46</v>
          </cell>
          <cell r="R294">
            <v>1659</v>
          </cell>
          <cell r="S294">
            <v>33.18</v>
          </cell>
          <cell r="T294">
            <v>3.20505528</v>
          </cell>
          <cell r="U294">
            <v>2</v>
          </cell>
        </row>
        <row r="295">
          <cell r="A295" t="str">
            <v>B079HF9WQR</v>
          </cell>
          <cell r="B295" t="str">
            <v>YHG-HOK-WrpprBg-Blk</v>
          </cell>
          <cell r="C295" t="str">
            <v>包装储存</v>
          </cell>
          <cell r="D295" t="str">
            <v>ZOBER Christmas Wrapping Paper Storage Bag Fits 14 to Standard Rolls</v>
          </cell>
          <cell r="E295" t="str">
            <v>=DISPIMG("ID_880B373766624A2E928D6CB39911B391",1)</v>
          </cell>
          <cell r="F295" t="str">
            <v>圣诞</v>
          </cell>
          <cell r="G295">
            <v>0.4</v>
          </cell>
          <cell r="H295">
            <v>29</v>
          </cell>
          <cell r="I295">
            <v>17.7</v>
          </cell>
          <cell r="J295">
            <v>5.5</v>
          </cell>
          <cell r="K295">
            <v>0.00282315</v>
          </cell>
          <cell r="L295" t="str">
            <v>36*24*32</v>
          </cell>
          <cell r="M295">
            <v>7.3</v>
          </cell>
          <cell r="N295">
            <v>0.027648</v>
          </cell>
          <cell r="O295">
            <v>35</v>
          </cell>
          <cell r="P295" t="str">
            <v>810158031357</v>
          </cell>
          <cell r="Q295">
            <v>2.16</v>
          </cell>
          <cell r="R295">
            <v>590</v>
          </cell>
          <cell r="S295">
            <v>16.8571428571429</v>
          </cell>
          <cell r="T295">
            <v>0.466066285714286</v>
          </cell>
          <cell r="U295">
            <v>2</v>
          </cell>
        </row>
        <row r="296">
          <cell r="A296" t="str">
            <v>B08CNPN4N9</v>
          </cell>
          <cell r="B296" t="str">
            <v>YHG-HOK-RctChrsTreBg-9Gry</v>
          </cell>
          <cell r="C296" t="str">
            <v>圣诞树收纳袋</v>
          </cell>
          <cell r="D296" t="str">
            <v>Rectangular Christmas Tree Storage Bag 7.5ft Gray 1</v>
          </cell>
          <cell r="E296" t="str">
            <v>=DISPIMG("ID_7BB9CE45AC964BB383F3B865116F59E8",1)</v>
          </cell>
          <cell r="F296" t="str">
            <v>圣诞</v>
          </cell>
          <cell r="G296">
            <v>0.7</v>
          </cell>
          <cell r="H296">
            <v>28</v>
          </cell>
          <cell r="I296">
            <v>20</v>
          </cell>
          <cell r="J296">
            <v>7</v>
          </cell>
          <cell r="K296">
            <v>0.00392</v>
          </cell>
          <cell r="L296" t="str">
            <v>60*40*29</v>
          </cell>
          <cell r="M296">
            <v>15.28</v>
          </cell>
          <cell r="N296">
            <v>0.0696</v>
          </cell>
          <cell r="O296">
            <v>24</v>
          </cell>
          <cell r="P296" t="str">
            <v>810158036741</v>
          </cell>
          <cell r="Q296">
            <v>3.4</v>
          </cell>
          <cell r="R296">
            <v>556</v>
          </cell>
          <cell r="S296">
            <v>23.1666666666667</v>
          </cell>
          <cell r="T296">
            <v>1.6124</v>
          </cell>
          <cell r="U296">
            <v>2</v>
          </cell>
        </row>
        <row r="297">
          <cell r="A297" t="str">
            <v>B00XHWUE7C</v>
          </cell>
          <cell r="B297" t="str">
            <v>SDT-TOH-SPWDbCX-Bg</v>
          </cell>
          <cell r="C297" t="str">
            <v>无线门铃</v>
          </cell>
          <cell r="D297" t="str">
            <v>Star Point Wireless Doorbell Model CX Beige</v>
          </cell>
          <cell r="E297" t="str">
            <v>=DISPIMG("ID_4596F3E8D96C48DC94D6356981B87141",1)</v>
          </cell>
          <cell r="F297" t="str">
            <v>门铃</v>
          </cell>
          <cell r="G297">
            <v>0.2</v>
          </cell>
          <cell r="H297">
            <v>15</v>
          </cell>
          <cell r="I297">
            <v>8.9</v>
          </cell>
          <cell r="J297">
            <v>6.7</v>
          </cell>
          <cell r="K297">
            <v>0.00089445</v>
          </cell>
          <cell r="L297" t="str">
            <v>35.3*31.5*46</v>
          </cell>
          <cell r="M297">
            <v>11.8</v>
          </cell>
          <cell r="N297">
            <v>0.0511497</v>
          </cell>
          <cell r="O297">
            <v>50</v>
          </cell>
          <cell r="P297" t="str">
            <v>616453923522</v>
          </cell>
          <cell r="Q297">
            <v>9.72</v>
          </cell>
          <cell r="R297">
            <v>450</v>
          </cell>
          <cell r="S297">
            <v>9</v>
          </cell>
          <cell r="T297">
            <v>0.4603473</v>
          </cell>
          <cell r="U297">
            <v>2</v>
          </cell>
        </row>
        <row r="298">
          <cell r="A298" t="str">
            <v>B07FVLGX8S</v>
          </cell>
          <cell r="B298" t="str">
            <v>BBD-BBY-ClstDvdr-Bho7pk</v>
          </cell>
          <cell r="C298" t="str">
            <v>婴儿衣柜分隔板</v>
          </cell>
          <cell r="D298" t="str">
            <v>Baby Closet Divider Unisex Boho Pack</v>
          </cell>
          <cell r="E298" t="str">
            <v>=DISPIMG("ID_E4A0A778FC384E889125CED46FA23DB2",1)</v>
          </cell>
          <cell r="F298" t="str">
            <v>衣架</v>
          </cell>
          <cell r="G298" t="str">
            <v>0.080</v>
          </cell>
          <cell r="H298" t="str">
            <v>9.7</v>
          </cell>
          <cell r="I298" t="str">
            <v>2.2</v>
          </cell>
          <cell r="J298" t="str">
            <v>9.6</v>
          </cell>
          <cell r="K298">
            <v>0.000204864</v>
          </cell>
        </row>
        <row r="298">
          <cell r="O298">
            <v>150</v>
          </cell>
          <cell r="P298" t="str">
            <v>X0012PXIM7</v>
          </cell>
          <cell r="Q298">
            <v>1.05</v>
          </cell>
          <cell r="R298">
            <v>300</v>
          </cell>
          <cell r="S298">
            <v>2</v>
          </cell>
          <cell r="T298">
            <v>0</v>
          </cell>
          <cell r="U298">
            <v>2</v>
          </cell>
        </row>
        <row r="299">
          <cell r="A299" t="str">
            <v>B08DP61S8H</v>
          </cell>
          <cell r="B299" t="str">
            <v>YHG-KND-StlWtrBtl-17Frse2pk</v>
          </cell>
          <cell r="C299" t="str">
            <v>钢水瓶</v>
          </cell>
          <cell r="D299" t="str">
            <v>Stainless Steel Insulated Water Bottle 17oz White Marble 2Pack</v>
          </cell>
          <cell r="E299" t="str">
            <v>=DISPIMG("ID_CA4CD6E166F9414E98A5D9BAB22ED6D0",1)</v>
          </cell>
          <cell r="F299" t="str">
            <v>水瓶</v>
          </cell>
          <cell r="G299" t="str">
            <v>0.7</v>
          </cell>
          <cell r="H299">
            <v>28</v>
          </cell>
          <cell r="I299">
            <v>15</v>
          </cell>
          <cell r="J299">
            <v>7.5</v>
          </cell>
          <cell r="K299">
            <v>0.00315</v>
          </cell>
          <cell r="L299" t="str">
            <v>47 * 33 * 30</v>
          </cell>
          <cell r="M299">
            <v>8.9</v>
          </cell>
          <cell r="N299">
            <v>0.04653</v>
          </cell>
          <cell r="O299">
            <v>12</v>
          </cell>
        </row>
        <row r="299">
          <cell r="R299">
            <v>224</v>
          </cell>
          <cell r="S299">
            <v>18.6666666666667</v>
          </cell>
          <cell r="T299">
            <v>0.86856</v>
          </cell>
          <cell r="U299">
            <v>2</v>
          </cell>
        </row>
        <row r="300">
          <cell r="A300" t="str">
            <v>B07Z2R6Y9Q</v>
          </cell>
          <cell r="B300" t="str">
            <v>PLT-GAO-StmrChrCvr-Grn</v>
          </cell>
          <cell r="C300" t="str">
            <v>椅套</v>
          </cell>
          <cell r="D300" t="str">
            <v>Steamer Chair Cover in Evergreen - Super Quality</v>
          </cell>
          <cell r="E300" t="str">
            <v>=DISPIMG("ID_1C1BDA3431AB47FEAAEDB8BDC73E83D1",1)</v>
          </cell>
          <cell r="F300" t="str">
            <v>桌椅</v>
          </cell>
          <cell r="G300" t="str">
            <v>2.000</v>
          </cell>
          <cell r="H300" t="str">
            <v>35.6</v>
          </cell>
          <cell r="I300" t="str">
            <v>3.8</v>
          </cell>
          <cell r="J300" t="str">
            <v>22.8</v>
          </cell>
          <cell r="K300">
            <v>0.003084384</v>
          </cell>
        </row>
        <row r="300">
          <cell r="O300">
            <v>20</v>
          </cell>
          <cell r="P300" t="str">
            <v>5060236732453</v>
          </cell>
          <cell r="Q300">
            <v>12.85</v>
          </cell>
          <cell r="R300">
            <v>197</v>
          </cell>
          <cell r="S300">
            <v>9.85</v>
          </cell>
          <cell r="T300">
            <v>0</v>
          </cell>
          <cell r="U300">
            <v>2</v>
          </cell>
        </row>
        <row r="301">
          <cell r="A301" t="str">
            <v>B07TNT37W4</v>
          </cell>
          <cell r="B301" t="str">
            <v>TMP-HHB-SwfWtJtMpPd-2</v>
          </cell>
          <cell r="C301" t="str">
            <v>拖把布</v>
          </cell>
          <cell r="D301" t="str">
            <v>Mop Pads</v>
          </cell>
          <cell r="E301" t="str">
            <v>=DISPIMG("ID_9028F496EFCC4CF3A96AA1637974B68C",1)</v>
          </cell>
          <cell r="F301" t="str">
            <v>清洁</v>
          </cell>
          <cell r="G301">
            <v>0.064</v>
          </cell>
          <cell r="H301" t="str">
            <v>31.5</v>
          </cell>
          <cell r="I301" t="str">
            <v>2.8</v>
          </cell>
          <cell r="J301" t="str">
            <v>28.4</v>
          </cell>
          <cell r="K301">
            <v>0.00250488</v>
          </cell>
          <cell r="L301" t="str">
            <v>60*32*29</v>
          </cell>
          <cell r="M301">
            <v>3.2</v>
          </cell>
          <cell r="N301">
            <v>0.05568</v>
          </cell>
          <cell r="O301">
            <v>50</v>
          </cell>
          <cell r="P301" t="str">
            <v>851587008640</v>
          </cell>
          <cell r="Q301">
            <v>3.16</v>
          </cell>
          <cell r="R301">
            <v>88</v>
          </cell>
          <cell r="S301">
            <v>1.76</v>
          </cell>
          <cell r="T301">
            <v>0.0979968</v>
          </cell>
          <cell r="U301">
            <v>2</v>
          </cell>
        </row>
        <row r="302">
          <cell r="A302" t="str">
            <v>B083JNB3PC</v>
          </cell>
          <cell r="B302" t="str">
            <v>BBD-BBY-BbyTyCrd-Elphtblu50pk</v>
          </cell>
          <cell r="C302" t="str">
            <v>感谢卡</v>
          </cell>
          <cell r="D302" t="str">
            <v>Baby Shower Thank You Cards Elephant Blue 50 Pack</v>
          </cell>
          <cell r="E302" t="str">
            <v>=DISPIMG("ID_798A5F46309B400FA2B7053DCD28608D",1)</v>
          </cell>
          <cell r="F302" t="str">
            <v>贺卡</v>
          </cell>
          <cell r="G302">
            <v>0.6</v>
          </cell>
          <cell r="H302">
            <v>23</v>
          </cell>
          <cell r="I302">
            <v>17</v>
          </cell>
          <cell r="J302">
            <v>4</v>
          </cell>
          <cell r="K302">
            <v>0.001564</v>
          </cell>
          <cell r="L302" t="str">
            <v>53 * 25 * 38</v>
          </cell>
          <cell r="M302">
            <v>22.4</v>
          </cell>
          <cell r="N302">
            <v>0.05035</v>
          </cell>
          <cell r="O302">
            <v>30</v>
          </cell>
          <cell r="P302" t="str">
            <v>860003191125</v>
          </cell>
          <cell r="Q302">
            <v>3.99</v>
          </cell>
          <cell r="R302">
            <v>29</v>
          </cell>
          <cell r="S302">
            <v>0.966666666666667</v>
          </cell>
          <cell r="T302">
            <v>0.0486716666666667</v>
          </cell>
          <cell r="U302">
            <v>2</v>
          </cell>
        </row>
        <row r="303">
          <cell r="A303" t="str">
            <v>B07CG9ZDQ4</v>
          </cell>
          <cell r="B303" t="str">
            <v>DAT-APA-AFr2P-B</v>
          </cell>
          <cell r="C303" t="str">
            <v>汽车空气清新剂</v>
          </cell>
          <cell r="D303" t="str">
            <v>Car Air Freshener 2 Pack Black</v>
          </cell>
          <cell r="E303" t="str">
            <v>=DISPIMG("ID_AA0F564ABBE54C9491480C39BDFE74D3",1)</v>
          </cell>
          <cell r="F303" t="str">
            <v>汽车</v>
          </cell>
          <cell r="G303" t="str">
            <v>0.210</v>
          </cell>
          <cell r="H303" t="str">
            <v>15.2</v>
          </cell>
          <cell r="I303" t="str">
            <v>13.2</v>
          </cell>
          <cell r="J303" t="str">
            <v>5.5</v>
          </cell>
          <cell r="K303">
            <v>0.00110352</v>
          </cell>
        </row>
        <row r="303">
          <cell r="O303">
            <v>20</v>
          </cell>
          <cell r="P303" t="str">
            <v>635635177010</v>
          </cell>
          <cell r="Q303">
            <v>4.4</v>
          </cell>
          <cell r="R303">
            <v>23</v>
          </cell>
          <cell r="S303">
            <v>1.15</v>
          </cell>
          <cell r="T303">
            <v>0</v>
          </cell>
          <cell r="U303">
            <v>2</v>
          </cell>
        </row>
        <row r="304">
          <cell r="A304" t="str">
            <v>B00WIW6T4Y</v>
          </cell>
          <cell r="B304" t="str">
            <v>KHM-BPC-NlClp-700</v>
          </cell>
          <cell r="C304" t="str">
            <v>脚趾甲钳</v>
          </cell>
          <cell r="D304" t="str">
            <v>KP- 700 Nail Clipper 5 inch Stainless Steel</v>
          </cell>
          <cell r="E304" t="str">
            <v>=DISPIMG("ID_24B273DB70714400B4FCBD8475FD6660",1)</v>
          </cell>
          <cell r="F304" t="str">
            <v>指甲钳</v>
          </cell>
          <cell r="G304">
            <v>0.1</v>
          </cell>
          <cell r="H304">
            <v>18.5</v>
          </cell>
          <cell r="I304">
            <v>9</v>
          </cell>
          <cell r="J304">
            <v>2</v>
          </cell>
          <cell r="K304">
            <v>0.000333</v>
          </cell>
          <cell r="L304" t="str">
            <v>48*40*24</v>
          </cell>
          <cell r="M304">
            <v>12.2</v>
          </cell>
          <cell r="N304">
            <v>0.04608</v>
          </cell>
          <cell r="O304">
            <v>100</v>
          </cell>
          <cell r="P304" t="str">
            <v>709818941603</v>
          </cell>
          <cell r="Q304">
            <v>3.14</v>
          </cell>
          <cell r="R304">
            <v>3000</v>
          </cell>
          <cell r="S304">
            <v>30</v>
          </cell>
          <cell r="T304">
            <v>1.3824</v>
          </cell>
          <cell r="U304">
            <v>1</v>
          </cell>
        </row>
        <row r="305">
          <cell r="A305" t="str">
            <v>B07J6FWK57</v>
          </cell>
          <cell r="B305" t="str">
            <v>HSL-CFA-PhnCrChg-30W</v>
          </cell>
          <cell r="C305" t="str">
            <v>车载充电器适配器</v>
          </cell>
          <cell r="D305" t="str">
            <v>Phone Car Charger by Hussel 30W / 5.4A</v>
          </cell>
          <cell r="E305" t="str">
            <v>=DISPIMG("ID_68C957E9BFF4440DA078299A99475C90",1)</v>
          </cell>
          <cell r="F305" t="str">
            <v>汽车</v>
          </cell>
          <cell r="G305" t="str">
            <v>0.1</v>
          </cell>
          <cell r="H305">
            <v>8.5</v>
          </cell>
          <cell r="I305">
            <v>5</v>
          </cell>
          <cell r="J305">
            <v>4</v>
          </cell>
          <cell r="K305">
            <v>0.00017</v>
          </cell>
          <cell r="L305" t="str">
            <v>53 *29 * 21</v>
          </cell>
          <cell r="M305">
            <v>6.4</v>
          </cell>
          <cell r="N305">
            <v>0.032277</v>
          </cell>
          <cell r="O305">
            <v>150</v>
          </cell>
          <cell r="P305">
            <v>19213343088</v>
          </cell>
          <cell r="Q305">
            <v>2.44</v>
          </cell>
          <cell r="R305">
            <v>1020</v>
          </cell>
          <cell r="S305">
            <v>6.8</v>
          </cell>
          <cell r="T305">
            <v>0.2194836</v>
          </cell>
          <cell r="U305">
            <v>1</v>
          </cell>
        </row>
        <row r="306">
          <cell r="A306" t="str">
            <v>B07GSJKTVM</v>
          </cell>
          <cell r="B306" t="str">
            <v>CCF-KND-PzaPel-Xl</v>
          </cell>
          <cell r="C306" t="str">
            <v>披萨铲</v>
          </cell>
          <cell r="D306" t="str">
            <v>Stainless Steel Pizza Peel Extra Large</v>
          </cell>
          <cell r="E306" t="str">
            <v>=DISPIMG("ID_C3E028EB43484E2F92E4D3400A69EAF0",1)</v>
          </cell>
          <cell r="F306" t="str">
            <v>厨房用具</v>
          </cell>
          <cell r="G306" t="str">
            <v>1.3</v>
          </cell>
          <cell r="H306">
            <v>44.4</v>
          </cell>
          <cell r="I306">
            <v>33</v>
          </cell>
          <cell r="J306">
            <v>2.5</v>
          </cell>
          <cell r="K306">
            <v>0.003663</v>
          </cell>
          <cell r="L306" t="str">
            <v>35.6*33*45.7</v>
          </cell>
          <cell r="M306">
            <v>13.6</v>
          </cell>
          <cell r="N306">
            <v>0.05368836</v>
          </cell>
          <cell r="O306">
            <v>10</v>
          </cell>
          <cell r="P306" t="str">
            <v>608887903317</v>
          </cell>
          <cell r="Q306" t="e">
            <v>#N/A</v>
          </cell>
          <cell r="R306">
            <v>910</v>
          </cell>
          <cell r="S306">
            <v>91</v>
          </cell>
          <cell r="T306">
            <v>4.88564076</v>
          </cell>
          <cell r="U306">
            <v>1</v>
          </cell>
        </row>
        <row r="307">
          <cell r="A307" t="str">
            <v>B009Y7C2FG</v>
          </cell>
          <cell r="B307" t="str">
            <v>PT/POTMAKER/SET</v>
          </cell>
          <cell r="C307" t="str">
            <v>纸盆机及配件礼品套装</v>
          </cell>
          <cell r="D307" t="str">
            <v>Paper Pot Maker &amp; Accessories Gift Set - Great Gardeners Gift</v>
          </cell>
          <cell r="E307" t="str">
            <v>=DISPIMG("ID_B606889F28774CDD92D9FF0B89079954",1)</v>
          </cell>
        </row>
        <row r="307">
          <cell r="G307" t="str">
            <v>0.290</v>
          </cell>
          <cell r="H307" t="str">
            <v>14.8</v>
          </cell>
          <cell r="I307" t="str">
            <v>5.8</v>
          </cell>
          <cell r="J307" t="str">
            <v>11.6</v>
          </cell>
          <cell r="K307">
            <v>0.000995744</v>
          </cell>
        </row>
        <row r="307">
          <cell r="O307">
            <v>18</v>
          </cell>
          <cell r="P307" t="str">
            <v>5060236731043</v>
          </cell>
          <cell r="Q307">
            <v>5.42</v>
          </cell>
          <cell r="R307">
            <v>534</v>
          </cell>
          <cell r="S307">
            <v>29.6666666666667</v>
          </cell>
          <cell r="T307">
            <v>0</v>
          </cell>
          <cell r="U307">
            <v>1</v>
          </cell>
        </row>
        <row r="308">
          <cell r="A308" t="str">
            <v>B01KEU5GOA</v>
          </cell>
          <cell r="B308" t="str">
            <v>PPC-OFP-ElPln-Bl</v>
          </cell>
          <cell r="C308" t="str">
            <v>每日计划</v>
          </cell>
          <cell r="D308" t="str">
            <v>Elephant Planner Blue</v>
          </cell>
          <cell r="E308" t="str">
            <v>=DISPIMG("ID_9427982C985047C79F31F294279FDE4C",1)</v>
          </cell>
          <cell r="F308" t="str">
            <v>办公</v>
          </cell>
          <cell r="G308">
            <v>0.5</v>
          </cell>
          <cell r="H308">
            <v>23</v>
          </cell>
          <cell r="I308">
            <v>17</v>
          </cell>
          <cell r="J308">
            <v>3</v>
          </cell>
          <cell r="K308">
            <v>0.001173</v>
          </cell>
          <cell r="L308" t="str">
            <v>53 * 36 * 24</v>
          </cell>
          <cell r="M308">
            <v>20.5</v>
          </cell>
          <cell r="N308">
            <v>0.045792</v>
          </cell>
          <cell r="O308">
            <v>40</v>
          </cell>
          <cell r="P308" t="str">
            <v>861809000321,X0016IVI1V</v>
          </cell>
          <cell r="Q308">
            <v>3.46</v>
          </cell>
          <cell r="R308">
            <v>533</v>
          </cell>
          <cell r="S308">
            <v>13.325</v>
          </cell>
          <cell r="T308">
            <v>0.6101784</v>
          </cell>
          <cell r="U308">
            <v>1</v>
          </cell>
        </row>
        <row r="309">
          <cell r="A309" t="str">
            <v>B018UYS7DO</v>
          </cell>
          <cell r="B309" t="str">
            <v>SDT-TOH-SPWDbCX-Gy</v>
          </cell>
          <cell r="C309" t="str">
            <v>无线门铃</v>
          </cell>
          <cell r="D309" t="str">
            <v>Star Point Wireless Doorbell Model CX Grey</v>
          </cell>
          <cell r="E309" t="str">
            <v>=DISPIMG("ID_4812CBDE0A894E6F9041C9833343548C",1)</v>
          </cell>
          <cell r="F309" t="str">
            <v>门铃</v>
          </cell>
          <cell r="G309">
            <v>0.25</v>
          </cell>
          <cell r="H309">
            <v>15</v>
          </cell>
          <cell r="I309">
            <v>9.2</v>
          </cell>
          <cell r="J309">
            <v>7</v>
          </cell>
          <cell r="K309">
            <v>0.000966</v>
          </cell>
          <cell r="L309" t="str">
            <v>47.5*36*32</v>
          </cell>
          <cell r="M309">
            <v>12.12</v>
          </cell>
          <cell r="N309">
            <v>0.05472</v>
          </cell>
          <cell r="O309">
            <v>50</v>
          </cell>
          <cell r="P309" t="str">
            <v>616453923751</v>
          </cell>
          <cell r="Q309">
            <v>9.39</v>
          </cell>
          <cell r="R309">
            <v>450</v>
          </cell>
          <cell r="S309">
            <v>9</v>
          </cell>
          <cell r="T309">
            <v>0.49248</v>
          </cell>
          <cell r="U309">
            <v>1</v>
          </cell>
        </row>
        <row r="310">
          <cell r="A310" t="str">
            <v>B01GEXE74Q</v>
          </cell>
          <cell r="B310" t="str">
            <v>FLX-HHB-BBPCo-L</v>
          </cell>
          <cell r="C310" t="str">
            <v>背撑</v>
          </cell>
          <cell r="D310" t="str">
            <v>Back Brace Posture Corrector Large</v>
          </cell>
          <cell r="E310" t="str">
            <v>=DISPIMG("ID_DBC6B3EC1DC1438F8349D3ABC0E48152",1)</v>
          </cell>
          <cell r="F310" t="str">
            <v>健身</v>
          </cell>
          <cell r="G310">
            <v>0.3</v>
          </cell>
          <cell r="H310">
            <v>24.5</v>
          </cell>
          <cell r="I310">
            <v>18</v>
          </cell>
          <cell r="J310">
            <v>7.5</v>
          </cell>
          <cell r="K310">
            <v>0.0033075</v>
          </cell>
          <cell r="L310" t="str">
            <v>60*38*39</v>
          </cell>
          <cell r="M310">
            <v>18.8</v>
          </cell>
          <cell r="N310">
            <v>0.08892</v>
          </cell>
          <cell r="O310">
            <v>50</v>
          </cell>
          <cell r="P310" t="str">
            <v>646412191389</v>
          </cell>
          <cell r="Q310">
            <v>5.85</v>
          </cell>
          <cell r="R310">
            <v>399</v>
          </cell>
          <cell r="S310">
            <v>7.98</v>
          </cell>
          <cell r="T310">
            <v>0.7095816</v>
          </cell>
          <cell r="U310">
            <v>1</v>
          </cell>
        </row>
        <row r="311">
          <cell r="A311" t="str">
            <v>B08K2GF3KF</v>
          </cell>
          <cell r="B311" t="str">
            <v>WWE-HOK-GTePo-50oz</v>
          </cell>
          <cell r="C311" t="str">
            <v>玻璃茶壶</v>
          </cell>
          <cell r="D311" t="str">
            <v>Glass Teapot 50 Oz</v>
          </cell>
          <cell r="E311" t="str">
            <v>=DISPIMG("ID_2E5B6C7941D84817BDE1A05ADE6E08A7",1)</v>
          </cell>
          <cell r="F311" t="str">
            <v>厨房用具</v>
          </cell>
          <cell r="G311" t="str">
            <v>0.681</v>
          </cell>
          <cell r="H311" t="str">
            <v>31.1</v>
          </cell>
          <cell r="I311" t="str">
            <v>23.8</v>
          </cell>
          <cell r="J311" t="str">
            <v>19.6</v>
          </cell>
          <cell r="K311">
            <v>0.014507528</v>
          </cell>
        </row>
        <row r="311">
          <cell r="P311" t="str">
            <v>860005340804</v>
          </cell>
        </row>
        <row r="311">
          <cell r="R311">
            <v>283</v>
          </cell>
        </row>
        <row r="311">
          <cell r="U311">
            <v>1</v>
          </cell>
        </row>
        <row r="312">
          <cell r="A312" t="str">
            <v>B0B2JG5J66</v>
          </cell>
          <cell r="B312" t="str">
            <v>YHG-HOK-FD-SC203</v>
          </cell>
          <cell r="C312" t="str">
            <v>硅胶烘焙垫</v>
          </cell>
          <cell r="D312" t="str">
            <v>Fine Dine-Silicone baking mat set of 3-White</v>
          </cell>
          <cell r="E312" t="str">
            <v>=DISPIMG("ID_68FF4E441CFC4358BEDEBABDF827CE36",1)</v>
          </cell>
          <cell r="F312" t="str">
            <v>厨房用具</v>
          </cell>
          <cell r="G312" t="str">
            <v>0.400</v>
          </cell>
          <cell r="H312">
            <v>32</v>
          </cell>
          <cell r="I312">
            <v>5</v>
          </cell>
          <cell r="J312">
            <v>5</v>
          </cell>
          <cell r="K312">
            <v>0.0008</v>
          </cell>
          <cell r="L312" t="str">
            <v>29 * 43 * 36</v>
          </cell>
          <cell r="M312">
            <v>12.7</v>
          </cell>
          <cell r="N312">
            <v>0.044892</v>
          </cell>
          <cell r="O312">
            <v>40</v>
          </cell>
          <cell r="P312" t="str">
            <v>810078882794</v>
          </cell>
          <cell r="Q312">
            <v>4.94</v>
          </cell>
          <cell r="R312">
            <v>279</v>
          </cell>
          <cell r="S312">
            <v>6.975</v>
          </cell>
          <cell r="T312">
            <v>0.3131217</v>
          </cell>
          <cell r="U312">
            <v>1</v>
          </cell>
        </row>
        <row r="313">
          <cell r="A313" t="str">
            <v>B018UYRYUG</v>
          </cell>
          <cell r="B313" t="str">
            <v>SDT-TOH-SPWDbCX-MBk</v>
          </cell>
          <cell r="C313" t="str">
            <v>无线门铃</v>
          </cell>
          <cell r="D313" t="str">
            <v>Star Point Wireless Doorbell Model CXR Matte Black</v>
          </cell>
          <cell r="E313" t="str">
            <v>=DISPIMG("ID_DD5EFCC5B489446BA052B73A8806C154",1)</v>
          </cell>
          <cell r="F313" t="str">
            <v>门铃</v>
          </cell>
          <cell r="G313">
            <v>0.2</v>
          </cell>
          <cell r="H313">
            <v>15</v>
          </cell>
          <cell r="I313">
            <v>8.9</v>
          </cell>
          <cell r="J313">
            <v>6.7</v>
          </cell>
          <cell r="K313">
            <v>0.00089445</v>
          </cell>
          <cell r="L313" t="str">
            <v>35.3*31.5*46</v>
          </cell>
          <cell r="M313">
            <v>11.8</v>
          </cell>
          <cell r="N313">
            <v>0.0511497</v>
          </cell>
          <cell r="O313">
            <v>50</v>
          </cell>
          <cell r="P313" t="str">
            <v>616453923812</v>
          </cell>
          <cell r="Q313">
            <v>10.15</v>
          </cell>
          <cell r="R313">
            <v>258</v>
          </cell>
          <cell r="S313">
            <v>5.16</v>
          </cell>
          <cell r="T313">
            <v>0.263932452</v>
          </cell>
          <cell r="U313">
            <v>1</v>
          </cell>
        </row>
        <row r="314">
          <cell r="A314" t="str">
            <v>B088JXRZHY</v>
          </cell>
          <cell r="B314" t="str">
            <v>LAA-SAO-FuzNs-MBkDGryS/M</v>
          </cell>
          <cell r="C314" t="str">
            <v>毛绒抓地小腿袜</v>
          </cell>
          <cell r="D314" t="str">
            <v>Fuzzy Non-Slip Socks Midnight Black and Dove Grey, S/M</v>
          </cell>
          <cell r="E314" t="str">
            <v>=DISPIMG("ID_FE60739496204449B88D3F4766735935",1)</v>
          </cell>
          <cell r="F314" t="str">
            <v>衣物</v>
          </cell>
          <cell r="G314">
            <v>0.15</v>
          </cell>
          <cell r="H314">
            <v>22</v>
          </cell>
          <cell r="I314">
            <v>14</v>
          </cell>
          <cell r="J314">
            <v>7</v>
          </cell>
          <cell r="K314">
            <v>0.002156</v>
          </cell>
          <cell r="L314" t="str">
            <v>58*46*48</v>
          </cell>
          <cell r="M314">
            <v>16</v>
          </cell>
          <cell r="N314">
            <v>0.128064</v>
          </cell>
          <cell r="O314">
            <v>100</v>
          </cell>
          <cell r="P314" t="str">
            <v>X0016G1671</v>
          </cell>
          <cell r="Q314">
            <v>2.72</v>
          </cell>
          <cell r="R314">
            <v>195</v>
          </cell>
          <cell r="S314">
            <v>1.95</v>
          </cell>
          <cell r="T314">
            <v>0.2497248</v>
          </cell>
          <cell r="U314">
            <v>1</v>
          </cell>
        </row>
        <row r="315">
          <cell r="A315" t="str">
            <v>B08BT5HW4P</v>
          </cell>
          <cell r="B315" t="str">
            <v>YHG-HOK-ChrsTreGrldBg3-Red</v>
          </cell>
          <cell r="C315" t="str">
            <v>圣诞树收纳袋</v>
          </cell>
          <cell r="D315" t="str">
            <v>STORAGE BAG</v>
          </cell>
          <cell r="E315" t="str">
            <v>=DISPIMG("ID_C88147E48A2C446AAE1B4C536A99C339",1)</v>
          </cell>
          <cell r="F315" t="str">
            <v>圣诞</v>
          </cell>
          <cell r="G315">
            <v>1</v>
          </cell>
          <cell r="H315">
            <v>29</v>
          </cell>
          <cell r="I315">
            <v>22</v>
          </cell>
          <cell r="J315">
            <v>8</v>
          </cell>
          <cell r="K315">
            <v>0.005104</v>
          </cell>
          <cell r="L315" t="str">
            <v>46*40*30</v>
          </cell>
          <cell r="M315">
            <v>12</v>
          </cell>
          <cell r="N315">
            <v>0.0552</v>
          </cell>
          <cell r="O315">
            <v>12</v>
          </cell>
          <cell r="P315" t="str">
            <v>810158037601</v>
          </cell>
          <cell r="Q315">
            <v>7.57</v>
          </cell>
          <cell r="R315">
            <v>168</v>
          </cell>
          <cell r="S315">
            <v>14</v>
          </cell>
          <cell r="T315">
            <v>0.7728</v>
          </cell>
          <cell r="U315">
            <v>1</v>
          </cell>
        </row>
        <row r="316">
          <cell r="A316" t="str">
            <v>B08F7ZMF9R</v>
          </cell>
          <cell r="B316" t="str">
            <v>MXL-KND-GftSet-6s2gWb</v>
          </cell>
          <cell r="C316" t="str">
            <v>威士忌酒杯和石头套装</v>
          </cell>
          <cell r="D316" t="str">
            <v>Gift Set 6 Stones 2 Glasses Wooden Box</v>
          </cell>
          <cell r="E316" t="str">
            <v>=DISPIMG("ID_24F551DAEBF04F229465C926E325FB51",1)</v>
          </cell>
          <cell r="F316" t="str">
            <v>厨房用具</v>
          </cell>
          <cell r="G316">
            <v>1.65</v>
          </cell>
          <cell r="H316">
            <v>32</v>
          </cell>
          <cell r="I316">
            <v>14</v>
          </cell>
          <cell r="J316">
            <v>13</v>
          </cell>
          <cell r="K316">
            <v>0.005824</v>
          </cell>
          <cell r="L316" t="str">
            <v>58*34*28</v>
          </cell>
          <cell r="M316">
            <v>14.1</v>
          </cell>
          <cell r="N316">
            <v>0.055216</v>
          </cell>
          <cell r="O316">
            <v>8</v>
          </cell>
          <cell r="P316" t="str">
            <v>810090950440</v>
          </cell>
          <cell r="Q316">
            <v>10.86</v>
          </cell>
          <cell r="R316">
            <v>81</v>
          </cell>
          <cell r="S316">
            <v>10.125</v>
          </cell>
          <cell r="T316">
            <v>0.559062</v>
          </cell>
          <cell r="U316">
            <v>1</v>
          </cell>
        </row>
        <row r="317">
          <cell r="A317" t="str">
            <v>B08DXN2R8W</v>
          </cell>
          <cell r="B317" t="str">
            <v>LAA-SAO-AthGs-6prBoy10yrs</v>
          </cell>
          <cell r="C317" t="str">
            <v>抓地力小腿袜</v>
          </cell>
          <cell r="D317" t="str">
            <v>Athletic Crew Grip Socks 6 Pairs Boys, 8-10 Years</v>
          </cell>
          <cell r="E317" t="str">
            <v>=DISPIMG("ID_534BDEEE945E48989DC793B174963471",1)</v>
          </cell>
          <cell r="F317" t="str">
            <v>衣物</v>
          </cell>
          <cell r="G317">
            <v>0.12</v>
          </cell>
          <cell r="H317">
            <v>12</v>
          </cell>
          <cell r="I317">
            <v>12</v>
          </cell>
          <cell r="J317">
            <v>7</v>
          </cell>
          <cell r="K317">
            <v>0.001008</v>
          </cell>
          <cell r="L317" t="str">
            <v>59*50*33</v>
          </cell>
          <cell r="M317">
            <v>11.1</v>
          </cell>
          <cell r="N317">
            <v>0.09735</v>
          </cell>
          <cell r="O317">
            <v>80</v>
          </cell>
          <cell r="P317" t="e">
            <v>#N/A</v>
          </cell>
          <cell r="Q317">
            <v>4.29</v>
          </cell>
          <cell r="R317">
            <v>80</v>
          </cell>
          <cell r="S317">
            <v>1</v>
          </cell>
          <cell r="T317">
            <v>0.09735</v>
          </cell>
          <cell r="U317">
            <v>1</v>
          </cell>
        </row>
        <row r="318">
          <cell r="A318" t="str">
            <v>B00Y593P2W</v>
          </cell>
          <cell r="B318" t="str">
            <v>PLT-GAO-AdTbl-Wte</v>
          </cell>
          <cell r="C318" t="str">
            <v>阿迪朗达克桌</v>
          </cell>
          <cell r="D318" t="str">
            <v>Adirondack Table White</v>
          </cell>
          <cell r="E318" t="str">
            <v>=DISPIMG("ID_7DE2EA1C420F4C069905EBDB8BF0529A",1)</v>
          </cell>
          <cell r="F318" t="str">
            <v>桌椅</v>
          </cell>
          <cell r="G318">
            <v>4.917</v>
          </cell>
          <cell r="H318">
            <v>69</v>
          </cell>
          <cell r="I318">
            <v>51</v>
          </cell>
          <cell r="J318">
            <v>12</v>
          </cell>
          <cell r="K318">
            <v>0.042228</v>
          </cell>
          <cell r="L318" t="str">
            <v>69*51*12</v>
          </cell>
          <cell r="M318">
            <v>4.917</v>
          </cell>
          <cell r="N318">
            <v>0.042228</v>
          </cell>
        </row>
        <row r="318">
          <cell r="P318" t="str">
            <v>5060236731654</v>
          </cell>
          <cell r="Q318">
            <v>30.4</v>
          </cell>
          <cell r="R318">
            <v>50</v>
          </cell>
          <cell r="S318" t="e">
            <v>#DIV/0!</v>
          </cell>
          <cell r="T318">
            <v>0</v>
          </cell>
          <cell r="U318">
            <v>1</v>
          </cell>
        </row>
        <row r="319">
          <cell r="A319" t="str">
            <v>B08BS5CH2B</v>
          </cell>
          <cell r="B319" t="str">
            <v>YHG-HOK-LgtStrgBx-WvRed</v>
          </cell>
          <cell r="C319" t="str">
            <v>圣诞饰品收纳</v>
          </cell>
          <cell r="D319" t="str">
            <v>LIGHT STORAGE BOX</v>
          </cell>
          <cell r="E319" t="str">
            <v>=DISPIMG("ID_CE35CBEC4BDE472794B96CC8BB384C7B",1)</v>
          </cell>
          <cell r="F319" t="str">
            <v>圣诞</v>
          </cell>
        </row>
        <row r="319">
          <cell r="O319">
            <v>6</v>
          </cell>
          <cell r="P319" t="str">
            <v>810158037021</v>
          </cell>
          <cell r="Q319">
            <v>3.18</v>
          </cell>
          <cell r="R319">
            <v>14</v>
          </cell>
          <cell r="S319">
            <v>2.33333333333333</v>
          </cell>
          <cell r="T319">
            <v>0</v>
          </cell>
          <cell r="U319">
            <v>1</v>
          </cell>
        </row>
        <row r="320">
          <cell r="A320" t="str">
            <v>B00LPAFQ26</v>
          </cell>
          <cell r="B320" t="str">
            <v>SPE-APA-BMir-BK</v>
          </cell>
          <cell r="C320" t="str">
            <v>后座镜</v>
          </cell>
          <cell r="D320" t="str">
            <v>Baby Backseat Mirror for Car - View Infant in Rear Facing Car Seat - Newborn Safety with Secure Headrest Double-Strap - Essential Car Seat Accessories</v>
          </cell>
          <cell r="E320" t="str">
            <v>=DISPIMG("ID_012951D26EE1483E84434E48F9BEB05A",1)</v>
          </cell>
          <cell r="F320" t="str">
            <v>汽车</v>
          </cell>
        </row>
        <row r="320">
          <cell r="O320">
            <v>20</v>
          </cell>
          <cell r="P320" t="str">
            <v>784672342025</v>
          </cell>
          <cell r="Q320">
            <v>6.4</v>
          </cell>
          <cell r="R320">
            <v>12</v>
          </cell>
          <cell r="S320">
            <v>0.6</v>
          </cell>
          <cell r="T320">
            <v>0</v>
          </cell>
          <cell r="U320">
            <v>1</v>
          </cell>
        </row>
        <row r="321">
          <cell r="A321" t="str">
            <v>B01IRHUV6A</v>
          </cell>
          <cell r="B321" t="str">
            <v>YHG-HOK-NsVlvtHngr-Blk50pk</v>
          </cell>
          <cell r="C321" t="str">
            <v>天鹅绒衣架</v>
          </cell>
          <cell r="D321" t="str">
            <v>Zober Velvet Hangers Black 50 pack ZO-V30 /50</v>
          </cell>
          <cell r="E321" t="str">
            <v>=DISPIMG("ID_717A75D186A24D1CA120DACEDDA82538",1)</v>
          </cell>
          <cell r="F321" t="str">
            <v>衣架</v>
          </cell>
          <cell r="G321">
            <v>3.6</v>
          </cell>
          <cell r="H321">
            <v>43</v>
          </cell>
          <cell r="I321" t="str">
            <v>34.0</v>
          </cell>
          <cell r="J321">
            <v>33</v>
          </cell>
          <cell r="K321">
            <v>0.048246</v>
          </cell>
          <cell r="L321" t="str">
            <v>62 * 30 * 43</v>
          </cell>
          <cell r="M321">
            <v>15.5</v>
          </cell>
          <cell r="N321">
            <v>0.07998</v>
          </cell>
          <cell r="O321">
            <v>4</v>
          </cell>
          <cell r="P321" t="str">
            <v>810158030008</v>
          </cell>
          <cell r="Q321">
            <v>7.29</v>
          </cell>
          <cell r="R321">
            <v>12</v>
          </cell>
          <cell r="S321">
            <v>3</v>
          </cell>
          <cell r="T321">
            <v>0.23994</v>
          </cell>
          <cell r="U321">
            <v>1</v>
          </cell>
        </row>
        <row r="322">
          <cell r="A322" t="str">
            <v>B08CL4G68R</v>
          </cell>
          <cell r="B322" t="str">
            <v>YHG-HOK-OrnSrtgBx-364Gry</v>
          </cell>
          <cell r="C322" t="str">
            <v>饰品收纳</v>
          </cell>
          <cell r="D322" t="str">
            <v>ORNAMENT BOX</v>
          </cell>
          <cell r="E322" t="str">
            <v>=DISPIMG("ID_CB2633A718074119A3D535EB2B5C4AB9",1)</v>
          </cell>
          <cell r="F322" t="str">
            <v>圣诞</v>
          </cell>
        </row>
        <row r="322">
          <cell r="O322">
            <v>8</v>
          </cell>
          <cell r="P322" t="str">
            <v>810158036499</v>
          </cell>
          <cell r="Q322">
            <v>3.39</v>
          </cell>
          <cell r="R322">
            <v>5</v>
          </cell>
          <cell r="S322">
            <v>0.625</v>
          </cell>
          <cell r="T322">
            <v>0</v>
          </cell>
          <cell r="U322">
            <v>1</v>
          </cell>
        </row>
        <row r="323">
          <cell r="A323">
            <v>0</v>
          </cell>
          <cell r="B323" t="str">
            <v>X000TV1Z9V</v>
          </cell>
          <cell r="C323" t="e">
            <v>#N/A</v>
          </cell>
          <cell r="D323" t="e">
            <v>#N/A</v>
          </cell>
          <cell r="E323" t="e">
            <v>#N/A</v>
          </cell>
        </row>
        <row r="323">
          <cell r="R323">
            <v>720</v>
          </cell>
        </row>
        <row r="323">
          <cell r="U323">
            <v>0</v>
          </cell>
        </row>
        <row r="324">
          <cell r="A324">
            <v>0</v>
          </cell>
          <cell r="B324" t="str">
            <v>EO-3KXR-O5L5</v>
          </cell>
          <cell r="C324" t="e">
            <v>#N/A</v>
          </cell>
          <cell r="D324" t="e">
            <v>#N/A</v>
          </cell>
          <cell r="E324" t="e">
            <v>#N/A</v>
          </cell>
        </row>
        <row r="324">
          <cell r="R324">
            <v>264</v>
          </cell>
        </row>
        <row r="324">
          <cell r="U324">
            <v>0</v>
          </cell>
        </row>
        <row r="325">
          <cell r="A325">
            <v>0</v>
          </cell>
          <cell r="B325" t="str">
            <v>PLT-GAO-HiBkCsn-Ny</v>
          </cell>
          <cell r="C325" t="e">
            <v>#N/A</v>
          </cell>
          <cell r="D325" t="e">
            <v>#N/A</v>
          </cell>
          <cell r="E325" t="e">
            <v>#N/A</v>
          </cell>
        </row>
        <row r="325">
          <cell r="R325">
            <v>160</v>
          </cell>
        </row>
        <row r="325">
          <cell r="T325">
            <v>0</v>
          </cell>
          <cell r="U325">
            <v>0</v>
          </cell>
        </row>
        <row r="326">
          <cell r="A326">
            <v>0</v>
          </cell>
          <cell r="B326" t="str">
            <v>GTL-HOK-VlvtBthRg-17x24Gry</v>
          </cell>
          <cell r="C326" t="e">
            <v>#N/A</v>
          </cell>
          <cell r="D326" t="e">
            <v>#N/A</v>
          </cell>
          <cell r="E326" t="e">
            <v>#N/A</v>
          </cell>
        </row>
        <row r="326">
          <cell r="P326" t="e">
            <v>#N/A</v>
          </cell>
          <cell r="Q326" t="e">
            <v>#N/A</v>
          </cell>
          <cell r="R326">
            <v>84</v>
          </cell>
          <cell r="S326" t="e">
            <v>#DIV/0!</v>
          </cell>
          <cell r="T326">
            <v>0</v>
          </cell>
          <cell r="U326">
            <v>0</v>
          </cell>
        </row>
        <row r="327">
          <cell r="A327">
            <v>0</v>
          </cell>
          <cell r="B327" t="str">
            <v>GTL-HOK-VlvtBthRg-17x24Blk</v>
          </cell>
          <cell r="C327" t="e">
            <v>#N/A</v>
          </cell>
          <cell r="D327" t="e">
            <v>#N/A</v>
          </cell>
          <cell r="E327" t="e">
            <v>#N/A</v>
          </cell>
        </row>
        <row r="327">
          <cell r="P327" t="e">
            <v>#N/A</v>
          </cell>
          <cell r="Q327" t="e">
            <v>#N/A</v>
          </cell>
          <cell r="R327">
            <v>19</v>
          </cell>
          <cell r="S327" t="e">
            <v>#DIV/0!</v>
          </cell>
          <cell r="T327">
            <v>0</v>
          </cell>
          <cell r="U327">
            <v>0</v>
          </cell>
        </row>
        <row r="328">
          <cell r="A328" t="e">
            <v>#N/A</v>
          </cell>
          <cell r="B328" t="str">
            <v>B0844PG81M</v>
          </cell>
          <cell r="C328" t="e">
            <v>#N/A</v>
          </cell>
          <cell r="D328" t="e">
            <v>#N/A</v>
          </cell>
          <cell r="E328" t="e">
            <v>#N/A</v>
          </cell>
        </row>
        <row r="328">
          <cell r="P328" t="e">
            <v>#N/A</v>
          </cell>
          <cell r="Q328" t="e">
            <v>#N/A</v>
          </cell>
          <cell r="R328">
            <v>10</v>
          </cell>
          <cell r="S328" t="e">
            <v>#DIV/0!</v>
          </cell>
          <cell r="T328">
            <v>0</v>
          </cell>
          <cell r="U328">
            <v>0</v>
          </cell>
        </row>
        <row r="329">
          <cell r="A329">
            <v>0</v>
          </cell>
          <cell r="B329" t="str">
            <v>PLT-GAO-DrtChr-Beige</v>
          </cell>
          <cell r="C329" t="e">
            <v>#N/A</v>
          </cell>
          <cell r="D329" t="e">
            <v>#N/A</v>
          </cell>
          <cell r="E329" t="e">
            <v>#N/A</v>
          </cell>
        </row>
        <row r="329">
          <cell r="P329" t="e">
            <v>#N/A</v>
          </cell>
          <cell r="Q329" t="e">
            <v>#N/A</v>
          </cell>
          <cell r="R329">
            <v>4</v>
          </cell>
          <cell r="S329" t="e">
            <v>#DIV/0!</v>
          </cell>
          <cell r="T329">
            <v>0</v>
          </cell>
          <cell r="U329">
            <v>0</v>
          </cell>
        </row>
        <row r="330">
          <cell r="A330">
            <v>0</v>
          </cell>
          <cell r="B330" t="str">
            <v>PT/BISTRO/PRO/COF/T</v>
          </cell>
          <cell r="C330" t="e">
            <v>#N/A</v>
          </cell>
          <cell r="D330" t="e">
            <v>#N/A</v>
          </cell>
          <cell r="E330" t="e">
            <v>#N/A</v>
          </cell>
        </row>
        <row r="330">
          <cell r="P330" t="e">
            <v>#N/A</v>
          </cell>
          <cell r="Q330" t="e">
            <v>#N/A</v>
          </cell>
          <cell r="R330">
            <v>3</v>
          </cell>
          <cell r="S330" t="e">
            <v>#DIV/0!</v>
          </cell>
          <cell r="T330">
            <v>0</v>
          </cell>
          <cell r="U330">
            <v>0</v>
          </cell>
        </row>
        <row r="331">
          <cell r="A331" t="str">
            <v>B07C4MGL8N</v>
          </cell>
          <cell r="B331" t="str">
            <v>MKW-KND-SlcnSptlSet-4pkOrng</v>
          </cell>
          <cell r="C331" t="str">
            <v>硅胶刮刀</v>
          </cell>
          <cell r="D331" t="str">
            <v>Silicon Spatula Set 4 Pack Orange</v>
          </cell>
          <cell r="E331" t="str">
            <v>=DISPIMG("ID_3D97499E94D44E1A9B2B48B1284D7697",1)</v>
          </cell>
          <cell r="F331" t="str">
            <v>工具</v>
          </cell>
          <cell r="G331">
            <v>0.28</v>
          </cell>
          <cell r="H331">
            <v>34.6</v>
          </cell>
          <cell r="I331">
            <v>20.9</v>
          </cell>
          <cell r="J331">
            <v>1.6</v>
          </cell>
          <cell r="K331">
            <v>0.001157024</v>
          </cell>
        </row>
        <row r="331">
          <cell r="P331" t="str">
            <v>692193737353</v>
          </cell>
        </row>
        <row r="331">
          <cell r="R331">
            <v>4056</v>
          </cell>
        </row>
        <row r="331">
          <cell r="U331">
            <v>0</v>
          </cell>
        </row>
        <row r="332">
          <cell r="A332" t="str">
            <v>B00R5AI578</v>
          </cell>
          <cell r="B332" t="str">
            <v>SDT-TOH-CPWDb-CWh</v>
          </cell>
          <cell r="C332" t="str">
            <v>无线门铃</v>
          </cell>
          <cell r="D332" t="str">
            <v>Cross Point Wireless Doorbell Model White</v>
          </cell>
          <cell r="E332" t="str">
            <v>=DISPIMG("ID_588FEF2823994D06BC00CB759413B453",1)</v>
          </cell>
          <cell r="F332" t="str">
            <v>门铃</v>
          </cell>
          <cell r="G332" t="str">
            <v>0.113</v>
          </cell>
          <cell r="H332" t="str">
            <v>8.2</v>
          </cell>
          <cell r="I332" t="str">
            <v>3.8</v>
          </cell>
          <cell r="J332" t="str">
            <v>8.8</v>
          </cell>
          <cell r="K332">
            <v>0.000274208</v>
          </cell>
        </row>
        <row r="332">
          <cell r="O332">
            <v>50</v>
          </cell>
          <cell r="P332" t="str">
            <v>616453923423</v>
          </cell>
          <cell r="Q332">
            <v>7.66</v>
          </cell>
          <cell r="R332">
            <v>1999</v>
          </cell>
          <cell r="S332">
            <v>39.98</v>
          </cell>
          <cell r="T332">
            <v>0</v>
          </cell>
          <cell r="U332">
            <v>0</v>
          </cell>
        </row>
        <row r="333">
          <cell r="A333" t="str">
            <v>B01FIWU46Y</v>
          </cell>
          <cell r="B333" t="str">
            <v>BES-ACS-ClrPncl-50pk</v>
          </cell>
          <cell r="C333" t="str">
            <v>彩色铅笔</v>
          </cell>
          <cell r="D333" t="str">
            <v>Coloured Pencils 50 Pack</v>
          </cell>
          <cell r="E333" t="str">
            <v>=DISPIMG("ID_0F2031A61693499F880EFE428D7F902F",1)</v>
          </cell>
          <cell r="F333" t="str">
            <v>办公</v>
          </cell>
        </row>
        <row r="333">
          <cell r="R333">
            <v>1512</v>
          </cell>
        </row>
        <row r="333">
          <cell r="U333">
            <v>0</v>
          </cell>
        </row>
        <row r="334">
          <cell r="A334" t="str">
            <v>B07GY1GPY6</v>
          </cell>
          <cell r="B334" t="str">
            <v>FLX-HHB-LBBra-XL</v>
          </cell>
          <cell r="C334" t="str">
            <v>支架、夹板和吊带</v>
          </cell>
          <cell r="D334" t="str">
            <v>Lower Back Brace Extra Large</v>
          </cell>
          <cell r="E334" t="str">
            <v>=DISPIMG("ID_C18C05CB75164B2FB625247BDD10CB96",1)</v>
          </cell>
          <cell r="F334" t="str">
            <v>健身</v>
          </cell>
          <cell r="G334">
            <v>0.5</v>
          </cell>
          <cell r="H334">
            <v>24</v>
          </cell>
          <cell r="I334">
            <v>19</v>
          </cell>
          <cell r="J334">
            <v>7</v>
          </cell>
          <cell r="K334">
            <v>0.003192</v>
          </cell>
          <cell r="L334" t="str">
            <v>53*51*43</v>
          </cell>
          <cell r="M334">
            <v>16.5</v>
          </cell>
          <cell r="N334">
            <v>0.116229</v>
          </cell>
          <cell r="O334">
            <v>40</v>
          </cell>
          <cell r="P334" t="str">
            <v>851985007351</v>
          </cell>
          <cell r="Q334">
            <v>7.6</v>
          </cell>
          <cell r="R334">
            <v>1400</v>
          </cell>
          <cell r="S334">
            <v>35</v>
          </cell>
          <cell r="T334">
            <v>4.068015</v>
          </cell>
          <cell r="U334">
            <v>0</v>
          </cell>
        </row>
        <row r="335">
          <cell r="A335" t="str">
            <v>B013AUKEP2</v>
          </cell>
          <cell r="B335" t="str">
            <v>SDT-TOH-SPWDbC-Bw</v>
          </cell>
          <cell r="C335" t="str">
            <v>无线门铃</v>
          </cell>
          <cell r="D335" t="str">
            <v>Star Point Wireless Doorbell Model C Brown</v>
          </cell>
          <cell r="E335" t="str">
            <v>=DISPIMG("ID_17ED6FA966EB4F10B4479D8DFA15E8EB",1)</v>
          </cell>
          <cell r="F335" t="str">
            <v>门铃</v>
          </cell>
          <cell r="G335">
            <v>0.2</v>
          </cell>
          <cell r="H335">
            <v>10</v>
          </cell>
          <cell r="I335">
            <v>9</v>
          </cell>
          <cell r="J335">
            <v>7</v>
          </cell>
          <cell r="K335">
            <v>0.00063</v>
          </cell>
          <cell r="L335" t="str">
            <v>47*39*23</v>
          </cell>
          <cell r="M335">
            <v>9.3</v>
          </cell>
          <cell r="N335">
            <v>0.042159</v>
          </cell>
          <cell r="O335">
            <v>50</v>
          </cell>
          <cell r="P335" t="str">
            <v>616453923669</v>
          </cell>
          <cell r="Q335">
            <v>6.63</v>
          </cell>
          <cell r="R335">
            <v>1377</v>
          </cell>
          <cell r="S335">
            <v>27.54</v>
          </cell>
          <cell r="T335">
            <v>1.16105886</v>
          </cell>
          <cell r="U335">
            <v>0</v>
          </cell>
        </row>
        <row r="336">
          <cell r="A336" t="str">
            <v>B07QG3YG1T</v>
          </cell>
          <cell r="B336" t="str">
            <v>BBD-TOG-PstlBlnGrlndKt</v>
          </cell>
          <cell r="C336" t="str">
            <v>粉彩气球花环套件</v>
          </cell>
          <cell r="D336" t="str">
            <v>Pastel Balloon Garland Kit</v>
          </cell>
          <cell r="E336" t="str">
            <v>=DISPIMG("ID_D97E18480B994713B2318A2735DB4179",1)</v>
          </cell>
        </row>
        <row r="336">
          <cell r="L336" t="str">
            <v>55*42*33</v>
          </cell>
        </row>
        <row r="336">
          <cell r="N336">
            <v>0.07623</v>
          </cell>
          <cell r="O336">
            <v>14</v>
          </cell>
        </row>
        <row r="336">
          <cell r="R336">
            <v>1167</v>
          </cell>
        </row>
        <row r="336">
          <cell r="U336">
            <v>0</v>
          </cell>
        </row>
        <row r="337">
          <cell r="A337" t="str">
            <v>B00XHWUG5M</v>
          </cell>
          <cell r="B337" t="str">
            <v>SDT-TOH-SPWDbCXR-Bg</v>
          </cell>
          <cell r="C337" t="str">
            <v>无线门铃</v>
          </cell>
          <cell r="D337" t="str">
            <v>Star Point Wireless Doorbell Model CXR Beige</v>
          </cell>
          <cell r="E337" t="str">
            <v>=DISPIMG("ID_238D0791634B44C88D6A2157997CEDAE",1)</v>
          </cell>
          <cell r="F337" t="str">
            <v>门铃</v>
          </cell>
          <cell r="G337">
            <v>0.3</v>
          </cell>
          <cell r="H337">
            <v>18</v>
          </cell>
          <cell r="I337">
            <v>9.6</v>
          </cell>
          <cell r="J337">
            <v>7.8</v>
          </cell>
          <cell r="K337">
            <v>0.00134784</v>
          </cell>
          <cell r="L337" t="str">
            <v>40.8*37.8*34</v>
          </cell>
          <cell r="M337">
            <v>9.84</v>
          </cell>
          <cell r="N337">
            <v>0.05243616</v>
          </cell>
          <cell r="O337">
            <v>32</v>
          </cell>
          <cell r="P337" t="str">
            <v>616453923515</v>
          </cell>
          <cell r="Q337">
            <v>11.3</v>
          </cell>
          <cell r="R337">
            <v>992</v>
          </cell>
          <cell r="S337">
            <v>31</v>
          </cell>
          <cell r="T337">
            <v>1.62552096</v>
          </cell>
          <cell r="U337">
            <v>0</v>
          </cell>
        </row>
        <row r="338">
          <cell r="A338" t="str">
            <v>B00KFM69YO</v>
          </cell>
          <cell r="B338" t="str">
            <v>SDT-TOH-SPWDbC-Bu</v>
          </cell>
          <cell r="C338" t="str">
            <v>无线门铃</v>
          </cell>
          <cell r="D338" t="str">
            <v>Star Point Wireless Doorbell Model C Blue</v>
          </cell>
          <cell r="E338" t="str">
            <v>=DISPIMG("ID_5FB42A1C5C1148A2B5E342C8B69CC692",1)</v>
          </cell>
          <cell r="F338" t="str">
            <v>门铃</v>
          </cell>
          <cell r="G338">
            <v>0.2</v>
          </cell>
          <cell r="H338">
            <v>10</v>
          </cell>
          <cell r="I338">
            <v>9</v>
          </cell>
          <cell r="J338">
            <v>7</v>
          </cell>
          <cell r="K338">
            <v>0.00063</v>
          </cell>
          <cell r="L338" t="str">
            <v>47*39*23</v>
          </cell>
          <cell r="M338">
            <v>9.3</v>
          </cell>
          <cell r="N338">
            <v>0.042159</v>
          </cell>
          <cell r="O338">
            <v>50</v>
          </cell>
          <cell r="P338" t="str">
            <v>616453922952</v>
          </cell>
          <cell r="Q338">
            <v>6.38</v>
          </cell>
          <cell r="R338">
            <v>950</v>
          </cell>
          <cell r="S338">
            <v>19</v>
          </cell>
          <cell r="T338">
            <v>0.801021</v>
          </cell>
          <cell r="U338">
            <v>0</v>
          </cell>
        </row>
        <row r="339">
          <cell r="A339" t="str">
            <v>B018UYS1AI</v>
          </cell>
          <cell r="B339" t="str">
            <v>SDT-TOH-SPWDbCXR-Gy</v>
          </cell>
          <cell r="C339" t="str">
            <v>无线门铃</v>
          </cell>
          <cell r="D339" t="str">
            <v>Star Point Wireless Doorbell Model CXR Grey</v>
          </cell>
          <cell r="E339" t="str">
            <v>=DISPIMG("ID_6D375CB4323040018469482A021081DE",1)</v>
          </cell>
          <cell r="F339" t="str">
            <v>门铃</v>
          </cell>
          <cell r="G339">
            <v>0.3</v>
          </cell>
          <cell r="H339">
            <v>18</v>
          </cell>
          <cell r="I339">
            <v>9.6</v>
          </cell>
          <cell r="J339">
            <v>7.8</v>
          </cell>
          <cell r="K339">
            <v>0.00134784</v>
          </cell>
          <cell r="L339" t="str">
            <v>40.8*37.8*34</v>
          </cell>
          <cell r="M339">
            <v>9.84</v>
          </cell>
          <cell r="N339">
            <v>0.05243616</v>
          </cell>
          <cell r="O339">
            <v>32</v>
          </cell>
          <cell r="P339" t="str">
            <v>616453923768</v>
          </cell>
          <cell r="Q339">
            <v>11.51</v>
          </cell>
          <cell r="R339">
            <v>928</v>
          </cell>
          <cell r="S339">
            <v>29</v>
          </cell>
          <cell r="T339">
            <v>1.52064864</v>
          </cell>
          <cell r="U339">
            <v>0</v>
          </cell>
        </row>
        <row r="340">
          <cell r="A340" t="str">
            <v>B01DIKFVKW</v>
          </cell>
          <cell r="B340" t="str">
            <v>ESP-CSJ-ChlkBg-Gy</v>
          </cell>
          <cell r="C340" t="str">
            <v>双球防漏镁粉袋套装</v>
          </cell>
          <cell r="D340" t="str">
            <v>Chalk Ball Set Grey</v>
          </cell>
          <cell r="E340" t="str">
            <v>=DISPIMG("ID_471BFAEFF13945448660A202BFF27624",1)</v>
          </cell>
        </row>
        <row r="340">
          <cell r="R340">
            <v>796</v>
          </cell>
        </row>
        <row r="340">
          <cell r="U340">
            <v>0</v>
          </cell>
        </row>
        <row r="341">
          <cell r="A341" t="str">
            <v>B081GZSM4T</v>
          </cell>
          <cell r="B341" t="str">
            <v>LAA-SAO-AthGs-6prClrS36Mnth</v>
          </cell>
          <cell r="C341" t="str">
            <v>抓地力小腿袜</v>
          </cell>
          <cell r="D341" t="str">
            <v>Athletic Crew Grip Socks 6 Pairs Color Splash, 12-36 Months</v>
          </cell>
          <cell r="E341" t="str">
            <v>=DISPIMG("ID_8CCF99AD652B4888BEC09B24134B6A9D",1)</v>
          </cell>
          <cell r="F341" t="str">
            <v>衣物</v>
          </cell>
          <cell r="G341">
            <v>0.15</v>
          </cell>
          <cell r="H341">
            <v>14</v>
          </cell>
          <cell r="I341">
            <v>12</v>
          </cell>
          <cell r="J341">
            <v>7</v>
          </cell>
          <cell r="K341">
            <v>0.001176</v>
          </cell>
          <cell r="L341" t="str">
            <v>55*45*43</v>
          </cell>
          <cell r="M341">
            <v>15.6</v>
          </cell>
          <cell r="N341">
            <v>0.106425</v>
          </cell>
          <cell r="O341">
            <v>100</v>
          </cell>
          <cell r="P341" t="str">
            <v>X000XBQTLN</v>
          </cell>
          <cell r="Q341">
            <v>3.32</v>
          </cell>
          <cell r="R341">
            <v>700</v>
          </cell>
          <cell r="S341">
            <v>7</v>
          </cell>
          <cell r="T341">
            <v>0.744975</v>
          </cell>
          <cell r="U341">
            <v>0</v>
          </cell>
        </row>
        <row r="342">
          <cell r="A342" t="str">
            <v>B076TBYNSL</v>
          </cell>
          <cell r="B342" t="str">
            <v>FLX-HHB-BBPCo-XS</v>
          </cell>
          <cell r="C342" t="str">
            <v>背撑</v>
          </cell>
          <cell r="D342" t="str">
            <v>Back Brace Posture Corrector Extra Small</v>
          </cell>
          <cell r="E342" t="str">
            <v>=DISPIMG("ID_1F9411413EA84CF0AA8822638A121594",1)</v>
          </cell>
          <cell r="F342" t="str">
            <v>健身</v>
          </cell>
          <cell r="G342">
            <v>0.4</v>
          </cell>
          <cell r="H342">
            <v>30</v>
          </cell>
          <cell r="I342">
            <v>19</v>
          </cell>
          <cell r="J342">
            <v>7</v>
          </cell>
          <cell r="K342">
            <v>0.00399</v>
          </cell>
          <cell r="L342" t="str">
            <v>62*40*39</v>
          </cell>
          <cell r="M342">
            <v>20</v>
          </cell>
          <cell r="N342">
            <v>0.09672</v>
          </cell>
          <cell r="O342">
            <v>50</v>
          </cell>
          <cell r="P342" t="str">
            <v>851985007290</v>
          </cell>
          <cell r="Q342">
            <v>7.58</v>
          </cell>
          <cell r="R342">
            <v>671</v>
          </cell>
          <cell r="S342">
            <v>13.42</v>
          </cell>
          <cell r="T342">
            <v>1.2979824</v>
          </cell>
          <cell r="U342">
            <v>0</v>
          </cell>
        </row>
        <row r="343">
          <cell r="A343" t="str">
            <v>B07CJMSVKD</v>
          </cell>
          <cell r="B343" t="str">
            <v>WKL-CSJ-LEDSntHat-1PkKd</v>
          </cell>
          <cell r="C343" t="str">
            <v>圣诞老人帽</v>
          </cell>
          <cell r="D343" t="str">
            <v>LED Santa Hat 1 pack Kids Size</v>
          </cell>
          <cell r="E343" t="str">
            <v>=DISPIMG("ID_36DED43D6BBC485AAA87D190BBD6AF98",1)</v>
          </cell>
          <cell r="F343" t="str">
            <v>圣诞</v>
          </cell>
          <cell r="G343" t="str">
            <v>0.150</v>
          </cell>
          <cell r="H343">
            <v>32</v>
          </cell>
          <cell r="I343">
            <v>23</v>
          </cell>
          <cell r="J343">
            <v>7</v>
          </cell>
          <cell r="K343">
            <v>0.005152</v>
          </cell>
          <cell r="L343" t="str">
            <v>63 * 60 * 55</v>
          </cell>
          <cell r="M343">
            <v>17</v>
          </cell>
          <cell r="N343">
            <v>0.2079</v>
          </cell>
          <cell r="O343">
            <v>100</v>
          </cell>
          <cell r="P343" t="str">
            <v>881314930265</v>
          </cell>
          <cell r="Q343">
            <v>4.1</v>
          </cell>
          <cell r="R343">
            <v>630</v>
          </cell>
          <cell r="S343">
            <v>6.3</v>
          </cell>
          <cell r="T343">
            <v>1.30977</v>
          </cell>
          <cell r="U343">
            <v>0</v>
          </cell>
        </row>
        <row r="344">
          <cell r="A344" t="str">
            <v>B09BDJXVMC</v>
          </cell>
          <cell r="B344" t="str">
            <v>FD-S4904-FBA</v>
          </cell>
          <cell r="C344" t="str">
            <v>厨房用具套装</v>
          </cell>
          <cell r="D344" t="str">
            <v>Fine Dine-SS 10pc kitchen utensil set-black</v>
          </cell>
          <cell r="E344" t="str">
            <v>=DISPIMG("ID_4670FDA4B48742B48AAC7D73FF3EEFA9",1)</v>
          </cell>
          <cell r="F344" t="str">
            <v>水瓶</v>
          </cell>
          <cell r="G344" t="str">
            <v>1.300</v>
          </cell>
          <cell r="H344">
            <v>13</v>
          </cell>
          <cell r="I344">
            <v>34</v>
          </cell>
          <cell r="J344">
            <v>13</v>
          </cell>
          <cell r="K344">
            <v>0.005746</v>
          </cell>
          <cell r="L344" t="str">
            <v>55 * 42 * 35</v>
          </cell>
          <cell r="M344">
            <v>13.8</v>
          </cell>
          <cell r="N344">
            <v>0.08085</v>
          </cell>
          <cell r="O344">
            <v>12</v>
          </cell>
        </row>
        <row r="344">
          <cell r="R344">
            <v>600</v>
          </cell>
          <cell r="S344">
            <v>50</v>
          </cell>
          <cell r="T344">
            <v>4.0425</v>
          </cell>
          <cell r="U344">
            <v>0</v>
          </cell>
        </row>
        <row r="345">
          <cell r="A345" t="str">
            <v>B018UYS28Y</v>
          </cell>
          <cell r="B345" t="str">
            <v>SDT-TOH-SPWDbCXRi-MBk</v>
          </cell>
          <cell r="C345" t="str">
            <v>无线门铃</v>
          </cell>
          <cell r="D345" t="str">
            <v>Star Point Wireless Doorbell Model CXRi Matte Black</v>
          </cell>
          <cell r="E345" t="str">
            <v>=DISPIMG("ID_3087F8C2C050405CB47FC5EC3B94174C",1)</v>
          </cell>
          <cell r="F345" t="str">
            <v>门铃</v>
          </cell>
        </row>
        <row r="345">
          <cell r="O345">
            <v>50</v>
          </cell>
          <cell r="P345" t="str">
            <v>616453923782</v>
          </cell>
          <cell r="Q345">
            <v>10.8</v>
          </cell>
          <cell r="R345">
            <v>544</v>
          </cell>
          <cell r="S345">
            <v>10.88</v>
          </cell>
          <cell r="T345">
            <v>0</v>
          </cell>
          <cell r="U345">
            <v>0</v>
          </cell>
        </row>
        <row r="346">
          <cell r="A346" t="str">
            <v>B01L8N122C</v>
          </cell>
          <cell r="B346" t="str">
            <v>ESP-TOG-JmbCards</v>
          </cell>
          <cell r="C346" t="str">
            <v>跳棋和纸牌</v>
          </cell>
          <cell r="D346" t="str">
            <v>Jumbo Playing Cards Games</v>
          </cell>
          <cell r="E346" t="str">
            <v>=DISPIMG("ID_B776223021614E388A0146B5E90EA4E3",1)</v>
          </cell>
          <cell r="F346" t="str">
            <v>户外</v>
          </cell>
          <cell r="G346">
            <v>1.65</v>
          </cell>
          <cell r="H346">
            <v>33</v>
          </cell>
          <cell r="I346">
            <v>24</v>
          </cell>
          <cell r="J346">
            <v>8</v>
          </cell>
          <cell r="K346">
            <v>0.006336</v>
          </cell>
          <cell r="L346" t="str">
            <v>36 * 36 * 50</v>
          </cell>
          <cell r="M346">
            <v>15.2</v>
          </cell>
          <cell r="N346">
            <v>0.0648</v>
          </cell>
          <cell r="O346">
            <v>8</v>
          </cell>
          <cell r="P346" t="str">
            <v>X0016NS0C3,612592959606</v>
          </cell>
          <cell r="Q346">
            <v>13.96</v>
          </cell>
          <cell r="R346">
            <v>517</v>
          </cell>
          <cell r="S346">
            <v>64.625</v>
          </cell>
          <cell r="T346">
            <v>4.1877</v>
          </cell>
          <cell r="U346">
            <v>0</v>
          </cell>
        </row>
        <row r="347">
          <cell r="A347" t="str">
            <v>B013AUKGSC</v>
          </cell>
          <cell r="B347" t="str">
            <v>SDT-TOH-SPWDbCX-Bw</v>
          </cell>
          <cell r="C347" t="str">
            <v>无线门铃</v>
          </cell>
          <cell r="D347" t="str">
            <v>Star Point Wireless Doorbell Model CX Brown</v>
          </cell>
          <cell r="E347" t="str">
            <v>=DISPIMG("ID_C50858CBB43A43B19A034BB74D733FD9",1)</v>
          </cell>
          <cell r="F347" t="str">
            <v>门铃</v>
          </cell>
          <cell r="G347">
            <v>0.2</v>
          </cell>
          <cell r="H347">
            <v>15</v>
          </cell>
          <cell r="I347">
            <v>8.9</v>
          </cell>
          <cell r="J347">
            <v>6.7</v>
          </cell>
          <cell r="K347">
            <v>0.00089445</v>
          </cell>
          <cell r="L347" t="str">
            <v>35.3*31.5*46</v>
          </cell>
          <cell r="M347">
            <v>11.8</v>
          </cell>
          <cell r="N347">
            <v>0.0511497</v>
          </cell>
          <cell r="O347">
            <v>50</v>
          </cell>
          <cell r="P347" t="str">
            <v>616453923683</v>
          </cell>
          <cell r="Q347">
            <v>9.58</v>
          </cell>
          <cell r="R347">
            <v>450</v>
          </cell>
          <cell r="S347">
            <v>9</v>
          </cell>
          <cell r="T347">
            <v>0.4603473</v>
          </cell>
          <cell r="U347">
            <v>0</v>
          </cell>
        </row>
        <row r="348">
          <cell r="A348" t="str">
            <v>B07DVLY49J</v>
          </cell>
          <cell r="B348" t="str">
            <v>QGG-SPO-DscTss-1Dsc2Bttle</v>
          </cell>
          <cell r="C348" t="str">
            <v>户外飞盘套装</v>
          </cell>
          <cell r="D348" t="str">
            <v>Knockoff Disc Toss</v>
          </cell>
          <cell r="E348" t="str">
            <v>=DISPIMG("ID_AE45C84BD3B64AF3A249270FB9AC85F8",1)</v>
          </cell>
          <cell r="F348" t="str">
            <v>户外</v>
          </cell>
        </row>
        <row r="348">
          <cell r="R348">
            <v>410</v>
          </cell>
        </row>
        <row r="348">
          <cell r="U348">
            <v>0</v>
          </cell>
        </row>
        <row r="349">
          <cell r="A349" t="str">
            <v>B01GM35S6Y</v>
          </cell>
          <cell r="B349" t="str">
            <v>ULB-HOK-PPwPro2-Q</v>
          </cell>
          <cell r="C349" t="str">
            <v>枕头保护套</v>
          </cell>
          <cell r="D349" t="str">
            <v>UltraPlush Premium Waterproof Pillow Protector - Hypoallergenic and Bed Bug Proof Zippered Pillow Case</v>
          </cell>
          <cell r="E349" t="str">
            <v>=DISPIMG("ID_36577735561C4B71B267D478DBA9383A",1)</v>
          </cell>
          <cell r="F349" t="str">
            <v>床品</v>
          </cell>
          <cell r="G349">
            <v>0.4</v>
          </cell>
          <cell r="H349">
            <v>24.5</v>
          </cell>
          <cell r="I349">
            <v>23.6</v>
          </cell>
          <cell r="J349">
            <v>9</v>
          </cell>
          <cell r="K349">
            <v>0.0052038</v>
          </cell>
          <cell r="L349" t="str">
            <v>50*47*38</v>
          </cell>
          <cell r="M349">
            <v>10.7</v>
          </cell>
          <cell r="N349">
            <v>0.0893</v>
          </cell>
          <cell r="O349">
            <v>20</v>
          </cell>
          <cell r="P349" t="str">
            <v>712038097821</v>
          </cell>
          <cell r="Q349">
            <v>7.37</v>
          </cell>
          <cell r="R349">
            <v>400</v>
          </cell>
          <cell r="S349">
            <v>20</v>
          </cell>
          <cell r="T349">
            <v>1.786</v>
          </cell>
          <cell r="U349">
            <v>0</v>
          </cell>
        </row>
        <row r="350">
          <cell r="A350" t="str">
            <v>B08DHLY2NP</v>
          </cell>
          <cell r="B350" t="str">
            <v>EDU-BSS-DblFshMgKt1200</v>
          </cell>
          <cell r="C350" t="str">
            <v>钓鱼磁铁套件</v>
          </cell>
          <cell r="D350" t="str">
            <v>Fish Magnet Pro Kit 1200Lb Double Magnet includes Safety Gloves, 8mm Rope, Grappling Hook, Waterproof Bag, Thread Locker, Carabiners</v>
          </cell>
          <cell r="E350" t="str">
            <v>=DISPIMG("ID_B90F5D04D90E4ED6BCC9C00C8E6D70F3",1)</v>
          </cell>
          <cell r="F350" t="str">
            <v>户外</v>
          </cell>
        </row>
        <row r="350">
          <cell r="R350">
            <v>400</v>
          </cell>
        </row>
        <row r="350">
          <cell r="U350">
            <v>0</v>
          </cell>
        </row>
        <row r="351">
          <cell r="A351" t="str">
            <v>B09CWWPD49</v>
          </cell>
          <cell r="B351" t="str">
            <v>YHG-HOK-FD-S3101-GRY</v>
          </cell>
          <cell r="C351" t="str">
            <v>钢水瓶</v>
          </cell>
          <cell r="D351" t="str">
            <v>64oz BOTTLE
DOUBLE WALL 304 S/S 
Coppering
2 color Powder Coated
mix purple/green
3 LIDS(PP+PE+Silicone)
100% leakproof 
can pass the paint adhesion testing
Keep Hot 8H&amp; Cold 10H
color Box</v>
          </cell>
          <cell r="E351" t="str">
            <v>=DISPIMG("ID_E0AA861448BF4320B78EB8955284EE62",1)</v>
          </cell>
          <cell r="F351" t="str">
            <v>厨房用具</v>
          </cell>
        </row>
        <row r="351">
          <cell r="R351">
            <v>300</v>
          </cell>
        </row>
        <row r="351">
          <cell r="U351">
            <v>0</v>
          </cell>
        </row>
        <row r="352">
          <cell r="A352" t="str">
            <v>B0B2JHGSSB</v>
          </cell>
          <cell r="B352" t="str">
            <v>YHG-HOK-FD-SC103</v>
          </cell>
          <cell r="C352" t="str">
            <v>硅胶烘焙垫</v>
          </cell>
          <cell r="D352" t="str">
            <v>Fine Dine-Silicone baking mat set of 2-white</v>
          </cell>
          <cell r="E352" t="str">
            <v>=DISPIMG("ID_447EEB6E09004F7E938A6FF692DE7DA6",1)</v>
          </cell>
          <cell r="F352" t="str">
            <v>厨房用具</v>
          </cell>
          <cell r="G352" t="str">
            <v>0.300</v>
          </cell>
          <cell r="H352">
            <v>32</v>
          </cell>
          <cell r="I352">
            <v>5</v>
          </cell>
          <cell r="J352">
            <v>5.5</v>
          </cell>
          <cell r="K352">
            <v>0.00088</v>
          </cell>
          <cell r="L352" t="str">
            <v>52 * 29 * 36</v>
          </cell>
          <cell r="M352">
            <v>13.5</v>
          </cell>
          <cell r="N352">
            <v>0.054288</v>
          </cell>
          <cell r="O352">
            <v>50</v>
          </cell>
          <cell r="P352" t="str">
            <v>810078882732</v>
          </cell>
          <cell r="Q352">
            <v>3.69</v>
          </cell>
          <cell r="R352">
            <v>300</v>
          </cell>
          <cell r="S352">
            <v>6</v>
          </cell>
          <cell r="T352">
            <v>0.325728</v>
          </cell>
          <cell r="U352">
            <v>0</v>
          </cell>
        </row>
        <row r="353">
          <cell r="A353" t="str">
            <v>B00SN8NUEE</v>
          </cell>
          <cell r="B353" t="str">
            <v>PT/ZINC/12PK</v>
          </cell>
          <cell r="C353" t="str">
            <v>盆景</v>
          </cell>
          <cell r="D353" t="str">
            <v>The Zinc Pot Set. Perfect Gift Companion to Plant Theatre</v>
          </cell>
          <cell r="E353" t="str">
            <v>=DISPIMG("ID_5651838EC60849498D0108801D01CDEE",1)</v>
          </cell>
          <cell r="F353" t="str">
            <v>园艺</v>
          </cell>
          <cell r="G353">
            <v>1.2</v>
          </cell>
          <cell r="H353">
            <v>26</v>
          </cell>
          <cell r="I353">
            <v>13</v>
          </cell>
          <cell r="J353">
            <v>13</v>
          </cell>
          <cell r="K353">
            <v>0.004394</v>
          </cell>
          <cell r="L353" t="str">
            <v>39*54*28</v>
          </cell>
          <cell r="M353">
            <v>14.5</v>
          </cell>
          <cell r="N353">
            <v>0.058968</v>
          </cell>
          <cell r="O353">
            <v>12</v>
          </cell>
          <cell r="P353" t="str">
            <v>5060236730008</v>
          </cell>
          <cell r="Q353">
            <v>6.75</v>
          </cell>
          <cell r="R353">
            <v>293</v>
          </cell>
          <cell r="S353">
            <v>24.4166666666667</v>
          </cell>
          <cell r="T353">
            <v>1.439802</v>
          </cell>
          <cell r="U353">
            <v>0</v>
          </cell>
        </row>
        <row r="354">
          <cell r="A354" t="str">
            <v>B0788Z13K2</v>
          </cell>
          <cell r="B354" t="str">
            <v>PWP-AZL-LEDBkL-PROL</v>
          </cell>
          <cell r="C354" t="str">
            <v>电视背光灯条</v>
          </cell>
          <cell r="D354" t="str">
            <v>LED Backlight Pro L</v>
          </cell>
          <cell r="E354" t="str">
            <v>=DISPIMG("ID_98E9858177CC4CB29B1D1573F69A3F77",1)</v>
          </cell>
          <cell r="F354" t="str">
            <v>工具</v>
          </cell>
          <cell r="G354" t="str">
            <v>0.15</v>
          </cell>
          <cell r="H354">
            <v>17</v>
          </cell>
          <cell r="I354">
            <v>15</v>
          </cell>
          <cell r="J354">
            <v>3</v>
          </cell>
          <cell r="K354">
            <v>0.000765</v>
          </cell>
          <cell r="L354" t="str">
            <v>38 * 47 * 34</v>
          </cell>
          <cell r="M354">
            <v>13.9</v>
          </cell>
          <cell r="N354">
            <v>0.060724</v>
          </cell>
          <cell r="O354">
            <v>100</v>
          </cell>
          <cell r="P354" t="str">
            <v>855640004570</v>
          </cell>
          <cell r="Q354">
            <v>14.04</v>
          </cell>
          <cell r="R354">
            <v>291</v>
          </cell>
          <cell r="S354">
            <v>2.91</v>
          </cell>
          <cell r="T354">
            <v>0.17670684</v>
          </cell>
          <cell r="U354">
            <v>0</v>
          </cell>
        </row>
        <row r="355">
          <cell r="A355" t="str">
            <v>B07B6NL89S</v>
          </cell>
          <cell r="B355" t="str">
            <v>ESP-SPO-Bowling</v>
          </cell>
          <cell r="C355" t="str">
            <v>桌面游戏</v>
          </cell>
          <cell r="D355" t="str">
            <v>Bowling Game</v>
          </cell>
          <cell r="E355" t="str">
            <v>=DISPIMG("ID_01C826D1D79B40318DD9DE59F20738E7",1)</v>
          </cell>
          <cell r="F355" t="str">
            <v>户外</v>
          </cell>
          <cell r="G355" t="str">
            <v>0.470</v>
          </cell>
          <cell r="H355" t="str">
            <v>36.3</v>
          </cell>
          <cell r="I355" t="str">
            <v>7.3</v>
          </cell>
          <cell r="J355" t="str">
            <v>7.3</v>
          </cell>
          <cell r="K355">
            <v>0.001934427</v>
          </cell>
        </row>
        <row r="355">
          <cell r="P355" t="str">
            <v>X0016NS0CD</v>
          </cell>
          <cell r="Q355">
            <v>3.5</v>
          </cell>
          <cell r="R355">
            <v>274</v>
          </cell>
        </row>
        <row r="355">
          <cell r="U355">
            <v>0</v>
          </cell>
        </row>
        <row r="356">
          <cell r="A356" t="str">
            <v>B00I0BVP9Q</v>
          </cell>
          <cell r="B356" t="str">
            <v>GDL-ETC-DrWyAlmRcr500ft</v>
          </cell>
          <cell r="C356" t="str">
            <v>车道警报接收器</v>
          </cell>
          <cell r="D356" t="str">
            <v>Extra 500 ft Receiver for Driveway Alarm Kit</v>
          </cell>
          <cell r="E356" t="str">
            <v>=DISPIMG("ID_3E397E91DC634E06891E2D5B38D8A32A",1)</v>
          </cell>
          <cell r="F356" t="str">
            <v>汽车</v>
          </cell>
          <cell r="G356">
            <v>0.4</v>
          </cell>
          <cell r="H356">
            <v>19</v>
          </cell>
          <cell r="I356">
            <v>13</v>
          </cell>
          <cell r="J356">
            <v>9</v>
          </cell>
          <cell r="K356">
            <v>0.002223</v>
          </cell>
          <cell r="L356" t="str">
            <v>39 * 45 * 39</v>
          </cell>
          <cell r="M356">
            <v>13.1</v>
          </cell>
          <cell r="N356">
            <v>0.068445</v>
          </cell>
          <cell r="O356">
            <v>30</v>
          </cell>
          <cell r="P356" t="str">
            <v>753677310056</v>
          </cell>
          <cell r="Q356">
            <v>15.22</v>
          </cell>
          <cell r="R356">
            <v>260</v>
          </cell>
          <cell r="S356">
            <v>8.66666666666667</v>
          </cell>
          <cell r="T356">
            <v>0.59319</v>
          </cell>
          <cell r="U356">
            <v>0</v>
          </cell>
        </row>
        <row r="357">
          <cell r="A357" t="str">
            <v>B07D6FGS28</v>
          </cell>
          <cell r="B357" t="str">
            <v>LAA-SAO-BbyNs-2prDsyWChB3yrs</v>
          </cell>
          <cell r="C357" t="str">
            <v>绞花针织紧身裤</v>
          </cell>
          <cell r="D357" t="str">
            <v>Baby Non Slip 2 Pairs Daisy White and Cherry Blossom Pink, 2-3 Years</v>
          </cell>
          <cell r="E357" t="str">
            <v>=DISPIMG("ID_DC0F549B78464CADAAFC4F6DEB58C27E",1)</v>
          </cell>
          <cell r="F357" t="str">
            <v>衣物</v>
          </cell>
          <cell r="G357">
            <v>0.15</v>
          </cell>
          <cell r="H357">
            <v>16</v>
          </cell>
          <cell r="I357">
            <v>13</v>
          </cell>
          <cell r="J357">
            <v>7</v>
          </cell>
          <cell r="K357">
            <v>0.001456</v>
          </cell>
          <cell r="L357" t="str">
            <v>45*54*42</v>
          </cell>
          <cell r="M357">
            <v>14</v>
          </cell>
          <cell r="N357">
            <v>0.10206</v>
          </cell>
          <cell r="O357">
            <v>84</v>
          </cell>
          <cell r="P357" t="str">
            <v>789404063544,X000XBDODT</v>
          </cell>
          <cell r="Q357">
            <v>3.62</v>
          </cell>
          <cell r="R357">
            <v>256</v>
          </cell>
          <cell r="S357">
            <v>3.04761904761905</v>
          </cell>
          <cell r="T357">
            <v>0.31104</v>
          </cell>
          <cell r="U357">
            <v>0</v>
          </cell>
        </row>
        <row r="358">
          <cell r="A358" t="str">
            <v>B088K67RJJ</v>
          </cell>
          <cell r="B358" t="str">
            <v>LAA-SAO-FuzNs-PGBBL/XL</v>
          </cell>
          <cell r="C358" t="str">
            <v>毛绒抓地小腿袜</v>
          </cell>
          <cell r="D358" t="str">
            <v>Fuzzy Non-Slip SocksPink/Grey/Blue/Black, L/XL</v>
          </cell>
          <cell r="E358" t="str">
            <v>=DISPIMG("ID_CE588D2EF53B44F2BDC957C9283E0099",1)</v>
          </cell>
          <cell r="F358" t="str">
            <v>衣物</v>
          </cell>
          <cell r="G358">
            <v>0.4</v>
          </cell>
          <cell r="H358">
            <v>27</v>
          </cell>
          <cell r="I358">
            <v>22</v>
          </cell>
          <cell r="J358">
            <v>6</v>
          </cell>
          <cell r="K358">
            <v>0.003564</v>
          </cell>
          <cell r="L358" t="str">
            <v>56*45*43</v>
          </cell>
          <cell r="M358">
            <v>18</v>
          </cell>
          <cell r="N358">
            <v>0.10836</v>
          </cell>
          <cell r="O358">
            <v>50</v>
          </cell>
          <cell r="P358" t="str">
            <v>X0016G166R</v>
          </cell>
          <cell r="Q358">
            <v>5.15</v>
          </cell>
          <cell r="R358">
            <v>240</v>
          </cell>
          <cell r="S358">
            <v>4.8</v>
          </cell>
          <cell r="T358">
            <v>0.520128</v>
          </cell>
          <cell r="U358">
            <v>0</v>
          </cell>
        </row>
        <row r="359">
          <cell r="A359" t="str">
            <v>B01G36ACAW</v>
          </cell>
          <cell r="B359" t="str">
            <v>NVT-KND-WnOpn-000</v>
          </cell>
          <cell r="C359" t="str">
            <v>红酒开瓶器套装</v>
          </cell>
          <cell r="D359" t="str">
            <v>Wine Opener</v>
          </cell>
          <cell r="E359" t="str">
            <v>=DISPIMG("ID_D007356CD98D46258059B6B9BF2BCCCB",1)</v>
          </cell>
          <cell r="F359" t="str">
            <v>厨房用具</v>
          </cell>
          <cell r="G359" t="str">
            <v>0.815</v>
          </cell>
          <cell r="H359" t="str">
            <v>22.0</v>
          </cell>
          <cell r="I359" t="str">
            <v>19.0</v>
          </cell>
          <cell r="J359" t="str">
            <v>5.5</v>
          </cell>
          <cell r="K359">
            <v>0.002299</v>
          </cell>
        </row>
        <row r="359">
          <cell r="P359" t="str">
            <v>X000J6MTT3</v>
          </cell>
          <cell r="Q359">
            <v>15.65</v>
          </cell>
          <cell r="R359">
            <v>236</v>
          </cell>
          <cell r="S359" t="e">
            <v>#DIV/0!</v>
          </cell>
          <cell r="T359">
            <v>0</v>
          </cell>
          <cell r="U359">
            <v>0</v>
          </cell>
        </row>
        <row r="360">
          <cell r="A360" t="str">
            <v>B07CKCBVSN</v>
          </cell>
          <cell r="B360" t="str">
            <v>WKL-CSJ-LEDSntHat-2PkKd</v>
          </cell>
          <cell r="C360" t="str">
            <v>圣诞老人帽</v>
          </cell>
          <cell r="D360" t="str">
            <v>Light Up Santa Hat with 20 LED Lights 2pk Kids Size</v>
          </cell>
          <cell r="E360" t="str">
            <v>=DISPIMG("ID_1A46A4C3F79B42C08947E841C47AA344",1)</v>
          </cell>
          <cell r="F360" t="str">
            <v>圣诞</v>
          </cell>
          <cell r="G360" t="str">
            <v>0.200</v>
          </cell>
          <cell r="H360" t="str">
            <v>28.2</v>
          </cell>
          <cell r="I360" t="str">
            <v>9.8</v>
          </cell>
          <cell r="J360" t="str">
            <v>20.2</v>
          </cell>
          <cell r="K360">
            <v>0.005582472</v>
          </cell>
        </row>
        <row r="360">
          <cell r="O360">
            <v>100</v>
          </cell>
          <cell r="P360" t="str">
            <v>X00182Y1OX</v>
          </cell>
          <cell r="Q360">
            <v>7.4</v>
          </cell>
          <cell r="R360">
            <v>225</v>
          </cell>
          <cell r="S360">
            <v>2.25</v>
          </cell>
          <cell r="T360">
            <v>0</v>
          </cell>
          <cell r="U360">
            <v>0</v>
          </cell>
        </row>
        <row r="361">
          <cell r="A361" t="str">
            <v>B07S25NCHB</v>
          </cell>
          <cell r="B361" t="str">
            <v>LAA-SAO-BbyTNS-2prWP24Mnth</v>
          </cell>
          <cell r="C361" t="str">
            <v>绞花针织紧身裤</v>
          </cell>
          <cell r="D361" t="str">
            <v>Baby Tights Non Skid 2 Pairs White &amp; Pink, 12-24 Months</v>
          </cell>
          <cell r="E361" t="str">
            <v>=DISPIMG("ID_0C3C79E3EA2F4CBE843FB514B404A1D0",1)</v>
          </cell>
          <cell r="F361" t="str">
            <v>衣物</v>
          </cell>
          <cell r="G361">
            <v>0.12</v>
          </cell>
          <cell r="H361">
            <v>14</v>
          </cell>
          <cell r="I361">
            <v>12</v>
          </cell>
          <cell r="J361">
            <v>6</v>
          </cell>
          <cell r="K361">
            <v>0.001008</v>
          </cell>
          <cell r="L361" t="str">
            <v>55*44*42</v>
          </cell>
          <cell r="M361">
            <v>10.6</v>
          </cell>
          <cell r="N361">
            <v>0.10164</v>
          </cell>
          <cell r="O361">
            <v>100</v>
          </cell>
          <cell r="P361" t="str">
            <v>789404063087,X0011N3TMJ</v>
          </cell>
          <cell r="Q361">
            <v>3.71</v>
          </cell>
          <cell r="R361">
            <v>210</v>
          </cell>
          <cell r="S361">
            <v>2.1</v>
          </cell>
          <cell r="T361">
            <v>0.213444</v>
          </cell>
          <cell r="U361">
            <v>0</v>
          </cell>
        </row>
        <row r="362">
          <cell r="A362" t="str">
            <v>B01BKU7B7I</v>
          </cell>
          <cell r="B362" t="str">
            <v>PWP-AZL-LEDBkL-WhM</v>
          </cell>
          <cell r="C362" t="str">
            <v>电视背光灯条</v>
          </cell>
          <cell r="D362" t="str">
            <v>LED Backlight White M</v>
          </cell>
          <cell r="E362" t="str">
            <v>=DISPIMG("ID_4925647C327B430D8C3FCDB3975A814A",1)</v>
          </cell>
          <cell r="F362" t="str">
            <v>工具</v>
          </cell>
          <cell r="G362" t="str">
            <v>0.2</v>
          </cell>
          <cell r="H362" t="str">
            <v>17.0</v>
          </cell>
          <cell r="I362" t="str">
            <v>15.0</v>
          </cell>
          <cell r="J362" t="str">
            <v>3.0</v>
          </cell>
          <cell r="K362">
            <v>0.000765</v>
          </cell>
        </row>
        <row r="362">
          <cell r="O362">
            <v>120</v>
          </cell>
          <cell r="P362" t="str">
            <v>855640004242</v>
          </cell>
          <cell r="Q362">
            <v>5.23</v>
          </cell>
          <cell r="R362">
            <v>200</v>
          </cell>
          <cell r="S362">
            <v>1.66666666666667</v>
          </cell>
          <cell r="T362">
            <v>0</v>
          </cell>
          <cell r="U362">
            <v>0</v>
          </cell>
        </row>
        <row r="363">
          <cell r="A363" t="str">
            <v>B07BH1LWCM</v>
          </cell>
          <cell r="B363" t="str">
            <v>UFL-SPO-ElbSleev-L-EU</v>
          </cell>
          <cell r="C363" t="str">
            <v>护膝</v>
          </cell>
          <cell r="D363" t="str">
            <v>Elbow Compression Sleeve Large EU</v>
          </cell>
          <cell r="E363" t="str">
            <v>=DISPIMG("ID_7D9278B4D64546689D4B3E10A42E58A1",1)</v>
          </cell>
          <cell r="F363" t="str">
            <v>健身</v>
          </cell>
          <cell r="G363" t="str">
            <v>0.050</v>
          </cell>
          <cell r="H363" t="str">
            <v>31.0</v>
          </cell>
          <cell r="I363" t="str">
            <v>0.8</v>
          </cell>
          <cell r="J363" t="str">
            <v>14.6</v>
          </cell>
          <cell r="K363">
            <v>0.00036208</v>
          </cell>
          <cell r="L363" t="str">
            <v>50*36.4*24.2</v>
          </cell>
          <cell r="M363">
            <v>8.7</v>
          </cell>
          <cell r="N363">
            <v>0.044044</v>
          </cell>
          <cell r="O363">
            <v>100</v>
          </cell>
          <cell r="P363" t="str">
            <v>X000TRKXIB</v>
          </cell>
          <cell r="Q363">
            <v>1.69</v>
          </cell>
          <cell r="R363">
            <v>200</v>
          </cell>
          <cell r="S363">
            <v>2</v>
          </cell>
          <cell r="T363">
            <v>0.088088</v>
          </cell>
          <cell r="U363">
            <v>0</v>
          </cell>
        </row>
        <row r="364">
          <cell r="A364" t="str">
            <v>B0CNS1ZC7K</v>
          </cell>
          <cell r="B364" t="str">
            <v>SSG-HHB-MlsRplcHd-8pkDe</v>
          </cell>
          <cell r="C364" t="str">
            <v>未知</v>
          </cell>
          <cell r="D364" t="str">
            <v>None</v>
          </cell>
          <cell r="E364" t="str">
            <v>=DISPIMG("ID_5EB0A1BE045845FAA7C1859145EECFA1",1)</v>
          </cell>
        </row>
        <row r="364">
          <cell r="O364">
            <v>200</v>
          </cell>
        </row>
        <row r="364">
          <cell r="Q364">
            <v>1.41</v>
          </cell>
          <cell r="R364">
            <v>200</v>
          </cell>
          <cell r="S364">
            <v>1</v>
          </cell>
          <cell r="T364">
            <v>0</v>
          </cell>
          <cell r="U364">
            <v>0</v>
          </cell>
        </row>
        <row r="365">
          <cell r="A365" t="str">
            <v>B07PK3ZM9X</v>
          </cell>
          <cell r="B365" t="str">
            <v>PLT-GAO-BchCsn-AlmWrBge</v>
          </cell>
          <cell r="C365" t="str">
            <v>长凳坐垫</v>
          </cell>
          <cell r="D365" t="str">
            <v>Cushion for Aluminium Bench Warm Beige</v>
          </cell>
          <cell r="E365" t="str">
            <v>=DISPIMG("ID_61D9413E197F41C5992F2714E6EC8D38",1)</v>
          </cell>
          <cell r="F365" t="str">
            <v>桌椅</v>
          </cell>
          <cell r="G365">
            <v>1.09</v>
          </cell>
          <cell r="H365">
            <v>42.7</v>
          </cell>
          <cell r="I365">
            <v>95</v>
          </cell>
          <cell r="J365">
            <v>5</v>
          </cell>
          <cell r="K365">
            <v>0.0202825</v>
          </cell>
          <cell r="L365" t="str">
            <v>43*97.5*52</v>
          </cell>
          <cell r="M365">
            <v>11</v>
          </cell>
          <cell r="N365">
            <v>0.21801</v>
          </cell>
          <cell r="O365">
            <v>10</v>
          </cell>
        </row>
        <row r="365">
          <cell r="Q365">
            <v>8.49</v>
          </cell>
          <cell r="R365">
            <v>197</v>
          </cell>
          <cell r="S365">
            <v>19.7</v>
          </cell>
          <cell r="T365">
            <v>4.294797</v>
          </cell>
          <cell r="U365">
            <v>0</v>
          </cell>
        </row>
        <row r="366">
          <cell r="A366" t="str">
            <v>B078949RR8</v>
          </cell>
          <cell r="B366" t="str">
            <v>PWP-AZL-LEDBkL-PROXL</v>
          </cell>
          <cell r="C366" t="str">
            <v>电视背光灯条</v>
          </cell>
          <cell r="D366" t="str">
            <v>LED Backlight Pro XL</v>
          </cell>
          <cell r="E366" t="str">
            <v>=DISPIMG("ID_9B409DE7E1F44A68A0CD116CFA8C41FA",1)</v>
          </cell>
          <cell r="F366" t="str">
            <v>工具</v>
          </cell>
        </row>
        <row r="366">
          <cell r="O366">
            <v>100</v>
          </cell>
          <cell r="P366" t="str">
            <v>855640004587</v>
          </cell>
          <cell r="Q366">
            <v>20.66</v>
          </cell>
          <cell r="R366">
            <v>190</v>
          </cell>
          <cell r="S366">
            <v>1.9</v>
          </cell>
          <cell r="T366">
            <v>0</v>
          </cell>
          <cell r="U366">
            <v>0</v>
          </cell>
        </row>
        <row r="367">
          <cell r="A367" t="str">
            <v>B075FBK4RR</v>
          </cell>
          <cell r="B367" t="str">
            <v>YHG-HOK-WdStHngrNs-Chy30pk</v>
          </cell>
          <cell r="C367" t="str">
            <v>天然木裙夹衣架</v>
          </cell>
          <cell r="D367" t="str">
            <v>Wooden Skirt Clamp Hangers Natural set of 10</v>
          </cell>
          <cell r="E367" t="str">
            <v>=DISPIMG("ID_8277504D36B64DE79B6A46C688884DDE",1)</v>
          </cell>
          <cell r="F367" t="str">
            <v>衣架</v>
          </cell>
          <cell r="G367" t="str">
            <v>1.500</v>
          </cell>
          <cell r="H367">
            <v>26</v>
          </cell>
          <cell r="I367">
            <v>25</v>
          </cell>
          <cell r="J367">
            <v>12.5</v>
          </cell>
          <cell r="K367">
            <v>0.008125</v>
          </cell>
        </row>
        <row r="367">
          <cell r="O367">
            <v>3</v>
          </cell>
        </row>
        <row r="367">
          <cell r="R367">
            <v>177</v>
          </cell>
          <cell r="S367">
            <v>59</v>
          </cell>
          <cell r="T367">
            <v>0</v>
          </cell>
          <cell r="U367">
            <v>0</v>
          </cell>
        </row>
        <row r="368">
          <cell r="A368" t="str">
            <v>B01LG99O0K</v>
          </cell>
          <cell r="B368" t="str">
            <v>PWP-AZL-LEDBkL-S</v>
          </cell>
          <cell r="C368" t="str">
            <v>电视背光灯条</v>
          </cell>
          <cell r="D368" t="str">
            <v>LED Backlight S</v>
          </cell>
          <cell r="E368" t="str">
            <v>=DISPIMG("ID_E71F531302734A65BFAC0081AC00147B",1)</v>
          </cell>
          <cell r="F368" t="str">
            <v>工具</v>
          </cell>
        </row>
        <row r="368">
          <cell r="O368">
            <v>120</v>
          </cell>
          <cell r="P368" t="str">
            <v>855640004334</v>
          </cell>
          <cell r="Q368">
            <v>6.56</v>
          </cell>
          <cell r="R368">
            <v>173</v>
          </cell>
          <cell r="S368">
            <v>1.44166666666667</v>
          </cell>
          <cell r="T368">
            <v>0</v>
          </cell>
          <cell r="U368">
            <v>0</v>
          </cell>
        </row>
        <row r="369">
          <cell r="A369" t="str">
            <v>B076X85988</v>
          </cell>
          <cell r="B369" t="str">
            <v>PWP-AZL-LEDBkL-XL</v>
          </cell>
          <cell r="C369" t="str">
            <v>电视背光灯条</v>
          </cell>
          <cell r="D369" t="str">
            <v>LED Backlight XL</v>
          </cell>
          <cell r="E369" t="str">
            <v>=DISPIMG("ID_FE5778FDC2A44F989AEA7086CC7D14BD",1)</v>
          </cell>
          <cell r="F369" t="str">
            <v>工具</v>
          </cell>
        </row>
        <row r="369">
          <cell r="O369">
            <v>120</v>
          </cell>
          <cell r="P369" t="str">
            <v>855640004563</v>
          </cell>
          <cell r="Q369">
            <v>14.62</v>
          </cell>
          <cell r="R369">
            <v>159</v>
          </cell>
          <cell r="S369">
            <v>1.325</v>
          </cell>
          <cell r="T369">
            <v>0</v>
          </cell>
          <cell r="U369">
            <v>0</v>
          </cell>
        </row>
        <row r="370">
          <cell r="A370" t="str">
            <v>B0871C5YRR</v>
          </cell>
          <cell r="B370" t="str">
            <v>LAA-SAO-BbyTNS-5prPWILG6Mnth</v>
          </cell>
          <cell r="C370" t="str">
            <v>棉质紧身裤</v>
          </cell>
          <cell r="D370" t="str">
            <v>Baby Tights 5 PairsNon Skid/ Pink/White/Ivory/Lavender/Grey, 3-6 Months</v>
          </cell>
          <cell r="E370" t="str">
            <v>=DISPIMG("ID_D5144518132841B0996E8B7D21AE83DC",1)</v>
          </cell>
          <cell r="F370" t="str">
            <v>衣物</v>
          </cell>
          <cell r="G370">
            <v>0.14</v>
          </cell>
          <cell r="H370">
            <v>15.2</v>
          </cell>
          <cell r="I370">
            <v>13</v>
          </cell>
          <cell r="J370">
            <v>7.2</v>
          </cell>
          <cell r="K370">
            <v>0.00142272</v>
          </cell>
          <cell r="L370" t="str">
            <v>54*44*42</v>
          </cell>
          <cell r="M370">
            <v>10.52</v>
          </cell>
          <cell r="N370">
            <v>0.099792</v>
          </cell>
          <cell r="O370">
            <v>50</v>
          </cell>
          <cell r="P370" t="str">
            <v>X00165B983</v>
          </cell>
          <cell r="Q370">
            <v>9.69</v>
          </cell>
          <cell r="R370">
            <v>150</v>
          </cell>
          <cell r="S370">
            <v>3</v>
          </cell>
          <cell r="T370">
            <v>0.299376</v>
          </cell>
          <cell r="U370">
            <v>0</v>
          </cell>
        </row>
        <row r="371">
          <cell r="A371" t="str">
            <v>B07PGXBFRX</v>
          </cell>
          <cell r="B371" t="str">
            <v>LAA-SAO-GrpSc-1prStlBlk/S</v>
          </cell>
          <cell r="C371" t="str">
            <v>抓地力踝袜</v>
          </cell>
          <cell r="D371" t="str">
            <v>Grip Socks 1 Pairs Stellar Black, Small</v>
          </cell>
          <cell r="E371" t="str">
            <v>=DISPIMG("ID_F15D0F5F471649C498E21281ED887699",1)</v>
          </cell>
          <cell r="F371" t="str">
            <v>衣物</v>
          </cell>
        </row>
        <row r="371">
          <cell r="P371" t="str">
            <v>789404063346</v>
          </cell>
          <cell r="Q371">
            <v>1.33</v>
          </cell>
          <cell r="R371">
            <v>150</v>
          </cell>
        </row>
        <row r="371">
          <cell r="T371">
            <v>0</v>
          </cell>
          <cell r="U371">
            <v>0</v>
          </cell>
        </row>
        <row r="372">
          <cell r="A372" t="str">
            <v>B01MROTI43</v>
          </cell>
          <cell r="B372" t="str">
            <v>GTL-HOK-VlvtBthRg-20x32Gry</v>
          </cell>
          <cell r="C372" t="str">
            <v>浴室地毯</v>
          </cell>
          <cell r="D372" t="str">
            <v>Velvet Memory Bathroom Rug Grey</v>
          </cell>
          <cell r="E372" t="str">
            <v>=DISPIMG("ID_0F907CA97264408284DA462029A77044",1)</v>
          </cell>
          <cell r="F372" t="str">
            <v>地垫</v>
          </cell>
          <cell r="G372" t="str">
            <v>0.363</v>
          </cell>
          <cell r="H372" t="str">
            <v>122.0</v>
          </cell>
          <cell r="I372" t="str">
            <v>43.1</v>
          </cell>
          <cell r="J372">
            <v>0.1</v>
          </cell>
          <cell r="K372">
            <v>0.00052582</v>
          </cell>
        </row>
        <row r="372">
          <cell r="P372" t="str">
            <v>642078960468</v>
          </cell>
        </row>
        <row r="372">
          <cell r="R372">
            <v>143</v>
          </cell>
        </row>
        <row r="372">
          <cell r="T372">
            <v>0</v>
          </cell>
          <cell r="U372">
            <v>0</v>
          </cell>
        </row>
        <row r="373">
          <cell r="A373" t="str">
            <v>B0198VDWMY</v>
          </cell>
          <cell r="B373" t="str">
            <v>PWP-SPO-LEDRope-10ft</v>
          </cell>
          <cell r="C373" t="str">
            <v>LED灯绳</v>
          </cell>
          <cell r="D373" t="str">
            <v>LED Light Rope 10 ft</v>
          </cell>
          <cell r="E373" t="str">
            <v>=DISPIMG("ID_022F0D1A135046BCAEE3988D8F87DE34",1)</v>
          </cell>
          <cell r="F373" t="str">
            <v>工具</v>
          </cell>
        </row>
        <row r="373">
          <cell r="P373" t="str">
            <v>855640004228</v>
          </cell>
          <cell r="Q373">
            <v>9.67</v>
          </cell>
          <cell r="R373">
            <v>135</v>
          </cell>
        </row>
        <row r="373">
          <cell r="T373">
            <v>0</v>
          </cell>
          <cell r="U373">
            <v>0</v>
          </cell>
        </row>
        <row r="374">
          <cell r="A374" t="str">
            <v>B01LR3O8SI</v>
          </cell>
          <cell r="B374" t="str">
            <v>PWP-AZL-LEDBkL-WhS</v>
          </cell>
          <cell r="C374" t="str">
            <v>电视背光灯条</v>
          </cell>
          <cell r="D374" t="str">
            <v>LED Backlight White S</v>
          </cell>
          <cell r="E374" t="str">
            <v>=DISPIMG("ID_A32EEE0A553D4F9C96AE44DF50D6BFEA",1)</v>
          </cell>
          <cell r="F374" t="str">
            <v>工具</v>
          </cell>
        </row>
        <row r="374">
          <cell r="O374">
            <v>120</v>
          </cell>
          <cell r="P374" t="str">
            <v>855640004372</v>
          </cell>
          <cell r="Q374">
            <v>2.29</v>
          </cell>
          <cell r="R374">
            <v>133</v>
          </cell>
          <cell r="S374">
            <v>1.10833333333333</v>
          </cell>
          <cell r="T374">
            <v>0</v>
          </cell>
          <cell r="U374">
            <v>0</v>
          </cell>
        </row>
        <row r="375">
          <cell r="A375" t="str">
            <v>B01E4Y2OTC</v>
          </cell>
          <cell r="B375" t="str">
            <v>HAR-BPC-NalNip-Thk-UK</v>
          </cell>
          <cell r="C375" t="str">
            <v>脚趾甲剪</v>
          </cell>
          <cell r="D375" t="str">
            <v>Clipper Toenail Think Nail</v>
          </cell>
          <cell r="E375" t="str">
            <v>=DISPIMG("ID_D4224B640E2847EFABBA07D2B6DB7CB5",1)</v>
          </cell>
        </row>
        <row r="375">
          <cell r="K375">
            <v>0</v>
          </cell>
        </row>
        <row r="375">
          <cell r="R375">
            <v>104</v>
          </cell>
        </row>
        <row r="375">
          <cell r="T375">
            <v>0</v>
          </cell>
          <cell r="U375">
            <v>0</v>
          </cell>
        </row>
        <row r="376">
          <cell r="A376" t="str">
            <v>B01AMOB3C2</v>
          </cell>
          <cell r="B376" t="str">
            <v>PWP-SPO-LEDRope-PLS5ft</v>
          </cell>
          <cell r="C376" t="str">
            <v>LED灯绳</v>
          </cell>
          <cell r="D376" t="str">
            <v>Lithium 4400 Battery Pack</v>
          </cell>
          <cell r="E376" t="str">
            <v>=DISPIMG("ID_ADDAAFD5F719468E9A10FF8154AF597A",1)</v>
          </cell>
          <cell r="F376" t="str">
            <v>工具</v>
          </cell>
          <cell r="G376" t="str">
            <v>0.35</v>
          </cell>
          <cell r="H376">
            <v>30</v>
          </cell>
          <cell r="I376">
            <v>16</v>
          </cell>
          <cell r="J376">
            <v>7</v>
          </cell>
          <cell r="K376">
            <v>0.00336</v>
          </cell>
          <cell r="L376" t="str">
            <v>45 * 43 * 45</v>
          </cell>
          <cell r="M376">
            <v>17.5</v>
          </cell>
          <cell r="N376">
            <v>0.087075</v>
          </cell>
          <cell r="O376">
            <v>50</v>
          </cell>
          <cell r="P376" t="str">
            <v>855640004211</v>
          </cell>
          <cell r="Q376">
            <v>16.43</v>
          </cell>
          <cell r="R376">
            <v>100</v>
          </cell>
          <cell r="S376">
            <v>2</v>
          </cell>
          <cell r="T376">
            <v>0.17415</v>
          </cell>
          <cell r="U376">
            <v>0</v>
          </cell>
        </row>
        <row r="377">
          <cell r="A377" t="str">
            <v>B08Q34XZVT</v>
          </cell>
          <cell r="B377" t="str">
            <v>LAA-SAO-AnkNw-ClrS6pk3Mnth</v>
          </cell>
          <cell r="C377" t="str">
            <v>抓地力踝袜</v>
          </cell>
          <cell r="D377" t="str">
            <v>AnkleNewborn - 0-3 mos (7cm) - Color Splash - 6 Pack</v>
          </cell>
          <cell r="E377" t="str">
            <v>=DISPIMG("ID_E228982C125940D4868CBE0DEC106AC5",1)</v>
          </cell>
          <cell r="F377" t="str">
            <v>衣物</v>
          </cell>
          <cell r="G377">
            <v>0.15</v>
          </cell>
          <cell r="H377">
            <v>14</v>
          </cell>
          <cell r="I377">
            <v>12</v>
          </cell>
          <cell r="J377">
            <v>7</v>
          </cell>
          <cell r="K377">
            <v>0.001176</v>
          </cell>
          <cell r="L377" t="str">
            <v>55*45*43</v>
          </cell>
          <cell r="M377">
            <v>15.6</v>
          </cell>
          <cell r="N377">
            <v>0.106425</v>
          </cell>
          <cell r="O377">
            <v>100</v>
          </cell>
        </row>
        <row r="377">
          <cell r="Q377">
            <v>3.18</v>
          </cell>
          <cell r="R377">
            <v>100</v>
          </cell>
          <cell r="S377">
            <v>1</v>
          </cell>
          <cell r="T377">
            <v>0.106425</v>
          </cell>
          <cell r="U377">
            <v>0</v>
          </cell>
        </row>
        <row r="378">
          <cell r="A378" t="str">
            <v>B07S384DFY</v>
          </cell>
          <cell r="B378" t="str">
            <v>LAA-SAO-BbyTNS-2prCN6Mnth</v>
          </cell>
          <cell r="C378" t="str">
            <v>绞花针织紧身裤</v>
          </cell>
          <cell r="D378" t="str">
            <v>Baby Tights 2 Pairs Non Skid/ Cream &amp; Navy, 3-6 Months</v>
          </cell>
          <cell r="E378" t="str">
            <v>=DISPIMG("ID_D1BFA4F1F6744CD69A7D343659EAF1D8",1)</v>
          </cell>
          <cell r="F378" t="str">
            <v>衣物</v>
          </cell>
        </row>
        <row r="378">
          <cell r="O378">
            <v>100</v>
          </cell>
          <cell r="P378" t="str">
            <v>789404063056</v>
          </cell>
          <cell r="Q378">
            <v>3.81</v>
          </cell>
          <cell r="R378">
            <v>100</v>
          </cell>
          <cell r="S378">
            <v>1</v>
          </cell>
          <cell r="T378">
            <v>0</v>
          </cell>
          <cell r="U378">
            <v>0</v>
          </cell>
        </row>
        <row r="379">
          <cell r="A379" t="str">
            <v>B08Q3PHW4Z</v>
          </cell>
          <cell r="B379" t="str">
            <v>LAA-SAO-BbyAth-by6pk3Mnth</v>
          </cell>
          <cell r="C379" t="str">
            <v>抓地力小腿袜</v>
          </cell>
          <cell r="D379" t="str">
            <v>LA Active Athletic Crew Grip Socks Non Slip SocksBoys - 6 Pairs 0-3 Months</v>
          </cell>
          <cell r="E379" t="str">
            <v>=DISPIMG("ID_5F9438D17A7B49FCA990D285D1731AED",1)</v>
          </cell>
          <cell r="F379" t="str">
            <v>衣物</v>
          </cell>
          <cell r="G379">
            <v>0.15</v>
          </cell>
          <cell r="H379">
            <v>14</v>
          </cell>
          <cell r="I379">
            <v>12</v>
          </cell>
          <cell r="J379">
            <v>7</v>
          </cell>
          <cell r="K379">
            <v>0.001176</v>
          </cell>
          <cell r="L379" t="str">
            <v>55*45*43</v>
          </cell>
          <cell r="M379">
            <v>15.6</v>
          </cell>
          <cell r="N379">
            <v>0.106425</v>
          </cell>
          <cell r="O379">
            <v>100</v>
          </cell>
        </row>
        <row r="379">
          <cell r="Q379">
            <v>3.02</v>
          </cell>
          <cell r="R379">
            <v>100</v>
          </cell>
          <cell r="S379">
            <v>1</v>
          </cell>
          <cell r="T379">
            <v>0.106425</v>
          </cell>
          <cell r="U379">
            <v>0</v>
          </cell>
        </row>
        <row r="380">
          <cell r="A380" t="str">
            <v>B08Q38VJXF</v>
          </cell>
          <cell r="B380" t="str">
            <v>LAA-SAO-AnkNw-Rnb6pk6Mnth</v>
          </cell>
          <cell r="C380" t="str">
            <v>抓地力踝袜</v>
          </cell>
          <cell r="D380" t="str">
            <v>AnkleNewborn - 3-6 mos (8.5cm) - Rainbow - 6 Pack</v>
          </cell>
          <cell r="E380" t="str">
            <v>=DISPIMG("ID_63F2DD74417A45EAB6CF0AD89898CF62",1)</v>
          </cell>
          <cell r="F380" t="str">
            <v>衣物</v>
          </cell>
          <cell r="G380">
            <v>0.15</v>
          </cell>
          <cell r="H380">
            <v>14</v>
          </cell>
          <cell r="I380">
            <v>12</v>
          </cell>
          <cell r="J380">
            <v>7</v>
          </cell>
          <cell r="K380">
            <v>0.001176</v>
          </cell>
          <cell r="L380" t="str">
            <v>55*45*43</v>
          </cell>
          <cell r="M380">
            <v>15.6</v>
          </cell>
          <cell r="N380">
            <v>0.106425</v>
          </cell>
          <cell r="O380">
            <v>100</v>
          </cell>
        </row>
        <row r="380">
          <cell r="Q380">
            <v>3.13</v>
          </cell>
          <cell r="R380">
            <v>100</v>
          </cell>
          <cell r="S380">
            <v>1</v>
          </cell>
          <cell r="T380">
            <v>0.106425</v>
          </cell>
          <cell r="U380">
            <v>0</v>
          </cell>
        </row>
        <row r="381">
          <cell r="A381" t="str">
            <v>B08Q3D23GH</v>
          </cell>
          <cell r="B381" t="str">
            <v>LAA-SAO-AnkNw-Pst6pk6Mnth</v>
          </cell>
          <cell r="C381" t="str">
            <v>抓地力踝袜</v>
          </cell>
          <cell r="D381" t="str">
            <v>AnkleNewborn - 3-6 mos (8.5cm) - Pastels - 6 Pack</v>
          </cell>
          <cell r="E381" t="str">
            <v>=DISPIMG("ID_1A3FED95C10A460A90223733AF2D41C7",1)</v>
          </cell>
          <cell r="F381" t="str">
            <v>衣物</v>
          </cell>
          <cell r="G381">
            <v>0.15</v>
          </cell>
          <cell r="H381">
            <v>14</v>
          </cell>
          <cell r="I381">
            <v>12</v>
          </cell>
          <cell r="J381">
            <v>7</v>
          </cell>
          <cell r="K381">
            <v>0.001176</v>
          </cell>
          <cell r="L381" t="str">
            <v>55*45*43</v>
          </cell>
          <cell r="M381">
            <v>15.6</v>
          </cell>
          <cell r="N381">
            <v>0.106425</v>
          </cell>
          <cell r="O381">
            <v>100</v>
          </cell>
        </row>
        <row r="381">
          <cell r="Q381">
            <v>3</v>
          </cell>
          <cell r="R381">
            <v>100</v>
          </cell>
          <cell r="S381">
            <v>1</v>
          </cell>
          <cell r="T381">
            <v>0.106425</v>
          </cell>
          <cell r="U381">
            <v>0</v>
          </cell>
        </row>
        <row r="382">
          <cell r="A382" t="str">
            <v>B08Q32LYY9</v>
          </cell>
          <cell r="B382" t="str">
            <v>LAA-SAO-CtnNs-5prBGVCB6/12Mnth</v>
          </cell>
          <cell r="C382" t="str">
            <v>棉质紧身裤</v>
          </cell>
          <cell r="D382" t="str">
            <v>LA Active Cotton Tights with Non-Slip Grip - Cozy Leggings for Baby, Toddlers and Kids Burgendy</v>
          </cell>
          <cell r="E382" t="str">
            <v>=DISPIMG("ID_510D1CB6FA5F4DD4A777779E8D211886",1)</v>
          </cell>
          <cell r="F382" t="str">
            <v>衣物</v>
          </cell>
        </row>
        <row r="382">
          <cell r="K382">
            <v>0</v>
          </cell>
        </row>
        <row r="382">
          <cell r="R382">
            <v>100</v>
          </cell>
        </row>
        <row r="382">
          <cell r="T382">
            <v>0</v>
          </cell>
          <cell r="U382">
            <v>0</v>
          </cell>
        </row>
        <row r="383">
          <cell r="A383" t="str">
            <v>B0871C8G3L</v>
          </cell>
          <cell r="B383" t="str">
            <v>LAA-SAO-BbyNS-6prBlk12Mnth</v>
          </cell>
          <cell r="C383" t="str">
            <v>抓地力踝袜</v>
          </cell>
          <cell r="D383" t="str">
            <v>BabyGrip 6 Pairs Non Slip Black, 6-12 Months</v>
          </cell>
          <cell r="E383" t="str">
            <v>=DISPIMG("ID_8433B70FBB0E468D8B8D950DFB6D77CE",1)</v>
          </cell>
          <cell r="F383" t="str">
            <v>衣物</v>
          </cell>
        </row>
        <row r="383">
          <cell r="O383">
            <v>100</v>
          </cell>
          <cell r="P383" t="e">
            <v>#N/A</v>
          </cell>
          <cell r="Q383">
            <v>3.66</v>
          </cell>
          <cell r="R383">
            <v>99</v>
          </cell>
          <cell r="S383">
            <v>0.99</v>
          </cell>
          <cell r="T383">
            <v>0</v>
          </cell>
          <cell r="U383">
            <v>0</v>
          </cell>
        </row>
        <row r="384">
          <cell r="A384" t="str">
            <v>B07S38ZZ35</v>
          </cell>
          <cell r="B384" t="str">
            <v>LAA-SAO-BbyTNS-2prWp6Mnth</v>
          </cell>
          <cell r="C384" t="str">
            <v>绞花针织紧身裤</v>
          </cell>
          <cell r="D384" t="str">
            <v>Baby Tights Non Skid 2 Pairs White &amp; Pink, 3-6 Months</v>
          </cell>
          <cell r="E384" t="str">
            <v>=DISPIMG("ID_2ADFBD09F81B459684A70E35B593DC6B",1)</v>
          </cell>
          <cell r="F384" t="str">
            <v>衣物</v>
          </cell>
          <cell r="G384">
            <v>0.1</v>
          </cell>
          <cell r="H384">
            <v>13</v>
          </cell>
          <cell r="I384">
            <v>8</v>
          </cell>
          <cell r="J384">
            <v>6</v>
          </cell>
          <cell r="K384">
            <v>0.000624</v>
          </cell>
          <cell r="L384" t="str">
            <v>58*50*33</v>
          </cell>
          <cell r="M384">
            <v>9.5</v>
          </cell>
          <cell r="N384">
            <v>0.0957</v>
          </cell>
          <cell r="O384">
            <v>100</v>
          </cell>
          <cell r="P384" t="str">
            <v>789404063049</v>
          </cell>
          <cell r="Q384">
            <v>3.58</v>
          </cell>
          <cell r="R384">
            <v>99</v>
          </cell>
          <cell r="S384">
            <v>0.99</v>
          </cell>
          <cell r="T384">
            <v>0.094743</v>
          </cell>
          <cell r="U384">
            <v>0</v>
          </cell>
        </row>
        <row r="385">
          <cell r="A385" t="str">
            <v>B00MSXW15E</v>
          </cell>
          <cell r="B385" t="str">
            <v>HCO-HOK-Cork1-RW</v>
          </cell>
          <cell r="C385" t="str">
            <v>多合一开瓶器</v>
          </cell>
          <cell r="D385" t="str">
            <v>Professional Waiter's Corkscrew by HiCoup - Rosewood Handle All-in-one Corkscrew, Bottle Opener and Foil Cutter, Used By Sommeliers, Waiters and Bartenders Around The World</v>
          </cell>
          <cell r="E385" t="str">
            <v>=DISPIMG("ID_6AD4086A95484C9095F95E28356CD512",1)</v>
          </cell>
        </row>
        <row r="385">
          <cell r="H385">
            <v>0</v>
          </cell>
        </row>
        <row r="385">
          <cell r="K385">
            <v>0</v>
          </cell>
        </row>
        <row r="385">
          <cell r="P385" t="e">
            <v>#N/A</v>
          </cell>
          <cell r="Q385" t="e">
            <v>#N/A</v>
          </cell>
          <cell r="R385">
            <v>99</v>
          </cell>
          <cell r="S385" t="e">
            <v>#DIV/0!</v>
          </cell>
          <cell r="T385">
            <v>0</v>
          </cell>
          <cell r="U385">
            <v>0</v>
          </cell>
        </row>
        <row r="386">
          <cell r="A386" t="str">
            <v>B088QM7W1R</v>
          </cell>
          <cell r="B386" t="str">
            <v>LAA-SAO-AnN-6prBoy3Mnth</v>
          </cell>
          <cell r="C386" t="str">
            <v>棉质短袜</v>
          </cell>
          <cell r="D386" t="str">
            <v>Anole Newborn 6 Pairs Boys, 0-3 Months</v>
          </cell>
          <cell r="E386" t="str">
            <v>=DISPIMG("ID_36708C6A18DA431B849BFBA4D3BE3E4A",1)</v>
          </cell>
          <cell r="F386" t="str">
            <v>衣物</v>
          </cell>
        </row>
        <row r="386">
          <cell r="O386">
            <v>100</v>
          </cell>
          <cell r="P386" t="e">
            <v>#N/A</v>
          </cell>
          <cell r="Q386">
            <v>2.83</v>
          </cell>
          <cell r="R386">
            <v>98</v>
          </cell>
          <cell r="S386">
            <v>0.98</v>
          </cell>
          <cell r="T386">
            <v>0</v>
          </cell>
          <cell r="U386">
            <v>0</v>
          </cell>
        </row>
        <row r="387">
          <cell r="A387" t="str">
            <v>B01DIKFVDE</v>
          </cell>
          <cell r="B387" t="str">
            <v>ELS-SPO-CkBag-BLU-UK</v>
          </cell>
          <cell r="C387" t="str">
            <v>双球防漏镁粉袋套装</v>
          </cell>
          <cell r="D387" t="str">
            <v>Chalk Ball Set Blue</v>
          </cell>
          <cell r="E387" t="str">
            <v>=DISPIMG("ID_841EDDBB2EA945C08F51DC80FFEA4C5A",1)</v>
          </cell>
        </row>
        <row r="387">
          <cell r="P387" t="e">
            <v>#N/A</v>
          </cell>
          <cell r="Q387" t="e">
            <v>#N/A</v>
          </cell>
          <cell r="R387">
            <v>96</v>
          </cell>
          <cell r="S387" t="e">
            <v>#DIV/0!</v>
          </cell>
          <cell r="T387">
            <v>0</v>
          </cell>
          <cell r="U387">
            <v>0</v>
          </cell>
        </row>
        <row r="388">
          <cell r="A388" t="str">
            <v>B07PKVW2X7</v>
          </cell>
          <cell r="B388" t="str">
            <v>PLT-GAO-DrtChr-SldWd</v>
          </cell>
          <cell r="C388" t="str">
            <v>硬木桌</v>
          </cell>
          <cell r="D388" t="str">
            <v>Super Sturdy Directors Hardwood Table</v>
          </cell>
          <cell r="E388" t="str">
            <v>=DISPIMG("ID_917A7CB7AF46461BA2E08D8CF2155453",1)</v>
          </cell>
          <cell r="F388" t="str">
            <v>桌椅</v>
          </cell>
        </row>
        <row r="388">
          <cell r="P388" t="e">
            <v>#N/A</v>
          </cell>
          <cell r="Q388">
            <v>55.1</v>
          </cell>
          <cell r="R388">
            <v>95</v>
          </cell>
          <cell r="S388" t="e">
            <v>#DIV/0!</v>
          </cell>
          <cell r="T388">
            <v>0</v>
          </cell>
          <cell r="U388">
            <v>0</v>
          </cell>
        </row>
        <row r="389">
          <cell r="A389" t="str">
            <v>B088JRLCCY</v>
          </cell>
          <cell r="B389" t="str">
            <v>LAA-SAO-ChCA-4prGrs4EU</v>
          </cell>
          <cell r="C389" t="str">
            <v>毛绒抓地小腿袜</v>
          </cell>
          <cell r="D389" t="str">
            <v>Chausettes Cocoon AntidÃt Gris x 4, 36-41 EU</v>
          </cell>
          <cell r="E389" t="str">
            <v>=DISPIMG("ID_C76394B3E8584382B06D587F00B7348F",1)</v>
          </cell>
          <cell r="F389" t="str">
            <v>衣物</v>
          </cell>
          <cell r="G389" t="str">
            <v>0.354</v>
          </cell>
          <cell r="H389" t="str">
            <v>21.8</v>
          </cell>
          <cell r="I389" t="str">
            <v>20.6</v>
          </cell>
          <cell r="J389" t="str">
            <v>6.2</v>
          </cell>
          <cell r="K389">
            <v>0.002784296</v>
          </cell>
        </row>
        <row r="389">
          <cell r="O389">
            <v>50</v>
          </cell>
          <cell r="P389" t="str">
            <v>X0016G18ID</v>
          </cell>
          <cell r="Q389">
            <v>5.12</v>
          </cell>
          <cell r="R389">
            <v>95</v>
          </cell>
          <cell r="S389">
            <v>1.9</v>
          </cell>
          <cell r="T389">
            <v>0</v>
          </cell>
          <cell r="U389">
            <v>0</v>
          </cell>
        </row>
        <row r="390">
          <cell r="A390" t="str">
            <v>B07MTPJ5XV</v>
          </cell>
          <cell r="B390" t="str">
            <v>GRB-CFA-PhnLanClsp-HtPk</v>
          </cell>
          <cell r="C390" t="str">
            <v>挂绳手机壳</v>
          </cell>
          <cell r="D390" t="str">
            <v>Cell Phone Lanyard with Breakaway Clasp Hot Pink</v>
          </cell>
          <cell r="E390" t="str">
            <v>=DISPIMG("ID_237DB4E9A6124DC08FD7AFAE96C44482",1)</v>
          </cell>
        </row>
        <row r="390">
          <cell r="K390">
            <v>0</v>
          </cell>
        </row>
        <row r="390">
          <cell r="P390" t="e">
            <v>#N/A</v>
          </cell>
          <cell r="Q390" t="e">
            <v>#N/A</v>
          </cell>
          <cell r="R390">
            <v>93</v>
          </cell>
          <cell r="S390" t="e">
            <v>#DIV/0!</v>
          </cell>
          <cell r="T390">
            <v>0</v>
          </cell>
          <cell r="U390">
            <v>0</v>
          </cell>
        </row>
        <row r="391">
          <cell r="A391" t="str">
            <v>B07HCPX5Q7</v>
          </cell>
          <cell r="B391" t="str">
            <v>KHM-BPC-NlClp-540</v>
          </cell>
          <cell r="C391" t="str">
            <v>指甲钳</v>
          </cell>
          <cell r="D391" t="str">
            <v>WHS-540L Nail Clipper with Rubber Grip Curved Wide Blade</v>
          </cell>
          <cell r="E391" t="str">
            <v>=DISPIMG("ID_45A3406F6303431DB88E83E59879D48A",1)</v>
          </cell>
        </row>
        <row r="391">
          <cell r="O391">
            <v>100</v>
          </cell>
          <cell r="P391" t="str">
            <v>792834856341</v>
          </cell>
          <cell r="Q391">
            <v>1.74</v>
          </cell>
          <cell r="R391">
            <v>88</v>
          </cell>
          <cell r="S391">
            <v>0.88</v>
          </cell>
          <cell r="T391">
            <v>0</v>
          </cell>
          <cell r="U391">
            <v>0</v>
          </cell>
        </row>
        <row r="392">
          <cell r="A392" t="str">
            <v>B088HHKJVD</v>
          </cell>
          <cell r="B392" t="str">
            <v>PLT-GAO-HiBkCsn-WrBge</v>
          </cell>
          <cell r="C392" t="str">
            <v>高背双人靠垫</v>
          </cell>
          <cell r="D392" t="str">
            <v>High Back Double Wumfy Cushion in Warm Beige</v>
          </cell>
          <cell r="E392" t="str">
            <v>=DISPIMG("ID_DEC4CEF21311455A96E14B0C9D82D91C",1)</v>
          </cell>
          <cell r="F392" t="str">
            <v>桌椅</v>
          </cell>
        </row>
        <row r="392">
          <cell r="O392">
            <v>5</v>
          </cell>
          <cell r="P392" t="e">
            <v>#N/A</v>
          </cell>
          <cell r="Q392">
            <v>27.04</v>
          </cell>
          <cell r="R392">
            <v>85</v>
          </cell>
          <cell r="S392">
            <v>17</v>
          </cell>
          <cell r="T392">
            <v>0</v>
          </cell>
          <cell r="U392">
            <v>0</v>
          </cell>
        </row>
        <row r="393">
          <cell r="A393" t="str">
            <v>B08Q2TT14F</v>
          </cell>
          <cell r="B393" t="str">
            <v>LAA-SAO-BbyTNs-2prVlt&amp;Ivy2T/3T</v>
          </cell>
          <cell r="C393" t="str">
            <v>绞花针织紧身裤</v>
          </cell>
          <cell r="D393" t="str">
            <v>LA Active Baby Tights - 2 Pairs - Non Skid/Slip Cable Knit Violet and Ivory 2T-3T</v>
          </cell>
          <cell r="E393" t="str">
            <v>=DISPIMG("ID_18C79F7691774840A06966FD4E7D95C3",1)</v>
          </cell>
          <cell r="F393" t="str">
            <v>衣物</v>
          </cell>
        </row>
        <row r="393">
          <cell r="P393" t="e">
            <v>#N/A</v>
          </cell>
          <cell r="Q393">
            <v>4.39</v>
          </cell>
          <cell r="R393">
            <v>84</v>
          </cell>
          <cell r="S393" t="e">
            <v>#DIV/0!</v>
          </cell>
          <cell r="T393">
            <v>0</v>
          </cell>
          <cell r="U393">
            <v>0</v>
          </cell>
        </row>
        <row r="394">
          <cell r="A394" t="str">
            <v>B07D6FZSBV</v>
          </cell>
          <cell r="B394" t="str">
            <v>LAA-SAO-BbyNs-2prNBlkHGry3yrs</v>
          </cell>
          <cell r="C394" t="str">
            <v>绞花针织紧身裤</v>
          </cell>
          <cell r="D394" t="str">
            <v>Baby 2 Pairs Non Slip Noire Black and Heather Grey, 2-3 Years</v>
          </cell>
          <cell r="E394" t="str">
            <v>=DISPIMG("ID_5552E925D00A41749A73528F3FE88D26",1)</v>
          </cell>
          <cell r="F394" t="str">
            <v>衣物</v>
          </cell>
        </row>
        <row r="394">
          <cell r="O394">
            <v>84</v>
          </cell>
          <cell r="P394" t="str">
            <v>789404063520</v>
          </cell>
          <cell r="Q394">
            <v>4.2</v>
          </cell>
          <cell r="R394">
            <v>84</v>
          </cell>
          <cell r="S394">
            <v>1</v>
          </cell>
          <cell r="T394">
            <v>0</v>
          </cell>
          <cell r="U394">
            <v>0</v>
          </cell>
        </row>
        <row r="395">
          <cell r="A395" t="str">
            <v>B07S5J34YQ</v>
          </cell>
          <cell r="B395" t="str">
            <v>LAA-SAO-BbyTNS-3prPWB6Mnth</v>
          </cell>
          <cell r="C395" t="str">
            <v>棉质紧身裤</v>
          </cell>
          <cell r="D395" t="str">
            <v>Baby Tights Non Skid 3 Pairs Pink/White/Black, 3-6 Months</v>
          </cell>
          <cell r="E395" t="str">
            <v>=DISPIMG("ID_A0CF3C51721446639B4E5D2B87C8BD84",1)</v>
          </cell>
          <cell r="F395" t="str">
            <v>衣物</v>
          </cell>
          <cell r="G395">
            <v>0.12</v>
          </cell>
          <cell r="H395">
            <v>13</v>
          </cell>
          <cell r="I395">
            <v>9</v>
          </cell>
          <cell r="J395">
            <v>8</v>
          </cell>
          <cell r="K395">
            <v>0.000936</v>
          </cell>
          <cell r="L395" t="str">
            <v>58*48*32</v>
          </cell>
          <cell r="M395">
            <v>12</v>
          </cell>
          <cell r="N395">
            <v>0.089088</v>
          </cell>
          <cell r="O395">
            <v>84</v>
          </cell>
          <cell r="P395" t="str">
            <v>789404063124</v>
          </cell>
          <cell r="Q395">
            <v>6.15</v>
          </cell>
          <cell r="R395">
            <v>84</v>
          </cell>
          <cell r="S395">
            <v>1</v>
          </cell>
          <cell r="T395">
            <v>0.089088</v>
          </cell>
          <cell r="U395">
            <v>0</v>
          </cell>
        </row>
        <row r="396">
          <cell r="A396" t="str">
            <v>B08Q3LCFDV</v>
          </cell>
          <cell r="B396" t="str">
            <v>LAA-SAO-CtnNs-3prPRI6/12Mnth</v>
          </cell>
          <cell r="C396" t="str">
            <v>棉质紧身裤</v>
          </cell>
          <cell r="D396" t="str">
            <v>LA Active Cotton Tights with Non-Slip Grip - Cozy Leggings for Baby, Toddlers and Kids Pink / Rose/Indigo- 3 Pairs, 6-12 Months</v>
          </cell>
          <cell r="E396" t="str">
            <v>=DISPIMG("ID_5ED9480EA2654BB3978DF410070E9AFB",1)</v>
          </cell>
          <cell r="F396" t="str">
            <v>衣物</v>
          </cell>
        </row>
        <row r="396">
          <cell r="P396" t="e">
            <v>#N/A</v>
          </cell>
          <cell r="Q396">
            <v>6.63</v>
          </cell>
          <cell r="R396">
            <v>82</v>
          </cell>
          <cell r="S396" t="e">
            <v>#DIV/0!</v>
          </cell>
          <cell r="T396">
            <v>0</v>
          </cell>
          <cell r="U396">
            <v>0</v>
          </cell>
        </row>
        <row r="397">
          <cell r="A397" t="str">
            <v>B08DXKNS57</v>
          </cell>
          <cell r="B397" t="str">
            <v>LAA-SAO-AthGs-6prGryS10yrs</v>
          </cell>
          <cell r="C397" t="str">
            <v>抓地力小腿袜</v>
          </cell>
          <cell r="D397" t="str">
            <v>Athletic Crew Grip Socks 6 Pairs Grayscale, 8-10 Years</v>
          </cell>
          <cell r="E397" t="str">
            <v>=DISPIMG("ID_9BD0EB1756364AE48A36762434632A27",1)</v>
          </cell>
          <cell r="F397" t="str">
            <v>衣物</v>
          </cell>
          <cell r="G397">
            <v>0.12</v>
          </cell>
          <cell r="H397">
            <v>12</v>
          </cell>
          <cell r="I397">
            <v>12</v>
          </cell>
          <cell r="J397">
            <v>7</v>
          </cell>
          <cell r="K397">
            <v>0.001008</v>
          </cell>
          <cell r="L397" t="str">
            <v>59*50*33</v>
          </cell>
          <cell r="M397">
            <v>11.1</v>
          </cell>
          <cell r="N397">
            <v>0.09735</v>
          </cell>
          <cell r="O397">
            <v>80</v>
          </cell>
          <cell r="P397" t="e">
            <v>#N/A</v>
          </cell>
          <cell r="Q397">
            <v>4.79</v>
          </cell>
          <cell r="R397">
            <v>80</v>
          </cell>
          <cell r="S397">
            <v>1</v>
          </cell>
          <cell r="T397">
            <v>0.09735</v>
          </cell>
          <cell r="U397">
            <v>0</v>
          </cell>
        </row>
        <row r="398">
          <cell r="A398" t="str">
            <v>B07NYZ3GVL</v>
          </cell>
          <cell r="B398" t="str">
            <v>PPC-OFP-NbJr2-B</v>
          </cell>
          <cell r="C398" t="str">
            <v>笔记本</v>
          </cell>
          <cell r="D398" t="str">
            <v>2 Pack Luxury Notebook Journal - 130 Perforated Pages - Thick Paper (120 gsm) - Lay Flat Design - 2 Bookmarks - Elastic Closure - Back Pocket, Set of 2, Softcover, Black (College Ruled)</v>
          </cell>
          <cell r="E398" t="str">
            <v>=DISPIMG("ID_87C0895594094ECE848CF6EEE101EB4A",1)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8">
          <cell r="P398" t="e">
            <v>#N/A</v>
          </cell>
          <cell r="Q398" t="e">
            <v>#N/A</v>
          </cell>
          <cell r="R398">
            <v>80</v>
          </cell>
          <cell r="S398" t="e">
            <v>#DIV/0!</v>
          </cell>
          <cell r="T398">
            <v>0</v>
          </cell>
          <cell r="U398">
            <v>0</v>
          </cell>
        </row>
        <row r="399">
          <cell r="A399" t="str">
            <v>B088QFYF4T</v>
          </cell>
          <cell r="B399" t="str">
            <v>PLT-GAO-FldFtStlCsn-ClNvy</v>
          </cell>
          <cell r="C399" t="str">
            <v>脚凳垫</v>
          </cell>
          <cell r="D399" t="str">
            <v>Footstool Cushion in Cool Navy</v>
          </cell>
          <cell r="E399" t="str">
            <v>=DISPIMG("ID_F136E86CBF5D4612826989BC4F394B0E",1)</v>
          </cell>
        </row>
        <row r="399">
          <cell r="O399">
            <v>20</v>
          </cell>
          <cell r="P399" t="e">
            <v>#N/A</v>
          </cell>
          <cell r="Q399">
            <v>11.68</v>
          </cell>
          <cell r="R399">
            <v>70</v>
          </cell>
          <cell r="S399">
            <v>3.5</v>
          </cell>
          <cell r="T399">
            <v>0</v>
          </cell>
          <cell r="U399">
            <v>0</v>
          </cell>
        </row>
        <row r="400">
          <cell r="A400" t="str">
            <v>B077XMRK9T</v>
          </cell>
          <cell r="B400" t="str">
            <v>DAT-APA-AFr1P-B</v>
          </cell>
          <cell r="C400" t="str">
            <v>汽车空气清新剂</v>
          </cell>
          <cell r="D400" t="str">
            <v>Natural Air Freshener by Drive</v>
          </cell>
          <cell r="E400" t="str">
            <v>=DISPIMG("ID_972D330CB38D4215A3A48DAB72337650",1)</v>
          </cell>
          <cell r="F400" t="str">
            <v>汽车</v>
          </cell>
          <cell r="G400" t="str">
            <v>0.210</v>
          </cell>
          <cell r="H400" t="str">
            <v>15.2</v>
          </cell>
          <cell r="I400" t="str">
            <v>13.2</v>
          </cell>
          <cell r="J400" t="str">
            <v>5.5</v>
          </cell>
          <cell r="K400">
            <v>0.00110352</v>
          </cell>
        </row>
        <row r="400">
          <cell r="O400">
            <v>20</v>
          </cell>
          <cell r="P400" t="str">
            <v>635635176945</v>
          </cell>
          <cell r="Q400">
            <v>2.31</v>
          </cell>
          <cell r="R400">
            <v>69</v>
          </cell>
          <cell r="S400">
            <v>3.45</v>
          </cell>
          <cell r="T400">
            <v>0</v>
          </cell>
          <cell r="U400">
            <v>0</v>
          </cell>
        </row>
        <row r="401">
          <cell r="A401" t="str">
            <v>B081XRYXT8</v>
          </cell>
          <cell r="B401" t="str">
            <v>LAA-SAO-GrpSc-2prJgryTBlk/S</v>
          </cell>
          <cell r="C401" t="str">
            <v>抓地力小腿袜</v>
          </cell>
          <cell r="D401" t="str">
            <v>Grip Socks 2 Pairs Jogger Grey and Tuxedo Black with Stripes, Small</v>
          </cell>
          <cell r="E401" t="str">
            <v>=DISPIMG("ID_AC71231863694922BCE30B25E672B6D5",1)</v>
          </cell>
          <cell r="F401" t="str">
            <v>衣物</v>
          </cell>
          <cell r="G401">
            <v>0.12</v>
          </cell>
          <cell r="H401">
            <v>18</v>
          </cell>
          <cell r="I401">
            <v>10</v>
          </cell>
          <cell r="J401">
            <v>5</v>
          </cell>
          <cell r="K401">
            <v>0.0009</v>
          </cell>
          <cell r="L401" t="str">
            <v>47*46*30</v>
          </cell>
          <cell r="M401">
            <v>9</v>
          </cell>
          <cell r="N401">
            <v>0.06486</v>
          </cell>
          <cell r="O401">
            <v>70</v>
          </cell>
          <cell r="P401" t="str">
            <v>300384100502,X00144NDMB</v>
          </cell>
          <cell r="Q401">
            <v>4.1</v>
          </cell>
          <cell r="R401">
            <v>60</v>
          </cell>
          <cell r="S401">
            <v>0.857142857142857</v>
          </cell>
          <cell r="T401">
            <v>0.0555942857142857</v>
          </cell>
          <cell r="U401">
            <v>0</v>
          </cell>
        </row>
        <row r="402">
          <cell r="A402" t="str">
            <v>B0119TNHZA</v>
          </cell>
          <cell r="B402" t="str">
            <v>PLT-GAO-BstCsn-Lux2set</v>
          </cell>
          <cell r="C402" t="str">
            <v>座垫</v>
          </cell>
          <cell r="D402" t="str">
            <v>Luxury Bistro Seat Cushion – Set of 2</v>
          </cell>
          <cell r="E402" t="str">
            <v>=DISPIMG("ID_74187E7732534DDFB3DD71FD22FEE509",1)</v>
          </cell>
        </row>
        <row r="402">
          <cell r="O402">
            <v>10</v>
          </cell>
          <cell r="P402" t="e">
            <v>#N/A</v>
          </cell>
          <cell r="Q402">
            <v>10.3</v>
          </cell>
          <cell r="R402">
            <v>53</v>
          </cell>
          <cell r="S402">
            <v>5.3</v>
          </cell>
          <cell r="T402">
            <v>0</v>
          </cell>
          <cell r="U402">
            <v>0</v>
          </cell>
        </row>
        <row r="403">
          <cell r="A403" t="str">
            <v>B0871CBVKD</v>
          </cell>
          <cell r="B403" t="str">
            <v>LAA-SAO-AthGs-12prWGB12Mnth</v>
          </cell>
          <cell r="C403" t="str">
            <v>抓地力小腿袜</v>
          </cell>
          <cell r="D403" t="str">
            <v>Athletic Crew Grip Socks 12 Pairs White/Grey/Black, 6-12 Months</v>
          </cell>
          <cell r="E403" t="str">
            <v>=DISPIMG("ID_75855AD99D4A467A92ADD89BC9AA2CE8",1)</v>
          </cell>
          <cell r="F403" t="str">
            <v>衣物</v>
          </cell>
        </row>
        <row r="403">
          <cell r="O403">
            <v>50</v>
          </cell>
          <cell r="P403" t="e">
            <v>#N/A</v>
          </cell>
          <cell r="Q403">
            <v>6.03</v>
          </cell>
          <cell r="R403">
            <v>50</v>
          </cell>
          <cell r="S403">
            <v>1</v>
          </cell>
          <cell r="T403">
            <v>0</v>
          </cell>
          <cell r="U403">
            <v>0</v>
          </cell>
        </row>
        <row r="404">
          <cell r="A404" t="str">
            <v>B07PKYTGW7</v>
          </cell>
          <cell r="B404" t="str">
            <v>LAA-SAO-GrpSc-4prStlBlkM</v>
          </cell>
          <cell r="C404" t="str">
            <v>抓地力踝袜</v>
          </cell>
          <cell r="D404" t="str">
            <v>Grip Socks 4 Pairs Stellar Black, Medium</v>
          </cell>
          <cell r="E404" t="str">
            <v>=DISPIMG("ID_425B7A07F4234E65B82C1C74F03395A1",1)</v>
          </cell>
          <cell r="F404" t="str">
            <v>衣物</v>
          </cell>
        </row>
        <row r="404">
          <cell r="O404">
            <v>50</v>
          </cell>
          <cell r="P404" t="str">
            <v>789404063315</v>
          </cell>
          <cell r="Q404">
            <v>4.72</v>
          </cell>
          <cell r="R404">
            <v>49</v>
          </cell>
          <cell r="S404">
            <v>0.98</v>
          </cell>
          <cell r="T404">
            <v>0</v>
          </cell>
          <cell r="U404">
            <v>0</v>
          </cell>
        </row>
        <row r="405">
          <cell r="A405" t="str">
            <v>B07PFQQVH4</v>
          </cell>
          <cell r="B405" t="str">
            <v>PLT-GAO-DrtChr-ClGry</v>
          </cell>
          <cell r="C405" t="str">
            <v>导演椅</v>
          </cell>
          <cell r="D405" t="str">
            <v>Super Sturdy Director's Chair in Cool Grey</v>
          </cell>
          <cell r="E405" t="str">
            <v>=DISPIMG("ID_044C997E24F540CCB7DE399C8797772D",1)</v>
          </cell>
          <cell r="F405" t="str">
            <v>桌椅</v>
          </cell>
          <cell r="G405">
            <v>7.9</v>
          </cell>
          <cell r="H405">
            <v>89.1</v>
          </cell>
          <cell r="I405">
            <v>51.4</v>
          </cell>
          <cell r="J405">
            <v>18.8</v>
          </cell>
          <cell r="K405">
            <v>0.086099112</v>
          </cell>
        </row>
        <row r="405">
          <cell r="P405" t="str">
            <v>5060236732408</v>
          </cell>
          <cell r="Q405">
            <v>40.16</v>
          </cell>
          <cell r="R405">
            <v>42</v>
          </cell>
          <cell r="S405" t="e">
            <v>#DIV/0!</v>
          </cell>
          <cell r="T405">
            <v>0</v>
          </cell>
          <cell r="U405">
            <v>0</v>
          </cell>
        </row>
        <row r="406">
          <cell r="A406" t="str">
            <v>B07Y9L5B9V</v>
          </cell>
          <cell r="B406" t="str">
            <v>LAA-SAO-BbyTNS-2prCN2T/3T</v>
          </cell>
          <cell r="C406" t="str">
            <v>绞花针织紧身裤</v>
          </cell>
          <cell r="D406" t="str">
            <v>Baby Tights 2 Pairs Non Skid/ Cream &amp; Navy, 2T-3T</v>
          </cell>
          <cell r="E406" t="str">
            <v>=DISPIMG("ID_B67ABF072061456A9FB1C51298924604",1)</v>
          </cell>
          <cell r="F406" t="str">
            <v>衣物</v>
          </cell>
        </row>
        <row r="406">
          <cell r="O406">
            <v>84</v>
          </cell>
          <cell r="P406" t="e">
            <v>#N/A</v>
          </cell>
          <cell r="Q406">
            <v>4.51</v>
          </cell>
          <cell r="R406">
            <v>41</v>
          </cell>
          <cell r="S406">
            <v>0.488095238095238</v>
          </cell>
          <cell r="T406">
            <v>0</v>
          </cell>
          <cell r="U406">
            <v>0</v>
          </cell>
        </row>
        <row r="407">
          <cell r="A407" t="str">
            <v>B076B5LT3T</v>
          </cell>
          <cell r="B407" t="str">
            <v>PWP-AZL-LEDShlf3pk-5000K</v>
          </cell>
          <cell r="C407" t="str">
            <v>推灯</v>
          </cell>
          <cell r="D407" t="str">
            <v>LED Shelf Lighting 3 pack 5000K</v>
          </cell>
          <cell r="E407" t="str">
            <v>=DISPIMG("ID_7F4FB93F7D554A4392B85552E023761A",1)</v>
          </cell>
        </row>
        <row r="407">
          <cell r="G407">
            <v>0.65</v>
          </cell>
          <cell r="H407">
            <v>23</v>
          </cell>
          <cell r="I407">
            <v>14</v>
          </cell>
          <cell r="J407">
            <v>8</v>
          </cell>
          <cell r="K407">
            <v>0.002576</v>
          </cell>
          <cell r="L407" t="str">
            <v>48*30*41</v>
          </cell>
          <cell r="M407">
            <v>13.7</v>
          </cell>
          <cell r="N407">
            <v>0.05904</v>
          </cell>
          <cell r="O407">
            <v>20</v>
          </cell>
          <cell r="P407" t="str">
            <v>855640004549</v>
          </cell>
          <cell r="Q407">
            <v>23.37</v>
          </cell>
          <cell r="R407">
            <v>36</v>
          </cell>
          <cell r="S407">
            <v>1.8</v>
          </cell>
          <cell r="T407">
            <v>0.106272</v>
          </cell>
          <cell r="U407">
            <v>0</v>
          </cell>
        </row>
        <row r="408">
          <cell r="A408" t="str">
            <v>B01N327DU1</v>
          </cell>
          <cell r="B408" t="str">
            <v>MDK-BPC-DBdPad-30pk</v>
          </cell>
          <cell r="C408" t="str">
            <v>一次性床垫</v>
          </cell>
          <cell r="D408" t="str">
            <v>HappyNites Disposable Bed Pads - 30 Pack</v>
          </cell>
          <cell r="E408" t="str">
            <v>=DISPIMG("ID_7B45FE979F0F46ACA21F7B3C61E8558E",1)</v>
          </cell>
        </row>
        <row r="408">
          <cell r="O408">
            <v>4</v>
          </cell>
          <cell r="P408" t="str">
            <v>641606999024</v>
          </cell>
          <cell r="Q408">
            <v>14.15</v>
          </cell>
          <cell r="R408">
            <v>34</v>
          </cell>
          <cell r="S408">
            <v>8.5</v>
          </cell>
          <cell r="T408">
            <v>0</v>
          </cell>
          <cell r="U408">
            <v>0</v>
          </cell>
        </row>
        <row r="409">
          <cell r="A409" t="str">
            <v>B07PLM6W2J</v>
          </cell>
          <cell r="B409" t="str">
            <v>MDK-BPC-DBdPad-72pk</v>
          </cell>
          <cell r="C409" t="str">
            <v>成人护垫</v>
          </cell>
          <cell r="D409" t="str">
            <v>Medokare Disposable Bed Pads - 72 pack</v>
          </cell>
          <cell r="E409" t="str">
            <v>=DISPIMG("ID_630551CCDD1841359FB34394DE067468",1)</v>
          </cell>
        </row>
        <row r="409">
          <cell r="O409">
            <v>2</v>
          </cell>
          <cell r="P409" t="str">
            <v>704831989939</v>
          </cell>
          <cell r="Q409">
            <v>41.23</v>
          </cell>
          <cell r="R409">
            <v>33</v>
          </cell>
          <cell r="S409">
            <v>16.5</v>
          </cell>
          <cell r="T409">
            <v>0</v>
          </cell>
          <cell r="U409">
            <v>0</v>
          </cell>
        </row>
        <row r="410">
          <cell r="A410" t="str">
            <v>B071S882FS</v>
          </cell>
          <cell r="B410" t="str">
            <v>GDL-ETC-DrWyAlmKt-2pk</v>
          </cell>
          <cell r="C410" t="str">
            <v>车道警报套件</v>
          </cell>
          <cell r="D410" t="str">
            <v>Wireless Driveway Alarm Kit 2 pack 500ft</v>
          </cell>
          <cell r="E410" t="str">
            <v>=DISPIMG("ID_DA95979D136C49CAA8B767DB50CA2474",1)</v>
          </cell>
        </row>
        <row r="410">
          <cell r="O410">
            <v>12</v>
          </cell>
          <cell r="P410" t="str">
            <v>753677310810</v>
          </cell>
          <cell r="Q410">
            <v>44.39</v>
          </cell>
          <cell r="R410">
            <v>32</v>
          </cell>
          <cell r="S410">
            <v>2.66666666666667</v>
          </cell>
          <cell r="T410">
            <v>0</v>
          </cell>
          <cell r="U410">
            <v>0</v>
          </cell>
        </row>
        <row r="411">
          <cell r="A411" t="str">
            <v>B081H1GX2J</v>
          </cell>
          <cell r="B411" t="str">
            <v>LAA-SAO-AthGs-6prClrS7yrs</v>
          </cell>
          <cell r="C411" t="str">
            <v>抓地力小腿袜</v>
          </cell>
          <cell r="D411" t="str">
            <v>Athletic Crew Grip Socks 6 Pairs Color Splash, 4-7 Years</v>
          </cell>
          <cell r="E411" t="str">
            <v>=DISPIMG("ID_ED044179E83840FA96287E40026693EA",1)</v>
          </cell>
          <cell r="F411" t="str">
            <v>衣物</v>
          </cell>
          <cell r="G411">
            <v>0.15</v>
          </cell>
          <cell r="H411">
            <v>14</v>
          </cell>
          <cell r="I411">
            <v>12</v>
          </cell>
          <cell r="J411">
            <v>7</v>
          </cell>
          <cell r="K411">
            <v>0.001176</v>
          </cell>
          <cell r="L411" t="str">
            <v>55*45*43</v>
          </cell>
          <cell r="M411">
            <v>15.6</v>
          </cell>
          <cell r="N411">
            <v>0.106425</v>
          </cell>
          <cell r="O411">
            <v>100</v>
          </cell>
          <cell r="P411" t="str">
            <v>300384100434</v>
          </cell>
          <cell r="Q411">
            <v>4.38</v>
          </cell>
          <cell r="R411">
            <v>28</v>
          </cell>
          <cell r="S411">
            <v>0.28</v>
          </cell>
          <cell r="T411">
            <v>0.029799</v>
          </cell>
          <cell r="U411">
            <v>0</v>
          </cell>
        </row>
        <row r="412">
          <cell r="A412" t="str">
            <v>B01E3EHRFY</v>
          </cell>
          <cell r="B412" t="str">
            <v>WOL-SPO-SglHmk-CgCr</v>
          </cell>
          <cell r="C412" t="str">
            <v>户外旅行装备</v>
          </cell>
          <cell r="D412" t="str">
            <v>Wise Owl Outfitters Hammock for Camping Single &amp; Double Hammocks Gear for The Outdoors Backpacking Survival or Travel - Portable Lightweight Parachute Nylon SO Charcoal &amp; Red</v>
          </cell>
          <cell r="E412" t="str">
            <v>=DISPIMG("ID_25550BF7780D4D61857A623FE6F8DA41",1)</v>
          </cell>
        </row>
        <row r="412">
          <cell r="P412" t="e">
            <v>#N/A</v>
          </cell>
          <cell r="Q412" t="e">
            <v>#N/A</v>
          </cell>
          <cell r="R412">
            <v>24</v>
          </cell>
          <cell r="S412" t="e">
            <v>#DIV/0!</v>
          </cell>
          <cell r="T412">
            <v>0</v>
          </cell>
          <cell r="U412">
            <v>0</v>
          </cell>
        </row>
        <row r="413">
          <cell r="A413" t="str">
            <v>B07TW2FYNV</v>
          </cell>
          <cell r="B413" t="str">
            <v>BCV-TOG-HovBalLed-2pk</v>
          </cell>
          <cell r="C413" t="str">
            <v>悬停足球</v>
          </cell>
          <cell r="D413" t="str">
            <v>Hover Soccer Ball with LED 2Pack</v>
          </cell>
          <cell r="E413" t="str">
            <v>=DISPIMG("ID_9F84C4E3A5634452955AAF935B50BCB5",1)</v>
          </cell>
        </row>
        <row r="413">
          <cell r="O413">
            <v>24</v>
          </cell>
          <cell r="P413" t="e">
            <v>#N/A</v>
          </cell>
          <cell r="Q413">
            <v>3.7</v>
          </cell>
          <cell r="R413">
            <v>24</v>
          </cell>
          <cell r="S413">
            <v>1</v>
          </cell>
          <cell r="T413">
            <v>0</v>
          </cell>
          <cell r="U413">
            <v>0</v>
          </cell>
        </row>
        <row r="414">
          <cell r="A414" t="str">
            <v>B07L6PTNN4</v>
          </cell>
          <cell r="B414" t="str">
            <v>BGH-KND-PtHldPr-Red</v>
          </cell>
          <cell r="C414" t="str">
            <v>厨房保护手套</v>
          </cell>
          <cell r="D414" t="str">
            <v>Pot Holders Pair Red</v>
          </cell>
          <cell r="E414" t="str">
            <v>=DISPIMG("ID_6C5D47A2F1B744239D49E6C6476F2D99",1)</v>
          </cell>
        </row>
        <row r="414">
          <cell r="K414">
            <v>0</v>
          </cell>
        </row>
        <row r="414">
          <cell r="P414" t="e">
            <v>#N/A</v>
          </cell>
          <cell r="Q414" t="e">
            <v>#N/A</v>
          </cell>
          <cell r="R414">
            <v>24</v>
          </cell>
          <cell r="S414" t="e">
            <v>#DIV/0!</v>
          </cell>
          <cell r="T414">
            <v>0</v>
          </cell>
          <cell r="U414">
            <v>0</v>
          </cell>
        </row>
        <row r="415">
          <cell r="A415" t="str">
            <v>B07H5M5R96</v>
          </cell>
          <cell r="B415" t="str">
            <v>QLT-HOK-WB6080F15LB-AQU</v>
          </cell>
          <cell r="C415" t="str">
            <v>加重毯子和被套</v>
          </cell>
          <cell r="D415" t="str">
            <v>Weighted Blanket- 15 lbs - 60"x80" Full Size Bed, Aqua</v>
          </cell>
          <cell r="E415" t="str">
            <v>=DISPIMG("ID_C68858CEA3B1465B960A0E782E370305",1)</v>
          </cell>
        </row>
        <row r="415">
          <cell r="L415" t="str">
            <v>50*41*29</v>
          </cell>
        </row>
        <row r="415">
          <cell r="O415">
            <v>2</v>
          </cell>
          <cell r="P415" t="str">
            <v>850017233799</v>
          </cell>
          <cell r="Q415">
            <v>52.07</v>
          </cell>
          <cell r="R415">
            <v>22</v>
          </cell>
          <cell r="S415">
            <v>11</v>
          </cell>
          <cell r="T415">
            <v>0</v>
          </cell>
          <cell r="U415">
            <v>0</v>
          </cell>
        </row>
        <row r="416">
          <cell r="A416" t="str">
            <v>B07BY9PTS6</v>
          </cell>
          <cell r="B416" t="str">
            <v>PLT-GAO-GrdSfa-Cshn</v>
          </cell>
          <cell r="C416" t="str">
            <v>扶手椅带靠垫</v>
          </cell>
          <cell r="D416" t="str">
            <v>Hardwood Garden Sofa Armchair with Cushion included</v>
          </cell>
          <cell r="E416" t="str">
            <v>=DISPIMG("ID_2091A22BAA3F48E8A329E56DDA047B25",1)</v>
          </cell>
        </row>
        <row r="416">
          <cell r="J416">
            <v>0</v>
          </cell>
          <cell r="K416">
            <v>0</v>
          </cell>
        </row>
        <row r="416">
          <cell r="P416" t="e">
            <v>#N/A</v>
          </cell>
          <cell r="Q416" t="e">
            <v>#N/A</v>
          </cell>
          <cell r="R416">
            <v>22</v>
          </cell>
          <cell r="S416" t="e">
            <v>#DIV/0!</v>
          </cell>
          <cell r="T416">
            <v>0</v>
          </cell>
          <cell r="U416">
            <v>0</v>
          </cell>
        </row>
        <row r="417">
          <cell r="A417" t="str">
            <v>B088JVMLST</v>
          </cell>
          <cell r="B417" t="str">
            <v>LAA-SAO-FuzNs-MBlkDGryL/XL</v>
          </cell>
          <cell r="C417" t="str">
            <v>毛绒抓地小腿袜</v>
          </cell>
          <cell r="D417" t="str">
            <v>Fuzzy Non-Slip Socks Midnight Black and Dove Grey,L/XL</v>
          </cell>
          <cell r="E417" t="str">
            <v>=DISPIMG("ID_C89C0408A7DC4B6AA08181B6CF346814",1)</v>
          </cell>
          <cell r="F417" t="str">
            <v>衣物</v>
          </cell>
        </row>
        <row r="417">
          <cell r="O417">
            <v>50</v>
          </cell>
          <cell r="P417" t="e">
            <v>#N/A</v>
          </cell>
          <cell r="Q417">
            <v>5.13</v>
          </cell>
          <cell r="R417">
            <v>21</v>
          </cell>
          <cell r="S417">
            <v>0.42</v>
          </cell>
          <cell r="T417">
            <v>0</v>
          </cell>
          <cell r="U417">
            <v>0</v>
          </cell>
        </row>
        <row r="418">
          <cell r="A418" t="str">
            <v>B07PKGT1CV</v>
          </cell>
          <cell r="B418" t="str">
            <v>PLT-GAO-FldBst-FlAsmbl</v>
          </cell>
          <cell r="C418" t="str">
            <v>折叠硬木露台小酒馆套装</v>
          </cell>
          <cell r="D418" t="str">
            <v>Folding Hardwood Patio Bistro Set - Fully Assembled</v>
          </cell>
          <cell r="E418" t="str">
            <v>=DISPIMG("ID_749C6A001E0A479AA64A2AE51FF38E2A",1)</v>
          </cell>
          <cell r="F418" t="str">
            <v>桌椅</v>
          </cell>
        </row>
        <row r="418">
          <cell r="P418" t="str">
            <v>5060236732279</v>
          </cell>
          <cell r="Q418">
            <v>56.98</v>
          </cell>
          <cell r="R418">
            <v>17</v>
          </cell>
          <cell r="S418" t="e">
            <v>#DIV/0!</v>
          </cell>
          <cell r="T418">
            <v>0</v>
          </cell>
          <cell r="U418">
            <v>0</v>
          </cell>
        </row>
        <row r="419">
          <cell r="A419" t="str">
            <v>B07RLS9ZYK</v>
          </cell>
          <cell r="B419" t="str">
            <v>YHG-KND-TvlGlsJr-1612pk</v>
          </cell>
          <cell r="C419" t="str">
            <v>玻璃饮水罐</v>
          </cell>
          <cell r="D419" t="str">
            <v>Travel Glass Drinking Bottle Mason Jar 16 Ounce [12Pack] BPA-Free Plastic Airtight Lids</v>
          </cell>
          <cell r="E419" t="str">
            <v>=DISPIMG("ID_91D8C41112314DCC91F609E030F397F3",1)</v>
          </cell>
          <cell r="F419" t="str">
            <v>厨房用具</v>
          </cell>
        </row>
        <row r="419">
          <cell r="O419">
            <v>4</v>
          </cell>
          <cell r="P419" t="str">
            <v>733960781497</v>
          </cell>
          <cell r="Q419">
            <v>7.27</v>
          </cell>
          <cell r="R419">
            <v>16</v>
          </cell>
          <cell r="S419">
            <v>4</v>
          </cell>
          <cell r="T419">
            <v>0</v>
          </cell>
          <cell r="U419">
            <v>0</v>
          </cell>
        </row>
        <row r="420">
          <cell r="A420" t="str">
            <v>B088QTFR27</v>
          </cell>
          <cell r="B420" t="str">
            <v>EDU-BSS-FshMgKtJr330</v>
          </cell>
          <cell r="C420" t="str">
            <v>磁铁钓鱼套件</v>
          </cell>
          <cell r="D420" t="str">
            <v>Fish Magnet Kit Junior 330Lb Includes Gloves, Rope, Carabiner, Waterproof Bag</v>
          </cell>
          <cell r="E420" t="str">
            <v>=DISPIMG("ID_4898482C30E54ECCAE2474CEA6992039",1)</v>
          </cell>
        </row>
        <row r="420">
          <cell r="O420">
            <v>15</v>
          </cell>
          <cell r="P420" t="str">
            <v>723707414900</v>
          </cell>
          <cell r="Q420">
            <v>8.58</v>
          </cell>
          <cell r="R420">
            <v>15</v>
          </cell>
          <cell r="S420">
            <v>1</v>
          </cell>
          <cell r="T420">
            <v>0</v>
          </cell>
          <cell r="U420">
            <v>0</v>
          </cell>
        </row>
        <row r="421">
          <cell r="A421" t="str">
            <v>B075CWS5QK</v>
          </cell>
          <cell r="B421" t="str">
            <v>NLK-KND-TwtWskyGls-2pk</v>
          </cell>
          <cell r="C421" t="str">
            <v>威士忌杯</v>
          </cell>
          <cell r="D421" t="str">
            <v>Twist Whiskey Glasses 2pk</v>
          </cell>
          <cell r="E421" t="str">
            <v>=DISPIMG("ID_6B7070D8E7F840D28321BE8E9814462A",1)</v>
          </cell>
          <cell r="F421" t="str">
            <v>厨房用具</v>
          </cell>
          <cell r="G421">
            <v>1.2</v>
          </cell>
          <cell r="H421">
            <v>24</v>
          </cell>
          <cell r="I421">
            <v>13</v>
          </cell>
          <cell r="J421">
            <v>11</v>
          </cell>
          <cell r="K421">
            <v>0.003432</v>
          </cell>
          <cell r="L421" t="str">
            <v>50*36*29</v>
          </cell>
          <cell r="M421">
            <v>15</v>
          </cell>
          <cell r="N421">
            <v>0.0522</v>
          </cell>
          <cell r="O421">
            <v>10</v>
          </cell>
          <cell r="P421" t="str">
            <v>45924092106</v>
          </cell>
          <cell r="Q421">
            <v>8.01</v>
          </cell>
          <cell r="R421">
            <v>15</v>
          </cell>
          <cell r="S421">
            <v>1.5</v>
          </cell>
          <cell r="T421">
            <v>0.0783</v>
          </cell>
          <cell r="U421">
            <v>0</v>
          </cell>
        </row>
        <row r="422">
          <cell r="A422" t="str">
            <v>B08464P8LW</v>
          </cell>
          <cell r="B422" t="str">
            <v>YHG-HOK-PrWrthStrgBg-30Blk1</v>
          </cell>
          <cell r="C422" t="str">
            <v>花环收纳袋</v>
          </cell>
          <cell r="D422" t="str">
            <v>STORAGE BAG</v>
          </cell>
          <cell r="E422" t="str">
            <v>=DISPIMG("ID_2761BBBFB5BF411EA01A10BABA8AAF9E",1)</v>
          </cell>
          <cell r="F422" t="str">
            <v>圣诞</v>
          </cell>
        </row>
        <row r="422">
          <cell r="O422">
            <v>18</v>
          </cell>
          <cell r="P422" t="str">
            <v>810158036291</v>
          </cell>
          <cell r="Q422">
            <v>3.84</v>
          </cell>
          <cell r="R422">
            <v>14</v>
          </cell>
          <cell r="S422">
            <v>0.777777777777778</v>
          </cell>
          <cell r="T422">
            <v>0</v>
          </cell>
          <cell r="U422">
            <v>0</v>
          </cell>
        </row>
        <row r="423">
          <cell r="A423" t="str">
            <v>B015LWEUOS</v>
          </cell>
          <cell r="B423" t="str">
            <v>PLT-GAO-WrkStn-3Utnsl</v>
          </cell>
          <cell r="C423" t="str">
            <v>烧烤木制工作站</v>
          </cell>
          <cell r="D423" t="str">
            <v>Barbecue Wooden Work Station - Includes 3 BBQ Utensils</v>
          </cell>
          <cell r="E423" t="str">
            <v>=DISPIMG("ID_C18C4E08531E4A92B1E4BF5F3EFF799D",1)</v>
          </cell>
        </row>
        <row r="423">
          <cell r="O423">
            <v>7</v>
          </cell>
          <cell r="P423" t="e">
            <v>#N/A</v>
          </cell>
          <cell r="Q423">
            <v>59.55</v>
          </cell>
          <cell r="R423">
            <v>9</v>
          </cell>
          <cell r="S423">
            <v>1.28571428571429</v>
          </cell>
          <cell r="T423">
            <v>0</v>
          </cell>
          <cell r="U423">
            <v>0</v>
          </cell>
        </row>
        <row r="424">
          <cell r="A424" t="str">
            <v>B08Y381NJJ</v>
          </cell>
          <cell r="B424" t="str">
            <v>YHG-KND-StlTrvlMg-Tqse2pk</v>
          </cell>
          <cell r="C424" t="str">
            <v>保温咖啡杯</v>
          </cell>
          <cell r="D424" t="str">
            <v>Stainless Steel Travel Coffee Mug Turquoise 2Pack</v>
          </cell>
          <cell r="E424" t="str">
            <v>=DISPIMG("ID_D7F1986D5F1F4EDBB97C2B42ED15CC7E",1)</v>
          </cell>
          <cell r="F424" t="str">
            <v>水瓶</v>
          </cell>
        </row>
        <row r="424">
          <cell r="O424">
            <v>12</v>
          </cell>
          <cell r="P424" t="str">
            <v>810158038172</v>
          </cell>
          <cell r="Q424">
            <v>6.64</v>
          </cell>
          <cell r="R424">
            <v>10</v>
          </cell>
          <cell r="S424">
            <v>0.833333333333333</v>
          </cell>
          <cell r="T424">
            <v>0</v>
          </cell>
          <cell r="U424">
            <v>0</v>
          </cell>
        </row>
        <row r="425">
          <cell r="A425" t="str">
            <v>B07RL93ZDG</v>
          </cell>
          <cell r="B425" t="str">
            <v>YHG-HOK-PltRlChrsTreBg-75Red</v>
          </cell>
          <cell r="C425" t="str">
            <v>圣诞树收纳袋</v>
          </cell>
          <cell r="D425" t="str">
            <v>ROLLING STORAGE BAG</v>
          </cell>
          <cell r="E425" t="str">
            <v>=DISPIMG("ID_446D564E44DB41D7A0D2C4B9C9EFB28D",1)</v>
          </cell>
          <cell r="F425" t="str">
            <v>圣诞</v>
          </cell>
          <cell r="G425" t="str">
            <v>1.400</v>
          </cell>
          <cell r="H425">
            <v>38.6</v>
          </cell>
          <cell r="I425" t="str">
            <v>8.7</v>
          </cell>
          <cell r="J425" t="str">
            <v>32.7</v>
          </cell>
          <cell r="K425">
            <v>0.010981314</v>
          </cell>
        </row>
        <row r="425">
          <cell r="O425">
            <v>6</v>
          </cell>
          <cell r="P425" t="str">
            <v>810158032590</v>
          </cell>
          <cell r="Q425">
            <v>5.34</v>
          </cell>
          <cell r="R425">
            <v>8</v>
          </cell>
          <cell r="S425">
            <v>1.33333333333333</v>
          </cell>
          <cell r="T425">
            <v>0</v>
          </cell>
          <cell r="U425">
            <v>0</v>
          </cell>
        </row>
        <row r="426">
          <cell r="A426" t="str">
            <v>B088D9C8RR</v>
          </cell>
          <cell r="B426" t="str">
            <v>PLT-GAO-HiBkCsn-Grn</v>
          </cell>
          <cell r="C426" t="str">
            <v>高背双垫</v>
          </cell>
          <cell r="D426" t="str">
            <v>High Back Double Cushion Green</v>
          </cell>
          <cell r="E426" t="str">
            <v>=DISPIMG("ID_687CCD009D4F47C29AD8C54B00007EBF",1)</v>
          </cell>
        </row>
        <row r="426">
          <cell r="O426">
            <v>5</v>
          </cell>
          <cell r="P426" t="e">
            <v>#N/A</v>
          </cell>
          <cell r="Q426">
            <v>24.1</v>
          </cell>
          <cell r="R426">
            <v>7</v>
          </cell>
          <cell r="S426">
            <v>1.4</v>
          </cell>
          <cell r="T426">
            <v>0</v>
          </cell>
          <cell r="U426">
            <v>0</v>
          </cell>
        </row>
        <row r="427">
          <cell r="A427" t="str">
            <v>B074C3TMGM</v>
          </cell>
          <cell r="B427" t="str">
            <v>PRM-HHB-FbrTwl-3setNv</v>
          </cell>
          <cell r="C427" t="str">
            <v>超细纤维毛巾</v>
          </cell>
          <cell r="D427" t="str">
            <v>Microfiber Towels Set Navy</v>
          </cell>
          <cell r="E427" t="str">
            <v>=DISPIMG("ID_CCC27A3754E246DDBE9CC8CD65EA6F17",1)</v>
          </cell>
        </row>
        <row r="427">
          <cell r="O427">
            <v>50</v>
          </cell>
          <cell r="P427" t="str">
            <v>850030330093</v>
          </cell>
          <cell r="Q427">
            <v>4.2</v>
          </cell>
          <cell r="R427">
            <v>7</v>
          </cell>
          <cell r="S427">
            <v>0.14</v>
          </cell>
          <cell r="T427">
            <v>0</v>
          </cell>
          <cell r="U427">
            <v>0</v>
          </cell>
        </row>
        <row r="428">
          <cell r="A428" t="str">
            <v>B08CRY952J</v>
          </cell>
          <cell r="B428" t="str">
            <v>YHG-HOK-OrnSrtgBx-3120Gry</v>
          </cell>
          <cell r="C428" t="str">
            <v>饰品收纳</v>
          </cell>
          <cell r="D428" t="str">
            <v>STORAGE BOX</v>
          </cell>
          <cell r="E428" t="str">
            <v>=DISPIMG("ID_3A5D038E86204F5BA3BBE1C2485B7BA9",1)</v>
          </cell>
          <cell r="F428" t="str">
            <v>圣诞</v>
          </cell>
        </row>
        <row r="428">
          <cell r="O428">
            <v>6</v>
          </cell>
          <cell r="P428" t="str">
            <v>810158036994</v>
          </cell>
          <cell r="Q428">
            <v>8.47</v>
          </cell>
          <cell r="R428">
            <v>5</v>
          </cell>
          <cell r="S428">
            <v>0.833333333333333</v>
          </cell>
          <cell r="T428">
            <v>0</v>
          </cell>
          <cell r="U428">
            <v>0</v>
          </cell>
        </row>
        <row r="429">
          <cell r="A429" t="str">
            <v>B081XXQ6XB</v>
          </cell>
          <cell r="B429" t="str">
            <v>LAA-SAO-GrpSc-5prTBlK/XL</v>
          </cell>
          <cell r="C429" t="str">
            <v>抓地力小腿袜</v>
          </cell>
          <cell r="D429" t="str">
            <v>Grip Socks 5 Pairs Tuxedo Black, XL</v>
          </cell>
          <cell r="E429" t="str">
            <v>=DISPIMG("ID_9670A8F0304C4C0D99A34CA12156897F",1)</v>
          </cell>
          <cell r="F429" t="str">
            <v>衣物</v>
          </cell>
        </row>
        <row r="429">
          <cell r="O429">
            <v>25</v>
          </cell>
          <cell r="P429" t="str">
            <v>300384100687</v>
          </cell>
          <cell r="Q429">
            <v>9.8</v>
          </cell>
          <cell r="R429">
            <v>5</v>
          </cell>
          <cell r="S429">
            <v>0.2</v>
          </cell>
          <cell r="T429">
            <v>0</v>
          </cell>
          <cell r="U429">
            <v>0</v>
          </cell>
        </row>
        <row r="430">
          <cell r="A430" t="str">
            <v>B088H3S6M3</v>
          </cell>
          <cell r="B430" t="str">
            <v>ACP-PET-DgStCvrD-Bblu</v>
          </cell>
          <cell r="C430" t="str">
            <v>狗用汽车座椅套</v>
          </cell>
          <cell r="D430" t="str">
            <v>Dog Seat Cover Extra Durable Black-Blue</v>
          </cell>
          <cell r="E430" t="str">
            <v>=DISPIMG("ID_6A5291FF6BA34EF985B5719C22D51402",1)</v>
          </cell>
        </row>
        <row r="430">
          <cell r="P430" t="e">
            <v>#N/A</v>
          </cell>
          <cell r="Q430" t="e">
            <v>#N/A</v>
          </cell>
          <cell r="R430">
            <v>5</v>
          </cell>
          <cell r="S430" t="e">
            <v>#DIV/0!</v>
          </cell>
          <cell r="T430">
            <v>0</v>
          </cell>
          <cell r="U430">
            <v>0</v>
          </cell>
        </row>
        <row r="431">
          <cell r="A431" t="str">
            <v>B076B4QYPD</v>
          </cell>
          <cell r="B431" t="str">
            <v>PWP-AZL-LEDShlf3pk-2700K</v>
          </cell>
          <cell r="C431" t="str">
            <v>推灯</v>
          </cell>
          <cell r="D431" t="str">
            <v>LED Shelf Lighting 3 pack 2700K</v>
          </cell>
          <cell r="E431" t="str">
            <v>=DISPIMG("ID_7DC70F9F9CB14A26BBBE3BF6407E5B67",1)</v>
          </cell>
        </row>
        <row r="431">
          <cell r="G431">
            <v>0.65</v>
          </cell>
          <cell r="H431">
            <v>23</v>
          </cell>
          <cell r="I431">
            <v>14</v>
          </cell>
          <cell r="J431">
            <v>8</v>
          </cell>
          <cell r="K431">
            <v>0.002576</v>
          </cell>
          <cell r="L431" t="str">
            <v>48*29*42</v>
          </cell>
          <cell r="M431">
            <v>13.7</v>
          </cell>
          <cell r="N431">
            <v>0.058464</v>
          </cell>
          <cell r="O431">
            <v>20</v>
          </cell>
          <cell r="P431" t="str">
            <v>855640004532</v>
          </cell>
          <cell r="Q431">
            <v>20.96</v>
          </cell>
          <cell r="R431">
            <v>4</v>
          </cell>
          <cell r="S431">
            <v>0.2</v>
          </cell>
          <cell r="T431">
            <v>0.0116928</v>
          </cell>
          <cell r="U431">
            <v>0</v>
          </cell>
        </row>
        <row r="432">
          <cell r="A432" t="str">
            <v>B072BW6PTF</v>
          </cell>
          <cell r="B432" t="str">
            <v>GDL-ETC-DrWyAlmKt-4pk</v>
          </cell>
          <cell r="C432" t="str">
            <v>车道警报套件</v>
          </cell>
          <cell r="D432" t="str">
            <v>Wireless Driveway Alarm Kit 4 pack 500ft</v>
          </cell>
          <cell r="E432" t="str">
            <v>=DISPIMG("ID_DDAFD63FB3B44BF0AFD42506D2880033",1)</v>
          </cell>
        </row>
        <row r="432">
          <cell r="O432">
            <v>6</v>
          </cell>
          <cell r="P432" t="str">
            <v>753677310773</v>
          </cell>
          <cell r="Q432">
            <v>55.38</v>
          </cell>
          <cell r="R432">
            <v>4</v>
          </cell>
          <cell r="S432">
            <v>0.666666666666667</v>
          </cell>
          <cell r="T432">
            <v>0</v>
          </cell>
          <cell r="U432">
            <v>0</v>
          </cell>
        </row>
        <row r="433">
          <cell r="A433" t="str">
            <v>B07BJGK81P</v>
          </cell>
          <cell r="B433" t="str">
            <v>URN-SPO-PRING-12P</v>
          </cell>
          <cell r="C433" t="str">
            <v>普拉提环</v>
          </cell>
          <cell r="D433" t="str">
            <v>URBNFit Pilates Ring Fitness Circle - Weight Loss Body Toning Magic Circle and Resistance Exercise Fitness Ring Free Workout Guide Included</v>
          </cell>
          <cell r="E433" t="str">
            <v>=DISPIMG("ID_0DE404031920455E840AB529FC296016",1)</v>
          </cell>
        </row>
        <row r="433">
          <cell r="G433" t="str">
            <v>0.550</v>
          </cell>
          <cell r="H433">
            <v>35</v>
          </cell>
          <cell r="I433">
            <v>34</v>
          </cell>
          <cell r="J433">
            <v>6</v>
          </cell>
          <cell r="K433">
            <v>0.00714</v>
          </cell>
        </row>
        <row r="433">
          <cell r="M433">
            <v>6</v>
          </cell>
        </row>
        <row r="433">
          <cell r="O433">
            <v>10</v>
          </cell>
          <cell r="P433" t="str">
            <v>653829996940</v>
          </cell>
          <cell r="Q433">
            <v>6.77</v>
          </cell>
          <cell r="R433">
            <v>3</v>
          </cell>
          <cell r="S433">
            <v>0.3</v>
          </cell>
          <cell r="T433">
            <v>0</v>
          </cell>
          <cell r="U433">
            <v>0</v>
          </cell>
        </row>
        <row r="434">
          <cell r="A434" t="str">
            <v>B00L2HAUCS</v>
          </cell>
          <cell r="B434" t="str">
            <v>YSH-SPO-BkCv-XL</v>
          </cell>
          <cell r="C434" t="str">
            <v>自行车罩</v>
          </cell>
          <cell r="D434" t="str">
            <v>YardStash Bicycle Cover XL: Extra Large Size for Beach Cruiser Cover</v>
          </cell>
          <cell r="E434" t="str">
            <v>=DISPIMG("ID_E0F6157D030B4E9A89665F3AD0DB719C",1)</v>
          </cell>
        </row>
        <row r="434">
          <cell r="O434">
            <v>8</v>
          </cell>
          <cell r="P434" t="str">
            <v>852659191833</v>
          </cell>
          <cell r="Q434">
            <v>16.85</v>
          </cell>
          <cell r="R434">
            <v>3</v>
          </cell>
          <cell r="S434">
            <v>0.375</v>
          </cell>
          <cell r="T434">
            <v>0</v>
          </cell>
          <cell r="U434">
            <v>0</v>
          </cell>
        </row>
        <row r="435">
          <cell r="A435" t="str">
            <v>B08CRYGN5S</v>
          </cell>
          <cell r="B435" t="str">
            <v>YHG-HOK-OrnSrtgBx-3128Blk</v>
          </cell>
          <cell r="C435" t="str">
            <v>饰品收纳</v>
          </cell>
          <cell r="D435" t="str">
            <v>Christmas Ornament Storage Box 12 Compartment Black</v>
          </cell>
          <cell r="E435" t="str">
            <v>=DISPIMG("ID_158FB29AC41C436B8E93D461BE5B0C2F",1)</v>
          </cell>
          <cell r="F435" t="str">
            <v>圣诞</v>
          </cell>
        </row>
        <row r="435">
          <cell r="O435">
            <v>3</v>
          </cell>
          <cell r="P435" t="str">
            <v>810158037380</v>
          </cell>
          <cell r="Q435">
            <v>11.94</v>
          </cell>
          <cell r="R435">
            <v>3</v>
          </cell>
          <cell r="S435">
            <v>1</v>
          </cell>
          <cell r="T435">
            <v>0</v>
          </cell>
          <cell r="U435">
            <v>0</v>
          </cell>
        </row>
        <row r="436">
          <cell r="A436" t="str">
            <v>B01N8TPQC0</v>
          </cell>
          <cell r="B436" t="str">
            <v>YHG-HOK-NsVlvtHngr-Pnk50pk</v>
          </cell>
          <cell r="C436" t="str">
            <v>天鹅绒衣架</v>
          </cell>
          <cell r="D436" t="str">
            <v>ZOBER Premium Quality Space Saving Velvet Hangers</v>
          </cell>
          <cell r="E436" t="str">
            <v>=DISPIMG("ID_F17B8A2AC8404505800700B2DC55D40F",1)</v>
          </cell>
          <cell r="F436" t="str">
            <v>衣架</v>
          </cell>
          <cell r="G436">
            <v>3.5</v>
          </cell>
          <cell r="H436" t="str">
            <v>15.0</v>
          </cell>
          <cell r="I436">
            <v>33</v>
          </cell>
          <cell r="J436">
            <v>15</v>
          </cell>
          <cell r="K436">
            <v>0.007425</v>
          </cell>
          <cell r="L436" t="str">
            <v>45 * 35 * 60</v>
          </cell>
          <cell r="M436">
            <v>15</v>
          </cell>
          <cell r="N436">
            <v>0.0945</v>
          </cell>
          <cell r="O436">
            <v>4</v>
          </cell>
          <cell r="P436" t="str">
            <v>810158030299,711717440767</v>
          </cell>
          <cell r="Q436">
            <v>6.61</v>
          </cell>
          <cell r="R436">
            <v>8</v>
          </cell>
          <cell r="S436">
            <v>2</v>
          </cell>
          <cell r="T436">
            <v>0.189</v>
          </cell>
          <cell r="U436">
            <v>0</v>
          </cell>
        </row>
        <row r="437">
          <cell r="A437" t="str">
            <v>B07DTNHKDW</v>
          </cell>
          <cell r="B437" t="str">
            <v>URN-SPO-YOGBLOK-2P</v>
          </cell>
          <cell r="C437" t="str">
            <v>瑜伽块</v>
          </cell>
          <cell r="D437" t="str">
            <v>Yoga Block - 2PC Pink</v>
          </cell>
          <cell r="E437" t="str">
            <v>=DISPIMG("ID_D5058FBFCC874C788DFBAE5540353C36",1)</v>
          </cell>
        </row>
        <row r="437">
          <cell r="O437">
            <v>12</v>
          </cell>
          <cell r="P437" t="str">
            <v>704751184445</v>
          </cell>
          <cell r="Q437">
            <v>4.47</v>
          </cell>
          <cell r="R437">
            <v>2</v>
          </cell>
          <cell r="S437">
            <v>0.166666666666667</v>
          </cell>
          <cell r="T437">
            <v>0</v>
          </cell>
          <cell r="U437">
            <v>0</v>
          </cell>
        </row>
        <row r="438">
          <cell r="A438" t="str">
            <v>B075FDD286</v>
          </cell>
          <cell r="B438" t="str">
            <v>YHG-HOK-WdStHngrNsChy20pk</v>
          </cell>
          <cell r="C438" t="str">
            <v>木衣架</v>
          </cell>
          <cell r="D438" t="str">
            <v>Wooden Suit Hangers Cherry set of 20</v>
          </cell>
          <cell r="E438" t="str">
            <v>=DISPIMG("ID_4C003CB5A8494758B7D8461EF1A2396F",1)</v>
          </cell>
          <cell r="F438" t="str">
            <v>衣架</v>
          </cell>
          <cell r="G438">
            <v>2.6</v>
          </cell>
          <cell r="H438">
            <v>34</v>
          </cell>
          <cell r="I438">
            <v>35</v>
          </cell>
          <cell r="J438">
            <v>13</v>
          </cell>
          <cell r="K438">
            <v>0.01547</v>
          </cell>
          <cell r="L438" t="str">
            <v>36.5*35.5*52</v>
          </cell>
          <cell r="M438">
            <v>11</v>
          </cell>
          <cell r="N438">
            <v>0.067379</v>
          </cell>
          <cell r="O438">
            <v>4</v>
          </cell>
          <cell r="P438" t="str">
            <v>810158030961</v>
          </cell>
          <cell r="Q438">
            <v>7.44</v>
          </cell>
          <cell r="R438">
            <v>3</v>
          </cell>
          <cell r="S438">
            <v>0.75</v>
          </cell>
          <cell r="T438">
            <v>0.05053425</v>
          </cell>
          <cell r="U438">
            <v>0</v>
          </cell>
        </row>
        <row r="439">
          <cell r="A439" t="str">
            <v>B07B9KLRDC</v>
          </cell>
          <cell r="B439" t="str">
            <v>MXL-KND-BarKit-10pcBsSlv-ASMBL</v>
          </cell>
          <cell r="C439" t="str">
            <v>调酒套件和支架</v>
          </cell>
          <cell r="D439" t="str">
            <v>Bartender Kit 10pc Bamboo Stand Silver</v>
          </cell>
          <cell r="E439" t="str">
            <v>=DISPIMG("ID_5258E70A5C6A4ED8BF0760F417517238",1)</v>
          </cell>
          <cell r="F439" t="str">
            <v>厨房用具</v>
          </cell>
          <cell r="G439" t="str">
            <v>1.320</v>
          </cell>
          <cell r="H439" t="str">
            <v>31.5</v>
          </cell>
          <cell r="I439" t="str">
            <v>10.3</v>
          </cell>
          <cell r="J439" t="str">
            <v>17.8</v>
          </cell>
          <cell r="K439">
            <v>0.00577521</v>
          </cell>
        </row>
        <row r="439">
          <cell r="O439">
            <v>10</v>
          </cell>
          <cell r="P439" t="str">
            <v>810090950068</v>
          </cell>
          <cell r="Q439">
            <v>13.83</v>
          </cell>
          <cell r="R439">
            <v>1</v>
          </cell>
          <cell r="S439">
            <v>0.1</v>
          </cell>
          <cell r="T439">
            <v>0</v>
          </cell>
          <cell r="U439">
            <v>0</v>
          </cell>
        </row>
        <row r="440">
          <cell r="A440" t="str">
            <v>B07DTPGW5Q</v>
          </cell>
          <cell r="B440" t="str">
            <v>URN-SPO-VFROLLER-O</v>
          </cell>
          <cell r="C440" t="str">
            <v>振动压路机</v>
          </cell>
          <cell r="D440" t="str">
            <v>Vibrating Foam Roller Orange</v>
          </cell>
          <cell r="E440" t="str">
            <v>=DISPIMG("ID_0D221CEFC5824C8EB7EAE40322DFCC9B",1)</v>
          </cell>
        </row>
        <row r="440">
          <cell r="G440">
            <v>1.6</v>
          </cell>
          <cell r="H440">
            <v>36</v>
          </cell>
          <cell r="I440">
            <v>15</v>
          </cell>
          <cell r="J440">
            <v>15</v>
          </cell>
          <cell r="K440">
            <v>0.0081</v>
          </cell>
          <cell r="L440" t="str">
            <v>39*33*33</v>
          </cell>
          <cell r="M440">
            <v>7</v>
          </cell>
          <cell r="N440">
            <v>0.042471</v>
          </cell>
          <cell r="O440">
            <v>4</v>
          </cell>
          <cell r="P440" t="str">
            <v>704751184384</v>
          </cell>
          <cell r="Q440">
            <v>25.06</v>
          </cell>
          <cell r="R440">
            <v>1</v>
          </cell>
          <cell r="S440">
            <v>0.25</v>
          </cell>
          <cell r="T440">
            <v>0.01061775</v>
          </cell>
          <cell r="U440">
            <v>0</v>
          </cell>
        </row>
        <row r="441">
          <cell r="A441" t="str">
            <v>B00DAGYZYS</v>
          </cell>
          <cell r="B441" t="str">
            <v>PT/MET/TERR/BLK</v>
          </cell>
          <cell r="C441" t="str">
            <v>植物支架</v>
          </cell>
          <cell r="D441" t="str">
            <v>Plant Theatre Plant Terrace - 3 Tier Metal Plant Stand in Black</v>
          </cell>
          <cell r="E441" t="str">
            <v>=DISPIMG("ID_1FA8FE5D674D4815AD57CA5355251AA0",1)</v>
          </cell>
          <cell r="F441" t="str">
            <v>园艺</v>
          </cell>
        </row>
        <row r="441">
          <cell r="P441" t="e">
            <v>#N/A</v>
          </cell>
          <cell r="Q441">
            <v>21.38</v>
          </cell>
          <cell r="R441">
            <v>1</v>
          </cell>
          <cell r="S441" t="e">
            <v>#DIV/0!</v>
          </cell>
          <cell r="T441">
            <v>0</v>
          </cell>
          <cell r="U441">
            <v>0</v>
          </cell>
        </row>
        <row r="442">
          <cell r="A442" t="str">
            <v>B0752XPTGV</v>
          </cell>
          <cell r="B442" t="str">
            <v>YHG-HOK-DflChrsTreBg-9Grn</v>
          </cell>
          <cell r="C442" t="str">
            <v>圣诞树收纳袋</v>
          </cell>
          <cell r="D442" t="str">
            <v>STORAGE BAG</v>
          </cell>
          <cell r="E442" t="str">
            <v>=DISPIMG("ID_4AB4DB81833444388543954A1CCBCC88",1)</v>
          </cell>
          <cell r="F442" t="str">
            <v>圣诞</v>
          </cell>
          <cell r="G442">
            <v>1.9</v>
          </cell>
          <cell r="H442">
            <v>33</v>
          </cell>
          <cell r="I442">
            <v>26</v>
          </cell>
          <cell r="J442" t="str">
            <v>27.1</v>
          </cell>
          <cell r="K442">
            <v>0.0232518</v>
          </cell>
          <cell r="L442" t="str">
            <v>35*28*32</v>
          </cell>
          <cell r="M442">
            <v>12</v>
          </cell>
          <cell r="N442">
            <v>0.03136</v>
          </cell>
          <cell r="O442">
            <v>6</v>
          </cell>
          <cell r="P442" t="str">
            <v>810158031142</v>
          </cell>
          <cell r="Q442">
            <v>7.24</v>
          </cell>
          <cell r="R442">
            <v>4</v>
          </cell>
          <cell r="S442">
            <v>0.666666666666667</v>
          </cell>
          <cell r="T442">
            <v>0.0209066666666667</v>
          </cell>
          <cell r="U442">
            <v>0</v>
          </cell>
        </row>
        <row r="443">
          <cell r="A443" t="str">
            <v>B07SGXV5FV</v>
          </cell>
          <cell r="B443" t="str">
            <v>YHG-HOK-PrWrpOrg-40Blk</v>
          </cell>
          <cell r="C443" t="str">
            <v>包装储存</v>
          </cell>
        </row>
        <row r="443">
          <cell r="E443" t="str">
            <v>=DISPIMG("ID_385FD9A3C48F405184994D5C2F53074F",1)</v>
          </cell>
          <cell r="F443" t="str">
            <v>圣诞</v>
          </cell>
          <cell r="G443" t="str">
            <v>2.150</v>
          </cell>
          <cell r="H443">
            <v>37</v>
          </cell>
          <cell r="I443">
            <v>19</v>
          </cell>
          <cell r="J443">
            <v>9</v>
          </cell>
          <cell r="K443">
            <v>0.006327</v>
          </cell>
          <cell r="L443" t="str">
            <v>39 * 39 * 24</v>
          </cell>
          <cell r="M443">
            <v>13.6</v>
          </cell>
          <cell r="N443">
            <v>0.036504</v>
          </cell>
          <cell r="O443">
            <v>6</v>
          </cell>
          <cell r="P443" t="str">
            <v>810158032712</v>
          </cell>
          <cell r="Q443">
            <v>5.75</v>
          </cell>
          <cell r="R443">
            <v>0</v>
          </cell>
          <cell r="S443">
            <v>0</v>
          </cell>
          <cell r="T443">
            <v>0</v>
          </cell>
        </row>
        <row r="444">
          <cell r="A444" t="str">
            <v>B07MJHRFCW</v>
          </cell>
          <cell r="B444" t="str">
            <v>YHG-HOK-WdPntHngr360Mcp-Ntl20pk</v>
          </cell>
          <cell r="C444" t="str">
            <v>木衣架</v>
          </cell>
        </row>
        <row r="444">
          <cell r="E444" t="str">
            <v>=DISPIMG("ID_33FAE21597E441F9AA7CB5579AE2EA04",1)</v>
          </cell>
          <cell r="F444" t="str">
            <v>衣架</v>
          </cell>
        </row>
        <row r="444">
          <cell r="R444">
            <v>0</v>
          </cell>
        </row>
        <row r="445">
          <cell r="A445" t="str">
            <v>B071F87NTM</v>
          </cell>
          <cell r="B445" t="str">
            <v>DAT-APA-TrOr1-T</v>
          </cell>
          <cell r="C445" t="str">
            <v>后备箱整理器</v>
          </cell>
        </row>
        <row r="445">
          <cell r="E445" t="str">
            <v>=DISPIMG("ID_BB9F5E976A6C4455B933BE514786B7F9",1)</v>
          </cell>
        </row>
        <row r="445">
          <cell r="R445">
            <v>0</v>
          </cell>
        </row>
        <row r="446">
          <cell r="A446" t="str">
            <v>B00J4FVZU6</v>
          </cell>
          <cell r="B446" t="str">
            <v>SDT-TOH-SPWDbCX-Wh</v>
          </cell>
          <cell r="C446" t="str">
            <v>无线门铃</v>
          </cell>
        </row>
        <row r="446">
          <cell r="E446" t="str">
            <v>=DISPIMG("ID_F105A3C3615845C28B9B9F0C085835B2",1)</v>
          </cell>
        </row>
        <row r="446">
          <cell r="R446">
            <v>0</v>
          </cell>
        </row>
        <row r="447">
          <cell r="A447" t="str">
            <v>B078NB2K4J</v>
          </cell>
          <cell r="B447" t="str">
            <v>YHG-HOK-WdshWdHngr-Ntl6pk</v>
          </cell>
          <cell r="C447" t="str">
            <v>宽肩木衣架</v>
          </cell>
        </row>
        <row r="447">
          <cell r="E447" t="str">
            <v>=DISPIMG("ID_044499A520F04DFC835C7A7018BCF6FA",1)</v>
          </cell>
          <cell r="F447" t="str">
            <v>衣架</v>
          </cell>
        </row>
        <row r="447">
          <cell r="R447">
            <v>0</v>
          </cell>
        </row>
        <row r="448">
          <cell r="A448" t="str">
            <v>B075FBQB2W</v>
          </cell>
          <cell r="B448" t="str">
            <v>YHG-HOK-WdStHngrNs-Brn20pk</v>
          </cell>
          <cell r="C448" t="str">
            <v>木衣架</v>
          </cell>
        </row>
        <row r="448">
          <cell r="E448" t="str">
            <v>=DISPIMG("ID_95645A48316C45829647CE16976CA20F",1)</v>
          </cell>
          <cell r="F448" t="str">
            <v>衣架</v>
          </cell>
        </row>
        <row r="448">
          <cell r="R448">
            <v>0</v>
          </cell>
        </row>
        <row r="449">
          <cell r="A449" t="str">
            <v>B08S4CCJ31</v>
          </cell>
          <cell r="B449" t="str">
            <v>YHG-HOK-WdCtRk-Blk</v>
          </cell>
          <cell r="C449" t="str">
            <v>木树衣帽架</v>
          </cell>
        </row>
        <row r="449">
          <cell r="E449" t="str">
            <v>=DISPIMG("ID_30A816D2F56D4B38A5CF70882C4C99BD",1)</v>
          </cell>
          <cell r="F449" t="str">
            <v>衣架</v>
          </cell>
        </row>
        <row r="449">
          <cell r="R449">
            <v>0</v>
          </cell>
        </row>
        <row r="450">
          <cell r="A450" t="str">
            <v>B07TLFY8B2</v>
          </cell>
          <cell r="B450" t="str">
            <v>YHG-HOK-SktHngr-3pk</v>
          </cell>
          <cell r="C450" t="str">
            <v>5层裙架</v>
          </cell>
        </row>
        <row r="450">
          <cell r="E450" t="str">
            <v>=DISPIMG("ID_A0359B07039B4FDEA27C41D3DF6766FF",1)</v>
          </cell>
          <cell r="F450" t="str">
            <v>衣架</v>
          </cell>
        </row>
        <row r="450">
          <cell r="R450">
            <v>0</v>
          </cell>
        </row>
        <row r="451">
          <cell r="A451" t="str">
            <v>B0854PCVWP</v>
          </cell>
          <cell r="B451" t="str">
            <v>YHG-KND-GlsbbyFdCntnr-5Pnk6pk</v>
          </cell>
          <cell r="C451" t="str">
            <v>膳食准备容器</v>
          </cell>
        </row>
        <row r="451">
          <cell r="E451" t="str">
            <v>=DISPIMG("ID_2DCD17BF209B4CE5BB5E80BD7014EDB2",1)</v>
          </cell>
          <cell r="F451" t="str">
            <v>厨房用具</v>
          </cell>
        </row>
        <row r="451">
          <cell r="R451">
            <v>0</v>
          </cell>
        </row>
        <row r="452">
          <cell r="A452" t="str">
            <v>B088JTNQLK</v>
          </cell>
          <cell r="B452" t="str">
            <v>LAA-SAO-FuzNs-4prMBlkS/M</v>
          </cell>
          <cell r="C452" t="str">
            <v>毛绒抓地小腿袜</v>
          </cell>
        </row>
        <row r="452">
          <cell r="E452" t="str">
            <v>=DISPIMG("ID_093298B5C0BD4CC19AFDB311806C54CB",1)</v>
          </cell>
          <cell r="F452" t="str">
            <v>衣物</v>
          </cell>
        </row>
        <row r="452">
          <cell r="R452">
            <v>0</v>
          </cell>
        </row>
        <row r="453">
          <cell r="A453" t="str">
            <v>B081XX7XMM</v>
          </cell>
          <cell r="B453" t="str">
            <v>LAA-SAO-GrpSc-3prWGSEU</v>
          </cell>
          <cell r="C453" t="str">
            <v>抓地力小腿袜</v>
          </cell>
        </row>
        <row r="453">
          <cell r="E453" t="str">
            <v>=DISPIMG("ID_95DBCD8999434B10AB9B4A746EC8E0E2",1)</v>
          </cell>
          <cell r="F453" t="str">
            <v>衣物</v>
          </cell>
        </row>
        <row r="453">
          <cell r="R453">
            <v>0</v>
          </cell>
        </row>
        <row r="454">
          <cell r="A454" t="str">
            <v>B06X99FDT7</v>
          </cell>
          <cell r="B454" t="str">
            <v>KHM-BPC-NlClp-800</v>
          </cell>
          <cell r="C454" t="str">
            <v>脚趾甲钳</v>
          </cell>
        </row>
        <row r="454">
          <cell r="E454" t="str">
            <v>=DISPIMG("ID_5F2A542F25D0458CAF0933EDFC979CE0",1)</v>
          </cell>
          <cell r="F454" t="str">
            <v>指甲钳</v>
          </cell>
        </row>
        <row r="454">
          <cell r="R454">
            <v>0</v>
          </cell>
        </row>
        <row r="455">
          <cell r="A455" t="str">
            <v>B018R9VIU6</v>
          </cell>
          <cell r="B455" t="str">
            <v>KHM-BPC-NlClp-900-UK</v>
          </cell>
          <cell r="C455" t="str">
            <v>脚趾甲钳</v>
          </cell>
        </row>
        <row r="455">
          <cell r="E455" t="str">
            <v>=DISPIMG("ID_F6CD9B23F77A4ECE91A41475532B6783",1)</v>
          </cell>
          <cell r="F455" t="str">
            <v>指甲钳</v>
          </cell>
        </row>
        <row r="455">
          <cell r="R455">
            <v>0</v>
          </cell>
        </row>
        <row r="456">
          <cell r="A456" t="str">
            <v>B0B2VGSXW5</v>
          </cell>
          <cell r="B456" t="str">
            <v>YHG-HOK-FD-S1603</v>
          </cell>
          <cell r="C456" t="str">
            <v>厨房用具套装</v>
          </cell>
        </row>
        <row r="456">
          <cell r="E456" t="str">
            <v>=DISPIMG("ID_BA68408310DC4E39949CB2ADC2C3B2F3",1)</v>
          </cell>
          <cell r="F456" t="str">
            <v>厨房用具</v>
          </cell>
        </row>
        <row r="456">
          <cell r="R456">
            <v>0</v>
          </cell>
        </row>
        <row r="457">
          <cell r="A457" t="str">
            <v>B07DWCDSTP</v>
          </cell>
          <cell r="B457" t="str">
            <v>TMP-HHB-VlcoMpPd-4</v>
          </cell>
          <cell r="C457" t="str">
            <v>拖把垫</v>
          </cell>
        </row>
        <row r="457">
          <cell r="E457" t="str">
            <v>=DISPIMG("ID_1D9682D5852840BA9E1907A3E7D2FF5C",1)</v>
          </cell>
          <cell r="F457" t="str">
            <v>清洁</v>
          </cell>
        </row>
        <row r="457">
          <cell r="R457">
            <v>0</v>
          </cell>
        </row>
        <row r="458">
          <cell r="A458" t="str">
            <v>B079HCRTDW</v>
          </cell>
          <cell r="B458" t="str">
            <v>YHG-HOK-EwChrsTreBg-9Red</v>
          </cell>
          <cell r="C458" t="str">
            <v>圣诞树收纳袋</v>
          </cell>
        </row>
        <row r="458">
          <cell r="E458" t="str">
            <v>=DISPIMG("ID_3110C3797D3647D79524A56484152993",1)</v>
          </cell>
          <cell r="F458" t="str">
            <v>圣诞</v>
          </cell>
        </row>
        <row r="458">
          <cell r="R458">
            <v>0</v>
          </cell>
        </row>
        <row r="459">
          <cell r="A459" t="str">
            <v>B085G652QG</v>
          </cell>
          <cell r="B459" t="str">
            <v>LAA-SAO-BbyNs-6prGrl10yrs</v>
          </cell>
          <cell r="C459" t="str">
            <v>抓地力踝袜</v>
          </cell>
        </row>
        <row r="459">
          <cell r="E459" t="str">
            <v>=DISPIMG("ID_9B7DA62D7B86480897076CA0DA698D14",1)</v>
          </cell>
          <cell r="F459" t="str">
            <v>衣物</v>
          </cell>
        </row>
        <row r="459">
          <cell r="R459">
            <v>0</v>
          </cell>
        </row>
        <row r="460">
          <cell r="A460" t="str">
            <v>B07S4DVRDV</v>
          </cell>
          <cell r="B460" t="str">
            <v>LAA-SAO-BbyNs-6prBoy6Mnth</v>
          </cell>
          <cell r="C460" t="str">
            <v>抓地力踝袜</v>
          </cell>
        </row>
        <row r="460">
          <cell r="E460" t="str">
            <v>=DISPIMG("ID_B99FA5E4DEAD436D88BF3A08D469003C",1)</v>
          </cell>
          <cell r="F460" t="str">
            <v>衣物</v>
          </cell>
        </row>
        <row r="460">
          <cell r="R460">
            <v>0</v>
          </cell>
        </row>
        <row r="461">
          <cell r="A461" t="str">
            <v>B085FXB2L1</v>
          </cell>
          <cell r="B461" t="str">
            <v>LAA-SAO-CalPA-6prPstl8/10An</v>
          </cell>
          <cell r="C461" t="str">
            <v>抓地力踝袜</v>
          </cell>
        </row>
        <row r="461">
          <cell r="E461" t="str">
            <v>=DISPIMG("ID_2B7AC249E86944FA9918B43E57E89422",1)</v>
          </cell>
          <cell r="F461" t="str">
            <v>衣物</v>
          </cell>
        </row>
        <row r="461">
          <cell r="R461">
            <v>0</v>
          </cell>
        </row>
        <row r="462">
          <cell r="A462" t="str">
            <v>B07W7WJRSJ</v>
          </cell>
          <cell r="B462" t="str">
            <v>LAA-SAO-AthGs-6prBoy36Mnth</v>
          </cell>
          <cell r="C462" t="str">
            <v>抓地力小腿袜</v>
          </cell>
        </row>
        <row r="462">
          <cell r="E462" t="str">
            <v>=DISPIMG("ID_FD4E071D730642F1A16D6FC7550D9F36",1)</v>
          </cell>
          <cell r="F462" t="str">
            <v>衣物</v>
          </cell>
        </row>
        <row r="462">
          <cell r="R462">
            <v>0</v>
          </cell>
        </row>
        <row r="463">
          <cell r="A463" t="str">
            <v>B07JR9VVCD</v>
          </cell>
          <cell r="B463" t="str">
            <v>LAA-SAO-BbyNs-6prGryScl12Mnth</v>
          </cell>
          <cell r="C463" t="str">
            <v>抓地力踝袜</v>
          </cell>
        </row>
        <row r="463">
          <cell r="E463" t="str">
            <v>=DISPIMG("ID_8B4320C5BC7948B694BD1D3603D8282F",1)</v>
          </cell>
          <cell r="F463" t="str">
            <v>衣物</v>
          </cell>
        </row>
        <row r="463">
          <cell r="R463">
            <v>0</v>
          </cell>
        </row>
        <row r="464">
          <cell r="A464" t="str">
            <v>B07S39H4QK</v>
          </cell>
          <cell r="B464" t="str">
            <v>LAA-SAO-BbyNs-6prGrl6Mnth</v>
          </cell>
          <cell r="C464" t="str">
            <v>抓地力踝袜</v>
          </cell>
        </row>
        <row r="464">
          <cell r="E464" t="str">
            <v>=DISPIMG("ID_8068BF4B7966427FA64289682DC26799",1)</v>
          </cell>
          <cell r="F464" t="str">
            <v>衣物</v>
          </cell>
        </row>
        <row r="464">
          <cell r="R464">
            <v>0</v>
          </cell>
        </row>
        <row r="465">
          <cell r="A465" t="str">
            <v>B07W8ZP8BT</v>
          </cell>
          <cell r="B465" t="str">
            <v>LAA-SAO-AthGs-6prGryS7yrs</v>
          </cell>
          <cell r="C465" t="str">
            <v>抓地力小腿袜</v>
          </cell>
        </row>
        <row r="465">
          <cell r="E465" t="str">
            <v>=DISPIMG("ID_7C0BCBFC96E248E0A79896DE4AC15D55",1)</v>
          </cell>
          <cell r="F465" t="str">
            <v>衣物</v>
          </cell>
        </row>
        <row r="465">
          <cell r="R465">
            <v>0</v>
          </cell>
        </row>
        <row r="466">
          <cell r="A466" t="str">
            <v>B0871CRYBV</v>
          </cell>
          <cell r="B466" t="str">
            <v>LAA-SAO-BbyNs-12prBoy12Mnth</v>
          </cell>
          <cell r="C466" t="str">
            <v>抓地力踝袜</v>
          </cell>
        </row>
        <row r="466">
          <cell r="E466" t="str">
            <v>=DISPIMG("ID_A9BE86B561794FA49BD5C85B985B26DB",1)</v>
          </cell>
          <cell r="F466" t="str">
            <v>衣物</v>
          </cell>
        </row>
        <row r="466">
          <cell r="R466">
            <v>0</v>
          </cell>
        </row>
        <row r="467">
          <cell r="A467" t="str">
            <v>B07XK9VRFX</v>
          </cell>
          <cell r="B467" t="str">
            <v>LAA-SAO-BbyNs-6prRnb12Mnth</v>
          </cell>
          <cell r="C467" t="str">
            <v>抓地力踝袜</v>
          </cell>
        </row>
        <row r="467">
          <cell r="E467" t="str">
            <v>=DISPIMG("ID_CFC331801C87427698C6BCFF309ECCED",1)</v>
          </cell>
          <cell r="F467" t="str">
            <v>衣物</v>
          </cell>
        </row>
        <row r="467">
          <cell r="R467">
            <v>0</v>
          </cell>
        </row>
        <row r="468">
          <cell r="A468" t="str">
            <v>B06XJWZBTZ</v>
          </cell>
          <cell r="B468" t="str">
            <v>LAA-SAO-BbyNs-Grl6pr</v>
          </cell>
          <cell r="C468" t="str">
            <v>抓地力踝袜</v>
          </cell>
        </row>
        <row r="468">
          <cell r="E468" t="str">
            <v>=DISPIMG("ID_6B324626FDE441AE9EA3D9BF7BD2666D",1)</v>
          </cell>
          <cell r="F468" t="str">
            <v>衣物</v>
          </cell>
        </row>
        <row r="468">
          <cell r="R468">
            <v>0</v>
          </cell>
        </row>
        <row r="469">
          <cell r="A469" t="str">
            <v>B07H3XWDV2</v>
          </cell>
          <cell r="B469" t="str">
            <v>LAA-SAO-BbyNs-6prBlk</v>
          </cell>
          <cell r="C469" t="str">
            <v>抓地力踝袜</v>
          </cell>
        </row>
        <row r="469">
          <cell r="E469" t="str">
            <v>=DISPIMG("ID_426FFEEC3A0546D0838319225895D458",1)</v>
          </cell>
          <cell r="F469" t="str">
            <v>衣物</v>
          </cell>
        </row>
        <row r="469">
          <cell r="R469">
            <v>0</v>
          </cell>
        </row>
        <row r="470">
          <cell r="A470" t="str">
            <v>B07XGMPQ4X</v>
          </cell>
          <cell r="B470" t="str">
            <v>LAA-SAO-BbyNs-6prRnb7yrs</v>
          </cell>
          <cell r="C470" t="str">
            <v>抓地力踝袜</v>
          </cell>
        </row>
        <row r="470">
          <cell r="E470" t="str">
            <v>=DISPIMG("ID_A1874419734E4FE7A8E22021B14EE2F0",1)</v>
          </cell>
          <cell r="F470" t="str">
            <v>衣物</v>
          </cell>
        </row>
        <row r="470">
          <cell r="R470">
            <v>0</v>
          </cell>
        </row>
        <row r="471">
          <cell r="A471" t="str">
            <v>B07S5JB9YH</v>
          </cell>
          <cell r="B471" t="str">
            <v>LAA-SAO-BbyNs-6prRnb36Mnth</v>
          </cell>
          <cell r="C471" t="str">
            <v>抓地力踝袜</v>
          </cell>
        </row>
        <row r="471">
          <cell r="E471" t="str">
            <v>=DISPIMG("ID_9141344C4C5E426E83974CE02C54EAD5",1)</v>
          </cell>
          <cell r="F471" t="str">
            <v>衣物</v>
          </cell>
        </row>
        <row r="471">
          <cell r="R471">
            <v>0</v>
          </cell>
        </row>
        <row r="472">
          <cell r="A472" t="str">
            <v>B07H3YXL4J</v>
          </cell>
          <cell r="B472" t="str">
            <v>LAA-SAO-BbyNs-6prGrl12Mnth</v>
          </cell>
          <cell r="C472" t="str">
            <v>抓地力踝袜</v>
          </cell>
        </row>
        <row r="472">
          <cell r="E472" t="str">
            <v>=DISPIMG("ID_4A6DF19E77734E80879456582DA12412",1)</v>
          </cell>
          <cell r="F472" t="str">
            <v>衣物</v>
          </cell>
        </row>
        <row r="472">
          <cell r="R472">
            <v>0</v>
          </cell>
        </row>
        <row r="473">
          <cell r="A473" t="str">
            <v>B07W8XQ5L3</v>
          </cell>
          <cell r="B473" t="str">
            <v>LAA-SAO-AthGs-6prBoy12Mnth</v>
          </cell>
          <cell r="C473" t="str">
            <v>抓地力小腿袜</v>
          </cell>
        </row>
        <row r="473">
          <cell r="E473" t="str">
            <v>=DISPIMG("ID_8BE5CDA1A18D4D2C8832B98C6BF83833",1)</v>
          </cell>
          <cell r="F473" t="str">
            <v>衣物</v>
          </cell>
        </row>
        <row r="473">
          <cell r="R473">
            <v>0</v>
          </cell>
        </row>
        <row r="474">
          <cell r="A474" t="str">
            <v>B081GZSM4W</v>
          </cell>
          <cell r="B474" t="str">
            <v>LAA-SAO-AthGs-6prRnb12Mnth</v>
          </cell>
          <cell r="C474" t="str">
            <v>抓地力小腿袜</v>
          </cell>
        </row>
        <row r="474">
          <cell r="E474" t="str">
            <v>=DISPIMG("ID_8AD700BB1005487BAA694F14EF963C65",1)</v>
          </cell>
          <cell r="F474" t="str">
            <v>衣物</v>
          </cell>
        </row>
        <row r="474">
          <cell r="R474">
            <v>0</v>
          </cell>
        </row>
        <row r="475">
          <cell r="A475" t="str">
            <v>B07PDWL5VS</v>
          </cell>
          <cell r="B475" t="str">
            <v>LAA-SAO-BbyNs-6prClrS12Mnth</v>
          </cell>
          <cell r="C475" t="str">
            <v>抓地力踝袜</v>
          </cell>
        </row>
        <row r="475">
          <cell r="E475" t="str">
            <v>=DISPIMG("ID_270A429628D141A9B931B4BB0BB2428B",1)</v>
          </cell>
          <cell r="F475" t="str">
            <v>衣物</v>
          </cell>
        </row>
        <row r="475">
          <cell r="R475">
            <v>0</v>
          </cell>
        </row>
        <row r="476">
          <cell r="A476" t="str">
            <v>B07D6F1QV1</v>
          </cell>
          <cell r="B476" t="str">
            <v>LAA-SAO-BbyNs-6prPstl</v>
          </cell>
          <cell r="C476" t="str">
            <v>抓地力踝袜</v>
          </cell>
        </row>
        <row r="476">
          <cell r="E476" t="str">
            <v>=DISPIMG("ID_A12A3FEA9EEB4AFBA588588FE54C9DAD",1)</v>
          </cell>
          <cell r="F476" t="str">
            <v>衣物</v>
          </cell>
        </row>
        <row r="476">
          <cell r="R476">
            <v>0</v>
          </cell>
        </row>
        <row r="477">
          <cell r="A477" t="str">
            <v>B06XJYMP2J</v>
          </cell>
          <cell r="B477" t="str">
            <v>LAA-SAO-BbyNs-Wht6pr</v>
          </cell>
          <cell r="C477" t="str">
            <v>抓地力踝袜</v>
          </cell>
        </row>
        <row r="477">
          <cell r="E477" t="str">
            <v>=DISPIMG("ID_A584F574D2E14506B2FE90D0A70D5A0F",1)</v>
          </cell>
          <cell r="F477" t="str">
            <v>衣物</v>
          </cell>
        </row>
        <row r="477">
          <cell r="R477">
            <v>0</v>
          </cell>
        </row>
        <row r="478">
          <cell r="A478" t="str">
            <v>B07H3XH9JR</v>
          </cell>
          <cell r="B478" t="str">
            <v>LAA-SAO-BbyNs-Wt12Mnth</v>
          </cell>
          <cell r="C478" t="str">
            <v>抓地力踝袜</v>
          </cell>
        </row>
        <row r="478">
          <cell r="E478" t="str">
            <v>=DISPIMG("ID_6427EB39392445719C866458599CAF59",1)</v>
          </cell>
          <cell r="F478" t="str">
            <v>衣物</v>
          </cell>
        </row>
        <row r="478">
          <cell r="R478">
            <v>0</v>
          </cell>
        </row>
        <row r="479">
          <cell r="A479" t="str">
            <v>B0711F9L2D</v>
          </cell>
          <cell r="B479" t="str">
            <v>TRB-SPO-RuTip-6</v>
          </cell>
          <cell r="C479" t="str">
            <v>更换杆头</v>
          </cell>
        </row>
        <row r="479">
          <cell r="E479" t="str">
            <v>=DISPIMG("ID_84B1D88F99134C4E9E3CB2C641217138",1)</v>
          </cell>
        </row>
        <row r="479">
          <cell r="R479">
            <v>0</v>
          </cell>
        </row>
        <row r="480">
          <cell r="A480" t="str">
            <v>B076VJW1XR</v>
          </cell>
          <cell r="B480" t="str">
            <v>TRH-BPC-IcPak-Wrist</v>
          </cell>
          <cell r="C480" t="str">
            <v>手腕凝胶包</v>
          </cell>
        </row>
        <row r="480">
          <cell r="E480" t="str">
            <v>=DISPIMG("ID_2167AB6227754EB4B1207599823D2214",1)</v>
          </cell>
          <cell r="F480" t="str">
            <v>健身</v>
          </cell>
        </row>
        <row r="480">
          <cell r="R480">
            <v>0</v>
          </cell>
        </row>
        <row r="481">
          <cell r="A481" t="str">
            <v>B088JR59BG</v>
          </cell>
          <cell r="B481" t="str">
            <v>LAA-SAO-FuzNs-PGBSS/M</v>
          </cell>
          <cell r="C481" t="str">
            <v>毛绒抓地小腿袜</v>
          </cell>
        </row>
        <row r="481">
          <cell r="E481" t="str">
            <v>=DISPIMG("ID_29BBE857EEF24C5682789746E7AB6420",1)</v>
          </cell>
          <cell r="F481" t="str">
            <v>衣物</v>
          </cell>
        </row>
        <row r="481">
          <cell r="R481">
            <v>0</v>
          </cell>
        </row>
        <row r="482">
          <cell r="A482" t="str">
            <v>B01LWHOY39</v>
          </cell>
          <cell r="B482" t="str">
            <v>TRH-BPC-IPWrp-HtCldPk</v>
          </cell>
          <cell r="C482" t="str">
            <v>足弓支撑</v>
          </cell>
        </row>
        <row r="482">
          <cell r="E482" t="str">
            <v>=DISPIMG("ID_8A23ADA720DE4DFC941A5BF93A8F40E8",1)</v>
          </cell>
          <cell r="F482" t="str">
            <v>衣物</v>
          </cell>
        </row>
        <row r="482">
          <cell r="R482">
            <v>0</v>
          </cell>
        </row>
        <row r="483">
          <cell r="A483" t="str">
            <v>B088JTTX96</v>
          </cell>
          <cell r="B483" t="str">
            <v>LAA-SAO-FuzNs-DGryL/XL</v>
          </cell>
          <cell r="C483" t="str">
            <v>毛绒抓地小腿袜</v>
          </cell>
        </row>
        <row r="483">
          <cell r="E483" t="str">
            <v>=DISPIMG("ID_9AC76EC5067E43AA894B46E46698C5D2",1)</v>
          </cell>
          <cell r="F483" t="str">
            <v>衣物</v>
          </cell>
        </row>
        <row r="483">
          <cell r="R483">
            <v>0</v>
          </cell>
        </row>
        <row r="484">
          <cell r="A484" t="str">
            <v>B01KET1PUA</v>
          </cell>
          <cell r="B484" t="str">
            <v>HOL-HOK-CWheels-5Pk</v>
          </cell>
          <cell r="C484" t="str">
            <v>办公椅轮</v>
          </cell>
        </row>
        <row r="484">
          <cell r="E484" t="str">
            <v>=DISPIMG("ID_867B50D6F3EA4AD496AF916960575D6D",1)</v>
          </cell>
          <cell r="F484" t="str">
            <v>办公</v>
          </cell>
        </row>
        <row r="484">
          <cell r="R484">
            <v>0</v>
          </cell>
        </row>
        <row r="485">
          <cell r="A485" t="str">
            <v>B07C9SKHRM</v>
          </cell>
          <cell r="B485" t="str">
            <v>STB-BPC-DrRlr-Vn2.0</v>
          </cell>
          <cell r="C485" t="str">
            <v>真皮滚轮</v>
          </cell>
        </row>
        <row r="485">
          <cell r="E485" t="str">
            <v>=DISPIMG("ID_891043777193413780542D5C27396524",1)</v>
          </cell>
          <cell r="F485" t="str">
            <v>美容</v>
          </cell>
        </row>
        <row r="485">
          <cell r="R485">
            <v>0</v>
          </cell>
        </row>
        <row r="486">
          <cell r="A486" t="str">
            <v>B08BSV8KTJ</v>
          </cell>
          <cell r="B486" t="str">
            <v>YHG-HOK-ChrsTreGrldBg3-Grn</v>
          </cell>
          <cell r="C486" t="str">
            <v>圣诞树收纳袋</v>
          </cell>
        </row>
        <row r="486">
          <cell r="E486" t="str">
            <v>=DISPIMG("ID_827D99B1ADCB46CA9E47937C34F4C6CB",1)</v>
          </cell>
          <cell r="F486" t="str">
            <v>圣诞</v>
          </cell>
        </row>
        <row r="486">
          <cell r="R486">
            <v>0</v>
          </cell>
        </row>
        <row r="487">
          <cell r="A487" t="str">
            <v>B07N8DTRZP</v>
          </cell>
          <cell r="B487" t="str">
            <v>YHG-KND-GlsJr-644pk1</v>
          </cell>
          <cell r="C487" t="str">
            <v>广口玻璃罐</v>
          </cell>
        </row>
        <row r="487">
          <cell r="E487" t="str">
            <v>=DISPIMG("ID_0538277CB9C94970BF1B04B763E63EC3",1)</v>
          </cell>
          <cell r="F487" t="str">
            <v>厨房用具</v>
          </cell>
        </row>
        <row r="487">
          <cell r="R487">
            <v>0</v>
          </cell>
        </row>
        <row r="488">
          <cell r="A488" t="str">
            <v>B00S29WN3S</v>
          </cell>
          <cell r="B488" t="str">
            <v>ESP-SPO-PushBars</v>
          </cell>
          <cell r="C488" t="str">
            <v>俯卧撑杆</v>
          </cell>
        </row>
        <row r="488">
          <cell r="E488" t="str">
            <v>=DISPIMG("ID_49B56D349CD440F0B946F272BE4C74B6",1)</v>
          </cell>
          <cell r="F488" t="str">
            <v>健身</v>
          </cell>
        </row>
        <row r="488">
          <cell r="R488">
            <v>0</v>
          </cell>
        </row>
        <row r="489">
          <cell r="A489" t="str">
            <v>B07YKLJDVX</v>
          </cell>
          <cell r="B489" t="str">
            <v>EDU-BSS-FshMg2000</v>
          </cell>
          <cell r="C489" t="str">
            <v>钓鱼磁铁</v>
          </cell>
        </row>
        <row r="489">
          <cell r="E489" t="str">
            <v>=DISPIMG("ID_B4384703CD2E4F35A6BA51ED72899592",1)</v>
          </cell>
          <cell r="F489" t="str">
            <v>户外</v>
          </cell>
        </row>
        <row r="489">
          <cell r="R489">
            <v>0</v>
          </cell>
        </row>
        <row r="490">
          <cell r="A490" t="str">
            <v>B072BM21NV</v>
          </cell>
          <cell r="B490" t="str">
            <v>BES-ACS-ApNyBrh-10pk</v>
          </cell>
          <cell r="C490" t="str">
            <v>油漆刷套装</v>
          </cell>
        </row>
        <row r="490">
          <cell r="E490" t="str">
            <v>=DISPIMG("ID_AEA1BEA5A97E45BF9AFF11447C6EB836",1)</v>
          </cell>
        </row>
        <row r="490">
          <cell r="R490">
            <v>0</v>
          </cell>
        </row>
        <row r="491">
          <cell r="A491" t="str">
            <v>B01N15DI2V</v>
          </cell>
          <cell r="B491" t="str">
            <v>HSL-ETC-PhnBkeMntM</v>
          </cell>
          <cell r="C491" t="str">
            <v>自行车手机支架</v>
          </cell>
        </row>
        <row r="491">
          <cell r="E491" t="str">
            <v>=DISPIMG("ID_6043DCC6726A475D91CD9E1B12DEB6E3",1)</v>
          </cell>
          <cell r="F491" t="str">
            <v>户外</v>
          </cell>
        </row>
        <row r="491">
          <cell r="R491">
            <v>0</v>
          </cell>
        </row>
        <row r="492">
          <cell r="A492" t="str">
            <v>B08S5F7MM5</v>
          </cell>
          <cell r="B492" t="str">
            <v>YHG-HOK-WdCtRk</v>
          </cell>
          <cell r="C492" t="str">
            <v>木树衣帽架</v>
          </cell>
        </row>
        <row r="492">
          <cell r="E492" t="str">
            <v>=DISPIMG("ID_E0B60410567C41909085917594313AED",1)</v>
          </cell>
          <cell r="F492" t="str">
            <v>衣架</v>
          </cell>
        </row>
        <row r="492">
          <cell r="R492">
            <v>0</v>
          </cell>
        </row>
        <row r="493">
          <cell r="A493" t="str">
            <v>B08Y3NCPTH</v>
          </cell>
          <cell r="B493" t="str">
            <v>YHG-KND-StlTrvlMg-Lgry2pk</v>
          </cell>
          <cell r="C493" t="str">
            <v>保温咖啡杯</v>
          </cell>
        </row>
        <row r="493">
          <cell r="E493" t="str">
            <v>=DISPIMG("ID_894B543A7C4844A69A3837816F831E65",1)</v>
          </cell>
          <cell r="F493" t="str">
            <v>水瓶</v>
          </cell>
        </row>
        <row r="493">
          <cell r="R493">
            <v>0</v>
          </cell>
        </row>
        <row r="494">
          <cell r="A494" t="str">
            <v>B01DIKFVH0</v>
          </cell>
          <cell r="B494" t="str">
            <v>ELS-SPO-CkBag-PNK-UK</v>
          </cell>
          <cell r="C494" t="str">
            <v>登山粉袋</v>
          </cell>
        </row>
        <row r="494">
          <cell r="E494" t="str">
            <v>=DISPIMG("ID_4053E113B450413BAB894DD69C849594",1)</v>
          </cell>
          <cell r="F494" t="str">
            <v>户外</v>
          </cell>
        </row>
        <row r="494">
          <cell r="R494">
            <v>0</v>
          </cell>
        </row>
        <row r="495">
          <cell r="A495" t="str">
            <v>B010U86G5E</v>
          </cell>
          <cell r="B495" t="str">
            <v>ESP-SPO-AbPad</v>
          </cell>
          <cell r="C495" t="str">
            <v>仰卧起坐垫</v>
          </cell>
        </row>
        <row r="495">
          <cell r="E495" t="str">
            <v>=DISPIMG("ID_804804C241464FCD820530D7079D3AFD",1)</v>
          </cell>
          <cell r="F495" t="str">
            <v>健身</v>
          </cell>
        </row>
        <row r="495">
          <cell r="R495">
            <v>0</v>
          </cell>
        </row>
        <row r="496">
          <cell r="A496" t="str">
            <v>B01KKLVWDM</v>
          </cell>
          <cell r="B496" t="str">
            <v>YHG-HOK-DflChrsTreBg-9Red</v>
          </cell>
          <cell r="C496" t="str">
            <v>圣诞树收纳袋</v>
          </cell>
        </row>
        <row r="496">
          <cell r="E496" t="str">
            <v>=DISPIMG("ID_337FE84E0C194B9BA3EA3E4695B2CC0D",1)</v>
          </cell>
          <cell r="F496" t="str">
            <v>圣诞</v>
          </cell>
        </row>
        <row r="496">
          <cell r="R496">
            <v>0</v>
          </cell>
        </row>
        <row r="497">
          <cell r="A497" t="str">
            <v>B06Y2KFWWR</v>
          </cell>
          <cell r="B497" t="str">
            <v>YHG-HOK-KdVlvtHngr-14Blk50pk</v>
          </cell>
          <cell r="C497" t="str">
            <v>天鹅绒衣架</v>
          </cell>
        </row>
        <row r="497">
          <cell r="E497" t="str">
            <v>=DISPIMG("ID_0614F0871CD74547ABA9D705128DBBF3",1)</v>
          </cell>
          <cell r="F497" t="str">
            <v>衣架</v>
          </cell>
        </row>
        <row r="497">
          <cell r="R497">
            <v>0</v>
          </cell>
        </row>
        <row r="498">
          <cell r="A498" t="str">
            <v>B01FJ9GE74</v>
          </cell>
          <cell r="B498" t="str">
            <v>BRK-BPC-GrmCape-DlxWh</v>
          </cell>
          <cell r="C498" t="str">
            <v>胡须围兜</v>
          </cell>
        </row>
        <row r="498">
          <cell r="E498" t="str">
            <v>=DISPIMG("ID_2E9A6BCEC8474208854CC5E5FB9FCE86",1)</v>
          </cell>
          <cell r="F498" t="str">
            <v>美容</v>
          </cell>
        </row>
        <row r="498">
          <cell r="R498">
            <v>0</v>
          </cell>
        </row>
        <row r="499">
          <cell r="A499" t="str">
            <v>B07HKMSMFL</v>
          </cell>
          <cell r="B499" t="str">
            <v>HSL-CFA-PhnCrMgntMntH</v>
          </cell>
          <cell r="C499" t="str">
            <v>车载电话支架</v>
          </cell>
        </row>
        <row r="499">
          <cell r="E499" t="str">
            <v>=DISPIMG("ID_B68114871E7E42299D25DFA6AEAA6724",1)</v>
          </cell>
          <cell r="F499" t="str">
            <v>汽车</v>
          </cell>
        </row>
        <row r="499">
          <cell r="R499">
            <v>0</v>
          </cell>
        </row>
        <row r="500">
          <cell r="A500" t="str">
            <v>B01I8Y21S8</v>
          </cell>
          <cell r="B500" t="str">
            <v>NVT-KND-TblPd-52x108</v>
          </cell>
          <cell r="C500" t="str">
            <v>桌垫</v>
          </cell>
        </row>
        <row r="500">
          <cell r="E500" t="str">
            <v>=DISPIMG("ID_0563B7683ABB44AEB399DBD9E2E6F532",1)</v>
          </cell>
          <cell r="F500" t="str">
            <v>家居</v>
          </cell>
        </row>
        <row r="500">
          <cell r="R500">
            <v>0</v>
          </cell>
        </row>
        <row r="501">
          <cell r="A501" t="str">
            <v>B01HC4FEZM</v>
          </cell>
          <cell r="B501" t="str">
            <v>BKY-HOK-PILWQ-2P</v>
          </cell>
          <cell r="C501" t="str">
            <v>凝胶枕头</v>
          </cell>
        </row>
        <row r="501">
          <cell r="E501" t="str">
            <v>=DISPIMG("ID_65C1CDD9742E40B4A0F79C22A2F6AF72",1)</v>
          </cell>
          <cell r="F501" t="str">
            <v>枕套</v>
          </cell>
        </row>
        <row r="501">
          <cell r="R501">
            <v>0</v>
          </cell>
        </row>
        <row r="502">
          <cell r="A502" t="str">
            <v>B08HCDFTPX</v>
          </cell>
          <cell r="B502" t="str">
            <v>YHG-HOK-VlvtHngrTb-20pk</v>
          </cell>
          <cell r="C502" t="str">
            <v>天鹅绒衣架</v>
          </cell>
        </row>
        <row r="502">
          <cell r="E502" t="str">
            <v>=DISPIMG("ID_2309C51089454685A2007001C167E973",1)</v>
          </cell>
          <cell r="F502" t="str">
            <v>衣架</v>
          </cell>
        </row>
        <row r="502">
          <cell r="R502">
            <v>0</v>
          </cell>
        </row>
        <row r="503">
          <cell r="A503" t="str">
            <v>B08172K1YF</v>
          </cell>
          <cell r="B503" t="str">
            <v>BBD-BBY-VlvtHngr-Gry15pk</v>
          </cell>
          <cell r="C503" t="str">
            <v>婴儿衣架</v>
          </cell>
        </row>
        <row r="503">
          <cell r="E503" t="str">
            <v>=DISPIMG("ID_4E7662A181CD4C7B832B2F6FBAB87BAD",1)</v>
          </cell>
          <cell r="F503" t="str">
            <v>衣架</v>
          </cell>
        </row>
        <row r="503">
          <cell r="R503">
            <v>0</v>
          </cell>
        </row>
        <row r="504">
          <cell r="A504" t="str">
            <v>B087VZJMZN</v>
          </cell>
          <cell r="B504" t="str">
            <v>YHG-PLG-BbgGrlCvr-64</v>
          </cell>
          <cell r="C504" t="str">
            <v>烧烤炉盖</v>
          </cell>
        </row>
        <row r="504">
          <cell r="E504" t="str">
            <v>=DISPIMG("ID_FEC8BC7D30574F7695434F72922D5ECE",1)</v>
          </cell>
          <cell r="F504" t="str">
            <v>户外</v>
          </cell>
        </row>
        <row r="504">
          <cell r="R504">
            <v>0</v>
          </cell>
        </row>
        <row r="505">
          <cell r="A505" t="str">
            <v>B00DE2JGT2</v>
          </cell>
          <cell r="B505" t="str">
            <v>ANS-ACS-CutMar-12x18Gr</v>
          </cell>
          <cell r="C505" t="str">
            <v>切割垫</v>
          </cell>
        </row>
        <row r="505">
          <cell r="E505" t="str">
            <v>=DISPIMG("ID_40A5502B9E824847B6AD4E5942656CC5",1)</v>
          </cell>
        </row>
        <row r="505">
          <cell r="R505">
            <v>0</v>
          </cell>
        </row>
        <row r="506">
          <cell r="A506" t="str">
            <v>B07BJH48DD</v>
          </cell>
          <cell r="B506" t="str">
            <v>URN-SPO-BALBOARD-1</v>
          </cell>
          <cell r="C506" t="str">
            <v>滚轴板</v>
          </cell>
        </row>
        <row r="506">
          <cell r="E506" t="str">
            <v>=DISPIMG("ID_3FF7DDF3B04745909B5CDA5491D99D78",1)</v>
          </cell>
          <cell r="F506" t="str">
            <v>健身</v>
          </cell>
        </row>
        <row r="506">
          <cell r="R506">
            <v>0</v>
          </cell>
        </row>
        <row r="507">
          <cell r="A507" t="str">
            <v>B08Z4J89K3</v>
          </cell>
          <cell r="B507" t="str">
            <v>ZCD-118/tr-rd-FBA</v>
          </cell>
          <cell r="C507" t="str">
            <v>饰品收纳</v>
          </cell>
        </row>
        <row r="507">
          <cell r="E507" t="str">
            <v>=DISPIMG("ID_997CC6E7BF1A45389DB95661A20D0C78",1)</v>
          </cell>
          <cell r="F507" t="str">
            <v>圣诞</v>
          </cell>
        </row>
        <row r="507">
          <cell r="R507">
            <v>0</v>
          </cell>
        </row>
        <row r="508">
          <cell r="A508" t="str">
            <v>B07PJRTTF8</v>
          </cell>
          <cell r="B508" t="str">
            <v>PLT-GAO-StmChrCsn-Navy</v>
          </cell>
          <cell r="C508" t="str">
            <v>椅套</v>
          </cell>
        </row>
        <row r="508">
          <cell r="E508" t="str">
            <v>=DISPIMG("ID_AAA8BCAEDFD0418B8DD918581ABB9A0F",1)</v>
          </cell>
          <cell r="F508" t="str">
            <v>桌椅</v>
          </cell>
        </row>
        <row r="508">
          <cell r="R508">
            <v>0</v>
          </cell>
        </row>
        <row r="509">
          <cell r="A509" t="str">
            <v>B07T3F7SWK</v>
          </cell>
          <cell r="B509" t="str">
            <v>YHG-HOK-WdPntHngr-Vtg10pk</v>
          </cell>
          <cell r="C509" t="str">
            <v>木衣架</v>
          </cell>
        </row>
        <row r="509">
          <cell r="E509" t="str">
            <v>=DISPIMG("ID_CC0ECB19913145369E7DB8BCBECAD1DA",1)</v>
          </cell>
          <cell r="F509" t="str">
            <v>衣架</v>
          </cell>
        </row>
        <row r="509">
          <cell r="R509">
            <v>0</v>
          </cell>
        </row>
        <row r="510">
          <cell r="A510" t="str">
            <v>B003JJQMD8</v>
          </cell>
          <cell r="B510" t="str">
            <v>GLS-ETC-CabMic-Blk25ft</v>
          </cell>
          <cell r="C510" t="str">
            <v>麦克风 XLR 电缆</v>
          </cell>
        </row>
        <row r="510">
          <cell r="E510" t="str">
            <v>=DISPIMG("ID_A07C6A2FBF554ABBA20F2073F76C61F5",1)</v>
          </cell>
        </row>
        <row r="510">
          <cell r="R510">
            <v>0</v>
          </cell>
        </row>
        <row r="511">
          <cell r="A511" t="str">
            <v>B07TTPQSBD</v>
          </cell>
          <cell r="B511" t="str">
            <v>YHG-HOK-WdHngrKdCp-Bhle10pk</v>
          </cell>
          <cell r="C511" t="str">
            <v>木衣架</v>
          </cell>
        </row>
        <row r="511">
          <cell r="E511" t="str">
            <v>=DISPIMG("ID_D24E519985464F2D9716607600651784",1)</v>
          </cell>
          <cell r="F511" t="str">
            <v>衣架</v>
          </cell>
        </row>
        <row r="511">
          <cell r="R511">
            <v>0</v>
          </cell>
        </row>
        <row r="512">
          <cell r="A512" t="str">
            <v>B08CS137V1</v>
          </cell>
          <cell r="B512" t="str">
            <v>YHG-HOK-OrnSrtgBx-3128Red</v>
          </cell>
          <cell r="C512" t="str">
            <v>饰品收纳</v>
          </cell>
        </row>
        <row r="512">
          <cell r="E512" t="str">
            <v>=DISPIMG("ID_043BA911085541D9852DA90F541CFFFD",1)</v>
          </cell>
          <cell r="F512" t="str">
            <v>圣诞</v>
          </cell>
        </row>
        <row r="512">
          <cell r="R512">
            <v>0</v>
          </cell>
        </row>
        <row r="513">
          <cell r="A513" t="str">
            <v>B07BK8W5MF</v>
          </cell>
          <cell r="B513" t="str">
            <v>FDM-HOK-MtlCbnt-71inSlv</v>
          </cell>
          <cell r="C513" t="str">
            <v>金属储物柜</v>
          </cell>
        </row>
        <row r="513">
          <cell r="E513" t="str">
            <v>=DISPIMG("ID_03EEE0B27E1F440090E318A27DF88CA3",1)</v>
          </cell>
        </row>
        <row r="513">
          <cell r="R513">
            <v>0</v>
          </cell>
        </row>
        <row r="514">
          <cell r="A514" t="str">
            <v>B07BRQRTDL</v>
          </cell>
          <cell r="B514" t="str">
            <v>BCV-ACS-JutRop-656ft2pk</v>
          </cell>
          <cell r="C514" t="str">
            <v>黄麻线</v>
          </cell>
        </row>
        <row r="514">
          <cell r="E514" t="str">
            <v>=DISPIMG("ID_18535854F4DD4597B5ADF5D88FE56181",1)</v>
          </cell>
        </row>
        <row r="514">
          <cell r="R514">
            <v>0</v>
          </cell>
        </row>
        <row r="515">
          <cell r="A515" t="str">
            <v>B0738XSDC3</v>
          </cell>
          <cell r="B515" t="str">
            <v>MDK-BPC-BdRail-M1002</v>
          </cell>
          <cell r="C515" t="str">
            <v>床栏</v>
          </cell>
        </row>
        <row r="515">
          <cell r="E515" t="str">
            <v>=DISPIMG("ID_7C51EBB38BA04934AE18FB41357D9229",1)</v>
          </cell>
        </row>
        <row r="515">
          <cell r="R515">
            <v>0</v>
          </cell>
        </row>
        <row r="516">
          <cell r="A516" t="str">
            <v>B07YCWYZT5</v>
          </cell>
          <cell r="B516" t="str">
            <v>YHG-HOK-UbedOrnSrtgBx-364Red</v>
          </cell>
          <cell r="C516" t="str">
            <v>饰品收纳</v>
          </cell>
        </row>
        <row r="516">
          <cell r="E516" t="str">
            <v>=DISPIMG("ID_011A817A6603485EA4DC4F35AD4A4799",1)</v>
          </cell>
        </row>
        <row r="516">
          <cell r="R516">
            <v>0</v>
          </cell>
        </row>
        <row r="517">
          <cell r="A517" t="str">
            <v>B07JDGJKY1</v>
          </cell>
          <cell r="B517" t="str">
            <v>YHG-HOK-OrnSrtgBx-364Red1</v>
          </cell>
          <cell r="C517" t="str">
            <v>饰品收纳</v>
          </cell>
        </row>
        <row r="517">
          <cell r="E517" t="str">
            <v>=DISPIMG("ID_F131AB6EDC784ADDBAF9ECBF5C3090C8",1)</v>
          </cell>
        </row>
        <row r="517">
          <cell r="R517">
            <v>0</v>
          </cell>
        </row>
        <row r="518">
          <cell r="A518" t="str">
            <v>B07259V18M</v>
          </cell>
          <cell r="B518" t="str">
            <v>YHG-KND-StlWnGls-18Pstl4pk</v>
          </cell>
          <cell r="C518" t="str">
            <v>隔热酒杯</v>
          </cell>
        </row>
        <row r="518">
          <cell r="E518" t="str">
            <v>=DISPIMG("ID_1526EF92FFC94667BC1A023637BAD95B",1)</v>
          </cell>
        </row>
        <row r="518">
          <cell r="R518">
            <v>0</v>
          </cell>
        </row>
        <row r="519">
          <cell r="A519" t="str">
            <v>B015LX0RXA</v>
          </cell>
          <cell r="B519" t="str">
            <v>PLT-GAO-PotTbl-Sage</v>
          </cell>
          <cell r="C519" t="str">
            <v>盆栽台</v>
          </cell>
        </row>
        <row r="519">
          <cell r="E519" t="str">
            <v>=DISPIMG("ID_75F6C6E0CD1B4644911990C1CD35691B",1)</v>
          </cell>
        </row>
        <row r="519">
          <cell r="R519">
            <v>0</v>
          </cell>
        </row>
        <row r="520">
          <cell r="A520" t="str">
            <v>B074G1BRWH</v>
          </cell>
          <cell r="B520" t="str">
            <v>PIA-APA-TirPump</v>
          </cell>
          <cell r="C520" t="str">
            <v>轮胎泵</v>
          </cell>
        </row>
        <row r="520">
          <cell r="E520" t="str">
            <v>=DISPIMG("ID_FB91EC6B74904F1DA2E42D00449CF3E7",1)</v>
          </cell>
        </row>
        <row r="520">
          <cell r="R520">
            <v>0</v>
          </cell>
        </row>
        <row r="521">
          <cell r="A521" t="str">
            <v>B01I5E2H4Y</v>
          </cell>
          <cell r="B521" t="str">
            <v>URN-SPO-BBWB</v>
          </cell>
          <cell r="C521" t="str">
            <v>平衡板</v>
          </cell>
        </row>
        <row r="521">
          <cell r="E521" t="str">
            <v>=DISPIMG("ID_92232AC276164E6E922046BF1145B224",1)</v>
          </cell>
        </row>
        <row r="521">
          <cell r="R521">
            <v>0</v>
          </cell>
        </row>
        <row r="522">
          <cell r="A522" t="str">
            <v>B0821SJ8R3</v>
          </cell>
          <cell r="B522" t="str">
            <v>YHG-HOK-NsVlvtHngr-Tqse50pk</v>
          </cell>
          <cell r="C522" t="str">
            <v>天鹅绒衣架</v>
          </cell>
        </row>
        <row r="522">
          <cell r="E522" t="str">
            <v>=DISPIMG("ID_D9BF9F7ED93041FF8C97B67CA55C611A",1)</v>
          </cell>
        </row>
        <row r="522">
          <cell r="R522">
            <v>0</v>
          </cell>
        </row>
        <row r="523">
          <cell r="A523" t="str">
            <v>B00KZ64UNC</v>
          </cell>
          <cell r="B523" t="str">
            <v>NVT-KND-LmnSqzr-Ss</v>
          </cell>
          <cell r="C523" t="str">
            <v>柑橘榨汁机</v>
          </cell>
        </row>
        <row r="523">
          <cell r="E523" t="str">
            <v>=DISPIMG("ID_290F3715A7AA4EF5A72DCE6178A640A4",1)</v>
          </cell>
        </row>
        <row r="523">
          <cell r="R523">
            <v>0</v>
          </cell>
        </row>
        <row r="524">
          <cell r="A524" t="str">
            <v>B01GFQFGFQ</v>
          </cell>
          <cell r="B524" t="str">
            <v>PRM-KND-SpltScr-13in</v>
          </cell>
          <cell r="C524" t="str">
            <v>飞溅屏幕</v>
          </cell>
        </row>
        <row r="524">
          <cell r="E524" t="str">
            <v>=DISPIMG("ID_3CB218809376470FA0C370404F36C883",1)</v>
          </cell>
        </row>
        <row r="524">
          <cell r="R524">
            <v>0</v>
          </cell>
        </row>
        <row r="525">
          <cell r="A525" t="str">
            <v>B09XRFF6SW</v>
          </cell>
          <cell r="B525" t="str">
            <v>YHG-HOK-FD-S1102-5</v>
          </cell>
          <cell r="C525" t="str">
            <v>钢制搅拌碗组</v>
          </cell>
        </row>
        <row r="525">
          <cell r="E525" t="str">
            <v>=DISPIMG("ID_DDE0DAD6EE3847CDA4126A729173D5E2",1)</v>
          </cell>
        </row>
        <row r="525">
          <cell r="R525">
            <v>0</v>
          </cell>
        </row>
        <row r="526">
          <cell r="A526" t="str">
            <v>B00WOP3WPY</v>
          </cell>
          <cell r="B526" t="str">
            <v>HCO-HOK-Cork1-EW</v>
          </cell>
          <cell r="C526" t="str">
            <v>服务员开瓶器</v>
          </cell>
        </row>
        <row r="526">
          <cell r="E526" t="str">
            <v>=DISPIMG("ID_B21281DF862A43AB949038B5B0E7A3EA",1)</v>
          </cell>
        </row>
        <row r="526">
          <cell r="R526">
            <v>0</v>
          </cell>
        </row>
        <row r="527">
          <cell r="A527" t="str">
            <v>B009MVMZCO</v>
          </cell>
          <cell r="B527" t="str">
            <v>PT1/CLAS/BLK</v>
          </cell>
          <cell r="C527" t="str">
            <v>植物支架</v>
          </cell>
        </row>
        <row r="527">
          <cell r="E527" t="str">
            <v>=DISPIMG("ID_E09FB63488D84A11B35F14404261B313",1)</v>
          </cell>
        </row>
        <row r="527">
          <cell r="R527">
            <v>0</v>
          </cell>
        </row>
        <row r="528">
          <cell r="A528" t="str">
            <v>B0938L32FS</v>
          </cell>
          <cell r="B528" t="str">
            <v>YHG-KND-GlsJrGldSld-164pk1</v>
          </cell>
          <cell r="C528" t="str">
            <v>梅森罐子</v>
          </cell>
        </row>
        <row r="528">
          <cell r="E528" t="str">
            <v>=DISPIMG("ID_FCCD4DC527A140829F778CAF3A1AF839",1)</v>
          </cell>
        </row>
        <row r="528">
          <cell r="R528">
            <v>0</v>
          </cell>
        </row>
        <row r="529">
          <cell r="A529" t="str">
            <v>B07TKD42C8</v>
          </cell>
          <cell r="B529" t="str">
            <v>YHG-HOK-JmbUndbdStrgBg-Wte</v>
          </cell>
          <cell r="C529" t="str">
            <v>床下储物袋</v>
          </cell>
        </row>
        <row r="529">
          <cell r="E529" t="str">
            <v>=DISPIMG("ID_577AA27234194810A49E6F300533EC45",1)</v>
          </cell>
        </row>
        <row r="529">
          <cell r="R529">
            <v>0</v>
          </cell>
        </row>
        <row r="530">
          <cell r="A530" t="str">
            <v>B016YVXKP0</v>
          </cell>
          <cell r="B530" t="str">
            <v>YHG-HOK-OrnSrtgBx-364Grn</v>
          </cell>
          <cell r="C530" t="str">
            <v>饰品收纳</v>
          </cell>
        </row>
        <row r="530">
          <cell r="E530" t="str">
            <v>=DISPIMG("ID_FC380362427D43359AA20780B362C012",1)</v>
          </cell>
        </row>
        <row r="530">
          <cell r="R530">
            <v>0</v>
          </cell>
        </row>
        <row r="531">
          <cell r="A531" t="str">
            <v>B0B2VNZCGP</v>
          </cell>
          <cell r="B531" t="str">
            <v>YHG-HOK-FD-S1602</v>
          </cell>
          <cell r="C531" t="str">
            <v>厨房用具套装</v>
          </cell>
        </row>
        <row r="531">
          <cell r="E531" t="str">
            <v>=DISPIMG("ID_825422FFE7EE4FAF8CEABF83D8158D50",1)</v>
          </cell>
        </row>
        <row r="531">
          <cell r="R531">
            <v>0</v>
          </cell>
        </row>
        <row r="532">
          <cell r="A532" t="str">
            <v>B08Y3DNTG8</v>
          </cell>
          <cell r="B532" t="str">
            <v>YHG-KND-StlTrvlMg-Wmbl2pk</v>
          </cell>
          <cell r="C532" t="str">
            <v>保温咖啡杯</v>
          </cell>
        </row>
        <row r="532">
          <cell r="E532" t="str">
            <v>=DISPIMG("ID_005B4558C58045C398A15999FA91D5DE",1)</v>
          </cell>
        </row>
        <row r="532">
          <cell r="R532">
            <v>0</v>
          </cell>
        </row>
        <row r="533">
          <cell r="A533" t="str">
            <v>B08DP4TJ6T</v>
          </cell>
          <cell r="B533" t="str">
            <v>YHG-KND-StlWnGls-18Rstc4pk</v>
          </cell>
          <cell r="C533" t="str">
            <v>隔热酒杯</v>
          </cell>
        </row>
        <row r="533">
          <cell r="E533" t="str">
            <v>=DISPIMG("ID_AB55F4217AF74B11ADD979DE76A1781C",1)</v>
          </cell>
        </row>
        <row r="533">
          <cell r="R533">
            <v>0</v>
          </cell>
        </row>
        <row r="534">
          <cell r="A534" t="str">
            <v>B0798JFZJ1</v>
          </cell>
          <cell r="B534" t="str">
            <v>URN-SPO-BALDISC-B</v>
          </cell>
          <cell r="C534" t="str">
            <v>平衡盘</v>
          </cell>
        </row>
        <row r="534">
          <cell r="E534" t="str">
            <v>=DISPIMG("ID_EDFB9373966F4C91A746E3FAB29A5269",1)</v>
          </cell>
        </row>
        <row r="534">
          <cell r="R534">
            <v>0</v>
          </cell>
        </row>
        <row r="535">
          <cell r="A535" t="str">
            <v>B07RV63ZY3</v>
          </cell>
          <cell r="B535" t="str">
            <v>YSH-SPO-BkCv-L</v>
          </cell>
          <cell r="C535" t="str">
            <v>自行车罩</v>
          </cell>
        </row>
        <row r="535">
          <cell r="E535" t="str">
            <v>=DISPIMG("ID_1BA66F64D4374C29BE2BC44C5E07DA7B",1)</v>
          </cell>
        </row>
        <row r="535">
          <cell r="R535">
            <v>0</v>
          </cell>
        </row>
        <row r="536">
          <cell r="A536" t="str">
            <v>B07DTQFRGN</v>
          </cell>
          <cell r="B536" t="str">
            <v>URN-SPO-YOGBLOK-2T</v>
          </cell>
          <cell r="C536" t="str">
            <v>瑜伽块</v>
          </cell>
        </row>
        <row r="536">
          <cell r="E536" t="str">
            <v>=DISPIMG("ID_23596C5E0C7A499087D8A36A93261954",1)</v>
          </cell>
        </row>
        <row r="536">
          <cell r="R536">
            <v>0</v>
          </cell>
        </row>
        <row r="537">
          <cell r="A537" t="str">
            <v>B01NCK020B</v>
          </cell>
          <cell r="B537" t="str">
            <v>WKL-APA-BngCNt-SHkBlu36x48</v>
          </cell>
          <cell r="C537" t="str">
            <v>货运网</v>
          </cell>
        </row>
        <row r="537">
          <cell r="E537" t="str">
            <v>=DISPIMG("ID_8C995B4ACE0949ABA5D19122D26F5A47",1)</v>
          </cell>
        </row>
        <row r="537">
          <cell r="R537">
            <v>0</v>
          </cell>
        </row>
        <row r="538">
          <cell r="A538" t="str">
            <v>B08Y3NCG6C</v>
          </cell>
          <cell r="B538" t="str">
            <v>YHG-KND-StlTrvlMg-Blk2pk</v>
          </cell>
          <cell r="C538" t="str">
            <v>保温咖啡杯</v>
          </cell>
        </row>
        <row r="538">
          <cell r="E538" t="str">
            <v>=DISPIMG("ID_AF93672BED314F64AC3FCED45BC4DE31",1)</v>
          </cell>
        </row>
        <row r="538">
          <cell r="R538">
            <v>0</v>
          </cell>
        </row>
        <row r="539">
          <cell r="A539" t="str">
            <v>B07RTHXDDK</v>
          </cell>
          <cell r="B539" t="str">
            <v>PWP-AZL-LEDBkL-XXL</v>
          </cell>
          <cell r="C539" t="str">
            <v>电视背光灯条</v>
          </cell>
        </row>
        <row r="539">
          <cell r="E539" t="str">
            <v>=DISPIMG("ID_CEBC19F180ED4F5BB1544F45CEB18EAE",1)</v>
          </cell>
        </row>
        <row r="539">
          <cell r="R539">
            <v>0</v>
          </cell>
        </row>
        <row r="540">
          <cell r="A540" t="str">
            <v>B01091ZI0Q</v>
          </cell>
          <cell r="B540" t="str">
            <v>BTL-HHB-PFB-M</v>
          </cell>
          <cell r="C540" t="str">
            <v>足底筋膜炎袜</v>
          </cell>
        </row>
        <row r="540">
          <cell r="E540" t="str">
            <v>=DISPIMG("ID_966409A38321420D9F45EB7C4C1E6750",1)</v>
          </cell>
        </row>
        <row r="540">
          <cell r="R540">
            <v>0</v>
          </cell>
        </row>
        <row r="541">
          <cell r="A541" t="str">
            <v>B010MVAMH2</v>
          </cell>
          <cell r="B541" t="str">
            <v>URN-SPO-EXBALL-65BLK</v>
          </cell>
          <cell r="C541" t="str">
            <v>健身球</v>
          </cell>
        </row>
        <row r="541">
          <cell r="E541" t="str">
            <v>=DISPIMG("ID_BB53D80EA43D4E69AEF2EE8C5E7A213F",1)</v>
          </cell>
        </row>
        <row r="541">
          <cell r="R541">
            <v>0</v>
          </cell>
        </row>
        <row r="542">
          <cell r="A542" t="str">
            <v>B073GQXMM9</v>
          </cell>
          <cell r="B542" t="str">
            <v>WOL-SPO-RnTrp-11x9CgLg</v>
          </cell>
          <cell r="C542" t="str">
            <v>雨篷布</v>
          </cell>
        </row>
        <row r="542">
          <cell r="E542" t="str">
            <v>=DISPIMG("ID_DD7CCA0E31CF41A0AAC144C41BD43225",1)</v>
          </cell>
        </row>
        <row r="542">
          <cell r="R542">
            <v>0</v>
          </cell>
        </row>
        <row r="543">
          <cell r="A543" t="str">
            <v>B07BTLL99G</v>
          </cell>
          <cell r="B543" t="str">
            <v>WKL-APA-BngCNt-SHkBk36x48</v>
          </cell>
          <cell r="C543" t="str">
            <v>货运网</v>
          </cell>
        </row>
        <row r="543">
          <cell r="E543" t="str">
            <v>=DISPIMG("ID_6954E44D9B4346B9B0644FD8C4EB57DB",1)</v>
          </cell>
        </row>
        <row r="543">
          <cell r="R543">
            <v>0</v>
          </cell>
        </row>
        <row r="544">
          <cell r="A544" t="str">
            <v>B01HSDXCE2</v>
          </cell>
          <cell r="B544" t="str">
            <v>URN-SPO-YWSS-FC</v>
          </cell>
          <cell r="C544" t="str">
            <v>瑜伽轮</v>
          </cell>
        </row>
        <row r="544">
          <cell r="E544" t="str">
            <v>=DISPIMG("ID_38C343C56AC9461EBA659FF884C0745A",1)</v>
          </cell>
        </row>
        <row r="544">
          <cell r="R544">
            <v>0</v>
          </cell>
        </row>
        <row r="545">
          <cell r="A545" t="str">
            <v>B014Q2XOQE</v>
          </cell>
          <cell r="B545" t="str">
            <v>BTL-HHB-PFP-L</v>
          </cell>
          <cell r="C545" t="str">
            <v>足底筋膜炎袜</v>
          </cell>
        </row>
        <row r="545">
          <cell r="E545" t="str">
            <v>=DISPIMG("ID_5B24F75021AB4B8B90FE60E1A9932F35",1)</v>
          </cell>
        </row>
        <row r="545">
          <cell r="R545">
            <v>0</v>
          </cell>
        </row>
        <row r="546">
          <cell r="A546" t="str">
            <v>B010BPOR2A</v>
          </cell>
          <cell r="B546" t="str">
            <v>BTL-HHB-PF-L</v>
          </cell>
          <cell r="C546" t="str">
            <v>足底筋膜炎袜</v>
          </cell>
        </row>
        <row r="546">
          <cell r="E546" t="str">
            <v>=DISPIMG("ID_F3F6A20B377543C4B976484426B07A19",1)</v>
          </cell>
        </row>
        <row r="546">
          <cell r="R546">
            <v>0</v>
          </cell>
        </row>
        <row r="547">
          <cell r="A547" t="str">
            <v>B01GGNWYJE</v>
          </cell>
          <cell r="B547" t="str">
            <v>BTL-HHB-PFS-L</v>
          </cell>
          <cell r="C547" t="str">
            <v>足底筋膜炎袜</v>
          </cell>
        </row>
        <row r="547">
          <cell r="E547" t="str">
            <v>=DISPIMG("ID_11E10E4E96DD46769C8D63CAEEC415AA",1)</v>
          </cell>
        </row>
        <row r="547">
          <cell r="R547">
            <v>0</v>
          </cell>
        </row>
        <row r="548">
          <cell r="A548" t="str">
            <v>B07GPL2PDT</v>
          </cell>
          <cell r="B548" t="str">
            <v>URN-SPO-PRING-12T</v>
          </cell>
          <cell r="C548" t="str">
            <v>普拉提环</v>
          </cell>
        </row>
        <row r="548">
          <cell r="E548" t="str">
            <v>=DISPIMG("ID_1B8A3EE2B57848CFBBF29F0516F233BA",1)</v>
          </cell>
        </row>
        <row r="548">
          <cell r="R548">
            <v>0</v>
          </cell>
        </row>
        <row r="549">
          <cell r="A549" t="str">
            <v>B087VVFHTL</v>
          </cell>
          <cell r="B549" t="str">
            <v>YHG-PLG-BbgGrlCvr-44</v>
          </cell>
          <cell r="C549" t="str">
            <v>烧烤炉盖</v>
          </cell>
        </row>
        <row r="549">
          <cell r="E549" t="str">
            <v>=DISPIMG("ID_9F8AE0194BBC4A09B3B2B71BE54128D2",1)</v>
          </cell>
        </row>
        <row r="549">
          <cell r="R549">
            <v>0</v>
          </cell>
        </row>
        <row r="550">
          <cell r="A550" t="str">
            <v>B088QG3Z95</v>
          </cell>
          <cell r="B550" t="str">
            <v>PLT-GAO-FldFtStlCsn-WrBge</v>
          </cell>
          <cell r="C550" t="str">
            <v>脚凳垫</v>
          </cell>
        </row>
        <row r="550">
          <cell r="E550" t="str">
            <v>=DISPIMG("ID_B50ED182326F4BF69D4A8D6950C9F6C6",1)</v>
          </cell>
        </row>
        <row r="550">
          <cell r="R550">
            <v>0</v>
          </cell>
        </row>
        <row r="551">
          <cell r="A551" t="str">
            <v>B072LXNPZY</v>
          </cell>
          <cell r="B551" t="str">
            <v>HCO-HOK-Cork1-SMW</v>
          </cell>
          <cell r="C551" t="str">
            <v>服务员开瓶器</v>
          </cell>
        </row>
        <row r="551">
          <cell r="E551" t="str">
            <v>=DISPIMG("ID_D249E011F58A469DB45DF9CE89571F60",1)</v>
          </cell>
        </row>
        <row r="551">
          <cell r="R551">
            <v>0</v>
          </cell>
        </row>
        <row r="552">
          <cell r="A552" t="str">
            <v>B071P9QNZP</v>
          </cell>
          <cell r="B552" t="str">
            <v>HCO-HOK-Cork1-SW</v>
          </cell>
          <cell r="C552" t="str">
            <v>服务员开瓶器</v>
          </cell>
        </row>
        <row r="552">
          <cell r="E552" t="str">
            <v>=DISPIMG("ID_CCFB03C04A3542F0AFDB4EE4F9E54BB4",1)</v>
          </cell>
        </row>
        <row r="552">
          <cell r="R552">
            <v>0</v>
          </cell>
        </row>
        <row r="553">
          <cell r="A553" t="str">
            <v>B06W2HV1VW</v>
          </cell>
          <cell r="B553" t="str">
            <v>HCO-HOK-Cork1-RPW</v>
          </cell>
          <cell r="C553" t="str">
            <v>服务员开瓶器</v>
          </cell>
        </row>
        <row r="553">
          <cell r="E553" t="str">
            <v>=DISPIMG("ID_215518F8E98247D6B65D288FF1DD6E5F",1)</v>
          </cell>
        </row>
        <row r="553">
          <cell r="R553">
            <v>0</v>
          </cell>
        </row>
        <row r="554">
          <cell r="A554" t="str">
            <v>B07S5H49V7</v>
          </cell>
          <cell r="B554" t="str">
            <v>LAA-SAO-BbyTNS-3prPWB3Mnth</v>
          </cell>
          <cell r="C554" t="str">
            <v>棉质紧身裤</v>
          </cell>
        </row>
        <row r="554">
          <cell r="E554" t="str">
            <v>=DISPIMG("ID_401D158A555143DF905B87C63A502B0B",1)</v>
          </cell>
        </row>
        <row r="554">
          <cell r="R554">
            <v>0</v>
          </cell>
        </row>
        <row r="555">
          <cell r="A555" t="str">
            <v>B07KGP9G6N</v>
          </cell>
          <cell r="B555" t="str">
            <v>KHM-BPC-NlClp-120L</v>
          </cell>
          <cell r="C555" t="str">
            <v>指甲钳</v>
          </cell>
        </row>
        <row r="555">
          <cell r="E555" t="str">
            <v>=DISPIMG("ID_D8FC406A58FA45749EE244984BCD682A",1)</v>
          </cell>
        </row>
        <row r="555">
          <cell r="R555">
            <v>0</v>
          </cell>
        </row>
        <row r="556">
          <cell r="A556" t="str">
            <v>B00G964Q7C</v>
          </cell>
          <cell r="B556" t="str">
            <v>HMC-MUT-SpnoUkleBdl-Pnk</v>
          </cell>
          <cell r="C556" t="str">
            <v>女高音尤克里里</v>
          </cell>
        </row>
        <row r="556">
          <cell r="E556" t="str">
            <v>=DISPIMG("ID_50B23305CCCE45DC8E6802A36D5F16E3",1)</v>
          </cell>
        </row>
        <row r="556">
          <cell r="R556">
            <v>0</v>
          </cell>
        </row>
        <row r="557">
          <cell r="A557" t="str">
            <v>B07TGJCWQL</v>
          </cell>
          <cell r="B557" t="str">
            <v>HMC-MUT-SpnoUkleBdl-Ntl</v>
          </cell>
          <cell r="C557" t="str">
            <v>女高音尤克里里</v>
          </cell>
        </row>
        <row r="557">
          <cell r="E557" t="str">
            <v>=DISPIMG("ID_35A7BACDFB6A415B9F8B725AC8E3FC36",1)</v>
          </cell>
        </row>
        <row r="557">
          <cell r="R557">
            <v>0</v>
          </cell>
        </row>
        <row r="558">
          <cell r="A558" t="str">
            <v>B077GF6JFR</v>
          </cell>
          <cell r="B558" t="str">
            <v>BKY-HOK-PCovr-WHT</v>
          </cell>
          <cell r="C558" t="str">
            <v>身体枕套</v>
          </cell>
        </row>
        <row r="558">
          <cell r="E558" t="str">
            <v>=DISPIMG("ID_DF5AA0B80B01428D9D55846F666AE01D",1)</v>
          </cell>
        </row>
        <row r="558">
          <cell r="R558">
            <v>0</v>
          </cell>
        </row>
        <row r="559">
          <cell r="A559" t="str">
            <v>B01HHSAMOG</v>
          </cell>
          <cell r="B559" t="str">
            <v>PRM-HHB-FbrTwl-3setKk</v>
          </cell>
          <cell r="C559" t="str">
            <v>超细纤维毛巾</v>
          </cell>
        </row>
        <row r="559">
          <cell r="E559" t="str">
            <v>=DISPIMG("ID_F0BB935B3AC749F598C0240F70A7664A",1)</v>
          </cell>
        </row>
        <row r="559">
          <cell r="R559">
            <v>0</v>
          </cell>
        </row>
        <row r="560">
          <cell r="A560" t="str">
            <v>B07QGLCMK8</v>
          </cell>
          <cell r="B560" t="str">
            <v>BBD-BBY-ClstHngrDvdrSt-Wdlnd</v>
          </cell>
          <cell r="C560" t="str">
            <v>衣架和分隔器套装</v>
          </cell>
        </row>
        <row r="560">
          <cell r="E560" t="str">
            <v>=DISPIMG("ID_270E85B64D954EE398299150B4D0BAA3",1)</v>
          </cell>
        </row>
        <row r="560">
          <cell r="R560">
            <v>0</v>
          </cell>
        </row>
        <row r="561">
          <cell r="A561" t="str">
            <v>B07QJ5JLJ9</v>
          </cell>
          <cell r="B561" t="str">
            <v>PRM-SPO-FannyPack-Pu</v>
          </cell>
          <cell r="C561" t="str">
            <v>腰包</v>
          </cell>
        </row>
        <row r="561">
          <cell r="E561" t="str">
            <v>=DISPIMG("ID_E98A0ED4CA1D45818CB3758F8E4B9AD7",1)</v>
          </cell>
        </row>
        <row r="561">
          <cell r="R561">
            <v>0</v>
          </cell>
        </row>
        <row r="562">
          <cell r="A562" t="str">
            <v>B07T68933Z</v>
          </cell>
          <cell r="B562" t="str">
            <v>RTR-SPO-BkMsgrBg-25Blk</v>
          </cell>
          <cell r="C562" t="str">
            <v>自行车包</v>
          </cell>
        </row>
        <row r="562">
          <cell r="E562" t="str">
            <v>=DISPIMG("ID_4991F1FD3F204D2BB2AFFD939836B783",1)</v>
          </cell>
        </row>
        <row r="562">
          <cell r="R562">
            <v>0</v>
          </cell>
        </row>
        <row r="563">
          <cell r="A563" t="str">
            <v>B00Y7QWHUO</v>
          </cell>
          <cell r="B563" t="str">
            <v>BCV-ACS-CroHok-22pcBlu</v>
          </cell>
          <cell r="C563" t="str">
            <v>钩针套装</v>
          </cell>
        </row>
        <row r="563">
          <cell r="E563" t="str">
            <v>=DISPIMG("ID_3E5E5B29A48449AEA757EF04C5AA1679",1)</v>
          </cell>
        </row>
        <row r="563">
          <cell r="R563">
            <v>0</v>
          </cell>
        </row>
        <row r="564">
          <cell r="A564" t="str">
            <v>B072BM4GGT</v>
          </cell>
          <cell r="B564" t="str">
            <v>BES-ACS-ClrPncl-72pk</v>
          </cell>
          <cell r="C564" t="str">
            <v>彩色铅笔</v>
          </cell>
        </row>
        <row r="564">
          <cell r="E564" t="str">
            <v>=DISPIMG("ID_EC04DDD101FE4A749B90D1DC6E705D8D",1)</v>
          </cell>
        </row>
        <row r="564">
          <cell r="R564">
            <v>0</v>
          </cell>
        </row>
        <row r="565">
          <cell r="A565" t="str">
            <v>B075F8962Q</v>
          </cell>
          <cell r="B565" t="str">
            <v>BES-ACS-ApNyBrh-25pk</v>
          </cell>
          <cell r="C565" t="str">
            <v>油漆刷套装</v>
          </cell>
        </row>
        <row r="565">
          <cell r="E565" t="str">
            <v>=DISPIMG("ID_D78E1C4793894164B1BC2548BC0323F2",1)</v>
          </cell>
        </row>
        <row r="565">
          <cell r="R565">
            <v>0</v>
          </cell>
        </row>
        <row r="566">
          <cell r="A566" t="str">
            <v>B07ZJW2S2S</v>
          </cell>
          <cell r="B566" t="str">
            <v>BES-HOK-WdnClthPn-50pk</v>
          </cell>
          <cell r="C566" t="str">
            <v>木制衣夹</v>
          </cell>
        </row>
        <row r="566">
          <cell r="E566" t="str">
            <v>=DISPIMG("ID_9BDE028812414AB2BAF9C4605C326962",1)</v>
          </cell>
        </row>
        <row r="566">
          <cell r="R566">
            <v>0</v>
          </cell>
        </row>
        <row r="567">
          <cell r="A567" t="str">
            <v>B07W7PMG68</v>
          </cell>
          <cell r="B567" t="str">
            <v>BBD-BBY-ClstHngrDvdrSt-Mlti</v>
          </cell>
          <cell r="C567" t="str">
            <v>衣架和分隔器套装</v>
          </cell>
        </row>
        <row r="567">
          <cell r="E567" t="str">
            <v>=DISPIMG("ID_C9FFB7013A2E4C748AB06200F0F10E46",1)</v>
          </cell>
        </row>
        <row r="567">
          <cell r="R567">
            <v>0</v>
          </cell>
        </row>
        <row r="568">
          <cell r="A568" t="str">
            <v>B00OEWG8JC</v>
          </cell>
          <cell r="B568" t="str">
            <v>PLT-GAO-Bag-Tools</v>
          </cell>
          <cell r="C568" t="str">
            <v>园林工具袋</v>
          </cell>
        </row>
        <row r="568">
          <cell r="E568" t="str">
            <v>=DISPIMG("ID_BECD5A3E079B4D9F814A887EAFAA9386",1)</v>
          </cell>
        </row>
        <row r="568">
          <cell r="R568">
            <v>0</v>
          </cell>
        </row>
        <row r="569">
          <cell r="A569" t="str">
            <v>B07QZMM1TC</v>
          </cell>
          <cell r="B569" t="str">
            <v>PRM-SPO-FannyPack-Gy</v>
          </cell>
          <cell r="C569" t="str">
            <v>腰包</v>
          </cell>
        </row>
        <row r="569">
          <cell r="E569" t="str">
            <v>=DISPIMG("ID_2B0F9F3DF580482C8ABCF1DEB672A5AE",1)</v>
          </cell>
        </row>
        <row r="569">
          <cell r="R569">
            <v>0</v>
          </cell>
        </row>
        <row r="570">
          <cell r="A570" t="str">
            <v>B07GFV142Y</v>
          </cell>
          <cell r="B570" t="str">
            <v>YHG-HOK-WdPntHngrMcp-Vtg10pk</v>
          </cell>
          <cell r="C570" t="str">
            <v>木衣架</v>
          </cell>
        </row>
        <row r="570">
          <cell r="E570" t="str">
            <v>=DISPIMG("ID_F5D114BD5F1E45F1B2CF30F916678CD3",1)</v>
          </cell>
        </row>
        <row r="570">
          <cell r="R570">
            <v>0</v>
          </cell>
        </row>
        <row r="571">
          <cell r="A571" t="str">
            <v>B08HC5QFSX</v>
          </cell>
          <cell r="B571" t="str">
            <v>YHG-HOK-VlvtHngrTb-Pnk20pk</v>
          </cell>
          <cell r="C571" t="str">
            <v>天鹅绒衣架</v>
          </cell>
        </row>
        <row r="571">
          <cell r="E571" t="str">
            <v>=DISPIMG("ID_B068B4C1588A4C78AEB99D4635EABBCC",1)</v>
          </cell>
        </row>
        <row r="571">
          <cell r="R571">
            <v>0</v>
          </cell>
        </row>
        <row r="572">
          <cell r="A572" t="str">
            <v>B07P8LX75F</v>
          </cell>
          <cell r="B572" t="str">
            <v>MDK-BPC-ShStl-Rails</v>
          </cell>
          <cell r="C572" t="str">
            <v>淋浴椅</v>
          </cell>
        </row>
        <row r="572">
          <cell r="E572" t="str">
            <v>=DISPIMG("ID_9E6ACD6354CB47CDBBA98F9C3C5EFEBC",1)</v>
          </cell>
        </row>
        <row r="572">
          <cell r="R572">
            <v>0</v>
          </cell>
        </row>
        <row r="573">
          <cell r="A573" t="str">
            <v>B087W8FJ56</v>
          </cell>
          <cell r="B573" t="str">
            <v>YHG-PLG-BbgGrlCvr-58</v>
          </cell>
          <cell r="C573" t="str">
            <v>烧烤炉盖</v>
          </cell>
        </row>
        <row r="573">
          <cell r="E573" t="str">
            <v>=DISPIMG("ID_6B8FBFA29E9C4AE3AEDF9DDE322C1A34",1)</v>
          </cell>
        </row>
        <row r="573">
          <cell r="R573">
            <v>0</v>
          </cell>
        </row>
        <row r="574">
          <cell r="A574" t="str">
            <v>B01MY6JS4M</v>
          </cell>
          <cell r="B574" t="str">
            <v>YHG-HOK-4SktHngr-3pk</v>
          </cell>
          <cell r="C574" t="str">
            <v>4 层裙架</v>
          </cell>
        </row>
        <row r="574">
          <cell r="E574" t="str">
            <v>=DISPIMG("ID_2C2157107B5D41E8B52D83C9DE042418",1)</v>
          </cell>
        </row>
        <row r="574">
          <cell r="R574">
            <v>0</v>
          </cell>
        </row>
        <row r="575">
          <cell r="A575" t="str">
            <v>B07CW2H1JH</v>
          </cell>
          <cell r="B575" t="str">
            <v>MDK-BPC-ShStl-Bench</v>
          </cell>
          <cell r="C575" t="str">
            <v>淋浴转移凳</v>
          </cell>
        </row>
        <row r="575">
          <cell r="E575" t="str">
            <v>=DISPIMG("ID_68637058B13848758F8EF8A94AF00F4E",1)</v>
          </cell>
        </row>
        <row r="575">
          <cell r="R575">
            <v>0</v>
          </cell>
        </row>
        <row r="576">
          <cell r="A576" t="str">
            <v>B08HCBGZQL</v>
          </cell>
          <cell r="B576" t="str">
            <v>YHG-HOK-VlvtHngrTb-Gry20pk</v>
          </cell>
          <cell r="C576" t="str">
            <v>天鹅绒衣架</v>
          </cell>
        </row>
        <row r="576">
          <cell r="E576" t="str">
            <v>=DISPIMG("ID_17B61AA4FD454561A0F91762DD4A0DB0",1)</v>
          </cell>
        </row>
        <row r="576">
          <cell r="R576">
            <v>0</v>
          </cell>
        </row>
        <row r="577">
          <cell r="A577" t="str">
            <v>B00S2AAWD0</v>
          </cell>
          <cell r="B577" t="str">
            <v>ESP-SPO-GymRng</v>
          </cell>
          <cell r="C577" t="str">
            <v>体操吊环</v>
          </cell>
        </row>
        <row r="577">
          <cell r="E577" t="str">
            <v>=DISPIMG("ID_D93867843058467E9924A78B907FB622",1)</v>
          </cell>
        </row>
        <row r="577">
          <cell r="R577">
            <v>0</v>
          </cell>
        </row>
        <row r="578">
          <cell r="A578" t="str">
            <v>B07TZNPZ21</v>
          </cell>
          <cell r="B578" t="str">
            <v>YHG-HOK-WdHngrKd-10pk</v>
          </cell>
          <cell r="C578" t="str">
            <v>木衣架</v>
          </cell>
        </row>
        <row r="578">
          <cell r="E578" t="str">
            <v>=DISPIMG("ID_025047579C9645AEABABEB9A6B1EF6AE",1)</v>
          </cell>
        </row>
        <row r="578">
          <cell r="R578">
            <v>0</v>
          </cell>
        </row>
        <row r="579">
          <cell r="A579" t="str">
            <v>B06XC62W55</v>
          </cell>
          <cell r="B579" t="str">
            <v>BKY-HOK-PLW2P-KNG</v>
          </cell>
          <cell r="C579" t="str">
            <v>凝胶枕头</v>
          </cell>
        </row>
        <row r="579">
          <cell r="E579" t="str">
            <v>=DISPIMG("ID_E59584C791714590A4A0A09D0DF3061B",1)</v>
          </cell>
        </row>
        <row r="579">
          <cell r="R579">
            <v>0</v>
          </cell>
        </row>
        <row r="580">
          <cell r="A580" t="str">
            <v>B00HFZUKGM</v>
          </cell>
          <cell r="B580" t="str">
            <v>GDL-ETC-DrWyAlmKt</v>
          </cell>
          <cell r="C580" t="str">
            <v>车道警报套件</v>
          </cell>
        </row>
        <row r="580">
          <cell r="E580" t="str">
            <v>=DISPIMG("ID_23779DADE1454A2D8D9F4A1B94552396",1)</v>
          </cell>
        </row>
        <row r="580">
          <cell r="R580">
            <v>0</v>
          </cell>
        </row>
        <row r="581">
          <cell r="A581" t="str">
            <v>B010SJ0Y0I</v>
          </cell>
          <cell r="B581" t="str">
            <v>HMC-MUT-TriMxrStnd-300B</v>
          </cell>
          <cell r="C581" t="str">
            <v>多功能三脚架</v>
          </cell>
        </row>
        <row r="581">
          <cell r="E581" t="str">
            <v>=DISPIMG("ID_2FF70F8A04F04207A4C20D170F5A480D",1)</v>
          </cell>
        </row>
        <row r="581">
          <cell r="R581">
            <v>0</v>
          </cell>
        </row>
        <row r="582">
          <cell r="A582" t="str">
            <v>B075LL374M</v>
          </cell>
          <cell r="B582" t="str">
            <v>PRM-HHB-FbrTwl-LBu</v>
          </cell>
          <cell r="C582" t="str">
            <v>超细纤维毛巾</v>
          </cell>
        </row>
        <row r="582">
          <cell r="E582" t="str">
            <v>=DISPIMG("ID_F739C7A970AC4881B220FDDF00B69015",1)</v>
          </cell>
        </row>
        <row r="582">
          <cell r="R582">
            <v>0</v>
          </cell>
        </row>
        <row r="583">
          <cell r="A583" t="str">
            <v>B07Q41LFDN</v>
          </cell>
          <cell r="B583" t="str">
            <v>YHG-HOK-WrpprBg-Red</v>
          </cell>
          <cell r="C583" t="str">
            <v>包装储存</v>
          </cell>
        </row>
        <row r="583">
          <cell r="E583" t="str">
            <v>=DISPIMG("ID_F6E35664B90042CEA8E237CA932EB642",1)</v>
          </cell>
        </row>
        <row r="583">
          <cell r="R583">
            <v>0</v>
          </cell>
        </row>
        <row r="584">
          <cell r="A584" t="str">
            <v>B08Z4HCLYX</v>
          </cell>
          <cell r="B584" t="str">
            <v>ZCD-118/tr-grn-FBA</v>
          </cell>
          <cell r="C584" t="str">
            <v>饰品收纳</v>
          </cell>
        </row>
        <row r="584">
          <cell r="E584" t="str">
            <v>=DISPIMG("ID_C846B350A17343FEA2AAFE69C7357B5E",1)</v>
          </cell>
        </row>
        <row r="584">
          <cell r="R584">
            <v>0</v>
          </cell>
        </row>
        <row r="585">
          <cell r="A585" t="str">
            <v>B09BNWKSWN</v>
          </cell>
          <cell r="B585" t="str">
            <v>FD-S4916-FBA</v>
          </cell>
          <cell r="C585" t="str">
            <v>钢水瓶</v>
          </cell>
        </row>
        <row r="585">
          <cell r="E585" t="str">
            <v>=DISPIMG("ID_7C9D23B64BAA4864BE269188DFB8B57F",1)</v>
          </cell>
        </row>
        <row r="585">
          <cell r="R585">
            <v>0</v>
          </cell>
        </row>
        <row r="586">
          <cell r="A586" t="str">
            <v>B088QM71GJ</v>
          </cell>
          <cell r="B586" t="str">
            <v>LAA-SAO-AnN-6prWht3/6Mths</v>
          </cell>
          <cell r="C586" t="str">
            <v>绞花针织及膝袜</v>
          </cell>
        </row>
        <row r="586">
          <cell r="E586" t="str">
            <v>=DISPIMG("ID_DA831FE1B09449B18383989BA2DE7DFE",1)</v>
          </cell>
        </row>
        <row r="586">
          <cell r="R586">
            <v>0</v>
          </cell>
        </row>
        <row r="587">
          <cell r="A587" t="str">
            <v>B07NNYDVGT</v>
          </cell>
          <cell r="B587" t="str">
            <v>GRB-CFA-PhnLanWb-Prp</v>
          </cell>
          <cell r="C587" t="str">
            <v>手机挂绳</v>
          </cell>
        </row>
        <row r="587">
          <cell r="E587" t="str">
            <v>=DISPIMG("ID_FC6A15DFAF2C44238D9F63AF4AA366C5",1)</v>
          </cell>
        </row>
        <row r="587">
          <cell r="R587">
            <v>0</v>
          </cell>
        </row>
        <row r="588">
          <cell r="A588" t="str">
            <v>B016RHTC1M</v>
          </cell>
          <cell r="B588" t="str">
            <v>ESP-HHB-MscRoll-Gr</v>
          </cell>
          <cell r="C588" t="str">
            <v>肌肉滚轴棒</v>
          </cell>
        </row>
        <row r="588">
          <cell r="E588" t="str">
            <v>=DISPIMG("ID_303037CA059D4DBBA26FBE1F83CA6804",1)</v>
          </cell>
        </row>
        <row r="588">
          <cell r="R588">
            <v>0</v>
          </cell>
        </row>
        <row r="589">
          <cell r="A589" t="str">
            <v>B08Y3VKRQZ</v>
          </cell>
          <cell r="B589" t="str">
            <v>YHG-KND-StlTrvlMg-Rgsna2pk</v>
          </cell>
          <cell r="C589" t="str">
            <v>保温咖啡杯</v>
          </cell>
        </row>
        <row r="589">
          <cell r="E589" t="str">
            <v>=DISPIMG("ID_DFC1EB11ADCB4D87B0C8BAAACEB7278C",1)</v>
          </cell>
        </row>
        <row r="589">
          <cell r="R589">
            <v>0</v>
          </cell>
        </row>
        <row r="590">
          <cell r="A590" t="str">
            <v>B07S71427G</v>
          </cell>
          <cell r="B590" t="str">
            <v>LAA-SAO-BbyNs-6prWht6Mnth</v>
          </cell>
          <cell r="C590" t="str">
            <v>抓地力踝袜</v>
          </cell>
        </row>
        <row r="590">
          <cell r="E590" t="str">
            <v>=DISPIMG("ID_071BDA2EF6D640E595986E6470A9F0E8",1)</v>
          </cell>
        </row>
        <row r="590">
          <cell r="R590">
            <v>0</v>
          </cell>
        </row>
        <row r="591">
          <cell r="A591" t="str">
            <v>B0871C2KVC</v>
          </cell>
          <cell r="B591" t="str">
            <v>LAA-SAO-KeeNs-10prWht6yrs</v>
          </cell>
          <cell r="C591" t="str">
            <v>抓地及膝袜</v>
          </cell>
        </row>
        <row r="591">
          <cell r="E591" t="str">
            <v>=DISPIMG("ID_6168BD458F6743A49934E264BFD471B3",1)</v>
          </cell>
        </row>
        <row r="591">
          <cell r="R591">
            <v>0</v>
          </cell>
        </row>
        <row r="592">
          <cell r="A592" t="str">
            <v>B081H17WPF</v>
          </cell>
          <cell r="B592" t="str">
            <v>LAA-SAO-AthGs-6prPstl7yrs</v>
          </cell>
          <cell r="C592" t="str">
            <v>抓地力小腿袜</v>
          </cell>
        </row>
        <row r="592">
          <cell r="E592" t="str">
            <v>=DISPIMG("ID_BB42892BE05742039C429B00895C98E0",1)</v>
          </cell>
        </row>
        <row r="592">
          <cell r="R592">
            <v>0</v>
          </cell>
        </row>
        <row r="593">
          <cell r="A593" t="str">
            <v>B07S98DT34</v>
          </cell>
          <cell r="B593" t="str">
            <v>LAA-SAO-GrpSc-NBlkPwdG/S</v>
          </cell>
          <cell r="C593" t="str">
            <v>抓地力踝袜</v>
          </cell>
        </row>
        <row r="593">
          <cell r="E593" t="str">
            <v>=DISPIMG("ID_D9353698EE5540279A63F57367E8C975",1)</v>
          </cell>
        </row>
        <row r="593">
          <cell r="R593">
            <v>0</v>
          </cell>
        </row>
        <row r="594">
          <cell r="A594" t="str">
            <v>B086ZTV1JF</v>
          </cell>
          <cell r="B594" t="str">
            <v>LAA-SAO-KeeNs-5prNBlu6yrs</v>
          </cell>
          <cell r="C594" t="str">
            <v>抓地及膝袜</v>
          </cell>
        </row>
        <row r="594">
          <cell r="E594" t="str">
            <v>=DISPIMG("ID_3D952414AB764BD697ED6B8480AAC7C0",1)</v>
          </cell>
        </row>
        <row r="594">
          <cell r="R594">
            <v>0</v>
          </cell>
        </row>
        <row r="595">
          <cell r="A595" t="str">
            <v>B081XWM9MC</v>
          </cell>
          <cell r="B595" t="str">
            <v>LAA-SAO-GrpSc-5prTBlk/L</v>
          </cell>
          <cell r="C595" t="str">
            <v>抓地力小腿袜</v>
          </cell>
        </row>
        <row r="595">
          <cell r="E595" t="str">
            <v>=DISPIMG("ID_DBB41020C37F46639A8363DB900ED979",1)</v>
          </cell>
        </row>
        <row r="595">
          <cell r="R595">
            <v>0</v>
          </cell>
        </row>
        <row r="596">
          <cell r="A596" t="str">
            <v>B07PDWHW79</v>
          </cell>
          <cell r="B596" t="str">
            <v>LAA-SAO-BbyNs-6prPstl7yrs</v>
          </cell>
          <cell r="C596" t="str">
            <v>抓地力踝袜</v>
          </cell>
        </row>
        <row r="596">
          <cell r="E596" t="str">
            <v>=DISPIMG("ID_16DD39DF4DC8433C8E76B12C143C166B",1)</v>
          </cell>
        </row>
        <row r="596">
          <cell r="R596">
            <v>0</v>
          </cell>
        </row>
        <row r="597">
          <cell r="A597" t="str">
            <v>B075W483CD</v>
          </cell>
          <cell r="B597" t="str">
            <v>LAA-SAO-GrpSc-1prSltG</v>
          </cell>
          <cell r="C597" t="str">
            <v>抓地力踝袜</v>
          </cell>
        </row>
        <row r="597">
          <cell r="E597" t="str">
            <v>=DISPIMG("ID_3E86B25B86AD403EA1A5CED03398F5E9",1)</v>
          </cell>
        </row>
        <row r="597">
          <cell r="R597">
            <v>0</v>
          </cell>
        </row>
        <row r="598">
          <cell r="A598" t="str">
            <v>B01M0BEBHB</v>
          </cell>
          <cell r="B598" t="str">
            <v>THC-HOK-CtBd-18x24x0.5Wht</v>
          </cell>
          <cell r="C598" t="str">
            <v>塑料菜板</v>
          </cell>
        </row>
        <row r="598">
          <cell r="E598" t="str">
            <v>=DISPIMG("ID_173654E4C427449EA454CED6E005F1E5",1)</v>
          </cell>
        </row>
        <row r="598">
          <cell r="R598">
            <v>0</v>
          </cell>
        </row>
        <row r="599">
          <cell r="A599" t="str">
            <v>B071LQ36SF</v>
          </cell>
          <cell r="B599" t="str">
            <v>HCO-HOK-Cork1-SSW</v>
          </cell>
          <cell r="C599" t="str">
            <v>服务员开瓶器</v>
          </cell>
        </row>
        <row r="599">
          <cell r="E599" t="str">
            <v>=DISPIMG("ID_142739F959554A559EE8A4AFFD3DCCA5",1)</v>
          </cell>
        </row>
        <row r="599">
          <cell r="R599">
            <v>0</v>
          </cell>
        </row>
        <row r="600">
          <cell r="A600" t="str">
            <v>B07YBN9PZQ</v>
          </cell>
          <cell r="B600" t="str">
            <v>STB-BPC-DrRlr-2.0RpHd</v>
          </cell>
          <cell r="C600" t="str">
            <v>真皮滚轮头</v>
          </cell>
        </row>
        <row r="600">
          <cell r="E600" t="str">
            <v>=DISPIMG("ID_EA81E5D030C040088080F42700B399B5",1)</v>
          </cell>
        </row>
        <row r="600">
          <cell r="R600">
            <v>0</v>
          </cell>
        </row>
        <row r="601">
          <cell r="A601" t="str">
            <v>B08CPRMH18</v>
          </cell>
          <cell r="B601" t="str">
            <v>YHG-HOK-WrpprBg-Gry</v>
          </cell>
          <cell r="C601" t="str">
            <v>包装储存</v>
          </cell>
        </row>
        <row r="601">
          <cell r="E601" t="str">
            <v>=DISPIMG("ID_E531DF5650304B9394113C3533588A95",1)</v>
          </cell>
        </row>
        <row r="601">
          <cell r="R601">
            <v>0</v>
          </cell>
        </row>
        <row r="602">
          <cell r="A602" t="str">
            <v>B07BWQD2B5</v>
          </cell>
          <cell r="B602" t="str">
            <v>ETC-SPO-ArmBnd-RtBlack</v>
          </cell>
          <cell r="C602" t="str">
            <v>手机臂带</v>
          </cell>
        </row>
        <row r="602">
          <cell r="E602" t="str">
            <v>=DISPIMG("ID_EFE5A263DEF243D8A197867AB6BFE3E4",1)</v>
          </cell>
        </row>
        <row r="602">
          <cell r="R602">
            <v>0</v>
          </cell>
        </row>
        <row r="603">
          <cell r="A603" t="str">
            <v>B08Y3XB8XD</v>
          </cell>
          <cell r="B603" t="str">
            <v>YHG-KND-StlTrvlMg-Bmbl2pk</v>
          </cell>
          <cell r="C603" t="str">
            <v>保温咖啡杯</v>
          </cell>
        </row>
        <row r="603">
          <cell r="E603" t="str">
            <v>=DISPIMG("ID_C1F22B358F844259836D74D41614D317",1)</v>
          </cell>
        </row>
        <row r="603">
          <cell r="R603">
            <v>0</v>
          </cell>
        </row>
        <row r="604">
          <cell r="A604" t="str">
            <v>B07DFRJB72</v>
          </cell>
          <cell r="B604" t="str">
            <v>ETC-SPO-RunBelt-Gray</v>
          </cell>
          <cell r="C604" t="str">
            <v>跑步带</v>
          </cell>
        </row>
        <row r="604">
          <cell r="E604" t="str">
            <v>=DISPIMG("ID_E2635EA726E84516802B7F52D487B383",1)</v>
          </cell>
        </row>
        <row r="604">
          <cell r="R604">
            <v>0</v>
          </cell>
        </row>
        <row r="605">
          <cell r="A605" t="str">
            <v>B07MQXKKJ6</v>
          </cell>
          <cell r="B605" t="str">
            <v>ETC-SPO-ArmBnd-GrayM</v>
          </cell>
          <cell r="C605" t="str">
            <v>手机支架</v>
          </cell>
        </row>
        <row r="605">
          <cell r="E605" t="str">
            <v>=DISPIMG("ID_CE1B3D6AE904476D9C2E6192FCB4ABF7",1)</v>
          </cell>
        </row>
        <row r="605">
          <cell r="R605">
            <v>0</v>
          </cell>
        </row>
        <row r="606">
          <cell r="A606" t="str">
            <v>B06Y1W9XYL</v>
          </cell>
          <cell r="B606" t="str">
            <v>DAT-APA-AFr2P-G</v>
          </cell>
          <cell r="C606" t="str">
            <v>汽车空气清新剂</v>
          </cell>
        </row>
        <row r="606">
          <cell r="E606" t="str">
            <v>=DISPIMG("ID_BF77558C1CBC429A9238B5383A099A81",1)</v>
          </cell>
        </row>
        <row r="606">
          <cell r="R606">
            <v>0</v>
          </cell>
        </row>
        <row r="607">
          <cell r="A607" t="str">
            <v>B000RKL8R2</v>
          </cell>
          <cell r="B607" t="str">
            <v>GLS-ETC-CabMic-Clr25ft6pk</v>
          </cell>
          <cell r="C607" t="str">
            <v>麦克风 XLR 电缆</v>
          </cell>
        </row>
        <row r="607">
          <cell r="E607" t="str">
            <v>=DISPIMG("ID_EFCBF296E0EF41459B7D99CC70AE00B6",1)</v>
          </cell>
        </row>
        <row r="607">
          <cell r="R607">
            <v>0</v>
          </cell>
        </row>
        <row r="608">
          <cell r="A608" t="str">
            <v>B07WWCLY47</v>
          </cell>
          <cell r="B608" t="str">
            <v>PRM-SPO-FannyPack-Bu</v>
          </cell>
          <cell r="C608" t="str">
            <v>腰包</v>
          </cell>
        </row>
        <row r="608">
          <cell r="E608" t="str">
            <v>=DISPIMG("ID_AEA6B2A0B8DA4585B5358344AE3F19E1",1)</v>
          </cell>
        </row>
        <row r="608">
          <cell r="R608">
            <v>0</v>
          </cell>
        </row>
        <row r="609">
          <cell r="A609" t="str">
            <v>B07RL8ZGN8</v>
          </cell>
          <cell r="B609" t="str">
            <v>YHG-HOK-PltRlChrsTreBg-9Red</v>
          </cell>
          <cell r="C609" t="str">
            <v>圣诞树收纳袋</v>
          </cell>
        </row>
        <row r="609">
          <cell r="E609" t="str">
            <v>=DISPIMG("ID_8331AE40E89D474AA084B5AA973CF249",1)</v>
          </cell>
        </row>
        <row r="609">
          <cell r="R609">
            <v>0</v>
          </cell>
        </row>
        <row r="610">
          <cell r="A610" t="str">
            <v>B08Z4DP1FP</v>
          </cell>
          <cell r="B610" t="str">
            <v>ZCD-116/tr-rd-FBA</v>
          </cell>
          <cell r="C610" t="str">
            <v>饰品收纳</v>
          </cell>
        </row>
        <row r="610">
          <cell r="E610" t="str">
            <v>=DISPIMG("ID_A3C7FEF20793488B951E9C0115D9C2C5",1)</v>
          </cell>
        </row>
        <row r="610">
          <cell r="R610">
            <v>0</v>
          </cell>
        </row>
        <row r="611">
          <cell r="A611" t="str">
            <v>B07XK92VB8</v>
          </cell>
          <cell r="B611" t="str">
            <v>LAA-SAO-KeeNs-5prGrlMltClr12Mnth</v>
          </cell>
          <cell r="C611" t="str">
            <v>抓地及膝袜</v>
          </cell>
        </row>
        <row r="611">
          <cell r="E611" t="str">
            <v>=DISPIMG("ID_F106915671744D40A0E3892E4D4CA018",1)</v>
          </cell>
        </row>
        <row r="611">
          <cell r="R611">
            <v>0</v>
          </cell>
        </row>
        <row r="612">
          <cell r="A612" t="str">
            <v>B07H3ZV7M4</v>
          </cell>
          <cell r="B612" t="str">
            <v>LAA-SAO-KeeNs-5prBoyStp</v>
          </cell>
          <cell r="C612" t="str">
            <v>抓地及膝袜</v>
          </cell>
        </row>
        <row r="612">
          <cell r="E612" t="str">
            <v>=DISPIMG("ID_BFB681E7790B42469845F05008A9F35A",1)</v>
          </cell>
        </row>
        <row r="612">
          <cell r="R612">
            <v>0</v>
          </cell>
        </row>
        <row r="613">
          <cell r="A613" t="str">
            <v>B08Q3PK1D3</v>
          </cell>
          <cell r="B613" t="str">
            <v>LAA-SAO-KdKee-RBKNvy5pk9yr</v>
          </cell>
          <cell r="C613" t="str">
            <v>抓地及膝袜</v>
          </cell>
        </row>
        <row r="613">
          <cell r="E613" t="str">
            <v>=DISPIMG("ID_5EFF5FC01A13489AA17C5C1912FB226E",1)</v>
          </cell>
        </row>
        <row r="613">
          <cell r="R613">
            <v>0</v>
          </cell>
        </row>
        <row r="614">
          <cell r="A614" t="str">
            <v>B07PGXVS95</v>
          </cell>
          <cell r="B614" t="str">
            <v>LAA-SAO-Bbyns-5prWht6yrs</v>
          </cell>
          <cell r="C614" t="str">
            <v>抓地及膝袜</v>
          </cell>
        </row>
        <row r="614">
          <cell r="E614" t="str">
            <v>=DISPIMG("ID_D5C9870B4BA442319C114DF4C183C39C",1)</v>
          </cell>
        </row>
        <row r="614">
          <cell r="R614">
            <v>0</v>
          </cell>
        </row>
        <row r="615">
          <cell r="A615" t="str">
            <v>B099NV12CR</v>
          </cell>
          <cell r="B615" t="str">
            <v>YHG-KND-XlRtStlUtlHldr</v>
          </cell>
          <cell r="C615" t="str">
            <v>厨房用具架</v>
          </cell>
        </row>
        <row r="615">
          <cell r="E615" t="str">
            <v>=DISPIMG("ID_92F35265C44E43DAACAC4FBD0D889B7B",1)</v>
          </cell>
        </row>
        <row r="615">
          <cell r="R615">
            <v>0</v>
          </cell>
        </row>
        <row r="616">
          <cell r="A616" t="str">
            <v>B085FS9B8S</v>
          </cell>
          <cell r="B616" t="str">
            <v>LAA-SAO-CalPA-6prClrL8/10An</v>
          </cell>
          <cell r="C616" t="str">
            <v>抓地力踝袜</v>
          </cell>
        </row>
        <row r="616">
          <cell r="E616" t="str">
            <v>=DISPIMG("ID_389161A9AE2A4904AF4B23FC74A0A015",1)</v>
          </cell>
        </row>
        <row r="616">
          <cell r="R616">
            <v>0</v>
          </cell>
        </row>
        <row r="617">
          <cell r="A617" t="str">
            <v>B07D6F8KBF</v>
          </cell>
          <cell r="B617" t="str">
            <v>LAA-SAO-BbyNs-6prBoy7yrs</v>
          </cell>
          <cell r="C617" t="str">
            <v>抓地力踝袜</v>
          </cell>
        </row>
        <row r="617">
          <cell r="E617" t="str">
            <v>=DISPIMG("ID_E55597E089914CF7989F227AE837182C",1)</v>
          </cell>
        </row>
        <row r="617">
          <cell r="R617">
            <v>0</v>
          </cell>
        </row>
        <row r="618">
          <cell r="A618" t="str">
            <v>B07H4BYLJN</v>
          </cell>
          <cell r="B618" t="str">
            <v>LAA-SAO-KeeNs-5prGrltp</v>
          </cell>
          <cell r="C618" t="str">
            <v>抓地及膝袜</v>
          </cell>
        </row>
        <row r="618">
          <cell r="E618" t="str">
            <v>=DISPIMG("ID_5E23E06E356F4C52A5E74E33625A82B0",1)</v>
          </cell>
        </row>
        <row r="618">
          <cell r="R618">
            <v>0</v>
          </cell>
        </row>
        <row r="619">
          <cell r="A619" t="str">
            <v>B08FYZ4NL5</v>
          </cell>
          <cell r="B619" t="str">
            <v>LAA-SAO-AAth-6prGrl7yrs</v>
          </cell>
          <cell r="C619" t="str">
            <v>儿童抓地袜</v>
          </cell>
        </row>
        <row r="619">
          <cell r="E619" t="str">
            <v>=DISPIMG("ID_BB8BCEF25FAA4297B0A5E71D8E407C0A",1)</v>
          </cell>
        </row>
        <row r="619">
          <cell r="R619">
            <v>0</v>
          </cell>
        </row>
        <row r="620">
          <cell r="A620" t="str">
            <v>B085FWGDHF</v>
          </cell>
          <cell r="B620" t="str">
            <v>LAA-SAO-BbyNs-6prRnb10yrs</v>
          </cell>
          <cell r="C620" t="str">
            <v>抓地力踝袜</v>
          </cell>
        </row>
        <row r="620">
          <cell r="E620" t="str">
            <v>=DISPIMG("ID_D3CBACB0A60F42259D4D93BC11A92FD3",1)</v>
          </cell>
        </row>
        <row r="620">
          <cell r="R620">
            <v>0</v>
          </cell>
        </row>
        <row r="621">
          <cell r="A621" t="str">
            <v>B09BDLJC4P</v>
          </cell>
          <cell r="B621" t="str">
            <v>FD-S4806-FBA</v>
          </cell>
          <cell r="C621" t="str">
            <v>钢水瓶</v>
          </cell>
        </row>
        <row r="621">
          <cell r="E621" t="str">
            <v>=DISPIMG("ID_B1A789D9B49C431A8AAF16847ADF2CA6",1)</v>
          </cell>
        </row>
        <row r="621">
          <cell r="R621">
            <v>0</v>
          </cell>
        </row>
        <row r="622">
          <cell r="A622" t="str">
            <v>B09BDMFRSZ</v>
          </cell>
          <cell r="B622" t="str">
            <v>FD-S4719-FBA</v>
          </cell>
          <cell r="C622" t="str">
            <v>钢水瓶</v>
          </cell>
        </row>
        <row r="622">
          <cell r="E622" t="str">
            <v>=DISPIMG("ID_65B27FD88F464CD48CF54CFCF30143FB",1)</v>
          </cell>
        </row>
        <row r="622">
          <cell r="R622">
            <v>0</v>
          </cell>
        </row>
        <row r="623">
          <cell r="A623" t="str">
            <v>B07S395LFM</v>
          </cell>
          <cell r="B623" t="str">
            <v>LAA-SAO-CalPA-6prGryS6Mnth</v>
          </cell>
          <cell r="C623" t="str">
            <v>抓地力踝袜</v>
          </cell>
        </row>
        <row r="623">
          <cell r="E623" t="str">
            <v>=DISPIMG("ID_53184166299E4B5385EC9C92A0EF30F3",1)</v>
          </cell>
        </row>
        <row r="623">
          <cell r="R623">
            <v>0</v>
          </cell>
        </row>
        <row r="624">
          <cell r="A624" t="str">
            <v>B07S5HP243</v>
          </cell>
          <cell r="B624" t="str">
            <v>LAA-SAO-CalPA-6prGryS0/3Mes</v>
          </cell>
          <cell r="C624" t="str">
            <v>抓地力踝袜</v>
          </cell>
        </row>
        <row r="624">
          <cell r="E624" t="str">
            <v>=DISPIMG("ID_C07C4170A21848C5B344E7F5A4E1FB96",1)</v>
          </cell>
        </row>
        <row r="624">
          <cell r="R624">
            <v>0</v>
          </cell>
        </row>
        <row r="625">
          <cell r="A625" t="str">
            <v>B08Q3DYGY3</v>
          </cell>
          <cell r="B625" t="str">
            <v>LAA-SAO-AnkNw-Pst6pk3Mnth</v>
          </cell>
          <cell r="C625" t="str">
            <v>抓地力踝袜</v>
          </cell>
        </row>
        <row r="625">
          <cell r="E625" t="str">
            <v>=DISPIMG("ID_7574A8F7BD2D4945B70DE9B9A511DE93",1)</v>
          </cell>
        </row>
        <row r="625">
          <cell r="R625">
            <v>0</v>
          </cell>
        </row>
        <row r="626">
          <cell r="A626" t="str">
            <v>B07L4L7Z43</v>
          </cell>
          <cell r="B626" t="str">
            <v>LAA-SAO-BbyNs-6prBk7yrs</v>
          </cell>
          <cell r="C626" t="str">
            <v>抓地力踝袜</v>
          </cell>
        </row>
        <row r="626">
          <cell r="E626" t="str">
            <v>=DISPIMG("ID_1E3684C98C7F44FF911A3F2C99114265",1)</v>
          </cell>
        </row>
        <row r="626">
          <cell r="R626">
            <v>0</v>
          </cell>
        </row>
        <row r="627">
          <cell r="A627" t="str">
            <v>B07H3Y6CP7</v>
          </cell>
          <cell r="B627" t="str">
            <v>LAA-SAO-KeeNs-5prWht</v>
          </cell>
          <cell r="C627" t="str">
            <v>抓地及膝袜</v>
          </cell>
        </row>
        <row r="627">
          <cell r="E627" t="str">
            <v>=DISPIMG("ID_79BE1BBB85204B28A0AAFE8EF16D6550",1)</v>
          </cell>
        </row>
        <row r="627">
          <cell r="R627">
            <v>0</v>
          </cell>
        </row>
        <row r="628">
          <cell r="A628" t="str">
            <v>B08DP4SKM8</v>
          </cell>
          <cell r="B628" t="str">
            <v>YHG-KND-StlWtrBtl-17Rstc2pk</v>
          </cell>
          <cell r="C628" t="str">
            <v>钢水瓶</v>
          </cell>
        </row>
        <row r="628">
          <cell r="E628" t="str">
            <v>=DISPIMG("ID_6F14A35A01324369B34F7887BDD69A2C",1)</v>
          </cell>
        </row>
        <row r="628">
          <cell r="R628">
            <v>0</v>
          </cell>
        </row>
        <row r="629">
          <cell r="A629" t="str">
            <v>B08Q3BPZ74</v>
          </cell>
          <cell r="B629" t="str">
            <v>LAA-SAO-AnkNw-ClrS6pk6Mnth</v>
          </cell>
          <cell r="C629" t="str">
            <v>抓地力踝袜</v>
          </cell>
        </row>
        <row r="629">
          <cell r="E629" t="str">
            <v>=DISPIMG("ID_74EE520DEED44ADAB1AEDF2F31F23608",1)</v>
          </cell>
        </row>
        <row r="629">
          <cell r="R629">
            <v>0</v>
          </cell>
        </row>
        <row r="630">
          <cell r="A630" t="str">
            <v>B07W8Y3FK6</v>
          </cell>
          <cell r="B630" t="str">
            <v>LAA-SAO-AthGs-6prGrl36Mnth</v>
          </cell>
          <cell r="C630" t="str">
            <v>抓地力小腿袜</v>
          </cell>
        </row>
        <row r="630">
          <cell r="E630" t="str">
            <v>=DISPIMG("ID_5A46276A1C5D42C5822E7A84706D3515",1)</v>
          </cell>
        </row>
        <row r="630">
          <cell r="R630">
            <v>0</v>
          </cell>
        </row>
        <row r="631">
          <cell r="A631" t="str">
            <v>B0B2VQ4VNZ</v>
          </cell>
          <cell r="B631" t="str">
            <v>YHG-HOK-FD-S1605</v>
          </cell>
          <cell r="C631" t="str">
            <v>厨房用具套装</v>
          </cell>
        </row>
        <row r="631">
          <cell r="E631" t="str">
            <v>=DISPIMG("ID_970CF1907CF7424D8E25E11458C80388",1)</v>
          </cell>
        </row>
        <row r="631">
          <cell r="R631">
            <v>0</v>
          </cell>
        </row>
        <row r="632">
          <cell r="A632" t="str">
            <v>B08HCJJZ1L</v>
          </cell>
          <cell r="B632" t="str">
            <v>YHG-HOK-VlvtHngrTb-Bgdy20pk</v>
          </cell>
          <cell r="C632" t="str">
            <v>天鹅绒衣架</v>
          </cell>
        </row>
        <row r="632">
          <cell r="E632" t="str">
            <v>=DISPIMG("ID_47E55F147B4D4CA78A96DEB768632821",1)</v>
          </cell>
        </row>
        <row r="632">
          <cell r="R632">
            <v>0</v>
          </cell>
        </row>
        <row r="633">
          <cell r="A633" t="str">
            <v>B08LZ856K5</v>
          </cell>
          <cell r="B633" t="str">
            <v>YHG-KND-GlsOilDspnrSlm-Dgrn2pk</v>
          </cell>
          <cell r="C633" t="str">
            <v>加油机</v>
          </cell>
        </row>
        <row r="633">
          <cell r="E633" t="str">
            <v>=DISPIMG("ID_F35D48AE000C4E8F9785803D89318BCD",1)</v>
          </cell>
        </row>
        <row r="633">
          <cell r="R633">
            <v>0</v>
          </cell>
        </row>
        <row r="634">
          <cell r="A634" t="str">
            <v>B07W8VQQY3</v>
          </cell>
          <cell r="B634" t="str">
            <v>LAA-SAO-AthGs-GryScl36Mnth</v>
          </cell>
          <cell r="C634" t="str">
            <v>抓地力小腿袜</v>
          </cell>
        </row>
        <row r="634">
          <cell r="E634" t="str">
            <v>=DISPIMG("ID_5A9C0AA039904304BC48858C9767FD51",1)</v>
          </cell>
        </row>
        <row r="634">
          <cell r="R634">
            <v>0</v>
          </cell>
        </row>
        <row r="635">
          <cell r="A635" t="str">
            <v>B088K3DFNV</v>
          </cell>
          <cell r="B635" t="str">
            <v>LAA-SAO-FuzNs-MBlkDGrL/XL</v>
          </cell>
          <cell r="C635" t="str">
            <v>毛绒抓地小腿袜</v>
          </cell>
        </row>
        <row r="635">
          <cell r="E635" t="str">
            <v>=DISPIMG("ID_33F3C7B3235444E682F64BFC9C3EA2ED",1)</v>
          </cell>
        </row>
        <row r="635">
          <cell r="R635">
            <v>0</v>
          </cell>
        </row>
        <row r="636">
          <cell r="A636" t="str">
            <v>B07PL9RJPG</v>
          </cell>
          <cell r="B636" t="str">
            <v>LAA-SAO-GrpSc-2prSltGStBS</v>
          </cell>
          <cell r="C636" t="str">
            <v>抓地力踝袜</v>
          </cell>
        </row>
        <row r="636">
          <cell r="E636" t="str">
            <v>=DISPIMG("ID_AAD3C6329C554122A3101C505B92699D",1)</v>
          </cell>
        </row>
        <row r="636">
          <cell r="R636">
            <v>0</v>
          </cell>
        </row>
        <row r="637">
          <cell r="A637" t="str">
            <v>B0B2VZ4NX8</v>
          </cell>
          <cell r="B637" t="str">
            <v>YHG-HOK-FD-S1606</v>
          </cell>
          <cell r="C637" t="str">
            <v>厨房用具套装</v>
          </cell>
        </row>
        <row r="637">
          <cell r="E637" t="str">
            <v>=DISPIMG("ID_B18EE0F40F644E3B8901DC1D60ADBFAE",1)</v>
          </cell>
        </row>
        <row r="637">
          <cell r="R637">
            <v>0</v>
          </cell>
        </row>
        <row r="638">
          <cell r="A638" t="str">
            <v>B07R6XLKYW</v>
          </cell>
          <cell r="B638" t="str">
            <v>YHG-HOK-OrnSrtgBx-3128Red1</v>
          </cell>
          <cell r="C638" t="str">
            <v>饰品收纳</v>
          </cell>
        </row>
        <row r="638">
          <cell r="E638" t="str">
            <v>=DISPIMG("ID_2B815919A9E240B09FF663F666131D3E",1)</v>
          </cell>
        </row>
        <row r="638">
          <cell r="R638">
            <v>0</v>
          </cell>
        </row>
        <row r="639">
          <cell r="A639" t="str">
            <v>B088JVRYMK</v>
          </cell>
          <cell r="B639" t="str">
            <v>LAA-SAO-FuzNs-4prMBlkL/XL</v>
          </cell>
          <cell r="C639" t="str">
            <v>毛绒抓地小腿袜</v>
          </cell>
        </row>
        <row r="639">
          <cell r="E639" t="str">
            <v>=DISPIMG("ID_D760053F304845DCB9F32D472A4D100C",1)</v>
          </cell>
        </row>
        <row r="639">
          <cell r="R639">
            <v>0</v>
          </cell>
        </row>
        <row r="640">
          <cell r="A640" t="str">
            <v>B07S7Z4KKJ</v>
          </cell>
          <cell r="B640" t="str">
            <v>LAA-SAO-BbyNs-6prGrl3Mnth</v>
          </cell>
          <cell r="C640" t="str">
            <v>抓地力踝袜</v>
          </cell>
        </row>
        <row r="640">
          <cell r="E640" t="str">
            <v>=DISPIMG("ID_97CF66FD41D3457895CFE65DEE7E9E3B",1)</v>
          </cell>
        </row>
        <row r="640">
          <cell r="R640">
            <v>0</v>
          </cell>
        </row>
        <row r="641">
          <cell r="A641" t="str">
            <v>B08HBZDJGV</v>
          </cell>
          <cell r="B641" t="str">
            <v>YHG-HOK-VlvtHngrTb-Ppl20pk</v>
          </cell>
          <cell r="C641" t="str">
            <v>天鹅绒衣架</v>
          </cell>
        </row>
        <row r="641">
          <cell r="E641" t="str">
            <v>=DISPIMG("ID_1C404A0DEA344188A83E94C20D817F4F",1)</v>
          </cell>
        </row>
        <row r="641">
          <cell r="R641">
            <v>0</v>
          </cell>
        </row>
        <row r="642">
          <cell r="A642" t="str">
            <v>B07S4F8XLX</v>
          </cell>
          <cell r="B642" t="str">
            <v>LAA-SAO-BbyNs-6prBoy3Mnth</v>
          </cell>
          <cell r="C642" t="str">
            <v>抓地力踝袜</v>
          </cell>
        </row>
        <row r="642">
          <cell r="E642" t="str">
            <v>=DISPIMG("ID_E008E0CB6A8343D88B44D2C93EF026EA",1)</v>
          </cell>
          <cell r="F642" t="str">
            <v>衣物</v>
          </cell>
        </row>
        <row r="642">
          <cell r="R642">
            <v>0</v>
          </cell>
        </row>
        <row r="643">
          <cell r="A643" t="str">
            <v>B07S396N5F</v>
          </cell>
          <cell r="B643" t="str">
            <v>LAA-SAO-BbyNs-6prErtT36Mnth</v>
          </cell>
          <cell r="C643" t="str">
            <v>抓地力踝袜</v>
          </cell>
        </row>
        <row r="643">
          <cell r="E643" t="str">
            <v>=DISPIMG("ID_C82322CAF47B4C3BB30690BB016E30FE",1)</v>
          </cell>
          <cell r="F643" t="str">
            <v>衣物</v>
          </cell>
        </row>
        <row r="643">
          <cell r="R643">
            <v>0</v>
          </cell>
        </row>
        <row r="644">
          <cell r="A644" t="str">
            <v>B08FYKH56D</v>
          </cell>
          <cell r="B644" t="str">
            <v>LAA-SAO-AAth-6prBoy7yrs</v>
          </cell>
          <cell r="C644" t="str">
            <v>儿童抓地袜</v>
          </cell>
        </row>
        <row r="644">
          <cell r="E644" t="str">
            <v>=DISPIMG("ID_4D1109C1C7184FC29995436970117C71",1)</v>
          </cell>
          <cell r="F644" t="str">
            <v>衣物</v>
          </cell>
        </row>
        <row r="644">
          <cell r="R644">
            <v>0</v>
          </cell>
        </row>
        <row r="645">
          <cell r="A645" t="str">
            <v>B07PJ46RBY</v>
          </cell>
          <cell r="B645" t="str">
            <v>LAA-SAO-BbyNs-6prPst12Mnth</v>
          </cell>
          <cell r="C645" t="str">
            <v>抓地力踝袜</v>
          </cell>
        </row>
        <row r="645">
          <cell r="E645" t="str">
            <v>=DISPIMG("ID_03923FBEC44941A9A05001FD744EE160",1)</v>
          </cell>
          <cell r="F645" t="str">
            <v>衣物</v>
          </cell>
        </row>
        <row r="645">
          <cell r="R645">
            <v>0</v>
          </cell>
        </row>
        <row r="646">
          <cell r="A646" t="str">
            <v>B07D6FDPR4</v>
          </cell>
          <cell r="B646" t="str">
            <v>LAA-SAO-BbyNs-6prGrl7yrs</v>
          </cell>
          <cell r="C646" t="str">
            <v>抓地力踝袜</v>
          </cell>
        </row>
        <row r="646">
          <cell r="E646" t="str">
            <v>=DISPIMG("ID_B634255BDA4F4EA2936752EE5E8D92AA",1)</v>
          </cell>
          <cell r="F646" t="str">
            <v>衣物</v>
          </cell>
        </row>
        <row r="646">
          <cell r="R646">
            <v>0</v>
          </cell>
        </row>
        <row r="647">
          <cell r="A647" t="str">
            <v>B08F5JV2G5</v>
          </cell>
          <cell r="B647" t="str">
            <v>MXL-KND-GftSet-8s2gRwc</v>
          </cell>
          <cell r="C647" t="str">
            <v>威士忌酒杯和石头套装</v>
          </cell>
        </row>
        <row r="647">
          <cell r="E647" t="str">
            <v>=DISPIMG("ID_E53A6BE456A04CFC99959FB92A0898F5",1)</v>
          </cell>
          <cell r="F647" t="str">
            <v>厨房用具</v>
          </cell>
        </row>
        <row r="647">
          <cell r="R647">
            <v>0</v>
          </cell>
        </row>
        <row r="648">
          <cell r="A648" t="str">
            <v>B003KH61N0</v>
          </cell>
          <cell r="B648" t="str">
            <v>PT1/CLAS/BNZ</v>
          </cell>
          <cell r="C648" t="str">
            <v>植物支架</v>
          </cell>
        </row>
        <row r="648">
          <cell r="E648" t="str">
            <v>=DISPIMG("ID_EBB877D3D43D405580788CFB5708B955",1)</v>
          </cell>
        </row>
        <row r="648">
          <cell r="R648">
            <v>0</v>
          </cell>
        </row>
        <row r="649">
          <cell r="A649" t="str">
            <v>B013CB7RS6</v>
          </cell>
          <cell r="B649" t="str">
            <v>BX-1XVD-F37V</v>
          </cell>
          <cell r="C649" t="str">
            <v>植物支架</v>
          </cell>
        </row>
        <row r="649">
          <cell r="E649" t="str">
            <v>=DISPIMG("ID_2C82585D9297446489B176C9DF8C5B9A",1)</v>
          </cell>
        </row>
        <row r="649">
          <cell r="R649">
            <v>0</v>
          </cell>
        </row>
        <row r="650">
          <cell r="A650" t="str">
            <v>B07RN12RSL</v>
          </cell>
          <cell r="B650" t="str">
            <v>YHG-HOK-OrnSrtgBx-3128Grn</v>
          </cell>
          <cell r="C650" t="str">
            <v>饰品收纳</v>
          </cell>
        </row>
        <row r="650">
          <cell r="E650" t="str">
            <v>=DISPIMG("ID_7CD05221AF2342F3AD83738F2045566D",1)</v>
          </cell>
          <cell r="F650" t="str">
            <v>圣诞</v>
          </cell>
        </row>
        <row r="650">
          <cell r="R650">
            <v>0</v>
          </cell>
        </row>
        <row r="651">
          <cell r="A651" t="str">
            <v>B07P7HHY7Q</v>
          </cell>
          <cell r="B651" t="str">
            <v>MXL-KND-BarKit-10pcMsSlv-ASMBL</v>
          </cell>
          <cell r="C651" t="str">
            <v>调酒套件和支架</v>
          </cell>
        </row>
        <row r="651">
          <cell r="E651" t="str">
            <v>=DISPIMG("ID_5CCF2751BD644920BF26D518BE66DB0A",1)</v>
          </cell>
          <cell r="F651" t="str">
            <v>厨房用具</v>
          </cell>
        </row>
        <row r="651">
          <cell r="R651">
            <v>0</v>
          </cell>
        </row>
        <row r="652">
          <cell r="A652" t="str">
            <v>B07NDRNRV3</v>
          </cell>
          <cell r="B652" t="str">
            <v>NLK-KND-GrlSkltpn-12</v>
          </cell>
          <cell r="C652" t="str">
            <v>铸铁锅</v>
          </cell>
        </row>
        <row r="652">
          <cell r="E652" t="str">
            <v>=DISPIMG("ID_AB6EBFD6A3A44767AC40EF7E982B9921",1)</v>
          </cell>
          <cell r="F652" t="str">
            <v>厨房用具</v>
          </cell>
        </row>
        <row r="652">
          <cell r="R652">
            <v>0</v>
          </cell>
        </row>
        <row r="653">
          <cell r="A653" t="str">
            <v>B07BFLWNPM</v>
          </cell>
          <cell r="B653" t="str">
            <v>NLK-KND-Sklt-10</v>
          </cell>
          <cell r="C653" t="str">
            <v>铸铁锅</v>
          </cell>
        </row>
        <row r="653">
          <cell r="E653" t="str">
            <v>=DISPIMG("ID_8374D868BBEE497684130502BE2DB9E2",1)</v>
          </cell>
          <cell r="F653" t="str">
            <v>厨房用具</v>
          </cell>
        </row>
        <row r="653">
          <cell r="R653">
            <v>0</v>
          </cell>
        </row>
        <row r="654">
          <cell r="A654" t="str">
            <v>B07TC3D7LL</v>
          </cell>
          <cell r="B654" t="str">
            <v>MXL-KND-BarKit-11pcRwsBlk-ASMBL</v>
          </cell>
          <cell r="C654" t="str">
            <v>调酒套件和支架</v>
          </cell>
        </row>
        <row r="654">
          <cell r="E654" t="str">
            <v>=DISPIMG("ID_3ABFADF383F540D69BB81E83B2D67038",1)</v>
          </cell>
          <cell r="F654" t="str">
            <v>厨房用具</v>
          </cell>
        </row>
        <row r="654">
          <cell r="R654">
            <v>0</v>
          </cell>
        </row>
        <row r="655">
          <cell r="A655" t="str">
            <v>B086MSXYQQ</v>
          </cell>
          <cell r="B655" t="str">
            <v>NLK-KND-PlshSklt-10</v>
          </cell>
          <cell r="C655" t="str">
            <v>铸铁锅</v>
          </cell>
        </row>
        <row r="655">
          <cell r="E655" t="str">
            <v>=DISPIMG("ID_92B9ADF0B8CF4727BB42082A39DA1A8D",1)</v>
          </cell>
          <cell r="F655" t="str">
            <v>厨房用具</v>
          </cell>
        </row>
        <row r="655">
          <cell r="R655">
            <v>0</v>
          </cell>
        </row>
        <row r="656">
          <cell r="A656" t="str">
            <v>B01M74A279</v>
          </cell>
          <cell r="B656" t="str">
            <v>NLK-KND-Sklt-12</v>
          </cell>
          <cell r="C656" t="str">
            <v>铸铁锅</v>
          </cell>
        </row>
        <row r="656">
          <cell r="E656" t="str">
            <v>=DISPIMG("ID_DDA5BC20E06143C1BFA6FD8A77589EC5",1)</v>
          </cell>
          <cell r="F656" t="str">
            <v>厨房用具</v>
          </cell>
        </row>
        <row r="656">
          <cell r="R656">
            <v>0</v>
          </cell>
        </row>
        <row r="657">
          <cell r="A657" t="str">
            <v>B07N7R29JH</v>
          </cell>
          <cell r="B657" t="str">
            <v>YHG-HOK-WdCtRk-Vintage</v>
          </cell>
          <cell r="C657" t="str">
            <v>木树衣帽架</v>
          </cell>
        </row>
        <row r="657">
          <cell r="E657" t="str">
            <v>=DISPIMG("ID_6E4E04CC270E48E496EDEA3D4A97E6AF",1)</v>
          </cell>
        </row>
        <row r="657">
          <cell r="R657">
            <v>0</v>
          </cell>
        </row>
        <row r="658">
          <cell r="A658" t="str">
            <v>B07BK4PJLW</v>
          </cell>
          <cell r="B658" t="str">
            <v>MCC-HOK-PiCnd-3X6Chr3pk</v>
          </cell>
          <cell r="C658" t="str">
            <v>无香蜡烛</v>
          </cell>
        </row>
        <row r="658">
          <cell r="E658" t="str">
            <v>=DISPIMG("ID_A8BB29C2DC5641B78780F93BB9AF568F",1)</v>
          </cell>
          <cell r="F658" t="str">
            <v>蜡烛</v>
          </cell>
        </row>
        <row r="658">
          <cell r="R658">
            <v>0</v>
          </cell>
        </row>
        <row r="659">
          <cell r="A659" t="str">
            <v>B08CQHYKGD</v>
          </cell>
          <cell r="B659" t="str">
            <v>YHG-HOK-WdPntHngr360-Blk10pk</v>
          </cell>
          <cell r="C659" t="str">
            <v>木衣架</v>
          </cell>
        </row>
        <row r="659">
          <cell r="E659" t="str">
            <v>=DISPIMG("ID_FA7B959BD57E4541A374A5E4E139FABB",1)</v>
          </cell>
          <cell r="F659" t="str">
            <v>衣架</v>
          </cell>
        </row>
        <row r="659">
          <cell r="R659">
            <v>0</v>
          </cell>
        </row>
        <row r="660">
          <cell r="A660" t="str">
            <v>B08B1WSC16</v>
          </cell>
          <cell r="B660" t="str">
            <v>YHG-SPO-StlWtrBtlSld-Tqse25</v>
          </cell>
          <cell r="C660" t="str">
            <v>钢水瓶</v>
          </cell>
        </row>
        <row r="660">
          <cell r="E660" t="str">
            <v>=DISPIMG("ID_D5845EF17DB442BB807F663DD11C7C97",1)</v>
          </cell>
        </row>
        <row r="660">
          <cell r="R660">
            <v>0</v>
          </cell>
        </row>
        <row r="661">
          <cell r="A661" t="str">
            <v>B01KKLHTIE</v>
          </cell>
          <cell r="B661" t="str">
            <v>YHG-HOK-WrthStrgBg-30Red</v>
          </cell>
          <cell r="C661" t="str">
            <v>花环收纳袋</v>
          </cell>
        </row>
        <row r="661">
          <cell r="E661" t="str">
            <v>=DISPIMG("ID_E02790B75BF448ECA73A6D51EBAE2A8A",1)</v>
          </cell>
        </row>
        <row r="661">
          <cell r="R661">
            <v>0</v>
          </cell>
        </row>
        <row r="662">
          <cell r="A662" t="str">
            <v>B0854DGLB7</v>
          </cell>
          <cell r="B662" t="str">
            <v>YHG-KND-GlsRdMlCntnr-Blu6pk</v>
          </cell>
          <cell r="C662" t="str">
            <v>膳食准备容器</v>
          </cell>
        </row>
        <row r="662">
          <cell r="E662" t="str">
            <v>=DISPIMG("ID_73C495D380234906871E0A6385A5EB92",1)</v>
          </cell>
        </row>
        <row r="662">
          <cell r="R662">
            <v>0</v>
          </cell>
        </row>
        <row r="663">
          <cell r="A663" t="str">
            <v>B09ZQ3D95V</v>
          </cell>
          <cell r="B663" t="str">
            <v>YHG-HOK-ZCD-108-Grn-Pld</v>
          </cell>
          <cell r="C663" t="str">
            <v>圣诞饰品收纳</v>
          </cell>
        </row>
        <row r="663">
          <cell r="E663" t="str">
            <v>=DISPIMG("ID_FBC36FF1645D4B08AB65ABB8EAECD022",1)</v>
          </cell>
        </row>
        <row r="663">
          <cell r="R663">
            <v>0</v>
          </cell>
        </row>
        <row r="664">
          <cell r="A664" t="str">
            <v>B078N3ZDR2</v>
          </cell>
          <cell r="B664" t="str">
            <v>YHG-HOK-WdshWdHngr-Chy6pk</v>
          </cell>
          <cell r="C664" t="str">
            <v>宽肩木衣架</v>
          </cell>
        </row>
        <row r="664">
          <cell r="E664" t="str">
            <v>=DISPIMG("ID_27A86F224B9E4E83B1B0F771A36820E0",1)</v>
          </cell>
        </row>
        <row r="664">
          <cell r="R664">
            <v>0</v>
          </cell>
        </row>
        <row r="665">
          <cell r="A665" t="str">
            <v>B078J9J13Y</v>
          </cell>
          <cell r="B665" t="str">
            <v>YHG-HOK-JmbUndbdStrgBg-Gry2pk</v>
          </cell>
          <cell r="C665" t="str">
            <v>床下储物袋</v>
          </cell>
        </row>
        <row r="665">
          <cell r="E665" t="str">
            <v>=DISPIMG("ID_E14DAC9C53D54D3CB55AEE025B322A4A",1)</v>
          </cell>
          <cell r="F665" t="str">
            <v>收纳</v>
          </cell>
        </row>
        <row r="665">
          <cell r="R665">
            <v>0</v>
          </cell>
        </row>
        <row r="666">
          <cell r="A666" t="str">
            <v>B01AWZN504</v>
          </cell>
          <cell r="B666" t="str">
            <v>YHG-HOK-JmbUndbdStrgBg-Clr2pk</v>
          </cell>
          <cell r="C666" t="str">
            <v>床下储物袋</v>
          </cell>
        </row>
        <row r="666">
          <cell r="E666" t="str">
            <v>=DISPIMG("ID_3D79857F501D47F6B75971AB883F1868",1)</v>
          </cell>
          <cell r="F666" t="str">
            <v>收纳</v>
          </cell>
        </row>
        <row r="666">
          <cell r="R666">
            <v>0</v>
          </cell>
        </row>
        <row r="667">
          <cell r="A667" t="str">
            <v>B0756GVKTP</v>
          </cell>
          <cell r="B667" t="str">
            <v>YHG-HOK-WdPntHngr360-Cwd10pk</v>
          </cell>
          <cell r="C667" t="str">
            <v>木衣架</v>
          </cell>
        </row>
        <row r="667">
          <cell r="E667" t="str">
            <v>=DISPIMG("ID_54663A23D03B4BC790AE93EFE2D24188",1)</v>
          </cell>
          <cell r="F667" t="str">
            <v>衣架</v>
          </cell>
        </row>
        <row r="667">
          <cell r="R667">
            <v>0</v>
          </cell>
        </row>
        <row r="668">
          <cell r="A668" t="str">
            <v>B07CPQP9HV</v>
          </cell>
          <cell r="B668" t="str">
            <v>MDK-BPC-ShStl-Round</v>
          </cell>
          <cell r="C668" t="str">
            <v>淋浴凳</v>
          </cell>
        </row>
        <row r="668">
          <cell r="E668" t="str">
            <v>=DISPIMG("ID_D7B36C9CFA1C45C0B325911E6743B66A",1)</v>
          </cell>
          <cell r="F668" t="str">
            <v>洗浴</v>
          </cell>
        </row>
        <row r="668">
          <cell r="R668">
            <v>0</v>
          </cell>
        </row>
        <row r="669">
          <cell r="A669" t="str">
            <v>B07MZ6KLWK</v>
          </cell>
          <cell r="B669" t="str">
            <v>MDK-BPC-NLFL-Blu3pkCase</v>
          </cell>
          <cell r="C669" t="str">
            <v>玻璃指甲锉</v>
          </cell>
        </row>
        <row r="669">
          <cell r="E669" t="str">
            <v>=DISPIMG("ID_9DCC4B36F6D04A27AAEECC94E7DD8F87",1)</v>
          </cell>
          <cell r="F669" t="str">
            <v>指甲钳</v>
          </cell>
        </row>
        <row r="669">
          <cell r="R669">
            <v>0</v>
          </cell>
        </row>
        <row r="670">
          <cell r="A670" t="str">
            <v>B08DP5LWJJ</v>
          </cell>
          <cell r="B670" t="str">
            <v>YHG-KND-StlWnGls-18Wprl4pk</v>
          </cell>
          <cell r="C670" t="str">
            <v>隔热酒杯</v>
          </cell>
        </row>
        <row r="670">
          <cell r="E670" t="str">
            <v>=DISPIMG("ID_9184B89ED7994F60ADF9B6BE4E8CB6F5",1)</v>
          </cell>
          <cell r="F670" t="str">
            <v>厨房用具</v>
          </cell>
        </row>
        <row r="670">
          <cell r="R670">
            <v>0</v>
          </cell>
        </row>
        <row r="671">
          <cell r="A671" t="str">
            <v>B07NP6GKJ7</v>
          </cell>
          <cell r="B671" t="str">
            <v>WKL-CSJ-LEDSntaHat-1pkAd</v>
          </cell>
          <cell r="C671" t="str">
            <v>圣诞老人帽</v>
          </cell>
        </row>
        <row r="671">
          <cell r="E671" t="str">
            <v>=DISPIMG("ID_633C9F394BE44F4AA428986EADA6895B",1)</v>
          </cell>
          <cell r="F671" t="str">
            <v>圣诞</v>
          </cell>
        </row>
        <row r="671">
          <cell r="R671">
            <v>0</v>
          </cell>
        </row>
        <row r="672">
          <cell r="A672" t="str">
            <v>B07NP1QDJH</v>
          </cell>
          <cell r="B672" t="str">
            <v>WKL-CSJ-LEDSntaHat-2pkAd</v>
          </cell>
          <cell r="C672" t="str">
            <v>圣诞老人帽</v>
          </cell>
        </row>
        <row r="672">
          <cell r="E672" t="str">
            <v>=DISPIMG("ID_4589ED2D2E8644618FA10EF20E0914EF",1)</v>
          </cell>
          <cell r="F672" t="str">
            <v>圣诞</v>
          </cell>
        </row>
        <row r="672">
          <cell r="R672">
            <v>0</v>
          </cell>
        </row>
        <row r="673">
          <cell r="A673" t="str">
            <v>B072BXGVWN</v>
          </cell>
          <cell r="B673" t="str">
            <v>YHG-HOK-VlvtHngr-Blk20pk</v>
          </cell>
          <cell r="C673" t="str">
            <v>天鹅绒衣架</v>
          </cell>
        </row>
        <row r="673">
          <cell r="E673" t="str">
            <v>=DISPIMG("ID_5CDDE7792CBE449A96DB8EDB62AC3B7A",1)</v>
          </cell>
          <cell r="F673" t="str">
            <v>衣架</v>
          </cell>
        </row>
        <row r="673">
          <cell r="R673">
            <v>0</v>
          </cell>
        </row>
        <row r="674">
          <cell r="A674" t="str">
            <v>B012X2ZNOA</v>
          </cell>
          <cell r="B674" t="str">
            <v>TWG-BPC-TwzrPnt-Bk</v>
          </cell>
          <cell r="C674" t="str">
            <v>尖头镊子</v>
          </cell>
        </row>
        <row r="674">
          <cell r="E674" t="str">
            <v>=DISPIMG("ID_5690E95FC8544199B6F5D9D20D69D026",1)</v>
          </cell>
          <cell r="F674" t="str">
            <v>美容</v>
          </cell>
        </row>
        <row r="674">
          <cell r="R674">
            <v>0</v>
          </cell>
        </row>
        <row r="675">
          <cell r="A675" t="str">
            <v>B00KFM6BOC</v>
          </cell>
          <cell r="B675" t="str">
            <v>SDT-TOH-SPWDbC-Ye</v>
          </cell>
          <cell r="C675" t="str">
            <v>无线门铃</v>
          </cell>
        </row>
        <row r="675">
          <cell r="E675" t="str">
            <v>=DISPIMG("ID_BC1AAD7BAE414EFFB1A16498328893C3",1)</v>
          </cell>
          <cell r="F675" t="str">
            <v>门铃</v>
          </cell>
        </row>
        <row r="675">
          <cell r="R675">
            <v>0</v>
          </cell>
        </row>
        <row r="676">
          <cell r="A676" t="str">
            <v>B06XC5NR52</v>
          </cell>
          <cell r="B676" t="str">
            <v>BKY-HOK-GFPLW-2P</v>
          </cell>
          <cell r="C676" t="str">
            <v>凝胶枕头</v>
          </cell>
        </row>
        <row r="676">
          <cell r="E676" t="str">
            <v>=DISPIMG("ID_9F8C13FBF94445AB8CD65F1C80C0CDF9",1)</v>
          </cell>
          <cell r="F676" t="str">
            <v>枕套</v>
          </cell>
        </row>
        <row r="676">
          <cell r="R676">
            <v>0</v>
          </cell>
        </row>
        <row r="677">
          <cell r="A677" t="str">
            <v>B08GG9PJ68</v>
          </cell>
          <cell r="B677" t="str">
            <v>YHG-KND-SwgBtl-166pk</v>
          </cell>
          <cell r="C677" t="str">
            <v>平顶玻璃瓶</v>
          </cell>
        </row>
        <row r="677">
          <cell r="E677" t="str">
            <v>=DISPIMG("ID_B7512F09BA9D4E2DBFFB58849F3D3F22",1)</v>
          </cell>
        </row>
        <row r="677">
          <cell r="R677">
            <v>0</v>
          </cell>
        </row>
        <row r="678">
          <cell r="A678" t="str">
            <v>B01KBA8EAQ</v>
          </cell>
          <cell r="B678" t="str">
            <v>BRK-BPC-GrmCape-DlxBk</v>
          </cell>
          <cell r="C678" t="str">
            <v>胡须围兜</v>
          </cell>
        </row>
        <row r="678">
          <cell r="E678" t="str">
            <v>=DISPIMG("ID_BB10120121984EC7B44996E9F10A9BC4",1)</v>
          </cell>
        </row>
        <row r="678">
          <cell r="R678">
            <v>0</v>
          </cell>
        </row>
        <row r="679">
          <cell r="A679">
            <v>0</v>
          </cell>
          <cell r="B679" t="str">
            <v>NOTHS-GIFT-BOX</v>
          </cell>
          <cell r="C679" t="e">
            <v>#N/A</v>
          </cell>
        </row>
        <row r="679">
          <cell r="E679" t="e">
            <v>#N/A</v>
          </cell>
        </row>
        <row r="679">
          <cell r="R679">
            <v>0</v>
          </cell>
        </row>
        <row r="680">
          <cell r="A680" t="str">
            <v>B07HYMDSPQ</v>
          </cell>
          <cell r="B680" t="str">
            <v>WWE-HHB-BWePl-10in</v>
          </cell>
          <cell r="C680" t="str">
            <v>楔形床枕</v>
          </cell>
        </row>
        <row r="680">
          <cell r="E680" t="str">
            <v>=DISPIMG("ID_9F5087B1CE4D43548ECB60B0C2DF4C0A",1)</v>
          </cell>
        </row>
        <row r="680">
          <cell r="R680">
            <v>0</v>
          </cell>
        </row>
        <row r="681">
          <cell r="A681" t="str">
            <v>B01H60SXAK</v>
          </cell>
          <cell r="B681" t="str">
            <v>BKR-SPO-MSMS-BLA</v>
          </cell>
          <cell r="C681" t="str">
            <v>自行车鞍座</v>
          </cell>
        </row>
        <row r="681">
          <cell r="E681" t="str">
            <v>=DISPIMG("ID_7526883972404AF79941953BEDD59C84",1)</v>
          </cell>
        </row>
        <row r="681">
          <cell r="R681">
            <v>0</v>
          </cell>
        </row>
        <row r="682">
          <cell r="A682" t="str">
            <v>B075L7JYTC</v>
          </cell>
          <cell r="B682" t="str">
            <v>BKR-SPO-SES-BLA-REG</v>
          </cell>
          <cell r="C682" t="str">
            <v>高级马鞍黑色普通弹簧</v>
          </cell>
        </row>
        <row r="682">
          <cell r="E682" t="str">
            <v>=DISPIMG("ID_342B6B29AAB4470CAB0C127724D0CF2A",1)</v>
          </cell>
        </row>
        <row r="682">
          <cell r="R682">
            <v>0</v>
          </cell>
        </row>
        <row r="683">
          <cell r="A683" t="str">
            <v>B0753G9WLS</v>
          </cell>
          <cell r="B683" t="str">
            <v>WWE-TOH-ToLn-B16x16</v>
          </cell>
          <cell r="C683" t="str">
            <v>防滑工具箱衬垫</v>
          </cell>
        </row>
        <row r="683">
          <cell r="E683" t="str">
            <v>=DISPIMG("ID_1ADDA2D969D848149F98ED1304063AA4",1)</v>
          </cell>
        </row>
        <row r="683">
          <cell r="R683">
            <v>0</v>
          </cell>
        </row>
        <row r="684">
          <cell r="A684" t="str">
            <v>B00NQ1UF1E</v>
          </cell>
          <cell r="B684" t="str">
            <v>BKR-SPO-BSCC-BLA-UK</v>
          </cell>
          <cell r="C684" t="str">
            <v>窄版黑色自行车软垫</v>
          </cell>
        </row>
        <row r="684">
          <cell r="E684" t="str">
            <v>=DISPIMG("ID_B4178E32186C444CB135BE136E21A91C",1)</v>
          </cell>
        </row>
        <row r="684">
          <cell r="R684">
            <v>0</v>
          </cell>
        </row>
        <row r="685">
          <cell r="A685" t="str">
            <v>B075LDCTFQ</v>
          </cell>
          <cell r="B685" t="str">
            <v>BKR-SPO-LSC-RED</v>
          </cell>
          <cell r="C685" t="str">
            <v>大号红色自行车软垫</v>
          </cell>
        </row>
        <row r="685">
          <cell r="E685" t="str">
            <v>=DISPIMG("ID_F070C5A13E594B40ACEC8B1E3EDE63D8",1)</v>
          </cell>
        </row>
        <row r="685">
          <cell r="R685">
            <v>0</v>
          </cell>
        </row>
        <row r="686">
          <cell r="A686" t="str">
            <v>B01MF8TO1P</v>
          </cell>
          <cell r="B686" t="str">
            <v>BKR-SPO-OBSOu-BLAEmr</v>
          </cell>
          <cell r="C686" t="str">
            <v>超大运动自行车座椅和户外黑色弹性材料</v>
          </cell>
        </row>
        <row r="686">
          <cell r="E686" t="str">
            <v>=DISPIMG("ID_8C67E285A5104D34BDD0AC5333677A78",1)</v>
          </cell>
        </row>
        <row r="686">
          <cell r="R686">
            <v>0</v>
          </cell>
        </row>
        <row r="687">
          <cell r="A687" t="str">
            <v>B0753G2765</v>
          </cell>
          <cell r="B687" t="str">
            <v>WWE-TOH-ToLn-B18x24</v>
          </cell>
          <cell r="C687" t="str">
            <v>防滑工具箱衬垫</v>
          </cell>
        </row>
        <row r="687">
          <cell r="E687" t="str">
            <v>=DISPIMG("ID_3230D9FC63A74248988806B72182E442",1)</v>
          </cell>
        </row>
        <row r="687">
          <cell r="R687">
            <v>0</v>
          </cell>
        </row>
        <row r="688">
          <cell r="A688" t="str">
            <v>B0795X147K</v>
          </cell>
          <cell r="B688" t="str">
            <v>SPG-HOK-StrCntr-7pc</v>
          </cell>
          <cell r="C688" t="str">
            <v>厨房食物储存容器</v>
          </cell>
        </row>
        <row r="688">
          <cell r="E688" t="str">
            <v>=DISPIMG("ID_C2D702E690364549B630BA3865EF498F",1)</v>
          </cell>
        </row>
        <row r="688">
          <cell r="R688">
            <v>0</v>
          </cell>
        </row>
        <row r="689">
          <cell r="A689" t="str">
            <v>B01H78AXOK</v>
          </cell>
          <cell r="B689" t="str">
            <v>BKR-SPO-LSC-BLU</v>
          </cell>
          <cell r="C689" t="str">
            <v>大号蓝色自行车软垫</v>
          </cell>
        </row>
        <row r="689">
          <cell r="E689" t="str">
            <v>=DISPIMG("ID_3E66980BA6254E17BE922567013FE937",1)</v>
          </cell>
        </row>
        <row r="689">
          <cell r="R689">
            <v>0</v>
          </cell>
        </row>
        <row r="690">
          <cell r="A690" t="str">
            <v>B015TGEV0Y</v>
          </cell>
          <cell r="B690" t="str">
            <v>BKR-SPO-LSC-BLA</v>
          </cell>
          <cell r="C690" t="str">
            <v>大号鞍盖黑色</v>
          </cell>
        </row>
        <row r="690">
          <cell r="E690" t="str">
            <v>=DISPIMG("ID_9C86422A0E0F496F91B951FF8E6FE83A",1)</v>
          </cell>
        </row>
        <row r="690">
          <cell r="R690">
            <v>0</v>
          </cell>
        </row>
        <row r="691">
          <cell r="A691" t="str">
            <v>B07C589WB5</v>
          </cell>
          <cell r="B691" t="str">
            <v>WWE-KND-CoBrT-2L</v>
          </cell>
          <cell r="C691" t="str">
            <v>冷冲泡咖啡机</v>
          </cell>
        </row>
        <row r="691">
          <cell r="E691" t="str">
            <v>=DISPIMG("ID_DF302D68257E4472A74D3ECD989B8E3D",1)</v>
          </cell>
        </row>
        <row r="691">
          <cell r="R691">
            <v>0</v>
          </cell>
        </row>
        <row r="692">
          <cell r="A692" t="str">
            <v>B01H60FCRC</v>
          </cell>
          <cell r="B692" t="str">
            <v>BKR-SPO-WBS-BLA</v>
          </cell>
          <cell r="C692" t="str">
            <v>自行车鞍座</v>
          </cell>
        </row>
        <row r="692">
          <cell r="E692" t="str">
            <v>=DISPIMG("ID_2987DCDBA6C1412CB98E137F2275EE2A",1)</v>
          </cell>
        </row>
        <row r="692">
          <cell r="R692">
            <v>0</v>
          </cell>
        </row>
        <row r="693">
          <cell r="A693" t="str">
            <v>B01MDNY3S6</v>
          </cell>
          <cell r="B693" t="str">
            <v>BKR-SPO-CRS-BRO-REG</v>
          </cell>
          <cell r="C693" t="str">
            <v>自行车宽巡洋舰鞍</v>
          </cell>
        </row>
        <row r="693">
          <cell r="E693" t="str">
            <v>=DISPIMG("ID_AE3AE53FFEFC4797AA0E2EF4E430D5C7",1)</v>
          </cell>
        </row>
        <row r="693">
          <cell r="R693">
            <v>0</v>
          </cell>
        </row>
        <row r="694">
          <cell r="A694" t="str">
            <v>B07CKTYJZ1</v>
          </cell>
          <cell r="B694" t="str">
            <v>BKR-SPO-OS-BLA-ELAST</v>
          </cell>
          <cell r="C694" t="str">
            <v>超大自行车鞍座</v>
          </cell>
        </row>
        <row r="694">
          <cell r="E694" t="str">
            <v>=DISPIMG("ID_A6FC839E8BBD45968F4928F2EEB622C0",1)</v>
          </cell>
        </row>
        <row r="694">
          <cell r="R694">
            <v>0</v>
          </cell>
        </row>
        <row r="695">
          <cell r="A695" t="str">
            <v>B01EPDJM0G</v>
          </cell>
          <cell r="B695" t="str">
            <v>WWE-KND-WTeKt-3L</v>
          </cell>
          <cell r="C695" t="str">
            <v>不锈钢茶壶</v>
          </cell>
        </row>
        <row r="695">
          <cell r="E695" t="str">
            <v>=DISPIMG("ID_CB132DD873744BCB8F4A3222BF341B88",1)</v>
          </cell>
        </row>
        <row r="695">
          <cell r="R695">
            <v>0</v>
          </cell>
        </row>
        <row r="696">
          <cell r="A696" t="str">
            <v>B01H784SI2</v>
          </cell>
          <cell r="B696" t="str">
            <v>BKR-SPO-LSC-PUR</v>
          </cell>
          <cell r="C696" t="str">
            <v>大号紫色自行车软垫</v>
          </cell>
        </row>
        <row r="696">
          <cell r="E696" t="str">
            <v>=DISPIMG("ID_CF3F32341111433287E9CFFC7148E92C",1)</v>
          </cell>
        </row>
        <row r="696">
          <cell r="R696">
            <v>0</v>
          </cell>
        </row>
        <row r="697">
          <cell r="A697" t="str">
            <v>B01C2HKG0M</v>
          </cell>
          <cell r="B697" t="str">
            <v>BKR-SPO-WBS-RED</v>
          </cell>
          <cell r="C697" t="str">
            <v>自行车鞍座</v>
          </cell>
        </row>
        <row r="697">
          <cell r="E697" t="str">
            <v>=DISPIMG("ID_3DD65428F14C4622895C6AB73B2EF3F3",1)</v>
          </cell>
        </row>
        <row r="697">
          <cell r="R697">
            <v>0</v>
          </cell>
        </row>
        <row r="698">
          <cell r="A698" t="str">
            <v>B07CKTZ8RY</v>
          </cell>
          <cell r="B698" t="str">
            <v>BKR-SPO-SES-BLA-ELAST-UK</v>
          </cell>
          <cell r="C698" t="str">
            <v>自行车鞍座</v>
          </cell>
        </row>
        <row r="698">
          <cell r="E698" t="str">
            <v>=DISPIMG("ID_F73E72EBB6584CE39367F68D1AD84C65",1)</v>
          </cell>
        </row>
        <row r="698">
          <cell r="R698">
            <v>0</v>
          </cell>
        </row>
        <row r="699">
          <cell r="A699" t="str">
            <v>B01H60FCMC</v>
          </cell>
          <cell r="B699" t="str">
            <v>BKR-SPO-WBS-WHI</v>
          </cell>
          <cell r="C699" t="str">
            <v>自行车鞍座</v>
          </cell>
        </row>
        <row r="699">
          <cell r="E699" t="str">
            <v>=DISPIMG("ID_3ED1A264BF684BD9BC20517266527374",1)</v>
          </cell>
        </row>
        <row r="699">
          <cell r="R699">
            <v>0</v>
          </cell>
        </row>
        <row r="700">
          <cell r="A700" t="str">
            <v>B01MDPTRYE</v>
          </cell>
          <cell r="B700" t="str">
            <v>LAA-SAO-GrpSc-2prSlbLKntR</v>
          </cell>
          <cell r="C700" t="str">
            <v>抓地力踝袜</v>
          </cell>
        </row>
        <row r="700">
          <cell r="E700" t="str">
            <v>=DISPIMG("ID_4F0F83C2A81647FA88C104A1F6992E90",1)</v>
          </cell>
        </row>
        <row r="700">
          <cell r="R700">
            <v>0</v>
          </cell>
        </row>
        <row r="701">
          <cell r="A701" t="str">
            <v>B07D6DXFBK</v>
          </cell>
          <cell r="B701" t="str">
            <v>LAA-SAO-BbyKee-5prVrty</v>
          </cell>
          <cell r="C701" t="str">
            <v>抓地及膝袜</v>
          </cell>
        </row>
        <row r="701">
          <cell r="E701" t="str">
            <v>=DISPIMG("ID_7CA0B32D7A1B43CA854F8AAFEB91F0B5",1)</v>
          </cell>
        </row>
        <row r="701">
          <cell r="R701">
            <v>0</v>
          </cell>
        </row>
        <row r="702">
          <cell r="A702" t="str">
            <v>B07H3YMDXT</v>
          </cell>
          <cell r="B702" t="str">
            <v>LAA-SAO-BbyNs-Boy12Mnth</v>
          </cell>
          <cell r="C702" t="str">
            <v>抓地力踝袜</v>
          </cell>
        </row>
        <row r="702">
          <cell r="E702" t="str">
            <v>=DISPIMG("ID_AE266D994EFD48E5AD20F40AB3D8B01D",1)</v>
          </cell>
        </row>
        <row r="702">
          <cell r="R702">
            <v>0</v>
          </cell>
        </row>
        <row r="703">
          <cell r="A703" t="str">
            <v>B088K6X4WD</v>
          </cell>
          <cell r="B703" t="str">
            <v>LAA-SAO-BbyNs-6prEthT12Mnth</v>
          </cell>
          <cell r="C703" t="str">
            <v>抓地力踝袜</v>
          </cell>
        </row>
        <row r="703">
          <cell r="E703" t="str">
            <v>=DISPIMG("ID_CB1A00380C484C74B3C2A8C465EF1FBF",1)</v>
          </cell>
        </row>
        <row r="703">
          <cell r="R703">
            <v>0</v>
          </cell>
        </row>
        <row r="704">
          <cell r="A704" t="str">
            <v>B088K4XKNP</v>
          </cell>
          <cell r="B704" t="str">
            <v>LAA-SAO-FuzNs-4prMBlkDGryS/M</v>
          </cell>
          <cell r="C704" t="str">
            <v>毛绒抓地小腿袜</v>
          </cell>
        </row>
        <row r="704">
          <cell r="E704" t="str">
            <v>=DISPIMG("ID_0113520E4A824F41B91C3BB03C83F4FE",1)</v>
          </cell>
        </row>
        <row r="704">
          <cell r="R704">
            <v>0</v>
          </cell>
        </row>
        <row r="705">
          <cell r="A705" t="str">
            <v>B01N69JGXY</v>
          </cell>
          <cell r="B705" t="str">
            <v>URN-SPO-EXBALL-85BL</v>
          </cell>
          <cell r="C705" t="str">
            <v>健身球</v>
          </cell>
        </row>
        <row r="705">
          <cell r="E705" t="str">
            <v>=DISPIMG("ID_E4DAC995904542AB8637195C51C1C7C1",1)</v>
          </cell>
        </row>
        <row r="705">
          <cell r="R705">
            <v>0</v>
          </cell>
        </row>
        <row r="706">
          <cell r="A706" t="str">
            <v>B01LB1862A</v>
          </cell>
          <cell r="B706" t="str">
            <v>OTC-KND-GBot6-C16oz-1</v>
          </cell>
          <cell r="C706" t="str">
            <v>带盖玻璃瓶</v>
          </cell>
        </row>
        <row r="706">
          <cell r="E706" t="str">
            <v>=DISPIMG("ID_81AD1595142F43B3B4C5ADFD173DE787",1)</v>
          </cell>
        </row>
        <row r="706">
          <cell r="R706">
            <v>0</v>
          </cell>
        </row>
        <row r="707">
          <cell r="A707" t="str">
            <v>B01MRQCENJ</v>
          </cell>
          <cell r="B707" t="str">
            <v>TRB-SPO-TRKPO-RVBK</v>
          </cell>
          <cell r="C707" t="str">
            <v>轻质登山杖</v>
          </cell>
        </row>
        <row r="707">
          <cell r="E707" t="str">
            <v>=DISPIMG("ID_15C801AF702E4F52891BFB040C0FC403",1)</v>
          </cell>
        </row>
        <row r="707">
          <cell r="R707">
            <v>0</v>
          </cell>
        </row>
        <row r="708">
          <cell r="A708" t="str">
            <v>B07K4S6JFC</v>
          </cell>
          <cell r="B708" t="str">
            <v>SPG-HOK-StrCntr-14pc</v>
          </cell>
          <cell r="C708" t="str">
            <v>谷物储存容器</v>
          </cell>
        </row>
        <row r="708">
          <cell r="E708" t="str">
            <v>=DISPIMG("ID_6D7D53F910894F5E99D8B56B23B6AF18",1)</v>
          </cell>
        </row>
        <row r="708">
          <cell r="R708">
            <v>0</v>
          </cell>
        </row>
        <row r="709">
          <cell r="A709" t="str">
            <v>B016KZ0SB0</v>
          </cell>
          <cell r="B709" t="str">
            <v>Relief-Ice-Pack-large 14" X 6"</v>
          </cell>
          <cell r="C709" t="str">
            <v>冰袋</v>
          </cell>
        </row>
        <row r="709">
          <cell r="E709" t="str">
            <v>=DISPIMG("ID_63074904A03F4585A145C1D1DE854565",1)</v>
          </cell>
        </row>
        <row r="709">
          <cell r="R70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SP"/>
      <sheetName val="G7"/>
      <sheetName val="Sheet14"/>
      <sheetName val="澳洲FDM"/>
      <sheetName val="日本久喜"/>
      <sheetName val="上海仓"/>
      <sheetName val="产品图片"/>
      <sheetName val="TSP库存8.22"/>
      <sheetName val="G7库存7.28"/>
      <sheetName val="英国30天销量"/>
      <sheetName val="德国30天销量"/>
      <sheetName val="德国代发仓"/>
      <sheetName val="英国代发仓"/>
      <sheetName val="Sheet11"/>
      <sheetName val="澳洲代发仓"/>
      <sheetName val="美国代发仓"/>
      <sheetName val="WpsReserved_CellImgList"/>
    </sheetNames>
    <sheetDataSet>
      <sheetData sheetId="0" refreshError="1">
        <row r="2">
          <cell r="A2" t="str">
            <v>ASIN</v>
          </cell>
          <cell r="B2" t="str">
            <v>SKU</v>
          </cell>
          <cell r="C2" t="str">
            <v>名字</v>
          </cell>
          <cell r="D2" t="str">
            <v>英文名</v>
          </cell>
          <cell r="E2" t="str">
            <v>图片</v>
          </cell>
          <cell r="F2" t="str">
            <v>类别</v>
          </cell>
          <cell r="G2" t="str">
            <v>重量</v>
          </cell>
          <cell r="H2" t="str">
            <v>产品长</v>
          </cell>
          <cell r="I2" t="str">
            <v>产品宽</v>
          </cell>
          <cell r="J2" t="str">
            <v>产品高</v>
          </cell>
          <cell r="K2" t="str">
            <v>体积</v>
          </cell>
          <cell r="L2" t="str">
            <v>箱规</v>
          </cell>
          <cell r="M2" t="str">
            <v>箱重</v>
          </cell>
        </row>
        <row r="3">
          <cell r="A3" t="str">
            <v>B06ZY896ZM</v>
          </cell>
          <cell r="B3" t="str">
            <v>TWX-APA-VC106W-Bk</v>
          </cell>
          <cell r="C3" t="str">
            <v>汽车吸尘器</v>
          </cell>
          <cell r="D3" t="str">
            <v>ThisWorx for TWC-01 Car Vacuum - corded</v>
          </cell>
          <cell r="E3" t="str">
            <v>=DISPIMG("ID_5B60F68417B945B1A81209F6D5265B35",1)</v>
          </cell>
          <cell r="F3" t="str">
            <v>汽车</v>
          </cell>
          <cell r="G3">
            <v>1.2</v>
          </cell>
          <cell r="H3">
            <v>38</v>
          </cell>
          <cell r="I3">
            <v>13</v>
          </cell>
          <cell r="J3">
            <v>13</v>
          </cell>
          <cell r="K3">
            <v>0.006422</v>
          </cell>
          <cell r="L3" t="str">
            <v>52*42*40</v>
          </cell>
          <cell r="M3">
            <v>14.2</v>
          </cell>
        </row>
        <row r="4">
          <cell r="A4" t="str">
            <v>B07JG4HXJ6</v>
          </cell>
          <cell r="B4" t="str">
            <v>CSP-PLG-Bxpnl-20x20</v>
          </cell>
          <cell r="C4" t="str">
            <v>人造绿板</v>
          </cell>
          <cell r="D4" t="str">
            <v>Boxwood Panels 20 x 20 Inch</v>
          </cell>
          <cell r="E4" t="str">
            <v>=DISPIMG("ID_00D388FAE9EF4E41A5D36BA30201CF7A",1)</v>
          </cell>
          <cell r="F4" t="str">
            <v>户外</v>
          </cell>
          <cell r="G4">
            <v>8.75</v>
          </cell>
          <cell r="H4">
            <v>60</v>
          </cell>
          <cell r="I4">
            <v>52</v>
          </cell>
          <cell r="J4">
            <v>30</v>
          </cell>
          <cell r="K4">
            <v>0.0936</v>
          </cell>
          <cell r="L4" t="str">
            <v>60*53*34</v>
          </cell>
          <cell r="M4">
            <v>8</v>
          </cell>
        </row>
        <row r="5">
          <cell r="A5" t="str">
            <v>B078NRXBLN</v>
          </cell>
          <cell r="B5" t="str">
            <v>YHG-HOK-WdshWdHngr-Vtg6pk</v>
          </cell>
          <cell r="C5" t="str">
            <v>宽肩木衣架</v>
          </cell>
          <cell r="D5" t="str">
            <v>Vintage wooden coat Hangers Pack ZO-W50</v>
          </cell>
          <cell r="E5" t="str">
            <v>=DISPIMG("ID_1C955361623949798E52C5B7C8326631",1)</v>
          </cell>
          <cell r="F5" t="str">
            <v>衣架</v>
          </cell>
          <cell r="G5">
            <v>1.7</v>
          </cell>
          <cell r="H5">
            <v>41</v>
          </cell>
          <cell r="I5">
            <v>12</v>
          </cell>
          <cell r="J5">
            <v>13</v>
          </cell>
          <cell r="K5">
            <v>0.006396</v>
          </cell>
          <cell r="L5" t="str">
            <v>36*42*50</v>
          </cell>
          <cell r="M5">
            <v>7.8</v>
          </cell>
        </row>
        <row r="6">
          <cell r="A6" t="str">
            <v>B00JMC9SJG</v>
          </cell>
          <cell r="B6" t="str">
            <v>PLT-GAO-FldGrdChr-ExQlty</v>
          </cell>
          <cell r="C6" t="str">
            <v>阿迪朗达克椅</v>
          </cell>
          <cell r="D6" t="str">
            <v>Foldable Hardwood Garden Chair - Excellent Quality</v>
          </cell>
          <cell r="E6" t="str">
            <v>=DISPIMG("ID_1E713420251E4AEF906619652D61C30E",1)</v>
          </cell>
          <cell r="F6" t="str">
            <v>桌椅</v>
          </cell>
          <cell r="G6">
            <v>13</v>
          </cell>
          <cell r="H6">
            <v>97</v>
          </cell>
          <cell r="I6">
            <v>60</v>
          </cell>
          <cell r="J6">
            <v>20</v>
          </cell>
          <cell r="K6">
            <v>0.1164</v>
          </cell>
          <cell r="L6" t="str">
            <v>96*60*21</v>
          </cell>
          <cell r="M6">
            <v>14</v>
          </cell>
        </row>
        <row r="7">
          <cell r="A7" t="str">
            <v>B01B3MW7CC</v>
          </cell>
          <cell r="B7" t="str">
            <v>HNS-ETC-OutDrPojector-200In</v>
          </cell>
          <cell r="C7" t="str">
            <v>户外投影屏幕</v>
          </cell>
          <cell r="D7" t="str">
            <v>Outdoor Projector 200 Inch</v>
          </cell>
          <cell r="E7" t="str">
            <v>=DISPIMG("ID_93CD96EE00444966B23E3D6AD38DA0EF",1)</v>
          </cell>
          <cell r="F7" t="str">
            <v>户外</v>
          </cell>
          <cell r="G7" t="str">
            <v>18.5</v>
          </cell>
          <cell r="H7">
            <v>60</v>
          </cell>
          <cell r="I7">
            <v>46</v>
          </cell>
          <cell r="J7">
            <v>41</v>
          </cell>
          <cell r="K7">
            <v>0.11316</v>
          </cell>
          <cell r="L7" t="str">
            <v>60*46*41</v>
          </cell>
          <cell r="M7">
            <v>18.3</v>
          </cell>
        </row>
        <row r="8">
          <cell r="A8" t="str">
            <v>B07WZX4K48</v>
          </cell>
          <cell r="B8" t="str">
            <v>YHG-KND-10STLUTNSLST</v>
          </cell>
          <cell r="C8" t="str">
            <v>厨房用具套装</v>
          </cell>
          <cell r="D8" t="str">
            <v>10 Piece Stainless Steel Utensil Set</v>
          </cell>
          <cell r="E8" t="str">
            <v>=DISPIMG("ID_202089CE37CB44C9BAC67CCFB6CCA698",1)</v>
          </cell>
          <cell r="F8" t="str">
            <v>厨房用具</v>
          </cell>
          <cell r="G8" t="str">
            <v>1.3</v>
          </cell>
          <cell r="H8">
            <v>13.5</v>
          </cell>
          <cell r="I8">
            <v>13.5</v>
          </cell>
          <cell r="J8">
            <v>34</v>
          </cell>
          <cell r="K8">
            <v>0.0061965</v>
          </cell>
          <cell r="L8" t="str">
            <v>41*35*55</v>
          </cell>
          <cell r="M8">
            <v>16</v>
          </cell>
        </row>
        <row r="9">
          <cell r="A9" t="str">
            <v>B01MXRSMZP</v>
          </cell>
          <cell r="B9" t="str">
            <v>YHG-KND-14CKTLST</v>
          </cell>
          <cell r="C9" t="str">
            <v>调酒套件</v>
          </cell>
          <cell r="D9" t="str">
            <v>14 Piece Cocktail Shaker Set</v>
          </cell>
          <cell r="E9" t="str">
            <v>=DISPIMG("ID_B6FDC9D0838842229F7ABF7D6B601EF0",1)</v>
          </cell>
          <cell r="F9" t="str">
            <v>厨房用具</v>
          </cell>
          <cell r="G9" t="str">
            <v>0.8</v>
          </cell>
          <cell r="H9">
            <v>28</v>
          </cell>
          <cell r="I9">
            <v>10</v>
          </cell>
          <cell r="J9">
            <v>10</v>
          </cell>
          <cell r="K9">
            <v>0.0028</v>
          </cell>
          <cell r="L9" t="str">
            <v>60*33*31 </v>
          </cell>
          <cell r="M9">
            <v>9.8</v>
          </cell>
        </row>
        <row r="10">
          <cell r="A10" t="str">
            <v>B0938GY8DW</v>
          </cell>
          <cell r="B10" t="str">
            <v>YHG-KND-GlsJrGldSld-166pk</v>
          </cell>
          <cell r="C10" t="str">
            <v>梅森罐子</v>
          </cell>
          <cell r="D10" t="str">
            <v>Glass Jars Silver Lid 16oz Pack</v>
          </cell>
          <cell r="E10" t="str">
            <v>=DISPIMG("ID_83CB5B2C40FC4F4EB3E3EEF992385128",1)</v>
          </cell>
          <cell r="F10" t="str">
            <v>厨房用具</v>
          </cell>
          <cell r="G10">
            <v>1.6</v>
          </cell>
          <cell r="H10">
            <v>26</v>
          </cell>
          <cell r="I10">
            <v>21.4</v>
          </cell>
          <cell r="J10">
            <v>7.1</v>
          </cell>
          <cell r="K10">
            <v>0.00395044</v>
          </cell>
          <cell r="L10" t="str">
            <v>63 * 32 * 38</v>
          </cell>
          <cell r="M10">
            <v>12.2</v>
          </cell>
        </row>
        <row r="11">
          <cell r="A11" t="str">
            <v>B00O83CTOK</v>
          </cell>
          <cell r="B11" t="str">
            <v>SKY-KND-PzSt-Bk</v>
          </cell>
          <cell r="C11" t="str">
            <v>披萨石和披萨刀轮</v>
          </cell>
          <cell r="D11" t="str">
            <v>Black Ceramic Pizza Stone and Pizza Cutter Wheel</v>
          </cell>
          <cell r="E11" t="str">
            <v>=DISPIMG("ID_285D71A2D3AD4403AA5BF79342DEFEC0",1)</v>
          </cell>
          <cell r="F11" t="str">
            <v>厨房用具</v>
          </cell>
          <cell r="G11">
            <v>2.9</v>
          </cell>
          <cell r="H11">
            <v>41</v>
          </cell>
          <cell r="I11">
            <v>41</v>
          </cell>
          <cell r="J11">
            <v>6</v>
          </cell>
          <cell r="K11">
            <v>0.010086</v>
          </cell>
          <cell r="L11" t="str">
            <v>43*43*33</v>
          </cell>
          <cell r="M11">
            <v>15</v>
          </cell>
        </row>
        <row r="12">
          <cell r="A12" t="str">
            <v>B06Y1VM9RT</v>
          </cell>
          <cell r="B12" t="str">
            <v>NVT-KND-IcCshr-Alloy</v>
          </cell>
          <cell r="C12" t="str">
            <v>碎冰机</v>
          </cell>
          <cell r="D12" t="str">
            <v>hand crank ice crush made of Zinc alloy, chrome surface finishing</v>
          </cell>
          <cell r="E12" t="str">
            <v>=DISPIMG("ID_3CBDF22AF4554788AB85DAF426281909",1)</v>
          </cell>
          <cell r="F12" t="str">
            <v>厨房用具</v>
          </cell>
          <cell r="G12">
            <v>1.9</v>
          </cell>
          <cell r="H12">
            <v>27</v>
          </cell>
          <cell r="I12">
            <v>17</v>
          </cell>
          <cell r="J12">
            <v>17</v>
          </cell>
          <cell r="K12">
            <v>0.007803</v>
          </cell>
          <cell r="L12" t="str">
            <v>52*36*29</v>
          </cell>
          <cell r="M12">
            <v>11.55</v>
          </cell>
        </row>
        <row r="13">
          <cell r="A13" t="str">
            <v>B07T3Q1DGQ</v>
          </cell>
          <cell r="B13" t="str">
            <v>YHG-KND-BrStlMxBwl-5pk</v>
          </cell>
          <cell r="C13" t="str">
            <v>钢制搅拌碗组</v>
          </cell>
          <cell r="D13" t="str">
            <v>Stainless-Steel Mixing Bowls (Set of 5) Brushed Stainless-Steel Mixing Bowl Set Easy To Clean, Nesting Bowls for Space-Saving Storage, Great for Cooking, Baking, Prepping</v>
          </cell>
          <cell r="E13" t="str">
            <v>=DISPIMG("ID_CB3B334C1B3A4E2FA94BD1668333395E",1)</v>
          </cell>
          <cell r="F13" t="str">
            <v>厨房用具</v>
          </cell>
          <cell r="G13" t="str">
            <v>1.1</v>
          </cell>
          <cell r="H13">
            <v>30</v>
          </cell>
          <cell r="I13">
            <v>30</v>
          </cell>
          <cell r="J13">
            <v>11</v>
          </cell>
          <cell r="K13">
            <v>0.0099</v>
          </cell>
          <cell r="L13" t="str">
            <v>60 * 33 * 31</v>
          </cell>
          <cell r="M13">
            <v>7.4</v>
          </cell>
        </row>
        <row r="14">
          <cell r="A14" t="str">
            <v>B07CBFBXMM</v>
          </cell>
          <cell r="B14" t="str">
            <v>PLT-GAO-GrdSfa-2seat</v>
          </cell>
          <cell r="C14" t="str">
            <v>花园沙发</v>
          </cell>
          <cell r="D14" t="str">
            <v>Garden Sofa with Cushion Included. Superior Quality 2 Seater</v>
          </cell>
          <cell r="E14" t="str">
            <v>=DISPIMG("ID_02362BE792714C2D85F84A06BB3FD5FE",1)</v>
          </cell>
          <cell r="F14" t="str">
            <v>桌椅</v>
          </cell>
          <cell r="G14">
            <v>20.1</v>
          </cell>
          <cell r="H14">
            <v>60.5</v>
          </cell>
          <cell r="I14">
            <v>123.7</v>
          </cell>
          <cell r="J14">
            <v>19.5</v>
          </cell>
          <cell r="K14">
            <v>0.145935075</v>
          </cell>
          <cell r="L14" t="str">
            <v>60.5*123.7*19.5</v>
          </cell>
          <cell r="M14">
            <v>20.1</v>
          </cell>
        </row>
        <row r="15">
          <cell r="A15" t="str">
            <v>B072BC73L4</v>
          </cell>
          <cell r="B15" t="str">
            <v>YHG-KND-StlMxBwl-5pk</v>
          </cell>
          <cell r="C15" t="str">
            <v>钢制搅拌碗组</v>
          </cell>
          <cell r="D15" t="str">
            <v>Premium Stainless-Steel Mixing Bowls with Airtight Lids (Set of 5) Nesting Bowls for Space-Saving Storage, Easy-Grip Stability Design Mixing-Bowl Set Versatile For Cooking, Baking, Food Storage</v>
          </cell>
          <cell r="E15" t="str">
            <v>=DISPIMG("ID_53D5D34C7D3D41B098605783883428E9",1)</v>
          </cell>
          <cell r="F15" t="str">
            <v>厨房用具</v>
          </cell>
          <cell r="G15">
            <v>1.58</v>
          </cell>
          <cell r="H15">
            <v>27</v>
          </cell>
          <cell r="I15" t="str">
            <v>27.3</v>
          </cell>
          <cell r="J15">
            <v>15.2</v>
          </cell>
          <cell r="K15">
            <v>0.01120392</v>
          </cell>
          <cell r="L15" t="str">
            <v>47 * 56 * 29</v>
          </cell>
          <cell r="M15">
            <v>9.3</v>
          </cell>
        </row>
        <row r="16">
          <cell r="A16" t="str">
            <v>B071F82CYJ</v>
          </cell>
          <cell r="B16" t="str">
            <v>DAT-APA-TrOr1-B</v>
          </cell>
          <cell r="C16" t="str">
            <v>后备箱整理器</v>
          </cell>
          <cell r="D16" t="str">
            <v>Drive Auto Products Car Cargo Trunk Organizer, Folding Compartments Are Easily Expandable To Suit Any In-vehicle Organization Needs, Secure Tie-down Strap System, Made Of Durable Oxford Fabric (Black)</v>
          </cell>
          <cell r="E16" t="str">
            <v>=DISPIMG("ID_C8A025E406C94AC99CF97C3BB8B3C2DE",1)</v>
          </cell>
          <cell r="F16" t="str">
            <v>汽车</v>
          </cell>
          <cell r="G16" t="str">
            <v>1.7</v>
          </cell>
          <cell r="H16">
            <v>45</v>
          </cell>
          <cell r="I16">
            <v>29</v>
          </cell>
          <cell r="J16">
            <v>5</v>
          </cell>
          <cell r="K16">
            <v>0.006525</v>
          </cell>
          <cell r="L16" t="str">
            <v>45*30*45</v>
          </cell>
          <cell r="M16">
            <v>17.4</v>
          </cell>
        </row>
        <row r="17">
          <cell r="A17" t="str">
            <v>B00FUZLT78</v>
          </cell>
          <cell r="B17" t="str">
            <v>PLT-GAO-TeCpPlntr-GftBx</v>
          </cell>
          <cell r="C17" t="str">
            <v>盆景</v>
          </cell>
          <cell r="D17" t="str">
            <v>2 Willow Teacup Planters – Gift Boxed – Ideal Gift</v>
          </cell>
          <cell r="E17" t="str">
            <v>=DISPIMG("ID_F436A9C641FB46CEA9FAC0E621FEF961",1)</v>
          </cell>
          <cell r="F17" t="str">
            <v>园艺</v>
          </cell>
          <cell r="G17">
            <v>1</v>
          </cell>
          <cell r="H17">
            <v>34</v>
          </cell>
          <cell r="I17">
            <v>34</v>
          </cell>
          <cell r="J17">
            <v>19</v>
          </cell>
          <cell r="K17">
            <v>0.021964</v>
          </cell>
          <cell r="L17" t="str">
            <v>57 * 71 * 70</v>
          </cell>
          <cell r="M17">
            <v>13.04</v>
          </cell>
        </row>
        <row r="18">
          <cell r="A18" t="str">
            <v>B00842P9P2</v>
          </cell>
          <cell r="B18" t="str">
            <v>PLT-GAO-HiBkCsn-Gren</v>
          </cell>
          <cell r="C18" t="str">
            <v>阿迪朗达克椅垫</v>
          </cell>
          <cell r="D18" t="str">
            <v>High-Back Cushion with Pillow Green</v>
          </cell>
          <cell r="E18" t="str">
            <v>=DISPIMG("ID_9275F26387244E9D9182721A5731B73E",1)</v>
          </cell>
          <cell r="F18" t="str">
            <v>桌椅</v>
          </cell>
          <cell r="G18">
            <v>2</v>
          </cell>
          <cell r="H18">
            <v>78</v>
          </cell>
          <cell r="I18">
            <v>56</v>
          </cell>
          <cell r="J18">
            <v>13</v>
          </cell>
          <cell r="K18">
            <v>0.056784</v>
          </cell>
          <cell r="L18" t="str">
            <v>103 * 58 * 77</v>
          </cell>
          <cell r="M18">
            <v>21</v>
          </cell>
        </row>
        <row r="19">
          <cell r="A19" t="str">
            <v>B07NKVWGRX</v>
          </cell>
          <cell r="B19" t="str">
            <v>PLT-GAO-HiBkCsn-LuxWrBge</v>
          </cell>
          <cell r="C19" t="str">
            <v>户外椅垫</v>
          </cell>
          <cell r="D19" t="str">
            <v>Luxury High Back Cushion with Head Pillow Warm Beige</v>
          </cell>
          <cell r="E19" t="str">
            <v>=DISPIMG("ID_D5455F8A71EF49E68BF06B60384F49CD",1)</v>
          </cell>
          <cell r="F19" t="str">
            <v>桌椅</v>
          </cell>
          <cell r="G19">
            <v>1.7</v>
          </cell>
          <cell r="H19">
            <v>77</v>
          </cell>
          <cell r="I19">
            <v>54</v>
          </cell>
          <cell r="J19">
            <v>12</v>
          </cell>
          <cell r="K19">
            <v>0.049896</v>
          </cell>
          <cell r="L19" t="str">
            <v>103 * 77 * 57</v>
          </cell>
          <cell r="M19">
            <v>20.9</v>
          </cell>
        </row>
        <row r="20">
          <cell r="A20" t="str">
            <v>B083QXSD86</v>
          </cell>
          <cell r="B20" t="str">
            <v>HNS-TOH-LghtPoles-9ft2Pk</v>
          </cell>
          <cell r="C20" t="str">
            <v>户外灯杆</v>
          </cell>
          <cell r="D20" t="str">
            <v>String Light Poles 9ft 2 Pack</v>
          </cell>
          <cell r="E20" t="str">
            <v>=DISPIMG("ID_8C45620197FF474BA85748FFB01377E5",1)</v>
          </cell>
          <cell r="F20" t="str">
            <v>户外</v>
          </cell>
          <cell r="G20">
            <v>5.6</v>
          </cell>
          <cell r="H20">
            <v>150</v>
          </cell>
          <cell r="I20">
            <v>14</v>
          </cell>
          <cell r="J20">
            <v>13</v>
          </cell>
          <cell r="K20">
            <v>0.0273</v>
          </cell>
          <cell r="L20" t="str">
            <v>150*28*27</v>
          </cell>
          <cell r="M20">
            <v>22.6</v>
          </cell>
        </row>
        <row r="21">
          <cell r="A21" t="str">
            <v>B07N2VZGYH</v>
          </cell>
          <cell r="B21" t="str">
            <v>BBD-BBY-ClstHngrDvdrSt-Bho</v>
          </cell>
          <cell r="C21" t="str">
            <v>衣架和分隔器套装</v>
          </cell>
          <cell r="D21" t="str">
            <v>Baby Closet Hanger (20) and Divder (7) Set Boho</v>
          </cell>
          <cell r="E21" t="str">
            <v>=DISPIMG("ID_0F3BED50CC0F48E592BCAAF62E9314DF",1)</v>
          </cell>
          <cell r="F21" t="str">
            <v>衣架</v>
          </cell>
          <cell r="G21">
            <v>3.2</v>
          </cell>
          <cell r="H21">
            <v>38</v>
          </cell>
          <cell r="I21">
            <v>29</v>
          </cell>
          <cell r="J21" t="str">
            <v>27.6</v>
          </cell>
          <cell r="K21">
            <v>0.0304152</v>
          </cell>
          <cell r="L21" t="str">
            <v>59 * 40 * 41</v>
          </cell>
          <cell r="M21">
            <v>14.1</v>
          </cell>
        </row>
        <row r="22">
          <cell r="A22" t="str">
            <v>B01ELYJFEM</v>
          </cell>
          <cell r="B22" t="str">
            <v>MDK-BPC-DBdPad-36pk</v>
          </cell>
          <cell r="C22" t="str">
            <v>一次性床垫</v>
          </cell>
          <cell r="D22" t="str">
            <v>Medokare Disposable Bed Pads - 36 Pack</v>
          </cell>
          <cell r="E22" t="str">
            <v>=DISPIMG("ID_B7F4E296E1B74A209189F5F3E2A9F113",1)</v>
          </cell>
          <cell r="F22" t="str">
            <v>床品</v>
          </cell>
          <cell r="G22">
            <v>2.64</v>
          </cell>
          <cell r="H22">
            <v>30</v>
          </cell>
          <cell r="I22">
            <v>29.8</v>
          </cell>
          <cell r="J22">
            <v>19.4</v>
          </cell>
          <cell r="K22">
            <v>0.0173436</v>
          </cell>
          <cell r="L22" t="str">
            <v>60*41.2*31.4</v>
          </cell>
          <cell r="M22">
            <v>11.46</v>
          </cell>
        </row>
        <row r="23">
          <cell r="A23" t="str">
            <v>B00DO899HU</v>
          </cell>
          <cell r="B23" t="str">
            <v>PLT-GAO-BxTrk-GftBx</v>
          </cell>
          <cell r="C23" t="str">
            <v>园丁盒</v>
          </cell>
          <cell r="D23" t="str">
            <v>Plant Theatre Gardeners Box of Tricks</v>
          </cell>
          <cell r="E23" t="str">
            <v>=DISPIMG("ID_7F2CF191C66148F2900D5F07D2FCBF7A",1)</v>
          </cell>
          <cell r="F23" t="str">
            <v>园艺</v>
          </cell>
          <cell r="G23">
            <v>1.2</v>
          </cell>
          <cell r="H23">
            <v>28</v>
          </cell>
          <cell r="I23">
            <v>28</v>
          </cell>
          <cell r="J23" t="str">
            <v>6.1</v>
          </cell>
          <cell r="K23">
            <v>0.0047824</v>
          </cell>
          <cell r="L23" t="str">
            <v>57.6*52.4*29.6</v>
          </cell>
          <cell r="M23">
            <v>20.76</v>
          </cell>
        </row>
        <row r="24">
          <cell r="A24" t="str">
            <v>B07VHFQVTF</v>
          </cell>
          <cell r="B24" t="str">
            <v>YHG-KND-GlsOilDspnr-2pk</v>
          </cell>
          <cell r="C24" t="str">
            <v>加油机</v>
          </cell>
          <cell r="D24" t="str">
            <v>Superior Glass Oil and Vinegar DisPener 2Pack</v>
          </cell>
          <cell r="E24" t="str">
            <v>=DISPIMG("ID_7E3F18148E7F4D0ABC38228E88979108",1)</v>
          </cell>
          <cell r="F24" t="str">
            <v>厨房用具</v>
          </cell>
          <cell r="G24">
            <v>1.1</v>
          </cell>
          <cell r="H24">
            <v>36</v>
          </cell>
          <cell r="I24">
            <v>21</v>
          </cell>
          <cell r="J24">
            <v>11</v>
          </cell>
          <cell r="K24">
            <v>0.008316</v>
          </cell>
          <cell r="L24" t="str">
            <v>44 * 38 * 56</v>
          </cell>
          <cell r="M24">
            <v>11.6</v>
          </cell>
        </row>
        <row r="25">
          <cell r="A25" t="str">
            <v>B013IAA3P0</v>
          </cell>
          <cell r="B25" t="str">
            <v>PLT-GAO-StmrChr-FlAsmbl</v>
          </cell>
          <cell r="C25" t="str">
            <v>可躺硬木蒸笼椅</v>
          </cell>
          <cell r="D25" t="str">
            <v>Plant Theatre Reclining Hardwood Steamer Chair</v>
          </cell>
          <cell r="E25" t="str">
            <v>=DISPIMG("ID_9E29A10581134CFEAC6FACCA8E8CB4E2",1)</v>
          </cell>
          <cell r="F25" t="str">
            <v>桌椅</v>
          </cell>
          <cell r="G25">
            <v>16</v>
          </cell>
          <cell r="H25">
            <v>120</v>
          </cell>
          <cell r="I25">
            <v>60</v>
          </cell>
          <cell r="J25">
            <v>15</v>
          </cell>
          <cell r="K25">
            <v>0.108</v>
          </cell>
          <cell r="L25" t="str">
            <v>120*60*15</v>
          </cell>
          <cell r="M25">
            <v>16</v>
          </cell>
        </row>
        <row r="26">
          <cell r="A26" t="str">
            <v>B07881WCQY</v>
          </cell>
          <cell r="B26" t="str">
            <v>NLK-KND-DcntGlsSet-Tmn</v>
          </cell>
          <cell r="C26" t="str">
            <v>威士忌杯</v>
          </cell>
          <cell r="D26" t="str">
            <v>Whisky Decanter and 4 Whiskey Glasses Tasman</v>
          </cell>
          <cell r="E26" t="str">
            <v>=DISPIMG("ID_2DC509FF9E874EFFA9DA62EA7A8BB8C3",1)</v>
          </cell>
          <cell r="F26" t="str">
            <v>厨房用具</v>
          </cell>
          <cell r="G26">
            <v>4.5</v>
          </cell>
          <cell r="H26">
            <v>37</v>
          </cell>
          <cell r="I26">
            <v>36</v>
          </cell>
          <cell r="J26">
            <v>17</v>
          </cell>
          <cell r="K26">
            <v>0.022644</v>
          </cell>
          <cell r="L26" t="str">
            <v>51*40*38</v>
          </cell>
          <cell r="M26">
            <v>14.5</v>
          </cell>
        </row>
        <row r="27">
          <cell r="A27" t="str">
            <v>B01F9IS2Y8</v>
          </cell>
          <cell r="B27" t="str">
            <v>DAT-APA-TrOr1-G</v>
          </cell>
          <cell r="C27" t="str">
            <v>后备箱整理器</v>
          </cell>
          <cell r="D27" t="str">
            <v>Car Organiser by Drive Auto Products - Storage with Tie Down Straps,Foldable</v>
          </cell>
          <cell r="E27" t="str">
            <v>=DISPIMG("ID_4ECF5394084B4A618EBB554B806E1F8B",1)</v>
          </cell>
          <cell r="F27" t="str">
            <v>汽车</v>
          </cell>
          <cell r="G27">
            <v>1.6</v>
          </cell>
          <cell r="H27">
            <v>44</v>
          </cell>
          <cell r="I27">
            <v>28</v>
          </cell>
          <cell r="J27">
            <v>5</v>
          </cell>
          <cell r="K27">
            <v>0.00616</v>
          </cell>
          <cell r="L27" t="str">
            <v>45*30*45</v>
          </cell>
          <cell r="M27">
            <v>16.8</v>
          </cell>
        </row>
        <row r="28">
          <cell r="A28" t="str">
            <v>B07K818BBJ</v>
          </cell>
          <cell r="B28" t="str">
            <v>YHG-HOK-PrWrpOrg-40Red</v>
          </cell>
          <cell r="C28" t="str">
            <v>包装储存</v>
          </cell>
          <cell r="D28" t="str">
            <v>Premium Gift Wrap Organizer 40</v>
          </cell>
          <cell r="E28" t="str">
            <v>=DISPIMG("ID_FFE8E2F66561415599FA063783DBA9D1",1)</v>
          </cell>
          <cell r="F28" t="str">
            <v>圣诞</v>
          </cell>
          <cell r="G28">
            <v>2.1</v>
          </cell>
          <cell r="H28">
            <v>18</v>
          </cell>
          <cell r="I28">
            <v>36</v>
          </cell>
          <cell r="J28">
            <v>9</v>
          </cell>
          <cell r="K28">
            <v>0.005832</v>
          </cell>
          <cell r="L28" t="str">
            <v>39 * 39 * 24</v>
          </cell>
          <cell r="M28">
            <v>13.5</v>
          </cell>
        </row>
        <row r="29">
          <cell r="A29" t="str">
            <v>B07JPJX3XL</v>
          </cell>
          <cell r="B29" t="str">
            <v>SKY-KND-GMat-Bk</v>
          </cell>
          <cell r="C29" t="str">
            <v>抗疲劳垫</v>
          </cell>
          <cell r="D29" t="str">
            <v>Genius Mat by Sky Mats - Standing Desk Anti Fatigue Mat - Ergonomic Surface, Office Desk Accessories</v>
          </cell>
          <cell r="E29" t="str">
            <v>=DISPIMG("ID_BD72CC62A2654F2E8AC1B3C9A08A8FA7",1)</v>
          </cell>
          <cell r="F29" t="str">
            <v>脚垫</v>
          </cell>
          <cell r="G29" t="str">
            <v>3.2</v>
          </cell>
          <cell r="H29">
            <v>60.5</v>
          </cell>
          <cell r="I29">
            <v>65.1</v>
          </cell>
          <cell r="J29">
            <v>7.7</v>
          </cell>
          <cell r="K29">
            <v>0.030326835</v>
          </cell>
          <cell r="L29" t="str">
            <v>67*62*33</v>
          </cell>
          <cell r="M29">
            <v>15.2</v>
          </cell>
        </row>
        <row r="30">
          <cell r="A30" t="str">
            <v>B01ARVRPMM</v>
          </cell>
          <cell r="B30" t="str">
            <v>NVT-KND-CrmWpr-3Nz</v>
          </cell>
          <cell r="C30" t="str">
            <v>鲜奶油分配器套装</v>
          </cell>
          <cell r="D30" t="str">
            <v>Cream Whipper Aluminum</v>
          </cell>
          <cell r="E30" t="str">
            <v>=DISPIMG("ID_9979CA1A9FD4426CBA340DFE9558A2AD",1)</v>
          </cell>
          <cell r="F30" t="str">
            <v>厨房用具</v>
          </cell>
          <cell r="G30">
            <v>0.9</v>
          </cell>
          <cell r="H30">
            <v>31</v>
          </cell>
          <cell r="I30">
            <v>9</v>
          </cell>
          <cell r="J30">
            <v>9</v>
          </cell>
          <cell r="K30">
            <v>0.002511</v>
          </cell>
          <cell r="L30" t="str">
            <v>39 * 29 * 33</v>
          </cell>
          <cell r="M30">
            <v>10.8</v>
          </cell>
        </row>
        <row r="31">
          <cell r="A31" t="str">
            <v>B07RTNWGNG</v>
          </cell>
          <cell r="B31" t="str">
            <v>SPG-HOK-SgrCntrSt-6pc</v>
          </cell>
          <cell r="C31" t="str">
            <v>密封食品储存容器</v>
          </cell>
          <cell r="D31" t="str">
            <v>6 Piece Sugar &amp; Flour Container Set</v>
          </cell>
          <cell r="E31" t="str">
            <v>=DISPIMG("ID_B2FCB61B388542B1AF732C9508685AE5",1)</v>
          </cell>
          <cell r="F31" t="str">
            <v>厨房用具</v>
          </cell>
          <cell r="G31">
            <v>1.65</v>
          </cell>
          <cell r="H31">
            <v>39.3</v>
          </cell>
          <cell r="I31">
            <v>23.1</v>
          </cell>
          <cell r="J31">
            <v>16.2</v>
          </cell>
          <cell r="K31">
            <v>0.014706846</v>
          </cell>
          <cell r="L31" t="str">
            <v>50.5*41*47.5</v>
          </cell>
          <cell r="M31">
            <v>11</v>
          </cell>
        </row>
        <row r="32">
          <cell r="A32" t="str">
            <v>B07C3G575Q</v>
          </cell>
          <cell r="B32" t="str">
            <v>YHG-HOK-4SktHngr-6pk</v>
          </cell>
          <cell r="C32" t="str">
            <v>4 层裙架</v>
          </cell>
          <cell r="D32" t="str">
            <v>Metal Skirt Hangers 4 Tier set of 6</v>
          </cell>
          <cell r="E32" t="str">
            <v>=DISPIMG("ID_943F1A4AE5C74E2CA8163A30B4ACBC04",1)</v>
          </cell>
          <cell r="F32" t="str">
            <v>衣架</v>
          </cell>
          <cell r="G32">
            <v>1.8</v>
          </cell>
          <cell r="H32">
            <v>39</v>
          </cell>
          <cell r="I32">
            <v>34</v>
          </cell>
          <cell r="J32">
            <v>7</v>
          </cell>
          <cell r="K32">
            <v>0.009282</v>
          </cell>
          <cell r="L32" t="str">
            <v>41 * 36 * 39</v>
          </cell>
          <cell r="M32">
            <v>10</v>
          </cell>
        </row>
        <row r="33">
          <cell r="A33" t="str">
            <v>B07GG92K1B</v>
          </cell>
          <cell r="B33" t="str">
            <v>NBR-SPO-TTns-4Plyr</v>
          </cell>
          <cell r="C33" t="str">
            <v>乒乓球拍</v>
          </cell>
          <cell r="D33" t="str">
            <v>Table Tennis 4 Player</v>
          </cell>
          <cell r="E33" t="str">
            <v>=DISPIMG("ID_9D4E9CE67C524BA39C232A47E67A58CD",1)</v>
          </cell>
          <cell r="F33" t="str">
            <v>户外</v>
          </cell>
          <cell r="G33">
            <v>1.4</v>
          </cell>
          <cell r="H33">
            <v>36</v>
          </cell>
          <cell r="I33">
            <v>31</v>
          </cell>
          <cell r="J33">
            <v>7</v>
          </cell>
          <cell r="K33">
            <v>0.007812</v>
          </cell>
          <cell r="L33" t="str">
            <v>61 * 36 * 39</v>
          </cell>
          <cell r="M33">
            <v>14.6</v>
          </cell>
        </row>
        <row r="34">
          <cell r="A34" t="str">
            <v>B00M8O122G</v>
          </cell>
          <cell r="B34" t="str">
            <v>SKY-KND-FMat-39BK</v>
          </cell>
          <cell r="C34" t="str">
            <v>抗疲劳垫</v>
          </cell>
          <cell r="D34" t="str">
            <v>Anti Fatigue Comfort Floor Mat by Sky Mats  (20x39x3/4-Inch, Black)</v>
          </cell>
          <cell r="E34" t="str">
            <v>=DISPIMG("ID_52516043CE5B4504954EAD904C7E02EF",1)</v>
          </cell>
          <cell r="F34" t="str">
            <v>脚垫</v>
          </cell>
          <cell r="G34">
            <v>1.4</v>
          </cell>
          <cell r="H34">
            <v>101</v>
          </cell>
          <cell r="I34">
            <v>52</v>
          </cell>
          <cell r="J34">
            <v>2</v>
          </cell>
          <cell r="K34">
            <v>0.010504</v>
          </cell>
          <cell r="L34" t="str">
            <v>102 * 54 * 21</v>
          </cell>
          <cell r="M34">
            <v>16.8</v>
          </cell>
        </row>
        <row r="35">
          <cell r="A35" t="str">
            <v>B07ZS1S4MM</v>
          </cell>
          <cell r="B35" t="str">
            <v>YHG-KND-GlsBvgDspr-1</v>
          </cell>
          <cell r="C35" t="str">
            <v>饮料机</v>
          </cell>
          <cell r="D35" t="str">
            <v>Glass Beverage DisPener with Stainless Steel Spigot Gallons</v>
          </cell>
          <cell r="E35" t="str">
            <v>=DISPIMG("ID_7181B4CBE2BE43B28E74560DD7016B41",1)</v>
          </cell>
          <cell r="F35" t="str">
            <v>厨房用具</v>
          </cell>
          <cell r="G35">
            <v>1.75</v>
          </cell>
          <cell r="H35">
            <v>21.5</v>
          </cell>
          <cell r="I35">
            <v>18.5</v>
          </cell>
          <cell r="J35">
            <v>29.5</v>
          </cell>
          <cell r="K35">
            <v>0.011733625</v>
          </cell>
          <cell r="L35" t="str">
            <v>38 * 45 * 33</v>
          </cell>
          <cell r="M35">
            <v>7.8</v>
          </cell>
        </row>
        <row r="36">
          <cell r="A36" t="str">
            <v>B076F61LBB</v>
          </cell>
          <cell r="B36" t="str">
            <v>MCC-HOK-PiCnd-3x6Wht3pk</v>
          </cell>
          <cell r="C36" t="str">
            <v>无香蜡烛</v>
          </cell>
          <cell r="D36" t="str">
            <v>White Pillar Candles 3" x 6" Set of 3</v>
          </cell>
          <cell r="E36" t="str">
            <v>=DISPIMG("ID_7E136B9AD76E4076998B2D92EF4A3B09",1)</v>
          </cell>
          <cell r="F36" t="str">
            <v>蜡烛</v>
          </cell>
          <cell r="G36">
            <v>1.8</v>
          </cell>
          <cell r="H36">
            <v>16</v>
          </cell>
          <cell r="I36">
            <v>16.5</v>
          </cell>
          <cell r="J36">
            <v>9</v>
          </cell>
          <cell r="K36">
            <v>0.002376</v>
          </cell>
          <cell r="L36" t="str">
            <v>35*25*18</v>
          </cell>
          <cell r="M36">
            <v>7.5</v>
          </cell>
        </row>
        <row r="37">
          <cell r="A37" t="str">
            <v>B07Z2R6Y9Q</v>
          </cell>
          <cell r="B37" t="str">
            <v>PLT-GAO-StmrChrCvr-Grn</v>
          </cell>
          <cell r="C37" t="str">
            <v>椅套</v>
          </cell>
          <cell r="D37" t="str">
            <v>Steamer Chair Cover in Evergreen - Super Quality</v>
          </cell>
          <cell r="E37" t="str">
            <v>=DISPIMG("ID_1C1BDA3431AB47FEAAEDB8BDC73E83D1",1)</v>
          </cell>
          <cell r="F37" t="str">
            <v>桌椅</v>
          </cell>
          <cell r="G37" t="str">
            <v>2.000</v>
          </cell>
          <cell r="H37" t="str">
            <v>35.6</v>
          </cell>
          <cell r="I37" t="str">
            <v>3.8</v>
          </cell>
          <cell r="J37" t="str">
            <v>22.8</v>
          </cell>
          <cell r="K37">
            <v>0.003084384</v>
          </cell>
          <cell r="L37" t="str">
            <v>105 * 99 * 49</v>
          </cell>
          <cell r="M37">
            <v>23.5</v>
          </cell>
        </row>
        <row r="38">
          <cell r="A38" t="str">
            <v>B097S7SKGD</v>
          </cell>
          <cell r="B38" t="str">
            <v>YHG-KND-10CktlShkrSt-Tbag</v>
          </cell>
          <cell r="C38" t="str">
            <v>鸡尾酒调酒器套装</v>
          </cell>
          <cell r="D38" t="str">
            <v>10 Piece Cocktail Shaker Set with Travel Bag</v>
          </cell>
          <cell r="E38" t="str">
            <v>=DISPIMG("ID_E800CF9098C34AE494842CA40A2C3A4C",1)</v>
          </cell>
          <cell r="F38" t="str">
            <v>厨房用具</v>
          </cell>
          <cell r="G38">
            <v>1.2</v>
          </cell>
          <cell r="H38">
            <v>31</v>
          </cell>
          <cell r="I38">
            <v>17</v>
          </cell>
          <cell r="J38">
            <v>17</v>
          </cell>
          <cell r="K38">
            <v>0.008959</v>
          </cell>
          <cell r="L38" t="str">
            <v>38 * 54 * 33</v>
          </cell>
          <cell r="M38">
            <v>9</v>
          </cell>
        </row>
        <row r="39">
          <cell r="A39" t="str">
            <v>B0898J7G49</v>
          </cell>
          <cell r="B39" t="str">
            <v>YHG-KND-360StlUtnslHldr</v>
          </cell>
          <cell r="C39" t="str">
            <v>不锈钢餐具盒</v>
          </cell>
          <cell r="D39" t="str">
            <v>360 Stainless Steel Utensil Holder</v>
          </cell>
          <cell r="E39" t="str">
            <v>=DISPIMG("ID_0BD6DC5321A843EDA6CF9648659EF15B",1)</v>
          </cell>
          <cell r="F39" t="str">
            <v>厨房用具</v>
          </cell>
          <cell r="G39">
            <v>1</v>
          </cell>
          <cell r="H39">
            <v>21</v>
          </cell>
          <cell r="I39">
            <v>19</v>
          </cell>
          <cell r="J39">
            <v>18</v>
          </cell>
          <cell r="K39">
            <v>0.007182</v>
          </cell>
          <cell r="L39" t="str">
            <v>57*38*22</v>
          </cell>
          <cell r="M39">
            <v>6.3</v>
          </cell>
        </row>
        <row r="40">
          <cell r="A40" t="str">
            <v>B00J4FVZU6</v>
          </cell>
          <cell r="B40" t="str">
            <v>SDT-TOH-SPWDB-CX-WH</v>
          </cell>
          <cell r="C40" t="str">
            <v>无线门铃</v>
          </cell>
          <cell r="D40" t="str">
            <v>Star Point Wireless Doorbell Model CX White</v>
          </cell>
          <cell r="E40" t="str">
            <v>=DISPIMG("ID_F105A3C3615845C28B9B9F0C085835B2",1)</v>
          </cell>
          <cell r="F40" t="str">
            <v>门铃</v>
          </cell>
          <cell r="G40">
            <v>0.2</v>
          </cell>
          <cell r="H40">
            <v>15</v>
          </cell>
          <cell r="I40">
            <v>8.9</v>
          </cell>
          <cell r="J40">
            <v>6.7</v>
          </cell>
          <cell r="K40">
            <v>0.00089445</v>
          </cell>
          <cell r="L40" t="str">
            <v>35.3*31.5*46</v>
          </cell>
          <cell r="M40">
            <v>11.8</v>
          </cell>
        </row>
        <row r="41">
          <cell r="A41" t="str">
            <v>B07M6FXGLC</v>
          </cell>
          <cell r="B41" t="str">
            <v>QLT-HOK-WB8692Q20lb-BLU</v>
          </cell>
          <cell r="C41" t="str">
            <v>加重毯子</v>
          </cell>
          <cell r="D41" t="str">
            <v>Weighted Blanket- 20 lbs - 86"x92" Queen Size Bed, Navy Blue</v>
          </cell>
          <cell r="E41" t="str">
            <v>=DISPIMG("ID_7C8A0E67814742448FA62ECCAE859739",1)</v>
          </cell>
          <cell r="F41" t="str">
            <v>家居</v>
          </cell>
          <cell r="G41">
            <v>12.5</v>
          </cell>
          <cell r="H41">
            <v>50</v>
          </cell>
          <cell r="I41">
            <v>39</v>
          </cell>
          <cell r="J41">
            <v>24</v>
          </cell>
          <cell r="K41">
            <v>0.0468</v>
          </cell>
          <cell r="L41" t="str">
            <v>50*41*29</v>
          </cell>
          <cell r="M41">
            <v>22</v>
          </cell>
        </row>
        <row r="42">
          <cell r="A42" t="str">
            <v>B07W7Q6Q2D</v>
          </cell>
          <cell r="B42" t="str">
            <v>BBD-BBY-ClstHngrDvdrSt-Cld</v>
          </cell>
          <cell r="C42" t="str">
            <v>衣架和分隔器套装</v>
          </cell>
          <cell r="D42" t="str">
            <v>Baby Closet Hanger (20) and Divder (7) Set Clouds</v>
          </cell>
          <cell r="E42" t="str">
            <v>=DISPIMG("ID_FE6B4F8C4FC946658E9D659612D60C27",1)</v>
          </cell>
          <cell r="F42" t="str">
            <v>衣架</v>
          </cell>
          <cell r="G42">
            <v>1</v>
          </cell>
          <cell r="H42">
            <v>27</v>
          </cell>
          <cell r="I42">
            <v>27</v>
          </cell>
          <cell r="J42">
            <v>7</v>
          </cell>
          <cell r="K42">
            <v>0.005103</v>
          </cell>
          <cell r="L42" t="str">
            <v>57*36*31</v>
          </cell>
          <cell r="M42">
            <v>10.8</v>
          </cell>
        </row>
        <row r="43">
          <cell r="A43" t="str">
            <v>B01MXKLYYI</v>
          </cell>
          <cell r="B43" t="str">
            <v>PLT-GAO-FldFtStl-Acacia</v>
          </cell>
          <cell r="C43" t="str">
            <v>脚凳</v>
          </cell>
          <cell r="D43" t="str">
            <v>Folding Hardwood Footstool Acacia</v>
          </cell>
          <cell r="E43" t="str">
            <v>=DISPIMG("ID_25B02DE612C04A589BE205E7910BBB82",1)</v>
          </cell>
          <cell r="F43" t="str">
            <v>桌椅</v>
          </cell>
          <cell r="G43">
            <v>4.6</v>
          </cell>
          <cell r="H43">
            <v>54.5</v>
          </cell>
          <cell r="I43">
            <v>67.5</v>
          </cell>
          <cell r="J43">
            <v>13</v>
          </cell>
          <cell r="K43">
            <v>0.04782375</v>
          </cell>
          <cell r="L43" t="str">
            <v>54.5*67.5*13</v>
          </cell>
          <cell r="M43">
            <v>4.6</v>
          </cell>
        </row>
        <row r="44">
          <cell r="A44" t="str">
            <v>B00J4FHOB0</v>
          </cell>
          <cell r="B44" t="str">
            <v>SDT-TOH-SPWDbCXR-WH</v>
          </cell>
          <cell r="C44" t="str">
            <v>无线门铃</v>
          </cell>
          <cell r="D44" t="str">
            <v>Wireless Doorbell</v>
          </cell>
          <cell r="E44" t="str">
            <v>=DISPIMG("ID_DD5B43F984AF4C49AC0E3000CFE59EE4",1)</v>
          </cell>
          <cell r="F44" t="str">
            <v>门铃</v>
          </cell>
          <cell r="G44">
            <v>0.3</v>
          </cell>
          <cell r="H44">
            <v>18</v>
          </cell>
          <cell r="I44">
            <v>9.4</v>
          </cell>
          <cell r="J44">
            <v>8</v>
          </cell>
          <cell r="K44">
            <v>0.0013536</v>
          </cell>
          <cell r="L44" t="str">
            <v>38*34*40</v>
          </cell>
          <cell r="M44">
            <v>9.9</v>
          </cell>
        </row>
        <row r="45">
          <cell r="A45" t="str">
            <v>B07PKVW2X7</v>
          </cell>
          <cell r="B45" t="str">
            <v>PLT-GAO-DrtChr-SldWd</v>
          </cell>
          <cell r="C45" t="str">
            <v>硬木桌</v>
          </cell>
          <cell r="D45" t="str">
            <v>Super Sturdy Directors Hardwood Table</v>
          </cell>
          <cell r="E45" t="str">
            <v>=DISPIMG("ID_917A7CB7AF46461BA2E08D8CF2155453",1)</v>
          </cell>
          <cell r="F45" t="str">
            <v>桌椅</v>
          </cell>
          <cell r="G45" t="str">
            <v>16.3</v>
          </cell>
          <cell r="H45">
            <v>95</v>
          </cell>
          <cell r="I45">
            <v>93</v>
          </cell>
          <cell r="J45">
            <v>9.5</v>
          </cell>
          <cell r="K45">
            <v>0.0839325</v>
          </cell>
          <cell r="L45" t="str">
            <v>95*93*9.5</v>
          </cell>
          <cell r="M45">
            <v>16.3</v>
          </cell>
        </row>
        <row r="46">
          <cell r="A46" t="str">
            <v>B01HTYH8YA</v>
          </cell>
          <cell r="B46" t="str">
            <v>YHG-KND-StlMxBwl-6pk</v>
          </cell>
          <cell r="C46" t="str">
            <v>钢制搅拌碗组</v>
          </cell>
          <cell r="D46" t="str">
            <v>Stainless Steel Mixing Bowls Pack</v>
          </cell>
          <cell r="E46" t="str">
            <v>=DISPIMG("ID_0F8BF3B2001D4366A74339EA6A5A8935",1)</v>
          </cell>
          <cell r="F46" t="str">
            <v>厨房用具</v>
          </cell>
          <cell r="G46">
            <v>1.8</v>
          </cell>
          <cell r="H46">
            <v>35</v>
          </cell>
          <cell r="I46" t="str">
            <v>35.2</v>
          </cell>
          <cell r="J46" t="str">
            <v>13.4</v>
          </cell>
          <cell r="K46">
            <v>0.0165088</v>
          </cell>
          <cell r="L46" t="str">
            <v>53.6*36.4*36.4</v>
          </cell>
          <cell r="M46">
            <v>7.08</v>
          </cell>
        </row>
        <row r="47">
          <cell r="A47" t="str">
            <v>B08B1WP27D</v>
          </cell>
          <cell r="B47" t="str">
            <v>YHG-SPO-StlWtrBtlSld-Pnkgrn25</v>
          </cell>
          <cell r="C47" t="str">
            <v>钢水瓶</v>
          </cell>
          <cell r="D47" t="str">
            <v>Stainless Steel Insulated Water Bottle Straw Lid Dreamy Pink-Green 2oz</v>
          </cell>
          <cell r="E47" t="str">
            <v>=DISPIMG("ID_E7F1BE2D714945B88FF1E4E4FD2348DA",1)</v>
          </cell>
          <cell r="F47" t="str">
            <v>水瓶</v>
          </cell>
          <cell r="G47">
            <v>0.6</v>
          </cell>
          <cell r="H47">
            <v>10</v>
          </cell>
          <cell r="I47">
            <v>10</v>
          </cell>
          <cell r="J47">
            <v>35</v>
          </cell>
          <cell r="K47">
            <v>0.0035</v>
          </cell>
          <cell r="L47" t="str">
            <v>61 * 35 * 45</v>
          </cell>
          <cell r="M47">
            <v>14.5</v>
          </cell>
        </row>
        <row r="48">
          <cell r="A48" t="str">
            <v>B01KOQULLC</v>
          </cell>
          <cell r="B48" t="str">
            <v>YHG-HOK-10HngShoOrg-Flk</v>
          </cell>
          <cell r="C48" t="str">
            <v>悬挂式衣柜收纳件</v>
          </cell>
          <cell r="D48" t="str">
            <v>HANGING SHOE SHELVES</v>
          </cell>
          <cell r="E48" t="str">
            <v>=DISPIMG("ID_7510A64D7A924D9E9A6855F6678581CA",1)</v>
          </cell>
          <cell r="F48" t="str">
            <v>收纳</v>
          </cell>
          <cell r="G48">
            <v>0.45</v>
          </cell>
          <cell r="H48">
            <v>30.8</v>
          </cell>
          <cell r="I48">
            <v>16.4</v>
          </cell>
          <cell r="J48">
            <v>5.2</v>
          </cell>
          <cell r="K48">
            <v>0.002626624</v>
          </cell>
          <cell r="L48" t="str">
            <v>35.2*32.5*32.5</v>
          </cell>
          <cell r="M48">
            <v>7.74</v>
          </cell>
        </row>
        <row r="49">
          <cell r="A49" t="str">
            <v>B00KI08R2A</v>
          </cell>
          <cell r="B49" t="str">
            <v>PT/HWOOD/PBLU</v>
          </cell>
          <cell r="C49" t="str">
            <v>三层硬木香草和植物剧场</v>
          </cell>
          <cell r="D49" t="str">
            <v>Three Tier Hardwood Herb &amp; Plant Theater in Painted Powder Blue</v>
          </cell>
          <cell r="E49" t="str">
            <v>=DISPIMG("ID_AD6F02B8EA9645FE96ABF99EF4A832AC",1)</v>
          </cell>
          <cell r="F49" t="str">
            <v>园艺</v>
          </cell>
          <cell r="G49">
            <v>4.1</v>
          </cell>
          <cell r="H49">
            <v>82</v>
          </cell>
          <cell r="I49">
            <v>59.5</v>
          </cell>
          <cell r="J49">
            <v>6.5</v>
          </cell>
          <cell r="K49">
            <v>0.0317135</v>
          </cell>
          <cell r="L49" t="str">
            <v>82.5*61*7</v>
          </cell>
          <cell r="M49">
            <v>4.2</v>
          </cell>
        </row>
        <row r="50">
          <cell r="A50" t="str">
            <v>B00JZKH7K2</v>
          </cell>
          <cell r="B50" t="str">
            <v>ESP-SPO-AbRoller-Duo</v>
          </cell>
          <cell r="C50" t="str">
            <v>健腹轮</v>
          </cell>
          <cell r="D50" t="str">
            <v>Ab Wheel Rollers Dual</v>
          </cell>
          <cell r="E50" t="str">
            <v>=DISPIMG("ID_9D758D5EBE6D48CDB82EA10B50371983",1)</v>
          </cell>
          <cell r="F50" t="str">
            <v>健身</v>
          </cell>
          <cell r="G50">
            <v>0.6</v>
          </cell>
          <cell r="H50">
            <v>32</v>
          </cell>
          <cell r="I50">
            <v>23.6</v>
          </cell>
          <cell r="J50">
            <v>15.6</v>
          </cell>
          <cell r="K50">
            <v>0.01178112</v>
          </cell>
          <cell r="L50" t="str">
            <v>32*24*17</v>
          </cell>
          <cell r="M50">
            <v>8</v>
          </cell>
        </row>
        <row r="51">
          <cell r="A51" t="str">
            <v>B08LP54XTF</v>
          </cell>
          <cell r="B51" t="str">
            <v>YHG-KND-GlsFdCntnr-Gry20pk</v>
          </cell>
          <cell r="C51" t="str">
            <v>塑料食品容器</v>
          </cell>
          <cell r="D51" t="str">
            <v>Superior Glass Food Storage Container Gray Pack</v>
          </cell>
          <cell r="E51" t="str">
            <v>=DISPIMG("ID_A64054ED824D4646BB5E0B8BEEABA1C4",1)</v>
          </cell>
          <cell r="F51" t="str">
            <v>厨房用具</v>
          </cell>
          <cell r="G51">
            <v>3.3</v>
          </cell>
          <cell r="H51">
            <v>38</v>
          </cell>
          <cell r="I51">
            <v>29</v>
          </cell>
          <cell r="J51">
            <v>19</v>
          </cell>
          <cell r="K51">
            <v>0.020938</v>
          </cell>
          <cell r="L51" t="str">
            <v>59 * 42 * 40</v>
          </cell>
          <cell r="M51">
            <v>14.6</v>
          </cell>
        </row>
        <row r="52">
          <cell r="A52" t="str">
            <v>B00FR4YQYK</v>
          </cell>
          <cell r="B52" t="str">
            <v>SDT-TOH-SPWDbC-Wh</v>
          </cell>
          <cell r="C52" t="str">
            <v>无线门铃</v>
          </cell>
          <cell r="D52" t="str">
            <v>Star Point Wireless Doorbell Model C White</v>
          </cell>
          <cell r="E52" t="str">
            <v>=DISPIMG("ID_4AA19E10D69A4309BF633CB788268646",1)</v>
          </cell>
          <cell r="F52" t="str">
            <v>门铃</v>
          </cell>
          <cell r="G52">
            <v>0.2</v>
          </cell>
          <cell r="H52">
            <v>10</v>
          </cell>
          <cell r="I52">
            <v>7</v>
          </cell>
          <cell r="J52">
            <v>9</v>
          </cell>
          <cell r="K52">
            <v>0.00063</v>
          </cell>
          <cell r="L52" t="str">
            <v>23* 46*33</v>
          </cell>
          <cell r="M52">
            <v>9.3</v>
          </cell>
        </row>
        <row r="53">
          <cell r="A53" t="str">
            <v>B01FJ0KAOQ</v>
          </cell>
          <cell r="B53" t="str">
            <v>HCO-HOK-Decan-CG</v>
          </cell>
          <cell r="C53" t="str">
            <v>醒酒器</v>
          </cell>
          <cell r="D53" t="str">
            <v>Wine Decanter 100% Lead-Free Crystal Glass</v>
          </cell>
          <cell r="E53" t="str">
            <v>=DISPIMG("ID_EDA5BECCE6444E9AAB36BCDE040C25A5",1)</v>
          </cell>
          <cell r="F53" t="str">
            <v>厨房用具</v>
          </cell>
          <cell r="G53" t="str">
            <v>0.680</v>
          </cell>
          <cell r="H53" t="str">
            <v>38.6</v>
          </cell>
          <cell r="I53" t="str">
            <v>14.0</v>
          </cell>
          <cell r="J53" t="str">
            <v>24.6</v>
          </cell>
          <cell r="K53">
            <v>0.01329384</v>
          </cell>
          <cell r="L53" t="str">
            <v>56*51*42</v>
          </cell>
          <cell r="M53">
            <v>6.6</v>
          </cell>
        </row>
        <row r="54">
          <cell r="A54" t="str">
            <v>B072MJSB38</v>
          </cell>
          <cell r="B54" t="str">
            <v>URN-SPO-EXBALL-65R</v>
          </cell>
          <cell r="C54" t="str">
            <v>健身球</v>
          </cell>
          <cell r="D54" t="str">
            <v>Exercise Ball (Multiple Sizes) for Fitness- Anti Burst Prof Quality Design (Red, 65CM)</v>
          </cell>
          <cell r="E54" t="str">
            <v>=DISPIMG("ID_E9DB2FC84DF547D4B9F853C5595E04F8",1)</v>
          </cell>
          <cell r="F54" t="str">
            <v>健身</v>
          </cell>
          <cell r="G54">
            <v>1.25</v>
          </cell>
          <cell r="H54">
            <v>19</v>
          </cell>
          <cell r="I54">
            <v>25</v>
          </cell>
          <cell r="J54">
            <v>12</v>
          </cell>
          <cell r="K54">
            <v>0.0057</v>
          </cell>
          <cell r="L54" t="str">
            <v>64*52*22</v>
          </cell>
          <cell r="M54">
            <v>13.9</v>
          </cell>
        </row>
        <row r="55">
          <cell r="A55" t="str">
            <v>B08BR1Z4D1</v>
          </cell>
          <cell r="B55" t="str">
            <v>SKY-KND-FMat-32Bg</v>
          </cell>
          <cell r="C55" t="str">
            <v>抗疲劳垫</v>
          </cell>
          <cell r="D55" t="str">
            <v>Floor Mat 20x32 Beige</v>
          </cell>
          <cell r="E55" t="str">
            <v>=DISPIMG("ID_A2FDB2D9F8C64A47ABF454790549DBA1",1)</v>
          </cell>
          <cell r="F55" t="str">
            <v>脚垫</v>
          </cell>
          <cell r="G55">
            <v>1.3</v>
          </cell>
          <cell r="H55">
            <v>50</v>
          </cell>
          <cell r="I55">
            <v>81</v>
          </cell>
          <cell r="J55">
            <v>2</v>
          </cell>
          <cell r="K55">
            <v>0.0081</v>
          </cell>
          <cell r="L55" t="str">
            <v>85 * 54 * 22</v>
          </cell>
          <cell r="M55">
            <v>14.2</v>
          </cell>
        </row>
        <row r="56">
          <cell r="A56" t="str">
            <v>B07X31T4R6</v>
          </cell>
          <cell r="B56" t="str">
            <v>YHG-KND-7CktlSt</v>
          </cell>
          <cell r="C56" t="str">
            <v>鸡尾酒调酒器套装</v>
          </cell>
          <cell r="D56" t="str">
            <v>7 PCS. BAR SET</v>
          </cell>
          <cell r="E56" t="str">
            <v>=DISPIMG("ID_ED14EEA40F48437788D2C3851A2EB623",1)</v>
          </cell>
          <cell r="F56" t="str">
            <v>厨房用具</v>
          </cell>
          <cell r="G56" t="str">
            <v>0.600</v>
          </cell>
          <cell r="H56">
            <v>28</v>
          </cell>
          <cell r="I56">
            <v>10</v>
          </cell>
          <cell r="J56">
            <v>10</v>
          </cell>
          <cell r="K56">
            <v>0.0028</v>
          </cell>
          <cell r="L56" t="str">
            <v>57 * 20 * 30</v>
          </cell>
          <cell r="M56">
            <v>7.3</v>
          </cell>
        </row>
        <row r="57">
          <cell r="A57" t="str">
            <v>B01IAM9NZ2</v>
          </cell>
          <cell r="B57" t="str">
            <v>YHG-HOK-UndbdStrgBg-Blk2pk</v>
          </cell>
          <cell r="C57" t="str">
            <v>衣柜收纳件</v>
          </cell>
          <cell r="D57" t="str">
            <v>Underbed Storage Bag Organizer (2Pack) Large Capacity Storage Box with Reinforced Strap Handles</v>
          </cell>
          <cell r="E57" t="str">
            <v>=DISPIMG("ID_A4AE302FA2AF4379AA9A7FA1F843F01D",1)</v>
          </cell>
          <cell r="F57" t="str">
            <v>收纳</v>
          </cell>
          <cell r="G57">
            <v>0.5</v>
          </cell>
          <cell r="H57">
            <v>22</v>
          </cell>
          <cell r="I57">
            <v>16</v>
          </cell>
          <cell r="J57">
            <v>8</v>
          </cell>
          <cell r="K57">
            <v>0.002816</v>
          </cell>
          <cell r="L57" t="str">
            <v>36 * 24 * 46</v>
          </cell>
          <cell r="M57">
            <v>6.5</v>
          </cell>
        </row>
        <row r="58">
          <cell r="A58" t="str">
            <v>B07QG3YG1T</v>
          </cell>
          <cell r="B58" t="str">
            <v>BBD-TOG-PstlBlnGrlndKt</v>
          </cell>
          <cell r="C58" t="str">
            <v>粉彩气球花环套件</v>
          </cell>
          <cell r="D58" t="str">
            <v>Pastel Balloon Garland Kit</v>
          </cell>
          <cell r="E58" t="str">
            <v>=DISPIMG("ID_D97E18480B994713B2318A2735DB4179",1)</v>
          </cell>
          <cell r="F58" t="str">
            <v>节日</v>
          </cell>
          <cell r="G58">
            <v>1.21</v>
          </cell>
          <cell r="H58">
            <v>30.6</v>
          </cell>
          <cell r="I58">
            <v>5.5</v>
          </cell>
          <cell r="J58">
            <v>25.1</v>
          </cell>
          <cell r="K58">
            <v>0.00422433</v>
          </cell>
          <cell r="L58" t="str">
            <v> 55*42*33  </v>
          </cell>
          <cell r="M58">
            <v>17.5</v>
          </cell>
        </row>
        <row r="59">
          <cell r="A59" t="str">
            <v>B08B1VDCXH</v>
          </cell>
          <cell r="B59" t="str">
            <v>YHG-SPO-StlWtrBtlSld-Lgry25</v>
          </cell>
          <cell r="C59" t="str">
            <v>钢水瓶</v>
          </cell>
          <cell r="D59" t="str">
            <v>Stainless Steel Insulated Water Bottle Straw Lid Lava Gray 2oz</v>
          </cell>
          <cell r="E59" t="str">
            <v>=DISPIMG("ID_5A59A4081DD04963B2366E1ED14918B5",1)</v>
          </cell>
          <cell r="F59" t="str">
            <v>水瓶</v>
          </cell>
          <cell r="G59">
            <v>0.6</v>
          </cell>
          <cell r="H59">
            <v>35</v>
          </cell>
          <cell r="I59">
            <v>10</v>
          </cell>
          <cell r="J59">
            <v>10</v>
          </cell>
          <cell r="K59">
            <v>0.0035</v>
          </cell>
          <cell r="L59" t="str">
            <v>59 * 37 * 40</v>
          </cell>
          <cell r="M59">
            <v>8.9</v>
          </cell>
        </row>
        <row r="60">
          <cell r="A60" t="str">
            <v>B088HHKJVD</v>
          </cell>
          <cell r="B60" t="str">
            <v>PLT-GAO-HiBkCsn-WrBge</v>
          </cell>
          <cell r="C60" t="str">
            <v>高背双人靠垫</v>
          </cell>
          <cell r="D60" t="str">
            <v>High Back Double Wumfy Cushion in Warm Beige</v>
          </cell>
          <cell r="E60" t="str">
            <v>=DISPIMG("ID_DEC4CEF21311455A96E14B0C9D82D91C",1)</v>
          </cell>
          <cell r="F60" t="str">
            <v>桌椅</v>
          </cell>
          <cell r="G60" t="str">
            <v>2</v>
          </cell>
          <cell r="H60">
            <v>52</v>
          </cell>
          <cell r="I60">
            <v>124</v>
          </cell>
          <cell r="J60">
            <v>10.1</v>
          </cell>
          <cell r="K60">
            <v>0.0651248</v>
          </cell>
          <cell r="L60" t="str">
            <v>56*128*53.5</v>
          </cell>
          <cell r="M60">
            <v>13.3</v>
          </cell>
        </row>
        <row r="61">
          <cell r="A61" t="str">
            <v>B01N199WJ1</v>
          </cell>
          <cell r="B61" t="str">
            <v>YHG-HOK-WdCtRk-Ntl</v>
          </cell>
          <cell r="C61" t="str">
            <v>木树衣帽架</v>
          </cell>
          <cell r="D61" t="str">
            <v>Wooden Tree Coat Natural</v>
          </cell>
          <cell r="E61" t="str">
            <v>=DISPIMG("ID_1F4F427832254B0F8DABD46C6DA49975",1)</v>
          </cell>
          <cell r="F61" t="str">
            <v>衣架</v>
          </cell>
          <cell r="G61" t="str">
            <v>2.200</v>
          </cell>
          <cell r="H61">
            <v>39.5</v>
          </cell>
          <cell r="I61">
            <v>12.5</v>
          </cell>
          <cell r="J61">
            <v>11</v>
          </cell>
          <cell r="K61">
            <v>0.00543125</v>
          </cell>
          <cell r="L61" t="str">
            <v>42 * 28 * 35</v>
          </cell>
          <cell r="M61">
            <v>13.8</v>
          </cell>
        </row>
        <row r="62">
          <cell r="A62" t="str">
            <v>B08F5HHJ4G</v>
          </cell>
          <cell r="B62" t="str">
            <v>MXL-KND-GftSet-8sT2gWb4</v>
          </cell>
          <cell r="C62" t="str">
            <v>威士忌酒杯和石头套装</v>
          </cell>
          <cell r="D62" t="str">
            <v>Whiskey Glass Stone Set</v>
          </cell>
          <cell r="E62" t="str">
            <v>=DISPIMG("ID_68C0B8D23135420391D2FC4D832805E7",1)</v>
          </cell>
          <cell r="F62" t="str">
            <v>厨房用具</v>
          </cell>
          <cell r="G62">
            <v>2.2</v>
          </cell>
          <cell r="H62">
            <v>28</v>
          </cell>
          <cell r="I62">
            <v>22</v>
          </cell>
          <cell r="J62">
            <v>14</v>
          </cell>
          <cell r="K62">
            <v>0.008624</v>
          </cell>
          <cell r="L62" t="str">
            <v>54*46*30</v>
          </cell>
          <cell r="M62">
            <v>17.8</v>
          </cell>
        </row>
        <row r="63">
          <cell r="A63" t="str">
            <v>B01IABZWPI</v>
          </cell>
          <cell r="B63" t="str">
            <v>HCO-HOK-MoPe-G6</v>
          </cell>
          <cell r="C63" t="str">
            <v>研钵和杵</v>
          </cell>
          <cell r="D63" t="str">
            <v>Granite Mortar and Pestle, 6 Inch Large</v>
          </cell>
          <cell r="E63" t="str">
            <v>=DISPIMG("ID_A05272CEEE564ACB8498D68A4C8E8B6D",1)</v>
          </cell>
          <cell r="F63" t="str">
            <v>厨房用具</v>
          </cell>
          <cell r="G63" t="str">
            <v>3.600</v>
          </cell>
          <cell r="H63">
            <v>16</v>
          </cell>
          <cell r="I63">
            <v>17</v>
          </cell>
          <cell r="J63">
            <v>16</v>
          </cell>
          <cell r="K63">
            <v>0.004352</v>
          </cell>
          <cell r="L63" t="str">
            <v>35 * 35 * 18</v>
          </cell>
          <cell r="M63">
            <v>14.6</v>
          </cell>
        </row>
        <row r="64">
          <cell r="A64" t="str">
            <v>B076LCGJ1W</v>
          </cell>
          <cell r="B64" t="str">
            <v>SKY-KND-FMat-70Gy</v>
          </cell>
          <cell r="C64" t="str">
            <v>抗疲劳垫</v>
          </cell>
          <cell r="D64" t="str">
            <v>Anti Fatigue Comfort Floor Mat By Sky Mats -Commercial Grade Quality Perfect for Standup Desks, Kitchens, and Garages</v>
          </cell>
          <cell r="E64" t="str">
            <v>=DISPIMG("ID_B5378DA86D19444F84B61B4B4ECBA304",1)</v>
          </cell>
          <cell r="F64" t="str">
            <v>脚垫</v>
          </cell>
          <cell r="G64">
            <v>3.5</v>
          </cell>
          <cell r="H64">
            <v>180</v>
          </cell>
          <cell r="I64">
            <v>62</v>
          </cell>
          <cell r="J64">
            <v>2</v>
          </cell>
          <cell r="K64">
            <v>0.02232</v>
          </cell>
          <cell r="L64" t="str">
            <v>180 * 63 * 11</v>
          </cell>
          <cell r="M64">
            <v>18.5</v>
          </cell>
        </row>
        <row r="65">
          <cell r="A65" t="str">
            <v>B078JJ3C61</v>
          </cell>
          <cell r="B65" t="str">
            <v>YHG-HOK-UndbdStrgBg-Gry2pk</v>
          </cell>
          <cell r="C65" t="str">
            <v>家居及园艺杂项。</v>
          </cell>
          <cell r="D65" t="str">
            <v>JUMBO UNDERBED BAGS</v>
          </cell>
          <cell r="E65" t="str">
            <v>=DISPIMG("ID_9DBD703B52E2416C8C1FCDEC2EC9E84B",1)</v>
          </cell>
          <cell r="F65" t="str">
            <v>收纳</v>
          </cell>
          <cell r="G65">
            <v>0.5</v>
          </cell>
          <cell r="H65">
            <v>22</v>
          </cell>
          <cell r="I65">
            <v>18</v>
          </cell>
          <cell r="J65" t="str">
            <v>8.4</v>
          </cell>
          <cell r="K65">
            <v>0.0033264</v>
          </cell>
          <cell r="L65" t="str">
            <v>46*37*23</v>
          </cell>
          <cell r="M65">
            <v>6.5</v>
          </cell>
        </row>
        <row r="66">
          <cell r="A66" t="str">
            <v>B07NKPKJR7</v>
          </cell>
          <cell r="B66" t="str">
            <v>PLT-GAO-ChrCsn-Navy</v>
          </cell>
          <cell r="C66" t="str">
            <v>户外椅垫</v>
          </cell>
          <cell r="D66" t="str">
            <v>Plant Theatre Adirondack Chair Luxury High Back Cushion with Head Pillow in Cool Dark Navy</v>
          </cell>
          <cell r="E66" t="str">
            <v>=DISPIMG("ID_B20F97B463464321917A0D6E9C40687A",1)</v>
          </cell>
          <cell r="F66" t="str">
            <v>桌椅</v>
          </cell>
          <cell r="G66">
            <v>1.7</v>
          </cell>
          <cell r="H66">
            <v>77</v>
          </cell>
          <cell r="I66">
            <v>54</v>
          </cell>
          <cell r="J66">
            <v>12</v>
          </cell>
          <cell r="K66">
            <v>0.049896</v>
          </cell>
          <cell r="L66" t="str">
            <v>103*76*57</v>
          </cell>
          <cell r="M66">
            <v>20.12</v>
          </cell>
        </row>
        <row r="67">
          <cell r="A67" t="str">
            <v>B086RLR2KL</v>
          </cell>
          <cell r="B67" t="str">
            <v>MXL-KND-ShkCot-Ws</v>
          </cell>
          <cell r="C67" t="str">
            <v>调酒套件和支架</v>
          </cell>
          <cell r="D67" t="str">
            <v>Cocktail Shaker with Stand</v>
          </cell>
          <cell r="E67" t="str">
            <v>=DISPIMG("ID_4AD39D1EDFCF4741B41A79E98866B661",1)</v>
          </cell>
          <cell r="F67" t="str">
            <v>厨房用具</v>
          </cell>
          <cell r="G67">
            <v>1</v>
          </cell>
          <cell r="H67">
            <v>27</v>
          </cell>
          <cell r="I67">
            <v>18</v>
          </cell>
          <cell r="J67">
            <v>10</v>
          </cell>
          <cell r="K67">
            <v>0.00486</v>
          </cell>
          <cell r="L67" t="str">
            <v>51*36*29</v>
          </cell>
          <cell r="M67">
            <v>10</v>
          </cell>
        </row>
        <row r="68">
          <cell r="A68" t="str">
            <v>B075RFC6YT</v>
          </cell>
          <cell r="B68" t="str">
            <v>YHG-HOK-WdCtRk-Chy</v>
          </cell>
          <cell r="C68" t="str">
            <v>木树衣帽架</v>
          </cell>
          <cell r="D68" t="str">
            <v>Wooden Coat Rack Cherry</v>
          </cell>
          <cell r="E68" t="str">
            <v>=DISPIMG("ID_21FCEC23F33849768F6914610338DD88",1)</v>
          </cell>
          <cell r="F68" t="str">
            <v>衣架</v>
          </cell>
          <cell r="G68" t="str">
            <v>2.300</v>
          </cell>
          <cell r="H68">
            <v>39.5</v>
          </cell>
          <cell r="I68">
            <v>12</v>
          </cell>
          <cell r="J68">
            <v>11</v>
          </cell>
          <cell r="K68">
            <v>0.005214</v>
          </cell>
          <cell r="L68" t="str">
            <v>27 * 35 * 42</v>
          </cell>
          <cell r="M68">
            <v>14.3</v>
          </cell>
        </row>
        <row r="69">
          <cell r="A69" t="str">
            <v>B015HVQDIY</v>
          </cell>
          <cell r="B69" t="str">
            <v>BCV-ACS-YrnStoBag-Blu</v>
          </cell>
          <cell r="C69" t="str">
            <v>编织袋</v>
          </cell>
          <cell r="D69" t="str">
            <v>Yarn Storage Bag Blue</v>
          </cell>
          <cell r="E69" t="str">
            <v>=DISPIMG("ID_4BF108F2B28347FAAE728AB9FD119411",1)</v>
          </cell>
        </row>
        <row r="69">
          <cell r="G69">
            <v>0.45</v>
          </cell>
          <cell r="H69">
            <v>32</v>
          </cell>
          <cell r="I69">
            <v>30</v>
          </cell>
          <cell r="J69">
            <v>5</v>
          </cell>
          <cell r="K69">
            <v>0.0048</v>
          </cell>
          <cell r="L69" t="str">
            <v>42 * 40 * 61</v>
          </cell>
          <cell r="M69">
            <v>13.2</v>
          </cell>
        </row>
        <row r="70">
          <cell r="A70" t="str">
            <v>B07VGM121L</v>
          </cell>
          <cell r="B70" t="str">
            <v>YHG-HOK-VlvtHngrTb-Blk20pk</v>
          </cell>
          <cell r="C70" t="str">
            <v>天鹅绒衣架</v>
          </cell>
          <cell r="D70" t="str">
            <v>Velvet Hangers With Tie Bar Black set of 20</v>
          </cell>
          <cell r="E70" t="str">
            <v>=DISPIMG("ID_C34A3B171E92485B87619EBC92D85443",1)</v>
          </cell>
          <cell r="F70" t="str">
            <v>衣架</v>
          </cell>
          <cell r="G70">
            <v>1.8</v>
          </cell>
          <cell r="H70">
            <v>44</v>
          </cell>
          <cell r="I70">
            <v>34</v>
          </cell>
          <cell r="J70">
            <v>7</v>
          </cell>
          <cell r="K70">
            <v>0.010472</v>
          </cell>
          <cell r="L70" t="str">
            <v>61*46*36</v>
          </cell>
          <cell r="M70">
            <v>14.7</v>
          </cell>
        </row>
        <row r="71">
          <cell r="A71" t="str">
            <v>B071LH6F2H</v>
          </cell>
          <cell r="B71" t="str">
            <v>YHG-HOK-WdStHngrNs-Vtg20pk</v>
          </cell>
          <cell r="C71" t="str">
            <v>木衣架</v>
          </cell>
          <cell r="D71" t="str">
            <v>Wooden Suit Hangers Vintage set of 20</v>
          </cell>
          <cell r="E71" t="str">
            <v>=DISPIMG("ID_F810D2873EC045D79D436CD621FBA546",1)</v>
          </cell>
          <cell r="F71" t="str">
            <v>衣架</v>
          </cell>
          <cell r="G71">
            <v>2.7</v>
          </cell>
          <cell r="H71">
            <v>36</v>
          </cell>
          <cell r="I71">
            <v>35</v>
          </cell>
          <cell r="J71">
            <v>13</v>
          </cell>
          <cell r="K71">
            <v>0.01638</v>
          </cell>
          <cell r="L71" t="str">
            <v>53*37*36</v>
          </cell>
          <cell r="M71">
            <v>11.6</v>
          </cell>
        </row>
        <row r="72">
          <cell r="A72" t="str">
            <v>B07D9V4TWJ</v>
          </cell>
          <cell r="B72" t="str">
            <v>BFR-SPO-OccBndPro-4pk</v>
          </cell>
          <cell r="C72" t="str">
            <v>遮挡带束</v>
          </cell>
          <cell r="D72" t="str">
            <v>Occlusion Training Bands PRO 4 Pack</v>
          </cell>
          <cell r="E72" t="str">
            <v>=DISPIMG("ID_6D53407010144DB4832459E2D671C667",1)</v>
          </cell>
          <cell r="F72" t="str">
            <v>健身</v>
          </cell>
          <cell r="G72">
            <v>0.3</v>
          </cell>
          <cell r="H72">
            <v>19</v>
          </cell>
          <cell r="I72">
            <v>12</v>
          </cell>
          <cell r="J72">
            <v>5</v>
          </cell>
          <cell r="K72">
            <v>0.00114</v>
          </cell>
          <cell r="L72" t="str">
            <v>42 * 36 * 37</v>
          </cell>
          <cell r="M72">
            <v>19.3</v>
          </cell>
        </row>
        <row r="73">
          <cell r="A73" t="str">
            <v>B018UYRUZU</v>
          </cell>
          <cell r="B73" t="str">
            <v>SDT-TOH-SPWDbC-Bk</v>
          </cell>
          <cell r="C73" t="str">
            <v>无线门铃</v>
          </cell>
          <cell r="D73" t="str">
            <v>SadoTech Wireless Doorbell for Home - Battery Operated, 1000 Feet, Wireless Door Bell w/LED Flash, 1 push button + 1 receiver, Matte Black</v>
          </cell>
          <cell r="E73" t="str">
            <v>=DISPIMG("ID_986EE5A72A404E36B051C06DF7738F6B",1)</v>
          </cell>
          <cell r="F73" t="str">
            <v>门铃</v>
          </cell>
          <cell r="G73">
            <v>0.3</v>
          </cell>
          <cell r="H73">
            <v>10</v>
          </cell>
          <cell r="I73">
            <v>9</v>
          </cell>
          <cell r="J73">
            <v>7</v>
          </cell>
          <cell r="K73">
            <v>0.00063</v>
          </cell>
          <cell r="L73" t="str">
            <v>47*39*23</v>
          </cell>
          <cell r="M73">
            <v>9.3</v>
          </cell>
        </row>
        <row r="74">
          <cell r="A74" t="str">
            <v>B0752T7VSP</v>
          </cell>
          <cell r="B74" t="str">
            <v>YHG-HOK-DflChrsTreBg-75Red</v>
          </cell>
          <cell r="C74" t="str">
            <v>圣诞树收纳袋</v>
          </cell>
          <cell r="D74" t="str">
            <v>STORAGE BAG</v>
          </cell>
          <cell r="E74" t="str">
            <v>=DISPIMG("ID_D1857A9B260D45E08BE3288F6CCBF45C",1)</v>
          </cell>
          <cell r="F74" t="str">
            <v>圣诞</v>
          </cell>
          <cell r="G74">
            <v>1.1</v>
          </cell>
          <cell r="H74">
            <v>25</v>
          </cell>
          <cell r="I74">
            <v>29</v>
          </cell>
          <cell r="J74">
            <v>26</v>
          </cell>
          <cell r="K74">
            <v>0.01885</v>
          </cell>
          <cell r="L74" t="str">
            <v>57 * 36 * 32</v>
          </cell>
          <cell r="M74">
            <v>13.8</v>
          </cell>
        </row>
        <row r="75">
          <cell r="A75" t="str">
            <v>B0756KG68F</v>
          </cell>
          <cell r="B75" t="str">
            <v>YHG-HOK-WdPntHngrMcp-Ntl10pk</v>
          </cell>
          <cell r="C75" t="str">
            <v>木衣架</v>
          </cell>
          <cell r="D75" t="str">
            <v>Wooden Skirt Hangers With Metal Clips Natural set of 10</v>
          </cell>
          <cell r="E75" t="str">
            <v>=DISPIMG("ID_7D137B0698674AA5BAC51EC45FF4CDFE",1)</v>
          </cell>
          <cell r="F75" t="str">
            <v>衣架</v>
          </cell>
          <cell r="G75">
            <v>1.1</v>
          </cell>
          <cell r="H75">
            <v>34</v>
          </cell>
          <cell r="I75">
            <v>19</v>
          </cell>
          <cell r="J75">
            <v>9</v>
          </cell>
          <cell r="K75">
            <v>0.005814</v>
          </cell>
          <cell r="L75" t="str">
            <v>58*38*37</v>
          </cell>
          <cell r="M75">
            <v>13.6</v>
          </cell>
        </row>
        <row r="76">
          <cell r="A76" t="str">
            <v>B07DVLY49J</v>
          </cell>
          <cell r="B76" t="str">
            <v>QGG-SPO-DscTss-1Dsc2Bttle</v>
          </cell>
          <cell r="C76" t="str">
            <v>户外飞盘套装</v>
          </cell>
          <cell r="D76" t="str">
            <v>Knockoff Disc Toss</v>
          </cell>
          <cell r="E76" t="str">
            <v>=DISPIMG("ID_AE45C84BD3B64AF3A249270FB9AC85F8",1)</v>
          </cell>
          <cell r="F76" t="str">
            <v>户外</v>
          </cell>
          <cell r="G76" t="str">
            <v>1.5</v>
          </cell>
          <cell r="H76">
            <v>28.4</v>
          </cell>
          <cell r="I76">
            <v>43.8</v>
          </cell>
          <cell r="J76">
            <v>8</v>
          </cell>
          <cell r="K76">
            <v>0.00995136</v>
          </cell>
          <cell r="L76" t="str">
            <v>59*43*46</v>
          </cell>
          <cell r="M76">
            <v>15.9</v>
          </cell>
        </row>
        <row r="77">
          <cell r="A77" t="str">
            <v>B0897CPDRZ</v>
          </cell>
          <cell r="B77" t="str">
            <v>YHG-SPO-StlWtrBtlSld-Stl25</v>
          </cell>
          <cell r="C77" t="str">
            <v>钢水瓶</v>
          </cell>
          <cell r="D77" t="str">
            <v>Stainless Steel Insulated Water Bottle Straw Lid Stainless Steel 2oz</v>
          </cell>
          <cell r="E77" t="str">
            <v>=DISPIMG("ID_852CFC7D6D174F8DAB5CAAD611519994",1)</v>
          </cell>
          <cell r="F77" t="str">
            <v>水瓶</v>
          </cell>
          <cell r="G77">
            <v>0.6</v>
          </cell>
          <cell r="H77">
            <v>35</v>
          </cell>
          <cell r="I77">
            <v>10</v>
          </cell>
          <cell r="J77">
            <v>9.5</v>
          </cell>
          <cell r="K77">
            <v>0.003325</v>
          </cell>
          <cell r="L77" t="str">
            <v>58.5*40*38</v>
          </cell>
          <cell r="M77">
            <v>14.1</v>
          </cell>
        </row>
        <row r="78">
          <cell r="A78" t="str">
            <v>B07GSJKTVM</v>
          </cell>
          <cell r="B78" t="str">
            <v>CCF-KND-PzaPel-Xl</v>
          </cell>
          <cell r="C78" t="str">
            <v>披萨铲</v>
          </cell>
          <cell r="D78" t="str">
            <v>Stainless Steel Pizza Peel Extra Large</v>
          </cell>
          <cell r="E78" t="str">
            <v>=DISPIMG("ID_C3E028EB43484E2F92E4D3400A69EAF0",1)</v>
          </cell>
          <cell r="F78" t="str">
            <v>厨房用具</v>
          </cell>
          <cell r="G78" t="str">
            <v>1.3</v>
          </cell>
          <cell r="H78">
            <v>44.4</v>
          </cell>
          <cell r="I78">
            <v>33</v>
          </cell>
          <cell r="J78">
            <v>2.5</v>
          </cell>
          <cell r="K78">
            <v>0.003663</v>
          </cell>
          <cell r="L78" t="str">
            <v>35.6*33*45.7</v>
          </cell>
          <cell r="M78">
            <v>13.6</v>
          </cell>
        </row>
        <row r="79">
          <cell r="A79" t="str">
            <v>B07GXZXQQ4</v>
          </cell>
          <cell r="B79" t="str">
            <v>FLX-HHB-LBBra-ML</v>
          </cell>
          <cell r="C79" t="str">
            <v>背撑</v>
          </cell>
          <cell r="D79" t="str">
            <v>Lower Back Brace Medium Large</v>
          </cell>
          <cell r="E79" t="str">
            <v>=DISPIMG("ID_4D267EB4BD4046398B292348DC438793",1)</v>
          </cell>
          <cell r="F79" t="str">
            <v>健身</v>
          </cell>
          <cell r="G79">
            <v>0.5</v>
          </cell>
          <cell r="H79">
            <v>25</v>
          </cell>
          <cell r="I79">
            <v>19</v>
          </cell>
          <cell r="J79">
            <v>7</v>
          </cell>
          <cell r="K79">
            <v>0.003325</v>
          </cell>
          <cell r="L79" t="str">
            <v>54*50*43</v>
          </cell>
          <cell r="M79">
            <v>21</v>
          </cell>
        </row>
        <row r="80">
          <cell r="A80" t="str">
            <v>B07TSL7FJB</v>
          </cell>
          <cell r="B80" t="str">
            <v>YHG-HOK-WdHngrKd-Bhle10pk</v>
          </cell>
          <cell r="C80" t="str">
            <v>木衣架</v>
          </cell>
          <cell r="D80" t="str">
            <v>Wooden Standard Kids Hangers Blue Polka Dot set of 10</v>
          </cell>
          <cell r="E80" t="str">
            <v>=DISPIMG("ID_8D93C234D42A4F2B952B45E6A7CC3B4A",1)</v>
          </cell>
          <cell r="F80" t="str">
            <v>衣架</v>
          </cell>
          <cell r="G80">
            <v>1.2</v>
          </cell>
          <cell r="H80">
            <v>32.2</v>
          </cell>
          <cell r="I80">
            <v>27.2</v>
          </cell>
          <cell r="J80">
            <v>7</v>
          </cell>
          <cell r="K80">
            <v>0.00613088</v>
          </cell>
          <cell r="L80" t="str">
            <v>55.4*33.6*29.8</v>
          </cell>
          <cell r="M80">
            <v>10.5</v>
          </cell>
        </row>
        <row r="81">
          <cell r="A81" t="str">
            <v>B08BDWSSR2</v>
          </cell>
          <cell r="B81" t="str">
            <v>SKY-KND-FMat-39Bg</v>
          </cell>
          <cell r="C81" t="str">
            <v>抗疲劳垫</v>
          </cell>
          <cell r="D81" t="str">
            <v>Floor Mat 20x39 Beige</v>
          </cell>
          <cell r="E81" t="str">
            <v>=DISPIMG("ID_D2A03527ABB44BA4AF5A88A8AA06087E",1)</v>
          </cell>
          <cell r="F81" t="str">
            <v>脚垫</v>
          </cell>
          <cell r="G81">
            <v>1.5</v>
          </cell>
          <cell r="H81">
            <v>101</v>
          </cell>
          <cell r="I81">
            <v>53</v>
          </cell>
          <cell r="J81">
            <v>2</v>
          </cell>
          <cell r="K81">
            <v>0.010706</v>
          </cell>
          <cell r="L81" t="str">
            <v>102*54*22</v>
          </cell>
          <cell r="M81">
            <v>16.6</v>
          </cell>
        </row>
        <row r="82">
          <cell r="A82" t="str">
            <v>B01C7JM7CU</v>
          </cell>
          <cell r="B82" t="str">
            <v>YSH-SPO-BkCv-XXL</v>
          </cell>
          <cell r="C82" t="str">
            <v>自行车罩</v>
          </cell>
          <cell r="D82" t="str">
            <v>YardStash XL and XXL Outdoor Waterproof Bike Cover | Bicycle Storage Tarp for 2 to 3 Bikes | Shelter from All Weather Conditions for Mountain and Road Bikes (Bicycle Cover XXL)</v>
          </cell>
          <cell r="E82" t="str">
            <v>=DISPIMG("ID_9AF0AA687E744978A09982E29135438A",1)</v>
          </cell>
          <cell r="F82" t="str">
            <v>户外</v>
          </cell>
          <cell r="G82">
            <v>1.75</v>
          </cell>
          <cell r="H82">
            <v>32</v>
          </cell>
          <cell r="I82">
            <v>27</v>
          </cell>
          <cell r="J82">
            <v>6</v>
          </cell>
          <cell r="K82">
            <v>0.005184</v>
          </cell>
          <cell r="L82" t="str">
            <v>52 * 42 * 32</v>
          </cell>
          <cell r="M82">
            <v>21.5</v>
          </cell>
        </row>
        <row r="83">
          <cell r="A83" t="str">
            <v>B00N296Y4M</v>
          </cell>
          <cell r="B83" t="str">
            <v>SKY-KND-FMat-70Bk</v>
          </cell>
          <cell r="C83" t="str">
            <v>抗疲劳垫</v>
          </cell>
          <cell r="D83" t="str">
            <v>Anti Fatigue Comfort Floor Mat By Sky Mats -Commercial Grade Quality Perfect for Standup Desks, Kitchens, and Garages</v>
          </cell>
          <cell r="E83" t="str">
            <v>=DISPIMG("ID_451D474DE1484CAD87C4837CA9EE1143",1)</v>
          </cell>
          <cell r="F83" t="str">
            <v>脚垫</v>
          </cell>
          <cell r="G83">
            <v>3.5</v>
          </cell>
          <cell r="H83">
            <v>180</v>
          </cell>
          <cell r="I83">
            <v>62</v>
          </cell>
          <cell r="J83">
            <v>2</v>
          </cell>
          <cell r="K83">
            <v>0.02232</v>
          </cell>
          <cell r="L83" t="str">
            <v>180 * 63 * 11</v>
          </cell>
          <cell r="M83">
            <v>18.5</v>
          </cell>
        </row>
        <row r="84">
          <cell r="A84" t="str">
            <v>B08NTRQX3B</v>
          </cell>
          <cell r="B84" t="str">
            <v>DAT-APA-TrOr1-Tn</v>
          </cell>
          <cell r="C84" t="str">
            <v>汽车后备箱收纳器</v>
          </cell>
          <cell r="D84" t="str">
            <v>Car Trunk Storage Organizer 1 Pack Tan</v>
          </cell>
          <cell r="E84" t="str">
            <v>=DISPIMG("ID_A730ED25D27949DE8372A0062AAFCCFA",1)</v>
          </cell>
          <cell r="F84" t="str">
            <v>汽车</v>
          </cell>
          <cell r="G84" t="str">
            <v>1.7</v>
          </cell>
          <cell r="H84">
            <v>45</v>
          </cell>
          <cell r="I84">
            <v>29</v>
          </cell>
          <cell r="J84">
            <v>5</v>
          </cell>
          <cell r="K84">
            <v>0.006525</v>
          </cell>
          <cell r="L84" t="str">
            <v>45*30*45</v>
          </cell>
          <cell r="M84">
            <v>17.4</v>
          </cell>
        </row>
        <row r="85">
          <cell r="A85" t="str">
            <v>B073BQKHPR</v>
          </cell>
          <cell r="B85" t="str">
            <v>SKY-KND-FMAT-39GY</v>
          </cell>
          <cell r="C85" t="str">
            <v>抗疲劳垫</v>
          </cell>
          <cell r="D85" t="str">
            <v>Anti Fatigue Comfort Floor Mat By Sky Mats -Commercial Grade Quality Perfect for Standup Desks, Kitchens, and Garages</v>
          </cell>
          <cell r="E85" t="str">
            <v>=DISPIMG("ID_DC7A13F9BDC74F9DB635847DB7821F26",1)</v>
          </cell>
          <cell r="F85" t="str">
            <v>脚垫</v>
          </cell>
          <cell r="G85">
            <v>1.7</v>
          </cell>
          <cell r="H85">
            <v>101</v>
          </cell>
          <cell r="I85">
            <v>53</v>
          </cell>
          <cell r="J85">
            <v>2</v>
          </cell>
          <cell r="K85">
            <v>0.010706</v>
          </cell>
          <cell r="L85" t="str">
            <v>102*54*22</v>
          </cell>
          <cell r="M85">
            <v>17.3</v>
          </cell>
        </row>
        <row r="86">
          <cell r="A86" t="str">
            <v>B07FXG4JVG</v>
          </cell>
          <cell r="B86" t="str">
            <v>NLK-KND-DcntGlsSet-Hbt</v>
          </cell>
          <cell r="C86" t="str">
            <v>威士忌杯</v>
          </cell>
          <cell r="D86" t="str">
            <v>Whisky Decanter and 4 Whiskey Glasses Hobart</v>
          </cell>
          <cell r="E86" t="str">
            <v>=DISPIMG("ID_C5D5DCD7138F4511AE4D30C5F6B34415",1)</v>
          </cell>
          <cell r="F86" t="str">
            <v>厨房用具</v>
          </cell>
          <cell r="G86" t="str">
            <v>5.070</v>
          </cell>
          <cell r="H86" t="str">
            <v>37.8</v>
          </cell>
          <cell r="I86" t="str">
            <v>15.6</v>
          </cell>
          <cell r="J86" t="str">
            <v>31.0</v>
          </cell>
          <cell r="K86">
            <v>0.01828008</v>
          </cell>
          <cell r="L86" t="str">
            <v>51*40*38</v>
          </cell>
          <cell r="M86">
            <v>14.5</v>
          </cell>
        </row>
        <row r="87">
          <cell r="A87" t="str">
            <v>B075FBK4RR</v>
          </cell>
          <cell r="B87" t="str">
            <v>YHG-HOK-WdStHngrNs-Chy30pk</v>
          </cell>
          <cell r="C87" t="str">
            <v>天然木裙夹衣架</v>
          </cell>
          <cell r="D87" t="str">
            <v>Wooden Skirt Clamp Hangers Natural set of 10</v>
          </cell>
          <cell r="E87" t="str">
            <v>=DISPIMG("ID_8277504D36B64DE79B6A46C688884DDE",1)</v>
          </cell>
          <cell r="F87" t="str">
            <v>衣架</v>
          </cell>
          <cell r="G87" t="str">
            <v>1.500</v>
          </cell>
          <cell r="H87">
            <v>26</v>
          </cell>
          <cell r="I87">
            <v>25</v>
          </cell>
          <cell r="J87">
            <v>12.5</v>
          </cell>
          <cell r="K87">
            <v>0.008125</v>
          </cell>
          <cell r="L87" t="str">
            <v>52*28*51</v>
          </cell>
          <cell r="M87">
            <v>12.3</v>
          </cell>
        </row>
        <row r="88">
          <cell r="A88" t="str">
            <v>B07PK3ZM9X</v>
          </cell>
          <cell r="B88" t="str">
            <v>PLT-GAO-BchCsn-AlmWrBge</v>
          </cell>
          <cell r="C88" t="str">
            <v>长凳坐垫</v>
          </cell>
          <cell r="D88" t="str">
            <v>Cushion for Aluminium Bench Warm Beige</v>
          </cell>
          <cell r="E88" t="str">
            <v>=DISPIMG("ID_61D9413E197F41C5992F2714E6EC8D38",1)</v>
          </cell>
          <cell r="F88" t="str">
            <v>桌椅</v>
          </cell>
          <cell r="G88">
            <v>1.09</v>
          </cell>
          <cell r="H88">
            <v>42.7</v>
          </cell>
          <cell r="I88">
            <v>95</v>
          </cell>
          <cell r="J88">
            <v>5</v>
          </cell>
          <cell r="K88">
            <v>0.0202825</v>
          </cell>
          <cell r="L88" t="str">
            <v>43*97.5*52</v>
          </cell>
          <cell r="M88">
            <v>11</v>
          </cell>
        </row>
        <row r="89">
          <cell r="A89" t="str">
            <v>B08MFSSN8Q</v>
          </cell>
          <cell r="B89" t="str">
            <v>YHG-SPO-StlWtrBtlSld-Agrn25</v>
          </cell>
          <cell r="C89" t="str">
            <v>钢水瓶</v>
          </cell>
          <cell r="D89" t="str">
            <v>Stainless Steel Insulated Water Bottle Straw Lid Army Green 2oz</v>
          </cell>
          <cell r="E89" t="str">
            <v>=DISPIMG("ID_1C4442E559614D828A6DAC9ED92EBB56",1)</v>
          </cell>
          <cell r="F89" t="str">
            <v>水瓶</v>
          </cell>
          <cell r="G89">
            <v>0.6</v>
          </cell>
          <cell r="H89">
            <v>35</v>
          </cell>
          <cell r="I89">
            <v>10</v>
          </cell>
          <cell r="J89">
            <v>10</v>
          </cell>
          <cell r="K89">
            <v>0.0035</v>
          </cell>
          <cell r="L89" t="str">
            <v>59 * 38 * 39</v>
          </cell>
          <cell r="M89">
            <v>14.4</v>
          </cell>
        </row>
        <row r="90">
          <cell r="A90" t="str">
            <v>B01L8N122C</v>
          </cell>
          <cell r="B90" t="str">
            <v>ESP-TOG-JmbCards</v>
          </cell>
          <cell r="C90" t="str">
            <v>跳棋和纸牌</v>
          </cell>
          <cell r="D90" t="str">
            <v>Jumbo Playing Cards Games</v>
          </cell>
          <cell r="E90" t="str">
            <v>=DISPIMG("ID_B776223021614E388A0146B5E90EA4E3",1)</v>
          </cell>
          <cell r="F90" t="str">
            <v>户外</v>
          </cell>
          <cell r="G90">
            <v>1.65</v>
          </cell>
          <cell r="H90">
            <v>33</v>
          </cell>
          <cell r="I90">
            <v>24</v>
          </cell>
          <cell r="J90">
            <v>8</v>
          </cell>
          <cell r="K90">
            <v>0.006336</v>
          </cell>
          <cell r="L90" t="str">
            <v>36 * 36 * 50</v>
          </cell>
          <cell r="M90">
            <v>15.2</v>
          </cell>
        </row>
        <row r="91">
          <cell r="A91" t="str">
            <v>B01HFKUJEY</v>
          </cell>
          <cell r="B91" t="str">
            <v>SKY-KND-FMAT-32BK</v>
          </cell>
          <cell r="C91" t="str">
            <v>抗疲劳垫</v>
          </cell>
          <cell r="D91" t="str">
            <v>Anti Fatigue Comfort Floor Mat By Sky Mats -Commercial Grade Quality Perfect for Standup Desks, Kitchens, and Garages</v>
          </cell>
          <cell r="E91" t="str">
            <v>=DISPIMG("ID_3C95F6C408E045838365ACDA20E6F887",1)</v>
          </cell>
          <cell r="F91" t="str">
            <v>脚垫</v>
          </cell>
          <cell r="G91">
            <v>1.2</v>
          </cell>
          <cell r="H91">
            <v>81</v>
          </cell>
          <cell r="I91">
            <v>51</v>
          </cell>
          <cell r="J91">
            <v>2</v>
          </cell>
          <cell r="K91">
            <v>0.008262</v>
          </cell>
          <cell r="L91" t="str">
            <v>84*53*21.5</v>
          </cell>
          <cell r="M91">
            <v>14.3</v>
          </cell>
        </row>
        <row r="92">
          <cell r="A92" t="str">
            <v>B07GY1GPY6</v>
          </cell>
          <cell r="B92" t="str">
            <v>FLX-HHB-LBBra-XL</v>
          </cell>
          <cell r="C92" t="str">
            <v>支架、夹板和吊带</v>
          </cell>
          <cell r="D92" t="str">
            <v>Lower Back Brace Extra Large</v>
          </cell>
          <cell r="E92" t="str">
            <v>=DISPIMG("ID_C18C05CB75164B2FB625247BDD10CB96",1)</v>
          </cell>
          <cell r="F92" t="str">
            <v>健身</v>
          </cell>
          <cell r="G92">
            <v>0.5</v>
          </cell>
          <cell r="H92">
            <v>24</v>
          </cell>
          <cell r="I92">
            <v>19</v>
          </cell>
          <cell r="J92">
            <v>7</v>
          </cell>
          <cell r="K92">
            <v>0.003192</v>
          </cell>
          <cell r="L92" t="str">
            <v>53*51*43</v>
          </cell>
          <cell r="M92">
            <v>16.5</v>
          </cell>
        </row>
        <row r="93">
          <cell r="A93" t="str">
            <v>B09BDJXVMC</v>
          </cell>
          <cell r="B93" t="str">
            <v>FD-S4904-FBA</v>
          </cell>
          <cell r="C93" t="str">
            <v>厨房用具套装</v>
          </cell>
          <cell r="D93" t="str">
            <v>Fine Dine-SS 10pc kitchen utensil set-black</v>
          </cell>
          <cell r="E93" t="str">
            <v>=DISPIMG("ID_4670FDA4B48742B48AAC7D73FF3EEFA9",1)</v>
          </cell>
          <cell r="F93" t="str">
            <v>水瓶</v>
          </cell>
          <cell r="G93" t="str">
            <v>1.300</v>
          </cell>
          <cell r="H93">
            <v>13</v>
          </cell>
          <cell r="I93">
            <v>34</v>
          </cell>
          <cell r="J93">
            <v>13</v>
          </cell>
          <cell r="K93">
            <v>0.005746</v>
          </cell>
          <cell r="L93" t="str">
            <v>55 * 42 * 35</v>
          </cell>
          <cell r="M93">
            <v>13.8</v>
          </cell>
        </row>
        <row r="94">
          <cell r="A94" t="str">
            <v>B00Z9WU2ES</v>
          </cell>
          <cell r="B94" t="str">
            <v>HMC-MUT-TriMicStnd-Sgl</v>
          </cell>
          <cell r="C94" t="str">
            <v>三脚架麦克风支架</v>
          </cell>
          <cell r="D94" t="str">
            <v>Professional Tripod Microphone Stand Single</v>
          </cell>
          <cell r="E94" t="str">
            <v>=DISPIMG("ID_B0102A61AB58466AA7774282AF488C4A",1)</v>
          </cell>
          <cell r="F94" t="str">
            <v>工具</v>
          </cell>
          <cell r="G94" t="str">
            <v>2.500</v>
          </cell>
          <cell r="H94">
            <v>87</v>
          </cell>
          <cell r="I94">
            <v>10</v>
          </cell>
          <cell r="J94">
            <v>10</v>
          </cell>
          <cell r="K94">
            <v>0.0087</v>
          </cell>
          <cell r="L94" t="str">
            <v>90 * 33 * 22</v>
          </cell>
          <cell r="M94">
            <v>15.5</v>
          </cell>
        </row>
        <row r="95">
          <cell r="A95" t="str">
            <v>B07PFQQVH4</v>
          </cell>
          <cell r="B95" t="str">
            <v>PLT-GAO-DrtChr-ClGry</v>
          </cell>
          <cell r="C95" t="str">
            <v>导演椅</v>
          </cell>
          <cell r="D95" t="str">
            <v>Super Sturdy Director's Chair in Cool Grey</v>
          </cell>
          <cell r="E95" t="str">
            <v>=DISPIMG("ID_044C997E24F540CCB7DE399C8797772D",1)</v>
          </cell>
          <cell r="F95" t="str">
            <v>桌椅</v>
          </cell>
          <cell r="G95">
            <v>7.9</v>
          </cell>
          <cell r="H95">
            <v>93.5</v>
          </cell>
          <cell r="I95">
            <v>53</v>
          </cell>
          <cell r="J95">
            <v>18.5</v>
          </cell>
          <cell r="K95">
            <v>0.09167675</v>
          </cell>
          <cell r="L95" t="str">
            <v>93.5*53*18.5</v>
          </cell>
          <cell r="M95">
            <v>7.9</v>
          </cell>
        </row>
        <row r="96">
          <cell r="A96" t="str">
            <v>B07C4MGL8N</v>
          </cell>
          <cell r="B96" t="str">
            <v>MKW-KND-SlcnSptlSet-4pkOrng</v>
          </cell>
          <cell r="C96" t="str">
            <v>硅胶刮刀</v>
          </cell>
          <cell r="D96" t="str">
            <v>Silicon Spatula Set 4 Pack Orange</v>
          </cell>
          <cell r="E96" t="str">
            <v>=DISPIMG("ID_3D97499E94D44E1A9B2B48B1284D7697",1)</v>
          </cell>
          <cell r="F96" t="str">
            <v>工具</v>
          </cell>
          <cell r="G96" t="str">
            <v>0.3</v>
          </cell>
          <cell r="H96">
            <v>35</v>
          </cell>
          <cell r="I96">
            <v>22</v>
          </cell>
          <cell r="J96">
            <v>0.6</v>
          </cell>
          <cell r="K96">
            <v>0.000462</v>
          </cell>
          <cell r="L96" t="str">
            <v>64.5*37*37</v>
          </cell>
          <cell r="M96">
            <v>22.5</v>
          </cell>
        </row>
        <row r="97">
          <cell r="A97" t="str">
            <v>B08BLW24DD</v>
          </cell>
          <cell r="B97" t="str">
            <v>MXL-KND-BarKit-Bst11pcSlv</v>
          </cell>
          <cell r="C97" t="str">
            <v>调酒套件</v>
          </cell>
          <cell r="D97" t="str">
            <v>Bartender Kit Weighted Boston 11pc silver</v>
          </cell>
          <cell r="E97" t="str">
            <v>=DISPIMG("ID_8ECD130CA2334A7FA0B064AAEDB8B054",1)</v>
          </cell>
          <cell r="F97" t="str">
            <v>厨房用具</v>
          </cell>
          <cell r="G97">
            <v>1.1</v>
          </cell>
          <cell r="H97">
            <v>45</v>
          </cell>
          <cell r="I97">
            <v>11</v>
          </cell>
          <cell r="J97">
            <v>31</v>
          </cell>
          <cell r="K97">
            <v>0.015345</v>
          </cell>
          <cell r="L97" t="str">
            <v>45*33*44</v>
          </cell>
          <cell r="M97">
            <v>17</v>
          </cell>
        </row>
        <row r="98">
          <cell r="A98" t="str">
            <v>B00SS3GUNM</v>
          </cell>
          <cell r="B98" t="str">
            <v>SKY-KND-PzPe-22x14</v>
          </cell>
          <cell r="C98" t="str">
            <v>披萨皮</v>
          </cell>
          <cell r="D98" t="str">
            <v>Heritage Acacia Wood Pizza Peel, Great for Homemade Pizza</v>
          </cell>
          <cell r="E98" t="str">
            <v>=DISPIMG("ID_D53F0DD2F1E4401EB30C6D2C79E5BACA",1)</v>
          </cell>
          <cell r="F98" t="str">
            <v>厨房用具</v>
          </cell>
          <cell r="G98">
            <v>1.37</v>
          </cell>
          <cell r="H98">
            <v>57</v>
          </cell>
          <cell r="I98">
            <v>37</v>
          </cell>
          <cell r="J98">
            <v>3</v>
          </cell>
          <cell r="K98">
            <v>0.006327</v>
          </cell>
          <cell r="L98" t="str">
            <v>59.2*39.2*25</v>
          </cell>
          <cell r="M98">
            <v>14</v>
          </cell>
        </row>
        <row r="99">
          <cell r="A99" t="str">
            <v>B07C46QPTR</v>
          </cell>
          <cell r="B99" t="str">
            <v>TRB-SPO-TRKPO-PUPM</v>
          </cell>
          <cell r="C99" t="str">
            <v>登山杖</v>
          </cell>
          <cell r="D99" t="str">
            <v>TrailBuddy Lightweight Trekking Poles - 2-pc Pack Adjustable Hiking or Walking Sticks - Strong Aircraft Aluminum - Quick Adjust Flip-Lock - Cork Grip, Padded Strap - (Purple Plum)</v>
          </cell>
          <cell r="E99" t="str">
            <v>=DISPIMG("ID_4E50789ECE394943866D9C0ED7940D2F",1)</v>
          </cell>
          <cell r="F99" t="str">
            <v>户外</v>
          </cell>
          <cell r="G99">
            <v>0.8</v>
          </cell>
          <cell r="H99">
            <v>66</v>
          </cell>
          <cell r="I99">
            <v>12</v>
          </cell>
          <cell r="J99">
            <v>8</v>
          </cell>
          <cell r="K99">
            <v>0.006336</v>
          </cell>
          <cell r="L99" t="str">
            <v>68*48*23</v>
          </cell>
          <cell r="M99">
            <v>16.3</v>
          </cell>
        </row>
        <row r="100">
          <cell r="A100" t="str">
            <v>B07GSF11XX</v>
          </cell>
          <cell r="B100" t="str">
            <v>CSP-OFP-Whbrd-32x48</v>
          </cell>
          <cell r="C100" t="str">
            <v>白板</v>
          </cell>
          <cell r="D100" t="str">
            <v>Whiteboard 32x48 inch</v>
          </cell>
          <cell r="E100" t="str">
            <v>=DISPIMG("ID_1C156D6193D948E28510A7AB16AB7F6D",1)</v>
          </cell>
          <cell r="F100" t="str">
            <v>办公</v>
          </cell>
          <cell r="G100">
            <v>14.5</v>
          </cell>
          <cell r="H100">
            <v>133</v>
          </cell>
          <cell r="I100">
            <v>86</v>
          </cell>
          <cell r="J100">
            <v>8</v>
          </cell>
          <cell r="K100">
            <v>0.091504</v>
          </cell>
          <cell r="L100" t="str">
            <v>133 * 8 * 88</v>
          </cell>
          <cell r="M100">
            <v>14.3</v>
          </cell>
        </row>
        <row r="101">
          <cell r="A101" t="str">
            <v>B07659R3VT</v>
          </cell>
          <cell r="B101" t="str">
            <v>BES-BSS-400IndPlyBg-Cmbo</v>
          </cell>
          <cell r="C101" t="str">
            <v>聚乙烯包装袋套装</v>
          </cell>
          <cell r="D101" t="str">
            <v>400 Industrial Poly Bag Combo</v>
          </cell>
          <cell r="E101" t="str">
            <v>=DISPIMG("ID_201A3BF9DBAD49C996400CFFA275AEC8",1)</v>
          </cell>
          <cell r="F101" t="str">
            <v>工具</v>
          </cell>
          <cell r="G101">
            <v>2.1</v>
          </cell>
          <cell r="H101">
            <v>22</v>
          </cell>
          <cell r="I101">
            <v>29</v>
          </cell>
          <cell r="J101">
            <v>7</v>
          </cell>
          <cell r="K101">
            <v>0.004466</v>
          </cell>
          <cell r="L101" t="str">
            <v>41 * 30 * 21</v>
          </cell>
          <cell r="M101">
            <v>13</v>
          </cell>
        </row>
        <row r="102">
          <cell r="A102" t="str">
            <v>B01DIKFVKW</v>
          </cell>
          <cell r="B102" t="str">
            <v>ESP-CSJ-ChlkBg-Gy</v>
          </cell>
          <cell r="C102" t="str">
            <v>双球防漏镁粉袋套装</v>
          </cell>
          <cell r="D102" t="str">
            <v>Chalk Ball Set Grey</v>
          </cell>
          <cell r="E102" t="str">
            <v>=DISPIMG("ID_471BFAEFF13945448660A202BFF27624",1)</v>
          </cell>
        </row>
        <row r="102">
          <cell r="G102" t="str">
            <v>0.4</v>
          </cell>
          <cell r="H102">
            <v>22.2</v>
          </cell>
          <cell r="I102">
            <v>12.5</v>
          </cell>
          <cell r="J102">
            <v>12</v>
          </cell>
          <cell r="K102">
            <v>0.00333</v>
          </cell>
          <cell r="L102" t="str">
            <v>53.5*48*54</v>
          </cell>
          <cell r="M102">
            <v>51.2</v>
          </cell>
        </row>
        <row r="103">
          <cell r="A103" t="str">
            <v>B01N5V5GHU</v>
          </cell>
          <cell r="B103" t="str">
            <v>MCC-HOK-PiCnd-3x6T/TlFF3pk</v>
          </cell>
          <cell r="C103" t="str">
            <v>无香蜡烛</v>
          </cell>
          <cell r="D103" t="str">
            <v>Turquoise/Teal Pillar Candles 3" x 6" Set of 3</v>
          </cell>
          <cell r="E103" t="str">
            <v>=DISPIMG("ID_7359DA423DC84FABA6EC82C4D1D92337",1)</v>
          </cell>
          <cell r="F103" t="str">
            <v>蜡烛</v>
          </cell>
          <cell r="G103" t="str">
            <v>1.800</v>
          </cell>
          <cell r="H103">
            <v>24.5</v>
          </cell>
          <cell r="I103">
            <v>16</v>
          </cell>
          <cell r="J103">
            <v>9</v>
          </cell>
          <cell r="K103">
            <v>0.003528</v>
          </cell>
          <cell r="L103" t="str">
            <v>26 * 18 * 36</v>
          </cell>
          <cell r="M103">
            <v>7.4</v>
          </cell>
        </row>
        <row r="104">
          <cell r="A104" t="str">
            <v>B01GM35QXO</v>
          </cell>
          <cell r="B104" t="str">
            <v>ULB-HOK-PPwPro2-Sd</v>
          </cell>
          <cell r="C104" t="str">
            <v>枕头保护套</v>
          </cell>
          <cell r="D104" t="str">
            <v>UltraPlush Premium Waterproof Pillow Protectors - 2 Pack -(Standard Size 20 inches x 26 inches)</v>
          </cell>
          <cell r="E104" t="str">
            <v>=DISPIMG("ID_4297E86F0E754B2D8385465246557DAA",1)</v>
          </cell>
          <cell r="F104" t="str">
            <v>床品</v>
          </cell>
          <cell r="G104">
            <v>0.4</v>
          </cell>
          <cell r="H104">
            <v>24</v>
          </cell>
          <cell r="I104">
            <v>23</v>
          </cell>
          <cell r="J104">
            <v>7</v>
          </cell>
          <cell r="K104">
            <v>0.003864</v>
          </cell>
          <cell r="L104" t="str">
            <v>50*50*39</v>
          </cell>
          <cell r="M104">
            <v>10.4</v>
          </cell>
        </row>
        <row r="105">
          <cell r="A105" t="str">
            <v>B019BNMVFI</v>
          </cell>
          <cell r="B105" t="str">
            <v>HMC-MUT-UnvslGtrStnd-1pk</v>
          </cell>
          <cell r="C105" t="str">
            <v>三脚吉他架</v>
          </cell>
          <cell r="D105" t="str">
            <v>Universal Guitar Stand Black 1 Pack</v>
          </cell>
          <cell r="E105" t="str">
            <v>=DISPIMG("ID_A13F1E6D572C493FAEFB0DE64D572C0D",1)</v>
          </cell>
          <cell r="F105" t="str">
            <v>工具</v>
          </cell>
          <cell r="G105" t="str">
            <v>1.500</v>
          </cell>
          <cell r="H105">
            <v>44.5</v>
          </cell>
          <cell r="I105">
            <v>12</v>
          </cell>
          <cell r="J105">
            <v>17.5</v>
          </cell>
          <cell r="K105">
            <v>0.009345</v>
          </cell>
          <cell r="L105" t="str">
            <v>38*37*46</v>
          </cell>
          <cell r="M105">
            <v>9.5</v>
          </cell>
        </row>
        <row r="106">
          <cell r="A106" t="str">
            <v>B08B1VVVB1</v>
          </cell>
          <cell r="B106" t="str">
            <v>YHG-SPO-StlWtrBtlSld-Wmbl25</v>
          </cell>
          <cell r="C106" t="str">
            <v>钢水瓶</v>
          </cell>
          <cell r="D106" t="str">
            <v>Stainless Steel Insulated Water Bottle Straw Lid White Marble 2oz</v>
          </cell>
          <cell r="E106" t="str">
            <v>=DISPIMG("ID_83C62FFCB8C54FD7965B17AE41B3A0E3",1)</v>
          </cell>
          <cell r="F106" t="str">
            <v>水瓶</v>
          </cell>
          <cell r="G106">
            <v>0.5</v>
          </cell>
          <cell r="H106">
            <v>9.5</v>
          </cell>
          <cell r="I106">
            <v>9.5</v>
          </cell>
          <cell r="J106">
            <v>34.5</v>
          </cell>
          <cell r="K106">
            <v>0.003113625</v>
          </cell>
          <cell r="L106" t="str">
            <v>57.5*39*36.5</v>
          </cell>
          <cell r="M106">
            <v>14</v>
          </cell>
        </row>
        <row r="107">
          <cell r="A107" t="str">
            <v>B07QRVJQSR</v>
          </cell>
          <cell r="B107" t="str">
            <v>BBD-BBY-TyCrd-Wclr48pk</v>
          </cell>
          <cell r="C107" t="str">
            <v>感谢卡</v>
          </cell>
          <cell r="D107" t="str">
            <v>Thank You Cards Watercolour 48 Pack</v>
          </cell>
          <cell r="E107" t="str">
            <v>=DISPIMG("ID_7B6B28FDC4914441B154896D815A34DC",1)</v>
          </cell>
          <cell r="F107" t="str">
            <v>贺卡</v>
          </cell>
          <cell r="G107">
            <v>0.65</v>
          </cell>
          <cell r="H107">
            <v>24</v>
          </cell>
          <cell r="I107">
            <v>17</v>
          </cell>
          <cell r="J107">
            <v>4</v>
          </cell>
          <cell r="K107">
            <v>0.001632</v>
          </cell>
          <cell r="L107" t="str">
            <v>26 * 52 * 38</v>
          </cell>
          <cell r="M107">
            <v>21.7</v>
          </cell>
        </row>
        <row r="108">
          <cell r="A108" t="str">
            <v>B01EVOJ51A</v>
          </cell>
          <cell r="B108" t="str">
            <v>FLX-HHB-BBPCo-XL</v>
          </cell>
          <cell r="C108" t="str">
            <v>背撑</v>
          </cell>
          <cell r="D108" t="str">
            <v>Back Brace Posture Corrector Extra Large</v>
          </cell>
          <cell r="E108" t="str">
            <v>=DISPIMG("ID_73D40FF2AE714594B925EE042456F913",1)</v>
          </cell>
          <cell r="F108" t="str">
            <v>健身</v>
          </cell>
          <cell r="G108">
            <v>0.4</v>
          </cell>
          <cell r="H108">
            <v>17</v>
          </cell>
          <cell r="I108">
            <v>8</v>
          </cell>
          <cell r="J108">
            <v>23</v>
          </cell>
          <cell r="K108">
            <v>0.003128</v>
          </cell>
          <cell r="L108" t="str">
            <v>38 * 62 * 41</v>
          </cell>
          <cell r="M108">
            <v>20.8</v>
          </cell>
        </row>
        <row r="109">
          <cell r="A109" t="str">
            <v>B071CTSNLT</v>
          </cell>
          <cell r="B109" t="str">
            <v>PPC-KND-RfMg-12</v>
          </cell>
          <cell r="C109" t="str">
            <v>磁铁夹组</v>
          </cell>
          <cell r="D109" t="str">
            <v>(Upgraded) 12 Strong Scratch-Free Refrigerator Magnet Clips</v>
          </cell>
          <cell r="E109" t="str">
            <v>=DISPIMG("ID_397D8833146641D594A59B9E17BFEB7D",1)</v>
          </cell>
          <cell r="F109" t="str">
            <v>工具</v>
          </cell>
          <cell r="G109">
            <v>0.25</v>
          </cell>
          <cell r="H109">
            <v>12</v>
          </cell>
          <cell r="I109">
            <v>10</v>
          </cell>
          <cell r="J109">
            <v>6</v>
          </cell>
          <cell r="K109">
            <v>0.00072</v>
          </cell>
          <cell r="L109" t="str">
            <v>46*38*29</v>
          </cell>
          <cell r="M109">
            <v>20</v>
          </cell>
        </row>
        <row r="110">
          <cell r="A110" t="str">
            <v>B09XRDJF8B</v>
          </cell>
          <cell r="B110" t="str">
            <v>YHG-HOK-FD-S1103</v>
          </cell>
          <cell r="C110" t="str">
            <v>钢制搅拌碗组</v>
          </cell>
          <cell r="D110" t="str">
            <v>Fine Dine-SS 6pcs Mixing Bowls-white</v>
          </cell>
          <cell r="E110" t="str">
            <v>=DISPIMG("ID_E1B3E50D7BF24E36853716036034F0E5",1)</v>
          </cell>
          <cell r="F110" t="str">
            <v>厨房用具</v>
          </cell>
          <cell r="G110">
            <v>1.7</v>
          </cell>
          <cell r="H110">
            <v>35.4</v>
          </cell>
          <cell r="I110">
            <v>35.4</v>
          </cell>
          <cell r="J110">
            <v>13.2</v>
          </cell>
          <cell r="K110">
            <v>0.016541712</v>
          </cell>
          <cell r="L110" t="str">
            <v>54*36.5*36</v>
          </cell>
          <cell r="M110">
            <v>7.38</v>
          </cell>
        </row>
        <row r="111">
          <cell r="A111" t="str">
            <v>B0B35653MH</v>
          </cell>
          <cell r="B111" t="str">
            <v>YHG-HOK-FD-G101-3-WHT</v>
          </cell>
          <cell r="C111" t="str">
            <v>保鲜饭盒</v>
          </cell>
          <cell r="D111" t="str">
            <v>Fine Dine-Glass Meal Prep Food Storage Containers Rectangular  3 Pack, FD-G101/3-white</v>
          </cell>
          <cell r="E111" t="str">
            <v>=DISPIMG("ID_849D9BCADA18405EA748F0EA5FEFABD0",1)</v>
          </cell>
          <cell r="F111" t="str">
            <v>厨房用具</v>
          </cell>
          <cell r="G111" t="str">
            <v>2.3</v>
          </cell>
          <cell r="H111">
            <v>22.5</v>
          </cell>
          <cell r="I111">
            <v>17.5</v>
          </cell>
          <cell r="J111">
            <v>23.5</v>
          </cell>
          <cell r="K111">
            <v>0.009253125</v>
          </cell>
          <cell r="L111" t="str">
            <v>56*24*49</v>
          </cell>
          <cell r="M111">
            <v>14.7</v>
          </cell>
        </row>
        <row r="112">
          <cell r="A112" t="str">
            <v>B075CWFLSF</v>
          </cell>
          <cell r="B112" t="str">
            <v>NLK-KND-UnqWskyGls-2pk</v>
          </cell>
          <cell r="C112" t="str">
            <v>威士忌杯</v>
          </cell>
          <cell r="D112" t="str">
            <v>Unique Whiskey Glasses 2pk</v>
          </cell>
          <cell r="E112" t="str">
            <v>=DISPIMG("ID_1CDE710DE81F41F98B82F016299461F4",1)</v>
          </cell>
          <cell r="F112" t="str">
            <v>厨房用具</v>
          </cell>
          <cell r="G112">
            <v>1.2</v>
          </cell>
          <cell r="H112">
            <v>24</v>
          </cell>
          <cell r="I112">
            <v>13</v>
          </cell>
          <cell r="J112">
            <v>11</v>
          </cell>
          <cell r="K112">
            <v>0.003432</v>
          </cell>
          <cell r="L112" t="str">
            <v>50*36*29</v>
          </cell>
          <cell r="M112">
            <v>15</v>
          </cell>
        </row>
        <row r="113">
          <cell r="A113" t="str">
            <v>B06WGRJ2T9</v>
          </cell>
          <cell r="B113" t="str">
            <v>TRH-BPC-WHPad-Nscented</v>
          </cell>
          <cell r="C113" t="str">
            <v>颈部加热垫</v>
          </cell>
          <cell r="D113" t="str">
            <v>HOT COLD PACK FOR NECK AND SHOULDER WITH MICRO-BEADS INSIDE 2 COLOR</v>
          </cell>
          <cell r="E113" t="str">
            <v>=DISPIMG("ID_2E9A29EE81224326B2DEDB66C25AF360",1)</v>
          </cell>
        </row>
        <row r="113">
          <cell r="G113">
            <v>1.78</v>
          </cell>
          <cell r="H113">
            <v>21</v>
          </cell>
          <cell r="I113">
            <v>19</v>
          </cell>
          <cell r="J113">
            <v>9</v>
          </cell>
          <cell r="K113">
            <v>0.003591</v>
          </cell>
          <cell r="L113" t="str">
            <v>39.2*29.2*22.8</v>
          </cell>
          <cell r="M113">
            <v>11.3</v>
          </cell>
        </row>
        <row r="114">
          <cell r="A114" t="str">
            <v>B099NTLM92</v>
          </cell>
          <cell r="B114" t="str">
            <v>YHG-KND-XlRtStlUtlHldr-Tqe</v>
          </cell>
          <cell r="C114" t="str">
            <v>厨房用具架</v>
          </cell>
          <cell r="D114" t="str">
            <v>Extra-Large Rotating Stainless Steel Utensil Holder Tuquoise</v>
          </cell>
          <cell r="E114" t="str">
            <v>=DISPIMG("ID_724FDF45A8CB49F0861B2D9A0AAF19AE",1)</v>
          </cell>
          <cell r="F114" t="str">
            <v>厨房用具</v>
          </cell>
          <cell r="G114">
            <v>1</v>
          </cell>
          <cell r="H114">
            <v>18.5</v>
          </cell>
          <cell r="I114">
            <v>18.5</v>
          </cell>
          <cell r="J114">
            <v>21</v>
          </cell>
          <cell r="K114">
            <v>0.00718725</v>
          </cell>
          <cell r="L114" t="str">
            <v>56*40*23</v>
          </cell>
          <cell r="M114">
            <v>6.5</v>
          </cell>
        </row>
        <row r="115">
          <cell r="A115" t="str">
            <v>B01CFIHGLA</v>
          </cell>
          <cell r="B115" t="str">
            <v>TMP-BSS-MpSystm</v>
          </cell>
          <cell r="C115" t="str">
            <v>拖把套件</v>
          </cell>
          <cell r="D115" t="str">
            <v>Turbo Mops</v>
          </cell>
          <cell r="E115" t="str">
            <v>=DISPIMG("ID_46C0EF35E94D408583F7240D43C6350B",1)</v>
          </cell>
          <cell r="F115" t="str">
            <v>清洁</v>
          </cell>
          <cell r="G115">
            <v>0.7</v>
          </cell>
          <cell r="H115">
            <v>91.5</v>
          </cell>
          <cell r="I115">
            <v>14</v>
          </cell>
          <cell r="J115">
            <v>15</v>
          </cell>
          <cell r="K115">
            <v>0.019215</v>
          </cell>
          <cell r="L115" t="str">
            <v>91 * 28 * 31</v>
          </cell>
          <cell r="M115">
            <v>11.85</v>
          </cell>
        </row>
        <row r="116">
          <cell r="A116" t="str">
            <v>B0B355HQ3D</v>
          </cell>
          <cell r="B116" t="str">
            <v>YHG-HOK-FD-G101-3-PK</v>
          </cell>
          <cell r="C116" t="str">
            <v>保鲜饭盒</v>
          </cell>
          <cell r="D116" t="str">
            <v>Fine Dine-Glass Meal Prep Food Storage Containers rectangular 3 Pack, FD-G101/3-pink</v>
          </cell>
          <cell r="E116" t="str">
            <v>=DISPIMG("ID_BD001E19132B4ED193FC148818D17207",1)</v>
          </cell>
          <cell r="F116" t="str">
            <v>厨房用具</v>
          </cell>
          <cell r="G116" t="str">
            <v>2.3</v>
          </cell>
          <cell r="H116">
            <v>22.5</v>
          </cell>
          <cell r="I116">
            <v>17.5</v>
          </cell>
          <cell r="J116">
            <v>23.5</v>
          </cell>
          <cell r="K116">
            <v>0.009253125</v>
          </cell>
          <cell r="L116" t="str">
            <v>56*24*49</v>
          </cell>
          <cell r="M116">
            <v>14.7</v>
          </cell>
        </row>
        <row r="117">
          <cell r="A117" t="str">
            <v>B07PKGT1CV</v>
          </cell>
          <cell r="B117" t="str">
            <v>PLT-GAO-FldBst-FlAsmbl</v>
          </cell>
          <cell r="C117" t="str">
            <v>折叠硬木露台小酒馆套装</v>
          </cell>
          <cell r="D117" t="str">
            <v>Folding Hardwood Patio Bistro Set - Fully Assembled</v>
          </cell>
          <cell r="E117" t="str">
            <v>=DISPIMG("ID_749C6A001E0A479AA64A2AE51FF38E2A",1)</v>
          </cell>
          <cell r="F117" t="str">
            <v>桌椅</v>
          </cell>
          <cell r="G117" t="str">
            <v>17.3</v>
          </cell>
          <cell r="H117">
            <v>104</v>
          </cell>
          <cell r="I117">
            <v>79.5</v>
          </cell>
          <cell r="J117">
            <v>18.2</v>
          </cell>
          <cell r="K117">
            <v>0.1504776</v>
          </cell>
          <cell r="L117" t="str">
            <v>104*80*18.2</v>
          </cell>
          <cell r="M117">
            <v>17.3</v>
          </cell>
        </row>
        <row r="118">
          <cell r="A118" t="str">
            <v>B01BKA11B0</v>
          </cell>
          <cell r="B118" t="str">
            <v>CCA-HOK-HHMix-2s</v>
          </cell>
          <cell r="C118" t="str">
            <v>起泡剂</v>
          </cell>
          <cell r="D118" t="str">
            <v>Cafe Casa Hand Mixer and Milk Frother for Home Use | Battery-Operated Foamer | Stainless Steel Drink Mixer for Expert Lattes Milkshakes Matcha Cappuccinos | 2-Speed Handheld Electric Mixer</v>
          </cell>
          <cell r="E118" t="str">
            <v>=DISPIMG("ID_54F37C1649FF4B0082182F56A201A521",1)</v>
          </cell>
          <cell r="F118" t="str">
            <v>厨房用具</v>
          </cell>
          <cell r="G118" t="str">
            <v>0.250</v>
          </cell>
          <cell r="H118">
            <v>26.5</v>
          </cell>
          <cell r="I118">
            <v>8</v>
          </cell>
          <cell r="J118">
            <v>4</v>
          </cell>
          <cell r="K118">
            <v>0.000848</v>
          </cell>
          <cell r="L118" t="str">
            <v>42*37*29</v>
          </cell>
          <cell r="M118">
            <v>10.6</v>
          </cell>
        </row>
        <row r="119">
          <cell r="A119" t="str">
            <v>B06XD8JBCW</v>
          </cell>
          <cell r="B119" t="str">
            <v>PRM-KND-SpltScr4Cb-13in</v>
          </cell>
          <cell r="C119" t="str">
            <v>飞溅屏幕</v>
          </cell>
          <cell r="D119" t="str">
            <v>Splatter Screen 13 inch 4 Cutting Boards</v>
          </cell>
          <cell r="E119" t="str">
            <v>=DISPIMG("ID_9F31A6A4D8B04E5ABCCA801CACA30A9D",1)</v>
          </cell>
          <cell r="F119" t="str">
            <v>户外</v>
          </cell>
          <cell r="G119">
            <v>0.65</v>
          </cell>
          <cell r="H119">
            <v>43</v>
          </cell>
          <cell r="I119">
            <v>33</v>
          </cell>
          <cell r="J119">
            <v>2</v>
          </cell>
          <cell r="K119">
            <v>0.002838</v>
          </cell>
          <cell r="L119" t="str">
            <v>48*45*39</v>
          </cell>
          <cell r="M119">
            <v>17</v>
          </cell>
        </row>
        <row r="120">
          <cell r="A120" t="str">
            <v>B07G4ZG7L4</v>
          </cell>
          <cell r="B120" t="str">
            <v>TMP-HHB-BtlBrshClnr</v>
          </cell>
          <cell r="C120" t="str">
            <v>瓶刷套装</v>
          </cell>
          <cell r="D120" t="str">
            <v>Turbo Mops</v>
          </cell>
          <cell r="E120" t="str">
            <v>=DISPIMG("ID_801070A0275E471B91DA07195847B67E",1)</v>
          </cell>
          <cell r="F120" t="str">
            <v>清洁</v>
          </cell>
          <cell r="G120">
            <v>0.15</v>
          </cell>
          <cell r="H120">
            <v>45</v>
          </cell>
          <cell r="I120">
            <v>17</v>
          </cell>
          <cell r="J120">
            <v>4</v>
          </cell>
          <cell r="K120">
            <v>0.00306</v>
          </cell>
          <cell r="L120" t="str">
            <v>59*35*44</v>
          </cell>
          <cell r="M120">
            <v>9.2</v>
          </cell>
        </row>
        <row r="121">
          <cell r="A121" t="str">
            <v>B00KFM68OA</v>
          </cell>
          <cell r="B121" t="str">
            <v>SDT-TOH-SPWDbC-Rd</v>
          </cell>
          <cell r="C121" t="str">
            <v>无线门铃</v>
          </cell>
          <cell r="D121" t="str">
            <v>Star Point Wireless Doorbell Model C Red</v>
          </cell>
          <cell r="E121" t="str">
            <v>=DISPIMG("ID_C0D1296AA1D8445B9AE0422BE5607834",1)</v>
          </cell>
          <cell r="F121" t="str">
            <v>门铃</v>
          </cell>
          <cell r="G121">
            <v>0.2</v>
          </cell>
          <cell r="H121">
            <v>10</v>
          </cell>
          <cell r="I121">
            <v>9</v>
          </cell>
          <cell r="J121">
            <v>7</v>
          </cell>
          <cell r="K121">
            <v>0.00063</v>
          </cell>
          <cell r="L121" t="str">
            <v>47*39*23</v>
          </cell>
          <cell r="M121">
            <v>9.3</v>
          </cell>
        </row>
        <row r="122">
          <cell r="A122" t="str">
            <v>B08MFS4HHS</v>
          </cell>
          <cell r="B122" t="str">
            <v>YHG-SPO-StlWtrBtlSld-Grn25</v>
          </cell>
          <cell r="C122" t="str">
            <v>钢水瓶</v>
          </cell>
          <cell r="D122" t="str">
            <v>Stainless Steel Insulated Water Bottle Straw Lid Green 2oz</v>
          </cell>
          <cell r="E122" t="str">
            <v>=DISPIMG("ID_78FE8F1F6DE84E4FAD7C0EFAEB8D3BB8",1)</v>
          </cell>
          <cell r="F122" t="str">
            <v>水瓶</v>
          </cell>
          <cell r="G122" t="str">
            <v>0.6</v>
          </cell>
          <cell r="H122">
            <v>9.5</v>
          </cell>
          <cell r="I122">
            <v>9.5</v>
          </cell>
          <cell r="J122">
            <v>35</v>
          </cell>
          <cell r="K122">
            <v>0.00315875</v>
          </cell>
          <cell r="L122" t="str">
            <v>40 * 59 * 38 </v>
          </cell>
          <cell r="M122">
            <v>14.6</v>
          </cell>
        </row>
        <row r="123">
          <cell r="A123" t="str">
            <v>B09CWWPD49</v>
          </cell>
          <cell r="B123" t="str">
            <v>YHG-HOK-FD-S3101-GRY</v>
          </cell>
          <cell r="C123" t="str">
            <v>餐具罐</v>
          </cell>
          <cell r="D123" t="str">
            <v>Utensil Crock</v>
          </cell>
          <cell r="E123" t="str">
            <v>=DISPIMG("ID_41D2B9DC528E4CACB23458D2473CE19A",1)</v>
          </cell>
          <cell r="F123" t="str">
            <v>厨房用具</v>
          </cell>
          <cell r="G123" t="str">
            <v>1</v>
          </cell>
          <cell r="H123">
            <v>18</v>
          </cell>
          <cell r="I123">
            <v>18</v>
          </cell>
          <cell r="J123">
            <v>21</v>
          </cell>
          <cell r="K123">
            <v>0.006804</v>
          </cell>
          <cell r="L123" t="str">
            <v>57X38X22</v>
          </cell>
          <cell r="M123">
            <v>6.5</v>
          </cell>
        </row>
        <row r="124">
          <cell r="A124" t="str">
            <v>B0B355L49D</v>
          </cell>
          <cell r="B124" t="str">
            <v>YHG-HOK-FD-G101-3-TBL</v>
          </cell>
          <cell r="C124" t="str">
            <v>保鲜饭盒</v>
          </cell>
          <cell r="D124" t="str">
            <v>Fine Dine-Glass Meal Prep Food Storage Containers rectangular 3 Pack, FD-G101/3-teal blue</v>
          </cell>
          <cell r="E124" t="str">
            <v>=DISPIMG("ID_80DADDEC7F7544D18420AC44C92B5413",1)</v>
          </cell>
          <cell r="F124" t="str">
            <v>厨房用具</v>
          </cell>
          <cell r="G124" t="str">
            <v>2.3</v>
          </cell>
          <cell r="H124">
            <v>22.5</v>
          </cell>
          <cell r="I124">
            <v>17.5</v>
          </cell>
          <cell r="J124">
            <v>23.5</v>
          </cell>
          <cell r="K124">
            <v>0.009253125</v>
          </cell>
          <cell r="L124" t="str">
            <v>56*24*49</v>
          </cell>
          <cell r="M124">
            <v>14.7</v>
          </cell>
        </row>
        <row r="125">
          <cell r="A125" t="str">
            <v>B07DDQMBG3</v>
          </cell>
          <cell r="B125" t="str">
            <v>MXL-KND-ShkBst-SetSlv</v>
          </cell>
          <cell r="C125" t="str">
            <v>调酒套件</v>
          </cell>
          <cell r="D125" t="str">
            <v>Boston Shaker Set Silver</v>
          </cell>
          <cell r="E125" t="str">
            <v>=DISPIMG("ID_E45128604DAB4067B8B3F7AC21028193",1)</v>
          </cell>
          <cell r="F125" t="str">
            <v>厨房用具</v>
          </cell>
          <cell r="G125">
            <v>1</v>
          </cell>
          <cell r="H125">
            <v>27</v>
          </cell>
          <cell r="I125">
            <v>17</v>
          </cell>
          <cell r="J125">
            <v>10</v>
          </cell>
          <cell r="K125">
            <v>0.00459</v>
          </cell>
          <cell r="L125" t="str">
            <v>51*36*29</v>
          </cell>
          <cell r="M125">
            <v>10</v>
          </cell>
        </row>
        <row r="126">
          <cell r="A126" t="str">
            <v>B07F3SPS5Y</v>
          </cell>
          <cell r="B126" t="str">
            <v>HMC-MUT-RndMicStnd</v>
          </cell>
          <cell r="C126" t="str">
            <v>三脚架麦克风支架</v>
          </cell>
          <cell r="D126" t="str">
            <v>Professional Round Base Microphone Stand</v>
          </cell>
          <cell r="E126" t="str">
            <v>=DISPIMG("ID_466AC5C80C924990995F6588EAA0394B",1)</v>
          </cell>
          <cell r="F126" t="str">
            <v>工具</v>
          </cell>
          <cell r="G126">
            <v>4.6</v>
          </cell>
          <cell r="H126">
            <v>30</v>
          </cell>
          <cell r="I126">
            <v>90</v>
          </cell>
          <cell r="J126">
            <v>7</v>
          </cell>
          <cell r="K126">
            <v>0.0189</v>
          </cell>
          <cell r="L126" t="str">
            <v>40*94*14</v>
          </cell>
          <cell r="M126">
            <v>19.1</v>
          </cell>
        </row>
        <row r="127">
          <cell r="A127" t="str">
            <v>B08K2GF3KF</v>
          </cell>
          <cell r="B127" t="str">
            <v>WWE-HOK-GTePo-50oz</v>
          </cell>
          <cell r="C127" t="str">
            <v>玻璃茶壶</v>
          </cell>
          <cell r="D127" t="str">
            <v>Glass Teapot 50 Oz</v>
          </cell>
          <cell r="E127" t="str">
            <v>=DISPIMG("ID_2E5B6C7941D84817BDE1A05ADE6E08A7",1)</v>
          </cell>
          <cell r="F127" t="str">
            <v>厨房用具</v>
          </cell>
          <cell r="G127" t="str">
            <v>0.681</v>
          </cell>
          <cell r="H127">
            <v>20.5</v>
          </cell>
          <cell r="I127">
            <v>20.8</v>
          </cell>
          <cell r="J127">
            <v>19</v>
          </cell>
          <cell r="K127">
            <v>0.0081016</v>
          </cell>
          <cell r="L127" t="str">
            <v>20.5*20.8*19</v>
          </cell>
          <cell r="M127">
            <v>0.6</v>
          </cell>
        </row>
        <row r="128">
          <cell r="A128" t="str">
            <v>B00AT9IYAU</v>
          </cell>
          <cell r="B128" t="str">
            <v>HMC-MUT-SpnoUkleBdl-Blu</v>
          </cell>
          <cell r="C128" t="str">
            <v>女高音尤克里里</v>
          </cell>
          <cell r="D128" t="str">
            <v>Soprano 21" Ukulele Bundle Blue</v>
          </cell>
          <cell r="E128" t="str">
            <v>=DISPIMG("ID_13A3F7A8E56641F69287F9FCFD3E4575",1)</v>
          </cell>
          <cell r="F128" t="str">
            <v>乐器</v>
          </cell>
          <cell r="G128">
            <v>0.9</v>
          </cell>
          <cell r="H128">
            <v>22</v>
          </cell>
          <cell r="I128">
            <v>56</v>
          </cell>
          <cell r="J128">
            <v>8</v>
          </cell>
          <cell r="K128">
            <v>0.009856</v>
          </cell>
          <cell r="L128" t="str">
            <v>60*58*35</v>
          </cell>
          <cell r="M128">
            <v>14</v>
          </cell>
        </row>
        <row r="129">
          <cell r="A129" t="str">
            <v>B018UYS55O</v>
          </cell>
          <cell r="B129" t="str">
            <v>SDT-TOH-SPWDB-CX-MBK</v>
          </cell>
          <cell r="C129" t="str">
            <v>无线门铃</v>
          </cell>
          <cell r="D129" t="str">
            <v>Star Point Wireless Doorbell Model CX Matte Black</v>
          </cell>
          <cell r="E129" t="str">
            <v>=DISPIMG("ID_C2E838B8DE204E18B8252AE842CEE80C",1)</v>
          </cell>
          <cell r="F129" t="str">
            <v>门铃</v>
          </cell>
          <cell r="G129">
            <v>0.2</v>
          </cell>
          <cell r="H129">
            <v>15</v>
          </cell>
          <cell r="I129">
            <v>8.9</v>
          </cell>
          <cell r="J129">
            <v>6.7</v>
          </cell>
          <cell r="K129">
            <v>0.00089445</v>
          </cell>
          <cell r="L129" t="str">
            <v>35.3*31.5*46</v>
          </cell>
          <cell r="M129">
            <v>11.8</v>
          </cell>
        </row>
        <row r="130">
          <cell r="A130" t="str">
            <v>B00P09INH8</v>
          </cell>
          <cell r="B130" t="str">
            <v>SDT-TOH-SPWDBCXR-BK</v>
          </cell>
          <cell r="C130" t="str">
            <v>无线门铃</v>
          </cell>
          <cell r="D130" t="str">
            <v>Star Point Wireless Doorbell Model CXR Black</v>
          </cell>
          <cell r="E130" t="str">
            <v>=DISPIMG("ID_755E50BE275A4816A83DA417BA400C8B",1)</v>
          </cell>
          <cell r="F130" t="str">
            <v>门铃</v>
          </cell>
          <cell r="G130">
            <v>0.3</v>
          </cell>
          <cell r="H130">
            <v>18</v>
          </cell>
          <cell r="I130">
            <v>9.6</v>
          </cell>
          <cell r="J130">
            <v>7.8</v>
          </cell>
          <cell r="K130">
            <v>0.00134784</v>
          </cell>
          <cell r="L130" t="str">
            <v>40.8*37.8*34</v>
          </cell>
          <cell r="M130">
            <v>9.84</v>
          </cell>
        </row>
        <row r="131">
          <cell r="A131" t="str">
            <v>B07HNFZHFS</v>
          </cell>
          <cell r="B131" t="str">
            <v>ECB-BBY-CabLk-20pk</v>
          </cell>
          <cell r="C131" t="str">
            <v>柜锁</v>
          </cell>
          <cell r="D131" t="str">
            <v>Magnetic Cabinet Locks 20 Locks and 3 Keys</v>
          </cell>
          <cell r="E131" t="str">
            <v>=DISPIMG("ID_CC6DFC7EA6F84894AD754B2868F92D53",1)</v>
          </cell>
          <cell r="F131" t="str">
            <v>工具</v>
          </cell>
          <cell r="G131">
            <v>0.55</v>
          </cell>
          <cell r="H131">
            <v>31</v>
          </cell>
          <cell r="I131">
            <v>10</v>
          </cell>
          <cell r="J131">
            <v>5</v>
          </cell>
          <cell r="K131">
            <v>0.00155</v>
          </cell>
          <cell r="L131" t="str">
            <v>55 * 33 * 33</v>
          </cell>
          <cell r="M131">
            <v>17.4</v>
          </cell>
        </row>
        <row r="132">
          <cell r="A132" t="str">
            <v>B09BDLSNY8</v>
          </cell>
          <cell r="B132" t="str">
            <v>FD-S4811-FBA</v>
          </cell>
          <cell r="C132" t="str">
            <v>钢水瓶</v>
          </cell>
          <cell r="D132" t="str">
            <v>40oz BOTTLE
DOUBLE WALL 304 S/S 
Coppering
water transfer print
blue-marble
3 LIDS(PP+PE+Silicone)</v>
          </cell>
          <cell r="E132" t="str">
            <v>=DISPIMG("ID_CF4938DB7372453DAE4DDB3C6F30347A",1)</v>
          </cell>
          <cell r="F132" t="str">
            <v>水瓶</v>
          </cell>
          <cell r="G132">
            <v>0.7</v>
          </cell>
          <cell r="H132">
            <v>39</v>
          </cell>
          <cell r="I132">
            <v>10</v>
          </cell>
          <cell r="J132">
            <v>10</v>
          </cell>
          <cell r="K132">
            <v>0.0039</v>
          </cell>
          <cell r="L132" t="str">
            <v>61*42*41</v>
          </cell>
          <cell r="M132">
            <v>18</v>
          </cell>
        </row>
        <row r="133">
          <cell r="A133" t="str">
            <v>B01N33U6Y5</v>
          </cell>
          <cell r="B133" t="str">
            <v>WWE-KND-TSPGr-2</v>
          </cell>
          <cell r="C133" t="str">
            <v>原装不锈钢盐
和胡椒研磨器套装</v>
          </cell>
          <cell r="D133" t="str">
            <v>Original Stainless Steel Salt and Pepper Grinder Set With Stand - Tall Salt and Pepper Shakers with Adjustable Coarseness - Salt Grinders and Pepper Mill Shaker Set</v>
          </cell>
          <cell r="E133" t="str">
            <v>=DISPIMG("ID_11016456E7BC44CB8B1841AB8664715D",1)</v>
          </cell>
          <cell r="F133" t="str">
            <v>厨房用具</v>
          </cell>
          <cell r="G133">
            <v>0.8</v>
          </cell>
          <cell r="H133">
            <v>24.2</v>
          </cell>
          <cell r="I133">
            <v>15.4</v>
          </cell>
          <cell r="J133">
            <v>7.8</v>
          </cell>
          <cell r="K133">
            <v>0.002906904</v>
          </cell>
          <cell r="L133" t="str">
            <v>44.6*31.3*62.8</v>
          </cell>
          <cell r="M133">
            <v>20</v>
          </cell>
        </row>
        <row r="134">
          <cell r="A134" t="str">
            <v>B08CPSJC6Z</v>
          </cell>
          <cell r="B134" t="str">
            <v>YHG-HOK-WrpOrg-Gry</v>
          </cell>
          <cell r="C134" t="str">
            <v>包装储存</v>
          </cell>
          <cell r="D134" t="str">
            <v>GIFT WRAP STORAGE BAG</v>
          </cell>
          <cell r="E134" t="str">
            <v>=DISPIMG("ID_5D6915309B7540C2B4FC0DE3573780C3",1)</v>
          </cell>
          <cell r="F134" t="str">
            <v>圣诞</v>
          </cell>
          <cell r="G134">
            <v>0.4</v>
          </cell>
          <cell r="H134">
            <v>19</v>
          </cell>
          <cell r="I134">
            <v>22</v>
          </cell>
          <cell r="J134">
            <v>8</v>
          </cell>
          <cell r="K134">
            <v>0.003344</v>
          </cell>
          <cell r="L134" t="str">
            <v>40 * 41 * 31</v>
          </cell>
          <cell r="M134">
            <v>9.1</v>
          </cell>
        </row>
        <row r="135">
          <cell r="A135" t="str">
            <v>B09BDKZ23F</v>
          </cell>
          <cell r="B135" t="str">
            <v>FD-S4810-FBA</v>
          </cell>
          <cell r="C135" t="str">
            <v>钢水瓶</v>
          </cell>
          <cell r="D135" t="str">
            <v>40oz BOTTLE
DOUBLE WALL 304 S/S 
Coppering
air tranfer print
marble
3 LIDS(PP+PE+Silicone)
100% leakproof 
can pass the paint adhesion testing
Keep Hot 8H&amp; Cold 10H
color Box</v>
          </cell>
          <cell r="E135" t="str">
            <v>=DISPIMG("ID_802BE3E449A44686ABBBEB666591EDF5",1)</v>
          </cell>
          <cell r="F135" t="str">
            <v>水瓶</v>
          </cell>
          <cell r="G135" t="str">
            <v>0.7</v>
          </cell>
          <cell r="H135">
            <v>39</v>
          </cell>
          <cell r="I135">
            <v>10</v>
          </cell>
          <cell r="J135">
            <v>10</v>
          </cell>
          <cell r="K135">
            <v>0.0039</v>
          </cell>
          <cell r="L135" t="str">
            <v>42 * 42 * 61</v>
          </cell>
          <cell r="M135">
            <v>17.8</v>
          </cell>
        </row>
        <row r="136">
          <cell r="A136" t="str">
            <v>B08C5LCDYC</v>
          </cell>
          <cell r="B136" t="str">
            <v>MXL-KND-ShkCot-WsD</v>
          </cell>
          <cell r="C136" t="str">
            <v>调酒套件和支架</v>
          </cell>
          <cell r="D136" t="str">
            <v>Cocktail Shaker with Stand Dark</v>
          </cell>
          <cell r="E136" t="str">
            <v>=DISPIMG("ID_DFEF9A2387E149E98302324A17CCFB0C",1)</v>
          </cell>
          <cell r="F136" t="str">
            <v>厨房用具</v>
          </cell>
          <cell r="G136">
            <v>0.8</v>
          </cell>
          <cell r="H136">
            <v>21</v>
          </cell>
          <cell r="I136">
            <v>18</v>
          </cell>
          <cell r="J136">
            <v>10</v>
          </cell>
          <cell r="K136">
            <v>0.00378</v>
          </cell>
          <cell r="L136" t="str">
            <v>51*35*23</v>
          </cell>
          <cell r="M136">
            <v>8.59</v>
          </cell>
        </row>
        <row r="137">
          <cell r="A137" t="str">
            <v>B08B1VH53X</v>
          </cell>
          <cell r="B137" t="str">
            <v>YHG-SPO-StlWtrBtlSld-Pwte25</v>
          </cell>
          <cell r="C137" t="str">
            <v>钢水瓶</v>
          </cell>
          <cell r="D137" t="str">
            <v>Stainless Steel Insulated Water Bottle Straw Lid Pearl White 2oz</v>
          </cell>
          <cell r="E137" t="str">
            <v>=DISPIMG("ID_7577C7E5354846A497E783AFB06DBAB6",1)</v>
          </cell>
          <cell r="F137" t="str">
            <v>水瓶</v>
          </cell>
          <cell r="G137">
            <v>0.6</v>
          </cell>
          <cell r="H137">
            <v>35</v>
          </cell>
          <cell r="I137">
            <v>10</v>
          </cell>
          <cell r="J137">
            <v>10</v>
          </cell>
          <cell r="K137">
            <v>0.0035</v>
          </cell>
          <cell r="L137" t="str">
            <v>59 * 37 * 40</v>
          </cell>
          <cell r="M137">
            <v>14.3</v>
          </cell>
        </row>
        <row r="138">
          <cell r="A138" t="str">
            <v>B08B1TVCRF</v>
          </cell>
          <cell r="B138" t="str">
            <v>MXL-KND-ShkCot-8pcSlv</v>
          </cell>
          <cell r="C138" t="str">
            <v>鸡尾酒调酒器套装</v>
          </cell>
          <cell r="D138" t="str">
            <v>Cocktail Shaker 8pc Silver</v>
          </cell>
          <cell r="E138" t="str">
            <v>=DISPIMG("ID_BE1A3A1672A243C6BA1CC2538F416FFA",1)</v>
          </cell>
          <cell r="F138" t="str">
            <v>厨房用具</v>
          </cell>
          <cell r="G138">
            <v>0.6</v>
          </cell>
          <cell r="H138">
            <v>26</v>
          </cell>
          <cell r="I138">
            <v>10.4</v>
          </cell>
          <cell r="J138">
            <v>9.8</v>
          </cell>
          <cell r="K138">
            <v>0.00264992</v>
          </cell>
          <cell r="L138" t="str">
            <v>51*42*28</v>
          </cell>
          <cell r="M138">
            <v>13.02</v>
          </cell>
        </row>
        <row r="139">
          <cell r="A139" t="str">
            <v>B00R5AI578</v>
          </cell>
          <cell r="B139" t="str">
            <v>SDT-TOH-CPWDb-CWh</v>
          </cell>
          <cell r="C139" t="str">
            <v>无线门铃</v>
          </cell>
          <cell r="D139" t="str">
            <v>Cross Point Wireless Doorbell Model White</v>
          </cell>
          <cell r="E139" t="str">
            <v>=DISPIMG("ID_588FEF2823994D06BC00CB759413B453",1)</v>
          </cell>
          <cell r="F139" t="str">
            <v>门铃</v>
          </cell>
          <cell r="G139" t="str">
            <v>0.113</v>
          </cell>
          <cell r="H139" t="str">
            <v>8.2</v>
          </cell>
          <cell r="I139" t="str">
            <v>3.8</v>
          </cell>
          <cell r="J139" t="str">
            <v>8.8</v>
          </cell>
          <cell r="K139">
            <v>0.000274208</v>
          </cell>
          <cell r="L139" t="str">
            <v>35.3*31.5*46</v>
          </cell>
          <cell r="M139">
            <v>11.8</v>
          </cell>
        </row>
        <row r="140">
          <cell r="A140" t="str">
            <v>B08DP6G9CP</v>
          </cell>
          <cell r="B140" t="str">
            <v>YHG-SPO-StlWtrBtl-17Lgry2pk</v>
          </cell>
          <cell r="C140" t="str">
            <v>钢水瓶</v>
          </cell>
          <cell r="D140" t="str">
            <v>Stainless Steel Insulated Water Bottle 17oz Lava Gray 2Pack</v>
          </cell>
          <cell r="E140" t="str">
            <v>=DISPIMG("ID_88BC141C67B64F2DAE968A0FE19FF646",1)</v>
          </cell>
          <cell r="F140" t="str">
            <v>水瓶</v>
          </cell>
          <cell r="G140">
            <v>0.7</v>
          </cell>
          <cell r="H140" t="str">
            <v>28.0</v>
          </cell>
          <cell r="I140" t="str">
            <v>16.0</v>
          </cell>
          <cell r="J140" t="str">
            <v>8.0</v>
          </cell>
          <cell r="K140">
            <v>0.003584</v>
          </cell>
          <cell r="L140" t="str">
            <v>46*33*29</v>
          </cell>
          <cell r="M140">
            <v>9</v>
          </cell>
        </row>
        <row r="141">
          <cell r="A141" t="str">
            <v>B0119TNHZA</v>
          </cell>
          <cell r="B141" t="str">
            <v>PLT-GAO-BstCsn-Lux2set</v>
          </cell>
          <cell r="C141" t="str">
            <v>座垫</v>
          </cell>
          <cell r="D141" t="str">
            <v>Luxury Bistro Seat Cushion – Set of 2</v>
          </cell>
          <cell r="E141" t="str">
            <v>=DISPIMG("ID_74187E7732534DDFB3DD71FD22FEE509",1)</v>
          </cell>
          <cell r="F141" t="str">
            <v>桌椅</v>
          </cell>
          <cell r="G141" t="str">
            <v>0.5</v>
          </cell>
          <cell r="H141">
            <v>66</v>
          </cell>
          <cell r="I141">
            <v>51</v>
          </cell>
          <cell r="J141">
            <v>5</v>
          </cell>
          <cell r="K141">
            <v>0.01683</v>
          </cell>
          <cell r="L141" t="str">
            <v>56*128*53.5</v>
          </cell>
          <cell r="M141">
            <v>13.3</v>
          </cell>
        </row>
        <row r="142">
          <cell r="A142" t="str">
            <v>B07P8TNJBG</v>
          </cell>
          <cell r="B142" t="str">
            <v>PLT-GAO-BstCsn-WrBge2Pk</v>
          </cell>
          <cell r="C142" t="str">
            <v>座垫</v>
          </cell>
          <cell r="D142" t="str">
            <v>Luxury Bistro Seat Cushions - Set of 2 in Warm Beige</v>
          </cell>
          <cell r="E142" t="str">
            <v>=DISPIMG("ID_A8E5BB2896384BE19FFF41026F0EF00B",1)</v>
          </cell>
          <cell r="F142" t="str">
            <v>桌椅</v>
          </cell>
          <cell r="G142">
            <v>0.6</v>
          </cell>
          <cell r="H142" t="str">
            <v>38.2</v>
          </cell>
          <cell r="I142">
            <v>38.2</v>
          </cell>
          <cell r="J142">
            <v>11</v>
          </cell>
          <cell r="K142">
            <v>0.01605164</v>
          </cell>
          <cell r="L142" t="str">
            <v>39*78.5*54.5</v>
          </cell>
          <cell r="M142">
            <v>8.1</v>
          </cell>
        </row>
        <row r="143">
          <cell r="A143" t="str">
            <v>B08DP5R6DX</v>
          </cell>
          <cell r="B143" t="str">
            <v>YHG-SPO-StlWtrBtl-17Wmbl2pk</v>
          </cell>
          <cell r="C143" t="str">
            <v>钢水瓶</v>
          </cell>
          <cell r="D143" t="str">
            <v>Stainless Steel Insulated Water Bottle 17oz White Marble 2Pack</v>
          </cell>
          <cell r="E143" t="str">
            <v>=DISPIMG("ID_1041F1C445B3467290DA8894A86991EE",1)</v>
          </cell>
          <cell r="F143" t="str">
            <v>水瓶</v>
          </cell>
          <cell r="G143" t="str">
            <v>0.7</v>
          </cell>
          <cell r="H143">
            <v>28</v>
          </cell>
          <cell r="I143">
            <v>15</v>
          </cell>
          <cell r="J143">
            <v>7.5</v>
          </cell>
          <cell r="K143">
            <v>0.00315</v>
          </cell>
          <cell r="L143" t="str">
            <v>47 * 33 * 30</v>
          </cell>
          <cell r="M143">
            <v>8.9</v>
          </cell>
        </row>
        <row r="144">
          <cell r="A144" t="str">
            <v>B01C2BAE82</v>
          </cell>
          <cell r="B144" t="str">
            <v>BFR-SPO-OccBndPro-1Set</v>
          </cell>
          <cell r="C144" t="str">
            <v>遮挡带</v>
          </cell>
          <cell r="D144" t="str">
            <v>Occlusion Training Bands PRO 1 Set</v>
          </cell>
          <cell r="E144" t="str">
            <v>=DISPIMG("ID_44930317F568402497B71A2BF06F0DBA",1)</v>
          </cell>
          <cell r="F144" t="str">
            <v>健身</v>
          </cell>
          <cell r="G144">
            <v>0.2</v>
          </cell>
          <cell r="H144">
            <v>18</v>
          </cell>
          <cell r="I144">
            <v>11</v>
          </cell>
          <cell r="J144">
            <v>4</v>
          </cell>
          <cell r="K144">
            <v>0.000792</v>
          </cell>
          <cell r="L144" t="str">
            <v>40*32*30</v>
          </cell>
          <cell r="M144">
            <v>11.5</v>
          </cell>
        </row>
        <row r="145">
          <cell r="A145" t="str">
            <v>B00Y593P2W</v>
          </cell>
          <cell r="B145" t="str">
            <v>PLT-GAO-AdTbl-Wte</v>
          </cell>
          <cell r="C145" t="str">
            <v>阿迪朗达克桌</v>
          </cell>
          <cell r="D145" t="str">
            <v>Adirondack Table White</v>
          </cell>
          <cell r="E145" t="str">
            <v>=DISPIMG("ID_7DE2EA1C420F4C069905EBDB8BF0529A",1)</v>
          </cell>
          <cell r="F145" t="str">
            <v>桌椅</v>
          </cell>
          <cell r="G145">
            <v>4.917</v>
          </cell>
          <cell r="H145">
            <v>69</v>
          </cell>
          <cell r="I145">
            <v>51</v>
          </cell>
          <cell r="J145">
            <v>12</v>
          </cell>
          <cell r="K145">
            <v>0.042228</v>
          </cell>
          <cell r="L145" t="str">
            <v>69*51*12</v>
          </cell>
          <cell r="M145">
            <v>4.917</v>
          </cell>
        </row>
        <row r="146">
          <cell r="A146" t="str">
            <v>B09BDKMN6C</v>
          </cell>
          <cell r="B146" t="str">
            <v>FD-S4805-FBA</v>
          </cell>
          <cell r="C146" t="str">
            <v>钢水瓶</v>
          </cell>
          <cell r="D146" t="str">
            <v>40oz BOTTLE
DOUBLE WALL 304 S/S 
Coppering
Powder Coated
pink 709c
3 LIDS(PP+PE+Silicone)
100% leakproof</v>
          </cell>
          <cell r="E146" t="str">
            <v>=DISPIMG("ID_856BF80E328E416894F97603EC381FC3",1)</v>
          </cell>
          <cell r="F146" t="str">
            <v>水瓶</v>
          </cell>
          <cell r="G146" t="str">
            <v>0.76</v>
          </cell>
          <cell r="H146" t="str">
            <v>38.8</v>
          </cell>
          <cell r="I146" t="str">
            <v>10.1</v>
          </cell>
          <cell r="J146" t="str">
            <v>10.3</v>
          </cell>
          <cell r="K146">
            <v>0.004036364</v>
          </cell>
          <cell r="L146" t="str">
            <v>55*42*35</v>
          </cell>
          <cell r="M146">
            <v>14</v>
          </cell>
        </row>
        <row r="147">
          <cell r="A147" t="str">
            <v>B09BDLDW6H</v>
          </cell>
          <cell r="B147" t="str">
            <v>FD-S4813-FBA</v>
          </cell>
          <cell r="C147" t="str">
            <v>钢水瓶</v>
          </cell>
          <cell r="D147" t="str">
            <v>40oz BOTTLE
DOUBLE WALL 304 S/S
Coppering 
2 color powder coated
mix pink 706c/331c
3 LIDS(PP+PE+Silicone)</v>
          </cell>
          <cell r="E147" t="str">
            <v>=DISPIMG("ID_1330064F84E1479DBCE1B794690B0DF8",1)</v>
          </cell>
          <cell r="F147" t="str">
            <v>水瓶</v>
          </cell>
          <cell r="G147">
            <v>0.7</v>
          </cell>
          <cell r="H147">
            <v>39</v>
          </cell>
          <cell r="I147">
            <v>10</v>
          </cell>
          <cell r="J147">
            <v>10</v>
          </cell>
          <cell r="K147">
            <v>0.0039</v>
          </cell>
          <cell r="L147" t="str">
            <v>61*42*41</v>
          </cell>
          <cell r="M147">
            <v>18</v>
          </cell>
        </row>
        <row r="148">
          <cell r="A148" t="str">
            <v>B0B356JGLD</v>
          </cell>
          <cell r="B148" t="str">
            <v>YHG-HOK-FD-G101-3-RD</v>
          </cell>
          <cell r="C148" t="str">
            <v>保鲜饭盒</v>
          </cell>
          <cell r="D148" t="str">
            <v>Fine Dine-Glass Meal Prep Food Storage Containers rectangular 3 Pack, FD-G101/3-red</v>
          </cell>
          <cell r="E148" t="str">
            <v>=DISPIMG("ID_D951CBC85C2A40E5B102B3B3E2889346",1)</v>
          </cell>
          <cell r="F148" t="str">
            <v>厨房用具</v>
          </cell>
          <cell r="G148" t="str">
            <v>2.3</v>
          </cell>
          <cell r="H148">
            <v>22.5</v>
          </cell>
          <cell r="I148">
            <v>17.5</v>
          </cell>
          <cell r="J148">
            <v>23.5</v>
          </cell>
          <cell r="K148">
            <v>0.009253125</v>
          </cell>
          <cell r="L148" t="str">
            <v>56*24*49</v>
          </cell>
          <cell r="M148">
            <v>14.7</v>
          </cell>
        </row>
        <row r="149">
          <cell r="A149" t="str">
            <v>B08WYS4TFY</v>
          </cell>
          <cell r="B149" t="str">
            <v>YHG-HOK-WrpprBg-20Blkwte</v>
          </cell>
          <cell r="C149" t="str">
            <v>包装储存</v>
          </cell>
          <cell r="D149" t="str">
            <v>COLLAPSIBLE STORAGE BAG</v>
          </cell>
          <cell r="E149" t="str">
            <v>=DISPIMG("ID_DD9DF2BD58D743E0844D5FE798205172",1)</v>
          </cell>
          <cell r="F149" t="str">
            <v>圣诞</v>
          </cell>
          <cell r="G149" t="str">
            <v>0.360</v>
          </cell>
          <cell r="H149" t="str">
            <v>39.5</v>
          </cell>
          <cell r="I149" t="str">
            <v>22.6</v>
          </cell>
          <cell r="J149" t="str">
            <v>8.8</v>
          </cell>
          <cell r="K149">
            <v>0.00785576</v>
          </cell>
          <cell r="L149" t="str">
            <v>39*38.2*25.6</v>
          </cell>
        </row>
        <row r="150">
          <cell r="A150" t="str">
            <v>B01GM35S6Y</v>
          </cell>
          <cell r="B150" t="str">
            <v>ULB-HOK-PPwPro2-Q</v>
          </cell>
          <cell r="C150" t="str">
            <v>枕头保护套</v>
          </cell>
          <cell r="D150" t="str">
            <v>UltraPlush Premium Waterproof Pillow Protector - Hypoallergenic and Bed Bug Proof Zippered Pillow Case</v>
          </cell>
          <cell r="E150" t="str">
            <v>=DISPIMG("ID_36577735561C4B71B267D478DBA9383A",1)</v>
          </cell>
          <cell r="F150" t="str">
            <v>床品</v>
          </cell>
          <cell r="G150">
            <v>0.4</v>
          </cell>
          <cell r="H150">
            <v>24.5</v>
          </cell>
          <cell r="I150">
            <v>23.6</v>
          </cell>
          <cell r="J150">
            <v>9</v>
          </cell>
          <cell r="K150">
            <v>0.0052038</v>
          </cell>
          <cell r="L150" t="str">
            <v>50*47*38</v>
          </cell>
          <cell r="M150">
            <v>10.7</v>
          </cell>
        </row>
        <row r="151">
          <cell r="A151" t="str">
            <v>B09XRGK2K2</v>
          </cell>
          <cell r="B151" t="str">
            <v>YHG-HOK-FD-S1107-5</v>
          </cell>
          <cell r="C151" t="str">
            <v>钢制搅拌碗组</v>
          </cell>
          <cell r="D151" t="str">
            <v>Fine Dine-SS 5pcs Mixing Bowls set-green</v>
          </cell>
          <cell r="E151" t="str">
            <v>=DISPIMG("ID_DEBC81C1888B4F2789C795DAD68FB385",1)</v>
          </cell>
          <cell r="F151" t="str">
            <v>厨房用具</v>
          </cell>
          <cell r="G151">
            <v>0.8</v>
          </cell>
          <cell r="H151" t="str">
            <v>29.0</v>
          </cell>
          <cell r="I151">
            <v>29</v>
          </cell>
          <cell r="J151">
            <v>10</v>
          </cell>
          <cell r="K151">
            <v>0.00841</v>
          </cell>
          <cell r="L151" t="str">
            <v>59*59*31.5</v>
          </cell>
          <cell r="M151">
            <v>13.4</v>
          </cell>
        </row>
        <row r="152">
          <cell r="A152" t="str">
            <v>B08DHLY2NP</v>
          </cell>
          <cell r="B152" t="str">
            <v>EDU-BSS-DblFshMgKt1200</v>
          </cell>
          <cell r="C152" t="str">
            <v>钓鱼磁铁套件</v>
          </cell>
          <cell r="D152" t="str">
            <v>Fish Magnet Pro Kit 1200Lb Double Magnet includes Safety Gloves, 8mm Rope, Grappling Hook, Waterproof Bag, Thread Locker, Carabiners</v>
          </cell>
          <cell r="E152" t="str">
            <v>=DISPIMG("ID_B90F5D04D90E4ED6BCC9C00C8E6D70F3",1)</v>
          </cell>
          <cell r="F152" t="str">
            <v>户外</v>
          </cell>
          <cell r="G152" t="str">
            <v>2.1</v>
          </cell>
          <cell r="H152">
            <v>21</v>
          </cell>
          <cell r="I152">
            <v>11</v>
          </cell>
          <cell r="J152">
            <v>16</v>
          </cell>
          <cell r="K152">
            <v>0.003696</v>
          </cell>
          <cell r="L152" t="str">
            <v>58 * 23 * 49</v>
          </cell>
          <cell r="M152">
            <v>15.5</v>
          </cell>
        </row>
        <row r="153">
          <cell r="A153" t="str">
            <v>B08DP566CW</v>
          </cell>
          <cell r="B153" t="str">
            <v>YHG-SPO-StlWtrBtl-17Blk2pk</v>
          </cell>
          <cell r="C153" t="str">
            <v>钢水瓶</v>
          </cell>
          <cell r="D153" t="str">
            <v>FINEDINE Insulated Stainlless Steel Water Bottle With Handle Clips Set of FD-S40</v>
          </cell>
          <cell r="E153" t="str">
            <v>=DISPIMG("ID_C5253E7EBB2540528421A0EA39678189",1)</v>
          </cell>
          <cell r="F153" t="str">
            <v>水瓶</v>
          </cell>
          <cell r="G153" t="str">
            <v>0.7</v>
          </cell>
          <cell r="H153">
            <v>28</v>
          </cell>
          <cell r="I153">
            <v>16</v>
          </cell>
          <cell r="J153">
            <v>8</v>
          </cell>
          <cell r="K153">
            <v>0.003584</v>
          </cell>
          <cell r="L153" t="str">
            <v>48*33*30</v>
          </cell>
          <cell r="M153">
            <v>9</v>
          </cell>
        </row>
        <row r="154">
          <cell r="A154" t="str">
            <v>B00842PDE4</v>
          </cell>
          <cell r="B154" t="str">
            <v>PT/BIRDBOX/FEEDER/</v>
          </cell>
          <cell r="C154" t="str">
            <v>植物支架</v>
          </cell>
          <cell r="D154" t="str">
            <v>Plant Theatre Bird Nesting Box &amp; Apple Feeder Set, Gift Boxed - Ideal Present</v>
          </cell>
          <cell r="E154" t="str">
            <v>=DISPIMG("ID_6EFD08C346B64EC59D43DDC166F17682",1)</v>
          </cell>
          <cell r="F154" t="str">
            <v>园艺</v>
          </cell>
          <cell r="G154">
            <v>1</v>
          </cell>
          <cell r="H154">
            <v>23</v>
          </cell>
          <cell r="I154">
            <v>19</v>
          </cell>
          <cell r="J154">
            <v>22.5</v>
          </cell>
          <cell r="K154">
            <v>0.0098325</v>
          </cell>
          <cell r="L154" t="str">
            <v>48*48*47</v>
          </cell>
          <cell r="M154">
            <v>8.7</v>
          </cell>
        </row>
        <row r="155">
          <cell r="A155" t="str">
            <v>B09BDLXHYL</v>
          </cell>
          <cell r="B155" t="str">
            <v>FD-S4910-FBA</v>
          </cell>
          <cell r="C155" t="str">
            <v>钢水瓶</v>
          </cell>
          <cell r="D155" t="str">
            <v>64oz BOTTLE
DOUBLE WALL 304 S/S 
Coppering
air tranfer print
marble
3 LIDS(PP+PE+Silicone)
100% leakproof 
can pass the paint adhesion testing
Keep Hot 8H&amp; Cold 10H
color Box</v>
          </cell>
          <cell r="E155" t="str">
            <v>=DISPIMG("ID_6467A831DF6F4AE0ABD25DA820055C2F",1)</v>
          </cell>
          <cell r="F155" t="str">
            <v>水瓶</v>
          </cell>
          <cell r="G155" t="str">
            <v>1.1</v>
          </cell>
          <cell r="H155">
            <v>14</v>
          </cell>
          <cell r="I155">
            <v>33</v>
          </cell>
          <cell r="J155">
            <v>14</v>
          </cell>
          <cell r="K155">
            <v>0.006468</v>
          </cell>
          <cell r="L155" t="str">
            <v>54 * 41 * 35</v>
          </cell>
          <cell r="M155">
            <v>14.5</v>
          </cell>
        </row>
        <row r="156">
          <cell r="A156" t="str">
            <v>B09BDL9M8N</v>
          </cell>
          <cell r="B156" t="str">
            <v>FD-S4710-FBA</v>
          </cell>
          <cell r="C156" t="str">
            <v>钢水瓶</v>
          </cell>
          <cell r="D156" t="str">
            <v>32oz BOTTLE
DOUBLE WALL 304 S/S 
Coppering
air tranfer print
marble
3 LIDS(PP+PE+Silicone)
100% leakproof 
can pass the paint adhesion testing
Keep Hot 8H&amp; Cold 10H
color Box</v>
          </cell>
          <cell r="E156" t="str">
            <v>=DISPIMG("ID_983BAB2CC4D44D69904E473DEA20EFBA",1)</v>
          </cell>
          <cell r="F156" t="str">
            <v>水瓶</v>
          </cell>
          <cell r="G156" t="str">
            <v>0.7</v>
          </cell>
          <cell r="H156">
            <v>10</v>
          </cell>
          <cell r="I156">
            <v>10</v>
          </cell>
          <cell r="J156">
            <v>35</v>
          </cell>
          <cell r="K156">
            <v>0.0035</v>
          </cell>
          <cell r="L156" t="str">
            <v>42 * 62 * 38</v>
          </cell>
          <cell r="M156">
            <v>16.2</v>
          </cell>
        </row>
        <row r="157">
          <cell r="A157" t="str">
            <v>B01KKN54WA</v>
          </cell>
          <cell r="B157" t="str">
            <v>YHG-HOK-DsbChrsTreBg-9Grn</v>
          </cell>
          <cell r="C157" t="str">
            <v>圣诞树收纳袋</v>
          </cell>
          <cell r="D157" t="str">
            <v>Disassembled Christmas Tree Storage Bag 9ft Green 1</v>
          </cell>
          <cell r="E157" t="str">
            <v>=DISPIMG("ID_8C9B161E66F44494852E2E15D2C2C465",1)</v>
          </cell>
          <cell r="F157" t="str">
            <v>圣诞</v>
          </cell>
          <cell r="G157">
            <v>0.5</v>
          </cell>
          <cell r="H157">
            <v>27</v>
          </cell>
          <cell r="I157">
            <v>19</v>
          </cell>
          <cell r="J157">
            <v>7</v>
          </cell>
          <cell r="K157">
            <v>0.003591</v>
          </cell>
          <cell r="L157" t="str">
            <v>42*32*60</v>
          </cell>
          <cell r="M157">
            <v>16.7</v>
          </cell>
        </row>
        <row r="158">
          <cell r="A158" t="str">
            <v>B01CDY8SOK</v>
          </cell>
          <cell r="B158" t="str">
            <v>NLK-KND-SlrRl-2pk11x50</v>
          </cell>
          <cell r="C158" t="str">
            <v>真空封口袋</v>
          </cell>
          <cell r="D158" t="str">
            <v>Vaccum Sealer Bag Rolls 2 Pack 11"x50'</v>
          </cell>
          <cell r="E158" t="str">
            <v>=DISPIMG("ID_8CD139D563944491B94A7F1F91FC559D",1)</v>
          </cell>
          <cell r="F158" t="str">
            <v>工具</v>
          </cell>
          <cell r="G158">
            <v>1.4</v>
          </cell>
          <cell r="H158" t="str">
            <v>28.4</v>
          </cell>
          <cell r="I158">
            <v>17</v>
          </cell>
          <cell r="J158">
            <v>8</v>
          </cell>
          <cell r="K158">
            <v>0.0038624</v>
          </cell>
          <cell r="L158" t="str">
            <v>30*26*35</v>
          </cell>
          <cell r="M158">
            <v>9</v>
          </cell>
        </row>
        <row r="159">
          <cell r="A159" t="str">
            <v>B00KFM67RS</v>
          </cell>
          <cell r="B159" t="str">
            <v>SDT-TOH-SPWDbC-Gr</v>
          </cell>
          <cell r="C159" t="str">
            <v>无线门铃</v>
          </cell>
          <cell r="D159" t="str">
            <v>Star Point Wireless Doorbell Model C Green</v>
          </cell>
          <cell r="E159" t="str">
            <v>=DISPIMG("ID_7686FFCC43BF4AB8A935B640D6A4D2AA",1)</v>
          </cell>
          <cell r="F159" t="str">
            <v>门铃</v>
          </cell>
          <cell r="G159">
            <v>0.2</v>
          </cell>
          <cell r="H159">
            <v>10</v>
          </cell>
          <cell r="I159">
            <v>9</v>
          </cell>
          <cell r="J159">
            <v>7</v>
          </cell>
          <cell r="K159">
            <v>0.00063</v>
          </cell>
          <cell r="L159" t="str">
            <v>47*39*23</v>
          </cell>
          <cell r="M159">
            <v>9.3</v>
          </cell>
        </row>
        <row r="160">
          <cell r="A160" t="str">
            <v>B00XHWUG5M</v>
          </cell>
          <cell r="B160" t="str">
            <v>SDT-TOH-SPWDbCXR-Bg</v>
          </cell>
          <cell r="C160" t="str">
            <v>无线门铃</v>
          </cell>
          <cell r="D160" t="str">
            <v>Star Point Wireless Doorbell Model CXR Beige</v>
          </cell>
          <cell r="E160" t="str">
            <v>=DISPIMG("ID_238D0791634B44C88D6A2157997CEDAE",1)</v>
          </cell>
          <cell r="F160" t="str">
            <v>门铃</v>
          </cell>
          <cell r="G160">
            <v>0.3</v>
          </cell>
          <cell r="H160">
            <v>18</v>
          </cell>
          <cell r="I160">
            <v>9.6</v>
          </cell>
          <cell r="J160">
            <v>7.8</v>
          </cell>
          <cell r="K160">
            <v>0.00134784</v>
          </cell>
          <cell r="L160" t="str">
            <v>40.8*37.8*34</v>
          </cell>
          <cell r="M160">
            <v>9.84</v>
          </cell>
        </row>
        <row r="161">
          <cell r="A161" t="str">
            <v>B08CNPN4N9</v>
          </cell>
          <cell r="B161" t="str">
            <v>YHG-HOK-RctChrsTreBg-9Gry</v>
          </cell>
          <cell r="C161" t="str">
            <v>圣诞树收纳袋</v>
          </cell>
          <cell r="D161" t="str">
            <v>Rectangular Christmas Tree Storage Bag 7.5ft Gray 1</v>
          </cell>
          <cell r="E161" t="str">
            <v>=DISPIMG("ID_7BB9CE45AC964BB383F3B865116F59E8",1)</v>
          </cell>
          <cell r="F161" t="str">
            <v>圣诞</v>
          </cell>
          <cell r="G161">
            <v>0.7</v>
          </cell>
          <cell r="H161">
            <v>28</v>
          </cell>
          <cell r="I161">
            <v>20</v>
          </cell>
          <cell r="J161">
            <v>7</v>
          </cell>
          <cell r="K161">
            <v>0.00392</v>
          </cell>
          <cell r="L161" t="str">
            <v>60*40*29</v>
          </cell>
          <cell r="M161">
            <v>15.28</v>
          </cell>
        </row>
        <row r="162">
          <cell r="A162" t="str">
            <v>B01C6GK03M</v>
          </cell>
          <cell r="B162" t="str">
            <v>FLX-HHB-BBPCo-SM</v>
          </cell>
          <cell r="C162" t="str">
            <v>背撑</v>
          </cell>
          <cell r="D162" t="str">
            <v>Back Brace Posture Corrector Small Medium</v>
          </cell>
          <cell r="E162" t="str">
            <v>=DISPIMG("ID_690D948A29E8470CA7D3B0D3646B16A8",1)</v>
          </cell>
          <cell r="F162" t="str">
            <v>健身</v>
          </cell>
          <cell r="G162">
            <v>0.36</v>
          </cell>
          <cell r="H162">
            <v>23</v>
          </cell>
          <cell r="I162">
            <v>16</v>
          </cell>
          <cell r="J162">
            <v>7</v>
          </cell>
          <cell r="K162">
            <v>0.002576</v>
          </cell>
          <cell r="L162" t="str">
            <v>60*38*39</v>
          </cell>
          <cell r="M162">
            <v>20</v>
          </cell>
        </row>
        <row r="163">
          <cell r="A163" t="str">
            <v>B09CWYMCH8</v>
          </cell>
          <cell r="B163" t="str">
            <v>YHG-HOK-FD-S3101-BLK</v>
          </cell>
          <cell r="C163" t="str">
            <v>厨房用具架</v>
          </cell>
          <cell r="D163" t="str">
            <v>STAINLESS STEEL ROTATION UTENSIL HOLDER WITH REMOVEABLE INSERT FD-S3101/BLACK</v>
          </cell>
          <cell r="E163" t="str">
            <v>=DISPIMG("ID_F709C3A0FCE249D09355EA5964EEE868",1)</v>
          </cell>
          <cell r="F163" t="str">
            <v>厨房用具</v>
          </cell>
          <cell r="G163" t="str">
            <v>1.06</v>
          </cell>
          <cell r="H163" t="str">
            <v>20.2</v>
          </cell>
          <cell r="I163" t="str">
            <v>18.2</v>
          </cell>
          <cell r="J163" t="str">
            <v>18.5</v>
          </cell>
          <cell r="K163">
            <v>0.00680134</v>
          </cell>
          <cell r="L163" t="str">
            <v>56*40*23</v>
          </cell>
          <cell r="M163">
            <v>6.5</v>
          </cell>
        </row>
        <row r="164">
          <cell r="A164" t="str">
            <v>B09BDMR4H1</v>
          </cell>
          <cell r="B164" t="str">
            <v>FD-S4819-FBA</v>
          </cell>
          <cell r="C164" t="str">
            <v>钢水瓶</v>
          </cell>
          <cell r="D164" t="str">
            <v>40oz BOTTLE
DOUBLE WALL 304 S/S 
Coppering
2 color Powder Coated
mix purple(new color)
3 LIDS(PP+PE+Silicone)</v>
          </cell>
          <cell r="E164" t="str">
            <v>=DISPIMG("ID_BB229DDB003D463A917F6B9750ACF034",1)</v>
          </cell>
          <cell r="F164" t="str">
            <v>水瓶</v>
          </cell>
          <cell r="G164" t="str">
            <v>0.76</v>
          </cell>
          <cell r="H164" t="str">
            <v>38.7</v>
          </cell>
          <cell r="I164" t="str">
            <v>9.8</v>
          </cell>
          <cell r="J164" t="str">
            <v>10.3</v>
          </cell>
          <cell r="K164">
            <v>0.003906378</v>
          </cell>
        </row>
        <row r="165">
          <cell r="A165" t="str">
            <v>B07C3VDS13</v>
          </cell>
          <cell r="B165" t="str">
            <v>YHG-KND-GlsFdCntnr-Blu20pk</v>
          </cell>
          <cell r="C165" t="str">
            <v>塑料食品容器套装</v>
          </cell>
          <cell r="D165" t="str">
            <v>Superior Glass Food Storage Container Blue Pack</v>
          </cell>
          <cell r="E165" t="str">
            <v>=DISPIMG("ID_9523BB101D114C4A83FFFCC0A60D5BA2",1)</v>
          </cell>
          <cell r="F165" t="str">
            <v>厨房用具</v>
          </cell>
          <cell r="G165">
            <v>3.2</v>
          </cell>
          <cell r="H165">
            <v>38</v>
          </cell>
          <cell r="I165">
            <v>29</v>
          </cell>
          <cell r="J165">
            <v>20</v>
          </cell>
          <cell r="K165">
            <v>0.02204</v>
          </cell>
          <cell r="L165" t="str">
            <v>59 * 40 * 41</v>
          </cell>
          <cell r="M165">
            <v>14.1</v>
          </cell>
        </row>
        <row r="166">
          <cell r="A166" t="str">
            <v>B08LYGM9R8</v>
          </cell>
          <cell r="B166" t="str">
            <v>YHG-KND-GlsOlDspnsrSlm-Abrn2pk</v>
          </cell>
          <cell r="C166" t="str">
            <v>加油机</v>
          </cell>
          <cell r="D166" t="str">
            <v>Finedine-17oz brown olives oil bottle pack of 2FD-G20 /2</v>
          </cell>
          <cell r="E166" t="str">
            <v>=DISPIMG("ID_C320123A053B41D7AB6709F9600AD061",1)</v>
          </cell>
          <cell r="F166" t="str">
            <v>厨房用具</v>
          </cell>
          <cell r="G166">
            <v>1.1</v>
          </cell>
          <cell r="H166">
            <v>30</v>
          </cell>
          <cell r="I166">
            <v>16</v>
          </cell>
          <cell r="J166">
            <v>8</v>
          </cell>
          <cell r="K166">
            <v>0.00384</v>
          </cell>
          <cell r="L166" t="str">
            <v>48 * 35 * 22</v>
          </cell>
          <cell r="M166">
            <v>13.2</v>
          </cell>
        </row>
        <row r="167">
          <cell r="A167" t="str">
            <v>B0B356B5HD</v>
          </cell>
          <cell r="B167" t="str">
            <v>YHG-HOK-FD-G101-3-GRN</v>
          </cell>
          <cell r="C167" t="str">
            <v>保鲜饭盒</v>
          </cell>
          <cell r="D167" t="str">
            <v>Fine Dine-Glass Meal Prep Food Storage Containers rectangular 3 Pack, FD-G101/3-green</v>
          </cell>
          <cell r="E167" t="str">
            <v>=DISPIMG("ID_1CF56F64D1BA4AEC877AF6448EE5A925",1)</v>
          </cell>
          <cell r="F167" t="str">
            <v>厨房用具</v>
          </cell>
          <cell r="G167" t="str">
            <v>2.3</v>
          </cell>
          <cell r="H167">
            <v>22.5</v>
          </cell>
          <cell r="I167">
            <v>17.5</v>
          </cell>
          <cell r="J167">
            <v>23.5</v>
          </cell>
          <cell r="K167">
            <v>0.009253125</v>
          </cell>
          <cell r="L167" t="str">
            <v>56*24*49</v>
          </cell>
          <cell r="M167">
            <v>14.7</v>
          </cell>
        </row>
        <row r="168">
          <cell r="A168" t="str">
            <v>B01C5D4Z5A</v>
          </cell>
          <cell r="B168" t="str">
            <v>DAT-APA-KMAT2-GRY</v>
          </cell>
          <cell r="C168" t="str">
            <v>汽车踢脚垫</v>
          </cell>
          <cell r="D168" t="str">
            <v>Heavy Duty Kick Mats (2 Pack) - Best Car Seat Back Protector</v>
          </cell>
          <cell r="E168" t="str">
            <v>=DISPIMG("ID_CD06923F18F64F4280E3F4E5548C336C",1)</v>
          </cell>
          <cell r="F168" t="str">
            <v>汽车</v>
          </cell>
          <cell r="G168">
            <v>0.8</v>
          </cell>
          <cell r="H168">
            <v>50</v>
          </cell>
          <cell r="I168">
            <v>10</v>
          </cell>
          <cell r="J168">
            <v>44</v>
          </cell>
          <cell r="K168">
            <v>0.022</v>
          </cell>
          <cell r="L168" t="str">
            <v>40 * 49 * 47</v>
          </cell>
          <cell r="M168">
            <v>17.1</v>
          </cell>
        </row>
        <row r="169">
          <cell r="A169" t="str">
            <v>B08CNN2KQT</v>
          </cell>
          <cell r="B169" t="str">
            <v>YHG-HOK-DflChrsTreBg-9Blk</v>
          </cell>
          <cell r="C169" t="str">
            <v>圣诞树收纳袋</v>
          </cell>
          <cell r="D169" t="str">
            <v>STORAGE BAG</v>
          </cell>
          <cell r="E169" t="str">
            <v>=DISPIMG("ID_AE1FD9BF45494C49A0771B1DD71E0382",1)</v>
          </cell>
          <cell r="F169" t="str">
            <v>圣诞</v>
          </cell>
          <cell r="G169">
            <v>1.9</v>
          </cell>
          <cell r="H169">
            <v>32</v>
          </cell>
          <cell r="I169">
            <v>26</v>
          </cell>
          <cell r="J169">
            <v>7</v>
          </cell>
          <cell r="K169">
            <v>0.005824</v>
          </cell>
          <cell r="L169" t="str">
            <v>34 * 28 * 33</v>
          </cell>
          <cell r="M169">
            <v>12.1</v>
          </cell>
        </row>
        <row r="170">
          <cell r="A170" t="str">
            <v>B018UYS1AI</v>
          </cell>
          <cell r="B170" t="str">
            <v>SDT-TOH-SPWDbCXR-Gy</v>
          </cell>
          <cell r="C170" t="str">
            <v>无线门铃</v>
          </cell>
          <cell r="D170" t="str">
            <v>Star Point Wireless Doorbell Model CXR Grey</v>
          </cell>
          <cell r="E170" t="str">
            <v>=DISPIMG("ID_6D375CB4323040018469482A021081DE",1)</v>
          </cell>
          <cell r="F170" t="str">
            <v>门铃</v>
          </cell>
          <cell r="G170">
            <v>0.3</v>
          </cell>
          <cell r="H170">
            <v>18</v>
          </cell>
          <cell r="I170">
            <v>9.6</v>
          </cell>
          <cell r="J170">
            <v>7.8</v>
          </cell>
          <cell r="K170">
            <v>0.00134784</v>
          </cell>
          <cell r="L170" t="str">
            <v>40.8*37.8*34</v>
          </cell>
          <cell r="M170">
            <v>9.84</v>
          </cell>
        </row>
        <row r="171">
          <cell r="A171" t="str">
            <v>B07MQFXNML</v>
          </cell>
          <cell r="B171" t="str">
            <v>PPC-OFP-ElPln-L</v>
          </cell>
          <cell r="C171" t="str">
            <v>每日计划</v>
          </cell>
          <cell r="D171" t="str">
            <v>Simple Elephant Planner 2020 - Daily, Weekly, Monthly Agenda - Undated Productivity Journal - Gratitude, Life &amp; Goal, Success (Lilac)</v>
          </cell>
          <cell r="E171" t="str">
            <v>=DISPIMG("ID_8C1DC88D722D4317A4B4BB7B940662F1",1)</v>
          </cell>
          <cell r="F171" t="str">
            <v>办公</v>
          </cell>
          <cell r="G171">
            <v>0.5</v>
          </cell>
          <cell r="H171">
            <v>23</v>
          </cell>
          <cell r="I171">
            <v>17</v>
          </cell>
          <cell r="J171">
            <v>3</v>
          </cell>
          <cell r="K171">
            <v>0.001173</v>
          </cell>
          <cell r="L171" t="str">
            <v>53*36*25</v>
          </cell>
          <cell r="M171">
            <v>20</v>
          </cell>
        </row>
        <row r="172">
          <cell r="A172" t="str">
            <v>B019ZK0WR6</v>
          </cell>
          <cell r="B172" t="str">
            <v>UFL-SPO-KneSleev-S</v>
          </cell>
          <cell r="C172" t="str">
            <v>及膝套</v>
          </cell>
          <cell r="D172" t="str">
            <v>UFlex Athletics Knee Compression Sleeve Support for Running, Jogging, Sports</v>
          </cell>
          <cell r="E172" t="str">
            <v>=DISPIMG("ID_C2009F1CC9DC4150AED73365CE66124A",1)</v>
          </cell>
          <cell r="F172" t="str">
            <v>健身</v>
          </cell>
          <cell r="G172">
            <v>0.1</v>
          </cell>
          <cell r="H172">
            <v>32</v>
          </cell>
          <cell r="I172">
            <v>11.6</v>
          </cell>
          <cell r="J172" t="str">
            <v>2.0</v>
          </cell>
          <cell r="K172">
            <v>0.0007424</v>
          </cell>
          <cell r="L172" t="str">
            <v>50*36.4*24.2</v>
          </cell>
          <cell r="M172">
            <v>8.7</v>
          </cell>
        </row>
        <row r="173">
          <cell r="A173" t="str">
            <v>B08MFRBGBH</v>
          </cell>
          <cell r="B173" t="str">
            <v>YHG-SPO-StlWtrBtlSld-Blkwte25</v>
          </cell>
          <cell r="C173" t="str">
            <v>钢水瓶</v>
          </cell>
          <cell r="D173" t="str">
            <v>Stainless Steel Insulated Water Bottle Straw Lid Black-White 2oz</v>
          </cell>
          <cell r="E173" t="str">
            <v>=DISPIMG("ID_B5FCE09F26044BEE89ECC3B25056D4DF",1)</v>
          </cell>
          <cell r="F173" t="str">
            <v>水瓶</v>
          </cell>
          <cell r="G173" t="str">
            <v>0.52</v>
          </cell>
          <cell r="H173">
            <v>34.9</v>
          </cell>
          <cell r="I173" t="str">
            <v>9.4</v>
          </cell>
          <cell r="J173" t="str">
            <v>9.6</v>
          </cell>
          <cell r="K173">
            <v>0.003149376</v>
          </cell>
          <cell r="L173" t="str">
            <v>40 * 59 * 38 </v>
          </cell>
          <cell r="M173">
            <v>14.6</v>
          </cell>
        </row>
        <row r="174">
          <cell r="A174" t="str">
            <v>B00SN8NUEE</v>
          </cell>
          <cell r="B174" t="str">
            <v>PT/ZINC/12PK</v>
          </cell>
          <cell r="C174" t="str">
            <v>盆景</v>
          </cell>
          <cell r="D174" t="str">
            <v>The Zinc Pot Set. Perfect Gift Companion to Plant Theatre</v>
          </cell>
          <cell r="E174" t="str">
            <v>=DISPIMG("ID_5651838EC60849498D0108801D01CDEE",1)</v>
          </cell>
          <cell r="F174" t="str">
            <v>园艺</v>
          </cell>
          <cell r="G174">
            <v>1.2</v>
          </cell>
          <cell r="H174">
            <v>26</v>
          </cell>
          <cell r="I174">
            <v>13</v>
          </cell>
          <cell r="J174">
            <v>13</v>
          </cell>
          <cell r="K174">
            <v>0.004394</v>
          </cell>
          <cell r="L174" t="str">
            <v>39*54*28</v>
          </cell>
          <cell r="M174">
            <v>14.5</v>
          </cell>
        </row>
        <row r="175">
          <cell r="A175" t="str">
            <v>B01091ZF4K</v>
          </cell>
          <cell r="B175" t="str">
            <v>BTL-HHB-PFB-L</v>
          </cell>
          <cell r="C175" t="str">
            <v>足底筋膜炎袜</v>
          </cell>
          <cell r="D175" t="str">
            <v>Bitly Plantar Fasciitis Compression Socks Black Large</v>
          </cell>
          <cell r="E175" t="str">
            <v>=DISPIMG("ID_16F5863294B142DDBCD00F54C3974E06",1)</v>
          </cell>
          <cell r="F175" t="str">
            <v>衣物</v>
          </cell>
          <cell r="G175" t="str">
            <v>0.1</v>
          </cell>
          <cell r="H175" t="str">
            <v>22.5</v>
          </cell>
          <cell r="I175">
            <v>13</v>
          </cell>
          <cell r="J175">
            <v>15</v>
          </cell>
          <cell r="K175">
            <v>0.0043875</v>
          </cell>
          <cell r="L175" t="str">
            <v>34 * 28 * 47</v>
          </cell>
          <cell r="M175">
            <v>9.1</v>
          </cell>
        </row>
        <row r="176">
          <cell r="A176" t="str">
            <v>B01FIWU46Y</v>
          </cell>
          <cell r="B176" t="str">
            <v>BES-ACS-ClrPncl-50pk</v>
          </cell>
          <cell r="C176" t="str">
            <v>彩色铅笔</v>
          </cell>
          <cell r="D176" t="str">
            <v>Coloured Pencils 50 Pack</v>
          </cell>
          <cell r="E176" t="str">
            <v>=DISPIMG("ID_0F2031A61693499F880EFE428D7F902F",1)</v>
          </cell>
          <cell r="F176" t="str">
            <v>办公</v>
          </cell>
          <cell r="G176">
            <v>0.32</v>
          </cell>
          <cell r="H176">
            <v>18.5</v>
          </cell>
          <cell r="I176">
            <v>19.3</v>
          </cell>
          <cell r="J176">
            <v>2</v>
          </cell>
          <cell r="K176">
            <v>0.0007141</v>
          </cell>
          <cell r="L176" t="str">
            <v>39.5*22*26</v>
          </cell>
          <cell r="M176">
            <v>8.8</v>
          </cell>
        </row>
        <row r="177">
          <cell r="A177" t="str">
            <v>B015FWSJ3W</v>
          </cell>
          <cell r="B177" t="str">
            <v>NVT-KND-CktlSkr-24oz</v>
          </cell>
          <cell r="C177" t="str">
            <v>鸡尾酒调酒器套装</v>
          </cell>
          <cell r="D177" t="str">
            <v>Cocktail Shaker - Premium Bar Set</v>
          </cell>
          <cell r="E177" t="str">
            <v>=DISPIMG("ID_BB17C10F87164ED2AA995B2725B70872",1)</v>
          </cell>
          <cell r="F177" t="str">
            <v>厨房用具</v>
          </cell>
          <cell r="G177">
            <v>0.45</v>
          </cell>
          <cell r="H177">
            <v>19</v>
          </cell>
          <cell r="I177">
            <v>9</v>
          </cell>
          <cell r="J177">
            <v>9</v>
          </cell>
          <cell r="K177">
            <v>0.001539</v>
          </cell>
          <cell r="L177" t="str">
            <v>40*38*30</v>
          </cell>
          <cell r="M177">
            <v>11.1</v>
          </cell>
        </row>
        <row r="178">
          <cell r="A178" t="str">
            <v>B09BNVQYQT</v>
          </cell>
          <cell r="B178" t="str">
            <v>FD-S4714-FBA</v>
          </cell>
          <cell r="C178" t="str">
            <v>钢水瓶</v>
          </cell>
          <cell r="D178" t="str">
            <v>32oz BOTTLE
DOUBLE WALL 304 S/S 
Coppering
air tranfer print
black marble
3 LIDS(PP+PE+Silicone)
100% leakproof 
can pass the paint adhesion testing
Keep Hot 8H&amp; Cold 10H
color Box</v>
          </cell>
          <cell r="E178" t="str">
            <v>=DISPIMG("ID_F42B62159DB144AC84ABBADED8B9ACE1",1)</v>
          </cell>
          <cell r="F178" t="str">
            <v>水瓶</v>
          </cell>
          <cell r="G178">
            <v>0.7</v>
          </cell>
          <cell r="H178">
            <v>35</v>
          </cell>
          <cell r="I178">
            <v>10</v>
          </cell>
          <cell r="J178">
            <v>10</v>
          </cell>
          <cell r="K178">
            <v>0.0035</v>
          </cell>
          <cell r="L178" t="str">
            <v>62 * 41 * 62</v>
          </cell>
          <cell r="M178">
            <v>16.2</v>
          </cell>
        </row>
        <row r="179">
          <cell r="A179" t="str">
            <v>B07CJMSVKD</v>
          </cell>
          <cell r="B179" t="str">
            <v>WKL-CSJ-LEDSntHat-1PkKd</v>
          </cell>
          <cell r="C179" t="str">
            <v>圣诞老人帽</v>
          </cell>
          <cell r="D179" t="str">
            <v>LED Santa Hat 1 pack Kids Size</v>
          </cell>
          <cell r="E179" t="str">
            <v>=DISPIMG("ID_36DED43D6BBC485AAA87D190BBD6AF98",1)</v>
          </cell>
          <cell r="F179" t="str">
            <v>圣诞</v>
          </cell>
          <cell r="G179" t="str">
            <v>0.150</v>
          </cell>
          <cell r="H179">
            <v>32</v>
          </cell>
          <cell r="I179">
            <v>23</v>
          </cell>
          <cell r="J179">
            <v>7</v>
          </cell>
          <cell r="K179">
            <v>0.005152</v>
          </cell>
          <cell r="L179" t="str">
            <v>63 * 60 * 55</v>
          </cell>
          <cell r="M179">
            <v>17</v>
          </cell>
        </row>
        <row r="180">
          <cell r="A180" t="str">
            <v>B07BY9PTS6</v>
          </cell>
          <cell r="B180" t="str">
            <v>PLT-GAO-GrdSfa-Cshn</v>
          </cell>
          <cell r="C180" t="str">
            <v>扶手椅带靠垫</v>
          </cell>
          <cell r="D180" t="str">
            <v>Hardwood Garden Sofa Armchair with Cushion included</v>
          </cell>
          <cell r="E180" t="str">
            <v>=DISPIMG("ID_2091A22BAA3F48E8A329E56DDA047B25",1)</v>
          </cell>
          <cell r="F180" t="str">
            <v>桌椅</v>
          </cell>
          <cell r="G180" t="str">
            <v>11.6</v>
          </cell>
          <cell r="H180">
            <v>63</v>
          </cell>
          <cell r="I180">
            <v>57.5</v>
          </cell>
          <cell r="J180">
            <v>19.5</v>
          </cell>
          <cell r="K180">
            <v>0.07063875</v>
          </cell>
          <cell r="L180" t="str">
            <v>53*57.5*19.5</v>
          </cell>
          <cell r="M180">
            <v>12</v>
          </cell>
        </row>
        <row r="181">
          <cell r="A181" t="str">
            <v>B076TBYNSL</v>
          </cell>
          <cell r="B181" t="str">
            <v>FLX-HHB-BBPCo-XS</v>
          </cell>
          <cell r="C181" t="str">
            <v>背撑</v>
          </cell>
          <cell r="D181" t="str">
            <v>Back Brace Posture Corrector Extra Small</v>
          </cell>
          <cell r="E181" t="str">
            <v>=DISPIMG("ID_1F9411413EA84CF0AA8822638A121594",1)</v>
          </cell>
          <cell r="F181" t="str">
            <v>健身</v>
          </cell>
          <cell r="G181">
            <v>0.4</v>
          </cell>
          <cell r="H181">
            <v>30</v>
          </cell>
          <cell r="I181">
            <v>19</v>
          </cell>
          <cell r="J181">
            <v>7</v>
          </cell>
          <cell r="K181">
            <v>0.00399</v>
          </cell>
          <cell r="L181" t="str">
            <v>62*40*39</v>
          </cell>
          <cell r="M181">
            <v>20</v>
          </cell>
        </row>
        <row r="182">
          <cell r="A182" t="str">
            <v>B00WIW6T4Y</v>
          </cell>
          <cell r="B182" t="str">
            <v>KHM-BPC-NlClp-700</v>
          </cell>
          <cell r="C182" t="str">
            <v>脚趾甲钳</v>
          </cell>
          <cell r="D182" t="str">
            <v>KP- 700 Nail Clipper 5 inch Stainless Steel</v>
          </cell>
          <cell r="E182" t="str">
            <v>=DISPIMG("ID_24B273DB70714400B4FCBD8475FD6660",1)</v>
          </cell>
          <cell r="F182" t="str">
            <v>指甲钳</v>
          </cell>
          <cell r="G182">
            <v>0.1</v>
          </cell>
          <cell r="H182">
            <v>18.5</v>
          </cell>
          <cell r="I182">
            <v>9</v>
          </cell>
          <cell r="J182">
            <v>2</v>
          </cell>
          <cell r="K182">
            <v>0.000333</v>
          </cell>
          <cell r="L182" t="str">
            <v>48*40*24</v>
          </cell>
          <cell r="M182">
            <v>12.2</v>
          </cell>
        </row>
        <row r="183">
          <cell r="A183" t="str">
            <v>B07Q3SQT6C</v>
          </cell>
          <cell r="B183" t="str">
            <v>FDM-HOK-MtlCbnt-71inBk</v>
          </cell>
          <cell r="C183" t="str">
            <v>金属储物柜</v>
          </cell>
          <cell r="D183" t="str">
            <v>Metal Storage Cabinet 71" Tall, Lockable Doors and Adjustable Shelves, 70.86" Tall x 31.5" W x 15.75"</v>
          </cell>
          <cell r="E183" t="str">
            <v>=DISPIMG("ID_0D4900EB823D417E9954623F0C5C2821",1)</v>
          </cell>
          <cell r="F183" t="str">
            <v>金属柜</v>
          </cell>
          <cell r="G183">
            <v>47.4</v>
          </cell>
          <cell r="H183">
            <v>188</v>
          </cell>
          <cell r="I183">
            <v>49</v>
          </cell>
          <cell r="J183">
            <v>14</v>
          </cell>
          <cell r="K183">
            <v>0.128968</v>
          </cell>
          <cell r="L183" t="str">
            <v>188*49*14</v>
          </cell>
          <cell r="M183">
            <v>47.4</v>
          </cell>
        </row>
        <row r="184">
          <cell r="A184" t="str">
            <v>B09BDLCJTP</v>
          </cell>
          <cell r="B184" t="str">
            <v>FD-S4703-FBA</v>
          </cell>
          <cell r="C184" t="str">
            <v>钢水瓶</v>
          </cell>
          <cell r="D184" t="str">
            <v>32oz BOTTLE
DOUBLE WALL 304 S/S 
Coppering
Powder Coated
white
3 LIDS(PP+PE+Silicone)</v>
          </cell>
          <cell r="E184" t="str">
            <v>=DISPIMG("ID_CE940F4ECEA14061B6EBC9060CB366AC",1)</v>
          </cell>
          <cell r="F184" t="str">
            <v>水瓶</v>
          </cell>
          <cell r="G184">
            <v>0.66</v>
          </cell>
          <cell r="H184" t="str">
            <v>35.6</v>
          </cell>
          <cell r="I184" t="str">
            <v>9.8</v>
          </cell>
          <cell r="J184" t="str">
            <v>10.3</v>
          </cell>
          <cell r="K184">
            <v>0.003593464</v>
          </cell>
          <cell r="L184" t="str">
            <v>61*42*37</v>
          </cell>
          <cell r="M184">
            <v>16.3</v>
          </cell>
        </row>
        <row r="185">
          <cell r="A185" t="str">
            <v>B01MRBVK1G</v>
          </cell>
          <cell r="B185" t="str">
            <v>MCC-HOK-PiCnd-3x6GreF3pk</v>
          </cell>
          <cell r="C185" t="str">
            <v>无香蜡烛</v>
          </cell>
          <cell r="D185" t="str">
            <v>Green Pillar Candles 3" x 6" Candles Set of 3</v>
          </cell>
          <cell r="E185" t="str">
            <v>=DISPIMG("ID_E528796550F64725BD5C27CD96FF15CC",1)</v>
          </cell>
          <cell r="F185" t="str">
            <v>蜡烛</v>
          </cell>
          <cell r="G185">
            <v>1.8</v>
          </cell>
          <cell r="H185">
            <v>24</v>
          </cell>
          <cell r="I185">
            <v>16</v>
          </cell>
          <cell r="J185">
            <v>9</v>
          </cell>
          <cell r="K185">
            <v>0.003456</v>
          </cell>
          <cell r="L185" t="str">
            <v>36*26*17</v>
          </cell>
          <cell r="M185">
            <v>7.5</v>
          </cell>
        </row>
        <row r="186">
          <cell r="A186" t="str">
            <v>B06W2FM8C8</v>
          </cell>
          <cell r="B186" t="str">
            <v>MCC-HOK-PiCnd-3x4T/TlF3pk</v>
          </cell>
          <cell r="C186" t="str">
            <v>无香蜡烛</v>
          </cell>
          <cell r="D186" t="str">
            <v>Turquoise/Teal Pillar Candles 3" x 4" Set of 3</v>
          </cell>
          <cell r="E186" t="str">
            <v>=DISPIMG("ID_2E51F722320B461FAFCFD9332AB4250A",1)</v>
          </cell>
          <cell r="F186" t="str">
            <v>蜡烛</v>
          </cell>
          <cell r="G186">
            <v>1.3</v>
          </cell>
          <cell r="H186">
            <v>25</v>
          </cell>
          <cell r="I186">
            <v>11</v>
          </cell>
          <cell r="J186">
            <v>9</v>
          </cell>
          <cell r="K186">
            <v>0.002475</v>
          </cell>
          <cell r="L186" t="str">
            <v>35*23*26</v>
          </cell>
          <cell r="M186">
            <v>10</v>
          </cell>
        </row>
        <row r="187">
          <cell r="A187" t="str">
            <v>B09BNTL4WJ</v>
          </cell>
          <cell r="B187" t="str">
            <v>FD-S4716-FBA</v>
          </cell>
          <cell r="C187" t="str">
            <v>钢水瓶</v>
          </cell>
          <cell r="D187" t="str">
            <v>32oz BOTTLE
DOUBLE WALL 304 S/S 
Coppering
2 color Powder Coated
mix purple/green
3 LIDS(PP+PE+Silicone)</v>
          </cell>
          <cell r="E187" t="str">
            <v>=DISPIMG("ID_2F19677B944C4ACB9A564F4F87348A60",1)</v>
          </cell>
          <cell r="F187" t="str">
            <v>水瓶</v>
          </cell>
          <cell r="G187" t="str">
            <v>0.681</v>
          </cell>
          <cell r="H187" t="str">
            <v>35.1</v>
          </cell>
          <cell r="I187" t="str">
            <v>9.8</v>
          </cell>
          <cell r="J187" t="str">
            <v>10.8</v>
          </cell>
          <cell r="K187">
            <v>0.003714984</v>
          </cell>
          <cell r="L187" t="str">
            <v>61*42*37</v>
          </cell>
          <cell r="M187">
            <v>16.3</v>
          </cell>
        </row>
        <row r="188">
          <cell r="A188" t="str">
            <v>B019ZK0WS0</v>
          </cell>
          <cell r="B188" t="str">
            <v>UFL-SPO-KneeSleev-M</v>
          </cell>
          <cell r="C188" t="str">
            <v>及膝套</v>
          </cell>
          <cell r="D188" t="str">
            <v>Knee Compression Sleeve Medium</v>
          </cell>
          <cell r="E188" t="str">
            <v>=DISPIMG("ID_22F11BDA0212400D838CE9DF7047234F",1)</v>
          </cell>
          <cell r="F188" t="str">
            <v>健身</v>
          </cell>
          <cell r="G188">
            <v>0.1</v>
          </cell>
          <cell r="H188">
            <v>15</v>
          </cell>
          <cell r="I188">
            <v>32</v>
          </cell>
          <cell r="J188">
            <v>2</v>
          </cell>
          <cell r="K188">
            <v>0.00096</v>
          </cell>
          <cell r="L188" t="str">
            <v>50*40*30</v>
          </cell>
          <cell r="M188">
            <v>9</v>
          </cell>
        </row>
        <row r="189">
          <cell r="A189" t="str">
            <v>B09BDMFSL8</v>
          </cell>
          <cell r="B189" t="str">
            <v>FD-S4718-FBA</v>
          </cell>
          <cell r="C189" t="str">
            <v>钢水瓶</v>
          </cell>
          <cell r="D189" t="str">
            <v>"32oz BOTTLE DOUBLE WALL 304 S/S   Coppering 2 color Powder Coated Mix Green(new color) 3 LIDS(PP+PE+Silicone) 100% leakproof  can pass the paint adhesion testing Keep Hot 8H&amp; Cold 10H color Box"</v>
          </cell>
          <cell r="E189" t="str">
            <v>=DISPIMG("ID_9CA0FF1017EB4C8F9847184B17516B22",1)</v>
          </cell>
          <cell r="F189" t="str">
            <v>水瓶</v>
          </cell>
          <cell r="G189">
            <v>0.65</v>
          </cell>
          <cell r="H189">
            <v>10</v>
          </cell>
          <cell r="I189">
            <v>10</v>
          </cell>
          <cell r="J189">
            <v>35</v>
          </cell>
          <cell r="K189">
            <v>0.0035</v>
          </cell>
          <cell r="L189" t="str">
            <v>43 * 62 * 38</v>
          </cell>
          <cell r="M189">
            <v>16.3</v>
          </cell>
        </row>
        <row r="190">
          <cell r="A190" t="str">
            <v>B08CY1589Q</v>
          </cell>
          <cell r="B190" t="str">
            <v>MXL-KND-BarKit-15pcBsSlv-ASMBL</v>
          </cell>
          <cell r="C190" t="str">
            <v>调酒套件和支架</v>
          </cell>
          <cell r="D190" t="str">
            <v>Bartender Kit 15pc Bamboo Stand Silver</v>
          </cell>
          <cell r="E190" t="str">
            <v>=DISPIMG("ID_EEE1197DAB6E4463BFA2C2C0AAEB0513",1)</v>
          </cell>
          <cell r="F190" t="str">
            <v>厨房用具</v>
          </cell>
          <cell r="G190">
            <v>1.7</v>
          </cell>
          <cell r="H190">
            <v>32</v>
          </cell>
          <cell r="I190">
            <v>22</v>
          </cell>
          <cell r="J190">
            <v>10</v>
          </cell>
          <cell r="K190">
            <v>0.00704</v>
          </cell>
          <cell r="L190" t="str">
            <v>44*41*34</v>
          </cell>
          <cell r="M190">
            <v>14</v>
          </cell>
        </row>
        <row r="191">
          <cell r="A191" t="str">
            <v>B09BDLVK7L</v>
          </cell>
          <cell r="B191" t="str">
            <v>FD-S4919-FBA</v>
          </cell>
          <cell r="C191" t="str">
            <v>钢水瓶</v>
          </cell>
          <cell r="D191" t="str">
            <v>64oz BOTTLE
DOUBLE WALL 304 S/S 
Coppering
2 color Powder Coated
mix purple(new color)
3 LIDS(PP+PE+Silicone)</v>
          </cell>
          <cell r="E191" t="str">
            <v>=DISPIMG("ID_1DD47880D7E1485CA9FCD035F5753EDA",1)</v>
          </cell>
          <cell r="F191" t="str">
            <v>水瓶</v>
          </cell>
          <cell r="G191">
            <v>1.1</v>
          </cell>
          <cell r="H191">
            <v>33</v>
          </cell>
          <cell r="I191">
            <v>13</v>
          </cell>
          <cell r="J191">
            <v>13</v>
          </cell>
          <cell r="K191">
            <v>0.005577</v>
          </cell>
          <cell r="L191" t="str">
            <v>55*42*35</v>
          </cell>
          <cell r="M191">
            <v>14</v>
          </cell>
        </row>
        <row r="192">
          <cell r="A192" t="str">
            <v>B076VMG7W6</v>
          </cell>
          <cell r="B192" t="str">
            <v>X000TV1Z9V</v>
          </cell>
          <cell r="C192" t="str">
            <v>膝盖冰敷</v>
          </cell>
          <cell r="D192" t="str">
            <v>64oz BOTTLE
DOUBLE WALL 304 S/S 
Coppering
2 color Powder Coated
mix purple(new color)
3 LIDS(PP+PE+Silicone)</v>
          </cell>
          <cell r="E192" t="str">
            <v>=DISPIMG("ID_FD12112D98FD4AC0AC88076DFAB704C6",1)</v>
          </cell>
          <cell r="F192" t="str">
            <v>护理</v>
          </cell>
          <cell r="G192" t="str">
            <v>0.4</v>
          </cell>
          <cell r="H192">
            <v>12.3</v>
          </cell>
          <cell r="I192">
            <v>20.5</v>
          </cell>
          <cell r="J192">
            <v>5</v>
          </cell>
          <cell r="K192">
            <v>0.00126075</v>
          </cell>
          <cell r="L192" t="str">
            <v>43*26*29</v>
          </cell>
          <cell r="M192">
            <v>9.8</v>
          </cell>
        </row>
        <row r="193">
          <cell r="A193" t="str">
            <v>B09BDLMCXL</v>
          </cell>
          <cell r="B193" t="str">
            <v>FD-S4709-FBA</v>
          </cell>
          <cell r="C193" t="str">
            <v>钢水瓶</v>
          </cell>
          <cell r="D193" t="str">
            <v>32oz BOTTLE
DOUBLE WALL 304 S/S 
Coppering
Powder Coated
Army Green(new color)
3 LIDS(PP+PE+Silicone)
100% leakproof 
can pass the paint adhesion testing
Keep Hot 8H&amp; Cold 10H
color Box</v>
          </cell>
          <cell r="E193" t="str">
            <v>=DISPIMG("ID_E0320943C04942CDB4C57741664E63EC",1)</v>
          </cell>
          <cell r="F193" t="str">
            <v>水瓶</v>
          </cell>
          <cell r="G193">
            <v>0.58</v>
          </cell>
          <cell r="H193">
            <v>34.8</v>
          </cell>
          <cell r="I193">
            <v>10.2</v>
          </cell>
          <cell r="J193">
            <v>10</v>
          </cell>
          <cell r="K193">
            <v>0.0035496</v>
          </cell>
          <cell r="L193" t="str">
            <v>61.5*41.8*38</v>
          </cell>
          <cell r="M193">
            <v>16.12</v>
          </cell>
        </row>
        <row r="194">
          <cell r="A194" t="str">
            <v>B013AUKEP2</v>
          </cell>
          <cell r="B194" t="str">
            <v>SDT-TOH-SPWDbC-Bw</v>
          </cell>
          <cell r="C194" t="str">
            <v>无线门铃</v>
          </cell>
          <cell r="D194" t="str">
            <v>Star Point Wireless Doorbell Model C Brown</v>
          </cell>
          <cell r="E194" t="str">
            <v>=DISPIMG("ID_17ED6FA966EB4F10B4479D8DFA15E8EB",1)</v>
          </cell>
          <cell r="F194" t="str">
            <v>门铃</v>
          </cell>
          <cell r="G194">
            <v>0.2</v>
          </cell>
          <cell r="H194">
            <v>10</v>
          </cell>
          <cell r="I194">
            <v>9</v>
          </cell>
          <cell r="J194">
            <v>7</v>
          </cell>
          <cell r="K194">
            <v>0.00063</v>
          </cell>
          <cell r="L194" t="str">
            <v>47*39*23</v>
          </cell>
          <cell r="M194">
            <v>9.3</v>
          </cell>
        </row>
        <row r="195">
          <cell r="A195" t="str">
            <v>B07QTPMG52</v>
          </cell>
          <cell r="B195" t="str">
            <v>YHG-HOK-WrpOrg-Grn</v>
          </cell>
          <cell r="C195" t="str">
            <v>包装储存</v>
          </cell>
          <cell r="D195" t="str">
            <v>ZOBER PE Underbed Gift Wrap Organizer, Interior Pockets, fits 18-2 Standard Rolls,</v>
          </cell>
          <cell r="E195" t="str">
            <v>=DISPIMG("ID_7F924FA462D44079A9DABBC02F3925E8",1)</v>
          </cell>
          <cell r="F195" t="str">
            <v>圣诞</v>
          </cell>
          <cell r="G195">
            <v>0.35</v>
          </cell>
          <cell r="H195">
            <v>22</v>
          </cell>
          <cell r="I195">
            <v>19</v>
          </cell>
          <cell r="J195">
            <v>9</v>
          </cell>
          <cell r="K195">
            <v>0.003762</v>
          </cell>
          <cell r="L195" t="str">
            <v>43*39*32</v>
          </cell>
          <cell r="M195">
            <v>9</v>
          </cell>
        </row>
        <row r="196">
          <cell r="A196" t="str">
            <v>B09BDLSRVM</v>
          </cell>
          <cell r="B196" t="str">
            <v>FD-S4804-FBA</v>
          </cell>
          <cell r="C196" t="str">
            <v>钢水瓶</v>
          </cell>
          <cell r="D196" t="str">
            <v>40oz BOTTLE
DOUBLE WALL 304 S/S 
Coppering
Powder Coated
gray 877c
3 LIDS(PP+PE+Silicone)
100% leakproof</v>
          </cell>
          <cell r="E196" t="str">
            <v>=DISPIMG("ID_998551BF81E647E0B314011FD8E68310",1)</v>
          </cell>
          <cell r="F196" t="str">
            <v>水瓶</v>
          </cell>
          <cell r="G196" t="str">
            <v>0.76</v>
          </cell>
          <cell r="H196" t="str">
            <v>39.0</v>
          </cell>
          <cell r="I196" t="str">
            <v>10.0</v>
          </cell>
          <cell r="J196" t="str">
            <v>10.6</v>
          </cell>
          <cell r="K196">
            <v>0.004134</v>
          </cell>
          <cell r="L196" t="str">
            <v>61*42*37</v>
          </cell>
          <cell r="M196">
            <v>16.3</v>
          </cell>
        </row>
        <row r="197">
          <cell r="A197" t="str">
            <v>B0B2JT6P2Y</v>
          </cell>
          <cell r="B197" t="str">
            <v>YHG-HOK-FD-SC204</v>
          </cell>
          <cell r="C197" t="str">
            <v>硅胶烘焙垫</v>
          </cell>
          <cell r="D197" t="str">
            <v>Fine Dine-Silicone baking mat set of 3-gray</v>
          </cell>
          <cell r="E197" t="str">
            <v>=DISPIMG("ID_31AB36A6F8184E059DE99582FBF4925E",1)</v>
          </cell>
          <cell r="F197" t="str">
            <v>厨房用具</v>
          </cell>
          <cell r="G197" t="str">
            <v>0.400</v>
          </cell>
          <cell r="H197">
            <v>32</v>
          </cell>
          <cell r="I197">
            <v>5</v>
          </cell>
          <cell r="J197">
            <v>5</v>
          </cell>
          <cell r="K197">
            <v>0.0008</v>
          </cell>
          <cell r="L197" t="str">
            <v>43 * 29 * 36</v>
          </cell>
          <cell r="M197">
            <v>13.5</v>
          </cell>
        </row>
        <row r="198">
          <cell r="A198" t="str">
            <v>B007OOUZ9G</v>
          </cell>
          <cell r="B198" t="str">
            <v>CCO-MUT-CELLO100-4-4</v>
          </cell>
          <cell r="C198" t="str">
            <v>乐器为儿童和成人</v>
          </cell>
          <cell r="D198" t="str">
            <v>Musical Instrument For Kids &amp; Adults</v>
          </cell>
          <cell r="E198" t="str">
            <v>=DISPIMG("ID_8EDA8F2ABE064B989859BACEEC848536",1)</v>
          </cell>
          <cell r="F198" t="str">
            <v>乐器</v>
          </cell>
          <cell r="G198" t="str">
            <v>12.000</v>
          </cell>
          <cell r="H198" t="str">
            <v>19.50</v>
          </cell>
          <cell r="I198" t="str">
            <v>53.43</v>
          </cell>
          <cell r="J198" t="str">
            <v>13.26</v>
          </cell>
          <cell r="K198">
            <v>0.0138153951</v>
          </cell>
          <cell r="L198" t="str">
            <v>50*15*20</v>
          </cell>
          <cell r="M198">
            <v>12</v>
          </cell>
        </row>
        <row r="199">
          <cell r="A199" t="str">
            <v>B09BDMKZN4</v>
          </cell>
          <cell r="B199" t="str">
            <v>FD-S4906-FBA</v>
          </cell>
          <cell r="C199" t="str">
            <v>钢水瓶</v>
          </cell>
          <cell r="D199" t="str">
            <v>64oz BOTTLE
DOUBLE WALL 304 S/S 
Coppering
Powder Coated
turquoise 7465c
3 LIDS(PP+PE+Silicone)</v>
          </cell>
          <cell r="E199" t="str">
            <v>=DISPIMG("ID_6198BE57A18F4658B0D6F2B9E8DFCA4E",1)</v>
          </cell>
          <cell r="F199" t="str">
            <v>水瓶</v>
          </cell>
          <cell r="G199" t="str">
            <v>1.17</v>
          </cell>
          <cell r="H199" t="str">
            <v>32.9</v>
          </cell>
          <cell r="I199" t="str">
            <v>13.2</v>
          </cell>
          <cell r="J199" t="str">
            <v>13.2</v>
          </cell>
          <cell r="K199">
            <v>0.005732496</v>
          </cell>
          <cell r="L199" t="str">
            <v>55 * 42 * 35</v>
          </cell>
          <cell r="M199">
            <v>13.8</v>
          </cell>
        </row>
        <row r="200">
          <cell r="A200" t="str">
            <v>B07CBJ454L</v>
          </cell>
          <cell r="B200" t="str">
            <v>PLT-GAO-GrdSfaTbl-Rctng</v>
          </cell>
          <cell r="C200" t="str">
            <v>硬木花园沙发桌</v>
          </cell>
          <cell r="D200" t="str">
            <v>Hardwood Garden Sofa Table Rectangle</v>
          </cell>
          <cell r="E200" t="str">
            <v>=DISPIMG("ID_D0F9B1B7816E4371B105FA8C3BF66361",1)</v>
          </cell>
          <cell r="F200" t="str">
            <v>桌椅</v>
          </cell>
          <cell r="G200">
            <v>7.2</v>
          </cell>
          <cell r="H200" t="str">
            <v>82.7</v>
          </cell>
          <cell r="I200">
            <v>40</v>
          </cell>
          <cell r="J200" t="str">
            <v>53.0</v>
          </cell>
          <cell r="K200">
            <v>0.175324</v>
          </cell>
          <cell r="L200" t="str">
            <v>53*83.5*40</v>
          </cell>
          <cell r="M200">
            <v>7.2</v>
          </cell>
        </row>
        <row r="201">
          <cell r="A201" t="str">
            <v>B07PF5BKNQ</v>
          </cell>
          <cell r="B201" t="str">
            <v>STB-BPC-RoRlr-100Ntrl</v>
          </cell>
          <cell r="C201" t="str">
            <v>玉石滚轮</v>
          </cell>
          <cell r="D201" t="str">
            <v>Rose Quartz Roller</v>
          </cell>
          <cell r="E201" t="str">
            <v>=DISPIMG("ID_35EF034C0A564A808F47C85A04E2B6BF",1)</v>
          </cell>
          <cell r="F201" t="str">
            <v>美容</v>
          </cell>
          <cell r="G201">
            <v>0.18</v>
          </cell>
          <cell r="H201">
            <v>19</v>
          </cell>
          <cell r="I201">
            <v>9</v>
          </cell>
          <cell r="J201">
            <v>4</v>
          </cell>
          <cell r="K201">
            <v>0.000684</v>
          </cell>
          <cell r="L201" t="str">
            <v>47*46*34</v>
          </cell>
          <cell r="M201">
            <v>12.08</v>
          </cell>
        </row>
        <row r="202">
          <cell r="A202" t="str">
            <v>B06Y5F3NGY</v>
          </cell>
          <cell r="B202" t="str">
            <v>CCF-KND-BkRkHlf-2pk</v>
          </cell>
          <cell r="C202" t="str">
            <v>烤架套装</v>
          </cell>
          <cell r="D202" t="str">
            <v>Stainless Steel Baking Rack 17x12" Half 2 Pack</v>
          </cell>
          <cell r="E202" t="str">
            <v>=DISPIMG("ID_3B883EBBE6BD49BBAC55229F1D754DFC",1)</v>
          </cell>
          <cell r="F202" t="str">
            <v>厨房用具</v>
          </cell>
          <cell r="G202">
            <v>0.807</v>
          </cell>
          <cell r="H202" t="str">
            <v>43.1</v>
          </cell>
          <cell r="I202">
            <v>30</v>
          </cell>
          <cell r="J202">
            <v>1.5</v>
          </cell>
          <cell r="K202">
            <v>0.0019395</v>
          </cell>
          <cell r="L202" t="str">
            <v>45*32*36</v>
          </cell>
          <cell r="M202">
            <v>14.526</v>
          </cell>
        </row>
        <row r="203">
          <cell r="A203" t="str">
            <v>B015P5XL8W</v>
          </cell>
          <cell r="B203" t="str">
            <v>HCO-HOK-Cork2</v>
          </cell>
          <cell r="C203" t="str">
            <v>翼形开瓶器</v>
          </cell>
          <cell r="D203" t="str">
            <v>Wing Corkscrew</v>
          </cell>
          <cell r="E203" t="str">
            <v>=DISPIMG("ID_A1335EF7D3DC4319AD4EE7025FA8EE3B",1)</v>
          </cell>
          <cell r="F203" t="str">
            <v>厨房用具</v>
          </cell>
          <cell r="G203">
            <v>0.6</v>
          </cell>
          <cell r="H203">
            <v>25</v>
          </cell>
          <cell r="I203">
            <v>14</v>
          </cell>
          <cell r="J203">
            <v>6</v>
          </cell>
          <cell r="K203">
            <v>0.0021</v>
          </cell>
          <cell r="L203" t="str">
            <v>58 * 29 * 25</v>
          </cell>
          <cell r="M203">
            <v>12.7</v>
          </cell>
        </row>
        <row r="204">
          <cell r="A204" t="str">
            <v>B018UYRXY8</v>
          </cell>
          <cell r="B204" t="str">
            <v>SDT-TOH-SPWDbC-Gy</v>
          </cell>
          <cell r="C204" t="str">
            <v>无线门铃</v>
          </cell>
          <cell r="D204" t="str">
            <v>Star Point Wireless Doorbell Model C Grey</v>
          </cell>
          <cell r="E204" t="str">
            <v>=DISPIMG("ID_5635EAAE6C124754ABB43E929D54B083",1)</v>
          </cell>
          <cell r="F204" t="str">
            <v>门铃</v>
          </cell>
          <cell r="G204">
            <v>0.2</v>
          </cell>
          <cell r="H204">
            <v>10</v>
          </cell>
          <cell r="I204">
            <v>9</v>
          </cell>
          <cell r="J204">
            <v>7</v>
          </cell>
          <cell r="K204">
            <v>0.00063</v>
          </cell>
          <cell r="L204" t="str">
            <v>47*39*23</v>
          </cell>
          <cell r="M204">
            <v>9.3</v>
          </cell>
        </row>
        <row r="205">
          <cell r="A205" t="str">
            <v>B07P1QML6X</v>
          </cell>
          <cell r="B205" t="str">
            <v>QGG-TOG-Flrt-Mnst</v>
          </cell>
          <cell r="C205" t="str">
            <v>充气草坪飞镖套装</v>
          </cell>
          <cell r="D205" t="str">
            <v>Flarts (Floor Darts) Set - Monster</v>
          </cell>
          <cell r="E205" t="str">
            <v>=DISPIMG("ID_C098BB7A5D3C4D988C18793E6D17479C",1)</v>
          </cell>
          <cell r="F205" t="str">
            <v>户外</v>
          </cell>
          <cell r="G205">
            <v>0.7</v>
          </cell>
          <cell r="H205">
            <v>28</v>
          </cell>
          <cell r="I205">
            <v>20.5</v>
          </cell>
          <cell r="J205">
            <v>5</v>
          </cell>
          <cell r="K205">
            <v>0.00287</v>
          </cell>
          <cell r="L205" t="str">
            <v>30*30*23</v>
          </cell>
          <cell r="M205">
            <v>4.5</v>
          </cell>
        </row>
        <row r="206">
          <cell r="A206" t="str">
            <v>B08563ZLF3</v>
          </cell>
          <cell r="B206" t="str">
            <v>YHG-HOK-EwChrsTreBg-9Grn</v>
          </cell>
          <cell r="C206" t="str">
            <v>圣诞树收纳袋</v>
          </cell>
          <cell r="D206" t="str">
            <v>STORAGE BAG</v>
          </cell>
          <cell r="E206" t="str">
            <v>=DISPIMG("ID_080BC5C44F374A6A9B89CB948A37F27B",1)</v>
          </cell>
          <cell r="F206" t="str">
            <v>圣诞</v>
          </cell>
          <cell r="G206" t="str">
            <v>2.080</v>
          </cell>
          <cell r="H206" t="str">
            <v>36.2</v>
          </cell>
          <cell r="I206" t="str">
            <v>9.8</v>
          </cell>
          <cell r="J206" t="str">
            <v>31.0</v>
          </cell>
          <cell r="K206">
            <v>0.01099756</v>
          </cell>
          <cell r="L206" t="str">
            <v>39 * 32 * 38</v>
          </cell>
          <cell r="M206">
            <v>13.5</v>
          </cell>
        </row>
        <row r="207">
          <cell r="A207" t="str">
            <v>B088QFYF4T</v>
          </cell>
          <cell r="B207" t="str">
            <v>PLT-GAO-FldFtStlCsn-ClNvy</v>
          </cell>
          <cell r="C207" t="str">
            <v>脚凳垫</v>
          </cell>
          <cell r="D207" t="str">
            <v>Footstool Cushion in Cool Navy</v>
          </cell>
          <cell r="E207" t="str">
            <v>=DISPIMG("ID_F136E86CBF5D4612826989BC4F394B0E",1)</v>
          </cell>
          <cell r="F207" t="str">
            <v>桌椅</v>
          </cell>
          <cell r="G207" t="str">
            <v>0.6</v>
          </cell>
          <cell r="H207">
            <v>50.5</v>
          </cell>
          <cell r="I207">
            <v>51</v>
          </cell>
          <cell r="J207">
            <v>6</v>
          </cell>
          <cell r="K207">
            <v>0.015453</v>
          </cell>
          <cell r="L207" t="str">
            <v>51*102*51.8</v>
          </cell>
          <cell r="M207">
            <v>14.4</v>
          </cell>
        </row>
        <row r="208">
          <cell r="A208" t="str">
            <v>B08DP5P435</v>
          </cell>
          <cell r="B208" t="str">
            <v>YHG-KND-StlWtrBtl-17Pywte2pk</v>
          </cell>
          <cell r="C208" t="str">
            <v>钢水瓶</v>
          </cell>
          <cell r="D208" t="str">
            <v>Stainless Steel Insulated Water Bottle 17oz Pearly White 2Pack</v>
          </cell>
          <cell r="E208" t="str">
            <v>=DISPIMG("ID_48A77FAE89AE484782BFA1C6E304289A",1)</v>
          </cell>
          <cell r="F208" t="str">
            <v>水瓶</v>
          </cell>
          <cell r="G208" t="str">
            <v>0.7</v>
          </cell>
          <cell r="H208">
            <v>28</v>
          </cell>
          <cell r="I208">
            <v>15.5</v>
          </cell>
          <cell r="J208">
            <v>8</v>
          </cell>
          <cell r="K208">
            <v>0.003472</v>
          </cell>
          <cell r="L208" t="str">
            <v>47 * 33 * 30</v>
          </cell>
          <cell r="M208">
            <v>8.9</v>
          </cell>
        </row>
        <row r="209">
          <cell r="A209" t="str">
            <v>B013AUKIQ2</v>
          </cell>
          <cell r="B209" t="str">
            <v>SDT-TOH-SPWDbCXR-Bw</v>
          </cell>
          <cell r="C209" t="str">
            <v>无线门铃</v>
          </cell>
          <cell r="D209" t="str">
            <v>Star Point Wireless Doorbell Model CXR Brown</v>
          </cell>
          <cell r="E209" t="str">
            <v>=DISPIMG("ID_12ABF903B8F049318AF82A1379AD449B",1)</v>
          </cell>
          <cell r="F209" t="str">
            <v>门铃</v>
          </cell>
          <cell r="G209">
            <v>0.3</v>
          </cell>
          <cell r="H209">
            <v>18</v>
          </cell>
          <cell r="I209">
            <v>9.6</v>
          </cell>
          <cell r="J209">
            <v>7.8</v>
          </cell>
          <cell r="K209">
            <v>0.00134784</v>
          </cell>
          <cell r="L209" t="str">
            <v>40.8*37.8*34</v>
          </cell>
          <cell r="M209">
            <v>9.84</v>
          </cell>
        </row>
        <row r="210">
          <cell r="A210" t="str">
            <v>B07RJTKL5W</v>
          </cell>
          <cell r="B210" t="str">
            <v>YHG-KND-StlWtrBtl-17Stl2pk</v>
          </cell>
          <cell r="C210" t="str">
            <v>钢水瓶</v>
          </cell>
          <cell r="D210" t="str">
            <v>FINEDINE Insulated Stainless Steel Water Bottle With Handle Clips Set of FD-S40</v>
          </cell>
          <cell r="E210" t="str">
            <v>=DISPIMG("ID_73D207E24FC045C386FF0F2D1DB0336A",1)</v>
          </cell>
          <cell r="F210" t="str">
            <v>水瓶</v>
          </cell>
          <cell r="G210" t="str">
            <v>0.7</v>
          </cell>
          <cell r="H210" t="str">
            <v>28.0</v>
          </cell>
          <cell r="I210" t="str">
            <v>16.0</v>
          </cell>
          <cell r="J210" t="str">
            <v>8.0</v>
          </cell>
          <cell r="K210">
            <v>0.003584</v>
          </cell>
          <cell r="L210" t="str">
            <v>47*32*29</v>
          </cell>
          <cell r="M210">
            <v>9</v>
          </cell>
        </row>
        <row r="211">
          <cell r="A211" t="str">
            <v>B07QTXSDWD</v>
          </cell>
          <cell r="B211" t="str">
            <v>PYP-PET-PwGrmRke</v>
          </cell>
          <cell r="C211" t="str">
            <v>底漆耙</v>
          </cell>
          <cell r="D211" t="str">
            <v>Pawradise Pet Grooming Rake</v>
          </cell>
          <cell r="E211" t="str">
            <v>=DISPIMG("ID_8E33E50AA38E48888CC26A4C109D3EA3",1)</v>
          </cell>
          <cell r="F211" t="str">
            <v>工具</v>
          </cell>
          <cell r="G211">
            <v>0.15</v>
          </cell>
          <cell r="H211">
            <v>24</v>
          </cell>
          <cell r="I211">
            <v>14</v>
          </cell>
          <cell r="J211">
            <v>3</v>
          </cell>
          <cell r="K211">
            <v>0.001008</v>
          </cell>
          <cell r="L211" t="str">
            <v>56*42*40</v>
          </cell>
          <cell r="M211">
            <v>16.5</v>
          </cell>
        </row>
        <row r="212">
          <cell r="A212" t="str">
            <v>B01078GH6A</v>
          </cell>
          <cell r="B212" t="str">
            <v>DAT-APA-GC1P-BS</v>
          </cell>
          <cell r="C212" t="str">
            <v>汽车垃圾桶</v>
          </cell>
          <cell r="D212" t="str">
            <v>Car Garbage Can by Drive Auto Products from The Drive Bin As Seen On TV Collection, Black Strap</v>
          </cell>
          <cell r="E212" t="str">
            <v>=DISPIMG("ID_356892EA19DD4251837E3E98B1E93B79",1)</v>
          </cell>
          <cell r="F212" t="str">
            <v>汽车</v>
          </cell>
          <cell r="G212" t="str">
            <v>0.340</v>
          </cell>
          <cell r="H212">
            <v>26</v>
          </cell>
          <cell r="I212">
            <v>24</v>
          </cell>
          <cell r="J212">
            <v>5</v>
          </cell>
          <cell r="K212">
            <v>0.00312</v>
          </cell>
          <cell r="L212" t="str">
            <v>49 * 40 * 46</v>
          </cell>
          <cell r="M212">
            <v>17</v>
          </cell>
        </row>
        <row r="213">
          <cell r="A213" t="str">
            <v>B01GM35TJU</v>
          </cell>
          <cell r="B213" t="str">
            <v>ULB-HOK-PPwPro2-K</v>
          </cell>
          <cell r="C213" t="str">
            <v>枕头保护套</v>
          </cell>
          <cell r="D213" t="str">
            <v>UltraPlush King Size Waterproof Pillow Protector - Dust Mite, Bed Bug Cover - Hypoallergenic - Zippered - Set of 2</v>
          </cell>
          <cell r="E213" t="str">
            <v>=DISPIMG("ID_A8F16309CFCC47D0AB8D60C2DFA07A86",1)</v>
          </cell>
          <cell r="F213" t="str">
            <v>床品</v>
          </cell>
          <cell r="G213">
            <v>0.4</v>
          </cell>
          <cell r="H213">
            <v>24.5</v>
          </cell>
          <cell r="I213">
            <v>23.5</v>
          </cell>
          <cell r="J213">
            <v>9</v>
          </cell>
          <cell r="K213">
            <v>0.00518175</v>
          </cell>
          <cell r="L213" t="str">
            <v>50*47*38</v>
          </cell>
          <cell r="M213">
            <v>10.7</v>
          </cell>
        </row>
        <row r="214">
          <cell r="A214" t="str">
            <v>B073V5RFJC</v>
          </cell>
          <cell r="B214" t="str">
            <v>PPC-OFP-ElPln-B</v>
          </cell>
          <cell r="C214" t="str">
            <v>每日计划</v>
          </cell>
          <cell r="D214" t="str">
            <v>Elephant Planner Black</v>
          </cell>
          <cell r="E214" t="str">
            <v>=DISPIMG("ID_619C286296314024BC250E61236A7767",1)</v>
          </cell>
          <cell r="F214" t="str">
            <v>办公</v>
          </cell>
          <cell r="G214">
            <v>0.5</v>
          </cell>
          <cell r="H214">
            <v>23</v>
          </cell>
          <cell r="I214">
            <v>17</v>
          </cell>
          <cell r="J214">
            <v>3</v>
          </cell>
          <cell r="K214">
            <v>0.001173</v>
          </cell>
          <cell r="L214" t="str">
            <v>52*35*25</v>
          </cell>
          <cell r="M214">
            <v>20</v>
          </cell>
        </row>
        <row r="215">
          <cell r="A215" t="str">
            <v>B0746QM77B</v>
          </cell>
          <cell r="B215" t="str">
            <v>NVT-KND-RvlMkr-SS</v>
          </cell>
          <cell r="C215" t="str">
            <v>馄饨机</v>
          </cell>
          <cell r="D215" t="str">
            <v>Ravioli Maker Attachment</v>
          </cell>
          <cell r="E215" t="str">
            <v>=DISPIMG("ID_84B178DB18C24C4C860D153FCFA7397F",1)</v>
          </cell>
          <cell r="F215" t="str">
            <v>厨房用具</v>
          </cell>
          <cell r="G215">
            <v>1.1</v>
          </cell>
          <cell r="H215">
            <v>17</v>
          </cell>
          <cell r="I215">
            <v>12</v>
          </cell>
          <cell r="J215" t="str">
            <v>12.4</v>
          </cell>
          <cell r="K215">
            <v>0.0025296</v>
          </cell>
          <cell r="L215" t="str">
            <v>45.7X45.7X30.5</v>
          </cell>
          <cell r="M215">
            <v>16</v>
          </cell>
        </row>
        <row r="216">
          <cell r="A216" t="str">
            <v>B07613TPVL</v>
          </cell>
          <cell r="B216" t="str">
            <v>BFR-SPO-OccBndProX-1Set</v>
          </cell>
          <cell r="C216" t="str">
            <v>遮挡带</v>
          </cell>
          <cell r="D216" t="str">
            <v>Occlusion Training Bands PRO X 1 Set</v>
          </cell>
          <cell r="E216" t="str">
            <v>=DISPIMG("ID_AECBF01B3FD7451CAE5BF3373B384687",1)</v>
          </cell>
          <cell r="F216" t="str">
            <v>健身</v>
          </cell>
          <cell r="G216">
            <v>0.2</v>
          </cell>
          <cell r="H216">
            <v>16</v>
          </cell>
          <cell r="I216">
            <v>14</v>
          </cell>
          <cell r="J216">
            <v>4</v>
          </cell>
          <cell r="K216">
            <v>0.000896</v>
          </cell>
          <cell r="L216" t="str">
            <v>40*31*30</v>
          </cell>
          <cell r="M216">
            <v>11</v>
          </cell>
        </row>
        <row r="217">
          <cell r="A217" t="str">
            <v>B09BDMJDW6</v>
          </cell>
          <cell r="B217" t="str">
            <v>FD-S4803-FBA</v>
          </cell>
          <cell r="C217" t="str">
            <v>钢水瓶</v>
          </cell>
          <cell r="D217" t="str">
            <v>40oz BOTTLE
DOUBLE WALL 304 S/S 
Coppering
Powder Coated
white
3 LIDS(PP+PE+Silicone)
100% leakproof 
can pass the paint adhesion testing
Keep Hot 8H&amp; Cold 10H
color Box</v>
          </cell>
          <cell r="E217" t="str">
            <v>=DISPIMG("ID_97EC3595883F4A11A0BCD3A44BC0C5ED",1)</v>
          </cell>
          <cell r="F217" t="str">
            <v>水瓶</v>
          </cell>
          <cell r="G217" t="str">
            <v>0.8</v>
          </cell>
          <cell r="H217">
            <v>39</v>
          </cell>
          <cell r="I217">
            <v>10</v>
          </cell>
          <cell r="J217">
            <v>10</v>
          </cell>
          <cell r="K217">
            <v>0.0039</v>
          </cell>
          <cell r="L217" t="str">
            <v>43 * 62 * 41</v>
          </cell>
          <cell r="M217">
            <v>18.1</v>
          </cell>
        </row>
        <row r="218">
          <cell r="A218" t="str">
            <v>B08DP61S8H</v>
          </cell>
          <cell r="B218" t="str">
            <v>YHG-KND-StlWtrBtl-17Frse2pk</v>
          </cell>
          <cell r="C218" t="str">
            <v>钢水瓶</v>
          </cell>
          <cell r="D218" t="str">
            <v>Stainless Steel Insulated Water Bottle 17oz White Marble 2Pack</v>
          </cell>
          <cell r="E218" t="str">
            <v>=DISPIMG("ID_CA4CD6E166F9414E98A5D9BAB22ED6D0",1)</v>
          </cell>
          <cell r="F218" t="str">
            <v>水瓶</v>
          </cell>
          <cell r="G218" t="str">
            <v>0.7</v>
          </cell>
          <cell r="H218">
            <v>28</v>
          </cell>
          <cell r="I218">
            <v>15</v>
          </cell>
          <cell r="J218">
            <v>7.5</v>
          </cell>
          <cell r="K218">
            <v>0.00315</v>
          </cell>
          <cell r="L218" t="str">
            <v>47 * 33 * 30</v>
          </cell>
          <cell r="M218">
            <v>8.9</v>
          </cell>
        </row>
        <row r="219">
          <cell r="A219" t="str">
            <v>B07ZJYD1H5</v>
          </cell>
          <cell r="B219" t="str">
            <v>YHG-HOK-OrnSrtgBx-3128Rdot1</v>
          </cell>
          <cell r="C219" t="str">
            <v>饰品收纳</v>
          </cell>
          <cell r="D219" t="str">
            <v>Large 128 PP Ornament 3" Box Clear Red trim</v>
          </cell>
          <cell r="E219" t="str">
            <v>=DISPIMG("ID_36ACA212D1154230AB4A771A2D76338E",1)</v>
          </cell>
          <cell r="F219" t="str">
            <v>圣诞</v>
          </cell>
          <cell r="G219">
            <v>2.04</v>
          </cell>
          <cell r="H219">
            <v>37</v>
          </cell>
          <cell r="I219">
            <v>34.4</v>
          </cell>
          <cell r="J219">
            <v>6.2</v>
          </cell>
          <cell r="K219">
            <v>0.00789136</v>
          </cell>
          <cell r="L219" t="str">
            <v>38*38*36.4</v>
          </cell>
          <cell r="M219">
            <v>13.06</v>
          </cell>
        </row>
        <row r="220">
          <cell r="A220" t="str">
            <v>B01MROTI43</v>
          </cell>
          <cell r="B220" t="str">
            <v>GTL-HOK-VlvtBthRg-20x32Gry</v>
          </cell>
          <cell r="C220" t="str">
            <v>浴室地毯</v>
          </cell>
          <cell r="D220" t="str">
            <v>Velvet Memory Bathroom Rug Grey</v>
          </cell>
          <cell r="E220" t="str">
            <v>=DISPIMG("ID_0F907CA97264408284DA462029A77044",1)</v>
          </cell>
          <cell r="F220" t="str">
            <v>脚垫</v>
          </cell>
          <cell r="G220" t="str">
            <v>0.7</v>
          </cell>
          <cell r="H220" t="str">
            <v>122.0</v>
          </cell>
          <cell r="I220" t="str">
            <v>43.1</v>
          </cell>
          <cell r="J220">
            <v>2</v>
          </cell>
          <cell r="K220">
            <v>0.0105164</v>
          </cell>
          <cell r="L220" t="str">
            <v>61x45x44</v>
          </cell>
          <cell r="M220">
            <v>12.5</v>
          </cell>
        </row>
        <row r="221">
          <cell r="A221" t="str">
            <v>B09BDK2DMJ</v>
          </cell>
          <cell r="B221" t="str">
            <v>FD-S4712-FBA</v>
          </cell>
          <cell r="C221" t="str">
            <v>钢水瓶</v>
          </cell>
          <cell r="D221" t="str">
            <v>32oz BOTTLE
DOUBLE WALL 304 S/S 
Coppering
water transfer print
wood
3 LIDS(PP+PE+Silicone)</v>
          </cell>
          <cell r="E221" t="str">
            <v>=DISPIMG("ID_D3ED0E3DC6ED48D9A37119601BA0F25D",1)</v>
          </cell>
          <cell r="F221" t="str">
            <v>水瓶</v>
          </cell>
          <cell r="G221" t="str">
            <v>0.681</v>
          </cell>
          <cell r="H221" t="str">
            <v>34.9</v>
          </cell>
          <cell r="I221" t="str">
            <v>10.1</v>
          </cell>
          <cell r="J221" t="str">
            <v>10.3</v>
          </cell>
          <cell r="K221">
            <v>0.003630647</v>
          </cell>
          <cell r="L221" t="str">
            <v>61*42*37</v>
          </cell>
          <cell r="M221">
            <v>16.3</v>
          </cell>
        </row>
        <row r="222">
          <cell r="A222" t="str">
            <v>B08GBDVFHX</v>
          </cell>
          <cell r="B222" t="str">
            <v>STB-BPC-JdRlr-GSS</v>
          </cell>
          <cell r="C222" t="str">
            <v>玉石滚轮</v>
          </cell>
          <cell r="D222" t="str">
            <v>Sdara Gua Sha Stone and Jade Roller Set</v>
          </cell>
          <cell r="E222" t="str">
            <v>=DISPIMG("ID_46E27E9837D54C6D9C3E55180AB18AB7",1)</v>
          </cell>
          <cell r="F222" t="str">
            <v>美容</v>
          </cell>
          <cell r="G222">
            <v>0.25</v>
          </cell>
          <cell r="H222">
            <v>18</v>
          </cell>
          <cell r="I222">
            <v>12</v>
          </cell>
          <cell r="J222">
            <v>3.4</v>
          </cell>
          <cell r="K222">
            <v>0.0007344</v>
          </cell>
          <cell r="L222" t="str">
            <v>52.8*32.8*29.6</v>
          </cell>
          <cell r="M222">
            <v>14.2</v>
          </cell>
        </row>
        <row r="223">
          <cell r="A223" t="str">
            <v>B08B1VQB39</v>
          </cell>
          <cell r="B223" t="str">
            <v>YHG-SPO-StlWtrBtlSld-Bmbl25</v>
          </cell>
          <cell r="C223" t="str">
            <v>钢水瓶</v>
          </cell>
          <cell r="D223" t="str">
            <v>Stainless Steel Insulated Water Bottle Straw Lid Blue Marble 2oz</v>
          </cell>
          <cell r="E223" t="str">
            <v>=DISPIMG("ID_7AD33A6FCDAE43B19345E84F2075FFEB",1)</v>
          </cell>
          <cell r="F223" t="str">
            <v>水瓶</v>
          </cell>
          <cell r="G223">
            <v>0.6</v>
          </cell>
          <cell r="H223">
            <v>35</v>
          </cell>
          <cell r="I223">
            <v>10</v>
          </cell>
          <cell r="J223">
            <v>10</v>
          </cell>
          <cell r="K223">
            <v>0.0035</v>
          </cell>
          <cell r="L223" t="str">
            <v>58*40*38</v>
          </cell>
          <cell r="M223">
            <v>14.5</v>
          </cell>
        </row>
        <row r="224">
          <cell r="A224">
            <v>0</v>
          </cell>
          <cell r="B224" t="str">
            <v>EO-3KXR-O5L5</v>
          </cell>
          <cell r="C224" t="e">
            <v>#N/A</v>
          </cell>
          <cell r="D224" t="e">
            <v>#N/A</v>
          </cell>
          <cell r="E224" t="e">
            <v>#N/A</v>
          </cell>
        </row>
        <row r="224">
          <cell r="G224" t="str">
            <v>1.05</v>
          </cell>
          <cell r="H224">
            <v>22</v>
          </cell>
          <cell r="I224">
            <v>20</v>
          </cell>
          <cell r="J224">
            <v>9.5</v>
          </cell>
          <cell r="K224">
            <v>0.00418</v>
          </cell>
          <cell r="L224" t="str">
            <v>36*46*38</v>
          </cell>
          <cell r="M224">
            <v>22.1</v>
          </cell>
        </row>
        <row r="225">
          <cell r="A225" t="str">
            <v>B0B2JGFLBG</v>
          </cell>
          <cell r="B225" t="str">
            <v>YHG-HOK-FD-SC104</v>
          </cell>
          <cell r="C225" t="str">
            <v>硅胶烘焙垫</v>
          </cell>
          <cell r="D225" t="str">
            <v>Fine Dine-Silicone baking mat set of 2-gray</v>
          </cell>
          <cell r="E225" t="str">
            <v>=DISPIMG("ID_6FD6B721D1644C11B4D6678FAA935B74",1)</v>
          </cell>
          <cell r="F225" t="str">
            <v>厨房用具</v>
          </cell>
          <cell r="G225" t="str">
            <v>0.300</v>
          </cell>
          <cell r="H225">
            <v>33</v>
          </cell>
          <cell r="I225">
            <v>5</v>
          </cell>
          <cell r="J225">
            <v>5</v>
          </cell>
          <cell r="K225">
            <v>0.000825</v>
          </cell>
          <cell r="L225" t="str">
            <v>53 * 29 * 36</v>
          </cell>
          <cell r="M225">
            <v>14.5</v>
          </cell>
        </row>
        <row r="226">
          <cell r="A226" t="str">
            <v>B01G36ACAW</v>
          </cell>
          <cell r="B226" t="str">
            <v>NVT-KND-WnOpn-000</v>
          </cell>
          <cell r="C226" t="str">
            <v>红酒开瓶器套装</v>
          </cell>
          <cell r="D226" t="str">
            <v>Wine Opener</v>
          </cell>
          <cell r="E226" t="str">
            <v>=DISPIMG("ID_D007356CD98D46258059B6B9BF2BCCCB",1)</v>
          </cell>
          <cell r="F226" t="str">
            <v>厨房用具</v>
          </cell>
          <cell r="G226" t="str">
            <v>0.815</v>
          </cell>
          <cell r="H226">
            <v>22.8</v>
          </cell>
          <cell r="I226">
            <v>19.4</v>
          </cell>
          <cell r="J226">
            <v>5.6</v>
          </cell>
          <cell r="K226">
            <v>0.002476992</v>
          </cell>
          <cell r="L226" t="str">
            <v>47*46*32</v>
          </cell>
          <cell r="M226">
            <v>16.7</v>
          </cell>
        </row>
        <row r="227">
          <cell r="A227" t="str">
            <v>B00KFM69YO</v>
          </cell>
          <cell r="B227" t="str">
            <v>SDT-TOH-SPWDbC-Bu</v>
          </cell>
          <cell r="C227" t="str">
            <v>无线门铃</v>
          </cell>
          <cell r="D227" t="str">
            <v>Star Point Wireless Doorbell Model C Blue</v>
          </cell>
          <cell r="E227" t="str">
            <v>=DISPIMG("ID_5FB42A1C5C1148A2B5E342C8B69CC692",1)</v>
          </cell>
          <cell r="F227" t="str">
            <v>门铃</v>
          </cell>
          <cell r="G227">
            <v>0.2</v>
          </cell>
          <cell r="H227">
            <v>10</v>
          </cell>
          <cell r="I227">
            <v>9</v>
          </cell>
          <cell r="J227">
            <v>7</v>
          </cell>
          <cell r="K227">
            <v>0.00063</v>
          </cell>
          <cell r="L227" t="str">
            <v>47*39*23</v>
          </cell>
          <cell r="M227">
            <v>9.3</v>
          </cell>
        </row>
        <row r="228">
          <cell r="A228" t="str">
            <v>B09BDKZ8K9</v>
          </cell>
          <cell r="B228" t="str">
            <v>FD-S4706-FBA</v>
          </cell>
          <cell r="C228" t="str">
            <v>钢水瓶</v>
          </cell>
          <cell r="D228" t="str">
            <v>32oz BOTTLE
DOUBLE WALL 304 S/S 
Coppering
Powder Coated
turquoise 7465c</v>
          </cell>
          <cell r="E228" t="str">
            <v>=DISPIMG("ID_FFE58FE3E2D84659939A98D3DBD61313",1)</v>
          </cell>
          <cell r="F228" t="str">
            <v>水瓶</v>
          </cell>
          <cell r="G228" t="str">
            <v>0.681</v>
          </cell>
          <cell r="H228" t="str">
            <v>34.9</v>
          </cell>
          <cell r="I228" t="str">
            <v>10.0</v>
          </cell>
          <cell r="J228" t="str">
            <v>10.2</v>
          </cell>
          <cell r="K228">
            <v>0.0035598</v>
          </cell>
          <cell r="L228" t="str">
            <v>61*42*37</v>
          </cell>
          <cell r="M228">
            <v>16.3</v>
          </cell>
        </row>
        <row r="229">
          <cell r="A229" t="str">
            <v>B09BDKB2P1</v>
          </cell>
          <cell r="B229" t="str">
            <v>FD-S4903-FBA</v>
          </cell>
          <cell r="C229" t="str">
            <v>钢水瓶</v>
          </cell>
          <cell r="D229" t="str">
            <v>64oz BOTTLE
DOUBLE WALL 304 S/S 
Coppering
Powder Coated
white
3 LIDS(PP+PE+Silicone)
100% leakproof 
can pass the paint adhesion testing
Keep Hot 8H&amp; Cold 10H
color Box</v>
          </cell>
          <cell r="E229" t="str">
            <v>=DISPIMG("ID_A8069AD59C4E45548B787B954B8DD1BC",1)</v>
          </cell>
          <cell r="F229" t="str">
            <v>水瓶</v>
          </cell>
          <cell r="G229" t="str">
            <v>1.1</v>
          </cell>
          <cell r="H229">
            <v>33</v>
          </cell>
          <cell r="I229">
            <v>13</v>
          </cell>
          <cell r="J229">
            <v>13</v>
          </cell>
          <cell r="K229">
            <v>0.005577</v>
          </cell>
          <cell r="L229" t="str">
            <v>55 * 42 * 35</v>
          </cell>
          <cell r="M229">
            <v>13.9</v>
          </cell>
        </row>
        <row r="230">
          <cell r="A230" t="str">
            <v>B00CFXH4S6</v>
          </cell>
          <cell r="B230" t="str">
            <v>ANX-MUT-Mic-6InBk</v>
          </cell>
          <cell r="C230" t="str">
            <v>麦克风防喷罩</v>
          </cell>
          <cell r="D230" t="str">
            <v>Microphone Pop Filter 6 inch (MPF-1) Black</v>
          </cell>
          <cell r="E230" t="str">
            <v>=DISPIMG("ID_82BE31FFA66E41CA8B0A96D77C1D40A2",1)</v>
          </cell>
          <cell r="F230" t="str">
            <v>工具</v>
          </cell>
          <cell r="G230">
            <v>0.3</v>
          </cell>
          <cell r="H230">
            <v>37</v>
          </cell>
          <cell r="I230">
            <v>19</v>
          </cell>
          <cell r="J230">
            <v>4</v>
          </cell>
          <cell r="K230">
            <v>0.002812</v>
          </cell>
          <cell r="L230" t="str">
            <v>60 * 39 * 40</v>
          </cell>
          <cell r="M230">
            <v>16</v>
          </cell>
        </row>
        <row r="231">
          <cell r="A231" t="str">
            <v>B08BT5HW4P</v>
          </cell>
          <cell r="B231" t="str">
            <v>YHG-HOK-ChrsTreGrldBg3-Red</v>
          </cell>
          <cell r="C231" t="str">
            <v>圣诞树收纳袋</v>
          </cell>
          <cell r="D231" t="str">
            <v>STORAGE BAG</v>
          </cell>
          <cell r="E231" t="str">
            <v>=DISPIMG("ID_C88147E48A2C446AAE1B4C536A99C339",1)</v>
          </cell>
          <cell r="F231" t="str">
            <v>圣诞</v>
          </cell>
          <cell r="G231">
            <v>1</v>
          </cell>
          <cell r="H231">
            <v>29</v>
          </cell>
          <cell r="I231">
            <v>22</v>
          </cell>
          <cell r="J231">
            <v>8</v>
          </cell>
          <cell r="K231">
            <v>0.005104</v>
          </cell>
          <cell r="L231" t="str">
            <v>46*40*30</v>
          </cell>
          <cell r="M231">
            <v>12</v>
          </cell>
        </row>
        <row r="232">
          <cell r="A232" t="str">
            <v>B000RMQM4E</v>
          </cell>
          <cell r="B232" t="str">
            <v>GLS-ETC-CabMic-Blk50ft2pk</v>
          </cell>
          <cell r="C232" t="str">
            <v>麦克风 XLR 电缆</v>
          </cell>
          <cell r="D232" t="str">
            <v>Cable Mic 50ft XLR M-XLR FM Black 2Pack</v>
          </cell>
          <cell r="E232" t="str">
            <v>=DISPIMG("ID_44A9498600AF40769F6C82240792D9E2",1)</v>
          </cell>
          <cell r="F232" t="str">
            <v>工具</v>
          </cell>
          <cell r="G232">
            <v>1.5</v>
          </cell>
          <cell r="H232">
            <v>31</v>
          </cell>
          <cell r="I232">
            <v>25</v>
          </cell>
          <cell r="J232">
            <v>6</v>
          </cell>
          <cell r="K232">
            <v>0.00465</v>
          </cell>
          <cell r="L232" t="str">
            <v>39 * 34 * 28</v>
          </cell>
          <cell r="M232">
            <v>16.1</v>
          </cell>
        </row>
        <row r="233">
          <cell r="A233" t="str">
            <v>B081GZSM4T</v>
          </cell>
          <cell r="B233" t="str">
            <v>LAA-SAO-AthGs-6prClrS36Mnth</v>
          </cell>
          <cell r="C233" t="str">
            <v>抓地力小腿袜</v>
          </cell>
          <cell r="D233" t="str">
            <v>Athletic Crew Grip Socks 6 Pairs Color Splash, 12-36 Months</v>
          </cell>
          <cell r="E233" t="str">
            <v>=DISPIMG("ID_8CCF99AD652B4888BEC09B24134B6A9D",1)</v>
          </cell>
          <cell r="F233" t="str">
            <v>衣物</v>
          </cell>
          <cell r="G233">
            <v>0.15</v>
          </cell>
          <cell r="H233">
            <v>14</v>
          </cell>
          <cell r="I233">
            <v>12</v>
          </cell>
          <cell r="J233">
            <v>7</v>
          </cell>
          <cell r="K233">
            <v>0.001176</v>
          </cell>
          <cell r="L233" t="str">
            <v>55*45*43</v>
          </cell>
          <cell r="M233">
            <v>15.6</v>
          </cell>
        </row>
        <row r="234">
          <cell r="A234" t="str">
            <v>B08LY68KZS</v>
          </cell>
          <cell r="B234" t="str">
            <v>YHG-KND-GlsOlDspnsr-2pk</v>
          </cell>
          <cell r="C234" t="str">
            <v>加油机</v>
          </cell>
          <cell r="D234" t="str">
            <v>Finedine-17oz clear oilves oil bottle with scale line pack of 2FD-G20 /2with spouts</v>
          </cell>
          <cell r="E234" t="str">
            <v>=DISPIMG("ID_1FC74801A3EA413195B36B074ECF3E10",1)</v>
          </cell>
          <cell r="F234" t="str">
            <v>厨房用具</v>
          </cell>
          <cell r="G234" t="str">
            <v>1.100</v>
          </cell>
          <cell r="H234">
            <v>30</v>
          </cell>
          <cell r="I234">
            <v>16</v>
          </cell>
          <cell r="J234">
            <v>8</v>
          </cell>
          <cell r="K234">
            <v>0.00384</v>
          </cell>
          <cell r="L234" t="str">
            <v>33 * 52 * 32</v>
          </cell>
          <cell r="M234">
            <v>13.2</v>
          </cell>
        </row>
        <row r="235">
          <cell r="A235" t="str">
            <v>B09BDKXPFZ</v>
          </cell>
          <cell r="B235" t="str">
            <v>FD-S4717-FBA</v>
          </cell>
          <cell r="C235" t="str">
            <v>钢水瓶</v>
          </cell>
          <cell r="D235" t="str">
            <v>32oz BOTTLE
DOUBLE WALL 304 S/S 
Coppering
2 color Powder Coated
black&amp;white(new color)
3 LIDS(PP+PE+Silicone)</v>
          </cell>
          <cell r="E235" t="str">
            <v>=DISPIMG("ID_7ED040583424419193733CDC56CF2A08",1)</v>
          </cell>
          <cell r="F235" t="str">
            <v>水瓶</v>
          </cell>
          <cell r="G235" t="str">
            <v>0.681</v>
          </cell>
          <cell r="H235" t="str">
            <v>34.7</v>
          </cell>
          <cell r="I235" t="str">
            <v>10.1</v>
          </cell>
          <cell r="J235" t="str">
            <v>10.4</v>
          </cell>
          <cell r="K235">
            <v>0.003644888</v>
          </cell>
          <cell r="L235" t="str">
            <v>61*42*37</v>
          </cell>
          <cell r="M235">
            <v>16.3</v>
          </cell>
        </row>
        <row r="236">
          <cell r="A236" t="str">
            <v>B01KKNJN4K</v>
          </cell>
          <cell r="B236" t="str">
            <v>YHG-HOK-RctChrsTreBg-9Grn</v>
          </cell>
          <cell r="C236" t="str">
            <v>圣诞树收纳袋</v>
          </cell>
          <cell r="D236" t="str">
            <v>ZOBER Green Tree Storage Bag ZCP-10 grn  1294</v>
          </cell>
          <cell r="E236" t="str">
            <v>=DISPIMG("ID_E02F025A625041D2B2ED178A67EE0651",1)</v>
          </cell>
          <cell r="F236" t="str">
            <v>圣诞</v>
          </cell>
          <cell r="G236">
            <v>0.5</v>
          </cell>
          <cell r="H236">
            <v>27</v>
          </cell>
          <cell r="I236">
            <v>21</v>
          </cell>
          <cell r="J236">
            <v>4</v>
          </cell>
          <cell r="K236">
            <v>0.002268</v>
          </cell>
          <cell r="L236" t="str">
            <v>43 * 28 * 42</v>
          </cell>
          <cell r="M236">
            <v>12.2</v>
          </cell>
        </row>
        <row r="237">
          <cell r="A237" t="str">
            <v>B08DP6BVLJ</v>
          </cell>
          <cell r="B237" t="str">
            <v>YHG-SPO-StlWtrBtl-17Bmbl2pk</v>
          </cell>
          <cell r="C237" t="str">
            <v>钢水瓶</v>
          </cell>
          <cell r="D237" t="str">
            <v>Stainless Steel Insulated Water Bottle 17oz Blue Marble 2Pack</v>
          </cell>
          <cell r="E237" t="str">
            <v>=DISPIMG("ID_B53193A19E4D474B8996AEEC894CBFC6",1)</v>
          </cell>
          <cell r="F237" t="str">
            <v>水瓶</v>
          </cell>
          <cell r="G237" t="str">
            <v>0.75</v>
          </cell>
          <cell r="H237" t="str">
            <v>27.7</v>
          </cell>
          <cell r="I237" t="str">
            <v>7.6</v>
          </cell>
          <cell r="J237" t="str">
            <v>15.3</v>
          </cell>
          <cell r="K237">
            <v>0.003220956</v>
          </cell>
          <cell r="L237" t="str">
            <v>47 * 33 * 30</v>
          </cell>
          <cell r="M237">
            <v>8.9</v>
          </cell>
        </row>
        <row r="238">
          <cell r="A238" t="str">
            <v>B07B6NL89S</v>
          </cell>
          <cell r="B238" t="str">
            <v>ESP-SPO-Bowling</v>
          </cell>
          <cell r="C238" t="str">
            <v>桌面游戏</v>
          </cell>
          <cell r="D238" t="str">
            <v>Bowling Game</v>
          </cell>
          <cell r="E238" t="str">
            <v>=DISPIMG("ID_01C826D1D79B40318DD9DE59F20738E7",1)</v>
          </cell>
          <cell r="F238" t="str">
            <v>户外</v>
          </cell>
          <cell r="G238" t="str">
            <v>0.470</v>
          </cell>
          <cell r="H238" t="str">
            <v>36.3</v>
          </cell>
          <cell r="I238" t="str">
            <v>7.3</v>
          </cell>
          <cell r="J238" t="str">
            <v>7.3</v>
          </cell>
          <cell r="K238">
            <v>0.001934427</v>
          </cell>
          <cell r="L238" t="str">
            <v>46*47*60</v>
          </cell>
        </row>
        <row r="239">
          <cell r="A239" t="str">
            <v>B01GEXE74Q</v>
          </cell>
          <cell r="B239" t="str">
            <v>FLX-HHB-BBPCo-L</v>
          </cell>
          <cell r="C239" t="str">
            <v>背撑</v>
          </cell>
          <cell r="D239" t="str">
            <v>Back Brace Posture Corrector Large</v>
          </cell>
          <cell r="E239" t="str">
            <v>=DISPIMG("ID_DBC6B3EC1DC1438F8349D3ABC0E48152",1)</v>
          </cell>
          <cell r="F239" t="str">
            <v>健身</v>
          </cell>
          <cell r="G239">
            <v>0.3</v>
          </cell>
          <cell r="H239">
            <v>24.5</v>
          </cell>
          <cell r="I239">
            <v>18</v>
          </cell>
          <cell r="J239">
            <v>7.5</v>
          </cell>
          <cell r="K239">
            <v>0.0033075</v>
          </cell>
          <cell r="L239" t="str">
            <v>60*38*39</v>
          </cell>
          <cell r="M239">
            <v>18.8</v>
          </cell>
        </row>
        <row r="240">
          <cell r="A240" t="str">
            <v>B01MSQWPG2</v>
          </cell>
          <cell r="B240" t="str">
            <v>PT/LOFT</v>
          </cell>
          <cell r="C240" t="str">
            <v>植物支架</v>
          </cell>
          <cell r="D240" t="str">
            <v>Plant Theatre Sparrow Loft - 3 Bird Nesting Terrace - Perfect Garden Gift</v>
          </cell>
          <cell r="E240" t="str">
            <v>=DISPIMG("ID_7BD880F1345E43358A4BEA66B9EAB88F",1)</v>
          </cell>
          <cell r="F240" t="str">
            <v>园艺</v>
          </cell>
          <cell r="G240">
            <v>2</v>
          </cell>
          <cell r="H240">
            <v>43</v>
          </cell>
          <cell r="I240">
            <v>18.5</v>
          </cell>
          <cell r="J240" t="str">
            <v>18.5</v>
          </cell>
          <cell r="K240">
            <v>0.01471675</v>
          </cell>
          <cell r="L240" t="str">
            <v>56.5*46*48</v>
          </cell>
          <cell r="M240">
            <v>13.2</v>
          </cell>
        </row>
        <row r="241">
          <cell r="A241" t="str">
            <v>B08CNNMGXB</v>
          </cell>
          <cell r="B241" t="str">
            <v>YHG-HOK-EwChrsTreBg-9Blk</v>
          </cell>
          <cell r="C241" t="str">
            <v>圣诞树收纳袋</v>
          </cell>
          <cell r="D241" t="str">
            <v>STORAGE BAG</v>
          </cell>
          <cell r="E241" t="str">
            <v>=DISPIMG("ID_74A079D18F3B4EECBA8A2A0D9C25D17F",1)</v>
          </cell>
          <cell r="F241" t="str">
            <v>圣诞</v>
          </cell>
          <cell r="G241">
            <v>2.2</v>
          </cell>
          <cell r="H241">
            <v>37</v>
          </cell>
          <cell r="I241">
            <v>30</v>
          </cell>
          <cell r="J241">
            <v>7</v>
          </cell>
          <cell r="K241">
            <v>0.00777</v>
          </cell>
          <cell r="L241" t="str">
            <v>39 * 32 * 38</v>
          </cell>
          <cell r="M241">
            <v>13.5</v>
          </cell>
        </row>
        <row r="242">
          <cell r="A242" t="str">
            <v>B07YCWKFFV</v>
          </cell>
          <cell r="B242" t="str">
            <v>YHG-HOK-UbedOrnSrtgBx-364Grn</v>
          </cell>
          <cell r="C242" t="str">
            <v>饰品收纳</v>
          </cell>
          <cell r="D242" t="str">
            <v>ZOBER Underbed Christmas Ornament Storage Box Zippered Closure Stores up to 64 of The 3-inch Standard Christmas OrnaMens, and Xmas Holiday Accessories Storage Container with Dividers Two Handles</v>
          </cell>
          <cell r="E242" t="str">
            <v>=DISPIMG("ID_41DFE4068D60489F91AE92D710DE1FBA",1)</v>
          </cell>
          <cell r="F242" t="str">
            <v>圣诞</v>
          </cell>
          <cell r="G242" t="str">
            <v>1.700</v>
          </cell>
          <cell r="H242">
            <v>33</v>
          </cell>
          <cell r="I242">
            <v>33</v>
          </cell>
          <cell r="J242">
            <v>5</v>
          </cell>
          <cell r="K242">
            <v>0.005445</v>
          </cell>
          <cell r="L242" t="str">
            <v>30 * 36 * 35</v>
          </cell>
          <cell r="M242">
            <v>10.1</v>
          </cell>
        </row>
        <row r="243">
          <cell r="A243" t="str">
            <v>B01DIKFVDE</v>
          </cell>
          <cell r="B243" t="str">
            <v>ELS-SPO-CkBag-BLU-UK</v>
          </cell>
          <cell r="C243" t="str">
            <v>双球防漏镁粉袋套装</v>
          </cell>
          <cell r="D243" t="str">
            <v>Chalk Ball Set Blue</v>
          </cell>
          <cell r="E243" t="str">
            <v>=DISPIMG("ID_841EDDBB2EA945C08F51DC80FFEA4C5A",1)</v>
          </cell>
          <cell r="F243" t="str">
            <v>健身</v>
          </cell>
          <cell r="G243" t="str">
            <v>0.4</v>
          </cell>
          <cell r="H243">
            <v>22.2</v>
          </cell>
          <cell r="I243">
            <v>12.5</v>
          </cell>
          <cell r="J243">
            <v>12</v>
          </cell>
          <cell r="K243">
            <v>0.00333</v>
          </cell>
          <cell r="L243" t="str">
            <v>53.5*48*54</v>
          </cell>
          <cell r="M243">
            <v>12.3</v>
          </cell>
        </row>
        <row r="244">
          <cell r="A244" t="str">
            <v>B01N327DU1</v>
          </cell>
          <cell r="B244" t="str">
            <v>MDK-BPC-DBdPad-30pk</v>
          </cell>
          <cell r="C244" t="str">
            <v>一次性床垫</v>
          </cell>
          <cell r="D244" t="str">
            <v>HappyNites Disposable Bed Pads - 30 Pack</v>
          </cell>
          <cell r="E244" t="str">
            <v>=DISPIMG("ID_7B45FE979F0F46ACA21F7B3C61E8558E",1)</v>
          </cell>
          <cell r="F244" t="str">
            <v>床品</v>
          </cell>
          <cell r="G244" t="str">
            <v>1.9</v>
          </cell>
          <cell r="H244">
            <v>30.2</v>
          </cell>
          <cell r="I244">
            <v>25.1</v>
          </cell>
          <cell r="J244">
            <v>20</v>
          </cell>
          <cell r="K244">
            <v>0.0151604</v>
          </cell>
          <cell r="L244" t="str">
            <v>60*41.2*31.4</v>
          </cell>
          <cell r="M244">
            <v>11.46</v>
          </cell>
        </row>
        <row r="245">
          <cell r="A245" t="str">
            <v>B07QSXHZPF</v>
          </cell>
          <cell r="B245" t="str">
            <v>YHG-HOK-WrpOrg-Red</v>
          </cell>
          <cell r="C245" t="str">
            <v>包装储存</v>
          </cell>
          <cell r="D245" t="str">
            <v>ZOBER Underbed Gift Wrap Organizer, Interior Pockets, fits 18-2 Standard Rolls, Underbed Storage</v>
          </cell>
          <cell r="E245" t="str">
            <v>=DISPIMG("ID_C66C42214E464187A6833FEA34300192",1)</v>
          </cell>
          <cell r="F245" t="str">
            <v>圣诞</v>
          </cell>
          <cell r="G245">
            <v>0.35</v>
          </cell>
          <cell r="H245">
            <v>21</v>
          </cell>
          <cell r="I245">
            <v>20</v>
          </cell>
          <cell r="J245">
            <v>7</v>
          </cell>
          <cell r="K245">
            <v>0.00294</v>
          </cell>
          <cell r="L245" t="str">
            <v>41*40*32</v>
          </cell>
          <cell r="M245">
            <v>9</v>
          </cell>
        </row>
        <row r="246">
          <cell r="A246" t="str">
            <v>B07H5M5R96</v>
          </cell>
          <cell r="B246" t="str">
            <v>QLT-HOK-WB6080F15LB-AQU</v>
          </cell>
          <cell r="C246" t="str">
            <v>加重毯子和被套</v>
          </cell>
          <cell r="D246" t="str">
            <v>Weighted Blanket- 15 lbs - 60"x80" Full Size Bed, Aqua</v>
          </cell>
          <cell r="E246" t="str">
            <v>=DISPIMG("ID_C68858CEA3B1465B960A0E782E370305",1)</v>
          </cell>
          <cell r="F246" t="str">
            <v>床品</v>
          </cell>
          <cell r="G246" t="str">
            <v>6.75</v>
          </cell>
          <cell r="H246">
            <v>50</v>
          </cell>
          <cell r="I246">
            <v>39</v>
          </cell>
          <cell r="J246">
            <v>24</v>
          </cell>
          <cell r="K246">
            <v>0.0468</v>
          </cell>
          <cell r="L246" t="str">
            <v>50*41*29</v>
          </cell>
          <cell r="M246">
            <v>20</v>
          </cell>
        </row>
        <row r="247">
          <cell r="A247" t="str">
            <v>B01MTRZ0SB</v>
          </cell>
          <cell r="B247" t="str">
            <v>GTL-HOK-VlvtBthRg-22x36Gry</v>
          </cell>
          <cell r="C247" t="str">
            <v>天鹅绒记忆浴室地毯</v>
          </cell>
          <cell r="D247" t="str">
            <v>VELVET MEMORY BATHROOM RUG</v>
          </cell>
          <cell r="E247" t="str">
            <v>=DISPIMG("ID_33F8A8C7F5C74B2998493D97CCA64519",1)</v>
          </cell>
          <cell r="F247" t="str">
            <v>脚垫</v>
          </cell>
          <cell r="G247" t="str">
            <v>0.68</v>
          </cell>
          <cell r="H247">
            <v>27</v>
          </cell>
          <cell r="I247">
            <v>29.5</v>
          </cell>
          <cell r="J247">
            <v>13</v>
          </cell>
          <cell r="K247">
            <v>0.0103545</v>
          </cell>
          <cell r="L247" t="str">
            <v>61.5*58*55</v>
          </cell>
          <cell r="M247">
            <v>11</v>
          </cell>
        </row>
        <row r="248">
          <cell r="A248" t="str">
            <v>B009Y7C2FG</v>
          </cell>
          <cell r="B248" t="str">
            <v>PT/POTMAKER/SET</v>
          </cell>
          <cell r="C248" t="str">
            <v>纸盆机及配件礼品套装</v>
          </cell>
          <cell r="D248" t="str">
            <v>Paper Pot Maker &amp; Accessories Gift Set - Great Gardeners Gift</v>
          </cell>
          <cell r="E248" t="str">
            <v>=DISPIMG("ID_B606889F28774CDD92D9FF0B89079954",1)</v>
          </cell>
        </row>
        <row r="248">
          <cell r="G248" t="str">
            <v>0.290</v>
          </cell>
          <cell r="H248" t="str">
            <v>14.8</v>
          </cell>
          <cell r="I248" t="str">
            <v>5.8</v>
          </cell>
          <cell r="J248" t="str">
            <v>11.6</v>
          </cell>
          <cell r="K248">
            <v>0.000995744</v>
          </cell>
          <cell r="L248" t="str">
            <v>37*16*37</v>
          </cell>
          <cell r="M248">
            <v>5.6</v>
          </cell>
        </row>
        <row r="249">
          <cell r="A249" t="str">
            <v>B07PLM6W2J</v>
          </cell>
          <cell r="B249" t="str">
            <v>MDK-BPC-DBdPad-72pk</v>
          </cell>
          <cell r="C249" t="str">
            <v>成人护垫</v>
          </cell>
          <cell r="D249" t="str">
            <v>Medokare Disposable Bed Pads - 72 pack</v>
          </cell>
          <cell r="E249" t="str">
            <v>=DISPIMG("ID_630551CCDD1841359FB34394DE067468",1)</v>
          </cell>
          <cell r="F249" t="str">
            <v>床品</v>
          </cell>
          <cell r="G249">
            <v>2.64</v>
          </cell>
          <cell r="H249">
            <v>30</v>
          </cell>
          <cell r="I249">
            <v>29.8</v>
          </cell>
          <cell r="J249">
            <v>19.4</v>
          </cell>
          <cell r="K249">
            <v>0.0173436</v>
          </cell>
          <cell r="L249" t="str">
            <v>60*41.2*31.4</v>
          </cell>
          <cell r="M249">
            <v>11.46</v>
          </cell>
        </row>
        <row r="250">
          <cell r="A250" t="str">
            <v>B076HD1WQW</v>
          </cell>
          <cell r="B250" t="str">
            <v>MCC-HOK-PiCnd-3x6Org3pk</v>
          </cell>
          <cell r="C250" t="str">
            <v>无香蜡烛</v>
          </cell>
          <cell r="D250" t="str">
            <v>Orange Pillar Candles 3" x 6"by Melt Candle Company Set of 3</v>
          </cell>
          <cell r="E250" t="str">
            <v>=DISPIMG("ID_857562D5501A49B686BD99AF262C8B81",1)</v>
          </cell>
          <cell r="F250" t="str">
            <v>蜡烛</v>
          </cell>
          <cell r="G250">
            <v>1.8</v>
          </cell>
          <cell r="H250">
            <v>24</v>
          </cell>
          <cell r="I250">
            <v>16</v>
          </cell>
          <cell r="J250">
            <v>9</v>
          </cell>
          <cell r="K250">
            <v>0.003456</v>
          </cell>
          <cell r="L250" t="str">
            <v>36*26*17</v>
          </cell>
          <cell r="M250">
            <v>7.5</v>
          </cell>
        </row>
        <row r="251">
          <cell r="A251" t="str">
            <v>B09BDK7G4R</v>
          </cell>
          <cell r="B251" t="str">
            <v>FD-S4812-FBA</v>
          </cell>
          <cell r="C251" t="str">
            <v>钢水瓶</v>
          </cell>
          <cell r="D251" t="str">
            <v>40oz BOTTLE
DOUBLE WALL 304 S/S 
Coppering
water transfer print
wood
3 LIDS(PP+PE+Silicone)</v>
          </cell>
          <cell r="E251" t="str">
            <v>=DISPIMG("ID_2EDA3ED07C4742C0B50182A5D14EBE23",1)</v>
          </cell>
          <cell r="F251" t="str">
            <v>水瓶</v>
          </cell>
          <cell r="G251" t="str">
            <v>0.76</v>
          </cell>
          <cell r="H251" t="str">
            <v>38.7</v>
          </cell>
          <cell r="I251" t="str">
            <v>9.9</v>
          </cell>
          <cell r="J251" t="str">
            <v>10.2</v>
          </cell>
          <cell r="K251">
            <v>0.003907926</v>
          </cell>
          <cell r="L251" t="str">
            <v>61*42*37</v>
          </cell>
          <cell r="M251">
            <v>16.3</v>
          </cell>
        </row>
        <row r="252">
          <cell r="A252" t="str">
            <v>B07S7NJJRZ</v>
          </cell>
          <cell r="B252" t="str">
            <v>FNW-HOK-PlwQn-2Pk</v>
          </cell>
          <cell r="C252" t="str">
            <v>床枕套装</v>
          </cell>
          <cell r="D252" t="str">
            <v>Bed Pillow Set - 2 Pack of Prem, Down Alt Pillows</v>
          </cell>
          <cell r="E252" t="str">
            <v>=DISPIMG("ID_F5276040A00B4D09B5EE1FD4E90482B6",1)</v>
          </cell>
          <cell r="F252" t="str">
            <v>床品</v>
          </cell>
          <cell r="G252" t="str">
            <v>2.5</v>
          </cell>
          <cell r="H252">
            <v>71.1</v>
          </cell>
          <cell r="I252">
            <v>51</v>
          </cell>
          <cell r="J252">
            <v>46</v>
          </cell>
          <cell r="K252">
            <v>0.1668006</v>
          </cell>
          <cell r="L252" t="str">
            <v>44.5*6*32</v>
          </cell>
          <cell r="M252">
            <v>8.8</v>
          </cell>
        </row>
        <row r="253">
          <cell r="A253" t="str">
            <v>B01KEU5GOA</v>
          </cell>
          <cell r="B253" t="str">
            <v>PPC-OFP-ElPln-Bl</v>
          </cell>
          <cell r="C253" t="str">
            <v>每日计划</v>
          </cell>
          <cell r="D253" t="str">
            <v>Elephant Planner Blue</v>
          </cell>
          <cell r="E253" t="str">
            <v>=DISPIMG("ID_9427982C985047C79F31F294279FDE4C",1)</v>
          </cell>
          <cell r="F253" t="str">
            <v>办公</v>
          </cell>
          <cell r="G253">
            <v>0.5</v>
          </cell>
          <cell r="H253">
            <v>23</v>
          </cell>
          <cell r="I253">
            <v>17</v>
          </cell>
          <cell r="J253">
            <v>3</v>
          </cell>
          <cell r="K253">
            <v>0.001173</v>
          </cell>
          <cell r="L253" t="str">
            <v>53 * 36 * 24</v>
          </cell>
          <cell r="M253">
            <v>20.5</v>
          </cell>
        </row>
        <row r="254">
          <cell r="A254" t="str">
            <v>B019ZK0WSU</v>
          </cell>
          <cell r="B254" t="str">
            <v>UFL-SPO-KneSleev-L</v>
          </cell>
          <cell r="C254" t="str">
            <v>及膝套</v>
          </cell>
          <cell r="D254" t="str">
            <v>UFlex Athletics Knee Compression Sleeve Support for Running, Jogging, Sports</v>
          </cell>
          <cell r="E254" t="str">
            <v>=DISPIMG("ID_A28C3653B2D644D0BD21B9F00A5D478F",1)</v>
          </cell>
          <cell r="F254" t="str">
            <v>健身</v>
          </cell>
          <cell r="G254">
            <v>0.04</v>
          </cell>
          <cell r="H254">
            <v>31.5</v>
          </cell>
          <cell r="I254">
            <v>15</v>
          </cell>
          <cell r="J254">
            <v>2</v>
          </cell>
          <cell r="K254">
            <v>0.000945</v>
          </cell>
          <cell r="L254" t="str">
            <v>47.5*47*33.5</v>
          </cell>
          <cell r="M254">
            <v>9.5</v>
          </cell>
        </row>
        <row r="255">
          <cell r="A255" t="str">
            <v>B00I0BVP9Q</v>
          </cell>
          <cell r="B255" t="str">
            <v>GDL-ETC-DrWyAlmRcr500ft</v>
          </cell>
          <cell r="C255" t="str">
            <v>车道警报接收器</v>
          </cell>
          <cell r="D255" t="str">
            <v>Extra 500 ft Receiver for Driveway Alarm Kit</v>
          </cell>
          <cell r="E255" t="str">
            <v>=DISPIMG("ID_3E397E91DC634E06891E2D5B38D8A32A",1)</v>
          </cell>
          <cell r="F255" t="str">
            <v>汽车</v>
          </cell>
          <cell r="G255">
            <v>0.4</v>
          </cell>
          <cell r="H255">
            <v>19</v>
          </cell>
          <cell r="I255">
            <v>13</v>
          </cell>
          <cell r="J255">
            <v>9</v>
          </cell>
          <cell r="K255">
            <v>0.002223</v>
          </cell>
          <cell r="L255" t="str">
            <v>39 * 45 * 39</v>
          </cell>
          <cell r="M255">
            <v>13.1</v>
          </cell>
        </row>
        <row r="256">
          <cell r="A256" t="str">
            <v>B07TWT4NWB</v>
          </cell>
          <cell r="B256" t="str">
            <v>YHG-HOK-WdHngrKd-Pnk10pk</v>
          </cell>
          <cell r="C256" t="str">
            <v>木衣架</v>
          </cell>
          <cell r="D256" t="str">
            <v>Wooden Standard Kids Hangers Pink Polka Dot set of 10</v>
          </cell>
          <cell r="E256" t="str">
            <v>=DISPIMG("ID_CCD49474F7AF4ED58D5FB6A0ED8ABCC2",1)</v>
          </cell>
          <cell r="F256" t="str">
            <v>衣架</v>
          </cell>
          <cell r="G256" t="str">
            <v>1.310</v>
          </cell>
          <cell r="H256" t="str">
            <v>32.2</v>
          </cell>
          <cell r="I256" t="str">
            <v>6.8</v>
          </cell>
          <cell r="J256" t="str">
            <v>27.2</v>
          </cell>
          <cell r="K256">
            <v>0.005955712</v>
          </cell>
          <cell r="L256" t="str">
            <v>55.4*33.6*29.8</v>
          </cell>
          <cell r="M256">
            <v>10.5</v>
          </cell>
        </row>
        <row r="257">
          <cell r="A257" t="str">
            <v>B09BDNGP1P</v>
          </cell>
          <cell r="B257" t="str">
            <v>FD-S4802-FBA</v>
          </cell>
          <cell r="C257" t="str">
            <v>钢水瓶</v>
          </cell>
          <cell r="D257" t="str">
            <v>40oz BOTTLE
DOUBLE WALL 304 S/S 
Coppering
Powder Coated
black natural black C
3 LIDS(PP+PE+Silicone)
100% leakproof 
can pass the paint adhesion testing
Keep Hot 8H&amp; Cold 10H
color Box</v>
          </cell>
          <cell r="E257" t="str">
            <v>=DISPIMG("ID_3860306D6C3E49A3843346FB23A3B1C0",1)</v>
          </cell>
          <cell r="F257" t="str">
            <v>水瓶</v>
          </cell>
          <cell r="G257" t="str">
            <v>0.7</v>
          </cell>
          <cell r="H257">
            <v>39</v>
          </cell>
          <cell r="I257">
            <v>10</v>
          </cell>
          <cell r="J257">
            <v>10</v>
          </cell>
          <cell r="K257">
            <v>0.0039</v>
          </cell>
          <cell r="L257" t="str">
            <v>42 * 62 * 41</v>
          </cell>
          <cell r="M257">
            <v>17.7</v>
          </cell>
        </row>
        <row r="258">
          <cell r="A258" t="str">
            <v>B009Y7C2MO</v>
          </cell>
          <cell r="B258" t="str">
            <v>PT/FUNKY/TOOLS</v>
          </cell>
          <cell r="C258" t="str">
            <v>盆景</v>
          </cell>
          <cell r="D258" t="str">
            <v>Funky Garden Tool Set - Gift Boxed - Great Gift</v>
          </cell>
          <cell r="E258" t="str">
            <v>=DISPIMG("ID_2C0F6AB791AE41F4993B9CB77BF04A2E",1)</v>
          </cell>
          <cell r="F258" t="str">
            <v>园艺</v>
          </cell>
          <cell r="G258">
            <v>0.6</v>
          </cell>
          <cell r="H258" t="str">
            <v>31.2</v>
          </cell>
          <cell r="I258">
            <v>30.4</v>
          </cell>
          <cell r="J258">
            <v>6.4</v>
          </cell>
          <cell r="K258">
            <v>0.006070272</v>
          </cell>
          <cell r="L258" t="str">
            <v>33*43.5*40.6</v>
          </cell>
          <cell r="M258">
            <v>16</v>
          </cell>
        </row>
        <row r="259">
          <cell r="A259" t="str">
            <v>B09BDMHSQD</v>
          </cell>
          <cell r="B259" t="str">
            <v>FD-S4701-FBA</v>
          </cell>
          <cell r="C259" t="str">
            <v>钢水瓶</v>
          </cell>
          <cell r="D259" t="str">
            <v>32oz BOTTLE
DOUBLE WALL 304 S/S 
Coppering
Stainless Steel
3 LIDS(PP+PE+Silicone)
100% leakproof 
can pass the paint adhesion testing
Keep Hot 8H&amp; Cold 10H
color Box</v>
          </cell>
          <cell r="E259" t="str">
            <v>=DISPIMG("ID_467B8A941E5D4273B3E78E45C13069FC",1)</v>
          </cell>
          <cell r="F259" t="str">
            <v>水瓶</v>
          </cell>
          <cell r="G259" t="str">
            <v>0.7</v>
          </cell>
          <cell r="H259">
            <v>10</v>
          </cell>
          <cell r="I259">
            <v>10</v>
          </cell>
          <cell r="J259">
            <v>35</v>
          </cell>
          <cell r="K259">
            <v>0.0035</v>
          </cell>
          <cell r="L259" t="str">
            <v>42 * 62 * 38</v>
          </cell>
          <cell r="M259">
            <v>16.1</v>
          </cell>
        </row>
        <row r="260">
          <cell r="A260" t="str">
            <v>B07NDSWRY8</v>
          </cell>
          <cell r="B260" t="str">
            <v>MCC-HOK-PiCnd-3x6LtBlu3pk</v>
          </cell>
          <cell r="C260" t="str">
            <v>无香蜡烛</v>
          </cell>
          <cell r="D260" t="str">
            <v>Light Blue Pillar Candles 3" x 6" Set of 3</v>
          </cell>
          <cell r="E260" t="str">
            <v>=DISPIMG("ID_87C5380FCDE741A4A75E465AC906B542",1)</v>
          </cell>
          <cell r="F260" t="str">
            <v>蜡烛</v>
          </cell>
          <cell r="G260">
            <v>1.8</v>
          </cell>
          <cell r="H260">
            <v>24</v>
          </cell>
          <cell r="I260">
            <v>16</v>
          </cell>
          <cell r="J260">
            <v>9</v>
          </cell>
          <cell r="K260">
            <v>0.003456</v>
          </cell>
          <cell r="L260" t="str">
            <v>36*26*17</v>
          </cell>
          <cell r="M260">
            <v>7.5</v>
          </cell>
        </row>
        <row r="261">
          <cell r="A261" t="str">
            <v>B08F7ZMF9R</v>
          </cell>
          <cell r="B261" t="str">
            <v>MXL-KND-GftSet-6s2gWb</v>
          </cell>
          <cell r="C261" t="str">
            <v>威士忌酒杯和石头套装</v>
          </cell>
          <cell r="D261" t="str">
            <v>Gift Set 6 Stones 2 Glasses Wooden Box</v>
          </cell>
          <cell r="E261" t="str">
            <v>=DISPIMG("ID_24F551DAEBF04F229465C926E325FB51",1)</v>
          </cell>
          <cell r="F261" t="str">
            <v>厨房用具</v>
          </cell>
          <cell r="G261">
            <v>1.65</v>
          </cell>
          <cell r="H261">
            <v>32</v>
          </cell>
          <cell r="I261">
            <v>14</v>
          </cell>
          <cell r="J261">
            <v>13</v>
          </cell>
          <cell r="K261">
            <v>0.005824</v>
          </cell>
          <cell r="L261" t="str">
            <v>58*34*28</v>
          </cell>
          <cell r="M261">
            <v>14.1</v>
          </cell>
        </row>
        <row r="262">
          <cell r="A262" t="str">
            <v>B018UYS28Y</v>
          </cell>
          <cell r="B262" t="str">
            <v>SDT-TOH-SPWDbCXRi-MBk</v>
          </cell>
          <cell r="C262" t="str">
            <v>无线门铃</v>
          </cell>
          <cell r="D262" t="str">
            <v>Star Point Wireless Doorbell Model CXRi Matte Black</v>
          </cell>
          <cell r="E262" t="str">
            <v>=DISPIMG("ID_3087F8C2C050405CB47FC5EC3B94174C",1)</v>
          </cell>
          <cell r="F262" t="str">
            <v>门铃</v>
          </cell>
          <cell r="G262">
            <v>0.2</v>
          </cell>
          <cell r="H262">
            <v>15</v>
          </cell>
          <cell r="I262">
            <v>8.9</v>
          </cell>
          <cell r="J262">
            <v>6.7</v>
          </cell>
          <cell r="K262">
            <v>0.00089445</v>
          </cell>
          <cell r="L262" t="str">
            <v>35.3*31.5*46</v>
          </cell>
          <cell r="M262">
            <v>11.8</v>
          </cell>
        </row>
        <row r="263">
          <cell r="A263" t="str">
            <v>B013RJL2K2</v>
          </cell>
          <cell r="B263" t="str">
            <v>DAT-APA-GC1P-PS</v>
          </cell>
          <cell r="C263" t="str">
            <v>汽车垃圾桶</v>
          </cell>
          <cell r="D263" t="str">
            <v>The Drive Bin Car Garbage Can, Pink - Best Auto Trash Bag for Litter, Free Waste Basket Liners</v>
          </cell>
          <cell r="E263" t="str">
            <v>=DISPIMG("ID_8AF98B34B2384E129BBF2993DC61C772",1)</v>
          </cell>
          <cell r="F263" t="str">
            <v>汽车</v>
          </cell>
          <cell r="G263">
            <v>0.35</v>
          </cell>
          <cell r="H263">
            <v>26</v>
          </cell>
          <cell r="I263">
            <v>25</v>
          </cell>
          <cell r="J263">
            <v>4</v>
          </cell>
          <cell r="K263">
            <v>0.0026</v>
          </cell>
          <cell r="L263" t="str">
            <v>51 * 46 * 47</v>
          </cell>
          <cell r="M263">
            <v>17.3</v>
          </cell>
        </row>
        <row r="264">
          <cell r="A264" t="str">
            <v>B07DZS2VXJ</v>
          </cell>
          <cell r="B264" t="str">
            <v>MXL-KND-BarKit-11pcRwsSlv-ASMBL</v>
          </cell>
          <cell r="C264" t="str">
            <v>调酒套件和支架</v>
          </cell>
          <cell r="D264" t="str">
            <v>Bartender Kit 11pc Rustic Wood Stand Silver</v>
          </cell>
          <cell r="E264" t="str">
            <v>=DISPIMG("ID_8848BA31545447139E7AB280A3B77CAC",1)</v>
          </cell>
          <cell r="F264" t="str">
            <v>厨房用具</v>
          </cell>
          <cell r="G264">
            <v>1.7</v>
          </cell>
          <cell r="H264">
            <v>39</v>
          </cell>
          <cell r="I264">
            <v>31</v>
          </cell>
          <cell r="J264">
            <v>11</v>
          </cell>
          <cell r="K264">
            <v>0.013299</v>
          </cell>
          <cell r="L264" t="str">
            <v>57*41*32</v>
          </cell>
          <cell r="M264">
            <v>9.79</v>
          </cell>
        </row>
        <row r="265">
          <cell r="A265" t="str">
            <v>B088K67RJJ</v>
          </cell>
          <cell r="B265" t="str">
            <v>LAA-SAO-FuzNs-PGBBL/XL</v>
          </cell>
          <cell r="C265" t="str">
            <v>毛绒抓地小腿袜</v>
          </cell>
          <cell r="D265" t="str">
            <v>Fuzzy Non-Slip SocksPink/Grey/Blue/Black, L/XL</v>
          </cell>
          <cell r="E265" t="str">
            <v>=DISPIMG("ID_CE588D2EF53B44F2BDC957C9283E0099",1)</v>
          </cell>
          <cell r="F265" t="str">
            <v>衣物</v>
          </cell>
          <cell r="G265">
            <v>0.4</v>
          </cell>
          <cell r="H265">
            <v>27</v>
          </cell>
          <cell r="I265">
            <v>22</v>
          </cell>
          <cell r="J265">
            <v>6</v>
          </cell>
          <cell r="K265">
            <v>0.003564</v>
          </cell>
          <cell r="L265" t="str">
            <v>56*45*43</v>
          </cell>
          <cell r="M265">
            <v>18</v>
          </cell>
        </row>
        <row r="266">
          <cell r="A266" t="str">
            <v>B07DQP1V7Q</v>
          </cell>
          <cell r="B266" t="str">
            <v>PPC-OFP-ElPln-Pk</v>
          </cell>
          <cell r="C266" t="str">
            <v>每日计划</v>
          </cell>
          <cell r="D266" t="str">
            <v>Elephant Planner Pink</v>
          </cell>
          <cell r="E266" t="str">
            <v>=DISPIMG("ID_9DD792EBC72A4FA08E644DC8F6F4A88F",1)</v>
          </cell>
          <cell r="F266" t="str">
            <v>办公</v>
          </cell>
          <cell r="G266">
            <v>0.5</v>
          </cell>
          <cell r="H266">
            <v>23</v>
          </cell>
          <cell r="I266">
            <v>17</v>
          </cell>
          <cell r="J266">
            <v>3</v>
          </cell>
          <cell r="K266">
            <v>0.001173</v>
          </cell>
          <cell r="L266" t="str">
            <v>52*36*24</v>
          </cell>
          <cell r="M266">
            <v>20</v>
          </cell>
        </row>
        <row r="267">
          <cell r="A267">
            <v>0</v>
          </cell>
          <cell r="B267" t="str">
            <v>GTL-HOK-VlvtBthRg-17x24Gry</v>
          </cell>
          <cell r="C267" t="e">
            <v>#N/A</v>
          </cell>
          <cell r="D267" t="e">
            <v>#N/A</v>
          </cell>
          <cell r="E267" t="e">
            <v>#N/A</v>
          </cell>
        </row>
        <row r="267">
          <cell r="G267" t="str">
            <v>0.4</v>
          </cell>
          <cell r="H267">
            <v>43</v>
          </cell>
          <cell r="I267">
            <v>29.5</v>
          </cell>
          <cell r="J267">
            <v>4</v>
          </cell>
          <cell r="K267">
            <v>0.005074</v>
          </cell>
          <cell r="L267" t="str">
            <v>61*45*44</v>
          </cell>
          <cell r="M267">
            <v>8.5</v>
          </cell>
        </row>
        <row r="268">
          <cell r="A268" t="str">
            <v>B01AU292NS</v>
          </cell>
          <cell r="B268" t="str">
            <v>EZY-SPO-TU-JBK</v>
          </cell>
          <cell r="C268" t="str">
            <v>旅行伞</v>
          </cell>
          <cell r="D268" t="str">
            <v>EEZ-Y Compact Travel Umbrella，Windproof Double Canopy Construction</v>
          </cell>
          <cell r="E268" t="str">
            <v>=DISPIMG("ID_150EE234700E49A799308F1CCE0BDD5A",1)</v>
          </cell>
          <cell r="F268" t="str">
            <v>户外</v>
          </cell>
          <cell r="G268">
            <v>0.4</v>
          </cell>
          <cell r="H268">
            <v>29</v>
          </cell>
          <cell r="I268">
            <v>6</v>
          </cell>
          <cell r="J268">
            <v>5</v>
          </cell>
          <cell r="K268">
            <v>0.00087</v>
          </cell>
          <cell r="L268" t="str">
            <v>31*29*46</v>
          </cell>
          <cell r="M268">
            <v>18.35</v>
          </cell>
        </row>
        <row r="269">
          <cell r="A269" t="str">
            <v>B018UYS7DO</v>
          </cell>
          <cell r="B269" t="str">
            <v>SDT-TOH-SPWDbCX-Gy</v>
          </cell>
          <cell r="C269" t="str">
            <v>无线门铃</v>
          </cell>
          <cell r="D269" t="str">
            <v>Star Point Wireless Doorbell Model CX Grey</v>
          </cell>
          <cell r="E269" t="str">
            <v>=DISPIMG("ID_4812CBDE0A894E6F9041C9833343548C",1)</v>
          </cell>
          <cell r="F269" t="str">
            <v>门铃</v>
          </cell>
          <cell r="G269">
            <v>0.25</v>
          </cell>
          <cell r="H269">
            <v>15</v>
          </cell>
          <cell r="I269">
            <v>9.2</v>
          </cell>
          <cell r="J269">
            <v>7</v>
          </cell>
          <cell r="K269">
            <v>0.000966</v>
          </cell>
          <cell r="L269" t="str">
            <v>47.5*36*32</v>
          </cell>
          <cell r="M269">
            <v>12.12</v>
          </cell>
        </row>
        <row r="270">
          <cell r="A270" t="str">
            <v>B07JBMSK1T</v>
          </cell>
          <cell r="B270" t="str">
            <v>YHG-HOK-OrnSrtgBx-364Grn1</v>
          </cell>
          <cell r="C270" t="str">
            <v>饰品收纳</v>
          </cell>
          <cell r="D270" t="str">
            <v>Christmas Ornament Storage Box 3" 64 Compartment</v>
          </cell>
          <cell r="E270" t="str">
            <v>=DISPIMG("ID_CF8C9994B6764C269BA99AD4800AC0F2",1)</v>
          </cell>
          <cell r="F270" t="str">
            <v>圣诞</v>
          </cell>
          <cell r="G270">
            <v>1.7</v>
          </cell>
          <cell r="H270">
            <v>35</v>
          </cell>
          <cell r="I270">
            <v>33</v>
          </cell>
          <cell r="J270">
            <v>4</v>
          </cell>
          <cell r="K270">
            <v>0.00462</v>
          </cell>
          <cell r="L270" t="str">
            <v>38*35*31</v>
          </cell>
          <cell r="M270">
            <v>14</v>
          </cell>
        </row>
        <row r="271">
          <cell r="A271" t="str">
            <v>B079HF9WQR</v>
          </cell>
          <cell r="B271" t="str">
            <v>YHG-HOK-WrpprBg-Blk</v>
          </cell>
          <cell r="C271" t="str">
            <v>包装储存</v>
          </cell>
          <cell r="D271" t="str">
            <v>ZOBER Christmas Wrapping Paper Storage Bag Fits 14 to Standard Rolls</v>
          </cell>
          <cell r="E271" t="str">
            <v>=DISPIMG("ID_880B373766624A2E928D6CB39911B391",1)</v>
          </cell>
          <cell r="F271" t="str">
            <v>圣诞</v>
          </cell>
          <cell r="G271">
            <v>0.4</v>
          </cell>
          <cell r="H271">
            <v>29</v>
          </cell>
          <cell r="I271">
            <v>17.7</v>
          </cell>
          <cell r="J271">
            <v>5.5</v>
          </cell>
          <cell r="K271">
            <v>0.00282315</v>
          </cell>
          <cell r="L271" t="str">
            <v>36*24*32</v>
          </cell>
          <cell r="M271">
            <v>7.3</v>
          </cell>
        </row>
        <row r="272">
          <cell r="A272" t="str">
            <v>B08DP4TGR2</v>
          </cell>
          <cell r="B272" t="str">
            <v>YHG-SPO-StlWtrBtl-17Tqse2pk</v>
          </cell>
          <cell r="C272" t="str">
            <v>钢水瓶</v>
          </cell>
          <cell r="D272" t="str">
            <v>Stainless Steel Insulated Water Bottle 17oz Tuquoise 2Pack</v>
          </cell>
          <cell r="E272" t="str">
            <v>=DISPIMG("ID_29341EE3BCAF440B8E043303FA6BCFCD",1)</v>
          </cell>
          <cell r="F272" t="str">
            <v>水瓶</v>
          </cell>
          <cell r="G272" t="str">
            <v>0.75</v>
          </cell>
          <cell r="H272" t="str">
            <v>27.5</v>
          </cell>
          <cell r="I272" t="str">
            <v>7.7</v>
          </cell>
          <cell r="J272" t="str">
            <v>15.2</v>
          </cell>
          <cell r="K272">
            <v>0.0032186</v>
          </cell>
          <cell r="L272" t="str">
            <v>47 * 33 * 30</v>
          </cell>
          <cell r="M272">
            <v>8.9</v>
          </cell>
        </row>
        <row r="273">
          <cell r="A273" t="str">
            <v>B00XHWUE7C</v>
          </cell>
          <cell r="B273" t="str">
            <v>SDT-TOH-SPWDbCX-Bg</v>
          </cell>
          <cell r="C273" t="str">
            <v>无线门铃</v>
          </cell>
          <cell r="D273" t="str">
            <v>Star Point Wireless Doorbell Model CX Beige</v>
          </cell>
          <cell r="E273" t="str">
            <v>=DISPIMG("ID_4596F3E8D96C48DC94D6356981B87141",1)</v>
          </cell>
          <cell r="F273" t="str">
            <v>门铃</v>
          </cell>
          <cell r="G273">
            <v>0.2</v>
          </cell>
          <cell r="H273">
            <v>15</v>
          </cell>
          <cell r="I273">
            <v>8.9</v>
          </cell>
          <cell r="J273">
            <v>6.7</v>
          </cell>
          <cell r="K273">
            <v>0.00089445</v>
          </cell>
          <cell r="L273" t="str">
            <v>35.3*31.5*46</v>
          </cell>
          <cell r="M273">
            <v>11.8</v>
          </cell>
        </row>
        <row r="274">
          <cell r="A274" t="str">
            <v>B013AUKGSC</v>
          </cell>
          <cell r="B274" t="str">
            <v>SDT-TOH-SPWDbCX-Bw</v>
          </cell>
          <cell r="C274" t="str">
            <v>无线门铃</v>
          </cell>
          <cell r="D274" t="str">
            <v>Star Point Wireless Doorbell Model CX Brown</v>
          </cell>
          <cell r="E274" t="str">
            <v>=DISPIMG("ID_C50858CBB43A43B19A034BB74D733FD9",1)</v>
          </cell>
          <cell r="F274" t="str">
            <v>门铃</v>
          </cell>
          <cell r="G274">
            <v>0.2</v>
          </cell>
          <cell r="H274">
            <v>15</v>
          </cell>
          <cell r="I274">
            <v>8.9</v>
          </cell>
          <cell r="J274">
            <v>6.7</v>
          </cell>
          <cell r="K274">
            <v>0.00089445</v>
          </cell>
          <cell r="L274" t="str">
            <v>35.3*31.5*46</v>
          </cell>
          <cell r="M274">
            <v>11.8</v>
          </cell>
        </row>
        <row r="275">
          <cell r="A275" t="str">
            <v>B07CKCBVSN</v>
          </cell>
          <cell r="B275" t="str">
            <v>WKL-CSJ-LEDSntHat-2PkKd</v>
          </cell>
          <cell r="C275" t="str">
            <v>圣诞老人帽</v>
          </cell>
          <cell r="D275" t="str">
            <v>Light Up Santa Hat with 20 LED Lights 2pk Kids Size</v>
          </cell>
          <cell r="E275" t="str">
            <v>=DISPIMG("ID_1A46A4C3F79B42C08947E841C47AA344",1)</v>
          </cell>
          <cell r="F275" t="str">
            <v>圣诞</v>
          </cell>
          <cell r="G275">
            <v>0.2</v>
          </cell>
          <cell r="H275">
            <v>34</v>
          </cell>
          <cell r="I275">
            <v>24</v>
          </cell>
          <cell r="J275">
            <v>5</v>
          </cell>
          <cell r="K275">
            <v>0.00408</v>
          </cell>
          <cell r="L275" t="str">
            <v> 54*63*60 </v>
          </cell>
          <cell r="M275">
            <v>18.3</v>
          </cell>
        </row>
        <row r="276">
          <cell r="A276" t="str">
            <v>B08ZJKWQ39</v>
          </cell>
          <cell r="B276" t="str">
            <v>YHG-HOK-WdCtRk-Gry</v>
          </cell>
          <cell r="C276" t="str">
            <v>木树衣帽架</v>
          </cell>
          <cell r="D276" t="str">
            <v>Wooden Coat Rack Gray</v>
          </cell>
          <cell r="E276" t="str">
            <v>=DISPIMG("ID_84FFED4905E540A3BECF9997285374D2",1)</v>
          </cell>
          <cell r="F276" t="str">
            <v>衣架</v>
          </cell>
          <cell r="G276" t="str">
            <v>2.350</v>
          </cell>
          <cell r="H276" t="str">
            <v>40.1</v>
          </cell>
          <cell r="I276" t="str">
            <v>10.7</v>
          </cell>
          <cell r="J276" t="str">
            <v>13.1</v>
          </cell>
          <cell r="K276">
            <v>0.005620817</v>
          </cell>
          <cell r="L276" t="str">
            <v>42 * 28 * 35</v>
          </cell>
          <cell r="M276">
            <v>14</v>
          </cell>
        </row>
        <row r="277">
          <cell r="A277" t="str">
            <v>B07DK61BNJ</v>
          </cell>
          <cell r="B277" t="str">
            <v>PPC-OFP-NbJr2-G</v>
          </cell>
          <cell r="C277" t="str">
            <v>笔记本</v>
          </cell>
          <cell r="D277" t="str">
            <v>Notebook Journal 2 Pack Steel Gray</v>
          </cell>
          <cell r="E277" t="str">
            <v>=DISPIMG("ID_C863AECF0FC24166B416BC67A3AD3933",1)</v>
          </cell>
          <cell r="F277" t="str">
            <v>办公</v>
          </cell>
          <cell r="G277">
            <v>0.6</v>
          </cell>
          <cell r="H277">
            <v>21</v>
          </cell>
          <cell r="I277">
            <v>15</v>
          </cell>
          <cell r="J277" t="str">
            <v>2.6</v>
          </cell>
          <cell r="K277">
            <v>0.000819</v>
          </cell>
          <cell r="L277" t="str">
            <v>44 * 32 * 25</v>
          </cell>
          <cell r="M277">
            <v>21</v>
          </cell>
        </row>
        <row r="278">
          <cell r="A278" t="str">
            <v>B09BNWQPG1</v>
          </cell>
          <cell r="B278" t="str">
            <v>FD-S4915-FBA</v>
          </cell>
          <cell r="C278" t="str">
            <v>钢水瓶</v>
          </cell>
          <cell r="D278" t="str">
            <v>64oz BOTTLE
DOUBLE WALL 304 S/S
Coppering 
2 color powder coated
mix pink /blue
3 LIDS(PP+PE+Silicone)
100% leakproof 
can pass the paint adhesion testing
Keep Hot 8H&amp; Cold 10H
color Box</v>
          </cell>
          <cell r="E278" t="str">
            <v>=DISPIMG("ID_7E001A54FA1345909BAC9081ED1F7932",1)</v>
          </cell>
          <cell r="F278" t="str">
            <v>水瓶</v>
          </cell>
          <cell r="G278" t="str">
            <v>1.1</v>
          </cell>
          <cell r="H278">
            <v>13</v>
          </cell>
          <cell r="I278">
            <v>13</v>
          </cell>
          <cell r="J278">
            <v>33</v>
          </cell>
          <cell r="K278">
            <v>0.005577</v>
          </cell>
          <cell r="L278" t="str">
            <v>55 * 42 * 35</v>
          </cell>
          <cell r="M278">
            <v>13.8</v>
          </cell>
        </row>
        <row r="279">
          <cell r="A279" t="str">
            <v>B09BNTN2L5</v>
          </cell>
          <cell r="B279" t="str">
            <v>FD-S4715-FBA</v>
          </cell>
          <cell r="C279" t="str">
            <v>钢水瓶</v>
          </cell>
          <cell r="D279" t="str">
            <v>32oz BOTTLE
DOUBLE WALL 304 S/S
Coppering 
2 color powder coated
mix pink /blue
3 LIDS(PP+PE+Silicone)</v>
          </cell>
          <cell r="E279" t="str">
            <v>=DISPIMG("ID_BEE554FE6F2A4D75877075F97814776B",1)</v>
          </cell>
          <cell r="F279" t="str">
            <v>水瓶</v>
          </cell>
          <cell r="G279" t="str">
            <v>0.681</v>
          </cell>
          <cell r="H279" t="str">
            <v>34.9</v>
          </cell>
          <cell r="I279" t="str">
            <v>9.8</v>
          </cell>
          <cell r="J279">
            <v>10.3</v>
          </cell>
          <cell r="K279">
            <v>0.003522806</v>
          </cell>
          <cell r="L279" t="str">
            <v>61*42*37</v>
          </cell>
          <cell r="M279">
            <v>16.3</v>
          </cell>
        </row>
        <row r="280">
          <cell r="A280" t="str">
            <v>B09BDK16J7</v>
          </cell>
          <cell r="B280" t="str">
            <v>FD-S4901-FBA</v>
          </cell>
          <cell r="C280" t="str">
            <v>钢水瓶</v>
          </cell>
          <cell r="D280" t="str">
            <v>64oz BOTTLE
DOUBLE WALL 304 S/S 
Coppering
Stainless Steel
3 LIDS(PP+PE+Silicone)</v>
          </cell>
          <cell r="E280" t="str">
            <v>=DISPIMG("ID_0B04F168E0894577A5915693DEBFABEE",1)</v>
          </cell>
          <cell r="F280" t="str">
            <v>水瓶</v>
          </cell>
          <cell r="G280" t="str">
            <v>1.135</v>
          </cell>
          <cell r="H280" t="str">
            <v>32.9</v>
          </cell>
          <cell r="I280" t="str">
            <v>13.1</v>
          </cell>
          <cell r="J280" t="str">
            <v>13.6</v>
          </cell>
          <cell r="K280">
            <v>0.005861464</v>
          </cell>
          <cell r="L280" t="str">
            <v>55 * 42 * 35</v>
          </cell>
          <cell r="M280">
            <v>13.8</v>
          </cell>
        </row>
        <row r="281">
          <cell r="A281" t="str">
            <v>B07V5QDM28</v>
          </cell>
          <cell r="B281" t="str">
            <v>BBD-BBY-ClstDvdr-Gryanml7pk</v>
          </cell>
          <cell r="C281" t="str">
            <v>婴儿衣柜分隔板</v>
          </cell>
          <cell r="D281" t="str">
            <v>Baby Closet Divider Unisex Grey Animals 7 Pack</v>
          </cell>
          <cell r="E281" t="str">
            <v>=DISPIMG("ID_6A5B31B1EDC141EDBD5964392133A7A1",1)</v>
          </cell>
          <cell r="F281" t="str">
            <v>衣架</v>
          </cell>
          <cell r="G281">
            <v>0.1</v>
          </cell>
          <cell r="H281">
            <v>10</v>
          </cell>
          <cell r="I281">
            <v>10</v>
          </cell>
          <cell r="J281">
            <v>2</v>
          </cell>
          <cell r="K281">
            <v>0.0002</v>
          </cell>
          <cell r="L281" t="str">
            <v>40*31*29</v>
          </cell>
          <cell r="M281">
            <v>12.7</v>
          </cell>
        </row>
        <row r="282">
          <cell r="A282" t="str">
            <v>B0B2JD8HM1</v>
          </cell>
          <cell r="B282" t="str">
            <v>YHG-HOK-FD-SC105</v>
          </cell>
          <cell r="C282" t="str">
            <v>硅胶烘焙垫</v>
          </cell>
          <cell r="D282" t="str">
            <v>Fine Dine-Silicone baking mat set of 2-red</v>
          </cell>
          <cell r="E282" t="str">
            <v>=DISPIMG("ID_43AFA139A200466CAB3F050DB7FBEE94",1)</v>
          </cell>
          <cell r="F282" t="str">
            <v>厨房用具</v>
          </cell>
          <cell r="G282" t="str">
            <v>0.400</v>
          </cell>
          <cell r="H282">
            <v>33</v>
          </cell>
          <cell r="I282">
            <v>5</v>
          </cell>
          <cell r="J282">
            <v>5</v>
          </cell>
          <cell r="K282">
            <v>0.000825</v>
          </cell>
          <cell r="L282" t="str">
            <v>53 * 29 * 36</v>
          </cell>
          <cell r="M282">
            <v>14.5</v>
          </cell>
        </row>
        <row r="283">
          <cell r="A283" t="str">
            <v>B08CNNG7TB</v>
          </cell>
          <cell r="B283" t="str">
            <v>YHG-HOK-RctChrsTreBg-75Gry</v>
          </cell>
          <cell r="C283" t="str">
            <v>圣诞树收纳袋</v>
          </cell>
          <cell r="D283" t="str">
            <v>STORAGE BAG</v>
          </cell>
          <cell r="E283" t="str">
            <v>=DISPIMG("ID_EAA55983C1D8407A83E380C21E1E6CC5",1)</v>
          </cell>
          <cell r="F283" t="str">
            <v>圣诞</v>
          </cell>
          <cell r="G283" t="str">
            <v>0.460</v>
          </cell>
          <cell r="H283" t="str">
            <v>34.2</v>
          </cell>
          <cell r="I283" t="str">
            <v>6.3</v>
          </cell>
          <cell r="J283" t="str">
            <v>24.6</v>
          </cell>
          <cell r="K283">
            <v>0.005300316</v>
          </cell>
          <cell r="L283" t="str">
            <v>60*40*29</v>
          </cell>
          <cell r="M283">
            <v>15.28</v>
          </cell>
        </row>
        <row r="284">
          <cell r="A284" t="str">
            <v>B08BS7FWM7</v>
          </cell>
          <cell r="B284" t="str">
            <v>YHG-HOK-ChrsTreBg-9Snw</v>
          </cell>
          <cell r="C284" t="str">
            <v>圣诞树收纳袋</v>
          </cell>
          <cell r="D284" t="str">
            <v>STORAGE BAG</v>
          </cell>
          <cell r="E284" t="str">
            <v>=DISPIMG("ID_9901D67D5BF944E1ADE45951DE67F1D2",1)</v>
          </cell>
          <cell r="F284" t="str">
            <v>圣诞</v>
          </cell>
          <cell r="G284">
            <v>1.72</v>
          </cell>
          <cell r="H284">
            <v>32</v>
          </cell>
          <cell r="I284">
            <v>25</v>
          </cell>
          <cell r="J284">
            <v>6</v>
          </cell>
          <cell r="K284">
            <v>0.0048</v>
          </cell>
          <cell r="L284" t="str">
            <v>34*32*28</v>
          </cell>
          <cell r="M284">
            <v>10.5</v>
          </cell>
        </row>
        <row r="285">
          <cell r="A285" t="str">
            <v>B083JLV312</v>
          </cell>
          <cell r="B285" t="str">
            <v>HAD-HAK-SopDis-Wht13oz</v>
          </cell>
          <cell r="C285" t="str">
            <v>洗碗皂盒白色</v>
          </cell>
          <cell r="D285" t="str">
            <v>Dish  Soap Dispenser White</v>
          </cell>
          <cell r="E285" t="str">
            <v>=DISPIMG("ID_427C7332477A43EAA9CFB4FAA9574B5D",1)</v>
          </cell>
          <cell r="F285" t="str">
            <v>清洁</v>
          </cell>
          <cell r="G285" t="str">
            <v>0.4</v>
          </cell>
          <cell r="H285">
            <v>8.6</v>
          </cell>
          <cell r="I285">
            <v>5</v>
          </cell>
          <cell r="J285">
            <v>17.8</v>
          </cell>
          <cell r="K285">
            <v>0.0007654</v>
          </cell>
          <cell r="L285" t="str">
            <v>57x30x47</v>
          </cell>
          <cell r="M285">
            <v>11</v>
          </cell>
        </row>
        <row r="286">
          <cell r="A286" t="str">
            <v>B087V8JHSD</v>
          </cell>
          <cell r="B286" t="str">
            <v>TMP-HHB-SwfSwprMpPd-2</v>
          </cell>
          <cell r="C286" t="str">
            <v>蒸汽拖把垫和刷子</v>
          </cell>
          <cell r="D286" t="str">
            <v>Turbo Mops</v>
          </cell>
          <cell r="E286" t="str">
            <v>=DISPIMG("ID_39D2C8C972D04EA497BCF56D07FE108F",1)</v>
          </cell>
          <cell r="F286" t="str">
            <v>清洁</v>
          </cell>
          <cell r="G286">
            <v>0.15</v>
          </cell>
          <cell r="H286">
            <v>29.5</v>
          </cell>
          <cell r="I286">
            <v>28.5</v>
          </cell>
          <cell r="J286">
            <v>3</v>
          </cell>
          <cell r="K286">
            <v>0.00252225</v>
          </cell>
          <cell r="L286" t="str">
            <v>59*32*35</v>
          </cell>
          <cell r="M286">
            <v>10</v>
          </cell>
        </row>
        <row r="287">
          <cell r="A287" t="str">
            <v>B0B2JHGSSB</v>
          </cell>
          <cell r="B287" t="str">
            <v>YHG-HOK-FD-SC103</v>
          </cell>
          <cell r="C287" t="str">
            <v>硅胶烘焙垫</v>
          </cell>
          <cell r="D287" t="str">
            <v>Fine Dine-Silicone baking mat set of 2-white</v>
          </cell>
          <cell r="E287" t="str">
            <v>=DISPIMG("ID_447EEB6E09004F7E938A6FF692DE7DA6",1)</v>
          </cell>
          <cell r="F287" t="str">
            <v>厨房用具</v>
          </cell>
          <cell r="G287" t="str">
            <v>0.300</v>
          </cell>
          <cell r="H287">
            <v>32</v>
          </cell>
          <cell r="I287">
            <v>5</v>
          </cell>
          <cell r="J287">
            <v>5.5</v>
          </cell>
          <cell r="K287">
            <v>0.00088</v>
          </cell>
          <cell r="L287" t="str">
            <v>52 * 29 * 36</v>
          </cell>
          <cell r="M287">
            <v>13.5</v>
          </cell>
        </row>
        <row r="288">
          <cell r="A288" t="str">
            <v>B071S882FS</v>
          </cell>
          <cell r="B288" t="str">
            <v>GDL-ETC-DrWyAlmKt-2pk</v>
          </cell>
          <cell r="C288" t="str">
            <v>车道警报套件</v>
          </cell>
          <cell r="D288" t="str">
            <v>Wireless Driveway Alarm Kit 2 pack 500ft</v>
          </cell>
          <cell r="E288" t="str">
            <v>=DISPIMG("ID_DA95979D136C49CAA8B767DB50CA2474",1)</v>
          </cell>
          <cell r="F288" t="str">
            <v>工具</v>
          </cell>
        </row>
        <row r="288">
          <cell r="L288" t="str">
            <v>50*50*50</v>
          </cell>
        </row>
        <row r="289">
          <cell r="A289" t="str">
            <v>B0B2JG7S7N</v>
          </cell>
          <cell r="B289" t="str">
            <v>YHG-HOK-FD-SC202</v>
          </cell>
          <cell r="C289" t="str">
            <v>硅胶烘焙垫</v>
          </cell>
          <cell r="D289" t="str">
            <v>Fine Dine-Silicone baking mat set of 3-black</v>
          </cell>
          <cell r="E289" t="str">
            <v>=DISPIMG("ID_56B6F5A383734D589AB96FF0F13FEE49",1)</v>
          </cell>
          <cell r="F289" t="str">
            <v>厨房用具</v>
          </cell>
          <cell r="G289" t="str">
            <v>0.400</v>
          </cell>
          <cell r="H289">
            <v>32</v>
          </cell>
          <cell r="I289">
            <v>5</v>
          </cell>
          <cell r="J289">
            <v>5</v>
          </cell>
          <cell r="K289">
            <v>0.0008</v>
          </cell>
          <cell r="L289" t="str">
            <v>29 * 43 * 36</v>
          </cell>
          <cell r="M289">
            <v>13.8</v>
          </cell>
        </row>
        <row r="290">
          <cell r="A290" t="str">
            <v>B0B2JG5J66</v>
          </cell>
          <cell r="B290" t="str">
            <v>YHG-HOK-FD-SC203</v>
          </cell>
          <cell r="C290" t="str">
            <v>硅胶烘焙垫</v>
          </cell>
          <cell r="D290" t="str">
            <v>Fine Dine-Silicone baking mat set of 3-White</v>
          </cell>
          <cell r="E290" t="str">
            <v>=DISPIMG("ID_68FF4E441CFC4358BEDEBABDF827CE36",1)</v>
          </cell>
          <cell r="F290" t="str">
            <v>厨房用具</v>
          </cell>
          <cell r="G290" t="str">
            <v>0.400</v>
          </cell>
          <cell r="H290">
            <v>32</v>
          </cell>
          <cell r="I290">
            <v>5</v>
          </cell>
          <cell r="J290">
            <v>5</v>
          </cell>
          <cell r="K290">
            <v>0.0008</v>
          </cell>
          <cell r="L290" t="str">
            <v>29 * 43 * 36</v>
          </cell>
          <cell r="M290">
            <v>12.7</v>
          </cell>
        </row>
        <row r="291">
          <cell r="A291" t="str">
            <v>B07D6FGS28</v>
          </cell>
          <cell r="B291" t="str">
            <v>LAA-SAO-BbyNs-2prDsyWChB3yrs</v>
          </cell>
          <cell r="C291" t="str">
            <v>绞花针织紧身裤</v>
          </cell>
          <cell r="D291" t="str">
            <v>Baby Non Slip 2 Pairs Daisy White and Cherry Blossom Pink, 2-3 Years</v>
          </cell>
          <cell r="E291" t="str">
            <v>=DISPIMG("ID_DC0F549B78464CADAAFC4F6DEB58C27E",1)</v>
          </cell>
          <cell r="F291" t="str">
            <v>衣物</v>
          </cell>
          <cell r="G291">
            <v>0.15</v>
          </cell>
          <cell r="H291">
            <v>16</v>
          </cell>
          <cell r="I291">
            <v>13</v>
          </cell>
          <cell r="J291">
            <v>7</v>
          </cell>
          <cell r="K291">
            <v>0.001456</v>
          </cell>
          <cell r="L291" t="str">
            <v>45*54*42</v>
          </cell>
          <cell r="M291">
            <v>14</v>
          </cell>
        </row>
        <row r="292">
          <cell r="A292" t="str">
            <v>B015OJF0AG</v>
          </cell>
          <cell r="B292" t="str">
            <v>PLT-GAO-StmrChrCsn-Grn</v>
          </cell>
          <cell r="C292" t="str">
            <v>户外椅垫</v>
          </cell>
          <cell r="D292" t="str">
            <v>Plant Theatre Luxury Steamer Chair Cushion with Head Pillow</v>
          </cell>
          <cell r="E292" t="str">
            <v>=DISPIMG("ID_E54971AEB56E44B6B8FB3973AE8052E6",1)</v>
          </cell>
          <cell r="F292" t="str">
            <v>桌椅</v>
          </cell>
          <cell r="G292">
            <v>2</v>
          </cell>
          <cell r="H292">
            <v>11</v>
          </cell>
          <cell r="I292">
            <v>48</v>
          </cell>
          <cell r="J292">
            <v>96</v>
          </cell>
          <cell r="K292">
            <v>0.050688</v>
          </cell>
          <cell r="L292" t="str">
            <v>105 * 99 * 49</v>
          </cell>
          <cell r="M292">
            <v>23.5</v>
          </cell>
        </row>
        <row r="293">
          <cell r="A293" t="str">
            <v>B07L6PTNN4</v>
          </cell>
          <cell r="B293" t="str">
            <v>BGH-KND-PtHldPr-Red</v>
          </cell>
          <cell r="C293" t="str">
            <v>厨房保护手套</v>
          </cell>
          <cell r="D293" t="str">
            <v>Pot Holders Pair Red</v>
          </cell>
          <cell r="E293" t="str">
            <v>=DISPIMG("ID_6C5D47A2F1B744239D49E6C6476F2D99",1)</v>
          </cell>
        </row>
        <row r="293">
          <cell r="K293">
            <v>0</v>
          </cell>
          <cell r="L293" t="str">
            <v>50*50*50</v>
          </cell>
        </row>
        <row r="294">
          <cell r="A294" t="str">
            <v>B0871C5YRR</v>
          </cell>
          <cell r="B294" t="str">
            <v>LAA-SAO-BbyTNS-5prPWILG6Mnth</v>
          </cell>
          <cell r="C294" t="str">
            <v>棉质紧身裤</v>
          </cell>
          <cell r="D294" t="str">
            <v>Baby Tights 5 PairsNon Skid/ Pink/White/Ivory/Lavender/Grey, 3-6 Months</v>
          </cell>
          <cell r="E294" t="str">
            <v>=DISPIMG("ID_D5144518132841B0996E8B7D21AE83DC",1)</v>
          </cell>
          <cell r="F294" t="str">
            <v>衣物</v>
          </cell>
          <cell r="G294">
            <v>0.14</v>
          </cell>
          <cell r="H294">
            <v>15.2</v>
          </cell>
          <cell r="I294">
            <v>13</v>
          </cell>
          <cell r="J294">
            <v>7.2</v>
          </cell>
          <cell r="K294">
            <v>0.00142272</v>
          </cell>
          <cell r="L294" t="str">
            <v>54*44*42</v>
          </cell>
          <cell r="M294">
            <v>10.52</v>
          </cell>
        </row>
        <row r="295">
          <cell r="A295" t="str">
            <v>B08CQL865Z</v>
          </cell>
          <cell r="B295" t="str">
            <v>YHG-HOK-WdPntHngrClp-Wte10pk</v>
          </cell>
          <cell r="C295" t="str">
            <v>木衣架</v>
          </cell>
          <cell r="D295" t="str">
            <v>Wooden Skirt Clamp Hangers White set of 10</v>
          </cell>
          <cell r="E295" t="str">
            <v>=DISPIMG("ID_A15526D4D5AB436FB330B16D5A95073D",1)</v>
          </cell>
          <cell r="F295" t="str">
            <v>衣架</v>
          </cell>
          <cell r="G295" t="str">
            <v>1.560</v>
          </cell>
          <cell r="H295" t="str">
            <v>26.1</v>
          </cell>
          <cell r="I295" t="str">
            <v>12.1</v>
          </cell>
          <cell r="J295" t="str">
            <v>25.4</v>
          </cell>
          <cell r="K295">
            <v>0.008021574</v>
          </cell>
          <cell r="L295" t="str">
            <v>50*50*50</v>
          </cell>
        </row>
        <row r="296">
          <cell r="A296" t="str">
            <v>B01D3TQHUQ</v>
          </cell>
          <cell r="B296" t="str">
            <v>DAT-APA-AFr1P-G</v>
          </cell>
          <cell r="C296" t="str">
            <v>汽车空气清新剂</v>
          </cell>
          <cell r="D296" t="str">
            <v>DRIVE Natural Car Air Freshener (Gray)</v>
          </cell>
          <cell r="E296" t="str">
            <v>=DISPIMG("ID_29E8F5D882DE4D73A58E13A0BFDA3017",1)</v>
          </cell>
          <cell r="F296" t="str">
            <v>汽车</v>
          </cell>
          <cell r="G296" t="str">
            <v>0.140</v>
          </cell>
          <cell r="H296" t="str">
            <v>12.7</v>
          </cell>
          <cell r="I296" t="str">
            <v>5.0</v>
          </cell>
          <cell r="J296" t="str">
            <v>15.2</v>
          </cell>
          <cell r="K296">
            <v>0.0009652</v>
          </cell>
          <cell r="L296" t="str">
            <v>55*41*32</v>
          </cell>
          <cell r="M296">
            <v>20</v>
          </cell>
        </row>
        <row r="297">
          <cell r="A297" t="str">
            <v>B09BNTC223</v>
          </cell>
          <cell r="B297" t="str">
            <v>FD-S4814-FBA</v>
          </cell>
          <cell r="C297" t="str">
            <v>钢水瓶</v>
          </cell>
          <cell r="D297" t="str">
            <v>40oz BOTTLE
DOUBLE WALL 304 S/S 
Coppering
air tranfer print
black marble
3 LIDS(PP+PE+Silicone)</v>
          </cell>
          <cell r="E297" t="str">
            <v>=DISPIMG("ID_33A9D6E07B874627B726BD76AC3633FA",1)</v>
          </cell>
          <cell r="F297" t="str">
            <v>水瓶</v>
          </cell>
          <cell r="G297" t="str">
            <v>0.76</v>
          </cell>
          <cell r="H297" t="str">
            <v>38.5</v>
          </cell>
          <cell r="I297" t="str">
            <v>10.3</v>
          </cell>
          <cell r="J297" t="str">
            <v>10.3</v>
          </cell>
          <cell r="K297">
            <v>0.004084465</v>
          </cell>
          <cell r="L297" t="str">
            <v>61*42*37</v>
          </cell>
          <cell r="M297">
            <v>16.3</v>
          </cell>
        </row>
        <row r="298">
          <cell r="A298" t="str">
            <v>B07RLS9ZYK</v>
          </cell>
          <cell r="B298" t="str">
            <v>YHG-KND-TvlGlsJr-1612pk</v>
          </cell>
          <cell r="C298" t="str">
            <v>玻璃饮水罐</v>
          </cell>
          <cell r="D298" t="str">
            <v>Travel Glass Drinking Bottle Mason Jar 16 Ounce [12Pack] BPA-Free Plastic Airtight Lids</v>
          </cell>
          <cell r="E298" t="str">
            <v>=DISPIMG("ID_91D8C41112314DCC91F609E030F397F3",1)</v>
          </cell>
          <cell r="F298" t="str">
            <v>厨房用具</v>
          </cell>
          <cell r="G298" t="str">
            <v>3.5</v>
          </cell>
          <cell r="H298">
            <v>31.5</v>
          </cell>
          <cell r="I298">
            <v>24</v>
          </cell>
          <cell r="J298">
            <v>19.5</v>
          </cell>
          <cell r="K298">
            <v>0.014742</v>
          </cell>
          <cell r="L298" t="str">
            <v>50*32.5*42</v>
          </cell>
          <cell r="M298">
            <v>15</v>
          </cell>
        </row>
        <row r="299">
          <cell r="A299" t="str">
            <v>B018UYRYUG</v>
          </cell>
          <cell r="B299" t="str">
            <v>SDT-TOH-SPWDbCX-MBk</v>
          </cell>
          <cell r="C299" t="str">
            <v>无线门铃</v>
          </cell>
          <cell r="D299" t="str">
            <v>Star Point Wireless Doorbell Model CXR Matte Black</v>
          </cell>
          <cell r="E299" t="str">
            <v>=DISPIMG("ID_DD5EFCC5B489446BA052B73A8806C154",1)</v>
          </cell>
          <cell r="F299" t="str">
            <v>门铃</v>
          </cell>
          <cell r="G299">
            <v>0.2</v>
          </cell>
          <cell r="H299">
            <v>15</v>
          </cell>
          <cell r="I299">
            <v>8.9</v>
          </cell>
          <cell r="J299">
            <v>6.7</v>
          </cell>
          <cell r="K299">
            <v>0.00089445</v>
          </cell>
          <cell r="L299" t="str">
            <v>35.3*31.5*46</v>
          </cell>
          <cell r="M299">
            <v>11.8</v>
          </cell>
        </row>
        <row r="300">
          <cell r="A300" t="str">
            <v>B01E3EHRFY</v>
          </cell>
          <cell r="B300" t="str">
            <v>WOL-SPO-SglHmk-CgCr</v>
          </cell>
          <cell r="C300" t="str">
            <v>户外旅行装备</v>
          </cell>
          <cell r="D300" t="str">
            <v>Wise Owl Outfitters Hammock for Camping Single &amp; Double Hammocks Gear for The Outdoors Backpacking Survival or Travel - Portable Lightweight Parachute Nylon SO Charcoal &amp; Red</v>
          </cell>
          <cell r="E300" t="str">
            <v>=DISPIMG("ID_25550BF7780D4D61857A623FE6F8DA41",1)</v>
          </cell>
          <cell r="F300" t="str">
            <v>户外</v>
          </cell>
          <cell r="G300" t="str">
            <v>0.87</v>
          </cell>
          <cell r="H300">
            <v>26.8</v>
          </cell>
          <cell r="I300">
            <v>14.4</v>
          </cell>
          <cell r="J300">
            <v>2.51</v>
          </cell>
          <cell r="K300">
            <v>0.0009686592</v>
          </cell>
          <cell r="L300" t="str">
            <v>50*50*50</v>
          </cell>
        </row>
        <row r="301">
          <cell r="A301" t="str">
            <v>B088JXRZHY</v>
          </cell>
          <cell r="B301" t="str">
            <v>LAA-SAO-FuzNs-MBkDGryS/M</v>
          </cell>
          <cell r="C301" t="str">
            <v>毛绒抓地小腿袜</v>
          </cell>
          <cell r="D301" t="str">
            <v>Fuzzy Non-Slip Socks Midnight Black and Dove Grey, S/M</v>
          </cell>
          <cell r="E301" t="str">
            <v>=DISPIMG("ID_FE60739496204449B88D3F4766735935",1)</v>
          </cell>
          <cell r="F301" t="str">
            <v>衣物</v>
          </cell>
          <cell r="G301">
            <v>0.15</v>
          </cell>
          <cell r="H301">
            <v>22</v>
          </cell>
          <cell r="I301">
            <v>14</v>
          </cell>
          <cell r="J301">
            <v>7</v>
          </cell>
          <cell r="K301">
            <v>0.002156</v>
          </cell>
          <cell r="L301" t="str">
            <v>58*46*48</v>
          </cell>
          <cell r="M301">
            <v>16</v>
          </cell>
        </row>
        <row r="302">
          <cell r="A302" t="str">
            <v>B01IRHUV6A</v>
          </cell>
          <cell r="B302" t="str">
            <v>YHG-HOK-NsVlvtHngr-Blk50pk</v>
          </cell>
          <cell r="C302" t="str">
            <v>天鹅绒衣架</v>
          </cell>
          <cell r="D302" t="str">
            <v>Zober Velvet Hangers Black 50 pack ZO-V30 /50</v>
          </cell>
          <cell r="E302" t="str">
            <v>=DISPIMG("ID_717A75D186A24D1CA120DACEDDA82538",1)</v>
          </cell>
          <cell r="F302" t="str">
            <v>衣架</v>
          </cell>
          <cell r="G302">
            <v>3.6</v>
          </cell>
          <cell r="H302">
            <v>43</v>
          </cell>
          <cell r="I302" t="str">
            <v>34.0</v>
          </cell>
          <cell r="J302">
            <v>33</v>
          </cell>
          <cell r="K302">
            <v>0.048246</v>
          </cell>
          <cell r="L302" t="str">
            <v>62 * 30 * 43</v>
          </cell>
          <cell r="M302">
            <v>15.5</v>
          </cell>
        </row>
        <row r="303">
          <cell r="A303" t="str">
            <v>B0722CY615</v>
          </cell>
          <cell r="B303" t="str">
            <v>YHG-KND-GlsFdCntnr-28Blu3pk</v>
          </cell>
          <cell r="C303" t="str">
            <v>膳食准备容器</v>
          </cell>
          <cell r="D303" t="str">
            <v>FineDine Superior Glass Meal Prep Food Storage Containers rectangular (3 Pack,) FD-G10 /3</v>
          </cell>
          <cell r="E303" t="str">
            <v>=DISPIMG("ID_C4D940FC58FA401E9A8330980CD7DC0B",1)</v>
          </cell>
          <cell r="F303" t="str">
            <v>厨房用具</v>
          </cell>
          <cell r="G303">
            <v>2</v>
          </cell>
          <cell r="H303">
            <v>24</v>
          </cell>
          <cell r="I303">
            <v>21</v>
          </cell>
          <cell r="J303">
            <v>16</v>
          </cell>
          <cell r="K303">
            <v>0.008064</v>
          </cell>
          <cell r="L303" t="str">
            <v>52*50*23</v>
          </cell>
          <cell r="M303">
            <v>12.8</v>
          </cell>
        </row>
        <row r="304">
          <cell r="A304">
            <v>0</v>
          </cell>
          <cell r="B304" t="str">
            <v>GTL-HOK-VlvtBthRg-17x24Blk</v>
          </cell>
          <cell r="C304" t="e">
            <v>#N/A</v>
          </cell>
          <cell r="D304" t="e">
            <v>#N/A</v>
          </cell>
          <cell r="E304" t="e">
            <v>#N/A</v>
          </cell>
        </row>
        <row r="304">
          <cell r="L304" t="str">
            <v>50*50*50</v>
          </cell>
        </row>
        <row r="305">
          <cell r="A305" t="str">
            <v>B0198VDWMY</v>
          </cell>
          <cell r="B305" t="str">
            <v>PWP-SPO-LEDRope-10ft</v>
          </cell>
          <cell r="C305" t="str">
            <v>LED灯绳</v>
          </cell>
          <cell r="D305" t="str">
            <v>LED Light Rope 10 ft</v>
          </cell>
          <cell r="E305" t="str">
            <v>=DISPIMG("ID_022F0D1A135046BCAEE3988D8F87DE34",1)</v>
          </cell>
          <cell r="F305" t="str">
            <v>工具</v>
          </cell>
          <cell r="G305" t="str">
            <v>0.07</v>
          </cell>
          <cell r="H305">
            <v>30.2</v>
          </cell>
          <cell r="I305">
            <v>16.7</v>
          </cell>
          <cell r="J305">
            <v>4.2</v>
          </cell>
          <cell r="K305">
            <v>0.002118228</v>
          </cell>
          <cell r="L305" t="str">
            <v>45 * 43 * 45</v>
          </cell>
          <cell r="M305">
            <v>17.5</v>
          </cell>
        </row>
        <row r="306">
          <cell r="A306" t="str">
            <v>B076LGWYW2</v>
          </cell>
          <cell r="B306" t="str">
            <v>SKY-KND-FMAT-32GY</v>
          </cell>
          <cell r="C306" t="str">
            <v>抗疲劳垫</v>
          </cell>
          <cell r="D306" t="str">
            <v>Anti Fatigue Comfort Floor Mat By Sky Mats</v>
          </cell>
          <cell r="E306" t="str">
            <v>=DISPIMG("ID_2D7B9FD40C1B419880A9E84C765E54B3",1)</v>
          </cell>
          <cell r="F306" t="str">
            <v>脚垫</v>
          </cell>
          <cell r="G306">
            <v>1.4</v>
          </cell>
          <cell r="H306">
            <v>82</v>
          </cell>
          <cell r="I306">
            <v>51</v>
          </cell>
          <cell r="J306">
            <v>2</v>
          </cell>
          <cell r="K306">
            <v>0.008364</v>
          </cell>
          <cell r="L306" t="str">
            <v>84 * 53 * 22</v>
          </cell>
          <cell r="M306">
            <v>14.5</v>
          </cell>
        </row>
        <row r="307">
          <cell r="A307" t="str">
            <v>B07VHFWRF9</v>
          </cell>
          <cell r="B307" t="str">
            <v>EDU-BSS-FshMgKt400</v>
          </cell>
          <cell r="C307" t="str">
            <v>磁铁钓鱼套件</v>
          </cell>
          <cell r="D307" t="str">
            <v>King Kong Magnetics Magnet Fishing Kit - 2.36 inch Strong Neodymium Fishing Magnets w/ 400 lb Pulling Force</v>
          </cell>
          <cell r="E307" t="str">
            <v>=DISPIMG("ID_75058E57207D48A5BFF05AB18C8B5B18",1)</v>
          </cell>
          <cell r="F307" t="str">
            <v>户外</v>
          </cell>
          <cell r="G307">
            <v>0.96</v>
          </cell>
          <cell r="H307">
            <v>21</v>
          </cell>
          <cell r="I307">
            <v>11</v>
          </cell>
          <cell r="J307">
            <v>16</v>
          </cell>
          <cell r="K307">
            <v>0.003696</v>
          </cell>
          <cell r="L307" t="str">
            <v>58 * 23 * 49</v>
          </cell>
          <cell r="M307">
            <v>15.5</v>
          </cell>
        </row>
        <row r="308">
          <cell r="A308" t="str">
            <v>B00I0BS5JY</v>
          </cell>
          <cell r="B308" t="str">
            <v>GDL-ETC-DrWyAlmSnsr500ft</v>
          </cell>
          <cell r="C308" t="str">
            <v>车道警报传感器</v>
          </cell>
          <cell r="D308" t="str">
            <v>Extra 500 ft Sensor for Driveway Alarm Kit</v>
          </cell>
          <cell r="E308" t="str">
            <v>=DISPIMG("ID_9B3602D9997349BB883AF33C72F54285",1)</v>
          </cell>
          <cell r="F308" t="str">
            <v>汽车</v>
          </cell>
          <cell r="G308" t="str">
            <v>0.300</v>
          </cell>
          <cell r="H308">
            <v>14</v>
          </cell>
          <cell r="I308">
            <v>12.5</v>
          </cell>
          <cell r="J308">
            <v>9</v>
          </cell>
          <cell r="K308">
            <v>0.001575</v>
          </cell>
          <cell r="L308" t="str">
            <v>46 * 39 * 28</v>
          </cell>
          <cell r="M308">
            <v>8.8</v>
          </cell>
        </row>
        <row r="309">
          <cell r="A309" t="str">
            <v>B0B2JFNG69</v>
          </cell>
          <cell r="B309" t="str">
            <v>YHG-HOK-FD-SC206</v>
          </cell>
          <cell r="C309" t="str">
            <v>硅胶烘焙垫</v>
          </cell>
          <cell r="D309" t="str">
            <v>Fine Dine-Silicone baking mat set of 3-teal blue</v>
          </cell>
          <cell r="E309" t="str">
            <v>=DISPIMG("ID_05E2BA703F18406AA9E0C382C5E8B8CE",1)</v>
          </cell>
          <cell r="F309" t="str">
            <v>厨房用具</v>
          </cell>
          <cell r="G309" t="str">
            <v>0.400</v>
          </cell>
          <cell r="H309">
            <v>33</v>
          </cell>
          <cell r="I309">
            <v>5</v>
          </cell>
          <cell r="J309">
            <v>5</v>
          </cell>
          <cell r="K309">
            <v>0.000825</v>
          </cell>
          <cell r="L309" t="str">
            <v>43 * 29 * 36</v>
          </cell>
          <cell r="M309">
            <v>12.8</v>
          </cell>
        </row>
        <row r="310">
          <cell r="A310" t="str">
            <v>B07N8HFW6D</v>
          </cell>
          <cell r="B310" t="str">
            <v>HAD-HAK-SpgHld-Wht</v>
          </cell>
          <cell r="C310" t="str">
            <v>海绵托白色</v>
          </cell>
          <cell r="D310" t="str">
            <v>Sponge Holder White</v>
          </cell>
          <cell r="E310" t="str">
            <v>=DISPIMG("ID_6C4342EECC6246F5960540BF9E97B50E",1)</v>
          </cell>
          <cell r="F310" t="str">
            <v>清洁</v>
          </cell>
          <cell r="G310" t="str">
            <v>0.3</v>
          </cell>
          <cell r="H310">
            <v>7.6</v>
          </cell>
          <cell r="I310">
            <v>7.6</v>
          </cell>
          <cell r="J310">
            <v>8.9</v>
          </cell>
          <cell r="K310">
            <v>0.000514064</v>
          </cell>
          <cell r="L310" t="str">
            <v>45.5X34.5X41.6</v>
          </cell>
          <cell r="M310">
            <v>8</v>
          </cell>
        </row>
        <row r="311">
          <cell r="A311" t="str">
            <v>B07J6FWK57</v>
          </cell>
          <cell r="B311" t="str">
            <v>HSL-CFA-PhnCrChg-30W</v>
          </cell>
          <cell r="C311" t="str">
            <v>车载充电器适配器</v>
          </cell>
          <cell r="D311" t="str">
            <v>Phone Car Charger by Hussel 30W / 5.4A</v>
          </cell>
          <cell r="E311" t="str">
            <v>=DISPIMG("ID_68C957E9BFF4440DA078299A99475C90",1)</v>
          </cell>
          <cell r="F311" t="str">
            <v>汽车</v>
          </cell>
          <cell r="G311" t="str">
            <v>0.1</v>
          </cell>
          <cell r="H311">
            <v>8.5</v>
          </cell>
          <cell r="I311">
            <v>5</v>
          </cell>
          <cell r="J311">
            <v>4</v>
          </cell>
          <cell r="K311">
            <v>0.00017</v>
          </cell>
          <cell r="L311" t="str">
            <v>53 *29 * 21</v>
          </cell>
          <cell r="M311">
            <v>6.4</v>
          </cell>
        </row>
        <row r="312">
          <cell r="A312" t="str">
            <v>B0B2JGCKZV</v>
          </cell>
          <cell r="B312" t="str">
            <v>YHG-HOK-FD-SC207</v>
          </cell>
          <cell r="C312" t="str">
            <v>硅胶烘焙垫</v>
          </cell>
          <cell r="D312" t="str">
            <v>Fine Dine-Silicone baking mat set of 3-green</v>
          </cell>
          <cell r="E312" t="str">
            <v>=DISPIMG("ID_A6B277CE7FD04B49A6ED0B2F4157ACD7",1)</v>
          </cell>
          <cell r="F312" t="str">
            <v>厨房用具</v>
          </cell>
          <cell r="G312" t="str">
            <v>0.400</v>
          </cell>
          <cell r="H312">
            <v>33</v>
          </cell>
          <cell r="I312">
            <v>5</v>
          </cell>
          <cell r="J312">
            <v>5</v>
          </cell>
          <cell r="K312">
            <v>0.000825</v>
          </cell>
          <cell r="L312" t="str">
            <v>43 * 29 * 36</v>
          </cell>
          <cell r="M312">
            <v>12.8</v>
          </cell>
        </row>
        <row r="313">
          <cell r="A313" t="str">
            <v>B01N99056Q</v>
          </cell>
          <cell r="B313" t="str">
            <v>GTL-HOK-VlvtBthRg-17x24Nvy</v>
          </cell>
          <cell r="C313" t="str">
            <v>天鹅绒记忆浴室地毯-海军蓝</v>
          </cell>
          <cell r="D313" t="str">
            <v>VELVET MEMORY BATHROOM RUG-NAVY</v>
          </cell>
          <cell r="E313" t="str">
            <v>=DISPIMG("ID_378471AAFBAC4CFD82650E63578DA737",1)</v>
          </cell>
          <cell r="F313" t="str">
            <v>脚垫</v>
          </cell>
          <cell r="G313" t="str">
            <v>0.1</v>
          </cell>
          <cell r="H313">
            <v>43.2</v>
          </cell>
          <cell r="I313">
            <v>61</v>
          </cell>
          <cell r="J313">
            <v>2</v>
          </cell>
          <cell r="K313">
            <v>0.0052704</v>
          </cell>
          <cell r="L313" t="str">
            <v>61x45x44</v>
          </cell>
          <cell r="M313">
            <v>12.5</v>
          </cell>
        </row>
        <row r="314">
          <cell r="A314" t="str">
            <v>B0198VDWPQ</v>
          </cell>
          <cell r="B314" t="str">
            <v>PWP-SPO-LEDRope-5ft</v>
          </cell>
          <cell r="C314" t="str">
            <v>LED灯绳</v>
          </cell>
          <cell r="D314" t="str">
            <v>LED Light Rope 5ft</v>
          </cell>
          <cell r="E314" t="str">
            <v>=DISPIMG("ID_59FC5AA8F8DE49E786B7041DD5C47DD5",1)</v>
          </cell>
          <cell r="F314" t="str">
            <v>工具</v>
          </cell>
          <cell r="G314">
            <v>0.1</v>
          </cell>
          <cell r="H314">
            <v>21</v>
          </cell>
          <cell r="I314">
            <v>14</v>
          </cell>
          <cell r="J314">
            <v>5</v>
          </cell>
          <cell r="K314">
            <v>0.00147</v>
          </cell>
          <cell r="L314" t="str">
            <v>37 * 45 * 46</v>
          </cell>
          <cell r="M314">
            <v>15.3</v>
          </cell>
        </row>
        <row r="315">
          <cell r="A315" t="str">
            <v>B07S25NCHB</v>
          </cell>
          <cell r="B315" t="str">
            <v>LAA-SAO-BbyTNS-2prWP24Mnth</v>
          </cell>
          <cell r="C315" t="str">
            <v>绞花针织紧身裤</v>
          </cell>
          <cell r="D315" t="str">
            <v>Baby Tights Non Skid 2 Pairs White &amp; Pink, 12-24 Months</v>
          </cell>
          <cell r="E315" t="str">
            <v>=DISPIMG("ID_0C3C79E3EA2F4CBE843FB514B404A1D0",1)</v>
          </cell>
          <cell r="F315" t="str">
            <v>衣物</v>
          </cell>
          <cell r="G315">
            <v>0.12</v>
          </cell>
          <cell r="H315">
            <v>14</v>
          </cell>
          <cell r="I315">
            <v>12</v>
          </cell>
          <cell r="J315">
            <v>6</v>
          </cell>
          <cell r="K315">
            <v>0.001008</v>
          </cell>
          <cell r="L315" t="str">
            <v>55*44*42</v>
          </cell>
          <cell r="M315">
            <v>10.6</v>
          </cell>
        </row>
        <row r="316">
          <cell r="A316" t="str">
            <v>B0B2JDSV74</v>
          </cell>
          <cell r="B316" t="str">
            <v>YHG-HOK-FD-SC205</v>
          </cell>
          <cell r="C316" t="str">
            <v>硅胶烘焙垫</v>
          </cell>
          <cell r="D316" t="str">
            <v>Fine Dine-Silicone baking mat set of 3-red</v>
          </cell>
          <cell r="E316" t="str">
            <v>=DISPIMG("ID_F3174E8CF828402689642D5577FE2775",1)</v>
          </cell>
          <cell r="F316" t="str">
            <v>厨房用具</v>
          </cell>
          <cell r="G316" t="str">
            <v>0.400</v>
          </cell>
          <cell r="H316">
            <v>32</v>
          </cell>
          <cell r="I316">
            <v>5</v>
          </cell>
          <cell r="J316">
            <v>5</v>
          </cell>
          <cell r="K316">
            <v>0.0008</v>
          </cell>
          <cell r="L316" t="str">
            <v>43 * 29 * 36</v>
          </cell>
          <cell r="M316">
            <v>12.8</v>
          </cell>
        </row>
        <row r="317">
          <cell r="A317" t="str">
            <v>B08172M1KW</v>
          </cell>
          <cell r="B317" t="str">
            <v>BBD-BBY-VlvtHngr-Pnk15pk</v>
          </cell>
          <cell r="C317" t="str">
            <v>婴儿衣架</v>
          </cell>
          <cell r="D317" t="str">
            <v>Velvet Baby Hangers Pink 15 Pack</v>
          </cell>
          <cell r="E317" t="str">
            <v>=DISPIMG("ID_49AC89B9EC1246C391231889E430BCD2",1)</v>
          </cell>
          <cell r="F317" t="str">
            <v>衣架</v>
          </cell>
          <cell r="G317">
            <v>0.8</v>
          </cell>
          <cell r="H317">
            <v>28</v>
          </cell>
          <cell r="I317">
            <v>25</v>
          </cell>
          <cell r="J317">
            <v>6</v>
          </cell>
          <cell r="K317">
            <v>0.0042</v>
          </cell>
          <cell r="L317" t="str">
            <v>46*53*30</v>
          </cell>
          <cell r="M317">
            <v>13</v>
          </cell>
        </row>
        <row r="318">
          <cell r="A318" t="str">
            <v>B0756KSLFV</v>
          </cell>
          <cell r="B318" t="str">
            <v>YHG-HOK-WdPntHngrMcp-Chy10pk</v>
          </cell>
          <cell r="C318" t="str">
            <v>木衣架</v>
          </cell>
          <cell r="D318" t="str">
            <v>Wooden Skirt Hangers With Metal Clips Cherry set of 10</v>
          </cell>
          <cell r="E318" t="str">
            <v>=DISPIMG("ID_446C55B46603456793AB2E6EC2F3EC3E",1)</v>
          </cell>
          <cell r="F318" t="str">
            <v>衣架</v>
          </cell>
          <cell r="G318" t="str">
            <v>1.040</v>
          </cell>
          <cell r="H318">
            <v>34</v>
          </cell>
          <cell r="I318">
            <v>18.3</v>
          </cell>
          <cell r="J318">
            <v>8.7</v>
          </cell>
          <cell r="K318">
            <v>0.00541314</v>
          </cell>
          <cell r="L318" t="str">
            <v>55*35*36</v>
          </cell>
          <cell r="M318">
            <v>12.5</v>
          </cell>
        </row>
        <row r="319">
          <cell r="A319" t="str">
            <v>B079H5MDZB</v>
          </cell>
          <cell r="B319" t="str">
            <v>YHG-HOK-RlChrsTreBg-9Red1</v>
          </cell>
          <cell r="C319" t="str">
            <v>圣诞树收纳袋</v>
          </cell>
          <cell r="D319" t="str">
            <v>Premium Rolling Large Christmas Tree Storage Bag- Fits Upto 7.5ft. Artificial Disassembled Trees</v>
          </cell>
          <cell r="E319" t="str">
            <v>=DISPIMG("ID_69DC3501D4BD4DAFBE00BF1F50D59685",1)</v>
          </cell>
          <cell r="F319" t="str">
            <v>圣诞</v>
          </cell>
          <cell r="G319" t="str">
            <v>2.420</v>
          </cell>
          <cell r="H319">
            <v>34</v>
          </cell>
          <cell r="I319">
            <v>39.5</v>
          </cell>
          <cell r="J319">
            <v>9</v>
          </cell>
          <cell r="K319">
            <v>0.012087</v>
          </cell>
          <cell r="L319" t="str">
            <v>35*41.5*52.5</v>
          </cell>
          <cell r="M319">
            <v>14.7</v>
          </cell>
        </row>
        <row r="320">
          <cell r="A320" t="str">
            <v>B088D9C8RR</v>
          </cell>
          <cell r="B320" t="str">
            <v>PLT-GAO-HiBkCsn-Grn</v>
          </cell>
          <cell r="C320" t="str">
            <v>高背双垫</v>
          </cell>
          <cell r="D320" t="str">
            <v>High Back Double Cushion Green</v>
          </cell>
          <cell r="E320" t="str">
            <v>=DISPIMG("ID_687CCD009D4F47C29AD8C54B00007EBF",1)</v>
          </cell>
        </row>
        <row r="320">
          <cell r="L320" t="str">
            <v>50*50*50</v>
          </cell>
        </row>
        <row r="321">
          <cell r="A321" t="str">
            <v>B0788Z13K2</v>
          </cell>
          <cell r="B321" t="str">
            <v>PWP-AZL-LEDBkL-PROL</v>
          </cell>
          <cell r="C321" t="str">
            <v>电视背光灯条</v>
          </cell>
          <cell r="D321" t="str">
            <v>LED Backlight Pro L</v>
          </cell>
          <cell r="E321" t="str">
            <v>=DISPIMG("ID_98E9858177CC4CB29B1D1573F69A3F77",1)</v>
          </cell>
          <cell r="F321" t="str">
            <v>工具</v>
          </cell>
          <cell r="G321" t="str">
            <v>0.15</v>
          </cell>
          <cell r="H321">
            <v>17</v>
          </cell>
          <cell r="I321">
            <v>15</v>
          </cell>
          <cell r="J321">
            <v>3</v>
          </cell>
          <cell r="K321">
            <v>0.000765</v>
          </cell>
          <cell r="L321" t="str">
            <v>38 * 47 * 34</v>
          </cell>
          <cell r="M321">
            <v>12.5</v>
          </cell>
        </row>
        <row r="322">
          <cell r="A322" t="str">
            <v>B01AMOB3C2</v>
          </cell>
          <cell r="B322" t="str">
            <v>PWP-SPO-LEDRope-PLS5ft</v>
          </cell>
          <cell r="C322" t="str">
            <v>LED灯绳</v>
          </cell>
          <cell r="D322" t="str">
            <v>Lithium 4400 Battery Pack</v>
          </cell>
          <cell r="E322" t="str">
            <v>=DISPIMG("ID_ADDAAFD5F719468E9A10FF8154AF597A",1)</v>
          </cell>
          <cell r="F322" t="str">
            <v>工具</v>
          </cell>
          <cell r="G322" t="str">
            <v>0.35</v>
          </cell>
          <cell r="H322">
            <v>30</v>
          </cell>
          <cell r="I322">
            <v>16</v>
          </cell>
          <cell r="J322">
            <v>7</v>
          </cell>
          <cell r="K322">
            <v>0.00336</v>
          </cell>
          <cell r="L322" t="str">
            <v>45 * 43 * 45</v>
          </cell>
          <cell r="M322">
            <v>17.5</v>
          </cell>
        </row>
        <row r="323">
          <cell r="A323" t="str">
            <v>B072FL2FHN</v>
          </cell>
          <cell r="B323" t="str">
            <v>PLT-GAO-LtnBchCsn-LuxGrn</v>
          </cell>
          <cell r="C323" t="str">
            <v>长凳坐垫</v>
          </cell>
          <cell r="D323" t="str">
            <v>Luxury Lutyens Bench Cushion Green</v>
          </cell>
          <cell r="E323" t="str">
            <v>=DISPIMG("ID_00677A56EBBF49498927D19D36B90C90",1)</v>
          </cell>
          <cell r="F323" t="str">
            <v>桌椅</v>
          </cell>
          <cell r="G323" t="str">
            <v>1.1</v>
          </cell>
          <cell r="H323">
            <v>114.7</v>
          </cell>
          <cell r="I323">
            <v>44</v>
          </cell>
          <cell r="J323">
            <v>5</v>
          </cell>
          <cell r="K323">
            <v>0.025234</v>
          </cell>
          <cell r="L323" t="str">
            <v>115*44.5*56</v>
          </cell>
          <cell r="M323">
            <v>12.2</v>
          </cell>
        </row>
        <row r="324">
          <cell r="A324" t="str">
            <v>B088JRLCCY</v>
          </cell>
          <cell r="B324" t="str">
            <v>LAA-SAO-ChCA-4prGrs4EU</v>
          </cell>
          <cell r="C324" t="str">
            <v>毛绒抓地小腿袜</v>
          </cell>
          <cell r="D324" t="str">
            <v>Chausettes Cocoon AntidÃt Gris x 4, 36-41 EU</v>
          </cell>
          <cell r="E324" t="str">
            <v>=DISPIMG("ID_C76394B3E8584382B06D587F00B7348F",1)</v>
          </cell>
          <cell r="F324" t="str">
            <v>衣物</v>
          </cell>
          <cell r="G324" t="str">
            <v>0.354</v>
          </cell>
          <cell r="H324" t="str">
            <v>21.8</v>
          </cell>
          <cell r="I324" t="str">
            <v>20.6</v>
          </cell>
          <cell r="J324" t="str">
            <v>6.2</v>
          </cell>
          <cell r="K324">
            <v>0.002784296</v>
          </cell>
          <cell r="L324" t="str">
            <v>58*48*32</v>
          </cell>
          <cell r="M324">
            <v>13</v>
          </cell>
        </row>
        <row r="325">
          <cell r="A325" t="str">
            <v>B08BS5CH2B</v>
          </cell>
          <cell r="B325" t="str">
            <v>YHG-HOK-LgtStrgBx-WvRed</v>
          </cell>
          <cell r="C325" t="str">
            <v>圣诞饰品收纳</v>
          </cell>
          <cell r="D325" t="str">
            <v>LIGHT STORAGE BOX</v>
          </cell>
          <cell r="E325" t="str">
            <v>=DISPIMG("ID_CE35CBEC4BDE472794B96CC8BB384C7B",1)</v>
          </cell>
          <cell r="F325" t="str">
            <v>圣诞</v>
          </cell>
        </row>
        <row r="325">
          <cell r="L325" t="str">
            <v>50*50*50</v>
          </cell>
        </row>
        <row r="326">
          <cell r="A326" t="str">
            <v>B07RL93ZDG</v>
          </cell>
          <cell r="B326" t="str">
            <v>YHG-HOK-PltRlChrsTreBg-75Red</v>
          </cell>
          <cell r="C326" t="str">
            <v>圣诞树收纳袋</v>
          </cell>
          <cell r="D326" t="str">
            <v>ROLLING STORAGE BAG</v>
          </cell>
          <cell r="E326" t="str">
            <v>=DISPIMG("ID_446D564E44DB41D7A0D2C4B9C9EFB28D",1)</v>
          </cell>
          <cell r="F326" t="str">
            <v>圣诞</v>
          </cell>
          <cell r="G326" t="str">
            <v>1.400</v>
          </cell>
          <cell r="H326">
            <v>38.6</v>
          </cell>
          <cell r="I326" t="str">
            <v>8.7</v>
          </cell>
          <cell r="J326" t="str">
            <v>32.7</v>
          </cell>
          <cell r="K326">
            <v>0.010981314</v>
          </cell>
          <cell r="L326" t="str">
            <v>50*50*50</v>
          </cell>
        </row>
        <row r="327">
          <cell r="A327" t="str">
            <v>B01N8TPQC0</v>
          </cell>
          <cell r="B327" t="str">
            <v>YHG-HOK-NsVlvtHngr-Pnk50pk</v>
          </cell>
          <cell r="C327" t="str">
            <v>天鹅绒衣架</v>
          </cell>
          <cell r="D327" t="str">
            <v>ZOBER Premium Quality Space Saving Velvet Hangers</v>
          </cell>
          <cell r="E327" t="str">
            <v>=DISPIMG("ID_F17B8A2AC8404505800700B2DC55D40F",1)</v>
          </cell>
          <cell r="F327" t="str">
            <v>衣架</v>
          </cell>
          <cell r="G327">
            <v>3.5</v>
          </cell>
          <cell r="H327" t="str">
            <v>15.0</v>
          </cell>
          <cell r="I327">
            <v>33</v>
          </cell>
          <cell r="J327">
            <v>15</v>
          </cell>
          <cell r="K327">
            <v>0.007425</v>
          </cell>
          <cell r="L327" t="str">
            <v>45 * 35 * 60</v>
          </cell>
          <cell r="M327">
            <v>15</v>
          </cell>
        </row>
        <row r="328">
          <cell r="A328" t="str">
            <v>B07C412KYF</v>
          </cell>
          <cell r="B328" t="str">
            <v>VLT-CSJ-MtShoHrn-1652pk</v>
          </cell>
          <cell r="C328" t="str">
            <v>金属鞋拔</v>
          </cell>
          <cell r="D328" t="str">
            <v>Metal Shoe Horn 16.5" 2 Pack</v>
          </cell>
          <cell r="E328" t="str">
            <v>=DISPIMG("ID_DF6E32A9B7C64C9B89DD4785549DE8AE",1)</v>
          </cell>
          <cell r="F328" t="str">
            <v>工具</v>
          </cell>
          <cell r="G328" t="str">
            <v>0.400</v>
          </cell>
          <cell r="H328">
            <v>42</v>
          </cell>
          <cell r="I328">
            <v>5.5</v>
          </cell>
          <cell r="J328">
            <v>4</v>
          </cell>
          <cell r="K328">
            <v>0.000924</v>
          </cell>
          <cell r="L328" t="str">
            <v>55 * 22 * 12</v>
          </cell>
          <cell r="M328">
            <v>19.2</v>
          </cell>
        </row>
        <row r="329">
          <cell r="A329" t="str">
            <v>B01G7STKUE</v>
          </cell>
          <cell r="B329" t="str">
            <v>PWP-AZL-LEDString-5ft</v>
          </cell>
          <cell r="C329" t="str">
            <v>LED灯绳</v>
          </cell>
          <cell r="D329" t="str">
            <v>LED String 5ft</v>
          </cell>
          <cell r="E329" t="str">
            <v>=DISPIMG("ID_8909783268C8498E9C9F649AB5A7F9EC",1)</v>
          </cell>
          <cell r="F329" t="str">
            <v>工具</v>
          </cell>
          <cell r="G329">
            <v>0.15</v>
          </cell>
          <cell r="H329">
            <v>16</v>
          </cell>
          <cell r="I329">
            <v>21</v>
          </cell>
          <cell r="J329">
            <v>5</v>
          </cell>
          <cell r="K329">
            <v>0.00168</v>
          </cell>
          <cell r="L329" t="str">
            <v>37 * 46 * 46</v>
          </cell>
          <cell r="M329">
            <v>13.2</v>
          </cell>
        </row>
        <row r="330">
          <cell r="A330" t="str">
            <v>B083JNYFKY</v>
          </cell>
          <cell r="B330" t="str">
            <v>BBD-BBY-TyCrd-Chlkf48pk1</v>
          </cell>
          <cell r="C330" t="str">
            <v>感谢卡</v>
          </cell>
          <cell r="D330" t="str">
            <v>Thank You Cards Chalkboard Floral 48 Pack 1</v>
          </cell>
          <cell r="E330" t="str">
            <v>=DISPIMG("ID_80BF178D8BA94FAABF17CC741667B280",1)</v>
          </cell>
          <cell r="F330" t="str">
            <v>贺卡</v>
          </cell>
          <cell r="G330" t="str">
            <v>0.69</v>
          </cell>
          <cell r="H330" t="str">
            <v>23.0</v>
          </cell>
          <cell r="I330" t="str">
            <v>3.7</v>
          </cell>
          <cell r="J330" t="str">
            <v>16.8</v>
          </cell>
          <cell r="K330">
            <v>0.00142968</v>
          </cell>
          <cell r="L330" t="str">
            <v>53 * 25 * 38</v>
          </cell>
          <cell r="M330">
            <v>22</v>
          </cell>
        </row>
        <row r="331">
          <cell r="A331" t="str">
            <v>B08PL6MC7G</v>
          </cell>
          <cell r="B331" t="str">
            <v>YHG-KND-SwgBrBtl-16Amb6pk</v>
          </cell>
          <cell r="C331" t="str">
            <v>平顶玻璃瓶</v>
          </cell>
          <cell r="D331" t="str">
            <v>Amber Glass Swing Top Beer Bottles 16-Ounce (6-Pack) Grolsch Bottles, with Flip-Top Airtight Lid, for Carbonated Drinks</v>
          </cell>
          <cell r="E331" t="str">
            <v>=DISPIMG("ID_37F6927CEB5F4F17999FF80D2AD70B19",1)</v>
          </cell>
          <cell r="F331" t="str">
            <v>厨房用具</v>
          </cell>
          <cell r="G331">
            <v>0.5</v>
          </cell>
          <cell r="H331">
            <v>23</v>
          </cell>
          <cell r="I331">
            <v>8</v>
          </cell>
          <cell r="J331">
            <v>8</v>
          </cell>
          <cell r="K331">
            <v>0.001472</v>
          </cell>
          <cell r="L331" t="str">
            <v>30 * 20 * 28</v>
          </cell>
        </row>
        <row r="332">
          <cell r="A332" t="str">
            <v>B08Q3LCFDV</v>
          </cell>
          <cell r="B332" t="str">
            <v>LAA-SAO-CtnNs-3prPRI6/12Mnth</v>
          </cell>
          <cell r="C332" t="str">
            <v>棉质紧身裤</v>
          </cell>
          <cell r="D332" t="str">
            <v>LA Active Cotton Tights with Non-Slip Grip - Cozy Leggings for Baby, Toddlers and Kids Pink / Rose/Indigo- 3 Pairs, 6-12 Months</v>
          </cell>
          <cell r="E332" t="str">
            <v>=DISPIMG("ID_5ED9480EA2654BB3978DF410070E9AFB",1)</v>
          </cell>
          <cell r="F332" t="str">
            <v>衣物</v>
          </cell>
          <cell r="G332" t="str">
            <v>0.054</v>
          </cell>
          <cell r="H332">
            <v>16.3</v>
          </cell>
          <cell r="I332">
            <v>12.3</v>
          </cell>
          <cell r="J332">
            <v>6.8</v>
          </cell>
          <cell r="K332">
            <v>0.001363332</v>
          </cell>
          <cell r="L332" t="str">
            <v>58*48*32</v>
          </cell>
          <cell r="M332">
            <v>13</v>
          </cell>
        </row>
        <row r="333">
          <cell r="A333" t="str">
            <v>B016LI8E4S</v>
          </cell>
          <cell r="B333" t="str">
            <v>TWG-BPC-TwzrSlnt-Bk</v>
          </cell>
          <cell r="C333" t="str">
            <v>斜尖镊子</v>
          </cell>
          <cell r="D333" t="str">
            <v>Slant Tweezers - Tweezer Guru Professional Stainless Steel Slant Tip Tweezer - The Best Precision Eyebrow Tweezers for Your Daily Beauty Routine</v>
          </cell>
          <cell r="E333" t="str">
            <v>=DISPIMG("ID_0E6D710ADB394314BDA704C4555A8F54",1)</v>
          </cell>
          <cell r="F333" t="str">
            <v>美容</v>
          </cell>
          <cell r="G333" t="str">
            <v>0.090</v>
          </cell>
          <cell r="H333" t="str">
            <v>14.0</v>
          </cell>
          <cell r="I333" t="str">
            <v>0.6</v>
          </cell>
          <cell r="J333" t="str">
            <v>3.4</v>
          </cell>
          <cell r="K333">
            <v>2.856e-5</v>
          </cell>
          <cell r="L333" t="str">
            <v>19*13*18</v>
          </cell>
          <cell r="M333">
            <v>3</v>
          </cell>
        </row>
        <row r="334">
          <cell r="A334" t="str">
            <v>B0754M8GD3</v>
          </cell>
          <cell r="B334" t="str">
            <v>KHM-BPC-NlClp-448</v>
          </cell>
          <cell r="C334" t="str">
            <v>指甲钳</v>
          </cell>
          <cell r="D334" t="str">
            <v>WHS-448L Nail Clipper with Curved Blade and Built In File 3.25 inches</v>
          </cell>
          <cell r="E334" t="str">
            <v>=DISPIMG("ID_D4E0670A543B494194998E3A55743529",1)</v>
          </cell>
          <cell r="F334" t="str">
            <v>指甲钳</v>
          </cell>
          <cell r="G334">
            <v>0.1</v>
          </cell>
          <cell r="H334">
            <v>14</v>
          </cell>
          <cell r="I334">
            <v>7</v>
          </cell>
          <cell r="J334">
            <v>3</v>
          </cell>
          <cell r="K334">
            <v>0.000294</v>
          </cell>
          <cell r="L334" t="str">
            <v>68*33*16</v>
          </cell>
          <cell r="M334">
            <v>9</v>
          </cell>
        </row>
        <row r="335">
          <cell r="A335" t="str">
            <v>B01466XCSA</v>
          </cell>
          <cell r="B335" t="str">
            <v>DAT-APA-LnRef-40</v>
          </cell>
          <cell r="C335" t="str">
            <v>汽车垃圾桶内衬</v>
          </cell>
          <cell r="D335" t="str">
            <v>Liner Refill Kit (40 Pack) - The DRIVE Car Bin</v>
          </cell>
          <cell r="E335" t="str">
            <v>=DISPIMG("ID_AFCCA2171C254A7199647810D0D17F0C",1)</v>
          </cell>
          <cell r="F335" t="str">
            <v>汽车</v>
          </cell>
          <cell r="G335">
            <v>0.2</v>
          </cell>
          <cell r="H335">
            <v>10</v>
          </cell>
          <cell r="I335">
            <v>13</v>
          </cell>
          <cell r="J335">
            <v>5</v>
          </cell>
          <cell r="K335">
            <v>0.00065</v>
          </cell>
          <cell r="L335" t="str">
            <v>29 * 40 * 20</v>
          </cell>
          <cell r="M335">
            <v>7.3</v>
          </cell>
        </row>
        <row r="336">
          <cell r="A336" t="str">
            <v>B08BLTBJF3</v>
          </cell>
          <cell r="B336" t="str">
            <v>MXL-KND-BarKit-23pcBsSlv-ASMBL</v>
          </cell>
          <cell r="C336" t="str">
            <v>调酒套件和支架</v>
          </cell>
          <cell r="D336" t="str">
            <v>Bartender Kit 23pc Bamboo Stand Silver</v>
          </cell>
          <cell r="E336" t="str">
            <v>=DISPIMG("ID_7DB03FB752B543DEAAAEB46DCCE93C43",1)</v>
          </cell>
          <cell r="F336" t="str">
            <v>厨房用具</v>
          </cell>
          <cell r="G336">
            <v>2.1</v>
          </cell>
          <cell r="H336">
            <v>35</v>
          </cell>
          <cell r="I336">
            <v>18</v>
          </cell>
          <cell r="J336">
            <v>12</v>
          </cell>
          <cell r="K336">
            <v>0.00756</v>
          </cell>
          <cell r="L336" t="str">
            <v>51*37*36</v>
          </cell>
          <cell r="M336">
            <v>17.5</v>
          </cell>
        </row>
        <row r="337">
          <cell r="A337" t="str">
            <v>B01M6Z8VB1</v>
          </cell>
          <cell r="B337" t="str">
            <v>ECB-BBY-CabLk-12pk</v>
          </cell>
          <cell r="C337" t="str">
            <v>柜锁</v>
          </cell>
          <cell r="D337" t="str">
            <v>Magnetic Cabinet Locks 12 Locks &amp; 2 Keys</v>
          </cell>
          <cell r="E337" t="str">
            <v>=DISPIMG("ID_0700C63018254B08948E945A659DD161",1)</v>
          </cell>
          <cell r="F337" t="str">
            <v>工具</v>
          </cell>
          <cell r="G337">
            <v>0.35</v>
          </cell>
          <cell r="H337">
            <v>22</v>
          </cell>
          <cell r="I337">
            <v>10</v>
          </cell>
          <cell r="J337">
            <v>5</v>
          </cell>
          <cell r="K337">
            <v>0.0011</v>
          </cell>
          <cell r="L337" t="str">
            <v>55 * 46 * 27</v>
          </cell>
          <cell r="M337">
            <v>18.6</v>
          </cell>
        </row>
        <row r="338">
          <cell r="A338" t="str">
            <v>B07RHPXT5K</v>
          </cell>
          <cell r="B338" t="str">
            <v>HSL-CFA-MPhnCrChgH-36W</v>
          </cell>
          <cell r="C338" t="str">
            <v>车载充电器适配器</v>
          </cell>
          <cell r="D338" t="str">
            <v>Metal Phone Car Charger by Hussel 36W / 6A</v>
          </cell>
          <cell r="E338" t="str">
            <v>=DISPIMG("ID_F94D3599C3FC4318A9A4371A636FC757",1)</v>
          </cell>
          <cell r="F338" t="str">
            <v>汽车</v>
          </cell>
          <cell r="G338" t="str">
            <v>0.1</v>
          </cell>
          <cell r="H338">
            <v>8.5</v>
          </cell>
          <cell r="I338">
            <v>5</v>
          </cell>
          <cell r="J338">
            <v>4</v>
          </cell>
          <cell r="K338">
            <v>0.00017</v>
          </cell>
          <cell r="L338" t="str">
            <v>53*30*22</v>
          </cell>
          <cell r="M338">
            <v>6.95</v>
          </cell>
        </row>
        <row r="339">
          <cell r="A339" t="str">
            <v>B01E4Y2OTC</v>
          </cell>
          <cell r="B339" t="str">
            <v>HAR-BPC-NalNip-Thk-UK</v>
          </cell>
          <cell r="C339" t="str">
            <v>脚趾甲剪</v>
          </cell>
          <cell r="D339" t="str">
            <v>Clipper Toenail Think Nail</v>
          </cell>
          <cell r="E339" t="str">
            <v>=DISPIMG("ID_D4224B640E2847EFABBA07D2B6DB7CB5",1)</v>
          </cell>
          <cell r="F339" t="str">
            <v>美容</v>
          </cell>
          <cell r="G339" t="str">
            <v>0.034</v>
          </cell>
          <cell r="H339">
            <v>10.2</v>
          </cell>
          <cell r="I339">
            <v>1</v>
          </cell>
          <cell r="J339">
            <v>6.4</v>
          </cell>
          <cell r="K339">
            <v>6.528e-5</v>
          </cell>
          <cell r="L339" t="str">
            <v>50*50*50</v>
          </cell>
        </row>
        <row r="340">
          <cell r="A340" t="str">
            <v>B07S384DFY</v>
          </cell>
          <cell r="B340" t="str">
            <v>LAA-SAO-BbyTNS-2prCN6Mnth</v>
          </cell>
          <cell r="C340" t="str">
            <v>绞花针织紧身裤</v>
          </cell>
          <cell r="D340" t="str">
            <v>Baby Tights 2 Pairs Non Skid/ Cream &amp; Navy, 3-6 Months</v>
          </cell>
          <cell r="E340" t="str">
            <v>=DISPIMG("ID_D1BFA4F1F6744CD69A7D343659EAF1D8",1)</v>
          </cell>
          <cell r="F340" t="str">
            <v>衣物</v>
          </cell>
          <cell r="G340" t="str">
            <v>0.054</v>
          </cell>
          <cell r="H340">
            <v>16.3</v>
          </cell>
          <cell r="I340">
            <v>12.3</v>
          </cell>
          <cell r="J340">
            <v>6.8</v>
          </cell>
          <cell r="K340">
            <v>0.001363332</v>
          </cell>
          <cell r="L340" t="str">
            <v>56*44*43</v>
          </cell>
          <cell r="M340">
            <v>11.2</v>
          </cell>
        </row>
        <row r="341">
          <cell r="A341" t="str">
            <v>B07TW2FYNV</v>
          </cell>
          <cell r="B341" t="str">
            <v>BCV-TOG-HovBalLed-2pk</v>
          </cell>
          <cell r="C341" t="str">
            <v>悬停足球</v>
          </cell>
          <cell r="D341" t="str">
            <v>Hover Soccer Ball with LED 2Pack</v>
          </cell>
          <cell r="E341" t="str">
            <v>=DISPIMG("ID_9F84C4E3A5634452955AAF935B50BCB5",1)</v>
          </cell>
          <cell r="F341" t="str">
            <v>户外</v>
          </cell>
        </row>
        <row r="341">
          <cell r="L341" t="str">
            <v>50*50*50</v>
          </cell>
        </row>
        <row r="342">
          <cell r="A342" t="e">
            <v>#N/A</v>
          </cell>
          <cell r="B342" t="str">
            <v>B0844PG81M</v>
          </cell>
          <cell r="C342" t="e">
            <v>#N/A</v>
          </cell>
          <cell r="D342" t="e">
            <v>#N/A</v>
          </cell>
          <cell r="E342" t="e">
            <v>#N/A</v>
          </cell>
        </row>
        <row r="342">
          <cell r="L342" t="str">
            <v>50*50*50</v>
          </cell>
        </row>
        <row r="343">
          <cell r="A343" t="str">
            <v>B08CRYGN5S</v>
          </cell>
          <cell r="B343" t="str">
            <v>YHG-HOK-OrnSrtgBx-3128Blk</v>
          </cell>
          <cell r="C343" t="str">
            <v>饰品收纳</v>
          </cell>
          <cell r="D343" t="str">
            <v>Christmas Ornament Storage Box 12 Compartment Black</v>
          </cell>
          <cell r="E343" t="str">
            <v>=DISPIMG("ID_158FB29AC41C436B8E93D461BE5B0C2F",1)</v>
          </cell>
          <cell r="F343" t="str">
            <v>圣诞</v>
          </cell>
        </row>
        <row r="343">
          <cell r="L343" t="str">
            <v>50*50*50</v>
          </cell>
        </row>
        <row r="344">
          <cell r="A344" t="str">
            <v>B00Z7N7KGW</v>
          </cell>
          <cell r="B344" t="str">
            <v>BRH-APA-StarterSet</v>
          </cell>
          <cell r="C344" t="str">
            <v>汽车轮刷</v>
          </cell>
          <cell r="D344" t="str">
            <v>Water Powered Wheel Brush Starter Set</v>
          </cell>
          <cell r="E344" t="str">
            <v>=DISPIMG("ID_CBA8544B7E7D475DA69DF58C0619ECD9",1)</v>
          </cell>
          <cell r="F344" t="str">
            <v>工具</v>
          </cell>
          <cell r="G344">
            <v>0.3</v>
          </cell>
          <cell r="H344">
            <v>34</v>
          </cell>
          <cell r="I344">
            <v>10</v>
          </cell>
          <cell r="J344">
            <v>7</v>
          </cell>
          <cell r="K344">
            <v>0.00238</v>
          </cell>
          <cell r="L344" t="str">
            <v>51 * 53 * 39</v>
          </cell>
          <cell r="M344">
            <v>14.5</v>
          </cell>
        </row>
        <row r="345">
          <cell r="A345" t="str">
            <v>B07RRBKM1S</v>
          </cell>
          <cell r="B345" t="str">
            <v>BES-KND-FnlSt-Wte4pc</v>
          </cell>
          <cell r="C345" t="str">
            <v>漏斗套装</v>
          </cell>
          <cell r="D345" t="str">
            <v>All Purpose Funnel Set White 4 Pieces</v>
          </cell>
          <cell r="E345" t="str">
            <v>=DISPIMG("ID_F8132D33571D4709943621E53034F375",1)</v>
          </cell>
        </row>
        <row r="345">
          <cell r="G345" t="str">
            <v>0.045</v>
          </cell>
          <cell r="H345" t="str">
            <v>13.9</v>
          </cell>
          <cell r="I345" t="str">
            <v>12.7</v>
          </cell>
          <cell r="J345" t="str">
            <v>2.7</v>
          </cell>
          <cell r="K345">
            <v>0.000476631</v>
          </cell>
          <cell r="L345" t="str">
            <v> 56*16*40</v>
          </cell>
        </row>
        <row r="346">
          <cell r="A346" t="str">
            <v>B07H1YDGK4</v>
          </cell>
          <cell r="B346" t="str">
            <v>GRB-CFA-PhnLanWb-Blk</v>
          </cell>
          <cell r="C346" t="str">
            <v>手机挂绳</v>
          </cell>
          <cell r="D346" t="str">
            <v>Cell Phone Silicone Lanyard Web Back Black</v>
          </cell>
          <cell r="E346" t="str">
            <v>=DISPIMG("ID_4A0977664DCE4BF386DA6DFB243C614F",1)</v>
          </cell>
          <cell r="F346" t="str">
            <v>工具</v>
          </cell>
          <cell r="G346">
            <v>0.025</v>
          </cell>
          <cell r="H346">
            <v>24</v>
          </cell>
          <cell r="I346">
            <v>14</v>
          </cell>
          <cell r="J346">
            <v>1</v>
          </cell>
          <cell r="K346">
            <v>0.000336</v>
          </cell>
          <cell r="L346" t="str">
            <v>44*31*27</v>
          </cell>
          <cell r="M346">
            <v>3</v>
          </cell>
        </row>
        <row r="347">
          <cell r="A347" t="str">
            <v>B08Q34XZVT</v>
          </cell>
          <cell r="B347" t="str">
            <v>LAA-SAO-AnkNw-ClrS6pk3Mnth</v>
          </cell>
          <cell r="C347" t="str">
            <v>抓地力踝袜</v>
          </cell>
          <cell r="D347" t="str">
            <v>AnkleNewborn - 0-3 mos (7cm) - Color Splash - 6 Pack</v>
          </cell>
          <cell r="E347" t="str">
            <v>=DISPIMG("ID_E228982C125940D4868CBE0DEC106AC5",1)</v>
          </cell>
          <cell r="F347" t="str">
            <v>衣物</v>
          </cell>
          <cell r="G347">
            <v>0.15</v>
          </cell>
          <cell r="H347">
            <v>14</v>
          </cell>
          <cell r="I347">
            <v>12</v>
          </cell>
          <cell r="J347">
            <v>7</v>
          </cell>
          <cell r="K347">
            <v>0.001176</v>
          </cell>
          <cell r="L347" t="str">
            <v>55*45*43</v>
          </cell>
          <cell r="M347">
            <v>15.6</v>
          </cell>
        </row>
        <row r="348">
          <cell r="A348" t="str">
            <v>B08Q3PHW4Z</v>
          </cell>
          <cell r="B348" t="str">
            <v>LAA-SAO-BbyAth-by6pk3Mnth</v>
          </cell>
          <cell r="C348" t="str">
            <v>抓地力小腿袜</v>
          </cell>
          <cell r="D348" t="str">
            <v>LA Active Athletic Crew Grip Socks Non Slip SocksBoys - 6 Pairs 0-3 Months</v>
          </cell>
          <cell r="E348" t="str">
            <v>=DISPIMG("ID_5F9438D17A7B49FCA990D285D1731AED",1)</v>
          </cell>
          <cell r="F348" t="str">
            <v>衣物</v>
          </cell>
          <cell r="G348">
            <v>0.15</v>
          </cell>
          <cell r="H348">
            <v>14</v>
          </cell>
          <cell r="I348">
            <v>12</v>
          </cell>
          <cell r="J348">
            <v>7</v>
          </cell>
          <cell r="K348">
            <v>0.001176</v>
          </cell>
          <cell r="L348" t="str">
            <v>55*45*43</v>
          </cell>
          <cell r="M348">
            <v>15.6</v>
          </cell>
        </row>
        <row r="349">
          <cell r="A349" t="str">
            <v>B08Q38VJXF</v>
          </cell>
          <cell r="B349" t="str">
            <v>LAA-SAO-AnkNw-Rnb6pk6Mnth</v>
          </cell>
          <cell r="C349" t="str">
            <v>抓地力踝袜</v>
          </cell>
          <cell r="D349" t="str">
            <v>AnkleNewborn - 3-6 mos (8.5cm) - Rainbow - 6 Pack</v>
          </cell>
          <cell r="E349" t="str">
            <v>=DISPIMG("ID_63F2DD74417A45EAB6CF0AD89898CF62",1)</v>
          </cell>
          <cell r="F349" t="str">
            <v>衣物</v>
          </cell>
          <cell r="G349">
            <v>0.15</v>
          </cell>
          <cell r="H349">
            <v>14</v>
          </cell>
          <cell r="I349">
            <v>12</v>
          </cell>
          <cell r="J349">
            <v>7</v>
          </cell>
          <cell r="K349">
            <v>0.001176</v>
          </cell>
          <cell r="L349" t="str">
            <v>55*45*43</v>
          </cell>
          <cell r="M349">
            <v>15.6</v>
          </cell>
        </row>
        <row r="350">
          <cell r="A350" t="str">
            <v>B08Q3D23GH</v>
          </cell>
          <cell r="B350" t="str">
            <v>LAA-SAO-AnkNw-Pst6pk6Mnth</v>
          </cell>
          <cell r="C350" t="str">
            <v>抓地力踝袜</v>
          </cell>
          <cell r="D350" t="str">
            <v>AnkleNewborn - 3-6 mos (8.5cm) - Pastels - 6 Pack</v>
          </cell>
          <cell r="E350" t="str">
            <v>=DISPIMG("ID_1A3FED95C10A460A90223733AF2D41C7",1)</v>
          </cell>
          <cell r="F350" t="str">
            <v>衣物</v>
          </cell>
          <cell r="G350">
            <v>0.15</v>
          </cell>
          <cell r="H350">
            <v>14</v>
          </cell>
          <cell r="I350">
            <v>12</v>
          </cell>
          <cell r="J350">
            <v>7</v>
          </cell>
          <cell r="K350">
            <v>0.001176</v>
          </cell>
          <cell r="L350" t="str">
            <v>55*45*43</v>
          </cell>
          <cell r="M350">
            <v>15.6</v>
          </cell>
        </row>
        <row r="351">
          <cell r="A351" t="str">
            <v>B076B5LT3T</v>
          </cell>
          <cell r="B351" t="str">
            <v>PWP-AZL-LEDShlf3pk-5000K</v>
          </cell>
          <cell r="C351" t="str">
            <v>推灯</v>
          </cell>
          <cell r="D351" t="str">
            <v>LED Shelf Lighting 3 pack 5000K</v>
          </cell>
          <cell r="E351" t="str">
            <v>=DISPIMG("ID_7F4FB93F7D554A4392B85552E023761A",1)</v>
          </cell>
          <cell r="F351" t="str">
            <v>工具</v>
          </cell>
          <cell r="G351">
            <v>0.65</v>
          </cell>
          <cell r="H351">
            <v>23</v>
          </cell>
          <cell r="I351">
            <v>14</v>
          </cell>
          <cell r="J351">
            <v>8</v>
          </cell>
          <cell r="K351">
            <v>0.002576</v>
          </cell>
          <cell r="L351" t="str">
            <v>48*30*41</v>
          </cell>
          <cell r="M351">
            <v>13.7</v>
          </cell>
        </row>
        <row r="352">
          <cell r="A352" t="str">
            <v>B08Q32LYY9</v>
          </cell>
          <cell r="B352" t="str">
            <v>LAA-SAO-CtnNs-5prBGVCB6/12Mnth</v>
          </cell>
          <cell r="C352" t="str">
            <v>棉质紧身裤</v>
          </cell>
          <cell r="D352" t="str">
            <v>LA Active Cotton Tights with Non-Slip Grip - Cozy Leggings for Baby, Toddlers and Kids Burgendy</v>
          </cell>
          <cell r="E352" t="str">
            <v>=DISPIMG("ID_510D1CB6FA5F4DD4A777779E8D211886",1)</v>
          </cell>
          <cell r="F352" t="str">
            <v>衣物</v>
          </cell>
          <cell r="G352" t="str">
            <v>0.054</v>
          </cell>
          <cell r="H352">
            <v>16.3</v>
          </cell>
          <cell r="I352">
            <v>12.3</v>
          </cell>
          <cell r="J352">
            <v>6.8</v>
          </cell>
          <cell r="K352">
            <v>0.001363332</v>
          </cell>
          <cell r="L352" t="str">
            <v>56*44*43</v>
          </cell>
          <cell r="M352">
            <v>11.2</v>
          </cell>
        </row>
        <row r="353">
          <cell r="A353" t="str">
            <v>B07D6FZSBV</v>
          </cell>
          <cell r="B353" t="str">
            <v>LAA-SAO-BbyNs-2prNBlkHGry3yrs</v>
          </cell>
          <cell r="C353" t="str">
            <v>绞花针织紧身裤</v>
          </cell>
          <cell r="D353" t="str">
            <v>Baby 2 Pairs Non Slip Noire Black and Heather Grey, 2-3 Years</v>
          </cell>
          <cell r="E353" t="str">
            <v>=DISPIMG("ID_5552E925D00A41749A73528F3FE88D26",1)</v>
          </cell>
          <cell r="F353" t="str">
            <v>衣物</v>
          </cell>
          <cell r="G353" t="str">
            <v>0.054</v>
          </cell>
          <cell r="H353">
            <v>16.3</v>
          </cell>
          <cell r="I353">
            <v>12.3</v>
          </cell>
          <cell r="J353">
            <v>6.8</v>
          </cell>
          <cell r="K353">
            <v>0.001363332</v>
          </cell>
          <cell r="L353" t="str">
            <v>56*44*43</v>
          </cell>
          <cell r="M353">
            <v>11.2</v>
          </cell>
        </row>
        <row r="354">
          <cell r="A354" t="str">
            <v>B08Q2TT14F</v>
          </cell>
          <cell r="B354" t="str">
            <v>LAA-SAO-BbyTNs-2prVlt&amp;Ivy2T/3T</v>
          </cell>
          <cell r="C354" t="str">
            <v>绞花针织紧身裤</v>
          </cell>
          <cell r="D354" t="str">
            <v>LA Active Baby Tights - 2 Pairs - Non Skid/Slip Cable Knit Violet and Ivory 2T-3T</v>
          </cell>
          <cell r="E354" t="str">
            <v>=DISPIMG("ID_18C79F7691774840A06966FD4E7D95C3",1)</v>
          </cell>
          <cell r="F354" t="str">
            <v>衣物</v>
          </cell>
          <cell r="G354" t="str">
            <v>0.054</v>
          </cell>
          <cell r="H354">
            <v>16.3</v>
          </cell>
          <cell r="I354">
            <v>12.3</v>
          </cell>
          <cell r="J354">
            <v>6.8</v>
          </cell>
          <cell r="K354">
            <v>0.001363332</v>
          </cell>
          <cell r="L354" t="str">
            <v>56*44*43</v>
          </cell>
          <cell r="M354">
            <v>11.2</v>
          </cell>
        </row>
        <row r="355">
          <cell r="A355" t="str">
            <v>B0871C8G3L</v>
          </cell>
          <cell r="B355" t="str">
            <v>LAA-SAO-BbyNS-6prBlk12Mnth</v>
          </cell>
          <cell r="C355" t="str">
            <v>抓地力踝袜</v>
          </cell>
          <cell r="D355" t="str">
            <v>BabyGrip 6 Pairs Non Slip Black, 6-12 Months</v>
          </cell>
          <cell r="E355" t="str">
            <v>=DISPIMG("ID_8433B70FBB0E468D8B8D950DFB6D77CE",1)</v>
          </cell>
          <cell r="F355" t="str">
            <v>衣物</v>
          </cell>
          <cell r="G355" t="str">
            <v>0.281</v>
          </cell>
          <cell r="H355" t="str">
            <v>17.40</v>
          </cell>
          <cell r="I355" t="str">
            <v>17.20</v>
          </cell>
          <cell r="J355" t="str">
            <v>8.10</v>
          </cell>
          <cell r="K355">
            <v>0.002424168</v>
          </cell>
          <cell r="L355" t="str">
            <v>55*45*43</v>
          </cell>
          <cell r="M355">
            <v>12.3</v>
          </cell>
        </row>
        <row r="356">
          <cell r="A356" t="str">
            <v>B01BKU7B7I</v>
          </cell>
          <cell r="B356" t="str">
            <v>PWP-AZL-LEDBkL-WhM</v>
          </cell>
          <cell r="C356" t="str">
            <v>电视背光灯条</v>
          </cell>
          <cell r="D356" t="str">
            <v>LED Backlight White M</v>
          </cell>
          <cell r="E356" t="str">
            <v>=DISPIMG("ID_4925647C327B430D8C3FCDB3975A814A",1)</v>
          </cell>
          <cell r="F356" t="str">
            <v>工具</v>
          </cell>
          <cell r="G356" t="str">
            <v>0.2</v>
          </cell>
          <cell r="H356" t="str">
            <v>17.0</v>
          </cell>
          <cell r="I356" t="str">
            <v>15.0</v>
          </cell>
          <cell r="J356" t="str">
            <v>3.0</v>
          </cell>
          <cell r="K356">
            <v>0.000765</v>
          </cell>
          <cell r="L356" t="str">
            <v>38 * 47 * 34</v>
          </cell>
          <cell r="M356">
            <v>13.9</v>
          </cell>
        </row>
        <row r="357">
          <cell r="A357" t="str">
            <v>B081TKCW5F</v>
          </cell>
          <cell r="B357" t="str">
            <v>YHG-KND-InsulBgSt-Blk</v>
          </cell>
          <cell r="C357" t="str">
            <v>午餐盒套装</v>
          </cell>
          <cell r="D357" t="str">
            <v>2Compartment Lunch Insulation Bag, Ice Pack, and Glass Box Set Black</v>
          </cell>
          <cell r="E357" t="str">
            <v>=DISPIMG("ID_4ACE4884FB274478A649CDEDE3D6B8FD",1)</v>
          </cell>
          <cell r="F357" t="str">
            <v>厨房用具</v>
          </cell>
          <cell r="G357">
            <v>2.2</v>
          </cell>
          <cell r="H357">
            <v>27</v>
          </cell>
          <cell r="I357">
            <v>25</v>
          </cell>
          <cell r="J357">
            <v>18</v>
          </cell>
          <cell r="K357">
            <v>0.01215</v>
          </cell>
          <cell r="L357" t="str">
            <v>57*55*27</v>
          </cell>
          <cell r="M357">
            <v>14</v>
          </cell>
        </row>
        <row r="358">
          <cell r="A358" t="str">
            <v>B07TNT37W4</v>
          </cell>
          <cell r="B358" t="str">
            <v>TMP-HHB-SwfWtJtMpPd-2</v>
          </cell>
          <cell r="C358" t="str">
            <v>拖把布</v>
          </cell>
          <cell r="D358" t="str">
            <v>Mop Pads</v>
          </cell>
          <cell r="E358" t="str">
            <v>=DISPIMG("ID_9028F496EFCC4CF3A96AA1637974B68C",1)</v>
          </cell>
          <cell r="F358" t="str">
            <v>清洁</v>
          </cell>
          <cell r="G358">
            <v>0.064</v>
          </cell>
          <cell r="H358" t="str">
            <v>31.5</v>
          </cell>
          <cell r="I358" t="str">
            <v>2.8</v>
          </cell>
          <cell r="J358" t="str">
            <v>28.4</v>
          </cell>
          <cell r="K358">
            <v>0.00250488</v>
          </cell>
          <cell r="L358" t="str">
            <v>60*32*29</v>
          </cell>
          <cell r="M358">
            <v>3.2</v>
          </cell>
        </row>
        <row r="359">
          <cell r="A359" t="str">
            <v>B08DXN2R8W</v>
          </cell>
          <cell r="B359" t="str">
            <v>LAA-SAO-AthGs-6prBoy10yrs</v>
          </cell>
          <cell r="C359" t="str">
            <v>抓地力小腿袜</v>
          </cell>
          <cell r="D359" t="str">
            <v>Athletic Crew Grip Socks 6 Pairs Boys, 8-10 Years</v>
          </cell>
          <cell r="E359" t="str">
            <v>=DISPIMG("ID_534BDEEE945E48989DC793B174963471",1)</v>
          </cell>
          <cell r="F359" t="str">
            <v>衣物</v>
          </cell>
          <cell r="G359">
            <v>0.12</v>
          </cell>
          <cell r="H359">
            <v>12</v>
          </cell>
          <cell r="I359">
            <v>12</v>
          </cell>
          <cell r="J359">
            <v>7</v>
          </cell>
          <cell r="K359">
            <v>0.001008</v>
          </cell>
          <cell r="L359" t="str">
            <v>59*50*33</v>
          </cell>
          <cell r="M359">
            <v>11.1</v>
          </cell>
        </row>
        <row r="360">
          <cell r="A360" t="str">
            <v>B08DXKNS57</v>
          </cell>
          <cell r="B360" t="str">
            <v>LAA-SAO-AthGs-6prGryS10yrs</v>
          </cell>
          <cell r="C360" t="str">
            <v>抓地力小腿袜</v>
          </cell>
          <cell r="D360" t="str">
            <v>Athletic Crew Grip Socks 6 Pairs Grayscale, 8-10 Years</v>
          </cell>
          <cell r="E360" t="str">
            <v>=DISPIMG("ID_9BD0EB1756364AE48A36762434632A27",1)</v>
          </cell>
          <cell r="F360" t="str">
            <v>衣物</v>
          </cell>
          <cell r="G360">
            <v>0.12</v>
          </cell>
          <cell r="H360">
            <v>12</v>
          </cell>
          <cell r="I360">
            <v>12</v>
          </cell>
          <cell r="J360">
            <v>7</v>
          </cell>
          <cell r="K360">
            <v>0.001008</v>
          </cell>
          <cell r="L360" t="str">
            <v>59*50*33</v>
          </cell>
          <cell r="M360">
            <v>11.1</v>
          </cell>
        </row>
        <row r="361">
          <cell r="A361" t="str">
            <v>B07PGXBFRX</v>
          </cell>
          <cell r="B361" t="str">
            <v>LAA-SAO-GrpSc-1prStlBlk/S</v>
          </cell>
          <cell r="C361" t="str">
            <v>抓地力踝袜</v>
          </cell>
          <cell r="D361" t="str">
            <v>Grip Socks 1 Pairs Stellar Black, Small</v>
          </cell>
          <cell r="E361" t="str">
            <v>=DISPIMG("ID_F15D0F5F471649C498E21281ED887699",1)</v>
          </cell>
          <cell r="F361" t="str">
            <v>衣物</v>
          </cell>
          <cell r="G361">
            <v>0.12</v>
          </cell>
          <cell r="H361">
            <v>18</v>
          </cell>
          <cell r="I361">
            <v>10</v>
          </cell>
          <cell r="J361">
            <v>5</v>
          </cell>
          <cell r="K361">
            <v>0.0009</v>
          </cell>
          <cell r="L361" t="str">
            <v>47*46*30</v>
          </cell>
          <cell r="M361">
            <v>9</v>
          </cell>
        </row>
        <row r="362">
          <cell r="A362" t="str">
            <v>B09XRDF6XZ</v>
          </cell>
          <cell r="B362" t="str">
            <v>YHG-HOK-FD-S1102</v>
          </cell>
          <cell r="C362" t="str">
            <v>钢制搅拌碗组</v>
          </cell>
          <cell r="D362" t="str">
            <v>Fine Dine-SS 6pcs Mixing Bowls-black</v>
          </cell>
          <cell r="E362" t="str">
            <v>=DISPIMG("ID_3DB60EC85F3448F18A99E92061EB1601",1)</v>
          </cell>
          <cell r="F362" t="str">
            <v>厨房用具</v>
          </cell>
          <cell r="G362">
            <v>1.8</v>
          </cell>
          <cell r="H362">
            <v>36</v>
          </cell>
          <cell r="I362">
            <v>36</v>
          </cell>
          <cell r="J362">
            <v>13</v>
          </cell>
          <cell r="K362">
            <v>0.016848</v>
          </cell>
          <cell r="L362" t="str">
            <v>37*33*53</v>
          </cell>
          <cell r="M362">
            <v>7.6</v>
          </cell>
        </row>
        <row r="363">
          <cell r="A363" t="str">
            <v>B07S38ZZ35</v>
          </cell>
          <cell r="B363" t="str">
            <v>LAA-SAO-BbyTNS-2prWp6Mnth</v>
          </cell>
          <cell r="C363" t="str">
            <v>绞花针织紧身裤</v>
          </cell>
          <cell r="D363" t="str">
            <v>Baby Tights Non Skid 2 Pairs White &amp; Pink, 3-6 Months</v>
          </cell>
          <cell r="E363" t="str">
            <v>=DISPIMG("ID_2ADFBD09F81B459684A70E35B593DC6B",1)</v>
          </cell>
          <cell r="F363" t="str">
            <v>衣物</v>
          </cell>
          <cell r="G363">
            <v>0.1</v>
          </cell>
          <cell r="H363">
            <v>13</v>
          </cell>
          <cell r="I363">
            <v>8</v>
          </cell>
          <cell r="J363">
            <v>6</v>
          </cell>
          <cell r="K363">
            <v>0.000624</v>
          </cell>
          <cell r="L363" t="str">
            <v>58*50*33</v>
          </cell>
          <cell r="M363">
            <v>9.5</v>
          </cell>
        </row>
        <row r="364">
          <cell r="A364" t="str">
            <v>B07S5J34YQ</v>
          </cell>
          <cell r="B364" t="str">
            <v>LAA-SAO-BbyTNS-3prPWB6Mnth</v>
          </cell>
          <cell r="C364" t="str">
            <v>棉质紧身裤</v>
          </cell>
          <cell r="D364" t="str">
            <v>Baby Tights Non Skid 3 Pairs Pink/White/Black, 3-6 Months</v>
          </cell>
          <cell r="E364" t="str">
            <v>=DISPIMG("ID_A0CF3C51721446639B4E5D2B87C8BD84",1)</v>
          </cell>
          <cell r="F364" t="str">
            <v>衣物</v>
          </cell>
          <cell r="G364">
            <v>0.12</v>
          </cell>
          <cell r="H364">
            <v>13</v>
          </cell>
          <cell r="I364">
            <v>9</v>
          </cell>
          <cell r="J364">
            <v>8</v>
          </cell>
          <cell r="K364">
            <v>0.000936</v>
          </cell>
          <cell r="L364" t="str">
            <v>58*48*32</v>
          </cell>
          <cell r="M364">
            <v>12</v>
          </cell>
        </row>
        <row r="365">
          <cell r="A365" t="str">
            <v>B07BH1LWCM</v>
          </cell>
          <cell r="B365" t="str">
            <v>UFL-SPO-ElbSleev-L-EU</v>
          </cell>
          <cell r="C365" t="str">
            <v>护膝</v>
          </cell>
          <cell r="D365" t="str">
            <v>Elbow Compression Sleeve Large EU</v>
          </cell>
          <cell r="E365" t="str">
            <v>=DISPIMG("ID_7D9278B4D64546689D4B3E10A42E58A1",1)</v>
          </cell>
          <cell r="F365" t="str">
            <v>健身</v>
          </cell>
          <cell r="G365" t="str">
            <v>0.050</v>
          </cell>
          <cell r="H365" t="str">
            <v>31.0</v>
          </cell>
          <cell r="I365" t="str">
            <v>0.8</v>
          </cell>
          <cell r="J365" t="str">
            <v>14.6</v>
          </cell>
          <cell r="K365">
            <v>0.00036208</v>
          </cell>
          <cell r="L365" t="str">
            <v>50*36.4*24.2</v>
          </cell>
          <cell r="M365">
            <v>8.7</v>
          </cell>
        </row>
        <row r="366">
          <cell r="A366" t="str">
            <v>B084GD884R</v>
          </cell>
          <cell r="B366" t="str">
            <v>YHG-KND-StlIceBkt-3</v>
          </cell>
          <cell r="C366" t="str">
            <v>厨房用具架</v>
          </cell>
          <cell r="D366" t="str">
            <v>Stainless Steel Ice Bucket Liter</v>
          </cell>
          <cell r="E366" t="str">
            <v>=DISPIMG("ID_BB91824A645344D5AB2E8CA4902F1D73",1)</v>
          </cell>
          <cell r="F366" t="str">
            <v>厨房用具</v>
          </cell>
          <cell r="G366" t="str">
            <v>1.230</v>
          </cell>
          <cell r="H366">
            <v>30.9</v>
          </cell>
          <cell r="I366" t="str">
            <v>19.8</v>
          </cell>
          <cell r="J366" t="str">
            <v>23.4</v>
          </cell>
          <cell r="K366">
            <v>0.014316588</v>
          </cell>
          <cell r="L366" t="str">
            <v>38*38*61</v>
          </cell>
          <cell r="M366">
            <v>15.9</v>
          </cell>
        </row>
        <row r="367">
          <cell r="A367" t="str">
            <v>B08464P8LW</v>
          </cell>
          <cell r="B367" t="str">
            <v>YHG-HOK-PrWrthStrgBg-30Blk1</v>
          </cell>
          <cell r="C367" t="str">
            <v>花环收纳袋</v>
          </cell>
          <cell r="D367" t="str">
            <v>STORAGE BAG</v>
          </cell>
          <cell r="E367" t="str">
            <v>=DISPIMG("ID_2761BBBFB5BF411EA01A10BABA8AAF9E",1)</v>
          </cell>
          <cell r="F367" t="str">
            <v>圣诞</v>
          </cell>
        </row>
        <row r="367">
          <cell r="L367" t="str">
            <v>50*50*50</v>
          </cell>
        </row>
        <row r="368">
          <cell r="A368" t="str">
            <v>B072BW6PTF</v>
          </cell>
          <cell r="B368" t="str">
            <v>GDL-ETC-DrWyAlmKt-4pk</v>
          </cell>
          <cell r="C368" t="str">
            <v>车道警报套件</v>
          </cell>
          <cell r="D368" t="str">
            <v>Wireless Driveway Alarm Kit 4 pack 500ft</v>
          </cell>
          <cell r="E368" t="str">
            <v>=DISPIMG("ID_DDAFD63FB3B44BF0AFD42506D2880033",1)</v>
          </cell>
          <cell r="F368" t="str">
            <v>汽车</v>
          </cell>
          <cell r="G368" t="str">
            <v>2.27</v>
          </cell>
          <cell r="H368">
            <v>37.7</v>
          </cell>
          <cell r="I368">
            <v>26.7</v>
          </cell>
          <cell r="J368">
            <v>10.1</v>
          </cell>
        </row>
        <row r="368">
          <cell r="L368" t="str">
            <v>50*50*50</v>
          </cell>
        </row>
        <row r="369">
          <cell r="A369" t="str">
            <v>B08CL4G68R</v>
          </cell>
          <cell r="B369" t="str">
            <v>YHG-HOK-OrnSrtgBx-364Gry</v>
          </cell>
          <cell r="C369" t="str">
            <v>饰品收纳</v>
          </cell>
          <cell r="D369" t="str">
            <v>ORNAMENT BOX</v>
          </cell>
          <cell r="E369" t="str">
            <v>=DISPIMG("ID_CB2633A718074119A3D535EB2B5C4AB9",1)</v>
          </cell>
          <cell r="F369" t="str">
            <v>圣诞</v>
          </cell>
        </row>
        <row r="369">
          <cell r="L369" t="str">
            <v>50*50*50</v>
          </cell>
        </row>
        <row r="370">
          <cell r="A370" t="str">
            <v>B088QM7W1R</v>
          </cell>
          <cell r="B370" t="str">
            <v>LAA-SAO-AnN-6prBoy3Mnth</v>
          </cell>
          <cell r="C370" t="str">
            <v>棉质短袜</v>
          </cell>
          <cell r="D370" t="str">
            <v>Anole Newborn 6 Pairs Boys, 0-3 Months</v>
          </cell>
          <cell r="E370" t="str">
            <v>=DISPIMG("ID_36708C6A18DA431B849BFBA4D3BE3E4A",1)</v>
          </cell>
          <cell r="F370" t="str">
            <v>衣物</v>
          </cell>
          <cell r="G370">
            <v>0.1</v>
          </cell>
          <cell r="H370">
            <v>15</v>
          </cell>
          <cell r="I370">
            <v>10</v>
          </cell>
          <cell r="J370">
            <v>5</v>
          </cell>
          <cell r="K370">
            <v>0.00075</v>
          </cell>
          <cell r="L370" t="str">
            <v>55*45*31</v>
          </cell>
          <cell r="M370">
            <v>9.2</v>
          </cell>
        </row>
        <row r="371">
          <cell r="A371" t="str">
            <v>B075CWS5QK</v>
          </cell>
          <cell r="B371" t="str">
            <v>NLK-KND-TwtWskyGls-2pk</v>
          </cell>
          <cell r="C371" t="str">
            <v>威士忌杯</v>
          </cell>
          <cell r="D371" t="str">
            <v>Twist Whiskey Glasses 2pk</v>
          </cell>
          <cell r="E371" t="str">
            <v>=DISPIMG("ID_6B7070D8E7F840D28321BE8E9814462A",1)</v>
          </cell>
          <cell r="F371" t="str">
            <v>厨房用具</v>
          </cell>
          <cell r="G371">
            <v>1.2</v>
          </cell>
          <cell r="H371">
            <v>24</v>
          </cell>
          <cell r="I371">
            <v>13</v>
          </cell>
          <cell r="J371">
            <v>11</v>
          </cell>
          <cell r="K371">
            <v>0.003432</v>
          </cell>
          <cell r="L371" t="str">
            <v>50*36*29</v>
          </cell>
          <cell r="M371">
            <v>15</v>
          </cell>
        </row>
        <row r="372">
          <cell r="A372" t="str">
            <v>B07FVLGX8S</v>
          </cell>
          <cell r="B372" t="str">
            <v>BBD-BBY-ClstDvdr-Bho7pk</v>
          </cell>
          <cell r="C372" t="str">
            <v>婴儿衣柜分隔板</v>
          </cell>
          <cell r="D372" t="str">
            <v>Baby Closet Divider Unisex Boho Pack</v>
          </cell>
          <cell r="E372" t="str">
            <v>=DISPIMG("ID_E4A0A778FC384E889125CED46FA23DB2",1)</v>
          </cell>
          <cell r="F372" t="str">
            <v>衣架</v>
          </cell>
          <cell r="G372" t="str">
            <v>0.080</v>
          </cell>
          <cell r="H372" t="str">
            <v>9.7</v>
          </cell>
          <cell r="I372" t="str">
            <v>2.2</v>
          </cell>
          <cell r="J372" t="str">
            <v>9.6</v>
          </cell>
          <cell r="K372">
            <v>0.000204864</v>
          </cell>
          <cell r="L372" t="str">
            <v>40*31*29</v>
          </cell>
          <cell r="M372">
            <v>12.7</v>
          </cell>
        </row>
        <row r="373">
          <cell r="A373" t="str">
            <v>B07NYZ3GVL</v>
          </cell>
          <cell r="B373" t="str">
            <v>PPC-OFP-NbJr2-B</v>
          </cell>
          <cell r="C373" t="str">
            <v>笔记本</v>
          </cell>
          <cell r="D373" t="str">
            <v>2 Pack Luxury Notebook Journal - 130 Perforated Pages - Thick Paper (120 gsm) - Lay Flat Design - 2 Bookmarks - Elastic Closure - Back Pocket, Set of 2, Softcover, Black (College Ruled)</v>
          </cell>
          <cell r="E373" t="str">
            <v>=DISPIMG("ID_87C0895594094ECE848CF6EEE101EB4A",1)</v>
          </cell>
          <cell r="F373" t="str">
            <v>办公</v>
          </cell>
          <cell r="G373" t="str">
            <v>0.1</v>
          </cell>
          <cell r="H373">
            <v>21</v>
          </cell>
          <cell r="I373">
            <v>14.4</v>
          </cell>
          <cell r="J373">
            <v>1</v>
          </cell>
          <cell r="K373">
            <v>0.0003024</v>
          </cell>
          <cell r="L373" t="str">
            <v>44 * 32 * 25</v>
          </cell>
          <cell r="M373">
            <v>21</v>
          </cell>
        </row>
        <row r="374">
          <cell r="A374" t="str">
            <v>B078949RR8</v>
          </cell>
          <cell r="B374" t="str">
            <v>PWP-AZL-LEDBkL-PROXL</v>
          </cell>
          <cell r="C374" t="str">
            <v>电视背光灯条</v>
          </cell>
          <cell r="D374" t="str">
            <v>LED Backlight Pro XL</v>
          </cell>
          <cell r="E374" t="str">
            <v>=DISPIMG("ID_9B409DE7E1F44A68A0CD116CFA8C41FA",1)</v>
          </cell>
          <cell r="F374" t="str">
            <v>工具</v>
          </cell>
          <cell r="G374" t="str">
            <v>0.09</v>
          </cell>
          <cell r="H374">
            <v>16.9</v>
          </cell>
          <cell r="I374">
            <v>14.3</v>
          </cell>
          <cell r="J374">
            <v>3</v>
          </cell>
          <cell r="K374">
            <v>0.00072501</v>
          </cell>
          <cell r="L374" t="str">
            <v>36*23*44 </v>
          </cell>
          <cell r="M374">
            <v>12.5</v>
          </cell>
        </row>
        <row r="375">
          <cell r="A375" t="str">
            <v>B00LPAFQ26</v>
          </cell>
          <cell r="B375" t="str">
            <v>SPE-APA-BMir-BK</v>
          </cell>
          <cell r="C375" t="str">
            <v>后座镜</v>
          </cell>
          <cell r="D375" t="str">
            <v>Baby Backseat Mirror for Car - View Infant in Rear Facing Car Seat - Newborn Safety with Secure Headrest Double-Strap - Essential Car Seat Accessories</v>
          </cell>
          <cell r="E375" t="str">
            <v>=DISPIMG("ID_012951D26EE1483E84434E48F9BEB05A",1)</v>
          </cell>
          <cell r="F375" t="str">
            <v>汽车</v>
          </cell>
          <cell r="G375" t="str">
            <v>0.5</v>
          </cell>
          <cell r="H375">
            <v>29.2</v>
          </cell>
          <cell r="I375">
            <v>19</v>
          </cell>
          <cell r="J375">
            <v>8.9</v>
          </cell>
          <cell r="K375">
            <v>0.00493772</v>
          </cell>
          <cell r="L375" t="str">
            <v>50*50*50</v>
          </cell>
        </row>
        <row r="376">
          <cell r="A376" t="str">
            <v>B01LR3O8SI</v>
          </cell>
          <cell r="B376" t="str">
            <v>PWP-AZL-LEDBkL-WhS</v>
          </cell>
          <cell r="C376" t="str">
            <v>电视背光灯条</v>
          </cell>
          <cell r="D376" t="str">
            <v>LED Backlight White S</v>
          </cell>
          <cell r="E376" t="str">
            <v>=DISPIMG("ID_A32EEE0A553D4F9C96AE44DF50D6BFEA",1)</v>
          </cell>
          <cell r="F376" t="str">
            <v>工具</v>
          </cell>
          <cell r="G376" t="str">
            <v>0.1</v>
          </cell>
          <cell r="H376">
            <v>16.9</v>
          </cell>
          <cell r="I376">
            <v>14.3</v>
          </cell>
          <cell r="J376">
            <v>3</v>
          </cell>
          <cell r="K376">
            <v>0.00072501</v>
          </cell>
          <cell r="L376" t="str">
            <v>38 * 47 * 34</v>
          </cell>
          <cell r="M376">
            <v>13.9</v>
          </cell>
        </row>
        <row r="377">
          <cell r="A377" t="str">
            <v>B088QTFR27</v>
          </cell>
          <cell r="B377" t="str">
            <v>EDU-BSS-FshMgKtJr330</v>
          </cell>
          <cell r="C377" t="str">
            <v>磁铁钓鱼套件</v>
          </cell>
          <cell r="D377" t="str">
            <v>Fish Magnet Kit Junior 330Lb Includes Gloves, Rope, Carabiner, Waterproof Bag</v>
          </cell>
          <cell r="E377" t="str">
            <v>=DISPIMG("ID_4898482C30E54ECCAE2474CEA6992039",1)</v>
          </cell>
          <cell r="F377" t="str">
            <v>户外</v>
          </cell>
          <cell r="G377">
            <v>0.96</v>
          </cell>
          <cell r="H377">
            <v>21</v>
          </cell>
          <cell r="I377">
            <v>11</v>
          </cell>
          <cell r="J377">
            <v>16</v>
          </cell>
          <cell r="K377">
            <v>0.003696</v>
          </cell>
          <cell r="L377" t="str">
            <v>58 * 23 * 49</v>
          </cell>
          <cell r="M377">
            <v>15.5</v>
          </cell>
        </row>
        <row r="378">
          <cell r="A378" t="str">
            <v>B07PKYTGW7</v>
          </cell>
          <cell r="B378" t="str">
            <v>LAA-SAO-GrpSc-4prStlBlkM</v>
          </cell>
          <cell r="C378" t="str">
            <v>抓地力踝袜</v>
          </cell>
          <cell r="D378" t="str">
            <v>Grip Socks 4 Pairs Stellar Black, Medium</v>
          </cell>
          <cell r="E378" t="str">
            <v>=DISPIMG("ID_425B7A07F4234E65B82C1C74F03395A1",1)</v>
          </cell>
          <cell r="F378" t="str">
            <v>衣物</v>
          </cell>
          <cell r="G378">
            <v>0.12</v>
          </cell>
          <cell r="H378">
            <v>18</v>
          </cell>
          <cell r="I378">
            <v>10</v>
          </cell>
          <cell r="J378">
            <v>5</v>
          </cell>
          <cell r="K378">
            <v>0.0009</v>
          </cell>
          <cell r="L378" t="str">
            <v>47*46*30</v>
          </cell>
          <cell r="M378">
            <v>9</v>
          </cell>
        </row>
        <row r="379">
          <cell r="A379" t="str">
            <v>B088H3S6M3</v>
          </cell>
          <cell r="B379" t="str">
            <v>ACP-PET-DgStCvrD-Bblu</v>
          </cell>
          <cell r="C379" t="str">
            <v>狗用汽车座椅套</v>
          </cell>
          <cell r="D379" t="str">
            <v>Dog Seat Cover Extra Durable Black-Blue</v>
          </cell>
          <cell r="E379" t="str">
            <v>=DISPIMG("ID_6A5291FF6BA34EF985B5719C22D51402",1)</v>
          </cell>
        </row>
        <row r="379">
          <cell r="L379" t="str">
            <v>50*50*50</v>
          </cell>
        </row>
        <row r="380">
          <cell r="A380" t="str">
            <v>B08CRY952J</v>
          </cell>
          <cell r="B380" t="str">
            <v>YHG-HOK-OrnSrtgBx-3120Gry</v>
          </cell>
          <cell r="C380" t="str">
            <v>饰品收纳</v>
          </cell>
          <cell r="D380" t="str">
            <v>STORAGE BOX</v>
          </cell>
          <cell r="E380" t="str">
            <v>=DISPIMG("ID_3A5D038E86204F5BA3BBE1C2485B7BA9",1)</v>
          </cell>
          <cell r="F380" t="str">
            <v>圣诞</v>
          </cell>
        </row>
        <row r="380">
          <cell r="L380" t="str">
            <v>50*50*50</v>
          </cell>
        </row>
        <row r="381">
          <cell r="A381" t="str">
            <v>B07RR956HS</v>
          </cell>
          <cell r="B381" t="str">
            <v>BES-APA-AutFnlSt-Blu3pc</v>
          </cell>
          <cell r="C381" t="str">
            <v>漏斗</v>
          </cell>
          <cell r="D381" t="str">
            <v>All Purpose Automotive Funnel Set Blue 3 Pieces</v>
          </cell>
          <cell r="E381" t="str">
            <v>=DISPIMG("ID_7970C27E391D48638839518900C71B1B",1)</v>
          </cell>
          <cell r="F381" t="str">
            <v>工具</v>
          </cell>
          <cell r="G381">
            <v>0.1</v>
          </cell>
          <cell r="H381">
            <v>33</v>
          </cell>
          <cell r="I381">
            <v>9</v>
          </cell>
          <cell r="J381">
            <v>9</v>
          </cell>
          <cell r="K381">
            <v>0.002673</v>
          </cell>
          <cell r="L381" t="str">
            <v>60 * 40 * 33</v>
          </cell>
          <cell r="M381">
            <v>7.1</v>
          </cell>
        </row>
        <row r="382">
          <cell r="A382" t="str">
            <v>B077XMRK9T</v>
          </cell>
          <cell r="B382" t="str">
            <v>DAT-APA-AFr1P-B</v>
          </cell>
          <cell r="C382" t="str">
            <v>汽车空气清新剂</v>
          </cell>
          <cell r="D382" t="str">
            <v>Natural Air Freshener by Drive</v>
          </cell>
          <cell r="E382" t="str">
            <v>=DISPIMG("ID_972D330CB38D4215A3A48DAB72337650",1)</v>
          </cell>
          <cell r="F382" t="str">
            <v>汽车</v>
          </cell>
          <cell r="G382" t="str">
            <v>0.140</v>
          </cell>
          <cell r="H382" t="str">
            <v>12.7</v>
          </cell>
          <cell r="I382" t="str">
            <v>5.0</v>
          </cell>
          <cell r="J382" t="str">
            <v>15.2</v>
          </cell>
          <cell r="K382">
            <v>0.0009652</v>
          </cell>
          <cell r="L382" t="str">
            <v>55*41*32</v>
          </cell>
          <cell r="M382">
            <v>20</v>
          </cell>
        </row>
        <row r="383">
          <cell r="A383" t="str">
            <v>B081XRYXT8</v>
          </cell>
          <cell r="B383" t="str">
            <v>LAA-SAO-GrpSc-2prJgryTBlk/S</v>
          </cell>
          <cell r="C383" t="str">
            <v>抓地力小腿袜</v>
          </cell>
          <cell r="D383" t="str">
            <v>Grip Socks 2 Pairs Jogger Grey and Tuxedo Black with Stripes, Small</v>
          </cell>
          <cell r="E383" t="str">
            <v>=DISPIMG("ID_AC71231863694922BCE30B25E672B6D5",1)</v>
          </cell>
          <cell r="F383" t="str">
            <v>衣物</v>
          </cell>
          <cell r="G383">
            <v>0.12</v>
          </cell>
          <cell r="H383">
            <v>18</v>
          </cell>
          <cell r="I383">
            <v>10</v>
          </cell>
          <cell r="J383">
            <v>5</v>
          </cell>
          <cell r="K383">
            <v>0.0009</v>
          </cell>
          <cell r="L383" t="str">
            <v>47*46*30</v>
          </cell>
          <cell r="M383">
            <v>9</v>
          </cell>
        </row>
        <row r="384">
          <cell r="A384" t="str">
            <v>B09BNWR6DV</v>
          </cell>
          <cell r="B384" t="str">
            <v>FD-S4707-FBA</v>
          </cell>
          <cell r="C384" t="str">
            <v>钢水瓶</v>
          </cell>
          <cell r="D384" t="str">
            <v>32oz BOTTLE 
DOUBLE WALL 304 S/S  
Coppering 
Powder Coated 
blue 
3 LIDS(PP+PE+Silicone) 
100% leakproof  
can pass the paint adhesion testing 
Keep Hot 8H&amp; Cold 10H 
color Box</v>
          </cell>
          <cell r="E384" t="str">
            <v>=DISPIMG("ID_24150A48E6974C0C9C98B8D2C6FFA4AD",1)</v>
          </cell>
          <cell r="F384" t="str">
            <v>水瓶</v>
          </cell>
          <cell r="G384">
            <v>0.7</v>
          </cell>
          <cell r="H384">
            <v>35</v>
          </cell>
          <cell r="I384">
            <v>10</v>
          </cell>
          <cell r="J384">
            <v>10</v>
          </cell>
          <cell r="K384">
            <v>0.0035</v>
          </cell>
          <cell r="L384" t="str">
            <v>61*42*37</v>
          </cell>
          <cell r="M384">
            <v>16.3</v>
          </cell>
        </row>
        <row r="385">
          <cell r="A385" t="str">
            <v>B0833FTBFR</v>
          </cell>
          <cell r="B385" t="str">
            <v>YHG-KND-PltFdStrgCntnr-MxWte6pk</v>
          </cell>
          <cell r="C385" t="str">
            <v>塑料食品容器套装</v>
          </cell>
          <cell r="D385" t="str">
            <v>Plastic Food Storage Container Mixed White Pack</v>
          </cell>
          <cell r="E385" t="str">
            <v>=DISPIMG("ID_34CCEFBA749245C2885AC2803E586999",1)</v>
          </cell>
          <cell r="F385" t="str">
            <v>厨房用具</v>
          </cell>
          <cell r="G385">
            <v>2.4</v>
          </cell>
          <cell r="H385">
            <v>44</v>
          </cell>
          <cell r="I385">
            <v>27</v>
          </cell>
          <cell r="J385">
            <v>20</v>
          </cell>
          <cell r="K385">
            <v>0.02376</v>
          </cell>
          <cell r="L385" t="str">
            <v>61*46*29</v>
          </cell>
          <cell r="M385">
            <v>8.6</v>
          </cell>
        </row>
        <row r="386">
          <cell r="A386" t="str">
            <v>B0871CBVKD</v>
          </cell>
          <cell r="B386" t="str">
            <v>LAA-SAO-AthGs-12prWGB12Mnth</v>
          </cell>
          <cell r="C386" t="str">
            <v>抓地力小腿袜</v>
          </cell>
          <cell r="D386" t="str">
            <v>Athletic Crew Grip Socks 12 Pairs White/Grey/Black, 6-12 Months</v>
          </cell>
          <cell r="E386" t="str">
            <v>=DISPIMG("ID_75855AD99D4A467A92ADD89BC9AA2CE8",1)</v>
          </cell>
          <cell r="F386" t="str">
            <v>衣物</v>
          </cell>
          <cell r="G386" t="str">
            <v>0.281</v>
          </cell>
          <cell r="H386" t="str">
            <v>17.40</v>
          </cell>
          <cell r="I386" t="str">
            <v>17.20</v>
          </cell>
          <cell r="J386" t="str">
            <v>8.10</v>
          </cell>
          <cell r="K386">
            <v>0.002424168</v>
          </cell>
          <cell r="L386" t="str">
            <v>55*45*43</v>
          </cell>
          <cell r="M386">
            <v>12.3</v>
          </cell>
        </row>
        <row r="387">
          <cell r="A387" t="str">
            <v>B0858C3FZQ</v>
          </cell>
          <cell r="B387" t="str">
            <v>YHG-HOK-WdStHngrNs-Wte20pk</v>
          </cell>
          <cell r="C387" t="str">
            <v>木衣架</v>
          </cell>
          <cell r="D387" t="str">
            <v>Wooden Suit Hangers White set of 20</v>
          </cell>
          <cell r="E387" t="str">
            <v>=DISPIMG("ID_22CFF3E51C72419C86567851C69690AC",1)</v>
          </cell>
          <cell r="F387" t="str">
            <v>衣架</v>
          </cell>
          <cell r="G387">
            <v>2.7</v>
          </cell>
          <cell r="H387">
            <v>35</v>
          </cell>
          <cell r="I387">
            <v>34</v>
          </cell>
          <cell r="J387">
            <v>13</v>
          </cell>
          <cell r="K387">
            <v>0.01547</v>
          </cell>
          <cell r="L387" t="str">
            <v>37 * 36 * 53</v>
          </cell>
          <cell r="M387">
            <v>11.8</v>
          </cell>
        </row>
        <row r="388">
          <cell r="A388" t="str">
            <v>B01LG99O0K</v>
          </cell>
          <cell r="B388" t="str">
            <v>PWP-AZL-LEDBkL-S</v>
          </cell>
          <cell r="C388" t="str">
            <v>电视背光灯条</v>
          </cell>
          <cell r="D388" t="str">
            <v>LED Backlight S</v>
          </cell>
          <cell r="E388" t="str">
            <v>=DISPIMG("ID_E71F531302734A65BFAC0081AC00147B",1)</v>
          </cell>
          <cell r="F388" t="str">
            <v>工具</v>
          </cell>
          <cell r="G388" t="str">
            <v>0.09</v>
          </cell>
          <cell r="H388">
            <v>16.9</v>
          </cell>
          <cell r="I388">
            <v>14.3</v>
          </cell>
          <cell r="J388">
            <v>3</v>
          </cell>
          <cell r="K388">
            <v>0.00072501</v>
          </cell>
          <cell r="L388" t="str">
            <v>36*23*44 </v>
          </cell>
          <cell r="M388">
            <v>13.9</v>
          </cell>
        </row>
        <row r="389">
          <cell r="A389" t="str">
            <v>B07Y9L5B9V</v>
          </cell>
          <cell r="B389" t="str">
            <v>LAA-SAO-BbyTNS-2prCN2T/3T</v>
          </cell>
          <cell r="C389" t="str">
            <v>绞花针织紧身裤</v>
          </cell>
          <cell r="D389" t="str">
            <v>Baby Tights 2 Pairs Non Skid/ Cream &amp; Navy, 2T-3T</v>
          </cell>
          <cell r="E389" t="str">
            <v>=DISPIMG("ID_B67ABF072061456A9FB1C51298924604",1)</v>
          </cell>
          <cell r="F389" t="str">
            <v>衣物</v>
          </cell>
          <cell r="G389" t="str">
            <v>0.054</v>
          </cell>
          <cell r="H389">
            <v>16.3</v>
          </cell>
          <cell r="I389">
            <v>12.3</v>
          </cell>
          <cell r="J389">
            <v>6.8</v>
          </cell>
          <cell r="K389">
            <v>0.001363332</v>
          </cell>
          <cell r="L389" t="str">
            <v>56*44*43</v>
          </cell>
          <cell r="M389">
            <v>11.2</v>
          </cell>
        </row>
        <row r="390">
          <cell r="A390" t="str">
            <v>B088JVMLST</v>
          </cell>
          <cell r="B390" t="str">
            <v>LAA-SAO-FuzNs-MBlkDGryL/XL</v>
          </cell>
          <cell r="C390" t="str">
            <v>毛绒抓地小腿袜</v>
          </cell>
          <cell r="D390" t="str">
            <v>Fuzzy Non-Slip Socks Midnight Black and Dove Grey,L/XL</v>
          </cell>
          <cell r="E390" t="str">
            <v>=DISPIMG("ID_C89C0408A7DC4B6AA08181B6CF346814",1)</v>
          </cell>
          <cell r="F390" t="str">
            <v>衣物</v>
          </cell>
        </row>
        <row r="390">
          <cell r="L390" t="str">
            <v>60*46*44 </v>
          </cell>
        </row>
        <row r="391">
          <cell r="A391" t="str">
            <v>B01AMOB3AY</v>
          </cell>
          <cell r="B391" t="str">
            <v>PWP-SPO-LEDRope-PLS10ft</v>
          </cell>
          <cell r="C391" t="str">
            <v>LED灯绳</v>
          </cell>
          <cell r="D391" t="str">
            <v>LED Light Rope Plus 10 ft</v>
          </cell>
          <cell r="E391" t="str">
            <v>=DISPIMG("ID_950C64312A904DAF8BD21ED1DE2CDC55",1)</v>
          </cell>
          <cell r="F391" t="str">
            <v>工具</v>
          </cell>
          <cell r="G391">
            <v>0.4</v>
          </cell>
          <cell r="H391">
            <v>30</v>
          </cell>
          <cell r="I391">
            <v>16</v>
          </cell>
          <cell r="J391">
            <v>7</v>
          </cell>
          <cell r="K391">
            <v>0.00336</v>
          </cell>
          <cell r="L391" t="str">
            <v>46*46*41</v>
          </cell>
          <cell r="M391">
            <v>21.4</v>
          </cell>
        </row>
        <row r="392">
          <cell r="A392">
            <v>0</v>
          </cell>
          <cell r="B392" t="str">
            <v>PLT-GAO-DrtChr-Beige</v>
          </cell>
          <cell r="C392" t="e">
            <v>#N/A</v>
          </cell>
          <cell r="D392" t="e">
            <v>#N/A</v>
          </cell>
          <cell r="E392" t="e">
            <v>#N/A</v>
          </cell>
        </row>
        <row r="392">
          <cell r="L392" t="str">
            <v>50*50*50</v>
          </cell>
        </row>
        <row r="393">
          <cell r="A393" t="str">
            <v>B08B1VTTB9</v>
          </cell>
          <cell r="B393" t="str">
            <v>YHG-SPO-StlWtrBtlSld-Rblk25</v>
          </cell>
          <cell r="C393" t="str">
            <v>钢水瓶</v>
          </cell>
          <cell r="D393" t="str">
            <v>Stainless Steel Insulated Water Bottle Straw Lid Raven Black 2oz</v>
          </cell>
          <cell r="E393" t="str">
            <v>=DISPIMG("ID_74AAD68E2DAB4D05977419393DC3940B",1)</v>
          </cell>
          <cell r="F393" t="str">
            <v>水瓶</v>
          </cell>
          <cell r="G393">
            <v>0.55</v>
          </cell>
          <cell r="H393">
            <v>35</v>
          </cell>
          <cell r="I393">
            <v>10.2</v>
          </cell>
          <cell r="J393">
            <v>9.4</v>
          </cell>
          <cell r="K393">
            <v>0.0033558</v>
          </cell>
          <cell r="L393" t="str">
            <v>59.8*40*37.6</v>
          </cell>
          <cell r="M393">
            <v>15</v>
          </cell>
        </row>
        <row r="394">
          <cell r="A394" t="str">
            <v>B083JNB3PC</v>
          </cell>
          <cell r="B394" t="str">
            <v>BBD-BBY-BbyTyCrd-Elphtblu50pk</v>
          </cell>
          <cell r="C394" t="str">
            <v>感谢卡</v>
          </cell>
          <cell r="D394" t="str">
            <v>Baby Shower Thank You Cards Elephant Blue 50 Pack</v>
          </cell>
          <cell r="E394" t="str">
            <v>=DISPIMG("ID_798A5F46309B400FA2B7053DCD28608D",1)</v>
          </cell>
          <cell r="F394" t="str">
            <v>贺卡</v>
          </cell>
          <cell r="G394">
            <v>0.6</v>
          </cell>
          <cell r="H394">
            <v>23</v>
          </cell>
          <cell r="I394">
            <v>17</v>
          </cell>
          <cell r="J394">
            <v>4</v>
          </cell>
          <cell r="K394">
            <v>0.001564</v>
          </cell>
          <cell r="L394" t="str">
            <v>53 * 25 * 38</v>
          </cell>
          <cell r="M394">
            <v>22.4</v>
          </cell>
        </row>
        <row r="395">
          <cell r="A395" t="str">
            <v>B076X85988</v>
          </cell>
          <cell r="B395" t="str">
            <v>PWP-AZL-LEDBkL-XL</v>
          </cell>
          <cell r="C395" t="str">
            <v>电视背光灯条</v>
          </cell>
          <cell r="D395" t="str">
            <v>LED Backlight XL</v>
          </cell>
          <cell r="E395" t="str">
            <v>=DISPIMG("ID_FE5778FDC2A44F989AEA7086CC7D14BD",1)</v>
          </cell>
          <cell r="F395" t="str">
            <v>工具</v>
          </cell>
          <cell r="G395" t="str">
            <v>0.1</v>
          </cell>
          <cell r="H395">
            <v>16.7</v>
          </cell>
          <cell r="I395">
            <v>14.6</v>
          </cell>
          <cell r="J395">
            <v>2.4</v>
          </cell>
          <cell r="K395">
            <v>0.000585168</v>
          </cell>
          <cell r="L395" t="str">
            <v>36*23*44 </v>
          </cell>
          <cell r="M395">
            <v>13.9</v>
          </cell>
        </row>
        <row r="396">
          <cell r="A396" t="str">
            <v>B00L2HAUCS</v>
          </cell>
          <cell r="B396" t="str">
            <v>YSH-SPO-BkCv-XL</v>
          </cell>
          <cell r="C396" t="str">
            <v>自行车罩</v>
          </cell>
          <cell r="D396" t="str">
            <v>YardStash Bicycle Cover XL: Extra Large Size for Beach Cruiser Cover</v>
          </cell>
          <cell r="E396" t="str">
            <v>=DISPIMG("ID_E0F6157D030B4E9A89665F3AD0DB719C",1)</v>
          </cell>
          <cell r="F396" t="str">
            <v>户外</v>
          </cell>
          <cell r="G396" t="str">
            <v>1.353</v>
          </cell>
          <cell r="H396">
            <v>30.1</v>
          </cell>
          <cell r="I396">
            <v>25.81</v>
          </cell>
          <cell r="J396">
            <v>8.71</v>
          </cell>
        </row>
        <row r="396">
          <cell r="L396" t="str">
            <v>50*50*50</v>
          </cell>
        </row>
        <row r="397">
          <cell r="A397" t="str">
            <v>B01LG99NXI</v>
          </cell>
          <cell r="B397" t="str">
            <v>PWP-AZL-LEDBkL-L</v>
          </cell>
          <cell r="C397" t="str">
            <v>电视背光灯条</v>
          </cell>
          <cell r="D397" t="str">
            <v>LED Backlight L</v>
          </cell>
          <cell r="E397" t="str">
            <v>=DISPIMG("ID_FCACD0BCADF0430785E4A73297E0F1BB",1)</v>
          </cell>
          <cell r="F397" t="str">
            <v>工具</v>
          </cell>
          <cell r="G397" t="str">
            <v>0.1</v>
          </cell>
          <cell r="H397">
            <v>17</v>
          </cell>
          <cell r="I397">
            <v>14.5</v>
          </cell>
          <cell r="J397">
            <v>4</v>
          </cell>
          <cell r="K397">
            <v>0.000986</v>
          </cell>
          <cell r="L397" t="str">
            <v>46 * 37 * 33</v>
          </cell>
          <cell r="M397">
            <v>14</v>
          </cell>
        </row>
        <row r="398">
          <cell r="A398" t="str">
            <v>B076X89GRW</v>
          </cell>
          <cell r="B398" t="str">
            <v>PWP-AZL-LEDBkL-WhXL</v>
          </cell>
          <cell r="C398" t="str">
            <v>电视背光灯条</v>
          </cell>
          <cell r="D398" t="str">
            <v>LED Backlight White XL</v>
          </cell>
          <cell r="E398" t="str">
            <v>=DISPIMG("ID_ECCF415B3ABB42308BA6D06D9BD3CBCA",1)</v>
          </cell>
          <cell r="F398" t="str">
            <v>工具</v>
          </cell>
          <cell r="G398" t="str">
            <v>0.1</v>
          </cell>
          <cell r="H398">
            <v>17</v>
          </cell>
          <cell r="I398">
            <v>15</v>
          </cell>
          <cell r="J398">
            <v>3</v>
          </cell>
          <cell r="K398">
            <v>0.000765</v>
          </cell>
          <cell r="L398" t="str">
            <v>36 * 23 * 44</v>
          </cell>
          <cell r="M398">
            <v>12.5</v>
          </cell>
        </row>
        <row r="399">
          <cell r="A399" t="str">
            <v>B0CNS1ZC7K</v>
          </cell>
          <cell r="B399" t="str">
            <v>SSG-HHB-MlsRplcHd-8pkDe</v>
          </cell>
          <cell r="C399" t="str">
            <v>未知</v>
          </cell>
          <cell r="D399" t="str">
            <v>None</v>
          </cell>
          <cell r="E399" t="str">
            <v>=DISPIMG("ID_5EB0A1BE045845FAA7C1859145EECFA1",1)</v>
          </cell>
        </row>
        <row r="399">
          <cell r="G399" t="str">
            <v>0.05</v>
          </cell>
          <cell r="H399">
            <v>10.6</v>
          </cell>
          <cell r="I399">
            <v>1.5</v>
          </cell>
          <cell r="J399">
            <v>16.7</v>
          </cell>
          <cell r="K399">
            <v>0.00026553</v>
          </cell>
          <cell r="L399" t="str">
            <v>41*24*45.8</v>
          </cell>
          <cell r="M399">
            <v>11.9</v>
          </cell>
        </row>
        <row r="400">
          <cell r="A400" t="str">
            <v>B08MFSPHL5</v>
          </cell>
          <cell r="B400" t="str">
            <v>YHG-SPO-StlWtrBtlSld-Dppl25</v>
          </cell>
          <cell r="C400" t="str">
            <v>钢水瓶</v>
          </cell>
          <cell r="D400" t="str">
            <v>Stainless Steel Insulated Water Bottle Straw Lid Dreamy Purple 2oz</v>
          </cell>
          <cell r="E400" t="str">
            <v>=DISPIMG("ID_3BCAA7649B6349D5AD4945DF11520F1F",1)</v>
          </cell>
          <cell r="F400" t="str">
            <v>水瓶</v>
          </cell>
          <cell r="G400">
            <v>0.6</v>
          </cell>
          <cell r="H400">
            <v>25</v>
          </cell>
          <cell r="I400">
            <v>10</v>
          </cell>
          <cell r="J400">
            <v>10</v>
          </cell>
          <cell r="K400">
            <v>0.0025</v>
          </cell>
          <cell r="L400" t="str">
            <v>40 * 58 * 37</v>
          </cell>
          <cell r="M400">
            <v>14.6</v>
          </cell>
        </row>
        <row r="401">
          <cell r="A401" t="str">
            <v>B07HCPX5Q7</v>
          </cell>
          <cell r="B401" t="str">
            <v>KHM-BPC-NlClp-540</v>
          </cell>
          <cell r="C401" t="str">
            <v>指甲钳</v>
          </cell>
          <cell r="D401" t="str">
            <v>WHS-540L Nail Clipper with Rubber Grip Curved Wide Blade</v>
          </cell>
          <cell r="E401" t="str">
            <v>=DISPIMG("ID_45A3406F6303431DB88E83E59879D48A",1)</v>
          </cell>
          <cell r="F401" t="str">
            <v>美容</v>
          </cell>
          <cell r="G401">
            <v>0.1</v>
          </cell>
          <cell r="H401">
            <v>18.5</v>
          </cell>
          <cell r="I401">
            <v>9</v>
          </cell>
          <cell r="J401">
            <v>2</v>
          </cell>
          <cell r="K401">
            <v>0.000333</v>
          </cell>
          <cell r="L401" t="str">
            <v>48*40*24</v>
          </cell>
          <cell r="M401">
            <v>12.2</v>
          </cell>
        </row>
        <row r="402">
          <cell r="A402" t="str">
            <v>B07BJGK81P</v>
          </cell>
          <cell r="B402" t="str">
            <v>URN-SPO-PRING-12P</v>
          </cell>
          <cell r="C402" t="str">
            <v>普拉提环</v>
          </cell>
          <cell r="D402" t="str">
            <v>URBNFit Pilates Ring Fitness Circle - Weight Loss Body Toning Magic Circle and Resistance Exercise Fitness Ring Free Workout Guide Included</v>
          </cell>
          <cell r="E402" t="str">
            <v>=DISPIMG("ID_0DE404031920455E840AB529FC296016",1)</v>
          </cell>
          <cell r="F402" t="str">
            <v>健身</v>
          </cell>
          <cell r="G402" t="str">
            <v>0.550</v>
          </cell>
          <cell r="H402">
            <v>35</v>
          </cell>
          <cell r="I402">
            <v>34</v>
          </cell>
          <cell r="J402">
            <v>6</v>
          </cell>
          <cell r="K402">
            <v>0.00714</v>
          </cell>
          <cell r="L402" t="str">
            <v>50*50*50</v>
          </cell>
        </row>
        <row r="403">
          <cell r="A403">
            <v>0</v>
          </cell>
          <cell r="B403" t="str">
            <v>PT/BISTRO/PRO/COF/T</v>
          </cell>
          <cell r="C403" t="e">
            <v>#N/A</v>
          </cell>
          <cell r="D403" t="e">
            <v>#N/A</v>
          </cell>
          <cell r="E403" t="e">
            <v>#N/A</v>
          </cell>
        </row>
        <row r="404">
          <cell r="A404" t="str">
            <v>B08HC8JBM2</v>
          </cell>
          <cell r="B404" t="str">
            <v>YHG-HOK-VlvtHngrTb-Ivy20pk</v>
          </cell>
          <cell r="C404" t="str">
            <v>天鹅绒衣架</v>
          </cell>
          <cell r="D404" t="str">
            <v>Velvet Hangers With Tie Bar Ivory set of 20</v>
          </cell>
          <cell r="E404" t="str">
            <v>=DISPIMG("ID_C3D6A4B6F5B440CD858E59E9A393B41E",1)</v>
          </cell>
          <cell r="F404" t="str">
            <v>衣架</v>
          </cell>
          <cell r="G404" t="str">
            <v>1.800</v>
          </cell>
          <cell r="H404">
            <v>43</v>
          </cell>
          <cell r="I404">
            <v>33</v>
          </cell>
          <cell r="J404">
            <v>7</v>
          </cell>
          <cell r="K404">
            <v>0.009933</v>
          </cell>
          <cell r="L404" t="str">
            <v>61 * 35 * 45</v>
          </cell>
          <cell r="M404">
            <v>14.9</v>
          </cell>
        </row>
        <row r="405">
          <cell r="A405" t="str">
            <v>B01HC4FFSI</v>
          </cell>
          <cell r="B405" t="str">
            <v>BKY-HOK-SRPLW-2P</v>
          </cell>
          <cell r="C405" t="str">
            <v>凝胶枕头</v>
          </cell>
          <cell r="D405" t="str">
            <v>SR Gel Pillow 2pk-King-White</v>
          </cell>
          <cell r="E405" t="str">
            <v>=DISPIMG("ID_1B3581117BEA4C96B0CA3247334EA3EB",1)</v>
          </cell>
          <cell r="F405" t="str">
            <v>家居</v>
          </cell>
          <cell r="G405">
            <v>3.4</v>
          </cell>
          <cell r="H405">
            <v>35</v>
          </cell>
          <cell r="I405">
            <v>44</v>
          </cell>
          <cell r="J405">
            <v>20</v>
          </cell>
          <cell r="K405">
            <v>0.0308</v>
          </cell>
          <cell r="L405" t="str">
            <v>37 * 61 * 46</v>
          </cell>
          <cell r="M405">
            <v>11.5</v>
          </cell>
        </row>
        <row r="406">
          <cell r="A406" t="str">
            <v>B07MTPJ5XV</v>
          </cell>
          <cell r="B406" t="str">
            <v>GRB-CFA-PhnLanClsp-HtPk</v>
          </cell>
          <cell r="C406" t="str">
            <v>挂绳手机壳</v>
          </cell>
          <cell r="D406" t="str">
            <v>Cell Phone Lanyard with Breakaway Clasp Hot Pink</v>
          </cell>
          <cell r="E406" t="str">
            <v>=DISPIMG("ID_237DB4E9A6124DC08FD7AFAE96C44482",1)</v>
          </cell>
          <cell r="F406" t="str">
            <v>工具</v>
          </cell>
          <cell r="G406">
            <v>0.025</v>
          </cell>
          <cell r="H406">
            <v>24</v>
          </cell>
          <cell r="I406">
            <v>14</v>
          </cell>
          <cell r="J406">
            <v>1</v>
          </cell>
          <cell r="K406">
            <v>0.000336</v>
          </cell>
          <cell r="L406" t="str">
            <v>44*31*27</v>
          </cell>
          <cell r="M406">
            <v>3</v>
          </cell>
        </row>
        <row r="407">
          <cell r="A407" t="str">
            <v>B08Y381NJJ</v>
          </cell>
          <cell r="B407" t="str">
            <v>YHG-KND-StlTrvlMg-Tqse2pk</v>
          </cell>
          <cell r="C407" t="str">
            <v>保温咖啡杯</v>
          </cell>
          <cell r="D407" t="str">
            <v>Stainless Steel Travel Coffee Mug Turquoise 2Pack</v>
          </cell>
          <cell r="E407" t="str">
            <v>=DISPIMG("ID_D7F1986D5F1F4EDBB97C2B42ED15CC7E",1)</v>
          </cell>
          <cell r="F407" t="str">
            <v>水瓶</v>
          </cell>
          <cell r="G407" t="str">
            <v>0.550</v>
          </cell>
          <cell r="H407">
            <v>19</v>
          </cell>
          <cell r="I407">
            <v>13</v>
          </cell>
          <cell r="J407">
            <v>10</v>
          </cell>
          <cell r="K407">
            <v>0.00247</v>
          </cell>
          <cell r="L407" t="str">
            <v>40 * 33 * 29</v>
          </cell>
          <cell r="M407">
            <v>6.7</v>
          </cell>
        </row>
        <row r="408">
          <cell r="A408" t="str">
            <v>B081H1GX2J</v>
          </cell>
          <cell r="B408" t="str">
            <v>LAA-SAO-AthGs-6prClrS7yrs</v>
          </cell>
          <cell r="C408" t="str">
            <v>抓地力小腿袜</v>
          </cell>
          <cell r="D408" t="str">
            <v>Athletic Crew Grip Socks 6 Pairs Color Splash, 4-7 Years</v>
          </cell>
          <cell r="E408" t="str">
            <v>=DISPIMG("ID_ED044179E83840FA96287E40026693EA",1)</v>
          </cell>
          <cell r="F408" t="str">
            <v>衣物</v>
          </cell>
          <cell r="G408">
            <v>0.15</v>
          </cell>
          <cell r="H408">
            <v>14</v>
          </cell>
          <cell r="I408">
            <v>12</v>
          </cell>
          <cell r="J408">
            <v>7</v>
          </cell>
          <cell r="K408">
            <v>0.001176</v>
          </cell>
          <cell r="L408" t="str">
            <v>55*45*43</v>
          </cell>
          <cell r="M408">
            <v>15.6</v>
          </cell>
        </row>
        <row r="409">
          <cell r="A409" t="str">
            <v>B01G35D2NC</v>
          </cell>
          <cell r="B409" t="str">
            <v>NVT-KND-BrMg-SS</v>
          </cell>
          <cell r="C409" t="str">
            <v>不锈钢啤酒杯</v>
          </cell>
          <cell r="D409" t="str">
            <v>Stainless Steel Beer Mug 500ML #201</v>
          </cell>
          <cell r="E409" t="str">
            <v>=DISPIMG("ID_3F81CA1E04334D7495E7D3199DD8EEC6",1)</v>
          </cell>
          <cell r="F409" t="str">
            <v>水瓶</v>
          </cell>
          <cell r="G409">
            <v>0.35</v>
          </cell>
          <cell r="H409">
            <v>15</v>
          </cell>
          <cell r="I409">
            <v>13</v>
          </cell>
          <cell r="J409">
            <v>10</v>
          </cell>
          <cell r="K409">
            <v>0.00195</v>
          </cell>
          <cell r="L409" t="str">
            <v>54*43*31</v>
          </cell>
          <cell r="M409">
            <v>11.5</v>
          </cell>
        </row>
        <row r="410">
          <cell r="A410" t="str">
            <v>B01HAHZBHW</v>
          </cell>
          <cell r="B410" t="str">
            <v>KHM-BPC-NlFleLftSet</v>
          </cell>
          <cell r="C410" t="str">
            <v>内嵌趾甲套装</v>
          </cell>
          <cell r="D410" t="str">
            <v>KP-7100 Ingrown Toenail File and Lifter Set</v>
          </cell>
          <cell r="E410" t="str">
            <v>=DISPIMG("ID_971F8AA08599477F89804846520A1817",1)</v>
          </cell>
          <cell r="F410" t="str">
            <v>指甲钳</v>
          </cell>
          <cell r="G410" t="str">
            <v>0.35</v>
          </cell>
          <cell r="H410">
            <v>18.7</v>
          </cell>
          <cell r="I410">
            <v>6.7</v>
          </cell>
          <cell r="J410">
            <v>0.35</v>
          </cell>
          <cell r="K410">
            <v>4.38515e-5</v>
          </cell>
          <cell r="L410" t="str">
            <v>22.5*23.5*13.5</v>
          </cell>
          <cell r="M410">
            <v>4.5</v>
          </cell>
        </row>
        <row r="411">
          <cell r="A411" t="str">
            <v>B07DTNHKDW</v>
          </cell>
          <cell r="B411" t="str">
            <v>URN-SPO-YOGBLOK-2P</v>
          </cell>
          <cell r="C411" t="str">
            <v>瑜伽块</v>
          </cell>
          <cell r="D411" t="str">
            <v>Yoga Block - 2PC Pink</v>
          </cell>
          <cell r="E411" t="str">
            <v>=DISPIMG("ID_D5058FBFCC874C788DFBAE5540353C36",1)</v>
          </cell>
          <cell r="F411" t="str">
            <v>健身</v>
          </cell>
        </row>
        <row r="411">
          <cell r="L411" t="str">
            <v>50*50*50</v>
          </cell>
        </row>
        <row r="412">
          <cell r="A412" t="str">
            <v>B00DAGYZYS</v>
          </cell>
          <cell r="B412" t="str">
            <v>PT/MET/TERR/BLK</v>
          </cell>
          <cell r="C412" t="str">
            <v>植物支架</v>
          </cell>
          <cell r="D412" t="str">
            <v>Plant Theatre Plant Terrace - 3 Tier Metal Plant Stand in Black</v>
          </cell>
          <cell r="E412" t="str">
            <v>=DISPIMG("ID_1FA8FE5D674D4815AD57CA5355251AA0",1)</v>
          </cell>
          <cell r="F412" t="str">
            <v>园艺</v>
          </cell>
          <cell r="G412">
            <v>2</v>
          </cell>
          <cell r="H412">
            <v>82</v>
          </cell>
          <cell r="I412">
            <v>59.5</v>
          </cell>
          <cell r="J412">
            <v>6.5</v>
          </cell>
          <cell r="K412">
            <v>0.0317135</v>
          </cell>
          <cell r="L412" t="str">
            <v>56.5*46*48</v>
          </cell>
          <cell r="M412">
            <v>13.2</v>
          </cell>
        </row>
        <row r="413">
          <cell r="A413" t="str">
            <v>B09XSX7KQN</v>
          </cell>
          <cell r="B413" t="str">
            <v>YHG-HOK-FD-S1103-5-1</v>
          </cell>
          <cell r="C413" t="str">
            <v>钢制搅拌碗组</v>
          </cell>
          <cell r="D413" t="str">
            <v>Fine Dine-SS 5pcs Mixing Bowls set-white</v>
          </cell>
          <cell r="E413" t="str">
            <v>=DISPIMG("ID_C0DA5B2A71104633A0F73812E38BAF97",1)</v>
          </cell>
          <cell r="F413" t="str">
            <v>厨房用具</v>
          </cell>
          <cell r="G413">
            <v>1.02</v>
          </cell>
          <cell r="H413">
            <v>29.4</v>
          </cell>
          <cell r="I413">
            <v>29</v>
          </cell>
          <cell r="J413">
            <v>10.8</v>
          </cell>
          <cell r="K413">
            <v>0.00920808</v>
          </cell>
          <cell r="L413" t="str">
            <v>59.2*59*34</v>
          </cell>
          <cell r="M413">
            <v>13.92</v>
          </cell>
        </row>
        <row r="414">
          <cell r="A414" t="str">
            <v>B0756LD12Y</v>
          </cell>
          <cell r="B414" t="str">
            <v>YHG-HOK-WdPntHngr360-Ntl10pk</v>
          </cell>
          <cell r="C414" t="str">
            <v>天然木裙夹衣架</v>
          </cell>
          <cell r="D414" t="str">
            <v>Wooden Skirt Clamp Hangers Natural set of 10</v>
          </cell>
          <cell r="E414" t="str">
            <v>=DISPIMG("ID_AEA1022ECD07448B91A1E25EF5351DB1",1)</v>
          </cell>
          <cell r="F414" t="str">
            <v>衣架</v>
          </cell>
          <cell r="G414" t="str">
            <v>1.500</v>
          </cell>
          <cell r="H414">
            <v>26</v>
          </cell>
          <cell r="I414">
            <v>25</v>
          </cell>
          <cell r="J414">
            <v>12.5</v>
          </cell>
          <cell r="K414">
            <v>0.008125</v>
          </cell>
          <cell r="L414" t="str">
            <v>52 * 28 * 51</v>
          </cell>
          <cell r="M414">
            <v>12.3</v>
          </cell>
        </row>
        <row r="415">
          <cell r="A415" t="str">
            <v>B07CG9ZDQ4</v>
          </cell>
          <cell r="B415" t="str">
            <v>DAT-APA-AFr2P-B</v>
          </cell>
          <cell r="C415" t="str">
            <v>汽车空气清新剂</v>
          </cell>
          <cell r="D415" t="str">
            <v>Car Air Freshener 2 Pack Black</v>
          </cell>
          <cell r="E415" t="str">
            <v>=DISPIMG("ID_AA0F564ABBE54C9491480C39BDFE74D3",1)</v>
          </cell>
          <cell r="F415" t="str">
            <v>汽车</v>
          </cell>
          <cell r="G415" t="str">
            <v>0.210</v>
          </cell>
          <cell r="H415" t="str">
            <v>15.2</v>
          </cell>
          <cell r="I415" t="str">
            <v>13.2</v>
          </cell>
          <cell r="J415" t="str">
            <v>5.5</v>
          </cell>
          <cell r="K415">
            <v>0.00110352</v>
          </cell>
          <cell r="L415" t="str">
            <v>55*41*32</v>
          </cell>
          <cell r="M415">
            <v>20</v>
          </cell>
        </row>
        <row r="416">
          <cell r="A416" t="str">
            <v>B015LWEUOS</v>
          </cell>
          <cell r="B416" t="str">
            <v>PLT-GAO-WrkStn-3Utnsl</v>
          </cell>
          <cell r="C416" t="str">
            <v>烧烤木制工作站</v>
          </cell>
          <cell r="D416" t="str">
            <v>Barbecue Wooden Work Station - Includes 3 BBQ Utensils</v>
          </cell>
          <cell r="E416" t="str">
            <v>=DISPIMG("ID_C18C4E08531E4A92B1E4BF5F3EFF799D",1)</v>
          </cell>
        </row>
        <row r="416">
          <cell r="L416" t="str">
            <v>50*50*50</v>
          </cell>
        </row>
        <row r="417">
          <cell r="A417" t="str">
            <v>B075FDD286</v>
          </cell>
          <cell r="B417" t="str">
            <v>YHG-HOK-WdStHngrNsChy20pk</v>
          </cell>
          <cell r="C417" t="str">
            <v>木衣架</v>
          </cell>
          <cell r="D417" t="str">
            <v>Wooden Suit Hangers Cherry set of 20</v>
          </cell>
          <cell r="E417" t="str">
            <v>=DISPIMG("ID_4C003CB5A8494758B7D8461EF1A2396F",1)</v>
          </cell>
          <cell r="F417" t="str">
            <v>衣架</v>
          </cell>
          <cell r="G417">
            <v>2.6</v>
          </cell>
          <cell r="H417">
            <v>34</v>
          </cell>
          <cell r="I417">
            <v>35</v>
          </cell>
          <cell r="J417">
            <v>13</v>
          </cell>
          <cell r="K417">
            <v>0.01547</v>
          </cell>
          <cell r="L417" t="str">
            <v>36.5*35.5*52</v>
          </cell>
          <cell r="M417">
            <v>11</v>
          </cell>
        </row>
        <row r="418">
          <cell r="A418" t="str">
            <v>B09BDKT1M4</v>
          </cell>
          <cell r="B418" t="str">
            <v>FD-S4801-FBA</v>
          </cell>
          <cell r="C418" t="str">
            <v>钢水瓶</v>
          </cell>
          <cell r="D418" t="str">
            <v>40oz BOTTLE
DOUBLE WALL 304 S/S 
Coppering
Stainless Steel
3 LIDS(PP+PE+Silicone)</v>
          </cell>
          <cell r="E418" t="str">
            <v>=DISPIMG("ID_B71FE21E7D8C46688AC9241FF325EA84",1)</v>
          </cell>
          <cell r="F418" t="str">
            <v>水瓶</v>
          </cell>
          <cell r="G418" t="str">
            <v>0.74</v>
          </cell>
          <cell r="H418" t="str">
            <v>38.6</v>
          </cell>
          <cell r="I418" t="str">
            <v>9.9</v>
          </cell>
          <cell r="J418" t="str">
            <v>10.3</v>
          </cell>
          <cell r="K418">
            <v>0.003936042</v>
          </cell>
          <cell r="L418" t="str">
            <v>61*42*37</v>
          </cell>
          <cell r="M418">
            <v>16.3</v>
          </cell>
        </row>
        <row r="419">
          <cell r="A419" t="str">
            <v>B00MSXW15E</v>
          </cell>
          <cell r="B419" t="str">
            <v>HCO-HOK-Cork1-RW</v>
          </cell>
          <cell r="C419" t="str">
            <v>多合一开瓶器</v>
          </cell>
          <cell r="D419" t="str">
            <v>Professional Waiter's Corkscrew by HiCoup - Rosewood Handle All-in-one Corkscrew, Bottle Opener and Foil Cutter, Used By Sommeliers, Waiters and Bartenders Around The World</v>
          </cell>
          <cell r="E419" t="str">
            <v>=DISPIMG("ID_6AD4086A95484C9095F95E28356CD512",1)</v>
          </cell>
          <cell r="F419" t="str">
            <v>工具</v>
          </cell>
          <cell r="G419" t="str">
            <v>0.09</v>
          </cell>
          <cell r="H419">
            <v>12.5</v>
          </cell>
          <cell r="I419">
            <v>2</v>
          </cell>
          <cell r="J419">
            <v>1</v>
          </cell>
          <cell r="K419">
            <v>2.5e-5</v>
          </cell>
          <cell r="L419" t="str">
            <v>12*25*53</v>
          </cell>
        </row>
        <row r="420">
          <cell r="A420" t="str">
            <v>B01N1L8SKX</v>
          </cell>
          <cell r="B420" t="str">
            <v>TRB-SPO-TRKPO-BERD</v>
          </cell>
          <cell r="C420" t="str">
            <v>登山杖</v>
          </cell>
          <cell r="D420" t="str">
            <v>TrailBuddy Lightweight Trekking Poles - 2-pc Pack Adjustable Hiking or Walking Sticks - Strong Aircraft Aluminum - Quick Adjust Flip-Lock - Cork Grip, Padded Strap (Beetle Red)</v>
          </cell>
          <cell r="E420" t="str">
            <v>=DISPIMG("ID_C19A3C8A6C6148D681B4E3E5AA8E2DED",1)</v>
          </cell>
          <cell r="F420" t="str">
            <v>户外</v>
          </cell>
          <cell r="G420">
            <v>0.8</v>
          </cell>
          <cell r="H420">
            <v>66</v>
          </cell>
          <cell r="I420">
            <v>12</v>
          </cell>
          <cell r="J420">
            <v>8</v>
          </cell>
          <cell r="K420">
            <v>0.006336</v>
          </cell>
          <cell r="L420" t="str">
            <v>68*48*23</v>
          </cell>
          <cell r="M420">
            <v>16.3</v>
          </cell>
        </row>
        <row r="421">
          <cell r="A421" t="str">
            <v>B07YBDJ67L</v>
          </cell>
          <cell r="B421" t="str">
            <v>YHG-HOK-WdKdHngr360-Ntl10pk</v>
          </cell>
          <cell r="C421" t="str">
            <v>木衣架</v>
          </cell>
          <cell r="D421" t="str">
            <v>Wooden Standard Kids Hangers Natural set of 10</v>
          </cell>
          <cell r="E421" t="str">
            <v>=DISPIMG("ID_875806374D744796ACEBF55CF4730EAA",1)</v>
          </cell>
          <cell r="F421" t="str">
            <v>衣架</v>
          </cell>
          <cell r="G421">
            <v>1</v>
          </cell>
          <cell r="H421">
            <v>32</v>
          </cell>
          <cell r="I421">
            <v>27</v>
          </cell>
          <cell r="J421">
            <v>7</v>
          </cell>
          <cell r="K421">
            <v>0.006048</v>
          </cell>
          <cell r="L421" t="str">
            <v>55 * 34 * 28</v>
          </cell>
        </row>
        <row r="422">
          <cell r="A422" t="str">
            <v>B081XXQ6XB</v>
          </cell>
          <cell r="B422" t="str">
            <v>LAA-SAO-GrpSc-5prTBlK/XL</v>
          </cell>
          <cell r="C422" t="str">
            <v>抓地力小腿袜</v>
          </cell>
          <cell r="D422" t="str">
            <v>Grip Socks 5 Pairs Tuxedo Black, XL</v>
          </cell>
          <cell r="E422" t="str">
            <v>=DISPIMG("ID_9670A8F0304C4C0D99A34CA12156897F",1)</v>
          </cell>
          <cell r="F422" t="str">
            <v>衣物</v>
          </cell>
          <cell r="G422">
            <v>0.12</v>
          </cell>
          <cell r="H422">
            <v>18</v>
          </cell>
          <cell r="I422">
            <v>10</v>
          </cell>
          <cell r="J422">
            <v>5</v>
          </cell>
          <cell r="K422">
            <v>0.0009</v>
          </cell>
          <cell r="L422" t="str">
            <v>47*46*30</v>
          </cell>
          <cell r="M422">
            <v>9</v>
          </cell>
        </row>
        <row r="423">
          <cell r="A423" t="str">
            <v>B0725NZR9C</v>
          </cell>
          <cell r="B423" t="str">
            <v>YHG-KND-StlTrvlMg-Stl2pk</v>
          </cell>
          <cell r="C423" t="str">
            <v>保温咖啡杯</v>
          </cell>
          <cell r="D423" t="str">
            <v>FineDine Double Stainless Steel Walled Insulated Coffee Mugs with Lids FD-S50</v>
          </cell>
          <cell r="E423" t="str">
            <v>=DISPIMG("ID_1744384167394A4897B0879BAA1A17F6",1)</v>
          </cell>
          <cell r="F423" t="str">
            <v>水瓶</v>
          </cell>
          <cell r="G423" t="str">
            <v>0.550</v>
          </cell>
          <cell r="H423">
            <v>19</v>
          </cell>
          <cell r="I423">
            <v>13</v>
          </cell>
          <cell r="J423">
            <v>10</v>
          </cell>
          <cell r="K423">
            <v>0.00247</v>
          </cell>
          <cell r="L423" t="str">
            <v>40 * 33 * 29</v>
          </cell>
          <cell r="M423">
            <v>6.7</v>
          </cell>
        </row>
        <row r="424">
          <cell r="A424" t="str">
            <v>B07B9KLRDC</v>
          </cell>
          <cell r="B424" t="str">
            <v>MXL-KND-BarKit-10pcBsSlv-ASMBL</v>
          </cell>
          <cell r="C424" t="str">
            <v>调酒套件和支架</v>
          </cell>
          <cell r="D424" t="str">
            <v>Bartender Kit 10pc Bamboo Stand Silver</v>
          </cell>
          <cell r="E424" t="str">
            <v>=DISPIMG("ID_5258E70A5C6A4ED8BF0760F417517238",1)</v>
          </cell>
          <cell r="F424" t="str">
            <v>厨房用具</v>
          </cell>
          <cell r="G424" t="str">
            <v>1.320</v>
          </cell>
          <cell r="H424" t="str">
            <v>31.5</v>
          </cell>
          <cell r="I424" t="str">
            <v>10.3</v>
          </cell>
          <cell r="J424" t="str">
            <v>17.8</v>
          </cell>
          <cell r="K424">
            <v>0.00577521</v>
          </cell>
          <cell r="L424" t="str">
            <v>50*50*50</v>
          </cell>
        </row>
        <row r="425">
          <cell r="A425" t="str">
            <v>B0854P3XS1</v>
          </cell>
          <cell r="B425" t="str">
            <v>YHG-KND-GlsbbyFdCntnr-5Tqse6pk</v>
          </cell>
          <cell r="C425" t="str">
            <v>膳食准备容器</v>
          </cell>
          <cell r="D425" t="str">
            <v>Superior Glass Baby Food Storage Containers 5oz Turquoise Pack</v>
          </cell>
          <cell r="E425" t="str">
            <v>=DISPIMG("ID_C622FA227FA84319864BEED7A1C22CBB",1)</v>
          </cell>
          <cell r="F425" t="str">
            <v>厨房用具</v>
          </cell>
          <cell r="G425">
            <v>1.5</v>
          </cell>
          <cell r="H425">
            <v>17.5</v>
          </cell>
          <cell r="I425">
            <v>12.5</v>
          </cell>
          <cell r="J425">
            <v>17.5</v>
          </cell>
          <cell r="K425">
            <v>0.003828125</v>
          </cell>
          <cell r="L425" t="str">
            <v>18.5*37*11.1</v>
          </cell>
          <cell r="M425">
            <v>11.1</v>
          </cell>
        </row>
        <row r="426">
          <cell r="A426" t="str">
            <v>B09BNTKZ5D</v>
          </cell>
          <cell r="B426" t="str">
            <v>FD-S4816-FBA</v>
          </cell>
          <cell r="C426" t="str">
            <v>钢水瓶</v>
          </cell>
          <cell r="D426" t="str">
            <v>40oz BOTTLE
DOUBLE WALL 304 S/S 
Coppering
2 color Powder Coated
mix purple/green
3 LIDS(PP+PE+Silicone)</v>
          </cell>
          <cell r="E426" t="str">
            <v>=DISPIMG("ID_5B0A29D08168453793D2F8B44C5714A5",1)</v>
          </cell>
          <cell r="F426" t="str">
            <v>水瓶</v>
          </cell>
          <cell r="G426" t="str">
            <v>0.76</v>
          </cell>
          <cell r="H426" t="str">
            <v>38.5</v>
          </cell>
          <cell r="I426" t="str">
            <v>9.9</v>
          </cell>
          <cell r="J426" t="str">
            <v>10.7</v>
          </cell>
          <cell r="K426">
            <v>0.004078305</v>
          </cell>
          <cell r="L426" t="str">
            <v>61*42*37</v>
          </cell>
          <cell r="M426">
            <v>16.3</v>
          </cell>
        </row>
        <row r="427">
          <cell r="A427" t="str">
            <v>B074C3TMGM</v>
          </cell>
          <cell r="B427" t="str">
            <v>PRM-HHB-FbrTwl-3setNv</v>
          </cell>
          <cell r="C427" t="str">
            <v>超细纤维毛巾</v>
          </cell>
          <cell r="D427" t="str">
            <v>Microfiber Towels Set Navy</v>
          </cell>
          <cell r="E427" t="str">
            <v>=DISPIMG("ID_CCC27A3754E246DDBE9CC8CD65EA6F17",1)</v>
          </cell>
          <cell r="F427" t="str">
            <v>清洁</v>
          </cell>
          <cell r="G427" t="str">
            <v>0.358</v>
          </cell>
          <cell r="H427" t="str">
            <v>24.40</v>
          </cell>
          <cell r="I427">
            <v>12.5</v>
          </cell>
          <cell r="J427">
            <v>7.5</v>
          </cell>
          <cell r="K427">
            <v>0.0022875</v>
          </cell>
          <cell r="L427" t="str">
            <v>51*41*40</v>
          </cell>
          <cell r="M427">
            <v>17.9</v>
          </cell>
        </row>
        <row r="428">
          <cell r="A428" t="str">
            <v>B076B4QYPD</v>
          </cell>
          <cell r="B428" t="str">
            <v>PWP-AZL-LEDShlf3pk-2700K</v>
          </cell>
          <cell r="C428" t="str">
            <v>推灯</v>
          </cell>
          <cell r="D428" t="str">
            <v>LED Shelf Lighting 3 pack 2700K</v>
          </cell>
          <cell r="E428" t="str">
            <v>=DISPIMG("ID_7DC70F9F9CB14A26BBBE3BF6407E5B67",1)</v>
          </cell>
          <cell r="F428" t="str">
            <v>工具</v>
          </cell>
          <cell r="G428">
            <v>0.65</v>
          </cell>
          <cell r="H428">
            <v>23</v>
          </cell>
          <cell r="I428">
            <v>14</v>
          </cell>
          <cell r="J428">
            <v>8</v>
          </cell>
          <cell r="K428">
            <v>0.002576</v>
          </cell>
          <cell r="L428" t="str">
            <v>48*29*42</v>
          </cell>
          <cell r="M428">
            <v>13.7</v>
          </cell>
        </row>
        <row r="429">
          <cell r="A429" t="str">
            <v>B07DTPGW5Q</v>
          </cell>
          <cell r="B429" t="str">
            <v>URN-SPO-VFROLLER-O</v>
          </cell>
          <cell r="C429" t="str">
            <v>振动压路机</v>
          </cell>
          <cell r="D429" t="str">
            <v>Vibrating Foam Roller Orange</v>
          </cell>
          <cell r="E429" t="str">
            <v>=DISPIMG("ID_0D221CEFC5824C8EB7EAE40322DFCC9B",1)</v>
          </cell>
          <cell r="F429" t="str">
            <v>工具</v>
          </cell>
          <cell r="G429">
            <v>1.6</v>
          </cell>
          <cell r="H429">
            <v>36</v>
          </cell>
          <cell r="I429">
            <v>15</v>
          </cell>
          <cell r="J429">
            <v>15</v>
          </cell>
          <cell r="K429">
            <v>0.0081</v>
          </cell>
          <cell r="L429" t="str">
            <v>39*33*33</v>
          </cell>
          <cell r="M429">
            <v>7</v>
          </cell>
        </row>
        <row r="430">
          <cell r="A430" t="str">
            <v>B06ZZD1W4C</v>
          </cell>
          <cell r="B430" t="str">
            <v>YHG-HOK-RbrHngr-Pnk20pk</v>
          </cell>
          <cell r="C430" t="str">
            <v>橡胶涂层 U 型衣架</v>
          </cell>
          <cell r="D430" t="str">
            <v>Plastic Rubber Coated U-Slide Hangers Pink set of 2</v>
          </cell>
          <cell r="E430" t="str">
            <v>=DISPIMG("ID_9E92B1E801584C88A5CBF9DBE6C94DFF",1)</v>
          </cell>
          <cell r="F430" t="str">
            <v>衣架</v>
          </cell>
          <cell r="G430">
            <v>1.9</v>
          </cell>
          <cell r="H430">
            <v>41</v>
          </cell>
          <cell r="I430">
            <v>32</v>
          </cell>
          <cell r="J430">
            <v>7</v>
          </cell>
          <cell r="K430">
            <v>0.009184</v>
          </cell>
          <cell r="L430" t="str">
            <v>56 * 43 * 34</v>
          </cell>
          <cell r="M430">
            <v>16</v>
          </cell>
        </row>
        <row r="431">
          <cell r="A431" t="str">
            <v>B0749FK1FS</v>
          </cell>
          <cell r="B431" t="str">
            <v>URN-SPO-PUBAND-5P</v>
          </cell>
          <cell r="C431" t="str">
            <v>拉力带套装</v>
          </cell>
          <cell r="D431" t="str">
            <v>Pull Up Assist Band - Stretch Resistance Band - Mobility Band - Powerlifting Bands - Extra Durable Pull-Up (5 Band Set)</v>
          </cell>
          <cell r="E431" t="str">
            <v>=DISPIMG("ID_47E53E4BD4CB4A58A5930251E96A451B",1)</v>
          </cell>
          <cell r="F431" t="str">
            <v>健身</v>
          </cell>
          <cell r="G431">
            <v>1.6</v>
          </cell>
          <cell r="H431">
            <v>29</v>
          </cell>
          <cell r="I431">
            <v>29</v>
          </cell>
          <cell r="J431">
            <v>6</v>
          </cell>
          <cell r="K431">
            <v>0.005046</v>
          </cell>
          <cell r="L431" t="str">
            <v>42 * 34 * 32</v>
          </cell>
          <cell r="M431">
            <v>16.5</v>
          </cell>
        </row>
        <row r="432">
          <cell r="A432" t="str">
            <v>B07DGLW1R6</v>
          </cell>
          <cell r="B432" t="str">
            <v>HKW-HOK-16Sh4BtOrg-Bg2Pk</v>
          </cell>
          <cell r="C432" t="str">
            <v>鞋子收纳盒</v>
          </cell>
          <cell r="D432" t="str">
            <v>12 Shoes 4 Boots Organizer Beige 2 Pack</v>
          </cell>
          <cell r="E432" t="str">
            <v>=DISPIMG("ID_B5200EF6758D425096E335578D7C8880",1)</v>
          </cell>
          <cell r="F432" t="str">
            <v>收纳</v>
          </cell>
          <cell r="G432">
            <v>1.48</v>
          </cell>
          <cell r="H432">
            <v>32</v>
          </cell>
          <cell r="I432">
            <v>18</v>
          </cell>
          <cell r="J432">
            <v>11</v>
          </cell>
          <cell r="K432">
            <v>0.006336</v>
          </cell>
          <cell r="L432" t="str">
            <v>38*36*38</v>
          </cell>
          <cell r="M432">
            <v>9.6</v>
          </cell>
        </row>
        <row r="433">
          <cell r="A433" t="str">
            <v>B09BDNNGMN</v>
          </cell>
          <cell r="B433" t="str">
            <v>FD-S4705-FBA</v>
          </cell>
          <cell r="C433" t="str">
            <v>钢水瓶</v>
          </cell>
          <cell r="D433" t="str">
            <v>32oz BOTTLE
DOUBLE WALL 304 S/S 
Coppering
Powder Coated
pink 709c
3 LIDS(PP+PE+Silicone)</v>
          </cell>
          <cell r="E433" t="str">
            <v>=DISPIMG("ID_C123F8719A4E4435ACF5D42FD66BFD43",1)</v>
          </cell>
          <cell r="F433" t="str">
            <v>水瓶</v>
          </cell>
          <cell r="G433" t="str">
            <v>0.681</v>
          </cell>
          <cell r="H433" t="str">
            <v>34.7</v>
          </cell>
          <cell r="I433" t="str">
            <v>10.0</v>
          </cell>
          <cell r="J433" t="str">
            <v>10.4</v>
          </cell>
          <cell r="K433">
            <v>0.0036088</v>
          </cell>
          <cell r="L433" t="str">
            <v>61*42*37</v>
          </cell>
          <cell r="M433">
            <v>16.3</v>
          </cell>
        </row>
        <row r="434">
          <cell r="A434" t="str">
            <v>B06WVD2K6N</v>
          </cell>
          <cell r="B434" t="str">
            <v>OTC-KND-SSDis1-500ml</v>
          </cell>
          <cell r="C434" t="str">
            <v>鲜奶油分配器套装</v>
          </cell>
          <cell r="D434" t="str">
            <v>Whipped Cream Dispenser Stainless Steel - Professional Whipped Cream Maker Grips</v>
          </cell>
          <cell r="E434" t="str">
            <v>=DISPIMG("ID_5FD260AE09C14FE3AF17A55CC77A8138",1)</v>
          </cell>
          <cell r="F434" t="str">
            <v>厨房用具</v>
          </cell>
          <cell r="G434">
            <v>1.2</v>
          </cell>
          <cell r="H434">
            <v>31</v>
          </cell>
          <cell r="I434">
            <v>9</v>
          </cell>
          <cell r="J434">
            <v>9</v>
          </cell>
          <cell r="K434">
            <v>0.002511</v>
          </cell>
          <cell r="L434" t="str">
            <v>39*30*33</v>
          </cell>
          <cell r="M434">
            <v>14.5</v>
          </cell>
        </row>
        <row r="435">
          <cell r="A435" t="str">
            <v>B01KKNFTPC</v>
          </cell>
          <cell r="B435" t="str">
            <v>YHG-HOK-RctChrsTreBg-9Red</v>
          </cell>
          <cell r="C435" t="str">
            <v>圣诞树收纳袋</v>
          </cell>
          <cell r="D435" t="str">
            <v>Large Christmas Tree Storage Bag Fits Up to ft Tall Holiday Artificial Disassembled Trees</v>
          </cell>
          <cell r="E435" t="str">
            <v>=DISPIMG("ID_E9BCB35B4EF24B718E07A44D659EF604",1)</v>
          </cell>
          <cell r="F435" t="str">
            <v>圣诞</v>
          </cell>
          <cell r="G435">
            <v>0.7</v>
          </cell>
          <cell r="H435">
            <v>27.6</v>
          </cell>
          <cell r="I435">
            <v>27</v>
          </cell>
          <cell r="J435">
            <v>8</v>
          </cell>
          <cell r="K435">
            <v>0.0059616</v>
          </cell>
          <cell r="L435" t="str">
            <v>31 * 49 * 25</v>
          </cell>
          <cell r="M435">
            <v>17.4</v>
          </cell>
        </row>
        <row r="436">
          <cell r="A436" t="str">
            <v>B0752XPTGV</v>
          </cell>
          <cell r="B436" t="str">
            <v>YHG-HOK-DflChrsTreBg-9Grn</v>
          </cell>
          <cell r="C436" t="str">
            <v>圣诞树收纳袋</v>
          </cell>
          <cell r="D436" t="str">
            <v>STORAGE BAG</v>
          </cell>
          <cell r="E436" t="str">
            <v>=DISPIMG("ID_4AB4DB81833444388543954A1CCBCC88",1)</v>
          </cell>
          <cell r="F436" t="str">
            <v>圣诞</v>
          </cell>
          <cell r="G436">
            <v>1.9</v>
          </cell>
          <cell r="H436">
            <v>33</v>
          </cell>
          <cell r="I436">
            <v>26</v>
          </cell>
          <cell r="J436" t="str">
            <v>27.1</v>
          </cell>
          <cell r="K436">
            <v>0.0232518</v>
          </cell>
          <cell r="L436" t="str">
            <v>35*28*32</v>
          </cell>
          <cell r="M436">
            <v>12</v>
          </cell>
        </row>
        <row r="437">
          <cell r="A437" t="str">
            <v>B07BXZ1QNS</v>
          </cell>
          <cell r="B437" t="str">
            <v>PLT-GAO-FldFtStl-PntWht</v>
          </cell>
          <cell r="C437" t="str">
            <v>脚凳</v>
          </cell>
          <cell r="D437" t="str">
            <v>Plant Theater Adirondack Hardwood Footstool Painted White - Excellent Quality</v>
          </cell>
          <cell r="E437" t="str">
            <v>=DISPIMG("ID_3A5259934B794C5FBD6B18D3140E0BE1",1)</v>
          </cell>
          <cell r="F437" t="str">
            <v>桌椅</v>
          </cell>
        </row>
        <row r="438">
          <cell r="A438" t="str">
            <v>B08B1VQJ64</v>
          </cell>
          <cell r="B438" t="str">
            <v>YHG-SPO-StlWtrBtlSld-Pnk25</v>
          </cell>
          <cell r="C438" t="str">
            <v>钢水瓶</v>
          </cell>
          <cell r="D438" t="str">
            <v>Stainless Steel Insulated Water Bottle Straw Lid Pink 2oz</v>
          </cell>
          <cell r="E438" t="str">
            <v>=DISPIMG("ID_4C3EC3B4040B407D88322C2A04F2FBF9",1)</v>
          </cell>
          <cell r="F438" t="str">
            <v>水瓶</v>
          </cell>
          <cell r="G438">
            <v>0.6</v>
          </cell>
          <cell r="H438">
            <v>35</v>
          </cell>
          <cell r="I438">
            <v>10</v>
          </cell>
          <cell r="J438">
            <v>10</v>
          </cell>
          <cell r="K438">
            <v>0.0035</v>
          </cell>
          <cell r="L438" t="str">
            <v>58 * 40 * 37</v>
          </cell>
          <cell r="M438">
            <v>14.8</v>
          </cell>
        </row>
        <row r="439">
          <cell r="A439" t="str">
            <v>B075LKVP7R</v>
          </cell>
          <cell r="B439" t="str">
            <v>PRM-HHB-FbrTwl-3setGy</v>
          </cell>
          <cell r="C439" t="str">
            <v>超细纤维毛巾</v>
          </cell>
          <cell r="D439" t="str">
            <v>Microfiber Towels Set Grey</v>
          </cell>
          <cell r="E439" t="str">
            <v>=DISPIMG("ID_5AC6BA7A4B354A0FB23080858DD67FD3",1)</v>
          </cell>
          <cell r="F439" t="str">
            <v>清洁</v>
          </cell>
          <cell r="G439">
            <v>0.32</v>
          </cell>
          <cell r="H439">
            <v>24</v>
          </cell>
          <cell r="I439">
            <v>12.5</v>
          </cell>
          <cell r="J439">
            <v>7.5</v>
          </cell>
          <cell r="K439">
            <v>0.00225</v>
          </cell>
          <cell r="L439" t="str">
            <v>51*41*40</v>
          </cell>
          <cell r="M439">
            <v>17.9</v>
          </cell>
        </row>
        <row r="440">
          <cell r="A440" t="str">
            <v>B0833H497Q</v>
          </cell>
          <cell r="B440" t="str">
            <v>YHG-KND-PltFdStrgCntnr-MxGry6pk</v>
          </cell>
          <cell r="C440" t="str">
            <v>塑料食品容器套装</v>
          </cell>
          <cell r="D440" t="str">
            <v>Plastic Food Storage Container Mixed Gray Pack</v>
          </cell>
          <cell r="E440" t="str">
            <v>=DISPIMG("ID_E21DACA2BF6343A58B0A56E081CC79C2",1)</v>
          </cell>
          <cell r="F440" t="str">
            <v>厨房用具</v>
          </cell>
          <cell r="G440">
            <v>2.4</v>
          </cell>
          <cell r="H440">
            <v>43</v>
          </cell>
          <cell r="I440">
            <v>26</v>
          </cell>
          <cell r="J440">
            <v>20</v>
          </cell>
          <cell r="K440">
            <v>0.02236</v>
          </cell>
          <cell r="L440" t="str">
            <v>60 * 28 * 45</v>
          </cell>
          <cell r="M440">
            <v>8.3</v>
          </cell>
        </row>
        <row r="441">
          <cell r="A441" t="str">
            <v>B01JIUH2OY</v>
          </cell>
          <cell r="B441" t="str">
            <v>NVT-KND-PstMkr-150</v>
          </cell>
          <cell r="C441" t="str">
            <v>意大利面机</v>
          </cell>
          <cell r="D441" t="str">
            <v>Pasta Maker with Pasta Cutter -</v>
          </cell>
          <cell r="E441" t="str">
            <v>=DISPIMG("ID_489A156481B74EFEA2CF9C0D4FBDCF5B",1)</v>
          </cell>
          <cell r="F441" t="str">
            <v>厨房用具</v>
          </cell>
          <cell r="G441">
            <v>3</v>
          </cell>
          <cell r="H441">
            <v>21.5</v>
          </cell>
          <cell r="I441">
            <v>17</v>
          </cell>
          <cell r="J441">
            <v>13.5</v>
          </cell>
          <cell r="K441">
            <v>0.00493425</v>
          </cell>
          <cell r="L441" t="str">
            <v>53*22*29</v>
          </cell>
          <cell r="M441">
            <v>17.4</v>
          </cell>
        </row>
        <row r="442">
          <cell r="A442" t="str">
            <v>B07SGXV5FV</v>
          </cell>
          <cell r="B442" t="str">
            <v>YHG-HOK-PrWrpOrg-40Blk</v>
          </cell>
          <cell r="C442" t="str">
            <v>包装储存</v>
          </cell>
        </row>
        <row r="442">
          <cell r="E442" t="str">
            <v>=DISPIMG("ID_385FD9A3C48F405184994D5C2F53074F",1)</v>
          </cell>
          <cell r="F442" t="str">
            <v>圣诞</v>
          </cell>
          <cell r="G442" t="str">
            <v>2.150</v>
          </cell>
          <cell r="H442">
            <v>37</v>
          </cell>
          <cell r="I442">
            <v>19</v>
          </cell>
          <cell r="J442">
            <v>9</v>
          </cell>
          <cell r="K442">
            <v>0.006327</v>
          </cell>
          <cell r="L442" t="str">
            <v>39 * 39 * 24</v>
          </cell>
          <cell r="M442">
            <v>13.6</v>
          </cell>
        </row>
        <row r="443">
          <cell r="A443" t="str">
            <v>B07MJHRFCW</v>
          </cell>
          <cell r="B443" t="str">
            <v>YHG-HOK-WdPntHngr360Mcp-Ntl20pk</v>
          </cell>
          <cell r="C443" t="str">
            <v>木衣架</v>
          </cell>
        </row>
        <row r="443">
          <cell r="E443" t="str">
            <v>=DISPIMG("ID_33FAE21597E441F9AA7CB5579AE2EA04",1)</v>
          </cell>
          <cell r="F443" t="str">
            <v>衣架</v>
          </cell>
        </row>
        <row r="444">
          <cell r="A444" t="str">
            <v>B071F87NTM</v>
          </cell>
          <cell r="B444" t="str">
            <v>DAT-APA-TrOr1-T</v>
          </cell>
          <cell r="C444" t="str">
            <v>后备箱整理器</v>
          </cell>
        </row>
        <row r="444">
          <cell r="E444" t="str">
            <v>=DISPIMG("ID_BB9F5E976A6C4455B933BE514786B7F9",1)</v>
          </cell>
        </row>
        <row r="445">
          <cell r="A445" t="str">
            <v>B00J4FVZU6</v>
          </cell>
          <cell r="B445" t="str">
            <v>SDT-TOH-SPWDbCX-Wh</v>
          </cell>
          <cell r="C445" t="str">
            <v>无线门铃</v>
          </cell>
        </row>
        <row r="445">
          <cell r="E445" t="str">
            <v>=DISPIMG("ID_F105A3C3615845C28B9B9F0C085835B2",1)</v>
          </cell>
        </row>
        <row r="446">
          <cell r="A446" t="str">
            <v>B078NB2K4J</v>
          </cell>
          <cell r="B446" t="str">
            <v>YHG-HOK-WdshWdHngr-Ntl6pk</v>
          </cell>
          <cell r="C446" t="str">
            <v>宽肩木衣架</v>
          </cell>
        </row>
        <row r="446">
          <cell r="E446" t="str">
            <v>=DISPIMG("ID_044499A520F04DFC835C7A7018BCF6FA",1)</v>
          </cell>
          <cell r="F446" t="str">
            <v>衣架</v>
          </cell>
        </row>
        <row r="447">
          <cell r="A447" t="str">
            <v>B075FBQB2W</v>
          </cell>
          <cell r="B447" t="str">
            <v>YHG-HOK-WdStHngrNs-Brn20pk</v>
          </cell>
          <cell r="C447" t="str">
            <v>木衣架</v>
          </cell>
        </row>
        <row r="447">
          <cell r="E447" t="str">
            <v>=DISPIMG("ID_95645A48316C45829647CE16976CA20F",1)</v>
          </cell>
          <cell r="F447" t="str">
            <v>衣架</v>
          </cell>
        </row>
        <row r="448">
          <cell r="A448" t="str">
            <v>B08S4CCJ31</v>
          </cell>
          <cell r="B448" t="str">
            <v>YHG-HOK-WdCtRk-Blk</v>
          </cell>
          <cell r="C448" t="str">
            <v>木树衣帽架</v>
          </cell>
        </row>
        <row r="448">
          <cell r="E448" t="str">
            <v>=DISPIMG("ID_30A816D2F56D4B38A5CF70882C4C99BD",1)</v>
          </cell>
          <cell r="F448" t="str">
            <v>衣架</v>
          </cell>
        </row>
        <row r="449">
          <cell r="A449" t="str">
            <v>B07TLFY8B2</v>
          </cell>
          <cell r="B449" t="str">
            <v>YHG-HOK-SktHngr-3pk</v>
          </cell>
          <cell r="C449" t="str">
            <v>5层裙架</v>
          </cell>
        </row>
        <row r="449">
          <cell r="E449" t="str">
            <v>=DISPIMG("ID_A0359B07039B4FDEA27C41D3DF6766FF",1)</v>
          </cell>
          <cell r="F449" t="str">
            <v>衣架</v>
          </cell>
        </row>
        <row r="450">
          <cell r="A450" t="str">
            <v>B0854PCVWP</v>
          </cell>
          <cell r="B450" t="str">
            <v>YHG-KND-GlsbbyFdCntnr-5Pnk6pk</v>
          </cell>
          <cell r="C450" t="str">
            <v>膳食准备容器</v>
          </cell>
          <cell r="D450" t="str">
            <v>Pasta Maker with Pasta Cutter -</v>
          </cell>
          <cell r="E450" t="str">
            <v>=DISPIMG("ID_2DCD17BF209B4CE5BB5E80BD7014EDB2",1)</v>
          </cell>
          <cell r="F450" t="str">
            <v>厨房用具</v>
          </cell>
          <cell r="G450">
            <v>1.5</v>
          </cell>
          <cell r="H450">
            <v>17.5</v>
          </cell>
          <cell r="I450">
            <v>12.5</v>
          </cell>
          <cell r="J450">
            <v>17.5</v>
          </cell>
          <cell r="K450">
            <v>0.003828125</v>
          </cell>
          <cell r="L450" t="str">
            <v>18.5*37*11.1</v>
          </cell>
          <cell r="M450">
            <v>11.1</v>
          </cell>
        </row>
        <row r="451">
          <cell r="A451" t="str">
            <v>B088JTNQLK</v>
          </cell>
          <cell r="B451" t="str">
            <v>LAA-SAO-FuzNs-4prMBlkS/M</v>
          </cell>
          <cell r="C451" t="str">
            <v>毛绒抓地小腿袜</v>
          </cell>
        </row>
        <row r="451">
          <cell r="E451" t="str">
            <v>=DISPIMG("ID_093298B5C0BD4CC19AFDB311806C54CB",1)</v>
          </cell>
          <cell r="F451" t="str">
            <v>衣物</v>
          </cell>
        </row>
        <row r="452">
          <cell r="A452" t="str">
            <v>B081XX7XMM</v>
          </cell>
          <cell r="B452" t="str">
            <v>LAA-SAO-GrpSc-3prWGSEU</v>
          </cell>
          <cell r="C452" t="str">
            <v>抓地力小腿袜</v>
          </cell>
        </row>
        <row r="452">
          <cell r="E452" t="str">
            <v>=DISPIMG("ID_95DBCD8999434B10AB9B4A746EC8E0E2",1)</v>
          </cell>
          <cell r="F452" t="str">
            <v>衣物</v>
          </cell>
        </row>
        <row r="453">
          <cell r="A453" t="str">
            <v>B06X99FDT7</v>
          </cell>
          <cell r="B453" t="str">
            <v>KHM-BPC-NlClp-800</v>
          </cell>
          <cell r="C453" t="str">
            <v>脚趾甲钳</v>
          </cell>
        </row>
        <row r="453">
          <cell r="E453" t="str">
            <v>=DISPIMG("ID_5F2A542F25D0458CAF0933EDFC979CE0",1)</v>
          </cell>
          <cell r="F453" t="str">
            <v>指甲钳</v>
          </cell>
        </row>
        <row r="454">
          <cell r="A454" t="str">
            <v>B018R9VIU6</v>
          </cell>
          <cell r="B454" t="str">
            <v>KHM-BPC-NlClp-900-UK</v>
          </cell>
          <cell r="C454" t="str">
            <v>脚趾甲钳</v>
          </cell>
        </row>
        <row r="454">
          <cell r="E454" t="str">
            <v>=DISPIMG("ID_F6CD9B23F77A4ECE91A41475532B6783",1)</v>
          </cell>
          <cell r="F454" t="str">
            <v>指甲钳</v>
          </cell>
        </row>
        <row r="455">
          <cell r="A455" t="str">
            <v>B0B2VGSXW5</v>
          </cell>
          <cell r="B455" t="str">
            <v>YHG-HOK-FD-S1603</v>
          </cell>
          <cell r="C455" t="str">
            <v>厨房用具套装</v>
          </cell>
        </row>
        <row r="455">
          <cell r="E455" t="str">
            <v>=DISPIMG("ID_BA68408310DC4E39949CB2ADC2C3B2F3",1)</v>
          </cell>
          <cell r="F455" t="str">
            <v>厨房用具</v>
          </cell>
        </row>
        <row r="456">
          <cell r="A456" t="str">
            <v>B07DWCDSTP</v>
          </cell>
          <cell r="B456" t="str">
            <v>TMP-HHB-VlcoMpPd-4</v>
          </cell>
          <cell r="C456" t="str">
            <v>拖把垫</v>
          </cell>
        </row>
        <row r="456">
          <cell r="E456" t="str">
            <v>=DISPIMG("ID_1D9682D5852840BA9E1907A3E7D2FF5C",1)</v>
          </cell>
          <cell r="F456" t="str">
            <v>清洁</v>
          </cell>
        </row>
        <row r="457">
          <cell r="A457" t="str">
            <v>B079HCRTDW</v>
          </cell>
          <cell r="B457" t="str">
            <v>YHG-HOK-EwChrsTreBg-9Red</v>
          </cell>
          <cell r="C457" t="str">
            <v>圣诞树收纳袋</v>
          </cell>
        </row>
        <row r="457">
          <cell r="E457" t="str">
            <v>=DISPIMG("ID_3110C3797D3647D79524A56484152993",1)</v>
          </cell>
          <cell r="F457" t="str">
            <v>圣诞</v>
          </cell>
        </row>
        <row r="458">
          <cell r="A458" t="str">
            <v>B085G652QG</v>
          </cell>
          <cell r="B458" t="str">
            <v>LAA-SAO-BbyNs-6prGrl10yrs</v>
          </cell>
          <cell r="C458" t="str">
            <v>抓地力踝袜</v>
          </cell>
        </row>
        <row r="458">
          <cell r="E458" t="str">
            <v>=DISPIMG("ID_9B7DA62D7B86480897076CA0DA698D14",1)</v>
          </cell>
          <cell r="F458" t="str">
            <v>衣物</v>
          </cell>
        </row>
        <row r="459">
          <cell r="A459" t="str">
            <v>B07S4DVRDV</v>
          </cell>
          <cell r="B459" t="str">
            <v>LAA-SAO-BbyNs-6prBoy6Mnth</v>
          </cell>
          <cell r="C459" t="str">
            <v>抓地力踝袜</v>
          </cell>
        </row>
        <row r="459">
          <cell r="E459" t="str">
            <v>=DISPIMG("ID_B99FA5E4DEAD436D88BF3A08D469003C",1)</v>
          </cell>
          <cell r="F459" t="str">
            <v>衣物</v>
          </cell>
        </row>
        <row r="460">
          <cell r="A460" t="str">
            <v>B085FXB2L1</v>
          </cell>
          <cell r="B460" t="str">
            <v>LAA-SAO-CalPA-6prPstl8/10An</v>
          </cell>
          <cell r="C460" t="str">
            <v>抓地力踝袜</v>
          </cell>
        </row>
        <row r="460">
          <cell r="E460" t="str">
            <v>=DISPIMG("ID_2B7AC249E86944FA9918B43E57E89422",1)</v>
          </cell>
          <cell r="F460" t="str">
            <v>衣物</v>
          </cell>
        </row>
        <row r="461">
          <cell r="A461" t="str">
            <v>B07W7WJRSJ</v>
          </cell>
          <cell r="B461" t="str">
            <v>LAA-SAO-AthGs-6prBoy36Mnth</v>
          </cell>
          <cell r="C461" t="str">
            <v>抓地力小腿袜</v>
          </cell>
        </row>
        <row r="461">
          <cell r="E461" t="str">
            <v>=DISPIMG("ID_FD4E071D730642F1A16D6FC7550D9F36",1)</v>
          </cell>
          <cell r="F461" t="str">
            <v>衣物</v>
          </cell>
        </row>
        <row r="462">
          <cell r="A462" t="str">
            <v>B07JR9VVCD</v>
          </cell>
          <cell r="B462" t="str">
            <v>LAA-SAO-BbyNs-6prGryScl12Mnth</v>
          </cell>
          <cell r="C462" t="str">
            <v>抓地力踝袜</v>
          </cell>
        </row>
        <row r="462">
          <cell r="E462" t="str">
            <v>=DISPIMG("ID_8B4320C5BC7948B694BD1D3603D8282F",1)</v>
          </cell>
          <cell r="F462" t="str">
            <v>衣物</v>
          </cell>
        </row>
        <row r="463">
          <cell r="A463" t="str">
            <v>B07S39H4QK</v>
          </cell>
          <cell r="B463" t="str">
            <v>LAA-SAO-BbyNs-6prGrl6Mnth</v>
          </cell>
          <cell r="C463" t="str">
            <v>抓地力踝袜</v>
          </cell>
        </row>
        <row r="463">
          <cell r="E463" t="str">
            <v>=DISPIMG("ID_8068BF4B7966427FA64289682DC26799",1)</v>
          </cell>
          <cell r="F463" t="str">
            <v>衣物</v>
          </cell>
        </row>
        <row r="464">
          <cell r="A464" t="str">
            <v>B07W8ZP8BT</v>
          </cell>
          <cell r="B464" t="str">
            <v>LAA-SAO-AthGs-6prGryS7yrs</v>
          </cell>
          <cell r="C464" t="str">
            <v>抓地力小腿袜</v>
          </cell>
        </row>
        <row r="464">
          <cell r="E464" t="str">
            <v>=DISPIMG("ID_7C0BCBFC96E248E0A79896DE4AC15D55",1)</v>
          </cell>
          <cell r="F464" t="str">
            <v>衣物</v>
          </cell>
        </row>
        <row r="465">
          <cell r="A465" t="str">
            <v>B0871CRYBV</v>
          </cell>
          <cell r="B465" t="str">
            <v>LAA-SAO-BbyNs-12prBoy12Mnth</v>
          </cell>
          <cell r="C465" t="str">
            <v>抓地力踝袜</v>
          </cell>
        </row>
        <row r="465">
          <cell r="E465" t="str">
            <v>=DISPIMG("ID_A9BE86B561794FA49BD5C85B985B26DB",1)</v>
          </cell>
          <cell r="F465" t="str">
            <v>衣物</v>
          </cell>
        </row>
        <row r="466">
          <cell r="A466" t="str">
            <v>B07XK9VRFX</v>
          </cell>
          <cell r="B466" t="str">
            <v>LAA-SAO-BbyNs-6prRnb12Mnth</v>
          </cell>
          <cell r="C466" t="str">
            <v>抓地力踝袜</v>
          </cell>
        </row>
        <row r="466">
          <cell r="E466" t="str">
            <v>=DISPIMG("ID_CFC331801C87427698C6BCFF309ECCED",1)</v>
          </cell>
          <cell r="F466" t="str">
            <v>衣物</v>
          </cell>
        </row>
        <row r="467">
          <cell r="A467" t="str">
            <v>B06XJWZBTZ</v>
          </cell>
          <cell r="B467" t="str">
            <v>LAA-SAO-BbyNs-Grl6pr</v>
          </cell>
          <cell r="C467" t="str">
            <v>抓地力踝袜</v>
          </cell>
        </row>
        <row r="467">
          <cell r="E467" t="str">
            <v>=DISPIMG("ID_6B324626FDE441AE9EA3D9BF7BD2666D",1)</v>
          </cell>
          <cell r="F467" t="str">
            <v>衣物</v>
          </cell>
        </row>
        <row r="468">
          <cell r="A468" t="str">
            <v>B07H3XWDV2</v>
          </cell>
          <cell r="B468" t="str">
            <v>LAA-SAO-BbyNs-6prBlk</v>
          </cell>
          <cell r="C468" t="str">
            <v>抓地力踝袜</v>
          </cell>
        </row>
        <row r="468">
          <cell r="E468" t="str">
            <v>=DISPIMG("ID_426FFEEC3A0546D0838319225895D458",1)</v>
          </cell>
          <cell r="F468" t="str">
            <v>衣物</v>
          </cell>
        </row>
        <row r="469">
          <cell r="A469" t="str">
            <v>B07XGMPQ4X</v>
          </cell>
          <cell r="B469" t="str">
            <v>LAA-SAO-BbyNs-6prRnb7yrs</v>
          </cell>
          <cell r="C469" t="str">
            <v>抓地力踝袜</v>
          </cell>
        </row>
        <row r="469">
          <cell r="E469" t="str">
            <v>=DISPIMG("ID_A1874419734E4FE7A8E22021B14EE2F0",1)</v>
          </cell>
          <cell r="F469" t="str">
            <v>衣物</v>
          </cell>
        </row>
        <row r="470">
          <cell r="A470" t="str">
            <v>B07S5JB9YH</v>
          </cell>
          <cell r="B470" t="str">
            <v>LAA-SAO-BbyNs-6prRnb36Mnth</v>
          </cell>
          <cell r="C470" t="str">
            <v>抓地力踝袜</v>
          </cell>
        </row>
        <row r="470">
          <cell r="E470" t="str">
            <v>=DISPIMG("ID_9141344C4C5E426E83974CE02C54EAD5",1)</v>
          </cell>
          <cell r="F470" t="str">
            <v>衣物</v>
          </cell>
        </row>
        <row r="471">
          <cell r="A471" t="str">
            <v>B07H3YXL4J</v>
          </cell>
          <cell r="B471" t="str">
            <v>LAA-SAO-BbyNs-6prGrl12Mnth</v>
          </cell>
          <cell r="C471" t="str">
            <v>抓地力踝袜</v>
          </cell>
        </row>
        <row r="471">
          <cell r="E471" t="str">
            <v>=DISPIMG("ID_4A6DF19E77734E80879456582DA12412",1)</v>
          </cell>
          <cell r="F471" t="str">
            <v>衣物</v>
          </cell>
        </row>
        <row r="472">
          <cell r="A472" t="str">
            <v>B07W8XQ5L3</v>
          </cell>
          <cell r="B472" t="str">
            <v>LAA-SAO-AthGs-6prBoy12Mnth</v>
          </cell>
          <cell r="C472" t="str">
            <v>抓地力小腿袜</v>
          </cell>
        </row>
        <row r="472">
          <cell r="E472" t="str">
            <v>=DISPIMG("ID_8BE5CDA1A18D4D2C8832B98C6BF83833",1)</v>
          </cell>
          <cell r="F472" t="str">
            <v>衣物</v>
          </cell>
        </row>
        <row r="473">
          <cell r="A473" t="str">
            <v>B081GZSM4W</v>
          </cell>
          <cell r="B473" t="str">
            <v>LAA-SAO-AthGs-6prRnb12Mnth</v>
          </cell>
          <cell r="C473" t="str">
            <v>抓地力小腿袜</v>
          </cell>
        </row>
        <row r="473">
          <cell r="E473" t="str">
            <v>=DISPIMG("ID_8AD700BB1005487BAA694F14EF963C65",1)</v>
          </cell>
          <cell r="F473" t="str">
            <v>衣物</v>
          </cell>
        </row>
        <row r="474">
          <cell r="A474" t="str">
            <v>B07PDWL5VS</v>
          </cell>
          <cell r="B474" t="str">
            <v>LAA-SAO-BbyNs-6prClrS12Mnth</v>
          </cell>
          <cell r="C474" t="str">
            <v>抓地力踝袜</v>
          </cell>
        </row>
        <row r="474">
          <cell r="E474" t="str">
            <v>=DISPIMG("ID_270A429628D141A9B931B4BB0BB2428B",1)</v>
          </cell>
          <cell r="F474" t="str">
            <v>衣物</v>
          </cell>
        </row>
        <row r="475">
          <cell r="A475" t="str">
            <v>B07D6F1QV1</v>
          </cell>
          <cell r="B475" t="str">
            <v>LAA-SAO-BbyNs-6prPstl</v>
          </cell>
          <cell r="C475" t="str">
            <v>抓地力踝袜</v>
          </cell>
        </row>
        <row r="475">
          <cell r="E475" t="str">
            <v>=DISPIMG("ID_A12A3FEA9EEB4AFBA588588FE54C9DAD",1)</v>
          </cell>
          <cell r="F475" t="str">
            <v>衣物</v>
          </cell>
        </row>
        <row r="476">
          <cell r="A476" t="str">
            <v>B06XJYMP2J</v>
          </cell>
          <cell r="B476" t="str">
            <v>LAA-SAO-BbyNs-Wht6pr</v>
          </cell>
          <cell r="C476" t="str">
            <v>抓地力踝袜</v>
          </cell>
        </row>
        <row r="476">
          <cell r="E476" t="str">
            <v>=DISPIMG("ID_A584F574D2E14506B2FE90D0A70D5A0F",1)</v>
          </cell>
          <cell r="F476" t="str">
            <v>衣物</v>
          </cell>
        </row>
        <row r="477">
          <cell r="A477" t="str">
            <v>B07H3XH9JR</v>
          </cell>
          <cell r="B477" t="str">
            <v>LAA-SAO-BbyNs-Wt12Mnth</v>
          </cell>
          <cell r="C477" t="str">
            <v>抓地力踝袜</v>
          </cell>
        </row>
        <row r="477">
          <cell r="E477" t="str">
            <v>=DISPIMG("ID_6427EB39392445719C866458599CAF59",1)</v>
          </cell>
          <cell r="F477" t="str">
            <v>衣物</v>
          </cell>
        </row>
        <row r="478">
          <cell r="A478" t="str">
            <v>B0711F9L2D</v>
          </cell>
          <cell r="B478" t="str">
            <v>TRB-SPO-RuTip-6</v>
          </cell>
          <cell r="C478" t="str">
            <v>更换杆头</v>
          </cell>
        </row>
        <row r="478">
          <cell r="E478" t="str">
            <v>=DISPIMG("ID_84B1D88F99134C4E9E3CB2C641217138",1)</v>
          </cell>
        </row>
        <row r="479">
          <cell r="A479" t="str">
            <v>B076VJW1XR</v>
          </cell>
          <cell r="B479" t="str">
            <v>TRH-BPC-IcPak-Wrist</v>
          </cell>
          <cell r="C479" t="str">
            <v>手腕凝胶包</v>
          </cell>
        </row>
        <row r="479">
          <cell r="E479" t="str">
            <v>=DISPIMG("ID_2167AB6227754EB4B1207599823D2214",1)</v>
          </cell>
          <cell r="F479" t="str">
            <v>健身</v>
          </cell>
        </row>
        <row r="480">
          <cell r="A480" t="str">
            <v>B088JR59BG</v>
          </cell>
          <cell r="B480" t="str">
            <v>LAA-SAO-FuzNs-PGBSS/M</v>
          </cell>
          <cell r="C480" t="str">
            <v>毛绒抓地小腿袜</v>
          </cell>
        </row>
        <row r="480">
          <cell r="E480" t="str">
            <v>=DISPIMG("ID_29BBE857EEF24C5682789746E7AB6420",1)</v>
          </cell>
          <cell r="F480" t="str">
            <v>衣物</v>
          </cell>
        </row>
        <row r="481">
          <cell r="A481" t="str">
            <v>B01LWHOY39</v>
          </cell>
          <cell r="B481" t="str">
            <v>TRH-BPC-IPWrp-HtCldPk</v>
          </cell>
          <cell r="C481" t="str">
            <v>足弓支撑</v>
          </cell>
        </row>
        <row r="481">
          <cell r="E481" t="str">
            <v>=DISPIMG("ID_8A23ADA720DE4DFC941A5BF93A8F40E8",1)</v>
          </cell>
          <cell r="F481" t="str">
            <v>衣物</v>
          </cell>
        </row>
        <row r="482">
          <cell r="A482" t="str">
            <v>B088JTTX96</v>
          </cell>
          <cell r="B482" t="str">
            <v>LAA-SAO-FuzNs-DGryL/XL</v>
          </cell>
          <cell r="C482" t="str">
            <v>毛绒抓地小腿袜</v>
          </cell>
        </row>
        <row r="482">
          <cell r="E482" t="str">
            <v>=DISPIMG("ID_9AC76EC5067E43AA894B46E46698C5D2",1)</v>
          </cell>
          <cell r="F482" t="str">
            <v>衣物</v>
          </cell>
        </row>
        <row r="483">
          <cell r="A483" t="str">
            <v>B01KET1PUA</v>
          </cell>
          <cell r="B483" t="str">
            <v>HOL-HOK-CWheels-5Pk</v>
          </cell>
          <cell r="C483" t="str">
            <v>办公椅轮</v>
          </cell>
        </row>
        <row r="483">
          <cell r="E483" t="str">
            <v>=DISPIMG("ID_867B50D6F3EA4AD496AF916960575D6D",1)</v>
          </cell>
          <cell r="F483" t="str">
            <v>办公</v>
          </cell>
        </row>
        <row r="484">
          <cell r="A484" t="str">
            <v>B07C9SKHRM</v>
          </cell>
          <cell r="B484" t="str">
            <v>STB-BPC-DrRlr-Vn2.0</v>
          </cell>
          <cell r="C484" t="str">
            <v>真皮滚轮</v>
          </cell>
        </row>
        <row r="484">
          <cell r="E484" t="str">
            <v>=DISPIMG("ID_891043777193413780542D5C27396524",1)</v>
          </cell>
          <cell r="F484" t="str">
            <v>美容</v>
          </cell>
        </row>
        <row r="484">
          <cell r="L484" t="str">
            <v>44*34*26</v>
          </cell>
          <cell r="M484">
            <v>9.3</v>
          </cell>
        </row>
        <row r="485">
          <cell r="A485" t="str">
            <v>B08BSV8KTJ</v>
          </cell>
          <cell r="B485" t="str">
            <v>YHG-HOK-ChrsTreGrldBg3-Grn</v>
          </cell>
          <cell r="C485" t="str">
            <v>圣诞树收纳袋</v>
          </cell>
        </row>
        <row r="485">
          <cell r="E485" t="str">
            <v>=DISPIMG("ID_827D99B1ADCB46CA9E47937C34F4C6CB",1)</v>
          </cell>
          <cell r="F485" t="str">
            <v>圣诞</v>
          </cell>
        </row>
        <row r="486">
          <cell r="A486" t="str">
            <v>B07N8DTRZP</v>
          </cell>
          <cell r="B486" t="str">
            <v>YHG-KND-GlsJr-644pk1</v>
          </cell>
          <cell r="C486" t="str">
            <v>广口玻璃罐</v>
          </cell>
        </row>
        <row r="486">
          <cell r="E486" t="str">
            <v>=DISPIMG("ID_0538277CB9C94970BF1B04B763E63EC3",1)</v>
          </cell>
          <cell r="F486" t="str">
            <v>厨房用具</v>
          </cell>
        </row>
        <row r="487">
          <cell r="A487" t="str">
            <v>B00S29WN3S</v>
          </cell>
          <cell r="B487" t="str">
            <v>ESP-SPO-PushBars</v>
          </cell>
          <cell r="C487" t="str">
            <v>俯卧撑杆</v>
          </cell>
        </row>
        <row r="487">
          <cell r="E487" t="str">
            <v>=DISPIMG("ID_49B56D349CD440F0B946F272BE4C74B6",1)</v>
          </cell>
          <cell r="F487" t="str">
            <v>健身</v>
          </cell>
        </row>
        <row r="488">
          <cell r="A488" t="str">
            <v>B07YKLJDVX</v>
          </cell>
          <cell r="B488" t="str">
            <v>EDU-BSS-FshMg2000</v>
          </cell>
          <cell r="C488" t="str">
            <v>钓鱼磁铁</v>
          </cell>
        </row>
        <row r="488">
          <cell r="E488" t="str">
            <v>=DISPIMG("ID_B4384703CD2E4F35A6BA51ED72899592",1)</v>
          </cell>
          <cell r="F488" t="str">
            <v>户外</v>
          </cell>
        </row>
        <row r="489">
          <cell r="A489" t="str">
            <v>B072BM21NV</v>
          </cell>
          <cell r="B489" t="str">
            <v>BES-ACS-ApNyBrh-10pk</v>
          </cell>
          <cell r="C489" t="str">
            <v>油漆刷套装</v>
          </cell>
        </row>
        <row r="489">
          <cell r="E489" t="str">
            <v>=DISPIMG("ID_AEA1BEA5A97E45BF9AFF11447C6EB836",1)</v>
          </cell>
        </row>
        <row r="490">
          <cell r="A490" t="str">
            <v>B01N15DI2V</v>
          </cell>
          <cell r="B490" t="str">
            <v>HSL-ETC-PhnBkeMntM</v>
          </cell>
          <cell r="C490" t="str">
            <v>自行车手机支架</v>
          </cell>
        </row>
        <row r="490">
          <cell r="E490" t="str">
            <v>=DISPIMG("ID_6043DCC6726A475D91CD9E1B12DEB6E3",1)</v>
          </cell>
          <cell r="F490" t="str">
            <v>户外</v>
          </cell>
        </row>
        <row r="491">
          <cell r="A491" t="str">
            <v>B08S5F7MM5</v>
          </cell>
          <cell r="B491" t="str">
            <v>YHG-HOK-WdCtRk</v>
          </cell>
          <cell r="C491" t="str">
            <v>木树衣帽架</v>
          </cell>
        </row>
        <row r="491">
          <cell r="E491" t="str">
            <v>=DISPIMG("ID_E0B60410567C41909085917594313AED",1)</v>
          </cell>
          <cell r="F491" t="str">
            <v>衣架</v>
          </cell>
        </row>
        <row r="492">
          <cell r="A492" t="str">
            <v>B08Y3NCPTH</v>
          </cell>
          <cell r="B492" t="str">
            <v>YHG-KND-StlTrvlMg-Lgry2pk</v>
          </cell>
          <cell r="C492" t="str">
            <v>保温咖啡杯</v>
          </cell>
        </row>
        <row r="492">
          <cell r="E492" t="str">
            <v>=DISPIMG("ID_894B543A7C4844A69A3837816F831E65",1)</v>
          </cell>
          <cell r="F492" t="str">
            <v>水瓶</v>
          </cell>
        </row>
        <row r="493">
          <cell r="A493" t="str">
            <v>B01DIKFVH0</v>
          </cell>
          <cell r="B493" t="str">
            <v>ELS-SPO-CkBag-PNK-UK</v>
          </cell>
          <cell r="C493" t="str">
            <v>登山粉袋</v>
          </cell>
        </row>
        <row r="493">
          <cell r="E493" t="str">
            <v>=DISPIMG("ID_4053E113B450413BAB894DD69C849594",1)</v>
          </cell>
          <cell r="F493" t="str">
            <v>户外</v>
          </cell>
        </row>
        <row r="494">
          <cell r="A494" t="str">
            <v>B010U86G5E</v>
          </cell>
          <cell r="B494" t="str">
            <v>ESP-SPO-AbPad</v>
          </cell>
          <cell r="C494" t="str">
            <v>仰卧起坐垫</v>
          </cell>
        </row>
        <row r="494">
          <cell r="E494" t="str">
            <v>=DISPIMG("ID_804804C241464FCD820530D7079D3AFD",1)</v>
          </cell>
          <cell r="F494" t="str">
            <v>健身</v>
          </cell>
        </row>
        <row r="495">
          <cell r="A495" t="str">
            <v>B01KKLVWDM</v>
          </cell>
          <cell r="B495" t="str">
            <v>YHG-HOK-DflChrsTreBg-9Red</v>
          </cell>
          <cell r="C495" t="str">
            <v>圣诞树收纳袋</v>
          </cell>
        </row>
        <row r="495">
          <cell r="E495" t="str">
            <v>=DISPIMG("ID_337FE84E0C194B9BA3EA3E4695B2CC0D",1)</v>
          </cell>
          <cell r="F495" t="str">
            <v>圣诞</v>
          </cell>
        </row>
        <row r="496">
          <cell r="A496" t="str">
            <v>B06Y2KFWWR</v>
          </cell>
          <cell r="B496" t="str">
            <v>YHG-HOK-KdVlvtHngr-14Blk50pk</v>
          </cell>
          <cell r="C496" t="str">
            <v>天鹅绒衣架</v>
          </cell>
        </row>
        <row r="496">
          <cell r="E496" t="str">
            <v>=DISPIMG("ID_0614F0871CD74547ABA9D705128DBBF3",1)</v>
          </cell>
          <cell r="F496" t="str">
            <v>衣架</v>
          </cell>
        </row>
        <row r="497">
          <cell r="A497" t="str">
            <v>B01FJ9GE74</v>
          </cell>
          <cell r="B497" t="str">
            <v>BRK-BPC-GrmCape-DlxWh</v>
          </cell>
          <cell r="C497" t="str">
            <v>胡须围兜</v>
          </cell>
        </row>
        <row r="497">
          <cell r="E497" t="str">
            <v>=DISPIMG("ID_2E9A6BCEC8474208854CC5E5FB9FCE86",1)</v>
          </cell>
          <cell r="F497" t="str">
            <v>美容</v>
          </cell>
        </row>
        <row r="498">
          <cell r="A498" t="str">
            <v>B07HKMSMFL</v>
          </cell>
          <cell r="B498" t="str">
            <v>HSL-CFA-PhnCrMgntMntH</v>
          </cell>
          <cell r="C498" t="str">
            <v>车载电话支架</v>
          </cell>
        </row>
        <row r="498">
          <cell r="E498" t="str">
            <v>=DISPIMG("ID_B68114871E7E42299D25DFA6AEAA6724",1)</v>
          </cell>
          <cell r="F498" t="str">
            <v>汽车</v>
          </cell>
        </row>
        <row r="499">
          <cell r="A499" t="str">
            <v>B01I8Y21S8</v>
          </cell>
          <cell r="B499" t="str">
            <v>NVT-KND-TblPd-52x108</v>
          </cell>
          <cell r="C499" t="str">
            <v>桌垫</v>
          </cell>
        </row>
        <row r="499">
          <cell r="E499" t="str">
            <v>=DISPIMG("ID_0563B7683ABB44AEB399DBD9E2E6F532",1)</v>
          </cell>
          <cell r="F499" t="str">
            <v>家居</v>
          </cell>
        </row>
        <row r="500">
          <cell r="A500" t="str">
            <v>B01HC4FEZM</v>
          </cell>
          <cell r="B500" t="str">
            <v>BKY-HOK-PILWQ-2P</v>
          </cell>
          <cell r="C500" t="str">
            <v>凝胶枕头</v>
          </cell>
        </row>
        <row r="500">
          <cell r="E500" t="str">
            <v>=DISPIMG("ID_65C1CDD9742E40B4A0F79C22A2F6AF72",1)</v>
          </cell>
          <cell r="F500" t="str">
            <v>枕套</v>
          </cell>
        </row>
        <row r="501">
          <cell r="A501" t="str">
            <v>B08HCDFTPX</v>
          </cell>
          <cell r="B501" t="str">
            <v>YHG-HOK-VlvtHngrTb-20pk</v>
          </cell>
          <cell r="C501" t="str">
            <v>天鹅绒衣架</v>
          </cell>
        </row>
        <row r="501">
          <cell r="E501" t="str">
            <v>=DISPIMG("ID_2309C51089454685A2007001C167E973",1)</v>
          </cell>
          <cell r="F501" t="str">
            <v>衣架</v>
          </cell>
        </row>
        <row r="502">
          <cell r="A502" t="str">
            <v>B08172K1YF</v>
          </cell>
          <cell r="B502" t="str">
            <v>BBD-BBY-VlvtHngr-Gry15pk</v>
          </cell>
          <cell r="C502" t="str">
            <v>婴儿衣架</v>
          </cell>
        </row>
        <row r="502">
          <cell r="E502" t="str">
            <v>=DISPIMG("ID_4E7662A181CD4C7B832B2F6FBAB87BAD",1)</v>
          </cell>
          <cell r="F502" t="str">
            <v>衣架</v>
          </cell>
        </row>
        <row r="503">
          <cell r="A503" t="str">
            <v>B087VZJMZN</v>
          </cell>
          <cell r="B503" t="str">
            <v>YHG-PLG-BbgGrlCvr-64</v>
          </cell>
          <cell r="C503" t="str">
            <v>烧烤炉盖</v>
          </cell>
        </row>
        <row r="503">
          <cell r="E503" t="str">
            <v>=DISPIMG("ID_FEC8BC7D30574F7695434F72922D5ECE",1)</v>
          </cell>
          <cell r="F503" t="str">
            <v>户外</v>
          </cell>
        </row>
        <row r="504">
          <cell r="A504" t="str">
            <v>B00DE2JGT2</v>
          </cell>
          <cell r="B504" t="str">
            <v>ANS-ACS-CutMar-12x18Gr</v>
          </cell>
          <cell r="C504" t="str">
            <v>切割垫</v>
          </cell>
        </row>
        <row r="504">
          <cell r="E504" t="str">
            <v>=DISPIMG("ID_40A5502B9E824847B6AD4E5942656CC5",1)</v>
          </cell>
        </row>
        <row r="505">
          <cell r="A505" t="str">
            <v>B07BJH48DD</v>
          </cell>
          <cell r="B505" t="str">
            <v>URN-SPO-BALBOARD-1</v>
          </cell>
          <cell r="C505" t="str">
            <v>滚轴板</v>
          </cell>
        </row>
        <row r="505">
          <cell r="E505" t="str">
            <v>=DISPIMG("ID_3FF7DDF3B04745909B5CDA5491D99D78",1)</v>
          </cell>
          <cell r="F505" t="str">
            <v>健身</v>
          </cell>
        </row>
        <row r="506">
          <cell r="A506" t="str">
            <v>B08Z4J89K3</v>
          </cell>
          <cell r="B506" t="str">
            <v>ZCD-118/tr-rd-FBA</v>
          </cell>
          <cell r="C506" t="str">
            <v>饰品收纳</v>
          </cell>
        </row>
        <row r="506">
          <cell r="E506" t="str">
            <v>=DISPIMG("ID_997CC6E7BF1A45389DB95661A20D0C78",1)</v>
          </cell>
          <cell r="F506" t="str">
            <v>圣诞</v>
          </cell>
        </row>
        <row r="507">
          <cell r="A507" t="str">
            <v>B07PJRTTF8</v>
          </cell>
          <cell r="B507" t="str">
            <v>PLT-GAO-StmChrCsn-Navy</v>
          </cell>
          <cell r="C507" t="str">
            <v>椅套</v>
          </cell>
        </row>
        <row r="507">
          <cell r="E507" t="str">
            <v>=DISPIMG("ID_AAA8BCAEDFD0418B8DD918581ABB9A0F",1)</v>
          </cell>
          <cell r="F507" t="str">
            <v>桌椅</v>
          </cell>
        </row>
        <row r="508">
          <cell r="A508" t="str">
            <v>B07T3F7SWK</v>
          </cell>
          <cell r="B508" t="str">
            <v>YHG-HOK-WdPntHngr-Vtg10pk</v>
          </cell>
          <cell r="C508" t="str">
            <v>木衣架</v>
          </cell>
        </row>
        <row r="508">
          <cell r="E508" t="str">
            <v>=DISPIMG("ID_CC0ECB19913145369E7DB8BCBECAD1DA",1)</v>
          </cell>
          <cell r="F508" t="str">
            <v>衣架</v>
          </cell>
        </row>
        <row r="509">
          <cell r="A509" t="str">
            <v>B003JJQMD8</v>
          </cell>
          <cell r="B509" t="str">
            <v>GLS-ETC-CabMic-Blk25ft</v>
          </cell>
          <cell r="C509" t="str">
            <v>麦克风 XLR 电缆</v>
          </cell>
        </row>
        <row r="509">
          <cell r="E509" t="str">
            <v>=DISPIMG("ID_A07C6A2FBF554ABBA20F2073F76C61F5",1)</v>
          </cell>
        </row>
        <row r="510">
          <cell r="A510" t="str">
            <v>B07TTPQSBD</v>
          </cell>
          <cell r="B510" t="str">
            <v>YHG-HOK-WdHngrKdCp-Bhle10pk</v>
          </cell>
          <cell r="C510" t="str">
            <v>木衣架</v>
          </cell>
        </row>
        <row r="510">
          <cell r="E510" t="str">
            <v>=DISPIMG("ID_D24E519985464F2D9716607600651784",1)</v>
          </cell>
          <cell r="F510" t="str">
            <v>衣架</v>
          </cell>
        </row>
        <row r="511">
          <cell r="A511" t="str">
            <v>B08CS137V1</v>
          </cell>
          <cell r="B511" t="str">
            <v>YHG-HOK-OrnSrtgBx-3128Red</v>
          </cell>
          <cell r="C511" t="str">
            <v>饰品收纳</v>
          </cell>
        </row>
        <row r="511">
          <cell r="E511" t="str">
            <v>=DISPIMG("ID_043BA911085541D9852DA90F541CFFFD",1)</v>
          </cell>
          <cell r="F511" t="str">
            <v>圣诞</v>
          </cell>
        </row>
        <row r="512">
          <cell r="A512" t="str">
            <v>B07BK8W5MF</v>
          </cell>
          <cell r="B512" t="str">
            <v>FDM-HOK-MtlCbnt-71inSlv</v>
          </cell>
          <cell r="C512" t="str">
            <v>金属储物柜</v>
          </cell>
        </row>
        <row r="512">
          <cell r="E512" t="str">
            <v>=DISPIMG("ID_03EEE0B27E1F440090E318A27DF88CA3",1)</v>
          </cell>
        </row>
        <row r="513">
          <cell r="A513" t="str">
            <v>B07BRQRTDL</v>
          </cell>
          <cell r="B513" t="str">
            <v>BCV-ACS-JutRop-656ft2pk</v>
          </cell>
          <cell r="C513" t="str">
            <v>黄麻线</v>
          </cell>
        </row>
        <row r="513">
          <cell r="E513" t="str">
            <v>=DISPIMG("ID_18535854F4DD4597B5ADF5D88FE56181",1)</v>
          </cell>
        </row>
        <row r="514">
          <cell r="A514" t="str">
            <v>B0738XSDC3</v>
          </cell>
          <cell r="B514" t="str">
            <v>MDK-BPC-BdRail-M1002</v>
          </cell>
          <cell r="C514" t="str">
            <v>床栏</v>
          </cell>
        </row>
        <row r="514">
          <cell r="E514" t="str">
            <v>=DISPIMG("ID_7C51EBB38BA04934AE18FB41357D9229",1)</v>
          </cell>
        </row>
        <row r="515">
          <cell r="A515" t="str">
            <v>B07YCWYZT5</v>
          </cell>
          <cell r="B515" t="str">
            <v>YHG-HOK-UbedOrnSrtgBx-364Red</v>
          </cell>
          <cell r="C515" t="str">
            <v>饰品收纳</v>
          </cell>
        </row>
        <row r="515">
          <cell r="E515" t="str">
            <v>=DISPIMG("ID_011A817A6603485EA4DC4F35AD4A4799",1)</v>
          </cell>
        </row>
        <row r="516">
          <cell r="A516" t="str">
            <v>B07JDGJKY1</v>
          </cell>
          <cell r="B516" t="str">
            <v>YHG-HOK-OrnSrtgBx-364Red1</v>
          </cell>
          <cell r="C516" t="str">
            <v>饰品收纳</v>
          </cell>
        </row>
        <row r="516">
          <cell r="E516" t="str">
            <v>=DISPIMG("ID_F131AB6EDC784ADDBAF9ECBF5C3090C8",1)</v>
          </cell>
        </row>
        <row r="517">
          <cell r="A517" t="str">
            <v>B07259V18M</v>
          </cell>
          <cell r="B517" t="str">
            <v>YHG-KND-StlWnGls-18Pstl4pk</v>
          </cell>
          <cell r="C517" t="str">
            <v>隔热酒杯</v>
          </cell>
        </row>
        <row r="517">
          <cell r="E517" t="str">
            <v>=DISPIMG("ID_1526EF92FFC94667BC1A023637BAD95B",1)</v>
          </cell>
        </row>
        <row r="518">
          <cell r="A518" t="str">
            <v>B015LX0RXA</v>
          </cell>
          <cell r="B518" t="str">
            <v>PLT-GAO-PotTbl-Sage</v>
          </cell>
          <cell r="C518" t="str">
            <v>盆栽台</v>
          </cell>
        </row>
        <row r="518">
          <cell r="E518" t="str">
            <v>=DISPIMG("ID_75F6C6E0CD1B4644911990C1CD35691B",1)</v>
          </cell>
        </row>
        <row r="519">
          <cell r="A519" t="str">
            <v>B074G1BRWH</v>
          </cell>
          <cell r="B519" t="str">
            <v>PIA-APA-TirPump</v>
          </cell>
          <cell r="C519" t="str">
            <v>轮胎泵</v>
          </cell>
        </row>
        <row r="519">
          <cell r="E519" t="str">
            <v>=DISPIMG("ID_FB91EC6B74904F1DA2E42D00449CF3E7",1)</v>
          </cell>
        </row>
        <row r="520">
          <cell r="A520" t="str">
            <v>B01I5E2H4Y</v>
          </cell>
          <cell r="B520" t="str">
            <v>URN-SPO-BBWB</v>
          </cell>
          <cell r="C520" t="str">
            <v>平衡板</v>
          </cell>
        </row>
        <row r="520">
          <cell r="E520" t="str">
            <v>=DISPIMG("ID_92232AC276164E6E922046BF1145B224",1)</v>
          </cell>
        </row>
        <row r="521">
          <cell r="A521" t="str">
            <v>B0821SJ8R3</v>
          </cell>
          <cell r="B521" t="str">
            <v>YHG-HOK-NsVlvtHngr-Tqse50pk</v>
          </cell>
          <cell r="C521" t="str">
            <v>天鹅绒衣架</v>
          </cell>
        </row>
        <row r="521">
          <cell r="E521" t="str">
            <v>=DISPIMG("ID_D9BF9F7ED93041FF8C97B67CA55C611A",1)</v>
          </cell>
        </row>
        <row r="522">
          <cell r="A522" t="str">
            <v>B00KZ64UNC</v>
          </cell>
          <cell r="B522" t="str">
            <v>NVT-KND-LmnSqzr-Ss</v>
          </cell>
          <cell r="C522" t="str">
            <v>柑橘榨汁机</v>
          </cell>
        </row>
        <row r="522">
          <cell r="E522" t="str">
            <v>=DISPIMG("ID_290F3715A7AA4EF5A72DCE6178A640A4",1)</v>
          </cell>
        </row>
        <row r="523">
          <cell r="A523" t="str">
            <v>B01GFQFGFQ</v>
          </cell>
          <cell r="B523" t="str">
            <v>PRM-KND-SpltScr-13in</v>
          </cell>
          <cell r="C523" t="str">
            <v>飞溅屏幕</v>
          </cell>
        </row>
        <row r="523">
          <cell r="E523" t="str">
            <v>=DISPIMG("ID_3CB218809376470FA0C370404F36C883",1)</v>
          </cell>
        </row>
        <row r="524">
          <cell r="A524" t="str">
            <v>B09XRFF6SW</v>
          </cell>
          <cell r="B524" t="str">
            <v>YHG-HOK-FD-S1102-5</v>
          </cell>
          <cell r="C524" t="str">
            <v>钢制搅拌碗组</v>
          </cell>
        </row>
        <row r="524">
          <cell r="E524" t="str">
            <v>=DISPIMG("ID_DDE0DAD6EE3847CDA4126A729173D5E2",1)</v>
          </cell>
        </row>
        <row r="525">
          <cell r="A525" t="str">
            <v>B00WOP3WPY</v>
          </cell>
          <cell r="B525" t="str">
            <v>HCO-HOK-Cork1-EW</v>
          </cell>
          <cell r="C525" t="str">
            <v>服务员开瓶器</v>
          </cell>
        </row>
        <row r="525">
          <cell r="E525" t="str">
            <v>=DISPIMG("ID_B21281DF862A43AB949038B5B0E7A3EA",1)</v>
          </cell>
        </row>
        <row r="526">
          <cell r="A526" t="str">
            <v>B009MVMZCO</v>
          </cell>
          <cell r="B526" t="str">
            <v>PT1/CLAS/BLK</v>
          </cell>
          <cell r="C526" t="str">
            <v>植物支架</v>
          </cell>
        </row>
        <row r="526">
          <cell r="E526" t="str">
            <v>=DISPIMG("ID_E09FB63488D84A11B35F14404261B313",1)</v>
          </cell>
        </row>
        <row r="527">
          <cell r="A527" t="str">
            <v>B0938L32FS</v>
          </cell>
          <cell r="B527" t="str">
            <v>YHG-KND-GlsJrGldSld-164pk1</v>
          </cell>
          <cell r="C527" t="str">
            <v>梅森罐子</v>
          </cell>
        </row>
        <row r="527">
          <cell r="E527" t="str">
            <v>=DISPIMG("ID_FCCD4DC527A140829F778CAF3A1AF839",1)</v>
          </cell>
        </row>
        <row r="528">
          <cell r="A528" t="str">
            <v>B07TKD42C8</v>
          </cell>
          <cell r="B528" t="str">
            <v>YHG-HOK-JmbUndbdStrgBg-Wte</v>
          </cell>
          <cell r="C528" t="str">
            <v>床下储物袋</v>
          </cell>
        </row>
        <row r="528">
          <cell r="E528" t="str">
            <v>=DISPIMG("ID_577AA27234194810A49E6F300533EC45",1)</v>
          </cell>
        </row>
        <row r="529">
          <cell r="A529" t="str">
            <v>B016YVXKP0</v>
          </cell>
          <cell r="B529" t="str">
            <v>YHG-HOK-OrnSrtgBx-364Grn</v>
          </cell>
          <cell r="C529" t="str">
            <v>饰品收纳</v>
          </cell>
        </row>
        <row r="529">
          <cell r="E529" t="str">
            <v>=DISPIMG("ID_FC380362427D43359AA20780B362C012",1)</v>
          </cell>
        </row>
        <row r="530">
          <cell r="A530" t="str">
            <v>B0B2VNZCGP</v>
          </cell>
          <cell r="B530" t="str">
            <v>YHG-HOK-FD-S1602</v>
          </cell>
          <cell r="C530" t="str">
            <v>厨房用具套装</v>
          </cell>
        </row>
        <row r="530">
          <cell r="E530" t="str">
            <v>=DISPIMG("ID_825422FFE7EE4FAF8CEABF83D8158D50",1)</v>
          </cell>
        </row>
        <row r="531">
          <cell r="A531" t="str">
            <v>B08Y3DNTG8</v>
          </cell>
          <cell r="B531" t="str">
            <v>YHG-KND-StlTrvlMg-Wmbl2pk</v>
          </cell>
          <cell r="C531" t="str">
            <v>保温咖啡杯</v>
          </cell>
        </row>
        <row r="531">
          <cell r="E531" t="str">
            <v>=DISPIMG("ID_005B4558C58045C398A15999FA91D5DE",1)</v>
          </cell>
        </row>
        <row r="532">
          <cell r="A532" t="str">
            <v>B08DP4TJ6T</v>
          </cell>
          <cell r="B532" t="str">
            <v>YHG-KND-StlWnGls-18Rstc4pk</v>
          </cell>
          <cell r="C532" t="str">
            <v>隔热酒杯</v>
          </cell>
        </row>
        <row r="532">
          <cell r="E532" t="str">
            <v>=DISPIMG("ID_AB55F4217AF74B11ADD979DE76A1781C",1)</v>
          </cell>
        </row>
        <row r="533">
          <cell r="A533" t="str">
            <v>B0798JFZJ1</v>
          </cell>
          <cell r="B533" t="str">
            <v>URN-SPO-BALDISC-B</v>
          </cell>
          <cell r="C533" t="str">
            <v>平衡盘</v>
          </cell>
        </row>
        <row r="533">
          <cell r="E533" t="str">
            <v>=DISPIMG("ID_EDFB9373966F4C91A746E3FAB29A5269",1)</v>
          </cell>
        </row>
        <row r="534">
          <cell r="A534" t="str">
            <v>B07RV63ZY3</v>
          </cell>
          <cell r="B534" t="str">
            <v>YSH-SPO-BkCv-L</v>
          </cell>
          <cell r="C534" t="str">
            <v>自行车罩</v>
          </cell>
        </row>
        <row r="534">
          <cell r="E534" t="str">
            <v>=DISPIMG("ID_1BA66F64D4374C29BE2BC44C5E07DA7B",1)</v>
          </cell>
        </row>
        <row r="535">
          <cell r="A535" t="str">
            <v>B07DTQFRGN</v>
          </cell>
          <cell r="B535" t="str">
            <v>URN-SPO-YOGBLOK-2T</v>
          </cell>
          <cell r="C535" t="str">
            <v>瑜伽块</v>
          </cell>
        </row>
        <row r="535">
          <cell r="E535" t="str">
            <v>=DISPIMG("ID_23596C5E0C7A499087D8A36A93261954",1)</v>
          </cell>
        </row>
        <row r="536">
          <cell r="A536" t="str">
            <v>B01NCK020B</v>
          </cell>
          <cell r="B536" t="str">
            <v>WKL-APA-BngCNt-SHkBlu36x48</v>
          </cell>
          <cell r="C536" t="str">
            <v>货运网</v>
          </cell>
        </row>
        <row r="536">
          <cell r="E536" t="str">
            <v>=DISPIMG("ID_8C995B4ACE0949ABA5D19122D26F5A47",1)</v>
          </cell>
        </row>
        <row r="537">
          <cell r="A537" t="str">
            <v>B08Y3NCG6C</v>
          </cell>
          <cell r="B537" t="str">
            <v>YHG-KND-StlTrvlMg-Blk2pk</v>
          </cell>
          <cell r="C537" t="str">
            <v>保温咖啡杯</v>
          </cell>
        </row>
        <row r="537">
          <cell r="E537" t="str">
            <v>=DISPIMG("ID_AF93672BED314F64AC3FCED45BC4DE31",1)</v>
          </cell>
        </row>
        <row r="538">
          <cell r="A538" t="str">
            <v>B07RTHXDDK</v>
          </cell>
          <cell r="B538" t="str">
            <v>PWP-AZL-LEDBkL-XXL</v>
          </cell>
          <cell r="C538" t="str">
            <v>电视背光灯条</v>
          </cell>
        </row>
        <row r="538">
          <cell r="E538" t="str">
            <v>=DISPIMG("ID_CEBC19F180ED4F5BB1544F45CEB18EAE",1)</v>
          </cell>
        </row>
        <row r="539">
          <cell r="A539" t="str">
            <v>B01091ZI0Q</v>
          </cell>
          <cell r="B539" t="str">
            <v>BTL-HHB-PFB-M</v>
          </cell>
          <cell r="C539" t="str">
            <v>足底筋膜炎袜</v>
          </cell>
        </row>
        <row r="539">
          <cell r="E539" t="str">
            <v>=DISPIMG("ID_966409A38321420D9F45EB7C4C1E6750",1)</v>
          </cell>
        </row>
        <row r="540">
          <cell r="A540" t="str">
            <v>B010MVAMH2</v>
          </cell>
          <cell r="B540" t="str">
            <v>URN-SPO-EXBALL-65BLK</v>
          </cell>
          <cell r="C540" t="str">
            <v>健身球</v>
          </cell>
        </row>
        <row r="540">
          <cell r="E540" t="str">
            <v>=DISPIMG("ID_BB53D80EA43D4E69AEF2EE8C5E7A213F",1)</v>
          </cell>
        </row>
        <row r="541">
          <cell r="A541" t="str">
            <v>B073GQXMM9</v>
          </cell>
          <cell r="B541" t="str">
            <v>WOL-SPO-RnTrp-11x9CgLg</v>
          </cell>
          <cell r="C541" t="str">
            <v>雨篷布</v>
          </cell>
        </row>
        <row r="541">
          <cell r="E541" t="str">
            <v>=DISPIMG("ID_DD7CCA0E31CF41A0AAC144C41BD43225",1)</v>
          </cell>
        </row>
        <row r="542">
          <cell r="A542" t="str">
            <v>B07BTLL99G</v>
          </cell>
          <cell r="B542" t="str">
            <v>WKL-APA-BngCNt-SHkBk36x48</v>
          </cell>
          <cell r="C542" t="str">
            <v>货运网</v>
          </cell>
        </row>
        <row r="542">
          <cell r="E542" t="str">
            <v>=DISPIMG("ID_6954E44D9B4346B9B0644FD8C4EB57DB",1)</v>
          </cell>
        </row>
        <row r="543">
          <cell r="A543" t="str">
            <v>B01HSDXCE2</v>
          </cell>
          <cell r="B543" t="str">
            <v>URN-SPO-YWSS-FC</v>
          </cell>
          <cell r="C543" t="str">
            <v>瑜伽轮</v>
          </cell>
        </row>
        <row r="543">
          <cell r="E543" t="str">
            <v>=DISPIMG("ID_38C343C56AC9461EBA659FF884C0745A",1)</v>
          </cell>
        </row>
        <row r="544">
          <cell r="A544" t="str">
            <v>B014Q2XOQE</v>
          </cell>
          <cell r="B544" t="str">
            <v>BTL-HHB-PFP-L</v>
          </cell>
          <cell r="C544" t="str">
            <v>足底筋膜炎袜</v>
          </cell>
        </row>
        <row r="544">
          <cell r="E544" t="str">
            <v>=DISPIMG("ID_5B24F75021AB4B8B90FE60E1A9932F35",1)</v>
          </cell>
        </row>
        <row r="545">
          <cell r="A545" t="str">
            <v>B010BPOR2A</v>
          </cell>
          <cell r="B545" t="str">
            <v>BTL-HHB-PF-L</v>
          </cell>
          <cell r="C545" t="str">
            <v>足底筋膜炎袜</v>
          </cell>
        </row>
        <row r="545">
          <cell r="E545" t="str">
            <v>=DISPIMG("ID_F3F6A20B377543C4B976484426B07A19",1)</v>
          </cell>
        </row>
        <row r="546">
          <cell r="A546" t="str">
            <v>B01GGNWYJE</v>
          </cell>
          <cell r="B546" t="str">
            <v>BTL-HHB-PFS-L</v>
          </cell>
          <cell r="C546" t="str">
            <v>足底筋膜炎袜</v>
          </cell>
        </row>
        <row r="546">
          <cell r="E546" t="str">
            <v>=DISPIMG("ID_11E10E4E96DD46769C8D63CAEEC415AA",1)</v>
          </cell>
        </row>
        <row r="547">
          <cell r="A547" t="str">
            <v>B07GPL2PDT</v>
          </cell>
          <cell r="B547" t="str">
            <v>URN-SPO-PRING-12T</v>
          </cell>
          <cell r="C547" t="str">
            <v>普拉提环</v>
          </cell>
        </row>
        <row r="547">
          <cell r="E547" t="str">
            <v>=DISPIMG("ID_1B8A3EE2B57848CFBBF29F0516F233BA",1)</v>
          </cell>
        </row>
        <row r="548">
          <cell r="A548" t="str">
            <v>B087VVFHTL</v>
          </cell>
          <cell r="B548" t="str">
            <v>YHG-PLG-BbgGrlCvr-44</v>
          </cell>
          <cell r="C548" t="str">
            <v>烧烤炉盖</v>
          </cell>
        </row>
        <row r="548">
          <cell r="E548" t="str">
            <v>=DISPIMG("ID_9F8AE0194BBC4A09B3B2B71BE54128D2",1)</v>
          </cell>
        </row>
        <row r="549">
          <cell r="A549" t="str">
            <v>B088QG3Z95</v>
          </cell>
          <cell r="B549" t="str">
            <v>PLT-GAO-FldFtStlCsn-WrBge</v>
          </cell>
          <cell r="C549" t="str">
            <v>脚凳垫</v>
          </cell>
        </row>
        <row r="549">
          <cell r="E549" t="str">
            <v>=DISPIMG("ID_B50ED182326F4BF69D4A8D6950C9F6C6",1)</v>
          </cell>
        </row>
        <row r="550">
          <cell r="A550" t="str">
            <v>B072LXNPZY</v>
          </cell>
          <cell r="B550" t="str">
            <v>HCO-HOK-Cork1-SMW</v>
          </cell>
          <cell r="C550" t="str">
            <v>服务员开瓶器</v>
          </cell>
        </row>
        <row r="550">
          <cell r="E550" t="str">
            <v>=DISPIMG("ID_D249E011F58A469DB45DF9CE89571F60",1)</v>
          </cell>
        </row>
        <row r="551">
          <cell r="A551" t="str">
            <v>B071P9QNZP</v>
          </cell>
          <cell r="B551" t="str">
            <v>HCO-HOK-Cork1-SW</v>
          </cell>
          <cell r="C551" t="str">
            <v>服务员开瓶器</v>
          </cell>
        </row>
        <row r="551">
          <cell r="E551" t="str">
            <v>=DISPIMG("ID_CCFB03C04A3542F0AFDB4EE4F9E54BB4",1)</v>
          </cell>
        </row>
        <row r="552">
          <cell r="A552" t="str">
            <v>B06W2HV1VW</v>
          </cell>
          <cell r="B552" t="str">
            <v>HCO-HOK-Cork1-RPW</v>
          </cell>
          <cell r="C552" t="str">
            <v>服务员开瓶器</v>
          </cell>
        </row>
        <row r="552">
          <cell r="E552" t="str">
            <v>=DISPIMG("ID_215518F8E98247D6B65D288FF1DD6E5F",1)</v>
          </cell>
        </row>
        <row r="553">
          <cell r="A553" t="str">
            <v>B07S5H49V7</v>
          </cell>
          <cell r="B553" t="str">
            <v>LAA-SAO-BbyTNS-3prPWB3Mnth</v>
          </cell>
          <cell r="C553" t="str">
            <v>棉质紧身裤</v>
          </cell>
        </row>
        <row r="553">
          <cell r="E553" t="str">
            <v>=DISPIMG("ID_401D158A555143DF905B87C63A502B0B",1)</v>
          </cell>
        </row>
        <row r="554">
          <cell r="A554" t="str">
            <v>B07KGP9G6N</v>
          </cell>
          <cell r="B554" t="str">
            <v>KHM-BPC-NlClp-120L</v>
          </cell>
          <cell r="C554" t="str">
            <v>指甲钳</v>
          </cell>
        </row>
        <row r="554">
          <cell r="E554" t="str">
            <v>=DISPIMG("ID_D8FC406A58FA45749EE244984BCD682A",1)</v>
          </cell>
        </row>
        <row r="555">
          <cell r="A555" t="str">
            <v>B00G964Q7C</v>
          </cell>
          <cell r="B555" t="str">
            <v>HMC-MUT-SpnoUkleBdl-Pnk</v>
          </cell>
          <cell r="C555" t="str">
            <v>女高音尤克里里</v>
          </cell>
        </row>
        <row r="555">
          <cell r="E555" t="str">
            <v>=DISPIMG("ID_50B23305CCCE45DC8E6802A36D5F16E3",1)</v>
          </cell>
        </row>
        <row r="556">
          <cell r="A556" t="str">
            <v>B07TGJCWQL</v>
          </cell>
          <cell r="B556" t="str">
            <v>HMC-MUT-SpnoUkleBdl-Ntl</v>
          </cell>
          <cell r="C556" t="str">
            <v>女高音尤克里里</v>
          </cell>
        </row>
        <row r="556">
          <cell r="E556" t="str">
            <v>=DISPIMG("ID_35A7BACDFB6A415B9F8B725AC8E3FC36",1)</v>
          </cell>
        </row>
        <row r="557">
          <cell r="A557" t="str">
            <v>B077GF6JFR</v>
          </cell>
          <cell r="B557" t="str">
            <v>BKY-HOK-PCovr-WHT</v>
          </cell>
          <cell r="C557" t="str">
            <v>身体枕套</v>
          </cell>
        </row>
        <row r="557">
          <cell r="E557" t="str">
            <v>=DISPIMG("ID_DF5AA0B80B01428D9D55846F666AE01D",1)</v>
          </cell>
        </row>
        <row r="558">
          <cell r="A558" t="str">
            <v>B01HHSAMOG</v>
          </cell>
          <cell r="B558" t="str">
            <v>PRM-HHB-FbrTwl-3setKk</v>
          </cell>
          <cell r="C558" t="str">
            <v>超细纤维毛巾</v>
          </cell>
        </row>
        <row r="558">
          <cell r="E558" t="str">
            <v>=DISPIMG("ID_F0BB935B3AC749F598C0240F70A7664A",1)</v>
          </cell>
        </row>
        <row r="559">
          <cell r="A559" t="str">
            <v>B07QGLCMK8</v>
          </cell>
          <cell r="B559" t="str">
            <v>BBD-BBY-ClstHngrDvdrSt-Wdlnd</v>
          </cell>
          <cell r="C559" t="str">
            <v>衣架和分隔器套装</v>
          </cell>
        </row>
        <row r="559">
          <cell r="E559" t="str">
            <v>=DISPIMG("ID_270E85B64D954EE398299150B4D0BAA3",1)</v>
          </cell>
        </row>
        <row r="560">
          <cell r="A560" t="str">
            <v>B07QJ5JLJ9</v>
          </cell>
          <cell r="B560" t="str">
            <v>PRM-SPO-FannyPack-Pu</v>
          </cell>
          <cell r="C560" t="str">
            <v>腰包</v>
          </cell>
        </row>
        <row r="560">
          <cell r="E560" t="str">
            <v>=DISPIMG("ID_E98A0ED4CA1D45818CB3758F8E4B9AD7",1)</v>
          </cell>
        </row>
        <row r="561">
          <cell r="A561" t="str">
            <v>B07T68933Z</v>
          </cell>
          <cell r="B561" t="str">
            <v>RTR-SPO-BkMsgrBg-25Blk</v>
          </cell>
          <cell r="C561" t="str">
            <v>自行车包</v>
          </cell>
        </row>
        <row r="561">
          <cell r="E561" t="str">
            <v>=DISPIMG("ID_4991F1FD3F204D2BB2AFFD939836B783",1)</v>
          </cell>
        </row>
        <row r="562">
          <cell r="A562" t="str">
            <v>B00Y7QWHUO</v>
          </cell>
          <cell r="B562" t="str">
            <v>BCV-ACS-CroHok-22pcBlu</v>
          </cell>
          <cell r="C562" t="str">
            <v>钩针套装</v>
          </cell>
        </row>
        <row r="562">
          <cell r="E562" t="str">
            <v>=DISPIMG("ID_3E5E5B29A48449AEA757EF04C5AA1679",1)</v>
          </cell>
        </row>
        <row r="563">
          <cell r="A563" t="str">
            <v>B072BM4GGT</v>
          </cell>
          <cell r="B563" t="str">
            <v>BES-ACS-ClrPncl-72pk</v>
          </cell>
          <cell r="C563" t="str">
            <v>彩色铅笔</v>
          </cell>
        </row>
        <row r="563">
          <cell r="E563" t="str">
            <v>=DISPIMG("ID_EC04DDD101FE4A749B90D1DC6E705D8D",1)</v>
          </cell>
        </row>
        <row r="564">
          <cell r="A564" t="str">
            <v>B075F8962Q</v>
          </cell>
          <cell r="B564" t="str">
            <v>BES-ACS-ApNyBrh-25pk</v>
          </cell>
          <cell r="C564" t="str">
            <v>油漆刷套装</v>
          </cell>
        </row>
        <row r="564">
          <cell r="E564" t="str">
            <v>=DISPIMG("ID_D78E1C4793894164B1BC2548BC0323F2",1)</v>
          </cell>
        </row>
        <row r="565">
          <cell r="A565" t="str">
            <v>B07ZJW2S2S</v>
          </cell>
          <cell r="B565" t="str">
            <v>BES-HOK-WdnClthPn-50pk</v>
          </cell>
          <cell r="C565" t="str">
            <v>木制衣夹</v>
          </cell>
        </row>
        <row r="565">
          <cell r="E565" t="str">
            <v>=DISPIMG("ID_9BDE028812414AB2BAF9C4605C326962",1)</v>
          </cell>
        </row>
        <row r="566">
          <cell r="A566" t="str">
            <v>B07W7PMG68</v>
          </cell>
          <cell r="B566" t="str">
            <v>BBD-BBY-ClstHngrDvdrSt-Mlti</v>
          </cell>
          <cell r="C566" t="str">
            <v>衣架和分隔器套装</v>
          </cell>
        </row>
        <row r="566">
          <cell r="E566" t="str">
            <v>=DISPIMG("ID_C9FFB7013A2E4C748AB06200F0F10E46",1)</v>
          </cell>
        </row>
        <row r="567">
          <cell r="A567" t="str">
            <v>B00OEWG8JC</v>
          </cell>
          <cell r="B567" t="str">
            <v>PLT-GAO-Bag-Tools</v>
          </cell>
          <cell r="C567" t="str">
            <v>园林工具袋</v>
          </cell>
        </row>
        <row r="567">
          <cell r="E567" t="str">
            <v>=DISPIMG("ID_BECD5A3E079B4D9F814A887EAFAA9386",1)</v>
          </cell>
        </row>
        <row r="568">
          <cell r="A568" t="str">
            <v>B07QZMM1TC</v>
          </cell>
          <cell r="B568" t="str">
            <v>PRM-SPO-FannyPack-Gy</v>
          </cell>
          <cell r="C568" t="str">
            <v>腰包</v>
          </cell>
        </row>
        <row r="568">
          <cell r="E568" t="str">
            <v>=DISPIMG("ID_2B0F9F3DF580482C8ABCF1DEB672A5AE",1)</v>
          </cell>
        </row>
        <row r="569">
          <cell r="A569" t="str">
            <v>B07GFV142Y</v>
          </cell>
          <cell r="B569" t="str">
            <v>YHG-HOK-WdPntHngrMcp-Vtg10pk</v>
          </cell>
          <cell r="C569" t="str">
            <v>木衣架</v>
          </cell>
        </row>
        <row r="569">
          <cell r="E569" t="str">
            <v>=DISPIMG("ID_F5D114BD5F1E45F1B2CF30F916678CD3",1)</v>
          </cell>
        </row>
        <row r="570">
          <cell r="A570" t="str">
            <v>B08HC5QFSX</v>
          </cell>
          <cell r="B570" t="str">
            <v>YHG-HOK-VlvtHngrTb-Pnk20pk</v>
          </cell>
          <cell r="C570" t="str">
            <v>天鹅绒衣架</v>
          </cell>
        </row>
        <row r="570">
          <cell r="E570" t="str">
            <v>=DISPIMG("ID_B068B4C1588A4C78AEB99D4635EABBCC",1)</v>
          </cell>
        </row>
        <row r="571">
          <cell r="A571" t="str">
            <v>B07P8LX75F</v>
          </cell>
          <cell r="B571" t="str">
            <v>MDK-BPC-ShStl-Rails</v>
          </cell>
          <cell r="C571" t="str">
            <v>淋浴椅</v>
          </cell>
        </row>
        <row r="571">
          <cell r="E571" t="str">
            <v>=DISPIMG("ID_9E6ACD6354CB47CDBBA98F9C3C5EFEBC",1)</v>
          </cell>
        </row>
        <row r="572">
          <cell r="A572" t="str">
            <v>B087W8FJ56</v>
          </cell>
          <cell r="B572" t="str">
            <v>YHG-PLG-BbgGrlCvr-58</v>
          </cell>
          <cell r="C572" t="str">
            <v>烧烤炉盖</v>
          </cell>
        </row>
        <row r="572">
          <cell r="E572" t="str">
            <v>=DISPIMG("ID_6B8FBFA29E9C4AE3AEDF9DDE322C1A34",1)</v>
          </cell>
        </row>
        <row r="573">
          <cell r="A573" t="str">
            <v>B01MY6JS4M</v>
          </cell>
          <cell r="B573" t="str">
            <v>YHG-HOK-4SktHngr-3pk</v>
          </cell>
          <cell r="C573" t="str">
            <v>4 层裙架</v>
          </cell>
        </row>
        <row r="573">
          <cell r="E573" t="str">
            <v>=DISPIMG("ID_2C2157107B5D41E8B52D83C9DE042418",1)</v>
          </cell>
        </row>
        <row r="574">
          <cell r="A574" t="str">
            <v>B07CW2H1JH</v>
          </cell>
          <cell r="B574" t="str">
            <v>MDK-BPC-ShStl-Bench</v>
          </cell>
          <cell r="C574" t="str">
            <v>淋浴转移凳</v>
          </cell>
        </row>
        <row r="574">
          <cell r="E574" t="str">
            <v>=DISPIMG("ID_68637058B13848758F8EF8A94AF00F4E",1)</v>
          </cell>
        </row>
        <row r="575">
          <cell r="A575" t="str">
            <v>B08HCBGZQL</v>
          </cell>
          <cell r="B575" t="str">
            <v>YHG-HOK-VlvtHngrTb-Gry20pk</v>
          </cell>
          <cell r="C575" t="str">
            <v>天鹅绒衣架</v>
          </cell>
        </row>
        <row r="575">
          <cell r="E575" t="str">
            <v>=DISPIMG("ID_17B61AA4FD454561A0F91762DD4A0DB0",1)</v>
          </cell>
        </row>
        <row r="576">
          <cell r="A576" t="str">
            <v>B00S2AAWD0</v>
          </cell>
          <cell r="B576" t="str">
            <v>ESP-SPO-GymRng</v>
          </cell>
          <cell r="C576" t="str">
            <v>体操吊环</v>
          </cell>
        </row>
        <row r="576">
          <cell r="E576" t="str">
            <v>=DISPIMG("ID_D93867843058467E9924A78B907FB622",1)</v>
          </cell>
        </row>
        <row r="577">
          <cell r="A577" t="str">
            <v>B07TZNPZ21</v>
          </cell>
          <cell r="B577" t="str">
            <v>YHG-HOK-WdHngrKd-10pk</v>
          </cell>
          <cell r="C577" t="str">
            <v>木衣架</v>
          </cell>
        </row>
        <row r="577">
          <cell r="E577" t="str">
            <v>=DISPIMG("ID_025047579C9645AEABABEB9A6B1EF6AE",1)</v>
          </cell>
        </row>
        <row r="578">
          <cell r="A578" t="str">
            <v>B06XC62W55</v>
          </cell>
          <cell r="B578" t="str">
            <v>BKY-HOK-PLW2P-KNG</v>
          </cell>
          <cell r="C578" t="str">
            <v>凝胶枕头</v>
          </cell>
        </row>
        <row r="578">
          <cell r="E578" t="str">
            <v>=DISPIMG("ID_E59584C791714590A4A0A09D0DF3061B",1)</v>
          </cell>
        </row>
        <row r="579">
          <cell r="A579" t="str">
            <v>B00HFZUKGM</v>
          </cell>
          <cell r="B579" t="str">
            <v>GDL-ETC-DrWyAlmKt</v>
          </cell>
          <cell r="C579" t="str">
            <v>车道警报套件</v>
          </cell>
        </row>
        <row r="579">
          <cell r="E579" t="str">
            <v>=DISPIMG("ID_23779DADE1454A2D8D9F4A1B94552396",1)</v>
          </cell>
        </row>
        <row r="580">
          <cell r="A580" t="str">
            <v>B010SJ0Y0I</v>
          </cell>
          <cell r="B580" t="str">
            <v>HMC-MUT-TriMxrStnd-300B</v>
          </cell>
          <cell r="C580" t="str">
            <v>多功能三脚架</v>
          </cell>
        </row>
        <row r="580">
          <cell r="E580" t="str">
            <v>=DISPIMG("ID_2FF70F8A04F04207A4C20D170F5A480D",1)</v>
          </cell>
        </row>
        <row r="581">
          <cell r="A581" t="str">
            <v>B075LL374M</v>
          </cell>
          <cell r="B581" t="str">
            <v>PRM-HHB-FbrTwl-LBu</v>
          </cell>
          <cell r="C581" t="str">
            <v>超细纤维毛巾</v>
          </cell>
        </row>
        <row r="581">
          <cell r="E581" t="str">
            <v>=DISPIMG("ID_F739C7A970AC4881B220FDDF00B69015",1)</v>
          </cell>
        </row>
        <row r="582">
          <cell r="A582" t="str">
            <v>B07Q41LFDN</v>
          </cell>
          <cell r="B582" t="str">
            <v>YHG-HOK-WrpprBg-Red</v>
          </cell>
          <cell r="C582" t="str">
            <v>包装储存</v>
          </cell>
        </row>
        <row r="582">
          <cell r="E582" t="str">
            <v>=DISPIMG("ID_F6E35664B90042CEA8E237CA932EB642",1)</v>
          </cell>
        </row>
        <row r="583">
          <cell r="A583" t="str">
            <v>B08Z4HCLYX</v>
          </cell>
          <cell r="B583" t="str">
            <v>ZCD-118/tr-grn-FBA</v>
          </cell>
          <cell r="C583" t="str">
            <v>饰品收纳</v>
          </cell>
        </row>
        <row r="583">
          <cell r="E583" t="str">
            <v>=DISPIMG("ID_C846B350A17343FEA2AAFE69C7357B5E",1)</v>
          </cell>
        </row>
        <row r="584">
          <cell r="A584" t="str">
            <v>B09BNWKSWN</v>
          </cell>
          <cell r="B584" t="str">
            <v>FD-S4916-FBA</v>
          </cell>
          <cell r="C584" t="str">
            <v>钢水瓶</v>
          </cell>
        </row>
        <row r="584">
          <cell r="E584" t="str">
            <v>=DISPIMG("ID_7C9D23B64BAA4864BE269188DFB8B57F",1)</v>
          </cell>
        </row>
        <row r="585">
          <cell r="A585" t="str">
            <v>B088QM71GJ</v>
          </cell>
          <cell r="B585" t="str">
            <v>LAA-SAO-AnN-6prWht3/6Mths</v>
          </cell>
          <cell r="C585" t="str">
            <v>绞花针织及膝袜</v>
          </cell>
        </row>
        <row r="585">
          <cell r="E585" t="str">
            <v>=DISPIMG("ID_DA831FE1B09449B18383989BA2DE7DFE",1)</v>
          </cell>
        </row>
        <row r="586">
          <cell r="A586" t="str">
            <v>B07NNYDVGT</v>
          </cell>
          <cell r="B586" t="str">
            <v>GRB-CFA-PhnLanWb-Prp</v>
          </cell>
          <cell r="C586" t="str">
            <v>手机挂绳</v>
          </cell>
        </row>
        <row r="586">
          <cell r="E586" t="str">
            <v>=DISPIMG("ID_FC6A15DFAF2C44238D9F63AF4AA366C5",1)</v>
          </cell>
        </row>
        <row r="587">
          <cell r="A587" t="str">
            <v>B016RHTC1M</v>
          </cell>
          <cell r="B587" t="str">
            <v>ESP-HHB-MscRoll-Gr</v>
          </cell>
          <cell r="C587" t="str">
            <v>肌肉滚轴棒</v>
          </cell>
        </row>
        <row r="587">
          <cell r="E587" t="str">
            <v>=DISPIMG("ID_303037CA059D4DBBA26FBE1F83CA6804",1)</v>
          </cell>
        </row>
        <row r="588">
          <cell r="A588" t="str">
            <v>B08Y3VKRQZ</v>
          </cell>
          <cell r="B588" t="str">
            <v>YHG-KND-StlTrvlMg-Rgsna2pk</v>
          </cell>
          <cell r="C588" t="str">
            <v>保温咖啡杯</v>
          </cell>
        </row>
        <row r="588">
          <cell r="E588" t="str">
            <v>=DISPIMG("ID_DFC1EB11ADCB4D87B0C8BAAACEB7278C",1)</v>
          </cell>
        </row>
        <row r="589">
          <cell r="A589" t="str">
            <v>B07S71427G</v>
          </cell>
          <cell r="B589" t="str">
            <v>LAA-SAO-BbyNs-6prWht6Mnth</v>
          </cell>
          <cell r="C589" t="str">
            <v>抓地力踝袜</v>
          </cell>
        </row>
        <row r="589">
          <cell r="E589" t="str">
            <v>=DISPIMG("ID_071BDA2EF6D640E595986E6470A9F0E8",1)</v>
          </cell>
        </row>
        <row r="590">
          <cell r="A590" t="str">
            <v>B0871C2KVC</v>
          </cell>
          <cell r="B590" t="str">
            <v>LAA-SAO-KeeNs-10prWht6yrs</v>
          </cell>
          <cell r="C590" t="str">
            <v>抓地及膝袜</v>
          </cell>
        </row>
        <row r="590">
          <cell r="E590" t="str">
            <v>=DISPIMG("ID_6168BD458F6743A49934E264BFD471B3",1)</v>
          </cell>
        </row>
        <row r="591">
          <cell r="A591" t="str">
            <v>B081H17WPF</v>
          </cell>
          <cell r="B591" t="str">
            <v>LAA-SAO-AthGs-6prPstl7yrs</v>
          </cell>
          <cell r="C591" t="str">
            <v>抓地力小腿袜</v>
          </cell>
        </row>
        <row r="591">
          <cell r="E591" t="str">
            <v>=DISPIMG("ID_BB42892BE05742039C429B00895C98E0",1)</v>
          </cell>
        </row>
        <row r="592">
          <cell r="A592" t="str">
            <v>B07S98DT34</v>
          </cell>
          <cell r="B592" t="str">
            <v>LAA-SAO-GrpSc-NBlkPwdG/S</v>
          </cell>
          <cell r="C592" t="str">
            <v>抓地力踝袜</v>
          </cell>
        </row>
        <row r="592">
          <cell r="E592" t="str">
            <v>=DISPIMG("ID_D9353698EE5540279A63F57367E8C975",1)</v>
          </cell>
        </row>
        <row r="593">
          <cell r="A593" t="str">
            <v>B086ZTV1JF</v>
          </cell>
          <cell r="B593" t="str">
            <v>LAA-SAO-KeeNs-5prNBlu6yrs</v>
          </cell>
          <cell r="C593" t="str">
            <v>抓地及膝袜</v>
          </cell>
        </row>
        <row r="593">
          <cell r="E593" t="str">
            <v>=DISPIMG("ID_3D952414AB764BD697ED6B8480AAC7C0",1)</v>
          </cell>
        </row>
        <row r="594">
          <cell r="A594" t="str">
            <v>B081XWM9MC</v>
          </cell>
          <cell r="B594" t="str">
            <v>LAA-SAO-GrpSc-5prTBlk/L</v>
          </cell>
          <cell r="C594" t="str">
            <v>抓地力小腿袜</v>
          </cell>
        </row>
        <row r="594">
          <cell r="E594" t="str">
            <v>=DISPIMG("ID_DBB41020C37F46639A8363DB900ED979",1)</v>
          </cell>
        </row>
        <row r="595">
          <cell r="A595" t="str">
            <v>B07PDWHW79</v>
          </cell>
          <cell r="B595" t="str">
            <v>LAA-SAO-BbyNs-6prPstl7yrs</v>
          </cell>
          <cell r="C595" t="str">
            <v>抓地力踝袜</v>
          </cell>
        </row>
        <row r="595">
          <cell r="E595" t="str">
            <v>=DISPIMG("ID_16DD39DF4DC8433C8E76B12C143C166B",1)</v>
          </cell>
        </row>
        <row r="596">
          <cell r="A596" t="str">
            <v>B075W483CD</v>
          </cell>
          <cell r="B596" t="str">
            <v>LAA-SAO-GrpSc-1prSltG</v>
          </cell>
          <cell r="C596" t="str">
            <v>抓地力踝袜</v>
          </cell>
        </row>
        <row r="596">
          <cell r="E596" t="str">
            <v>=DISPIMG("ID_3E86B25B86AD403EA1A5CED03398F5E9",1)</v>
          </cell>
        </row>
        <row r="597">
          <cell r="A597" t="str">
            <v>B01M0BEBHB</v>
          </cell>
          <cell r="B597" t="str">
            <v>THC-HOK-CtBd-18x24x0.5Wht</v>
          </cell>
          <cell r="C597" t="str">
            <v>塑料菜板</v>
          </cell>
        </row>
        <row r="597">
          <cell r="E597" t="str">
            <v>=DISPIMG("ID_173654E4C427449EA454CED6E005F1E5",1)</v>
          </cell>
        </row>
        <row r="598">
          <cell r="A598" t="str">
            <v>B071LQ36SF</v>
          </cell>
          <cell r="B598" t="str">
            <v>HCO-HOK-Cork1-SSW</v>
          </cell>
          <cell r="C598" t="str">
            <v>服务员开瓶器</v>
          </cell>
        </row>
        <row r="598">
          <cell r="E598" t="str">
            <v>=DISPIMG("ID_142739F959554A559EE8A4AFFD3DCCA5",1)</v>
          </cell>
        </row>
        <row r="599">
          <cell r="A599" t="str">
            <v>B07YBN9PZQ</v>
          </cell>
          <cell r="B599" t="str">
            <v>STB-BPC-DrRlr-2.0RpHd</v>
          </cell>
          <cell r="C599" t="str">
            <v>真皮滚轮头</v>
          </cell>
        </row>
        <row r="599">
          <cell r="E599" t="str">
            <v>=DISPIMG("ID_EA81E5D030C040088080F42700B399B5",1)</v>
          </cell>
        </row>
        <row r="600">
          <cell r="A600" t="str">
            <v>B08CPRMH18</v>
          </cell>
          <cell r="B600" t="str">
            <v>YHG-HOK-WrpprBg-Gry</v>
          </cell>
          <cell r="C600" t="str">
            <v>包装储存</v>
          </cell>
        </row>
        <row r="600">
          <cell r="E600" t="str">
            <v>=DISPIMG("ID_E531DF5650304B9394113C3533588A95",1)</v>
          </cell>
        </row>
        <row r="601">
          <cell r="A601" t="str">
            <v>B07BWQD2B5</v>
          </cell>
          <cell r="B601" t="str">
            <v>ETC-SPO-ArmBnd-RtBlack</v>
          </cell>
          <cell r="C601" t="str">
            <v>手机臂带</v>
          </cell>
        </row>
        <row r="601">
          <cell r="E601" t="str">
            <v>=DISPIMG("ID_EFE5A263DEF243D8A197867AB6BFE3E4",1)</v>
          </cell>
        </row>
        <row r="602">
          <cell r="A602" t="str">
            <v>B08Y3XB8XD</v>
          </cell>
          <cell r="B602" t="str">
            <v>YHG-KND-StlTrvlMg-Bmbl2pk</v>
          </cell>
          <cell r="C602" t="str">
            <v>保温咖啡杯</v>
          </cell>
        </row>
        <row r="602">
          <cell r="E602" t="str">
            <v>=DISPIMG("ID_C1F22B358F844259836D74D41614D317",1)</v>
          </cell>
        </row>
        <row r="603">
          <cell r="A603" t="str">
            <v>B07DFRJB72</v>
          </cell>
          <cell r="B603" t="str">
            <v>ETC-SPO-RunBelt-Gray</v>
          </cell>
          <cell r="C603" t="str">
            <v>跑步带</v>
          </cell>
        </row>
        <row r="603">
          <cell r="E603" t="str">
            <v>=DISPIMG("ID_E2635EA726E84516802B7F52D487B383",1)</v>
          </cell>
        </row>
        <row r="604">
          <cell r="A604" t="str">
            <v>B07MQXKKJ6</v>
          </cell>
          <cell r="B604" t="str">
            <v>ETC-SPO-ArmBnd-GrayM</v>
          </cell>
          <cell r="C604" t="str">
            <v>手机支架</v>
          </cell>
        </row>
        <row r="604">
          <cell r="E604" t="str">
            <v>=DISPIMG("ID_CE1B3D6AE904476D9C2E6192FCB4ABF7",1)</v>
          </cell>
        </row>
        <row r="605">
          <cell r="A605" t="str">
            <v>B06Y1W9XYL</v>
          </cell>
          <cell r="B605" t="str">
            <v>DAT-APA-AFr2P-G</v>
          </cell>
          <cell r="C605" t="str">
            <v>汽车空气清新剂</v>
          </cell>
        </row>
        <row r="605">
          <cell r="E605" t="str">
            <v>=DISPIMG("ID_BF77558C1CBC429A9238B5383A099A81",1)</v>
          </cell>
        </row>
        <row r="606">
          <cell r="A606" t="str">
            <v>B000RKL8R2</v>
          </cell>
          <cell r="B606" t="str">
            <v>GLS-ETC-CabMic-Clr25ft6pk</v>
          </cell>
          <cell r="C606" t="str">
            <v>麦克风 XLR 电缆</v>
          </cell>
        </row>
        <row r="606">
          <cell r="E606" t="str">
            <v>=DISPIMG("ID_EFCBF296E0EF41459B7D99CC70AE00B6",1)</v>
          </cell>
        </row>
        <row r="607">
          <cell r="A607" t="str">
            <v>B07WWCLY47</v>
          </cell>
          <cell r="B607" t="str">
            <v>PRM-SPO-FannyPack-Bu</v>
          </cell>
          <cell r="C607" t="str">
            <v>腰包</v>
          </cell>
        </row>
        <row r="607">
          <cell r="E607" t="str">
            <v>=DISPIMG("ID_AEA6B2A0B8DA4585B5358344AE3F19E1",1)</v>
          </cell>
        </row>
        <row r="608">
          <cell r="A608" t="str">
            <v>B07RL8ZGN8</v>
          </cell>
          <cell r="B608" t="str">
            <v>YHG-HOK-PltRlChrsTreBg-9Red</v>
          </cell>
          <cell r="C608" t="str">
            <v>圣诞树收纳袋</v>
          </cell>
        </row>
        <row r="608">
          <cell r="E608" t="str">
            <v>=DISPIMG("ID_8331AE40E89D474AA084B5AA973CF249",1)</v>
          </cell>
        </row>
        <row r="609">
          <cell r="A609" t="str">
            <v>B08Z4DP1FP</v>
          </cell>
          <cell r="B609" t="str">
            <v>ZCD-116/tr-rd-FBA</v>
          </cell>
          <cell r="C609" t="str">
            <v>饰品收纳</v>
          </cell>
        </row>
        <row r="609">
          <cell r="E609" t="str">
            <v>=DISPIMG("ID_A3C7FEF20793488B951E9C0115D9C2C5",1)</v>
          </cell>
        </row>
        <row r="610">
          <cell r="A610" t="str">
            <v>B07XK92VB8</v>
          </cell>
          <cell r="B610" t="str">
            <v>LAA-SAO-KeeNs-5prGrlMltClr12Mnth</v>
          </cell>
          <cell r="C610" t="str">
            <v>抓地及膝袜</v>
          </cell>
        </row>
        <row r="610">
          <cell r="E610" t="str">
            <v>=DISPIMG("ID_F106915671744D40A0E3892E4D4CA018",1)</v>
          </cell>
        </row>
        <row r="611">
          <cell r="A611" t="str">
            <v>B07H3ZV7M4</v>
          </cell>
          <cell r="B611" t="str">
            <v>LAA-SAO-KeeNs-5prBoyStp</v>
          </cell>
          <cell r="C611" t="str">
            <v>抓地及膝袜</v>
          </cell>
        </row>
        <row r="611">
          <cell r="E611" t="str">
            <v>=DISPIMG("ID_BFB681E7790B42469845F05008A9F35A",1)</v>
          </cell>
        </row>
        <row r="612">
          <cell r="A612" t="str">
            <v>B08Q3PK1D3</v>
          </cell>
          <cell r="B612" t="str">
            <v>LAA-SAO-KdKee-RBKNvy5pk9yr</v>
          </cell>
          <cell r="C612" t="str">
            <v>抓地及膝袜</v>
          </cell>
        </row>
        <row r="612">
          <cell r="E612" t="str">
            <v>=DISPIMG("ID_5EFF5FC01A13489AA17C5C1912FB226E",1)</v>
          </cell>
        </row>
        <row r="613">
          <cell r="A613" t="str">
            <v>B07PGXVS95</v>
          </cell>
          <cell r="B613" t="str">
            <v>LAA-SAO-Bbyns-5prWht6yrs</v>
          </cell>
          <cell r="C613" t="str">
            <v>抓地及膝袜</v>
          </cell>
        </row>
        <row r="613">
          <cell r="E613" t="str">
            <v>=DISPIMG("ID_D5C9870B4BA442319C114DF4C183C39C",1)</v>
          </cell>
        </row>
        <row r="614">
          <cell r="A614" t="str">
            <v>B099NV12CR</v>
          </cell>
          <cell r="B614" t="str">
            <v>YHG-KND-XlRtStlUtlHldr</v>
          </cell>
          <cell r="C614" t="str">
            <v>厨房用具架</v>
          </cell>
        </row>
        <row r="614">
          <cell r="E614" t="str">
            <v>=DISPIMG("ID_92F35265C44E43DAACAC4FBD0D889B7B",1)</v>
          </cell>
        </row>
        <row r="615">
          <cell r="A615" t="str">
            <v>B085FS9B8S</v>
          </cell>
          <cell r="B615" t="str">
            <v>LAA-SAO-CalPA-6prClrL8/10An</v>
          </cell>
          <cell r="C615" t="str">
            <v>抓地力踝袜</v>
          </cell>
        </row>
        <row r="615">
          <cell r="E615" t="str">
            <v>=DISPIMG("ID_389161A9AE2A4904AF4B23FC74A0A015",1)</v>
          </cell>
        </row>
        <row r="616">
          <cell r="A616" t="str">
            <v>B07D6F8KBF</v>
          </cell>
          <cell r="B616" t="str">
            <v>LAA-SAO-BbyNs-6prBoy7yrs</v>
          </cell>
          <cell r="C616" t="str">
            <v>抓地力踝袜</v>
          </cell>
        </row>
        <row r="616">
          <cell r="E616" t="str">
            <v>=DISPIMG("ID_E55597E089914CF7989F227AE837182C",1)</v>
          </cell>
        </row>
        <row r="617">
          <cell r="A617" t="str">
            <v>B07H4BYLJN</v>
          </cell>
          <cell r="B617" t="str">
            <v>LAA-SAO-KeeNs-5prGrltp</v>
          </cell>
          <cell r="C617" t="str">
            <v>抓地及膝袜</v>
          </cell>
        </row>
        <row r="617">
          <cell r="E617" t="str">
            <v>=DISPIMG("ID_5E23E06E356F4C52A5E74E33625A82B0",1)</v>
          </cell>
        </row>
        <row r="618">
          <cell r="A618" t="str">
            <v>B08FYZ4NL5</v>
          </cell>
          <cell r="B618" t="str">
            <v>LAA-SAO-AAth-6prGrl7yrs</v>
          </cell>
          <cell r="C618" t="str">
            <v>儿童抓地袜</v>
          </cell>
        </row>
        <row r="618">
          <cell r="E618" t="str">
            <v>=DISPIMG("ID_BB8BCEF25FAA4297B0A5E71D8E407C0A",1)</v>
          </cell>
        </row>
        <row r="619">
          <cell r="A619" t="str">
            <v>B085FWGDHF</v>
          </cell>
          <cell r="B619" t="str">
            <v>LAA-SAO-BbyNs-6prRnb10yrs</v>
          </cell>
          <cell r="C619" t="str">
            <v>抓地力踝袜</v>
          </cell>
        </row>
        <row r="619">
          <cell r="E619" t="str">
            <v>=DISPIMG("ID_D3CBACB0A60F42259D4D93BC11A92FD3",1)</v>
          </cell>
        </row>
        <row r="620">
          <cell r="A620" t="str">
            <v>B09BDLJC4P</v>
          </cell>
          <cell r="B620" t="str">
            <v>FD-S4806-FBA</v>
          </cell>
          <cell r="C620" t="str">
            <v>钢水瓶</v>
          </cell>
        </row>
        <row r="620">
          <cell r="E620" t="str">
            <v>=DISPIMG("ID_B1A789D9B49C431A8AAF16847ADF2CA6",1)</v>
          </cell>
        </row>
        <row r="621">
          <cell r="A621" t="str">
            <v>B09BDMFRSZ</v>
          </cell>
          <cell r="B621" t="str">
            <v>FD-S4719-FBA</v>
          </cell>
          <cell r="C621" t="str">
            <v>钢水瓶</v>
          </cell>
        </row>
        <row r="621">
          <cell r="E621" t="str">
            <v>=DISPIMG("ID_65B27FD88F464CD48CF54CFCF30143FB",1)</v>
          </cell>
        </row>
        <row r="622">
          <cell r="A622" t="str">
            <v>B07S395LFM</v>
          </cell>
          <cell r="B622" t="str">
            <v>LAA-SAO-CalPA-6prGryS6Mnth</v>
          </cell>
          <cell r="C622" t="str">
            <v>抓地力踝袜</v>
          </cell>
        </row>
        <row r="622">
          <cell r="E622" t="str">
            <v>=DISPIMG("ID_53184166299E4B5385EC9C92A0EF30F3",1)</v>
          </cell>
        </row>
        <row r="623">
          <cell r="A623" t="str">
            <v>B07S5HP243</v>
          </cell>
          <cell r="B623" t="str">
            <v>LAA-SAO-CalPA-6prGryS0/3Mes</v>
          </cell>
          <cell r="C623" t="str">
            <v>抓地力踝袜</v>
          </cell>
        </row>
        <row r="623">
          <cell r="E623" t="str">
            <v>=DISPIMG("ID_C07C4170A21848C5B344E7F5A4E1FB96",1)</v>
          </cell>
        </row>
        <row r="624">
          <cell r="A624" t="str">
            <v>B08Q3DYGY3</v>
          </cell>
          <cell r="B624" t="str">
            <v>LAA-SAO-AnkNw-Pst6pk3Mnth</v>
          </cell>
          <cell r="C624" t="str">
            <v>抓地力踝袜</v>
          </cell>
        </row>
        <row r="624">
          <cell r="E624" t="str">
            <v>=DISPIMG("ID_7574A8F7BD2D4945B70DE9B9A511DE93",1)</v>
          </cell>
        </row>
        <row r="625">
          <cell r="A625" t="str">
            <v>B07L4L7Z43</v>
          </cell>
          <cell r="B625" t="str">
            <v>LAA-SAO-BbyNs-6prBk7yrs</v>
          </cell>
          <cell r="C625" t="str">
            <v>抓地力踝袜</v>
          </cell>
        </row>
        <row r="625">
          <cell r="E625" t="str">
            <v>=DISPIMG("ID_1E3684C98C7F44FF911A3F2C99114265",1)</v>
          </cell>
        </row>
        <row r="626">
          <cell r="A626" t="str">
            <v>B07H3Y6CP7</v>
          </cell>
          <cell r="B626" t="str">
            <v>LAA-SAO-KeeNs-5prWht</v>
          </cell>
          <cell r="C626" t="str">
            <v>抓地及膝袜</v>
          </cell>
        </row>
        <row r="626">
          <cell r="E626" t="str">
            <v>=DISPIMG("ID_79BE1BBB85204B28A0AAFE8EF16D6550",1)</v>
          </cell>
        </row>
        <row r="627">
          <cell r="A627" t="str">
            <v>B08DP4SKM8</v>
          </cell>
          <cell r="B627" t="str">
            <v>YHG-KND-StlWtrBtl-17Rstc2pk</v>
          </cell>
          <cell r="C627" t="str">
            <v>钢水瓶</v>
          </cell>
        </row>
        <row r="627">
          <cell r="E627" t="str">
            <v>=DISPIMG("ID_6F14A35A01324369B34F7887BDD69A2C",1)</v>
          </cell>
        </row>
        <row r="628">
          <cell r="A628" t="str">
            <v>B08Q3BPZ74</v>
          </cell>
          <cell r="B628" t="str">
            <v>LAA-SAO-AnkNw-ClrS6pk6Mnth</v>
          </cell>
          <cell r="C628" t="str">
            <v>抓地力踝袜</v>
          </cell>
        </row>
        <row r="628">
          <cell r="E628" t="str">
            <v>=DISPIMG("ID_74EE520DEED44ADAB1AEDF2F31F23608",1)</v>
          </cell>
        </row>
        <row r="629">
          <cell r="A629" t="str">
            <v>B07W8Y3FK6</v>
          </cell>
          <cell r="B629" t="str">
            <v>LAA-SAO-AthGs-6prGrl36Mnth</v>
          </cell>
          <cell r="C629" t="str">
            <v>抓地力小腿袜</v>
          </cell>
        </row>
        <row r="629">
          <cell r="E629" t="str">
            <v>=DISPIMG("ID_5A46276A1C5D42C5822E7A84706D3515",1)</v>
          </cell>
        </row>
        <row r="630">
          <cell r="A630" t="str">
            <v>B0B2VQ4VNZ</v>
          </cell>
          <cell r="B630" t="str">
            <v>YHG-HOK-FD-S1605</v>
          </cell>
          <cell r="C630" t="str">
            <v>厨房用具套装</v>
          </cell>
        </row>
        <row r="630">
          <cell r="E630" t="str">
            <v>=DISPIMG("ID_970CF1907CF7424D8E25E11458C80388",1)</v>
          </cell>
        </row>
        <row r="631">
          <cell r="A631" t="str">
            <v>B08HCJJZ1L</v>
          </cell>
          <cell r="B631" t="str">
            <v>YHG-HOK-VlvtHngrTb-Bgdy20pk</v>
          </cell>
          <cell r="C631" t="str">
            <v>天鹅绒衣架</v>
          </cell>
        </row>
        <row r="631">
          <cell r="E631" t="str">
            <v>=DISPIMG("ID_47E55F147B4D4CA78A96DEB768632821",1)</v>
          </cell>
        </row>
        <row r="632">
          <cell r="A632" t="str">
            <v>B08LZ856K5</v>
          </cell>
          <cell r="B632" t="str">
            <v>YHG-KND-GlsOilDspnrSlm-Dgrn2pk</v>
          </cell>
          <cell r="C632" t="str">
            <v>加油机</v>
          </cell>
        </row>
        <row r="632">
          <cell r="E632" t="str">
            <v>=DISPIMG("ID_F35D48AE000C4E8F9785803D89318BCD",1)</v>
          </cell>
        </row>
        <row r="633">
          <cell r="A633" t="str">
            <v>B07W8VQQY3</v>
          </cell>
          <cell r="B633" t="str">
            <v>LAA-SAO-AthGs-GryScl36Mnth</v>
          </cell>
          <cell r="C633" t="str">
            <v>抓地力小腿袜</v>
          </cell>
        </row>
        <row r="633">
          <cell r="E633" t="str">
            <v>=DISPIMG("ID_5A9C0AA039904304BC48858C9767FD51",1)</v>
          </cell>
        </row>
        <row r="634">
          <cell r="A634" t="str">
            <v>B088K3DFNV</v>
          </cell>
          <cell r="B634" t="str">
            <v>LAA-SAO-FuzNs-MBlkDGrL/XL</v>
          </cell>
          <cell r="C634" t="str">
            <v>毛绒抓地小腿袜</v>
          </cell>
        </row>
        <row r="634">
          <cell r="E634" t="str">
            <v>=DISPIMG("ID_33F3C7B3235444E682F64BFC9C3EA2ED",1)</v>
          </cell>
        </row>
        <row r="635">
          <cell r="A635" t="str">
            <v>B07PL9RJPG</v>
          </cell>
          <cell r="B635" t="str">
            <v>LAA-SAO-GrpSc-2prSltGStBS</v>
          </cell>
          <cell r="C635" t="str">
            <v>抓地力踝袜</v>
          </cell>
        </row>
        <row r="635">
          <cell r="E635" t="str">
            <v>=DISPIMG("ID_AAD3C6329C554122A3101C505B92699D",1)</v>
          </cell>
        </row>
        <row r="636">
          <cell r="A636" t="str">
            <v>B0B2VZ4NX8</v>
          </cell>
          <cell r="B636" t="str">
            <v>YHG-HOK-FD-S1606</v>
          </cell>
          <cell r="C636" t="str">
            <v>厨房用具套装</v>
          </cell>
        </row>
        <row r="636">
          <cell r="E636" t="str">
            <v>=DISPIMG("ID_B18EE0F40F644E3B8901DC1D60ADBFAE",1)</v>
          </cell>
        </row>
        <row r="637">
          <cell r="A637" t="str">
            <v>B07R6XLKYW</v>
          </cell>
          <cell r="B637" t="str">
            <v>YHG-HOK-OrnSrtgBx-3128Red1</v>
          </cell>
          <cell r="C637" t="str">
            <v>饰品收纳</v>
          </cell>
        </row>
        <row r="637">
          <cell r="E637" t="str">
            <v>=DISPIMG("ID_2B815919A9E240B09FF663F666131D3E",1)</v>
          </cell>
        </row>
        <row r="638">
          <cell r="A638" t="str">
            <v>B088JVRYMK</v>
          </cell>
          <cell r="B638" t="str">
            <v>LAA-SAO-FuzNs-4prMBlkL/XL</v>
          </cell>
          <cell r="C638" t="str">
            <v>毛绒抓地小腿袜</v>
          </cell>
        </row>
        <row r="638">
          <cell r="E638" t="str">
            <v>=DISPIMG("ID_D760053F304845DCB9F32D472A4D100C",1)</v>
          </cell>
        </row>
        <row r="639">
          <cell r="A639" t="str">
            <v>B07S7Z4KKJ</v>
          </cell>
          <cell r="B639" t="str">
            <v>LAA-SAO-BbyNs-6prGrl3Mnth</v>
          </cell>
          <cell r="C639" t="str">
            <v>抓地力踝袜</v>
          </cell>
        </row>
        <row r="639">
          <cell r="E639" t="str">
            <v>=DISPIMG("ID_97CF66FD41D3457895CFE65DEE7E9E3B",1)</v>
          </cell>
        </row>
        <row r="640">
          <cell r="A640" t="str">
            <v>B08HBZDJGV</v>
          </cell>
          <cell r="B640" t="str">
            <v>YHG-HOK-VlvtHngrTb-Ppl20pk</v>
          </cell>
          <cell r="C640" t="str">
            <v>天鹅绒衣架</v>
          </cell>
        </row>
        <row r="640">
          <cell r="E640" t="str">
            <v>=DISPIMG("ID_1C404A0DEA344188A83E94C20D817F4F",1)</v>
          </cell>
        </row>
        <row r="641">
          <cell r="A641" t="str">
            <v>B07S4F8XLX</v>
          </cell>
          <cell r="B641" t="str">
            <v>LAA-SAO-BbyNs-6prBoy3Mnth</v>
          </cell>
          <cell r="C641" t="str">
            <v>抓地力踝袜</v>
          </cell>
        </row>
        <row r="641">
          <cell r="E641" t="str">
            <v>=DISPIMG("ID_E008E0CB6A8343D88B44D2C93EF026EA",1)</v>
          </cell>
          <cell r="F641" t="str">
            <v>衣物</v>
          </cell>
        </row>
        <row r="642">
          <cell r="A642" t="str">
            <v>B07S396N5F</v>
          </cell>
          <cell r="B642" t="str">
            <v>LAA-SAO-BbyNs-6prErtT36Mnth</v>
          </cell>
          <cell r="C642" t="str">
            <v>抓地力踝袜</v>
          </cell>
        </row>
        <row r="642">
          <cell r="E642" t="str">
            <v>=DISPIMG("ID_C82322CAF47B4C3BB30690BB016E30FE",1)</v>
          </cell>
          <cell r="F642" t="str">
            <v>衣物</v>
          </cell>
        </row>
        <row r="643">
          <cell r="A643" t="str">
            <v>B08FYKH56D</v>
          </cell>
          <cell r="B643" t="str">
            <v>LAA-SAO-AAth-6prBoy7yrs</v>
          </cell>
          <cell r="C643" t="str">
            <v>儿童抓地袜</v>
          </cell>
        </row>
        <row r="643">
          <cell r="E643" t="str">
            <v>=DISPIMG("ID_4D1109C1C7184FC29995436970117C71",1)</v>
          </cell>
          <cell r="F643" t="str">
            <v>衣物</v>
          </cell>
        </row>
        <row r="644">
          <cell r="A644" t="str">
            <v>B07PJ46RBY</v>
          </cell>
          <cell r="B644" t="str">
            <v>LAA-SAO-BbyNs-6prPst12Mnth</v>
          </cell>
          <cell r="C644" t="str">
            <v>抓地力踝袜</v>
          </cell>
        </row>
        <row r="644">
          <cell r="E644" t="str">
            <v>=DISPIMG("ID_03923FBEC44941A9A05001FD744EE160",1)</v>
          </cell>
          <cell r="F644" t="str">
            <v>衣物</v>
          </cell>
        </row>
        <row r="645">
          <cell r="A645" t="str">
            <v>B07D6FDPR4</v>
          </cell>
          <cell r="B645" t="str">
            <v>LAA-SAO-BbyNs-6prGrl7yrs</v>
          </cell>
          <cell r="C645" t="str">
            <v>抓地力踝袜</v>
          </cell>
        </row>
        <row r="645">
          <cell r="E645" t="str">
            <v>=DISPIMG("ID_B634255BDA4F4EA2936752EE5E8D92AA",1)</v>
          </cell>
          <cell r="F645" t="str">
            <v>衣物</v>
          </cell>
        </row>
        <row r="646">
          <cell r="A646" t="str">
            <v>B08F5JV2G5</v>
          </cell>
          <cell r="B646" t="str">
            <v>MXL-KND-GftSet-8s2gRwc</v>
          </cell>
          <cell r="C646" t="str">
            <v>威士忌酒杯和石头套装</v>
          </cell>
        </row>
        <row r="646">
          <cell r="E646" t="str">
            <v>=DISPIMG("ID_E53A6BE456A04CFC99959FB92A0898F5",1)</v>
          </cell>
          <cell r="F646" t="str">
            <v>厨房用具</v>
          </cell>
        </row>
        <row r="647">
          <cell r="A647" t="str">
            <v>B003KH61N0</v>
          </cell>
          <cell r="B647" t="str">
            <v>PT1/CLAS/BNZ</v>
          </cell>
          <cell r="C647" t="str">
            <v>植物支架</v>
          </cell>
        </row>
        <row r="647">
          <cell r="E647" t="str">
            <v>=DISPIMG("ID_EBB877D3D43D405580788CFB5708B955",1)</v>
          </cell>
        </row>
        <row r="648">
          <cell r="A648" t="str">
            <v>B013CB7RS6</v>
          </cell>
          <cell r="B648" t="str">
            <v>BX-1XVD-F37V</v>
          </cell>
          <cell r="C648" t="str">
            <v>植物支架</v>
          </cell>
        </row>
        <row r="648">
          <cell r="E648" t="str">
            <v>=DISPIMG("ID_2C82585D9297446489B176C9DF8C5B9A",1)</v>
          </cell>
        </row>
        <row r="649">
          <cell r="A649" t="str">
            <v>B07RN12RSL</v>
          </cell>
          <cell r="B649" t="str">
            <v>YHG-HOK-OrnSrtgBx-3128Grn</v>
          </cell>
          <cell r="C649" t="str">
            <v>饰品收纳</v>
          </cell>
        </row>
        <row r="649">
          <cell r="E649" t="str">
            <v>=DISPIMG("ID_7CD05221AF2342F3AD83738F2045566D",1)</v>
          </cell>
          <cell r="F649" t="str">
            <v>圣诞</v>
          </cell>
        </row>
        <row r="650">
          <cell r="A650" t="str">
            <v>B07P7HHY7Q</v>
          </cell>
          <cell r="B650" t="str">
            <v>MXL-KND-BarKit-10pcMsSlv-ASMBL</v>
          </cell>
          <cell r="C650" t="str">
            <v>调酒套件和支架</v>
          </cell>
        </row>
        <row r="650">
          <cell r="E650" t="str">
            <v>=DISPIMG("ID_5CCF2751BD644920BF26D518BE66DB0A",1)</v>
          </cell>
          <cell r="F650" t="str">
            <v>厨房用具</v>
          </cell>
        </row>
        <row r="651">
          <cell r="A651" t="str">
            <v>B07NDRNRV3</v>
          </cell>
          <cell r="B651" t="str">
            <v>NLK-KND-GrlSkltpn-12</v>
          </cell>
          <cell r="C651" t="str">
            <v>铸铁锅</v>
          </cell>
        </row>
        <row r="651">
          <cell r="E651" t="str">
            <v>=DISPIMG("ID_AB6EBFD6A3A44767AC40EF7E982B9921",1)</v>
          </cell>
          <cell r="F651" t="str">
            <v>厨房用具</v>
          </cell>
        </row>
        <row r="652">
          <cell r="A652" t="str">
            <v>B07BFLWNPM</v>
          </cell>
          <cell r="B652" t="str">
            <v>NLK-KND-Sklt-10</v>
          </cell>
          <cell r="C652" t="str">
            <v>铸铁锅</v>
          </cell>
        </row>
        <row r="652">
          <cell r="E652" t="str">
            <v>=DISPIMG("ID_8374D868BBEE497684130502BE2DB9E2",1)</v>
          </cell>
          <cell r="F652" t="str">
            <v>厨房用具</v>
          </cell>
        </row>
        <row r="653">
          <cell r="A653" t="str">
            <v>B07TC3D7LL</v>
          </cell>
          <cell r="B653" t="str">
            <v>MXL-KND-BarKit-11pcRwsBlk-ASMBL</v>
          </cell>
          <cell r="C653" t="str">
            <v>调酒套件和支架</v>
          </cell>
        </row>
        <row r="653">
          <cell r="E653" t="str">
            <v>=DISPIMG("ID_3ABFADF383F540D69BB81E83B2D67038",1)</v>
          </cell>
          <cell r="F653" t="str">
            <v>厨房用具</v>
          </cell>
        </row>
        <row r="654">
          <cell r="A654" t="str">
            <v>B086MSXYQQ</v>
          </cell>
          <cell r="B654" t="str">
            <v>NLK-KND-PlshSklt-10</v>
          </cell>
          <cell r="C654" t="str">
            <v>铸铁锅</v>
          </cell>
        </row>
        <row r="654">
          <cell r="E654" t="str">
            <v>=DISPIMG("ID_92B9ADF0B8CF4727BB42082A39DA1A8D",1)</v>
          </cell>
          <cell r="F654" t="str">
            <v>厨房用具</v>
          </cell>
        </row>
        <row r="655">
          <cell r="A655" t="str">
            <v>B01M74A279</v>
          </cell>
          <cell r="B655" t="str">
            <v>NLK-KND-Sklt-12</v>
          </cell>
          <cell r="C655" t="str">
            <v>铸铁锅</v>
          </cell>
        </row>
        <row r="655">
          <cell r="E655" t="str">
            <v>=DISPIMG("ID_DDA5BC20E06143C1BFA6FD8A77589EC5",1)</v>
          </cell>
          <cell r="F655" t="str">
            <v>厨房用具</v>
          </cell>
        </row>
        <row r="656">
          <cell r="A656" t="str">
            <v>B07N7R29JH</v>
          </cell>
          <cell r="B656" t="str">
            <v>YHG-HOK-WdCtRk-Vintage</v>
          </cell>
          <cell r="C656" t="str">
            <v>木树衣帽架</v>
          </cell>
        </row>
        <row r="656">
          <cell r="E656" t="str">
            <v>=DISPIMG("ID_6E4E04CC270E48E496EDEA3D4A97E6AF",1)</v>
          </cell>
        </row>
        <row r="657">
          <cell r="A657" t="str">
            <v>B07BK4PJLW</v>
          </cell>
          <cell r="B657" t="str">
            <v>MCC-HOK-PiCnd-3X6Chr3pk</v>
          </cell>
          <cell r="C657" t="str">
            <v>无香蜡烛</v>
          </cell>
        </row>
        <row r="657">
          <cell r="E657" t="str">
            <v>=DISPIMG("ID_A8BB29C2DC5641B78780F93BB9AF568F",1)</v>
          </cell>
          <cell r="F657" t="str">
            <v>蜡烛</v>
          </cell>
        </row>
        <row r="658">
          <cell r="A658" t="str">
            <v>B08CQHYKGD</v>
          </cell>
          <cell r="B658" t="str">
            <v>YHG-HOK-WdPntHngr360-Blk10pk</v>
          </cell>
          <cell r="C658" t="str">
            <v>木衣架</v>
          </cell>
        </row>
        <row r="658">
          <cell r="E658" t="str">
            <v>=DISPIMG("ID_FA7B959BD57E4541A374A5E4E139FABB",1)</v>
          </cell>
          <cell r="F658" t="str">
            <v>衣架</v>
          </cell>
        </row>
        <row r="659">
          <cell r="A659" t="str">
            <v>B08B1WSC16</v>
          </cell>
          <cell r="B659" t="str">
            <v>YHG-SPO-StlWtrBtlSld-Tqse25</v>
          </cell>
          <cell r="C659" t="str">
            <v>钢水瓶</v>
          </cell>
        </row>
        <row r="659">
          <cell r="E659" t="str">
            <v>=DISPIMG("ID_D5845EF17DB442BB807F663DD11C7C97",1)</v>
          </cell>
        </row>
        <row r="660">
          <cell r="A660" t="str">
            <v>B01KKLHTIE</v>
          </cell>
          <cell r="B660" t="str">
            <v>YHG-HOK-WrthStrgBg-30Red</v>
          </cell>
          <cell r="C660" t="str">
            <v>花环收纳袋</v>
          </cell>
        </row>
        <row r="660">
          <cell r="E660" t="str">
            <v>=DISPIMG("ID_E02790B75BF448ECA73A6D51EBAE2A8A",1)</v>
          </cell>
        </row>
        <row r="661">
          <cell r="A661" t="str">
            <v>B0854DGLB7</v>
          </cell>
          <cell r="B661" t="str">
            <v>YHG-KND-GlsRdMlCntnr-Blu6pk</v>
          </cell>
          <cell r="C661" t="str">
            <v>膳食准备容器</v>
          </cell>
        </row>
        <row r="661">
          <cell r="E661" t="str">
            <v>=DISPIMG("ID_73C495D380234906871E0A6385A5EB92",1)</v>
          </cell>
        </row>
        <row r="662">
          <cell r="A662" t="str">
            <v>B09ZQ3D95V</v>
          </cell>
          <cell r="B662" t="str">
            <v>YHG-HOK-ZCD-108-Grn-Pld</v>
          </cell>
          <cell r="C662" t="str">
            <v>圣诞饰品收纳</v>
          </cell>
        </row>
        <row r="662">
          <cell r="E662" t="str">
            <v>=DISPIMG("ID_FBC36FF1645D4B08AB65ABB8EAECD022",1)</v>
          </cell>
        </row>
        <row r="663">
          <cell r="A663" t="str">
            <v>B078N3ZDR2</v>
          </cell>
          <cell r="B663" t="str">
            <v>YHG-HOK-WdshWdHngr-Chy6pk</v>
          </cell>
          <cell r="C663" t="str">
            <v>宽肩木衣架</v>
          </cell>
        </row>
        <row r="663">
          <cell r="E663" t="str">
            <v>=DISPIMG("ID_27A86F224B9E4E83B1B0F771A36820E0",1)</v>
          </cell>
        </row>
        <row r="664">
          <cell r="A664" t="str">
            <v>B078J9J13Y</v>
          </cell>
          <cell r="B664" t="str">
            <v>YHG-HOK-JmbUndbdStrgBg-Gry2pk</v>
          </cell>
          <cell r="C664" t="str">
            <v>床下储物袋</v>
          </cell>
        </row>
        <row r="664">
          <cell r="E664" t="str">
            <v>=DISPIMG("ID_E14DAC9C53D54D3CB55AEE025B322A4A",1)</v>
          </cell>
          <cell r="F664" t="str">
            <v>收纳</v>
          </cell>
        </row>
        <row r="665">
          <cell r="A665" t="str">
            <v>B01AWZN504</v>
          </cell>
          <cell r="B665" t="str">
            <v>YHG-HOK-JmbUndbdStrgBg-Clr2pk</v>
          </cell>
          <cell r="C665" t="str">
            <v>床下储物袋</v>
          </cell>
        </row>
        <row r="665">
          <cell r="E665" t="str">
            <v>=DISPIMG("ID_3D79857F501D47F6B75971AB883F1868",1)</v>
          </cell>
          <cell r="F665" t="str">
            <v>收纳</v>
          </cell>
        </row>
        <row r="666">
          <cell r="A666" t="str">
            <v>B0756GVKTP</v>
          </cell>
          <cell r="B666" t="str">
            <v>YHG-HOK-WdPntHngr360-Cwd10pk</v>
          </cell>
          <cell r="C666" t="str">
            <v>木衣架</v>
          </cell>
        </row>
        <row r="666">
          <cell r="E666" t="str">
            <v>=DISPIMG("ID_54663A23D03B4BC790AE93EFE2D24188",1)</v>
          </cell>
          <cell r="F666" t="str">
            <v>衣架</v>
          </cell>
        </row>
        <row r="667">
          <cell r="A667" t="str">
            <v>B07CPQP9HV</v>
          </cell>
          <cell r="B667" t="str">
            <v>MDK-BPC-ShStl-Round</v>
          </cell>
          <cell r="C667" t="str">
            <v>淋浴凳</v>
          </cell>
        </row>
        <row r="667">
          <cell r="E667" t="str">
            <v>=DISPIMG("ID_D7B36C9CFA1C45C0B325911E6743B66A",1)</v>
          </cell>
          <cell r="F667" t="str">
            <v>洗浴</v>
          </cell>
        </row>
        <row r="668">
          <cell r="A668" t="str">
            <v>B07MZ6KLWK</v>
          </cell>
          <cell r="B668" t="str">
            <v>MDK-BPC-NLFL-Blu3pkCase</v>
          </cell>
          <cell r="C668" t="str">
            <v>玻璃指甲锉</v>
          </cell>
        </row>
        <row r="668">
          <cell r="E668" t="str">
            <v>=DISPIMG("ID_9DCC4B36F6D04A27AAEECC94E7DD8F87",1)</v>
          </cell>
          <cell r="F668" t="str">
            <v>指甲钳</v>
          </cell>
        </row>
        <row r="669">
          <cell r="A669" t="str">
            <v>B08DP5LWJJ</v>
          </cell>
          <cell r="B669" t="str">
            <v>YHG-KND-StlWnGls-18Wprl4pk</v>
          </cell>
          <cell r="C669" t="str">
            <v>隔热酒杯</v>
          </cell>
        </row>
        <row r="669">
          <cell r="E669" t="str">
            <v>=DISPIMG("ID_9184B89ED7994F60ADF9B6BE4E8CB6F5",1)</v>
          </cell>
          <cell r="F669" t="str">
            <v>厨房用具</v>
          </cell>
        </row>
        <row r="670">
          <cell r="A670" t="str">
            <v>B07NP6GKJ7</v>
          </cell>
          <cell r="B670" t="str">
            <v>WKL-CSJ-LEDSntaHat-1pkAd</v>
          </cell>
          <cell r="C670" t="str">
            <v>圣诞老人帽</v>
          </cell>
        </row>
        <row r="670">
          <cell r="E670" t="str">
            <v>=DISPIMG("ID_633C9F394BE44F4AA428986EADA6895B",1)</v>
          </cell>
          <cell r="F670" t="str">
            <v>圣诞</v>
          </cell>
        </row>
        <row r="671">
          <cell r="A671" t="str">
            <v>B07NP1QDJH</v>
          </cell>
          <cell r="B671" t="str">
            <v>WKL-CSJ-LEDSntaHat-2pkAd</v>
          </cell>
          <cell r="C671" t="str">
            <v>圣诞老人帽</v>
          </cell>
        </row>
        <row r="671">
          <cell r="E671" t="str">
            <v>=DISPIMG("ID_4589ED2D2E8644618FA10EF20E0914EF",1)</v>
          </cell>
          <cell r="F671" t="str">
            <v>圣诞</v>
          </cell>
        </row>
        <row r="672">
          <cell r="A672" t="str">
            <v>B072BXGVWN</v>
          </cell>
          <cell r="B672" t="str">
            <v>YHG-HOK-VlvtHngr-Blk20pk</v>
          </cell>
          <cell r="C672" t="str">
            <v>天鹅绒衣架</v>
          </cell>
        </row>
        <row r="672">
          <cell r="E672" t="str">
            <v>=DISPIMG("ID_5CDDE7792CBE449A96DB8EDB62AC3B7A",1)</v>
          </cell>
          <cell r="F672" t="str">
            <v>衣架</v>
          </cell>
        </row>
        <row r="673">
          <cell r="A673" t="str">
            <v>B012X2ZNOA</v>
          </cell>
          <cell r="B673" t="str">
            <v>TWG-BPC-TwzrPnt-Bk</v>
          </cell>
          <cell r="C673" t="str">
            <v>尖头镊子</v>
          </cell>
        </row>
        <row r="673">
          <cell r="E673" t="str">
            <v>=DISPIMG("ID_5690E95FC8544199B6F5D9D20D69D026",1)</v>
          </cell>
          <cell r="F673" t="str">
            <v>美容</v>
          </cell>
        </row>
        <row r="674">
          <cell r="A674" t="str">
            <v>B00KFM6BOC</v>
          </cell>
          <cell r="B674" t="str">
            <v>SDT-TOH-SPWDbC-Ye</v>
          </cell>
          <cell r="C674" t="str">
            <v>无线门铃</v>
          </cell>
        </row>
        <row r="674">
          <cell r="E674" t="str">
            <v>=DISPIMG("ID_BC1AAD7BAE414EFFB1A16498328893C3",1)</v>
          </cell>
          <cell r="F674" t="str">
            <v>门铃</v>
          </cell>
        </row>
        <row r="675">
          <cell r="A675" t="str">
            <v>B06XC5NR52</v>
          </cell>
          <cell r="B675" t="str">
            <v>BKY-HOK-GFPLW-2P</v>
          </cell>
          <cell r="C675" t="str">
            <v>凝胶枕头</v>
          </cell>
        </row>
        <row r="675">
          <cell r="E675" t="str">
            <v>=DISPIMG("ID_9F8C13FBF94445AB8CD65F1C80C0CDF9",1)</v>
          </cell>
          <cell r="F675" t="str">
            <v>枕套</v>
          </cell>
        </row>
        <row r="676">
          <cell r="A676" t="str">
            <v>B08GG9PJ68</v>
          </cell>
          <cell r="B676" t="str">
            <v>YHG-KND-SwgBtl-166pk</v>
          </cell>
          <cell r="C676" t="str">
            <v>平顶玻璃瓶</v>
          </cell>
        </row>
        <row r="676">
          <cell r="E676" t="str">
            <v>=DISPIMG("ID_B7512F09BA9D4E2DBFFB58849F3D3F22",1)</v>
          </cell>
        </row>
        <row r="677">
          <cell r="A677" t="str">
            <v>B01KBA8EAQ</v>
          </cell>
          <cell r="B677" t="str">
            <v>BRK-BPC-GrmCape-DlxBk</v>
          </cell>
          <cell r="C677" t="str">
            <v>胡须围兜</v>
          </cell>
        </row>
        <row r="677">
          <cell r="E677" t="str">
            <v>=DISPIMG("ID_BB10120121984EC7B44996E9F10A9BC4",1)</v>
          </cell>
        </row>
        <row r="678">
          <cell r="A678">
            <v>0</v>
          </cell>
          <cell r="B678" t="str">
            <v>NOTHS-GIFT-BOX</v>
          </cell>
          <cell r="C678" t="e">
            <v>#N/A</v>
          </cell>
        </row>
        <row r="678">
          <cell r="E678" t="e">
            <v>#N/A</v>
          </cell>
        </row>
        <row r="679">
          <cell r="A679" t="str">
            <v>B07HYMDSPQ</v>
          </cell>
          <cell r="B679" t="str">
            <v>WWE-HHB-BWePl-10in</v>
          </cell>
          <cell r="C679" t="str">
            <v>楔形床枕</v>
          </cell>
        </row>
        <row r="679">
          <cell r="E679" t="str">
            <v>=DISPIMG("ID_9F5087B1CE4D43548ECB60B0C2DF4C0A",1)</v>
          </cell>
        </row>
        <row r="680">
          <cell r="A680" t="str">
            <v>B01H60SXAK</v>
          </cell>
          <cell r="B680" t="str">
            <v>BKR-SPO-MSMS-BLA</v>
          </cell>
          <cell r="C680" t="str">
            <v>自行车鞍座</v>
          </cell>
        </row>
        <row r="680">
          <cell r="E680" t="str">
            <v>=DISPIMG("ID_7526883972404AF79941953BEDD59C84",1)</v>
          </cell>
        </row>
        <row r="681">
          <cell r="A681" t="str">
            <v>B075L7JYTC</v>
          </cell>
          <cell r="B681" t="str">
            <v>BKR-SPO-SES-BLA-REG</v>
          </cell>
          <cell r="C681" t="str">
            <v>高级马鞍黑色普通弹簧</v>
          </cell>
        </row>
        <row r="681">
          <cell r="E681" t="str">
            <v>=DISPIMG("ID_342B6B29AAB4470CAB0C127724D0CF2A",1)</v>
          </cell>
        </row>
        <row r="682">
          <cell r="A682" t="str">
            <v>B0753G9WLS</v>
          </cell>
          <cell r="B682" t="str">
            <v>WWE-TOH-ToLn-B16x16</v>
          </cell>
          <cell r="C682" t="str">
            <v>防滑工具箱衬垫</v>
          </cell>
        </row>
        <row r="682">
          <cell r="E682" t="str">
            <v>=DISPIMG("ID_1ADDA2D969D848149F98ED1304063AA4",1)</v>
          </cell>
        </row>
        <row r="683">
          <cell r="A683" t="str">
            <v>B00NQ1UF1E</v>
          </cell>
          <cell r="B683" t="str">
            <v>BKR-SPO-BSCC-BLA-UK</v>
          </cell>
          <cell r="C683" t="str">
            <v>窄版黑色自行车软垫</v>
          </cell>
        </row>
        <row r="683">
          <cell r="E683" t="str">
            <v>=DISPIMG("ID_B4178E32186C444CB135BE136E21A91C",1)</v>
          </cell>
        </row>
        <row r="684">
          <cell r="A684" t="str">
            <v>B075LDCTFQ</v>
          </cell>
          <cell r="B684" t="str">
            <v>BKR-SPO-LSC-RED</v>
          </cell>
          <cell r="C684" t="str">
            <v>大号红色自行车软垫</v>
          </cell>
        </row>
        <row r="684">
          <cell r="E684" t="str">
            <v>=DISPIMG("ID_F070C5A13E594B40ACEC8B1E3EDE63D8",1)</v>
          </cell>
        </row>
        <row r="685">
          <cell r="A685" t="str">
            <v>B01MF8TO1P</v>
          </cell>
          <cell r="B685" t="str">
            <v>BKR-SPO-OBSOu-BLAEmr</v>
          </cell>
          <cell r="C685" t="str">
            <v>超大运动自行车座椅和户外黑色弹性材料</v>
          </cell>
        </row>
        <row r="685">
          <cell r="E685" t="str">
            <v>=DISPIMG("ID_8C67E285A5104D34BDD0AC5333677A78",1)</v>
          </cell>
        </row>
        <row r="686">
          <cell r="A686" t="str">
            <v>B0753G2765</v>
          </cell>
          <cell r="B686" t="str">
            <v>WWE-TOH-ToLn-B18x24</v>
          </cell>
          <cell r="C686" t="str">
            <v>防滑工具箱衬垫</v>
          </cell>
        </row>
        <row r="686">
          <cell r="E686" t="str">
            <v>=DISPIMG("ID_3230D9FC63A74248988806B72182E442",1)</v>
          </cell>
        </row>
        <row r="687">
          <cell r="A687" t="str">
            <v>B0795X147K</v>
          </cell>
          <cell r="B687" t="str">
            <v>SPG-HOK-StrCntr-7pc</v>
          </cell>
          <cell r="C687" t="str">
            <v>厨房食物储存容器</v>
          </cell>
        </row>
        <row r="687">
          <cell r="E687" t="str">
            <v>=DISPIMG("ID_C2D702E690364549B630BA3865EF498F",1)</v>
          </cell>
        </row>
        <row r="688">
          <cell r="A688" t="str">
            <v>B01H78AXOK</v>
          </cell>
          <cell r="B688" t="str">
            <v>BKR-SPO-LSC-BLU</v>
          </cell>
          <cell r="C688" t="str">
            <v>大号蓝色自行车软垫</v>
          </cell>
        </row>
        <row r="688">
          <cell r="E688" t="str">
            <v>=DISPIMG("ID_3E66980BA6254E17BE922567013FE937",1)</v>
          </cell>
        </row>
        <row r="689">
          <cell r="A689" t="str">
            <v>B015TGEV0Y</v>
          </cell>
          <cell r="B689" t="str">
            <v>BKR-SPO-LSC-BLA</v>
          </cell>
          <cell r="C689" t="str">
            <v>大号鞍盖黑色</v>
          </cell>
        </row>
        <row r="689">
          <cell r="E689" t="str">
            <v>=DISPIMG("ID_9C86422A0E0F496F91B951FF8E6FE83A",1)</v>
          </cell>
        </row>
        <row r="690">
          <cell r="A690" t="str">
            <v>B07C589WB5</v>
          </cell>
          <cell r="B690" t="str">
            <v>WWE-KND-CoBrT-2L</v>
          </cell>
          <cell r="C690" t="str">
            <v>冷冲泡咖啡机</v>
          </cell>
        </row>
        <row r="690">
          <cell r="E690" t="str">
            <v>=DISPIMG("ID_DF302D68257E4472A74D3ECD989B8E3D",1)</v>
          </cell>
        </row>
        <row r="691">
          <cell r="A691" t="str">
            <v>B01H60FCRC</v>
          </cell>
          <cell r="B691" t="str">
            <v>BKR-SPO-WBS-BLA</v>
          </cell>
          <cell r="C691" t="str">
            <v>自行车鞍座</v>
          </cell>
        </row>
        <row r="691">
          <cell r="E691" t="str">
            <v>=DISPIMG("ID_2987DCDBA6C1412CB98E137F2275EE2A",1)</v>
          </cell>
        </row>
        <row r="692">
          <cell r="A692" t="str">
            <v>B01MDNY3S6</v>
          </cell>
          <cell r="B692" t="str">
            <v>BKR-SPO-CRS-BRO-REG</v>
          </cell>
          <cell r="C692" t="str">
            <v>自行车宽巡洋舰鞍</v>
          </cell>
        </row>
        <row r="692">
          <cell r="E692" t="str">
            <v>=DISPIMG("ID_AE3AE53FFEFC4797AA0E2EF4E430D5C7",1)</v>
          </cell>
        </row>
        <row r="693">
          <cell r="A693" t="str">
            <v>B07CKTYJZ1</v>
          </cell>
          <cell r="B693" t="str">
            <v>BKR-SPO-OS-BLA-ELAST</v>
          </cell>
          <cell r="C693" t="str">
            <v>超大自行车鞍座</v>
          </cell>
        </row>
        <row r="693">
          <cell r="E693" t="str">
            <v>=DISPIMG("ID_A6FC839E8BBD45968F4928F2EEB622C0",1)</v>
          </cell>
        </row>
        <row r="694">
          <cell r="A694" t="str">
            <v>B01EPDJM0G</v>
          </cell>
          <cell r="B694" t="str">
            <v>WWE-KND-WTeKt-3L</v>
          </cell>
          <cell r="C694" t="str">
            <v>不锈钢茶壶</v>
          </cell>
        </row>
        <row r="694">
          <cell r="E694" t="str">
            <v>=DISPIMG("ID_CB132DD873744BCB8F4A3222BF341B88",1)</v>
          </cell>
        </row>
        <row r="695">
          <cell r="A695" t="str">
            <v>B01H784SI2</v>
          </cell>
          <cell r="B695" t="str">
            <v>BKR-SPO-LSC-PUR</v>
          </cell>
          <cell r="C695" t="str">
            <v>大号紫色自行车软垫</v>
          </cell>
        </row>
        <row r="695">
          <cell r="E695" t="str">
            <v>=DISPIMG("ID_CF3F32341111433287E9CFFC7148E92C",1)</v>
          </cell>
        </row>
        <row r="696">
          <cell r="A696" t="str">
            <v>B01C2HKG0M</v>
          </cell>
          <cell r="B696" t="str">
            <v>BKR-SPO-WBS-RED</v>
          </cell>
          <cell r="C696" t="str">
            <v>自行车鞍座</v>
          </cell>
        </row>
        <row r="696">
          <cell r="E696" t="str">
            <v>=DISPIMG("ID_3DD65428F14C4622895C6AB73B2EF3F3",1)</v>
          </cell>
        </row>
        <row r="697">
          <cell r="A697" t="str">
            <v>B07CKTZ8RY</v>
          </cell>
          <cell r="B697" t="str">
            <v>BKR-SPO-SES-BLA-ELAST-UK</v>
          </cell>
          <cell r="C697" t="str">
            <v>自行车鞍座</v>
          </cell>
        </row>
        <row r="697">
          <cell r="E697" t="str">
            <v>=DISPIMG("ID_F73E72EBB6584CE39367F68D1AD84C65",1)</v>
          </cell>
        </row>
        <row r="698">
          <cell r="A698" t="str">
            <v>B01H60FCMC</v>
          </cell>
          <cell r="B698" t="str">
            <v>BKR-SPO-WBS-WHI</v>
          </cell>
          <cell r="C698" t="str">
            <v>自行车鞍座</v>
          </cell>
        </row>
        <row r="698">
          <cell r="E698" t="str">
            <v>=DISPIMG("ID_3ED1A264BF684BD9BC20517266527374",1)</v>
          </cell>
        </row>
        <row r="699">
          <cell r="A699" t="str">
            <v>B01MDPTRYE</v>
          </cell>
          <cell r="B699" t="str">
            <v>LAA-SAO-GrpSc-2prSlbLKntR</v>
          </cell>
          <cell r="C699" t="str">
            <v>抓地力踝袜</v>
          </cell>
        </row>
        <row r="699">
          <cell r="E699" t="str">
            <v>=DISPIMG("ID_4F0F83C2A81647FA88C104A1F6992E90",1)</v>
          </cell>
        </row>
        <row r="700">
          <cell r="A700" t="str">
            <v>B07D6DXFBK</v>
          </cell>
          <cell r="B700" t="str">
            <v>LAA-SAO-BbyKee-5prVrty</v>
          </cell>
          <cell r="C700" t="str">
            <v>抓地及膝袜</v>
          </cell>
        </row>
        <row r="700">
          <cell r="E700" t="str">
            <v>=DISPIMG("ID_7CA0B32D7A1B43CA854F8AAFEB91F0B5",1)</v>
          </cell>
        </row>
        <row r="701">
          <cell r="A701" t="str">
            <v>B07H3YMDXT</v>
          </cell>
          <cell r="B701" t="str">
            <v>LAA-SAO-BbyNs-Boy12Mnth</v>
          </cell>
          <cell r="C701" t="str">
            <v>抓地力踝袜</v>
          </cell>
        </row>
        <row r="701">
          <cell r="E701" t="str">
            <v>=DISPIMG("ID_AE266D994EFD48E5AD20F40AB3D8B01D",1)</v>
          </cell>
        </row>
        <row r="702">
          <cell r="A702" t="str">
            <v>B088K6X4WD</v>
          </cell>
          <cell r="B702" t="str">
            <v>LAA-SAO-BbyNs-6prEthT12Mnth</v>
          </cell>
          <cell r="C702" t="str">
            <v>抓地力踝袜</v>
          </cell>
        </row>
        <row r="702">
          <cell r="E702" t="str">
            <v>=DISPIMG("ID_CB1A00380C484C74B3C2A8C465EF1FBF",1)</v>
          </cell>
        </row>
        <row r="703">
          <cell r="A703" t="str">
            <v>B088K4XKNP</v>
          </cell>
          <cell r="B703" t="str">
            <v>LAA-SAO-FuzNs-4prMBlkDGryS/M</v>
          </cell>
          <cell r="C703" t="str">
            <v>毛绒抓地小腿袜</v>
          </cell>
        </row>
        <row r="703">
          <cell r="E703" t="str">
            <v>=DISPIMG("ID_0113520E4A824F41B91C3BB03C83F4FE",1)</v>
          </cell>
        </row>
        <row r="704">
          <cell r="A704" t="str">
            <v>B01N69JGXY</v>
          </cell>
          <cell r="B704" t="str">
            <v>URN-SPO-EXBALL-85BL</v>
          </cell>
          <cell r="C704" t="str">
            <v>健身球</v>
          </cell>
        </row>
        <row r="704">
          <cell r="E704" t="str">
            <v>=DISPIMG("ID_E4DAC995904542AB8637195C51C1C7C1",1)</v>
          </cell>
        </row>
        <row r="705">
          <cell r="A705" t="str">
            <v>B01LB1862A</v>
          </cell>
          <cell r="B705" t="str">
            <v>OTC-KND-GBot6-C16oz-1</v>
          </cell>
          <cell r="C705" t="str">
            <v>带盖玻璃瓶</v>
          </cell>
        </row>
        <row r="705">
          <cell r="E705" t="str">
            <v>=DISPIMG("ID_81AD1595142F43B3B4C5ADFD173DE787",1)</v>
          </cell>
        </row>
        <row r="706">
          <cell r="A706" t="str">
            <v>B01MRQCENJ</v>
          </cell>
          <cell r="B706" t="str">
            <v>TRB-SPO-TRKPO-RVBK</v>
          </cell>
          <cell r="C706" t="str">
            <v>轻质登山杖</v>
          </cell>
        </row>
        <row r="706">
          <cell r="E706" t="str">
            <v>=DISPIMG("ID_15C801AF702E4F52891BFB040C0FC403",1)</v>
          </cell>
        </row>
        <row r="707">
          <cell r="A707" t="str">
            <v>B07K4S6JFC</v>
          </cell>
          <cell r="B707" t="str">
            <v>SPG-HOK-StrCntr-14pc</v>
          </cell>
          <cell r="C707" t="str">
            <v>谷物储存容器</v>
          </cell>
        </row>
        <row r="707">
          <cell r="E707" t="str">
            <v>=DISPIMG("ID_6D7D53F910894F5E99D8B56B23B6AF18",1)</v>
          </cell>
        </row>
        <row r="708">
          <cell r="A708" t="str">
            <v>B016KZ0SB0</v>
          </cell>
          <cell r="B708" t="str">
            <v>Relief-Ice-Pack-large 14" X 6"</v>
          </cell>
          <cell r="C708" t="str">
            <v>冰袋</v>
          </cell>
        </row>
        <row r="708">
          <cell r="E708" t="str">
            <v>=DISPIMG("ID_63074904A03F4585A145C1D1DE854565",1)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托盘尺寸+送货地址"/>
      <sheetName val="清货物单"/>
      <sheetName val="总"/>
      <sheetName val="第一车+第二车"/>
    </sheetNames>
    <sheetDataSet>
      <sheetData sheetId="0"/>
      <sheetData sheetId="1"/>
      <sheetData sheetId="2">
        <row r="1">
          <cell r="A1" t="str">
            <v>ASIN</v>
          </cell>
          <cell r="B1" t="str">
            <v>EN Name</v>
          </cell>
        </row>
        <row r="2">
          <cell r="A2" t="str">
            <v>B078NRXBLN</v>
          </cell>
          <cell r="B2" t="str">
            <v>Hangers</v>
          </cell>
        </row>
        <row r="3">
          <cell r="A3" t="str">
            <v>B076F61LBB</v>
          </cell>
          <cell r="B3" t="str">
            <v>Candle</v>
          </cell>
        </row>
        <row r="4">
          <cell r="A4" t="str">
            <v>B000RMQM4E</v>
          </cell>
          <cell r="B4" t="str">
            <v>Cable Mic</v>
          </cell>
        </row>
        <row r="5">
          <cell r="A5" t="str">
            <v>B07C46QPTR</v>
          </cell>
          <cell r="B5" t="str">
            <v>Trekking Poles</v>
          </cell>
        </row>
        <row r="6">
          <cell r="A6" t="str">
            <v>B07GG92K1B</v>
          </cell>
          <cell r="B6" t="str">
            <v>Ping Pong Paddle</v>
          </cell>
        </row>
        <row r="7">
          <cell r="A7" t="str">
            <v>B01ARVRPMM</v>
          </cell>
          <cell r="B7" t="str">
            <v>Cream Whipper</v>
          </cell>
        </row>
        <row r="8">
          <cell r="A8" t="str">
            <v>B0898J7G49</v>
          </cell>
          <cell r="B8" t="str">
            <v>Stainless Steel Utensil Holder</v>
          </cell>
        </row>
        <row r="9">
          <cell r="A9" t="str">
            <v>B09CWYMCH8</v>
          </cell>
          <cell r="B9" t="str">
            <v>Stainless Steel Utensil Holder</v>
          </cell>
        </row>
        <row r="10">
          <cell r="A10" t="str">
            <v>B01FJ0KAOQ</v>
          </cell>
          <cell r="B10" t="str">
            <v>Wine Decanter</v>
          </cell>
        </row>
        <row r="11">
          <cell r="A11" t="str">
            <v>B07WZX4K48</v>
          </cell>
          <cell r="B11" t="str">
            <v>Stainless Steel Utensil Set</v>
          </cell>
        </row>
        <row r="12">
          <cell r="A12" t="str">
            <v>B072MJSB38</v>
          </cell>
          <cell r="B12" t="str">
            <v>Exercise Ball</v>
          </cell>
        </row>
        <row r="13">
          <cell r="A13" t="str">
            <v>B01B3MW7CC</v>
          </cell>
          <cell r="B13" t="str">
            <v>Outdoor Projector</v>
          </cell>
        </row>
        <row r="14">
          <cell r="A14" t="str">
            <v>B07HNFZHFS</v>
          </cell>
          <cell r="B14" t="str">
            <v>Cabinet Locks</v>
          </cell>
        </row>
        <row r="15">
          <cell r="A15" t="str">
            <v>B00JMC9SJG</v>
          </cell>
          <cell r="B15" t="str">
            <v>Foldable Garden Chair</v>
          </cell>
        </row>
        <row r="21">
          <cell r="A21" t="str">
            <v>B07JG4HXJ6</v>
          </cell>
          <cell r="B21" t="str">
            <v>Artificial Plants Backdrop</v>
          </cell>
        </row>
        <row r="22">
          <cell r="A22" t="str">
            <v>B0938GY8DW</v>
          </cell>
          <cell r="B22" t="str">
            <v>Glass Jar</v>
          </cell>
        </row>
        <row r="23">
          <cell r="A23" t="str">
            <v>B00JMC9SJG</v>
          </cell>
          <cell r="B23" t="str">
            <v>Foldable Garden Chair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zoomScale="85" zoomScaleNormal="85" topLeftCell="A19" workbookViewId="0">
      <selection activeCell="H20" sqref="H20"/>
    </sheetView>
  </sheetViews>
  <sheetFormatPr defaultColWidth="9" defaultRowHeight="13.5"/>
  <cols>
    <col min="1" max="1" width="24.5583333333333" style="1" customWidth="1"/>
    <col min="2" max="2" width="14.8833333333333" style="2" customWidth="1"/>
    <col min="3" max="3" width="35.25" style="2" hidden="1" customWidth="1"/>
    <col min="4" max="5" width="15.75" style="2" customWidth="1"/>
    <col min="6" max="6" width="31.475" style="2" customWidth="1"/>
    <col min="7" max="7" width="15.75" style="2" customWidth="1"/>
    <col min="8" max="8" width="25.125" style="2" customWidth="1"/>
    <col min="9" max="10" width="15.75" style="2" customWidth="1"/>
    <col min="11" max="11" width="9.5" style="2" customWidth="1"/>
    <col min="12" max="12" width="16" style="2" hidden="1" customWidth="1"/>
    <col min="13" max="13" width="16.375" style="2" hidden="1" customWidth="1"/>
    <col min="14" max="14" width="11.625" style="2" customWidth="1"/>
    <col min="15" max="15" width="17" style="2" hidden="1" customWidth="1"/>
    <col min="16" max="16" width="10.375" style="2" customWidth="1"/>
    <col min="17" max="17" width="10.875" style="2" customWidth="1"/>
    <col min="18" max="18" width="11.0333333333333" style="3" customWidth="1"/>
    <col min="19" max="19" width="23.375" style="3" customWidth="1"/>
    <col min="20" max="20" width="12.625" style="3"/>
  </cols>
  <sheetData>
    <row r="1" ht="16.5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</row>
    <row r="2" ht="33" spans="1:21">
      <c r="A2" s="8" t="s">
        <v>19</v>
      </c>
      <c r="B2" s="9" t="s">
        <v>20</v>
      </c>
      <c r="C2" s="10" t="s">
        <v>21</v>
      </c>
      <c r="D2" s="11">
        <v>5</v>
      </c>
      <c r="E2" s="11" t="s">
        <v>22</v>
      </c>
      <c r="F2" s="12" t="s">
        <v>23</v>
      </c>
      <c r="G2" s="11" t="s">
        <v>24</v>
      </c>
      <c r="H2" s="11" t="str">
        <f>VLOOKUP(B2,[3]总!$A:$B,2,FALSE)</f>
        <v>Hangers</v>
      </c>
      <c r="I2" s="11">
        <v>4421100000</v>
      </c>
      <c r="J2" s="11">
        <v>44211000</v>
      </c>
      <c r="K2" s="13">
        <v>300</v>
      </c>
      <c r="L2" s="14">
        <f>VLOOKUP(B2,[2]TSP!$A:$M,13,FALSE)</f>
        <v>7.8</v>
      </c>
      <c r="M2" s="15">
        <v>0.07</v>
      </c>
      <c r="N2" s="7">
        <f t="shared" ref="N2:N11" si="0">M2*P2</f>
        <v>5.25</v>
      </c>
      <c r="O2" s="4">
        <v>4</v>
      </c>
      <c r="P2" s="16">
        <f>K2/O2</f>
        <v>75</v>
      </c>
      <c r="Q2" s="4">
        <f t="shared" ref="Q2:Q11" si="1">P2*L2</f>
        <v>585</v>
      </c>
      <c r="R2" s="3">
        <f>17774/71.11*N2/7.12</f>
        <v>184.303595158</v>
      </c>
      <c r="S2" s="3">
        <f>27075.59/71.11*N2/7.12</f>
        <v>280.754392822325</v>
      </c>
      <c r="T2" s="3">
        <f>S2+R2</f>
        <v>465.057987980325</v>
      </c>
    </row>
    <row r="3" ht="16.5" spans="1:21">
      <c r="A3" s="17" t="s">
        <v>25</v>
      </c>
      <c r="B3" s="11" t="s">
        <v>26</v>
      </c>
      <c r="C3" s="18"/>
      <c r="D3" s="10">
        <v>5</v>
      </c>
      <c r="E3" s="10" t="s">
        <v>27</v>
      </c>
      <c r="F3" s="19" t="s">
        <v>28</v>
      </c>
      <c r="G3" s="11" t="s">
        <v>29</v>
      </c>
      <c r="H3" s="11" t="str">
        <f>VLOOKUP(B3,[3]总!$A:$B,2,FALSE)</f>
        <v>Candle</v>
      </c>
      <c r="I3" s="11">
        <v>3406000000</v>
      </c>
      <c r="J3" s="11">
        <v>34060000</v>
      </c>
      <c r="K3" s="13">
        <v>120</v>
      </c>
      <c r="L3" s="14">
        <f>VLOOKUP(B3,[2]TSP!$A:$M,13,FALSE)</f>
        <v>7.5</v>
      </c>
      <c r="M3" s="15">
        <v>0.016</v>
      </c>
      <c r="N3" s="7">
        <f t="shared" si="0"/>
        <v>0.48</v>
      </c>
      <c r="O3" s="4">
        <v>4</v>
      </c>
      <c r="P3" s="16">
        <f>K3/O3</f>
        <v>30</v>
      </c>
      <c r="Q3" s="4">
        <f t="shared" si="1"/>
        <v>225</v>
      </c>
      <c r="R3" s="3">
        <f t="shared" ref="R3:R11" si="2">17774/71.11*N3/7.12</f>
        <v>16.8506144144457</v>
      </c>
      <c r="S3" s="3">
        <f>27075.59/71.11*N3/7.12</f>
        <v>25.6689730580411</v>
      </c>
      <c r="T3" s="3">
        <f t="shared" ref="T3:T11" si="3">S3+R3</f>
        <v>42.5195874724868</v>
      </c>
    </row>
    <row r="4" ht="16.5" spans="1:21">
      <c r="A4" s="20"/>
      <c r="B4" s="11" t="s">
        <v>30</v>
      </c>
      <c r="C4" s="18"/>
      <c r="D4" s="18"/>
      <c r="E4" s="18"/>
      <c r="F4" s="18"/>
      <c r="G4" s="11" t="s">
        <v>31</v>
      </c>
      <c r="H4" s="11" t="str">
        <f>VLOOKUP(B4,[3]总!$A:$B,2,FALSE)</f>
        <v>Cable Mic</v>
      </c>
      <c r="I4" s="11">
        <v>8544429090</v>
      </c>
      <c r="J4" s="11">
        <v>85444290</v>
      </c>
      <c r="K4" s="13">
        <v>180</v>
      </c>
      <c r="L4" s="14">
        <f>VLOOKUP(B4,[2]TSP!$A:$M,13,FALSE)</f>
        <v>16.1</v>
      </c>
      <c r="M4" s="15">
        <v>0.037128</v>
      </c>
      <c r="N4" s="7">
        <f t="shared" si="0"/>
        <v>0.668304</v>
      </c>
      <c r="O4" s="4">
        <v>10</v>
      </c>
      <c r="P4" s="16">
        <f>K4/O4</f>
        <v>18</v>
      </c>
      <c r="Q4" s="4">
        <f t="shared" si="1"/>
        <v>289.8</v>
      </c>
      <c r="R4" s="3">
        <f t="shared" si="2"/>
        <v>23.4611104492328</v>
      </c>
      <c r="S4" s="3">
        <f t="shared" ref="S3:S11" si="4">27075.59/71.11*N4/7.12</f>
        <v>35.7389111887106</v>
      </c>
      <c r="T4" s="3">
        <f t="shared" si="3"/>
        <v>59.2000216379434</v>
      </c>
    </row>
    <row r="5" ht="16.5" spans="1:21">
      <c r="A5" s="21"/>
      <c r="B5" s="9" t="s">
        <v>20</v>
      </c>
      <c r="C5" s="22"/>
      <c r="D5" s="22"/>
      <c r="E5" s="22"/>
      <c r="F5" s="22"/>
      <c r="G5" s="11" t="s">
        <v>32</v>
      </c>
      <c r="H5" s="11" t="str">
        <f>VLOOKUP(B5,[3]总!$A:$B,2,FALSE)</f>
        <v>Hangers</v>
      </c>
      <c r="I5" s="11">
        <v>4421100000</v>
      </c>
      <c r="J5" s="11">
        <v>44211000</v>
      </c>
      <c r="K5" s="13">
        <v>200</v>
      </c>
      <c r="L5" s="14">
        <f>VLOOKUP(B5,[2]TSP!$A:$M,13,FALSE)</f>
        <v>7.8</v>
      </c>
      <c r="M5" s="15">
        <v>0.07711</v>
      </c>
      <c r="N5" s="7">
        <f t="shared" si="0"/>
        <v>3.8555</v>
      </c>
      <c r="O5" s="4">
        <v>4</v>
      </c>
      <c r="P5" s="16">
        <f>K5/O5</f>
        <v>50</v>
      </c>
      <c r="Q5" s="4">
        <f t="shared" si="1"/>
        <v>390</v>
      </c>
      <c r="R5" s="3">
        <f t="shared" si="2"/>
        <v>135.349049739366</v>
      </c>
      <c r="S5" s="3">
        <f t="shared" si="4"/>
        <v>206.180678385995</v>
      </c>
      <c r="T5" s="3">
        <f t="shared" si="3"/>
        <v>341.52972812536</v>
      </c>
    </row>
    <row r="6" ht="16.5" spans="1:21">
      <c r="A6" s="23" t="s">
        <v>33</v>
      </c>
      <c r="B6" s="11" t="s">
        <v>34</v>
      </c>
      <c r="C6" s="11" t="s">
        <v>35</v>
      </c>
      <c r="D6" s="11">
        <v>1</v>
      </c>
      <c r="E6" s="11" t="s">
        <v>36</v>
      </c>
      <c r="F6" s="11" t="s">
        <v>37</v>
      </c>
      <c r="G6" s="11" t="s">
        <v>38</v>
      </c>
      <c r="H6" s="11" t="str">
        <f>VLOOKUP(B6,[3]总!$A:$B,2,FALSE)</f>
        <v>Trekking Poles</v>
      </c>
      <c r="I6" s="11">
        <v>6602000090</v>
      </c>
      <c r="J6" s="11">
        <v>66020000</v>
      </c>
      <c r="K6" s="13">
        <v>200</v>
      </c>
      <c r="L6" s="14">
        <f>VLOOKUP(B6,[2]TSP!$A:$M,13,FALSE)</f>
        <v>16.3</v>
      </c>
      <c r="M6" s="15">
        <v>0.075</v>
      </c>
      <c r="N6" s="7">
        <f t="shared" si="0"/>
        <v>0.75</v>
      </c>
      <c r="O6" s="4">
        <v>20</v>
      </c>
      <c r="P6" s="16">
        <v>10</v>
      </c>
      <c r="Q6" s="4">
        <f t="shared" si="1"/>
        <v>163</v>
      </c>
      <c r="R6" s="3">
        <f t="shared" si="2"/>
        <v>26.3290850225715</v>
      </c>
      <c r="S6" s="3">
        <f t="shared" si="4"/>
        <v>40.1077704031892</v>
      </c>
      <c r="T6" s="3">
        <f t="shared" si="3"/>
        <v>66.4368554257607</v>
      </c>
    </row>
    <row r="7" ht="16.5" spans="1:21">
      <c r="A7" s="24"/>
      <c r="B7" s="25" t="s">
        <v>39</v>
      </c>
      <c r="C7" s="10" t="s">
        <v>21</v>
      </c>
      <c r="D7" s="11">
        <v>1</v>
      </c>
      <c r="E7" s="11" t="s">
        <v>40</v>
      </c>
      <c r="F7" s="11" t="s">
        <v>41</v>
      </c>
      <c r="G7" s="11" t="s">
        <v>42</v>
      </c>
      <c r="H7" s="11" t="str">
        <f>VLOOKUP(B7,[3]总!$A:$B,2,FALSE)</f>
        <v>Ping Pong Paddle</v>
      </c>
      <c r="I7" s="11">
        <v>9506400000</v>
      </c>
      <c r="J7" s="11">
        <v>95064000</v>
      </c>
      <c r="K7" s="13">
        <v>200</v>
      </c>
      <c r="L7" s="14">
        <f>VLOOKUP(B7,[2]TSP!$A:$M,13,FALSE)</f>
        <v>14.6</v>
      </c>
      <c r="M7" s="15">
        <v>0.086</v>
      </c>
      <c r="N7" s="7">
        <f t="shared" si="0"/>
        <v>1.72</v>
      </c>
      <c r="O7" s="4">
        <v>10</v>
      </c>
      <c r="P7" s="16">
        <v>20</v>
      </c>
      <c r="Q7" s="4">
        <f t="shared" si="1"/>
        <v>292</v>
      </c>
      <c r="R7" s="3">
        <f t="shared" si="2"/>
        <v>60.3813683184305</v>
      </c>
      <c r="S7" s="3">
        <f t="shared" si="4"/>
        <v>91.980486791314</v>
      </c>
      <c r="T7" s="3">
        <f t="shared" si="3"/>
        <v>152.361855109745</v>
      </c>
    </row>
    <row r="8" ht="16.5" spans="1:21">
      <c r="A8" s="17" t="s">
        <v>43</v>
      </c>
      <c r="B8" s="11" t="s">
        <v>44</v>
      </c>
      <c r="C8" s="18"/>
      <c r="D8" s="10">
        <v>2</v>
      </c>
      <c r="E8" s="19" t="s">
        <v>45</v>
      </c>
      <c r="F8" s="19" t="s">
        <v>46</v>
      </c>
      <c r="G8" s="11" t="s">
        <v>47</v>
      </c>
      <c r="H8" s="11" t="str">
        <f>VLOOKUP(B8,[3]总!$A:$B,2,FALSE)</f>
        <v>Cream Whipper</v>
      </c>
      <c r="I8" s="11">
        <v>7615108090</v>
      </c>
      <c r="J8" s="11">
        <v>76151080</v>
      </c>
      <c r="K8" s="13">
        <f t="shared" ref="K8:K11" si="5">O8*P8</f>
        <v>240</v>
      </c>
      <c r="L8" s="14">
        <f>VLOOKUP(B8,[2]TSP!$A:$M,13,FALSE)</f>
        <v>10.8</v>
      </c>
      <c r="M8" s="15">
        <v>0.037323</v>
      </c>
      <c r="N8" s="7">
        <f t="shared" si="0"/>
        <v>0.74646</v>
      </c>
      <c r="O8" s="4">
        <v>12</v>
      </c>
      <c r="P8" s="16">
        <v>20</v>
      </c>
      <c r="Q8" s="4">
        <f t="shared" si="1"/>
        <v>216</v>
      </c>
      <c r="R8" s="3">
        <f t="shared" si="2"/>
        <v>26.2048117412649</v>
      </c>
      <c r="S8" s="3">
        <f t="shared" si="4"/>
        <v>39.9184617268862</v>
      </c>
      <c r="T8" s="3">
        <f t="shared" si="3"/>
        <v>66.1232734681511</v>
      </c>
    </row>
    <row r="9" ht="16.5" spans="1:21">
      <c r="A9" s="20"/>
      <c r="B9" s="11" t="s">
        <v>48</v>
      </c>
      <c r="C9" s="18"/>
      <c r="D9" s="18"/>
      <c r="E9" s="26"/>
      <c r="F9" s="18"/>
      <c r="G9" s="11" t="s">
        <v>49</v>
      </c>
      <c r="H9" s="11" t="str">
        <f>VLOOKUP(B9,[3]总!$A:$B,2,FALSE)</f>
        <v>Stainless Steel Utensil Holder</v>
      </c>
      <c r="I9" s="11">
        <v>7323930090</v>
      </c>
      <c r="J9" s="11">
        <v>73239300</v>
      </c>
      <c r="K9" s="13">
        <f t="shared" si="5"/>
        <v>30</v>
      </c>
      <c r="L9" s="14">
        <f>VLOOKUP(B9,[2]TSP!$A:$M,13,FALSE)</f>
        <v>6.3</v>
      </c>
      <c r="M9" s="15">
        <v>0.04765</v>
      </c>
      <c r="N9" s="7">
        <f t="shared" si="0"/>
        <v>0.23825</v>
      </c>
      <c r="O9" s="4">
        <v>6</v>
      </c>
      <c r="P9" s="16">
        <v>5</v>
      </c>
      <c r="Q9" s="4">
        <f t="shared" si="1"/>
        <v>31.5</v>
      </c>
      <c r="R9" s="3">
        <f t="shared" si="2"/>
        <v>8.36387267550353</v>
      </c>
      <c r="S9" s="3">
        <f t="shared" si="4"/>
        <v>12.7409017314131</v>
      </c>
      <c r="T9" s="3">
        <f t="shared" si="3"/>
        <v>21.1047744069166</v>
      </c>
    </row>
    <row r="10" ht="16.5" spans="1:21">
      <c r="A10" s="20"/>
      <c r="B10" s="11" t="s">
        <v>50</v>
      </c>
      <c r="C10" s="18"/>
      <c r="D10" s="18"/>
      <c r="E10" s="26"/>
      <c r="F10" s="18"/>
      <c r="G10" s="11" t="s">
        <v>49</v>
      </c>
      <c r="H10" s="11" t="str">
        <f>VLOOKUP(B10,[3]总!$A:$B,2,FALSE)</f>
        <v>Stainless Steel Utensil Holder</v>
      </c>
      <c r="I10" s="11">
        <v>7323930090</v>
      </c>
      <c r="J10" s="11">
        <v>73239300</v>
      </c>
      <c r="K10" s="13">
        <f t="shared" si="5"/>
        <v>30</v>
      </c>
      <c r="L10" s="14">
        <f>VLOOKUP(B10,[2]TSP!$A:$M,13,FALSE)</f>
        <v>6.5</v>
      </c>
      <c r="M10" s="15">
        <v>0.04765</v>
      </c>
      <c r="N10" s="7">
        <f t="shared" si="0"/>
        <v>0.23825</v>
      </c>
      <c r="O10" s="4">
        <v>6</v>
      </c>
      <c r="P10" s="16">
        <v>5</v>
      </c>
      <c r="Q10" s="4">
        <f t="shared" si="1"/>
        <v>32.5</v>
      </c>
      <c r="R10" s="3">
        <f t="shared" si="2"/>
        <v>8.36387267550353</v>
      </c>
      <c r="S10" s="3">
        <f t="shared" si="4"/>
        <v>12.7409017314131</v>
      </c>
      <c r="T10" s="3">
        <f t="shared" si="3"/>
        <v>21.1047744069166</v>
      </c>
    </row>
    <row r="11" ht="16.5" spans="1:21">
      <c r="A11" s="21"/>
      <c r="B11" s="11" t="s">
        <v>51</v>
      </c>
      <c r="C11" s="22"/>
      <c r="D11" s="22"/>
      <c r="E11" s="27"/>
      <c r="F11" s="22"/>
      <c r="G11" s="11" t="s">
        <v>52</v>
      </c>
      <c r="H11" s="11" t="str">
        <f>VLOOKUP(B11,[3]总!$A:$B,2,FALSE)</f>
        <v>Wine Decanter</v>
      </c>
      <c r="I11" s="11">
        <v>7013990090</v>
      </c>
      <c r="J11" s="11">
        <v>70139900</v>
      </c>
      <c r="K11" s="13">
        <f t="shared" si="5"/>
        <v>32</v>
      </c>
      <c r="L11" s="14">
        <f>VLOOKUP(B11,[2]TSP!$A:$M,13,FALSE)</f>
        <v>6.6</v>
      </c>
      <c r="M11" s="15">
        <v>0.119952</v>
      </c>
      <c r="N11" s="7">
        <f t="shared" si="0"/>
        <v>0.479808</v>
      </c>
      <c r="O11" s="4">
        <v>8</v>
      </c>
      <c r="P11" s="16">
        <v>4</v>
      </c>
      <c r="Q11" s="4">
        <f t="shared" si="1"/>
        <v>26.4</v>
      </c>
      <c r="R11" s="3">
        <f t="shared" si="2"/>
        <v>16.84387416868</v>
      </c>
      <c r="S11" s="3">
        <f t="shared" si="4"/>
        <v>25.6587054688179</v>
      </c>
      <c r="T11" s="3">
        <f t="shared" si="3"/>
        <v>42.5025796374978</v>
      </c>
      <c r="U11" s="3" t="s">
        <v>53</v>
      </c>
    </row>
    <row r="12" ht="16.5" spans="1:21">
      <c r="A12" s="28"/>
      <c r="B12" s="29"/>
      <c r="C12" s="30"/>
      <c r="D12" s="30"/>
      <c r="E12" s="30"/>
      <c r="F12" s="30"/>
      <c r="G12" s="30"/>
      <c r="H12" s="31"/>
      <c r="I12" s="31"/>
      <c r="J12" s="32"/>
      <c r="K12" s="28">
        <f t="shared" ref="K12:Q12" si="6">SUM(K2:K11)</f>
        <v>1532</v>
      </c>
      <c r="L12" s="33"/>
      <c r="M12" s="28"/>
      <c r="N12" s="34">
        <f t="shared" si="6"/>
        <v>14.426572</v>
      </c>
      <c r="O12" s="28"/>
      <c r="P12" s="28">
        <f t="shared" si="6"/>
        <v>237</v>
      </c>
      <c r="Q12" s="28">
        <f t="shared" si="6"/>
        <v>2251.2</v>
      </c>
    </row>
    <row r="13" ht="16.5" spans="1:21">
      <c r="A13" s="35"/>
      <c r="B13" s="36" t="s">
        <v>54</v>
      </c>
      <c r="C13" s="37" t="s">
        <v>55</v>
      </c>
      <c r="D13" s="38">
        <v>37</v>
      </c>
      <c r="E13" s="39"/>
      <c r="F13" s="40" t="s">
        <v>56</v>
      </c>
      <c r="G13" s="41" t="s">
        <v>57</v>
      </c>
      <c r="H13" s="11" t="str">
        <f>VLOOKUP(B13,[3]总!$A:$B,2,FALSE)</f>
        <v>Artificial Plants Backdrop</v>
      </c>
      <c r="I13" s="11">
        <v>6702100000</v>
      </c>
      <c r="J13" s="11">
        <v>67021000</v>
      </c>
      <c r="K13" s="37">
        <v>230</v>
      </c>
      <c r="L13" s="37">
        <f>VLOOKUP(B13,[2]TSP!$A:$M,13,FALSE)</f>
        <v>8</v>
      </c>
      <c r="M13" s="37">
        <f>VLOOKUP(B13,[1]TSP!$1:$1048576,14,FALSE)</f>
        <v>0.10812</v>
      </c>
      <c r="N13" s="42">
        <f t="shared" ref="N13:N21" si="7">M13*P13</f>
        <v>24.8676</v>
      </c>
      <c r="O13" s="37">
        <f>VLOOKUP(B13,[1]TSP!$1:$1048576,15,FALSE)</f>
        <v>1</v>
      </c>
      <c r="P13" s="37">
        <f t="shared" ref="P13:P21" si="8">K13/O13</f>
        <v>230</v>
      </c>
      <c r="Q13" s="37">
        <f t="shared" ref="Q13:Q21" si="9">P13*L13</f>
        <v>1840</v>
      </c>
      <c r="R13" s="3">
        <f>17774/71.11*N13/7.12</f>
        <v>872.988206276397</v>
      </c>
      <c r="S13" s="3">
        <f>27075.59/71.11*N13/7.12</f>
        <v>1329.84532170446</v>
      </c>
      <c r="T13" s="3">
        <f>(S13+R13)/K13</f>
        <v>9.57753707817766</v>
      </c>
    </row>
    <row r="14" ht="16.5" spans="1:21">
      <c r="A14" s="35"/>
      <c r="B14" s="43" t="s">
        <v>58</v>
      </c>
      <c r="C14" s="37"/>
      <c r="D14" s="44"/>
      <c r="E14" s="45"/>
      <c r="F14" s="44"/>
      <c r="G14" s="41" t="s">
        <v>59</v>
      </c>
      <c r="H14" s="11" t="str">
        <f>VLOOKUP(B14,[3]总!$A:$B,2,FALSE)</f>
        <v>Glass Jar</v>
      </c>
      <c r="I14" s="11">
        <v>7010901000</v>
      </c>
      <c r="J14" s="11">
        <v>70109010</v>
      </c>
      <c r="K14" s="35">
        <v>240</v>
      </c>
      <c r="L14" s="37">
        <f>VLOOKUP(B14,[2]TSP!$A:$M,13,FALSE)</f>
        <v>12.2</v>
      </c>
      <c r="M14" s="37">
        <f>VLOOKUP(B14,[1]TSP!$1:$1048576,14,FALSE)</f>
        <v>0.076608</v>
      </c>
      <c r="N14" s="42">
        <f t="shared" si="7"/>
        <v>3.06432</v>
      </c>
      <c r="O14" s="37">
        <f>VLOOKUP(B14,[1]TSP!$1:$1048576,15,FALSE)</f>
        <v>6</v>
      </c>
      <c r="P14" s="37">
        <f t="shared" si="8"/>
        <v>40</v>
      </c>
      <c r="Q14" s="37">
        <f t="shared" si="9"/>
        <v>488</v>
      </c>
      <c r="R14" s="3">
        <f t="shared" ref="R13:R21" si="10">17774/71.11*N14/7.12</f>
        <v>107.574322421822</v>
      </c>
      <c r="S14" s="3">
        <f t="shared" ref="S13:S21" si="11">27075.59/71.11*N14/7.12</f>
        <v>163.870724002534</v>
      </c>
      <c r="T14" s="3">
        <f t="shared" ref="T14:T21" si="12">(S14+R14)/K14</f>
        <v>1.13102102676815</v>
      </c>
    </row>
    <row r="15" ht="16.5" spans="1:21">
      <c r="A15" s="35"/>
      <c r="B15" s="43" t="s">
        <v>60</v>
      </c>
      <c r="C15" s="37"/>
      <c r="D15" s="44"/>
      <c r="E15" s="45"/>
      <c r="F15" s="44"/>
      <c r="G15" s="41" t="s">
        <v>61</v>
      </c>
      <c r="H15" s="11" t="str">
        <f>VLOOKUP(B15,[3]总!$A:$B,2,FALSE)</f>
        <v>Stainless Steel Utensil Set</v>
      </c>
      <c r="I15" s="11">
        <v>8215201000</v>
      </c>
      <c r="J15" s="11">
        <v>82152010</v>
      </c>
      <c r="K15" s="35">
        <v>360</v>
      </c>
      <c r="L15" s="37">
        <f>VLOOKUP(B15,[2]TSP!$A:$M,13,FALSE)</f>
        <v>16</v>
      </c>
      <c r="M15" s="37">
        <f>VLOOKUP(B15,[1]TSP!$1:$1048576,14,FALSE)</f>
        <v>0.078925</v>
      </c>
      <c r="N15" s="42">
        <f t="shared" si="7"/>
        <v>2.36775</v>
      </c>
      <c r="O15" s="37">
        <f>VLOOKUP(B15,[1]TSP!$1:$1048576,15,FALSE)</f>
        <v>12</v>
      </c>
      <c r="P15" s="37">
        <f t="shared" si="8"/>
        <v>30</v>
      </c>
      <c r="Q15" s="37">
        <f t="shared" si="9"/>
        <v>480</v>
      </c>
      <c r="R15" s="3">
        <f t="shared" si="10"/>
        <v>83.1209214162581</v>
      </c>
      <c r="S15" s="3">
        <f t="shared" si="11"/>
        <v>126.620231162868</v>
      </c>
      <c r="T15" s="3">
        <f t="shared" si="12"/>
        <v>0.582614312719796</v>
      </c>
    </row>
    <row r="16" ht="16.5" spans="1:21">
      <c r="A16" s="35"/>
      <c r="B16" s="46" t="s">
        <v>39</v>
      </c>
      <c r="C16" s="37"/>
      <c r="D16" s="44"/>
      <c r="E16" s="45"/>
      <c r="F16" s="44"/>
      <c r="G16" s="41" t="s">
        <v>42</v>
      </c>
      <c r="H16" s="11" t="str">
        <f>VLOOKUP(B16,[3]总!$A:$B,2,FALSE)</f>
        <v>Ping Pong Paddle</v>
      </c>
      <c r="I16" s="11">
        <v>9506400000</v>
      </c>
      <c r="J16" s="11">
        <v>95064000</v>
      </c>
      <c r="K16" s="37">
        <v>400</v>
      </c>
      <c r="L16" s="37">
        <f>VLOOKUP(B16,[2]TSP!$A:$M,13,FALSE)</f>
        <v>14.6</v>
      </c>
      <c r="M16" s="37">
        <f>VLOOKUP(B16,[1]TSP!$1:$1048576,14,FALSE)</f>
        <v>0.085644</v>
      </c>
      <c r="N16" s="42">
        <f t="shared" si="7"/>
        <v>3.42576</v>
      </c>
      <c r="O16" s="37">
        <f>VLOOKUP(B16,[1]TSP!$1:$1048576,15,FALSE)</f>
        <v>10</v>
      </c>
      <c r="P16" s="37">
        <f t="shared" si="8"/>
        <v>40</v>
      </c>
      <c r="Q16" s="37">
        <f t="shared" si="9"/>
        <v>584</v>
      </c>
      <c r="R16" s="3">
        <f t="shared" si="10"/>
        <v>120.262835075899</v>
      </c>
      <c r="S16" s="3">
        <f t="shared" si="11"/>
        <v>183.199460715239</v>
      </c>
      <c r="T16" s="3">
        <f t="shared" si="12"/>
        <v>0.758655739477846</v>
      </c>
    </row>
    <row r="17" ht="16.5" spans="1:20">
      <c r="A17" s="35"/>
      <c r="B17" s="43" t="s">
        <v>62</v>
      </c>
      <c r="C17" s="37"/>
      <c r="D17" s="44"/>
      <c r="E17" s="45"/>
      <c r="F17" s="44"/>
      <c r="G17" s="41" t="s">
        <v>63</v>
      </c>
      <c r="H17" s="11" t="str">
        <f>VLOOKUP(B17,[3]总!$A:$B,2,FALSE)</f>
        <v>Exercise Ball</v>
      </c>
      <c r="I17" s="11">
        <v>9506919000</v>
      </c>
      <c r="J17" s="11">
        <v>95069190</v>
      </c>
      <c r="K17" s="37">
        <v>300</v>
      </c>
      <c r="L17" s="37">
        <f>VLOOKUP(B17,[2]TSP!$A:$M,13,FALSE)</f>
        <v>13.9</v>
      </c>
      <c r="M17" s="37">
        <f>VLOOKUP(B17,[1]TSP!$1:$1048576,14,FALSE)</f>
        <v>0.073216</v>
      </c>
      <c r="N17" s="42">
        <f t="shared" si="7"/>
        <v>2.19648</v>
      </c>
      <c r="O17" s="37">
        <f>VLOOKUP(B17,[1]TSP!$1:$1048576,15,FALSE)</f>
        <v>10</v>
      </c>
      <c r="P17" s="37">
        <f t="shared" si="8"/>
        <v>30</v>
      </c>
      <c r="Q17" s="37">
        <f t="shared" si="9"/>
        <v>417</v>
      </c>
      <c r="R17" s="3">
        <f t="shared" si="10"/>
        <v>77.1084115605037</v>
      </c>
      <c r="S17" s="3">
        <f t="shared" si="11"/>
        <v>117.461220713596</v>
      </c>
      <c r="T17" s="3">
        <f t="shared" si="12"/>
        <v>0.648565440913666</v>
      </c>
    </row>
    <row r="18" ht="16.5" spans="1:20">
      <c r="A18" s="35"/>
      <c r="B18" s="43" t="s">
        <v>64</v>
      </c>
      <c r="C18" s="37"/>
      <c r="D18" s="44"/>
      <c r="E18" s="45"/>
      <c r="F18" s="44"/>
      <c r="G18" s="41" t="s">
        <v>65</v>
      </c>
      <c r="H18" s="11" t="str">
        <f>VLOOKUP(B18,[3]总!$A:$B,2,FALSE)</f>
        <v>Outdoor Projector</v>
      </c>
      <c r="I18" s="11">
        <v>9010600000</v>
      </c>
      <c r="J18" s="11">
        <v>90106000</v>
      </c>
      <c r="K18" s="37">
        <v>90</v>
      </c>
      <c r="L18" s="37">
        <f>VLOOKUP(B18,[2]TSP!$A:$M,13,FALSE)</f>
        <v>18.3</v>
      </c>
      <c r="M18" s="37">
        <f>VLOOKUP(B18,[1]TSP!$1:$1048576,14,FALSE)</f>
        <v>0.11316</v>
      </c>
      <c r="N18" s="42">
        <f t="shared" si="7"/>
        <v>10.1844</v>
      </c>
      <c r="O18" s="37">
        <f>VLOOKUP(B18,[1]TSP!$1:$1048576,15,FALSE)</f>
        <v>1</v>
      </c>
      <c r="P18" s="37">
        <f t="shared" si="8"/>
        <v>90</v>
      </c>
      <c r="Q18" s="37">
        <f t="shared" si="9"/>
        <v>1647</v>
      </c>
      <c r="R18" s="3">
        <f t="shared" si="10"/>
        <v>357.527911338502</v>
      </c>
      <c r="S18" s="3">
        <f t="shared" si="11"/>
        <v>544.631435858987</v>
      </c>
      <c r="T18" s="3">
        <f t="shared" si="12"/>
        <v>10.0239927466388</v>
      </c>
    </row>
    <row r="19" ht="16.5" spans="1:20">
      <c r="A19" s="35"/>
      <c r="B19" s="43" t="s">
        <v>66</v>
      </c>
      <c r="C19" s="37"/>
      <c r="D19" s="44"/>
      <c r="E19" s="45"/>
      <c r="F19" s="44"/>
      <c r="G19" s="41" t="s">
        <v>67</v>
      </c>
      <c r="H19" s="11" t="str">
        <f>VLOOKUP(B19,[3]总!$A:$B,2,FALSE)</f>
        <v>Cabinet Locks</v>
      </c>
      <c r="I19" s="11">
        <v>8301409000</v>
      </c>
      <c r="J19" s="11">
        <v>83014090</v>
      </c>
      <c r="K19" s="35">
        <v>90</v>
      </c>
      <c r="L19" s="37">
        <f>VLOOKUP(B19,[2]TSP!$A:$M,13,FALSE)</f>
        <v>17.4</v>
      </c>
      <c r="M19" s="37">
        <f>VLOOKUP(B19,[1]TSP!$1:$1048576,14,FALSE)</f>
        <v>0.059895</v>
      </c>
      <c r="N19" s="42">
        <f t="shared" si="7"/>
        <v>0.179685</v>
      </c>
      <c r="O19" s="37">
        <f>VLOOKUP(B19,[1]TSP!$1:$1048576,15,FALSE)</f>
        <v>30</v>
      </c>
      <c r="P19" s="37">
        <f t="shared" si="8"/>
        <v>3</v>
      </c>
      <c r="Q19" s="37">
        <f t="shared" si="9"/>
        <v>52.2</v>
      </c>
      <c r="R19" s="3">
        <f t="shared" si="10"/>
        <v>6.30792218970767</v>
      </c>
      <c r="S19" s="3">
        <f t="shared" si="11"/>
        <v>9.60901963319608</v>
      </c>
      <c r="T19" s="3">
        <f t="shared" si="12"/>
        <v>0.176854909143375</v>
      </c>
    </row>
    <row r="20" ht="16.5" spans="1:20">
      <c r="A20" s="35"/>
      <c r="B20" s="43" t="s">
        <v>68</v>
      </c>
      <c r="C20" s="37"/>
      <c r="D20" s="44"/>
      <c r="E20" s="45"/>
      <c r="F20" s="44"/>
      <c r="G20" s="41" t="s">
        <v>69</v>
      </c>
      <c r="H20" s="11" t="str">
        <f>VLOOKUP(B20,[3]总!$A:$B,2,FALSE)</f>
        <v>Foldable Garden Chair</v>
      </c>
      <c r="I20" s="11">
        <v>9401690000</v>
      </c>
      <c r="J20" s="11">
        <v>94016900</v>
      </c>
      <c r="K20" s="35">
        <v>70</v>
      </c>
      <c r="L20" s="37">
        <f>VLOOKUP(B20,[2]TSP!$A:$M,13,FALSE)</f>
        <v>14</v>
      </c>
      <c r="M20" s="37">
        <f>VLOOKUP(B20,[1]TSP!$1:$1048576,14,FALSE)</f>
        <v>0.12096</v>
      </c>
      <c r="N20" s="42">
        <f t="shared" si="7"/>
        <v>8.4672</v>
      </c>
      <c r="O20" s="37">
        <f>VLOOKUP(B20,[1]TSP!$1:$1048576,15,FALSE)</f>
        <v>1</v>
      </c>
      <c r="P20" s="37">
        <f t="shared" si="8"/>
        <v>70</v>
      </c>
      <c r="Q20" s="37">
        <f t="shared" si="9"/>
        <v>980</v>
      </c>
      <c r="R20" s="3">
        <f t="shared" si="10"/>
        <v>297.244838270823</v>
      </c>
      <c r="S20" s="3">
        <f t="shared" si="11"/>
        <v>452.800684743845</v>
      </c>
      <c r="T20" s="3">
        <f t="shared" si="12"/>
        <v>10.7149360430667</v>
      </c>
    </row>
    <row r="21" ht="34" customHeight="1" spans="1:20">
      <c r="A21" s="35"/>
      <c r="B21" s="47" t="s">
        <v>20</v>
      </c>
      <c r="C21" s="37"/>
      <c r="D21" s="48"/>
      <c r="E21" s="49"/>
      <c r="F21" s="48"/>
      <c r="G21" s="41" t="s">
        <v>32</v>
      </c>
      <c r="H21" s="11" t="str">
        <f>VLOOKUP(B21,[3]总!$A:$B,2,FALSE)</f>
        <v>Hangers</v>
      </c>
      <c r="I21" s="11">
        <v>4421100000</v>
      </c>
      <c r="J21" s="11">
        <v>44211000</v>
      </c>
      <c r="K21" s="35">
        <v>100</v>
      </c>
      <c r="L21" s="37">
        <f>VLOOKUP(B21,[2]TSP!$A:$M,13,FALSE)</f>
        <v>7.8</v>
      </c>
      <c r="M21" s="37">
        <f>VLOOKUP(B21,[1]TSP!$1:$1048576,14,FALSE)</f>
        <v>0.077112</v>
      </c>
      <c r="N21" s="42">
        <f t="shared" si="7"/>
        <v>1.9278</v>
      </c>
      <c r="O21" s="37">
        <f>VLOOKUP(B21,[1]TSP!$1:$1048576,15,FALSE)</f>
        <v>4</v>
      </c>
      <c r="P21" s="37">
        <f t="shared" si="8"/>
        <v>25</v>
      </c>
      <c r="Q21" s="37">
        <f t="shared" si="9"/>
        <v>195</v>
      </c>
      <c r="R21" s="3">
        <f t="shared" si="10"/>
        <v>67.6762801420177</v>
      </c>
      <c r="S21" s="3">
        <f t="shared" si="11"/>
        <v>103.093013044358</v>
      </c>
      <c r="T21" s="3">
        <f t="shared" si="12"/>
        <v>1.70769293186375</v>
      </c>
    </row>
    <row r="22" ht="16.5" spans="1:20">
      <c r="A22" s="35"/>
      <c r="B22" s="41"/>
      <c r="C22" s="41"/>
      <c r="D22" s="41"/>
      <c r="E22" s="41"/>
      <c r="F22" s="41"/>
      <c r="G22" s="41"/>
      <c r="H22" s="11"/>
      <c r="I22" s="11"/>
      <c r="J22" s="11"/>
      <c r="K22" s="35">
        <f t="shared" ref="K22:Q22" si="13">SUM(K13:K21)</f>
        <v>1880</v>
      </c>
      <c r="L22" s="35"/>
      <c r="M22" s="37"/>
      <c r="N22" s="50">
        <f t="shared" si="13"/>
        <v>56.680995</v>
      </c>
      <c r="O22" s="37"/>
      <c r="P22" s="35">
        <f t="shared" si="13"/>
        <v>558</v>
      </c>
      <c r="Q22" s="35">
        <f t="shared" si="13"/>
        <v>6683.2</v>
      </c>
      <c r="S22" s="3" t="s">
        <v>70</v>
      </c>
    </row>
    <row r="23" ht="16.5" spans="1:20">
      <c r="A23" s="35"/>
      <c r="B23" s="41"/>
      <c r="C23" s="41"/>
      <c r="D23" s="41"/>
      <c r="E23" s="41"/>
      <c r="F23" s="41"/>
      <c r="G23" s="41"/>
      <c r="H23" s="11"/>
      <c r="I23" s="11"/>
      <c r="J23" s="11"/>
      <c r="K23" s="37"/>
      <c r="L23" s="37"/>
      <c r="M23" s="37"/>
      <c r="N23" s="51"/>
      <c r="O23" s="37"/>
      <c r="P23" s="35"/>
      <c r="Q23" s="4"/>
    </row>
    <row r="24" ht="14.25" spans="1:20">
      <c r="A24" s="52" t="s">
        <v>71</v>
      </c>
      <c r="B24" s="53"/>
      <c r="C24" s="53"/>
      <c r="D24" s="53"/>
      <c r="E24" s="53"/>
      <c r="F24" s="53"/>
      <c r="G24" s="53"/>
      <c r="H24" s="53"/>
      <c r="I24" s="53"/>
      <c r="J24" s="54"/>
      <c r="K24" s="55">
        <f t="shared" ref="K24:Q24" si="14">K12+K22</f>
        <v>3412</v>
      </c>
      <c r="L24" s="55"/>
      <c r="M24" s="56"/>
      <c r="N24" s="57">
        <f>N12+N22</f>
        <v>71.107567</v>
      </c>
      <c r="O24" s="56"/>
      <c r="P24" s="55">
        <f t="shared" si="14"/>
        <v>795</v>
      </c>
      <c r="Q24" s="55">
        <f t="shared" si="14"/>
        <v>8934.4</v>
      </c>
    </row>
    <row r="28" spans="1:20">
      <c r="F28" s="2" t="s">
        <v>72</v>
      </c>
      <c r="H28" s="2">
        <v>1.3056</v>
      </c>
    </row>
    <row r="29" spans="1:20">
      <c r="F29" s="2" t="s">
        <v>73</v>
      </c>
      <c r="H29" s="2">
        <f>1.7088*4</f>
        <v>6.8352</v>
      </c>
    </row>
    <row r="30" spans="1:20">
      <c r="F30" s="2" t="s">
        <v>74</v>
      </c>
      <c r="H30" s="2">
        <f>1.056</f>
        <v>1.056</v>
      </c>
    </row>
    <row r="31" spans="1:20">
      <c r="F31" s="2" t="s">
        <v>75</v>
      </c>
      <c r="H31" s="2">
        <v>1.8816</v>
      </c>
    </row>
    <row r="32" spans="1:20">
      <c r="F32" s="2" t="s">
        <v>76</v>
      </c>
      <c r="H32" s="2">
        <f>1.7088*3</f>
        <v>5.1264</v>
      </c>
    </row>
    <row r="33" spans="6:8">
      <c r="F33" s="58">
        <f>1.2*0.8*1.04</f>
        <v>0.9984</v>
      </c>
      <c r="H33" s="2">
        <f>1.2*0.8*1.04</f>
        <v>0.9984</v>
      </c>
    </row>
    <row r="34" spans="6:8">
      <c r="F34" s="58">
        <f>1.2*0.8*1.95</f>
        <v>1.872</v>
      </c>
      <c r="H34" s="2">
        <f>1.2*0.8*1.95</f>
        <v>1.872</v>
      </c>
    </row>
    <row r="35" spans="6:8">
      <c r="F35" s="2" t="s">
        <v>77</v>
      </c>
      <c r="H35" s="2">
        <v>1.152</v>
      </c>
    </row>
    <row r="36" spans="6:8">
      <c r="F36" s="2" t="s">
        <v>78</v>
      </c>
      <c r="H36" s="2">
        <v>1.392</v>
      </c>
    </row>
    <row r="37" ht="15" customHeight="1" spans="6:8">
      <c r="F37" s="59" t="s">
        <v>79</v>
      </c>
      <c r="H37" s="2">
        <f>1.872*3</f>
        <v>5.616</v>
      </c>
    </row>
    <row r="38" spans="6:8">
      <c r="F38" s="2" t="s">
        <v>80</v>
      </c>
      <c r="H38" s="2">
        <f>1.8912*3</f>
        <v>5.6736</v>
      </c>
    </row>
    <row r="39" spans="6:8">
      <c r="F39" s="2" t="s">
        <v>81</v>
      </c>
      <c r="H39" s="2">
        <f>1.9968*3</f>
        <v>5.9904</v>
      </c>
    </row>
    <row r="40" spans="6:8">
      <c r="F40" s="2" t="s">
        <v>82</v>
      </c>
      <c r="H40" s="2">
        <f>2.016*3</f>
        <v>6.048</v>
      </c>
    </row>
    <row r="41" spans="6:8">
      <c r="F41" s="2" t="s">
        <v>83</v>
      </c>
      <c r="H41" s="2">
        <f>1.9872*3</f>
        <v>5.9616</v>
      </c>
    </row>
    <row r="42" spans="6:8">
      <c r="F42" s="2" t="s">
        <v>84</v>
      </c>
      <c r="H42" s="2">
        <f>1.9968*3</f>
        <v>5.9904</v>
      </c>
    </row>
    <row r="43" spans="6:8">
      <c r="F43" s="2" t="s">
        <v>85</v>
      </c>
      <c r="H43" s="2">
        <f>1.9584*6</f>
        <v>11.7504</v>
      </c>
    </row>
    <row r="44" spans="6:8">
      <c r="F44" s="2" t="s">
        <v>86</v>
      </c>
      <c r="H44" s="2">
        <f>1.9776*3</f>
        <v>5.9328</v>
      </c>
    </row>
    <row r="45" spans="6:8">
      <c r="F45" s="2" t="s">
        <v>87</v>
      </c>
      <c r="H45" s="2">
        <f>1.9584*9</f>
        <v>17.6256</v>
      </c>
    </row>
    <row r="46" spans="6:8">
      <c r="F46" s="2" t="s">
        <v>88</v>
      </c>
      <c r="H46" s="2">
        <v>1.9968</v>
      </c>
    </row>
  </sheetData>
  <mergeCells count="15">
    <mergeCell ref="A24:J24"/>
    <mergeCell ref="A3:A5"/>
    <mergeCell ref="A6:A7"/>
    <mergeCell ref="A8:A11"/>
    <mergeCell ref="C2:C5"/>
    <mergeCell ref="C7:C11"/>
    <mergeCell ref="C13:C21"/>
    <mergeCell ref="D3:D5"/>
    <mergeCell ref="D8:D11"/>
    <mergeCell ref="D13:D21"/>
    <mergeCell ref="E3:E5"/>
    <mergeCell ref="E8:E11"/>
    <mergeCell ref="F3:F5"/>
    <mergeCell ref="F8:F11"/>
    <mergeCell ref="F13:F2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zoe\WPS%20Cloud%20Files\.895375681\cachedata\66130327CBF44397B2DFFF62D3ACF377\各仓库产品数据.xlsx" FileId="435029259297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Zhao</dc:creator>
  <cp:lastModifiedBy>蓓蓓</cp:lastModifiedBy>
  <dcterms:created xsi:type="dcterms:W3CDTF">2023-05-12T11:15:00Z</dcterms:created>
  <dcterms:modified xsi:type="dcterms:W3CDTF">2025-12-17T09:32:08Z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B704FD324CA2442795CAA1AC0907EE9D_13</vt:lpwstr>
  </property>
  <property fmtid="{D5CDD505-2E9C-101B-9397-08002B2CF9AE}" pid="4" name="CalculationRule">
    <vt:i4>0</vt:i4>
  </property>
</Properties>
</file>