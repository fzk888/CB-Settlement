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535" activeTab="2"/>
  </bookViews>
  <sheets>
    <sheet name="总计" sheetId="4" r:id="rId1"/>
    <sheet name="入库费用" sheetId="1" r:id="rId2"/>
    <sheet name="订单出库费用" sheetId="5" r:id="rId3"/>
    <sheet name="FBA包裹出库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<sst xmlns="http://schemas.openxmlformats.org/spreadsheetml/2006/main" count="59" uniqueCount="49">
  <si>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开票费用明细：HUP-Hupper</t>
  </si>
  <si>
    <t>（2024年9月1日 ~ 9月30日）</t>
  </si>
  <si>
    <t>类别</t>
  </si>
  <si>
    <t>Bezeichnung</t>
  </si>
  <si>
    <t>金额</t>
  </si>
  <si>
    <t>备注</t>
  </si>
  <si>
    <t>入库费用</t>
  </si>
  <si>
    <t>EINGANG</t>
  </si>
  <si>
    <t>出库费用</t>
  </si>
  <si>
    <t>AUSGANG</t>
  </si>
  <si>
    <t>不含税费用合计</t>
  </si>
  <si>
    <t>Netto</t>
  </si>
  <si>
    <t>增值税</t>
  </si>
  <si>
    <t>Umsatzsteuer 19%</t>
  </si>
  <si>
    <t>账单金额</t>
  </si>
  <si>
    <t>Rechnungsbetrag</t>
  </si>
  <si>
    <t>日期</t>
  </si>
  <si>
    <t>入库单号</t>
  </si>
  <si>
    <t>SKU数量</t>
  </si>
  <si>
    <t>SKU种类费</t>
  </si>
  <si>
    <t>SKU确认费</t>
  </si>
  <si>
    <t>货物数量</t>
  </si>
  <si>
    <t>分拣费</t>
  </si>
  <si>
    <t>物流费</t>
  </si>
  <si>
    <t>总计</t>
  </si>
  <si>
    <t>RVHUP-240913-0001</t>
  </si>
  <si>
    <t>RVHUP-240918-0001</t>
  </si>
  <si>
    <t>Total</t>
  </si>
  <si>
    <t>订单号</t>
  </si>
  <si>
    <t>包裹数量</t>
  </si>
  <si>
    <t>内件数量</t>
  </si>
  <si>
    <t>包裹操作费</t>
  </si>
  <si>
    <t>DPD物流费</t>
  </si>
  <si>
    <t>HUP-240930-0002</t>
  </si>
  <si>
    <t>HUP-240927-0004</t>
  </si>
  <si>
    <t>HUP-240927-0003</t>
  </si>
  <si>
    <t>HUP-240927-0005</t>
  </si>
  <si>
    <t>HUP-240930-0001</t>
  </si>
  <si>
    <t>HUP-240927-0002</t>
  </si>
  <si>
    <t>HUP-240927-0001</t>
  </si>
  <si>
    <t>HUP-240923-0003</t>
  </si>
  <si>
    <t>HUP-240923-0004</t>
  </si>
  <si>
    <t>订单费</t>
  </si>
  <si>
    <t>开合箱操作费</t>
  </si>
  <si>
    <t>贴标数量</t>
  </si>
  <si>
    <t>贴标费</t>
  </si>
  <si>
    <t>FD-HUP-240918-0001</t>
  </si>
  <si>
    <t>FD-HUP-240919-0001</t>
  </si>
  <si>
    <t>FD-HUP-240919-0003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</si>
</sst>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&quot;€&quot;_-;\-* #,##0.00\ &quot;€&quot;_-;_-* &quot;-&quot;??\ &quot;€&quot;_-;_-@_-"/>
    <numFmt numFmtId="177" formatCode="#,##0.00\ &quot;€&quot;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name val="Arial"/>
      <charset val="134"/>
    </font>
    <font>
      <sz val="12"/>
      <name val="Arial"/>
      <charset val="134"/>
    </font>
    <font>
      <b/>
      <sz val="11"/>
      <name val="Arial"/>
      <charset val="1"/>
    </font>
    <font>
      <sz val="11"/>
      <name val="Arial"/>
      <charset val="1"/>
    </font>
    <font>
      <b/>
      <u/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7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Border="1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7" fontId="7" fillId="0" borderId="9" xfId="0" applyNumberFormat="1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77" fontId="8" fillId="0" borderId="13" xfId="0" applyNumberFormat="1" applyFont="1" applyFill="1" applyBorder="1" applyAlignment="1">
      <alignment horizontal="right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4" sqref="C14"/>
    </sheetView>
  </sheetViews>
  <sheetFormatPr defaultColWidth="9" defaultRowHeight="24.95" customHeight="1" outlineLevelCol="3"/>
  <cols>
    <col min="1" max="1" width="27.425" customWidth="1"/>
    <col min="2" max="2" width="37.2833333333333" customWidth="1"/>
    <col min="3" max="3" width="25" customWidth="1"/>
    <col min="4" max="4" width="20.7083333333333" customWidth="1"/>
  </cols>
  <sheetData>
    <row r="1" s="12" customFormat="1" ht="41.25" customHeight="1" spans="1:4">
      <c r="A1" s="15" t="s">
        <v>0</v>
      </c>
      <c r="B1" s="15"/>
      <c r="C1" s="15"/>
      <c r="D1" s="15"/>
    </row>
    <row r="2" s="12" customFormat="1" customHeight="1" spans="1:4">
      <c r="A2" s="16" t="s">
        <v>1</v>
      </c>
      <c r="B2" s="16"/>
      <c r="C2" s="16"/>
      <c r="D2" s="16"/>
    </row>
    <row r="3" s="13" customFormat="1" customHeight="1" spans="1:4">
      <c r="A3" s="17" t="s">
        <v>2</v>
      </c>
      <c r="B3" s="18" t="s">
        <v>3</v>
      </c>
      <c r="C3" s="19" t="s">
        <v>4</v>
      </c>
      <c r="D3" s="20" t="s">
        <v>5</v>
      </c>
    </row>
    <row r="4" customHeight="1" spans="1:4">
      <c r="A4" s="21" t="s">
        <v>6</v>
      </c>
      <c r="B4" s="22" t="s">
        <v>7</v>
      </c>
      <c r="C4" s="23">
        <f>入库费用!J5</f>
        <v>2100.4</v>
      </c>
      <c r="D4" s="24"/>
    </row>
    <row r="5" customHeight="1" spans="1:4">
      <c r="A5" s="21" t="s">
        <v>8</v>
      </c>
      <c r="B5" s="22" t="s">
        <v>9</v>
      </c>
      <c r="C5" s="23">
        <f>订单出库费用!F12+FBA包裹出库!J6</f>
        <v>4389.3</v>
      </c>
      <c r="D5" s="24"/>
    </row>
    <row r="6" customHeight="1" spans="1:4">
      <c r="A6" s="21" t="s">
        <v>10</v>
      </c>
      <c r="B6" s="22" t="s">
        <v>11</v>
      </c>
      <c r="C6" s="23">
        <f>SUM(C4:C5)</f>
        <v>6489.7</v>
      </c>
      <c r="D6" s="25"/>
    </row>
    <row r="7" customHeight="1" spans="1:4">
      <c r="A7" s="21" t="s">
        <v>12</v>
      </c>
      <c r="B7" s="22" t="s">
        <v>13</v>
      </c>
      <c r="C7" s="23">
        <v>0</v>
      </c>
      <c r="D7" s="25"/>
    </row>
    <row r="8" customHeight="1" spans="1:4">
      <c r="A8" s="26" t="s">
        <v>14</v>
      </c>
      <c r="B8" s="27" t="s">
        <v>15</v>
      </c>
      <c r="C8" s="28">
        <f>SUM(C6:C7)</f>
        <v>6489.7</v>
      </c>
      <c r="D8" s="29"/>
    </row>
    <row r="9" s="14" customFormat="1" customHeight="1" spans="1:2">
      <c r="A9" s="30"/>
      <c r="B9" s="31"/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J5" sqref="J5"/>
    </sheetView>
  </sheetViews>
  <sheetFormatPr defaultColWidth="15.7083333333333" defaultRowHeight="24.95" customHeight="1" outlineLevelRow="4"/>
  <cols>
    <col min="1" max="1" width="15.7083333333333" style="1"/>
    <col min="2" max="2" width="25.7083333333333" style="1" customWidth="1"/>
    <col min="3" max="6" width="14.1416666666667" style="1" customWidth="1"/>
    <col min="7" max="16384" width="15.7083333333333" style="1"/>
  </cols>
  <sheetData>
    <row r="1" customHeight="1" spans="1:10">
      <c r="A1" s="1" t="s">
        <v>16</v>
      </c>
      <c r="B1" s="1" t="s">
        <v>17</v>
      </c>
      <c r="C1" s="1" t="s">
        <v>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customHeight="1" spans="1:10">
      <c r="A2" s="8">
        <v>45548</v>
      </c>
      <c r="B2" s="1" t="s">
        <v>25</v>
      </c>
      <c r="C2" s="1">
        <v>350</v>
      </c>
      <c r="D2" s="1">
        <v>109</v>
      </c>
      <c r="E2" s="1">
        <f>(109-5)*5</f>
        <v>520</v>
      </c>
      <c r="F2" s="1">
        <f>6*D2</f>
        <v>654</v>
      </c>
      <c r="G2" s="1">
        <f>294+338</f>
        <v>632</v>
      </c>
      <c r="H2" s="1">
        <f>G2*0.2</f>
        <v>126.4</v>
      </c>
      <c r="I2" s="1">
        <v>450</v>
      </c>
      <c r="J2" s="1">
        <f>I2+H2+F2+E2+C2</f>
        <v>2100.4</v>
      </c>
    </row>
    <row r="3" customHeight="1" spans="1:8">
      <c r="A3" s="8">
        <v>45522</v>
      </c>
      <c r="B3" s="1" t="s">
        <v>26</v>
      </c>
      <c r="H3" s="9"/>
    </row>
    <row r="4" customHeight="1" spans="8:9">
      <c r="H4" s="10"/>
      <c r="I4" s="11"/>
    </row>
    <row r="5" customHeight="1" spans="9:10">
      <c r="I5" s="4" t="s">
        <v>27</v>
      </c>
      <c r="J5" s="5">
        <f>SUM(J2:J4)</f>
        <v>2100.4</v>
      </c>
    </row>
  </sheetData>
  <mergeCells count="8"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A2" sqref="A2:A10"/>
    </sheetView>
  </sheetViews>
  <sheetFormatPr defaultColWidth="15.7083333333333" defaultRowHeight="24.95" customHeight="1" outlineLevelCol="5"/>
  <cols>
    <col min="1" max="1" width="27" style="1" customWidth="1"/>
    <col min="2" max="16384" width="15.7083333333333" style="1"/>
  </cols>
  <sheetData>
    <row r="1" customHeight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24</v>
      </c>
    </row>
    <row r="2" customHeight="1" spans="1:6">
      <c r="A2" s="6" t="s">
        <v>33</v>
      </c>
      <c r="B2" s="1">
        <v>1</v>
      </c>
      <c r="C2" s="1">
        <v>2</v>
      </c>
      <c r="D2" s="1">
        <v>2</v>
      </c>
      <c r="E2" s="7">
        <v>4.5</v>
      </c>
      <c r="F2" s="7">
        <f>D2+E2</f>
        <v>6.5</v>
      </c>
    </row>
    <row r="3" customHeight="1" spans="1:6">
      <c r="A3" s="6" t="s">
        <v>34</v>
      </c>
      <c r="B3" s="1">
        <v>1</v>
      </c>
      <c r="C3" s="1">
        <v>1</v>
      </c>
      <c r="D3" s="1">
        <v>1</v>
      </c>
      <c r="E3" s="7">
        <v>4.5</v>
      </c>
      <c r="F3" s="7">
        <f t="shared" ref="F3:F10" si="0">D3+E3</f>
        <v>5.5</v>
      </c>
    </row>
    <row r="4" customHeight="1" spans="1:6">
      <c r="A4" s="6" t="s">
        <v>35</v>
      </c>
      <c r="B4" s="1">
        <v>1</v>
      </c>
      <c r="C4" s="1">
        <v>1</v>
      </c>
      <c r="D4" s="1">
        <v>1</v>
      </c>
      <c r="E4" s="7">
        <v>4.5</v>
      </c>
      <c r="F4" s="7">
        <f t="shared" si="0"/>
        <v>5.5</v>
      </c>
    </row>
    <row r="5" customHeight="1" spans="1:6">
      <c r="A5" s="6" t="s">
        <v>36</v>
      </c>
      <c r="B5" s="1">
        <v>1</v>
      </c>
      <c r="C5" s="1">
        <v>1</v>
      </c>
      <c r="D5" s="1">
        <v>1</v>
      </c>
      <c r="E5" s="7">
        <v>4.5</v>
      </c>
      <c r="F5" s="7">
        <f t="shared" si="0"/>
        <v>5.5</v>
      </c>
    </row>
    <row r="6" customHeight="1" spans="1:6">
      <c r="A6" s="6" t="s">
        <v>37</v>
      </c>
      <c r="B6" s="1">
        <v>1</v>
      </c>
      <c r="C6" s="1">
        <v>1</v>
      </c>
      <c r="D6" s="1">
        <v>1</v>
      </c>
      <c r="E6" s="7">
        <v>4.5</v>
      </c>
      <c r="F6" s="7">
        <f t="shared" si="0"/>
        <v>5.5</v>
      </c>
    </row>
    <row r="7" customHeight="1" spans="1:6">
      <c r="A7" s="6" t="s">
        <v>38</v>
      </c>
      <c r="B7" s="1">
        <v>1</v>
      </c>
      <c r="C7" s="1">
        <v>1</v>
      </c>
      <c r="D7" s="1">
        <v>1</v>
      </c>
      <c r="E7" s="7">
        <v>4.5</v>
      </c>
      <c r="F7" s="7">
        <f t="shared" si="0"/>
        <v>5.5</v>
      </c>
    </row>
    <row r="8" customHeight="1" spans="1:6">
      <c r="A8" s="6" t="s">
        <v>39</v>
      </c>
      <c r="B8" s="1">
        <v>1</v>
      </c>
      <c r="C8" s="1">
        <v>1</v>
      </c>
      <c r="D8" s="1">
        <v>1</v>
      </c>
      <c r="E8" s="7">
        <v>4.5</v>
      </c>
      <c r="F8" s="7">
        <f t="shared" si="0"/>
        <v>5.5</v>
      </c>
    </row>
    <row r="9" customHeight="1" spans="1:6">
      <c r="A9" s="6" t="s">
        <v>40</v>
      </c>
      <c r="B9" s="1">
        <v>1</v>
      </c>
      <c r="C9" s="1">
        <v>1</v>
      </c>
      <c r="D9" s="1">
        <v>1</v>
      </c>
      <c r="E9" s="7">
        <v>4.5</v>
      </c>
      <c r="F9" s="7">
        <f t="shared" si="0"/>
        <v>5.5</v>
      </c>
    </row>
    <row r="10" customHeight="1" spans="1:6">
      <c r="A10" s="6" t="s">
        <v>41</v>
      </c>
      <c r="B10" s="1">
        <v>1</v>
      </c>
      <c r="C10" s="1">
        <v>1</v>
      </c>
      <c r="D10" s="1">
        <v>1</v>
      </c>
      <c r="E10" s="7">
        <v>4.5</v>
      </c>
      <c r="F10" s="7">
        <f t="shared" si="0"/>
        <v>5.5</v>
      </c>
    </row>
    <row r="11" customHeight="1" spans="6:6">
      <c r="F11" s="4" t="s">
        <v>27</v>
      </c>
    </row>
    <row r="12" customHeight="1" spans="4:6">
      <c r="D12" s="7">
        <f>SUM(D2:D11)</f>
        <v>10</v>
      </c>
      <c r="E12" s="7">
        <f>SUM(E2:E11)</f>
        <v>40.5</v>
      </c>
      <c r="F12" s="5">
        <f>SUM(F2:F11)</f>
        <v>50.5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H13" sqref="H13"/>
    </sheetView>
  </sheetViews>
  <sheetFormatPr defaultColWidth="15.7083333333333" defaultRowHeight="24.95" customHeight="1" outlineLevelRow="5"/>
  <cols>
    <col min="1" max="1" width="26.2833333333333" style="1" customWidth="1"/>
    <col min="2" max="2" width="15.8583333333333" style="2" customWidth="1"/>
    <col min="3" max="4" width="15.7083333333333" style="1"/>
    <col min="5" max="6" width="15.7083333333333" style="2"/>
    <col min="7" max="7" width="15.7083333333333" style="1"/>
    <col min="8" max="9" width="15.7083333333333" style="2"/>
    <col min="10" max="16384" width="15.7083333333333" style="1"/>
  </cols>
  <sheetData>
    <row r="1" customHeight="1" spans="1:10">
      <c r="A1" s="1" t="s">
        <v>28</v>
      </c>
      <c r="B1" s="2" t="s">
        <v>42</v>
      </c>
      <c r="C1" s="1" t="s">
        <v>29</v>
      </c>
      <c r="D1" s="1" t="s">
        <v>43</v>
      </c>
      <c r="E1" s="2" t="s">
        <v>31</v>
      </c>
      <c r="F1" s="2" t="s">
        <v>22</v>
      </c>
      <c r="G1" s="1" t="s">
        <v>44</v>
      </c>
      <c r="H1" s="2" t="s">
        <v>45</v>
      </c>
      <c r="I1" s="2" t="s">
        <v>32</v>
      </c>
      <c r="J1" s="1" t="s">
        <v>24</v>
      </c>
    </row>
    <row r="2" customHeight="1" spans="1:10">
      <c r="A2" s="1" t="s">
        <v>46</v>
      </c>
      <c r="B2" s="2">
        <v>3</v>
      </c>
      <c r="C2" s="1">
        <v>18</v>
      </c>
      <c r="D2" s="1">
        <f>3*C2</f>
        <v>54</v>
      </c>
      <c r="E2" s="2">
        <f>7*3+11*2</f>
        <v>43</v>
      </c>
      <c r="F2" s="2">
        <f>0.5*C2</f>
        <v>9</v>
      </c>
      <c r="G2" s="1">
        <v>504</v>
      </c>
      <c r="H2" s="2">
        <f>0.5*G2</f>
        <v>252</v>
      </c>
      <c r="I2" s="2">
        <f>5.5*18</f>
        <v>99</v>
      </c>
      <c r="J2" s="1">
        <f>I2+H2+F2+E2+D2+B2</f>
        <v>460</v>
      </c>
    </row>
    <row r="3" customHeight="1" spans="1:10">
      <c r="A3" s="1" t="s">
        <v>47</v>
      </c>
      <c r="B3" s="2">
        <v>3</v>
      </c>
      <c r="C3" s="1">
        <v>24</v>
      </c>
      <c r="D3" s="1">
        <f t="shared" ref="D3:D4" si="0">3*C3</f>
        <v>72</v>
      </c>
      <c r="E3" s="2">
        <f>3*C3</f>
        <v>72</v>
      </c>
      <c r="F3" s="2">
        <f t="shared" ref="F3:F4" si="1">0.5*C3</f>
        <v>12</v>
      </c>
      <c r="G3" s="1">
        <v>372</v>
      </c>
      <c r="H3" s="2">
        <f>0.5*G3</f>
        <v>186</v>
      </c>
      <c r="I3" s="2">
        <f>6.5*10+5.5*14</f>
        <v>142</v>
      </c>
      <c r="J3" s="1">
        <f t="shared" ref="J3:J4" si="2">I3+H3+F3+E3+D3+B3</f>
        <v>487</v>
      </c>
    </row>
    <row r="4" customHeight="1" spans="1:10">
      <c r="A4" s="1" t="s">
        <v>48</v>
      </c>
      <c r="B4" s="2">
        <v>3</v>
      </c>
      <c r="C4" s="1">
        <v>77</v>
      </c>
      <c r="D4" s="1">
        <f t="shared" si="0"/>
        <v>231</v>
      </c>
      <c r="E4" s="2">
        <f>1*6+1.2*14+2*33+3*24</f>
        <v>160.8</v>
      </c>
      <c r="F4" s="2">
        <f t="shared" si="1"/>
        <v>38.5</v>
      </c>
      <c r="G4" s="1">
        <v>5084</v>
      </c>
      <c r="H4" s="2">
        <f>0.5*G4</f>
        <v>2542</v>
      </c>
      <c r="I4" s="2">
        <f>4.85*20+5.5*51+6.5*6</f>
        <v>416.5</v>
      </c>
      <c r="J4" s="1">
        <f t="shared" si="2"/>
        <v>3391.8</v>
      </c>
    </row>
    <row r="5" customHeight="1" spans="10:10">
      <c r="J5" s="4" t="s">
        <v>27</v>
      </c>
    </row>
    <row r="6" customHeight="1" spans="2:10">
      <c r="B6" s="3">
        <f>SUM(B2:B5)</f>
        <v>9</v>
      </c>
      <c r="D6" s="1">
        <f>SUM(D2:D5)</f>
        <v>357</v>
      </c>
      <c r="E6" s="3">
        <f>SUM(E2:E5)</f>
        <v>275.8</v>
      </c>
      <c r="F6" s="3">
        <f>SUM(F2:F5)</f>
        <v>59.5</v>
      </c>
      <c r="H6" s="3">
        <f>SUM(H2:H5)</f>
        <v>2980</v>
      </c>
      <c r="I6" s="3">
        <f>SUM(I2:I5)</f>
        <v>657.5</v>
      </c>
      <c r="J6" s="5">
        <f>SUM(J2:J4)</f>
        <v>4338.8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总计</vt:lpstr>
      <vt:lpstr>入库费用</vt:lpstr>
      <vt:lpstr>订单出库费用</vt:lpstr>
      <vt:lpstr>FBA包裹出库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刘程英</cp:lastModifiedBy>
  <dcterms:created xsi:type="dcterms:W3CDTF">2006-09-16T00:00:00Z</dcterms:created>
  <dcterms:modified xsi:type="dcterms:W3CDTF">2025-02-19T02:31:45Z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859B5DF1BDCB49F49C1766D9A706FC08_12</vt:lpwstr>
  </property>
  <property fmtid="{D5CDD505-2E9C-101B-9397-08002B2CF9AE}" pid="3" name="KSOProductBuildVer">
    <vt:lpwstr>2052-12.1.0.19770</vt:lpwstr>
  </property>
</Properties>
</file>