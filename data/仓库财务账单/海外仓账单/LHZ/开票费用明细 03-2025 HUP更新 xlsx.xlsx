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3"/>
  </bookViews>
  <sheets>
    <sheet name="总计" sheetId="4" r:id="rId1"/>
    <sheet name="入库费用" sheetId="1" r:id="rId2"/>
    <sheet name="订单出库费用" sheetId="5" r:id="rId3"/>
    <sheet name="DHL 额外费用" sheetId="9" r:id="rId4"/>
    <sheet name="仓租" sheetId="6" r:id="rId5"/>
  </sheets>
  <definedNames>
    <definedName name="_xlnm._FilterDatabase" localSheetId="2" hidden="1">订单出库费用!$A$1:$I$183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<sst xmlns="http://schemas.openxmlformats.org/spreadsheetml/2006/main" count="1095" uniqueCount="364">
  <si>
    <t>开票费用明细：HUP-Hupper</t>
  </si>
  <si>
    <t>（2025年3月01日 ~ 2025年3月31日）</t>
  </si>
  <si>
    <t>类别</t>
  </si>
  <si>
    <t>Bezeichnung</t>
  </si>
  <si>
    <t>金额</t>
  </si>
  <si>
    <t>备注</t>
  </si>
  <si>
    <t>入库费用</t>
  </si>
  <si>
    <t>EINGANG</t>
  </si>
  <si>
    <t>出库费用</t>
  </si>
  <si>
    <t>AUSGANG</t>
  </si>
  <si>
    <t>DPD 额外费用</t>
  </si>
  <si>
    <t>DPD Extra Kosten</t>
  </si>
  <si>
    <t>DHL  额外费用</t>
  </si>
  <si>
    <t>DHL Extra Kosten</t>
  </si>
  <si>
    <t>额外操作费用</t>
  </si>
  <si>
    <t>Extra Kosten</t>
  </si>
  <si>
    <t>仓租</t>
  </si>
  <si>
    <t>LAGER KOSTEN</t>
  </si>
  <si>
    <t>不含税费用合计</t>
  </si>
  <si>
    <t>Netto</t>
  </si>
  <si>
    <t>增值税</t>
  </si>
  <si>
    <t>Umsatzsteuer 19%</t>
  </si>
  <si>
    <t>账单金额</t>
  </si>
  <si>
    <t>Rechnungsbetrag</t>
  </si>
  <si>
    <t>日期</t>
  </si>
  <si>
    <t>入库单号</t>
  </si>
  <si>
    <t>SKU数量</t>
  </si>
  <si>
    <t>SKU种类费</t>
  </si>
  <si>
    <t>SKU确认费</t>
  </si>
  <si>
    <t>货物数量</t>
  </si>
  <si>
    <t>分拣费</t>
  </si>
  <si>
    <t>物流费</t>
  </si>
  <si>
    <t>总计</t>
  </si>
  <si>
    <t>订单号</t>
  </si>
  <si>
    <t>包裹数量</t>
  </si>
  <si>
    <t>内件数量</t>
  </si>
  <si>
    <t>包裹操作费</t>
  </si>
  <si>
    <t>包裹重量</t>
  </si>
  <si>
    <t>物流方式</t>
  </si>
  <si>
    <t>国家</t>
  </si>
  <si>
    <t>运费</t>
  </si>
  <si>
    <t>HUP-250301-0001</t>
  </si>
  <si>
    <t>1</t>
  </si>
  <si>
    <t>DHL-LHZ</t>
  </si>
  <si>
    <t>DE</t>
  </si>
  <si>
    <t>HUP-250301-0002</t>
  </si>
  <si>
    <t>HUP-250302-0001</t>
  </si>
  <si>
    <t>HUP-250302-0002</t>
  </si>
  <si>
    <t>HUP-250302-0003</t>
  </si>
  <si>
    <t>HUP-250302-0004</t>
  </si>
  <si>
    <t>HUP-250302-0005</t>
  </si>
  <si>
    <t>HUP-250302-0006</t>
  </si>
  <si>
    <t>HUP-250303-0001</t>
  </si>
  <si>
    <t>HUP-250303-0002</t>
  </si>
  <si>
    <t>2</t>
  </si>
  <si>
    <t>DHL-INT</t>
  </si>
  <si>
    <t>NL</t>
  </si>
  <si>
    <t>HUP-250303-0003</t>
  </si>
  <si>
    <t>FR</t>
  </si>
  <si>
    <t>HUP-250303-0004</t>
  </si>
  <si>
    <t>HUP-250303-0005</t>
  </si>
  <si>
    <t>HUP-250303-0006</t>
  </si>
  <si>
    <t>HUP-250304-0001</t>
  </si>
  <si>
    <t>ES</t>
  </si>
  <si>
    <t>HUP-250304-0002</t>
  </si>
  <si>
    <t>HUP-250304-0003</t>
  </si>
  <si>
    <t>HUP-250304-0004</t>
  </si>
  <si>
    <t>HUP-250304-0005</t>
  </si>
  <si>
    <t>HUP-250305-0001</t>
  </si>
  <si>
    <t>HUP-250305-0002</t>
  </si>
  <si>
    <t>HUP-250305-0003</t>
  </si>
  <si>
    <t>HUP-250305-0004</t>
  </si>
  <si>
    <t>HUP-250305-0005</t>
  </si>
  <si>
    <t>HUP-250305-0006</t>
  </si>
  <si>
    <t>HUP-250306-0001</t>
  </si>
  <si>
    <t>HUP-250306-0002</t>
  </si>
  <si>
    <t>HUP-250306-0003</t>
  </si>
  <si>
    <t>HUP-250306-0004</t>
  </si>
  <si>
    <t>HUP-250306-0005</t>
  </si>
  <si>
    <t>HUP-250306-0006</t>
  </si>
  <si>
    <t>3</t>
  </si>
  <si>
    <t>HUP-250307-0001</t>
  </si>
  <si>
    <t>HUP-250307-0002</t>
  </si>
  <si>
    <t>HUP-250307-0003</t>
  </si>
  <si>
    <t>PL</t>
  </si>
  <si>
    <t>HUP-250308-0001</t>
  </si>
  <si>
    <t>HUP-250309-0001</t>
  </si>
  <si>
    <t>HUP-250309-0002</t>
  </si>
  <si>
    <t>HUP-250309-0003</t>
  </si>
  <si>
    <t>HUP-250311-0001</t>
  </si>
  <si>
    <t>HUP-250311-0002</t>
  </si>
  <si>
    <t>HUP-250311-0003</t>
  </si>
  <si>
    <t>HUP-250311-0004</t>
  </si>
  <si>
    <t>HUP-250311-0005</t>
  </si>
  <si>
    <t>HUP-250311-0006</t>
  </si>
  <si>
    <t>HUP-250311-0007</t>
  </si>
  <si>
    <t>HUP-250311-0008</t>
  </si>
  <si>
    <t>HUP-250311-0009</t>
  </si>
  <si>
    <t>HUP-250312-0001</t>
  </si>
  <si>
    <t>HUP-250312-0002</t>
  </si>
  <si>
    <t>HUP-250312-0003</t>
  </si>
  <si>
    <t>HUP-250312-0004</t>
  </si>
  <si>
    <t>HUP-250312-0005</t>
  </si>
  <si>
    <t>HUP-250312-0006</t>
  </si>
  <si>
    <t>HUP-250312-0007</t>
  </si>
  <si>
    <t>HUP-250313-0001</t>
  </si>
  <si>
    <t>HUP-250313-0002</t>
  </si>
  <si>
    <t>HUP-250313-0003</t>
  </si>
  <si>
    <t>HUP-250313-0004</t>
  </si>
  <si>
    <t>HUP-250313-0005</t>
  </si>
  <si>
    <t>HUP-250313-0006</t>
  </si>
  <si>
    <t>HUP-250314-0001</t>
  </si>
  <si>
    <t>HUP-250314-0002</t>
  </si>
  <si>
    <t>HUP-250314-0003</t>
  </si>
  <si>
    <t>HUP-250315-0001</t>
  </si>
  <si>
    <t>HUP-250316-0001</t>
  </si>
  <si>
    <t>HUP-250316-0002</t>
  </si>
  <si>
    <t>HUP-250316-0003</t>
  </si>
  <si>
    <t>HUP-250316-0004</t>
  </si>
  <si>
    <t>HUP-250316-0005</t>
  </si>
  <si>
    <t>HUP-250316-0006</t>
  </si>
  <si>
    <t>HUP-250317-0001</t>
  </si>
  <si>
    <t>HUP-250317-0002</t>
  </si>
  <si>
    <t>HUP-250317-0003</t>
  </si>
  <si>
    <t>HUP-250318-0001</t>
  </si>
  <si>
    <t>HUP-250318-0002</t>
  </si>
  <si>
    <t>HUP-250319-0001</t>
  </si>
  <si>
    <t>HUP-250319-0002</t>
  </si>
  <si>
    <t>HUP-250319-0003</t>
  </si>
  <si>
    <t>HUP-250319-0004</t>
  </si>
  <si>
    <t>HUP-250320-0001</t>
  </si>
  <si>
    <t>HUP-250320-0002</t>
  </si>
  <si>
    <t>HUP-250320-0003</t>
  </si>
  <si>
    <t>HUP-250320-0004</t>
  </si>
  <si>
    <t>HUP-250320-0005</t>
  </si>
  <si>
    <t>HUP-250320-0006</t>
  </si>
  <si>
    <t>HUP-250320-0007</t>
  </si>
  <si>
    <t>HUP-250320-0008</t>
  </si>
  <si>
    <t>HUP-250320-0009</t>
  </si>
  <si>
    <t>HUP-250321-0001</t>
  </si>
  <si>
    <t>HUP-250321-0002</t>
  </si>
  <si>
    <t>HUP-250323-0001</t>
  </si>
  <si>
    <t>HUP-250323-0002</t>
  </si>
  <si>
    <t>HUP-250323-0003</t>
  </si>
  <si>
    <t>PT</t>
  </si>
  <si>
    <t>HUP-250323-0004</t>
  </si>
  <si>
    <t>HUP-250323-0005</t>
  </si>
  <si>
    <t>HUP-250323-0006</t>
  </si>
  <si>
    <t>HUP-250324-0001</t>
  </si>
  <si>
    <t>HUP-250324-0002</t>
  </si>
  <si>
    <t>IT</t>
  </si>
  <si>
    <t>HUP-250324-0004</t>
  </si>
  <si>
    <t>HUP-250324-0005</t>
  </si>
  <si>
    <t>HUP-250324-0006</t>
  </si>
  <si>
    <t>HUP-250325-0001</t>
  </si>
  <si>
    <t>HUP-250325-0002</t>
  </si>
  <si>
    <t>HUP-250325-0003</t>
  </si>
  <si>
    <t>HUP-250325-0004</t>
  </si>
  <si>
    <t>HUP-250325-0005</t>
  </si>
  <si>
    <t>HUP-250325-0006</t>
  </si>
  <si>
    <t>HUP-250325-0007</t>
  </si>
  <si>
    <t>HUP-250325-0008</t>
  </si>
  <si>
    <t>HUP-250325-0009</t>
  </si>
  <si>
    <t>HUP-250325-0010</t>
  </si>
  <si>
    <t>HUP-250326-0001</t>
  </si>
  <si>
    <t>HUP-250326-0002</t>
  </si>
  <si>
    <t>HUP-250326-0003</t>
  </si>
  <si>
    <t>HUP-250326-0004</t>
  </si>
  <si>
    <t>HUP-250326-0005</t>
  </si>
  <si>
    <t>HUP-250327-0001</t>
  </si>
  <si>
    <t>HUP-250327-0002</t>
  </si>
  <si>
    <t>HUP-250328-0001</t>
  </si>
  <si>
    <t>HUP-250328-0002</t>
  </si>
  <si>
    <t>HUP-250329-0001</t>
  </si>
  <si>
    <t>HUP-250330-0001</t>
  </si>
  <si>
    <t>HUP-250330-0002</t>
  </si>
  <si>
    <t>HUP-250330-0003</t>
  </si>
  <si>
    <t>HUP-250330-0004</t>
  </si>
  <si>
    <t>HUP-250330-0005</t>
  </si>
  <si>
    <t>DK</t>
  </si>
  <si>
    <t>HUP-250330-0006</t>
  </si>
  <si>
    <t>HUP-250331-0001</t>
  </si>
  <si>
    <t>HUP-250331-0002</t>
  </si>
  <si>
    <t>HUP-250331-0003</t>
  </si>
  <si>
    <t>HUP-250331-0004</t>
  </si>
  <si>
    <t>4</t>
  </si>
  <si>
    <t>HUP-250331-0005</t>
  </si>
  <si>
    <t>HUP-250331-0006</t>
  </si>
  <si>
    <t>HUP-250331-0007</t>
  </si>
  <si>
    <t>HUP-250401-0001</t>
  </si>
  <si>
    <t>HUP-250401-0002</t>
  </si>
  <si>
    <t>HUP-250402-0001</t>
  </si>
  <si>
    <t>HUP-250402-0002</t>
  </si>
  <si>
    <t>HUP-250402-0003</t>
  </si>
  <si>
    <t>HUP-250403-0001</t>
  </si>
  <si>
    <t>HUP-250403-0002</t>
  </si>
  <si>
    <t>HUP-250403-0003</t>
  </si>
  <si>
    <t>HUP-250403-0004</t>
  </si>
  <si>
    <t>HUP-250403-0005</t>
  </si>
  <si>
    <t>HUP-250405-0001</t>
  </si>
  <si>
    <t>HUP-250405-0002</t>
  </si>
  <si>
    <t>HUP-250405-0003</t>
  </si>
  <si>
    <t>HUP-250405-0004</t>
  </si>
  <si>
    <t>HUP-250406-0001</t>
  </si>
  <si>
    <t>HUP-250406-0002</t>
  </si>
  <si>
    <t>HUP-250406-0003</t>
  </si>
  <si>
    <t>HUP-250406-0004</t>
  </si>
  <si>
    <t>HUP-250406-0005</t>
  </si>
  <si>
    <t>HUP-250406-0006</t>
  </si>
  <si>
    <t>HUP-250406-0007</t>
  </si>
  <si>
    <t>HUP-250406-0008</t>
  </si>
  <si>
    <t>HUP-250407-0001</t>
  </si>
  <si>
    <t>HUP-250407-0002</t>
  </si>
  <si>
    <t>HUP-250407-0003</t>
  </si>
  <si>
    <t>HUP-250407-0004</t>
  </si>
  <si>
    <t>HUP-250407-0005</t>
  </si>
  <si>
    <t>HUP-250407-0006</t>
  </si>
  <si>
    <t>HUP-250407-0007</t>
  </si>
  <si>
    <t>DPD_TEST</t>
  </si>
  <si>
    <t>HUP-250407-0008</t>
  </si>
  <si>
    <t>HUP-250407-0009</t>
  </si>
  <si>
    <t>HUP-250407-0010</t>
  </si>
  <si>
    <t>HUP-250407-0011</t>
  </si>
  <si>
    <t>HUP-250407-0013</t>
  </si>
  <si>
    <t>HUP-250407-0014</t>
  </si>
  <si>
    <t>HUP-250408-0001</t>
  </si>
  <si>
    <t>HUP-250408-0002</t>
  </si>
  <si>
    <t>HUP-250408-0003</t>
  </si>
  <si>
    <t>HUP-250408-0004</t>
  </si>
  <si>
    <t>HUP-250408-0005</t>
  </si>
  <si>
    <t>HUP-250409-0001</t>
  </si>
  <si>
    <t>HUP-250409-0002</t>
  </si>
  <si>
    <t>HUP-250409-0003</t>
  </si>
  <si>
    <t>HUP-250409-0004</t>
  </si>
  <si>
    <t>HUP-250409-0005</t>
  </si>
  <si>
    <t>HUP-250410-0001</t>
  </si>
  <si>
    <t>HUP-250410-0002</t>
  </si>
  <si>
    <t>HUP-250410-0003</t>
  </si>
  <si>
    <t>Total</t>
  </si>
  <si>
    <t>Account_Nr</t>
  </si>
  <si>
    <t>Origin Country</t>
  </si>
  <si>
    <t>Invoice Date</t>
  </si>
  <si>
    <t>Invoice Nr</t>
  </si>
  <si>
    <t>Country Code</t>
  </si>
  <si>
    <t>Name_1</t>
  </si>
  <si>
    <t>City</t>
  </si>
  <si>
    <t>Postcode</t>
  </si>
  <si>
    <t>Dest Stn</t>
  </si>
  <si>
    <t>Dest Country</t>
  </si>
  <si>
    <t>费用</t>
  </si>
  <si>
    <t>项目</t>
  </si>
  <si>
    <t>Prod</t>
  </si>
  <si>
    <t>Pu Date</t>
  </si>
  <si>
    <t>Identcode</t>
  </si>
  <si>
    <t>Shippers Reference</t>
  </si>
  <si>
    <t>Pcs</t>
  </si>
  <si>
    <t>VolWgt</t>
  </si>
  <si>
    <t>Wgt</t>
  </si>
  <si>
    <t>Wgt_Abr</t>
  </si>
  <si>
    <t>Discrepancy</t>
  </si>
  <si>
    <t>Total incl. Finance Costs</t>
  </si>
  <si>
    <t>GERMANY</t>
  </si>
  <si>
    <t>X</t>
  </si>
  <si>
    <t>德国境内退件</t>
  </si>
  <si>
    <t>单号</t>
  </si>
  <si>
    <t>结算周期</t>
  </si>
  <si>
    <t>仓库</t>
  </si>
  <si>
    <t>客户</t>
  </si>
  <si>
    <t>发生时间</t>
  </si>
  <si>
    <t>扣费标志</t>
  </si>
  <si>
    <t>体积/m³</t>
  </si>
  <si>
    <t>数量</t>
  </si>
  <si>
    <t>币种</t>
  </si>
  <si>
    <t>计费规则币种金额</t>
  </si>
  <si>
    <t>计费规则币种</t>
  </si>
  <si>
    <t>WTHUP-1-20250301</t>
  </si>
  <si>
    <t>日结</t>
  </si>
  <si>
    <t>AFAK</t>
  </si>
  <si>
    <t>HUP</t>
  </si>
  <si>
    <t>2025-03-01</t>
  </si>
  <si>
    <t>y</t>
  </si>
  <si>
    <t>23.5778</t>
  </si>
  <si>
    <t>EUR</t>
  </si>
  <si>
    <t>WTHUP-1-20250302</t>
  </si>
  <si>
    <t>2025-03-02</t>
  </si>
  <si>
    <t>WTHUP-1-20250303</t>
  </si>
  <si>
    <t>2025-03-03</t>
  </si>
  <si>
    <t>23.5627</t>
  </si>
  <si>
    <t>WTHUP-1-20250304</t>
  </si>
  <si>
    <t>2025-03-04</t>
  </si>
  <si>
    <t>23.5414</t>
  </si>
  <si>
    <t>WTHUP-1-20250305</t>
  </si>
  <si>
    <t>2025-03-05</t>
  </si>
  <si>
    <t>23.5338</t>
  </si>
  <si>
    <t>WTHUP-1-20250306</t>
  </si>
  <si>
    <t>2025-03-06</t>
  </si>
  <si>
    <t>23.5204</t>
  </si>
  <si>
    <t>WTHUP-1-20250307</t>
  </si>
  <si>
    <t>2025-03-07</t>
  </si>
  <si>
    <t>23.4928</t>
  </si>
  <si>
    <t>WTHUP-1-20250308</t>
  </si>
  <si>
    <t>2025-03-08</t>
  </si>
  <si>
    <t>WTHUP-1-20250309</t>
  </si>
  <si>
    <t>2025-03-09</t>
  </si>
  <si>
    <t>WTHUP-1-20250310</t>
  </si>
  <si>
    <t>2025-03-10</t>
  </si>
  <si>
    <t>23.4907</t>
  </si>
  <si>
    <t>WTHUP-1-20250311</t>
  </si>
  <si>
    <t>2025-03-11</t>
  </si>
  <si>
    <t>23.4689</t>
  </si>
  <si>
    <t>WTHUP-1-20250312</t>
  </si>
  <si>
    <t>2025-03-12</t>
  </si>
  <si>
    <t>23.4458</t>
  </si>
  <si>
    <t>WTHUP-1-20250313</t>
  </si>
  <si>
    <t>2025-03-13</t>
  </si>
  <si>
    <t>23.4372</t>
  </si>
  <si>
    <t>WTHUP-1-20250314</t>
  </si>
  <si>
    <t>2025-03-14</t>
  </si>
  <si>
    <t>23.4335</t>
  </si>
  <si>
    <t>WTHUP-1-20250315</t>
  </si>
  <si>
    <t>2025-03-15</t>
  </si>
  <si>
    <t>WTHUP-1-20250316</t>
  </si>
  <si>
    <t>2025-03-16</t>
  </si>
  <si>
    <t>WTHUP-1-20250317</t>
  </si>
  <si>
    <t>2025-03-17</t>
  </si>
  <si>
    <t>23.4297</t>
  </si>
  <si>
    <t>WTHUP-1-20250318</t>
  </si>
  <si>
    <t>2025-03-18</t>
  </si>
  <si>
    <t>23.4162</t>
  </si>
  <si>
    <t>WTHUP-1-20250319</t>
  </si>
  <si>
    <t>2025-03-19</t>
  </si>
  <si>
    <t>23.4116</t>
  </si>
  <si>
    <t>WTHUP-1-20250320</t>
  </si>
  <si>
    <t>2025-03-20</t>
  </si>
  <si>
    <t>23.3952</t>
  </si>
  <si>
    <t>WTHUP-1-20250321</t>
  </si>
  <si>
    <t>2025-03-21</t>
  </si>
  <si>
    <t>23.3931</t>
  </si>
  <si>
    <t>WTHUP-1-20250322</t>
  </si>
  <si>
    <t>2025-03-22</t>
  </si>
  <si>
    <t>WTHUP-1-20250323</t>
  </si>
  <si>
    <t>2025-03-23</t>
  </si>
  <si>
    <t>WTHUP-1-20250324</t>
  </si>
  <si>
    <t>2025-03-24</t>
  </si>
  <si>
    <t>23.3881</t>
  </si>
  <si>
    <t>WTHUP-1-20250325</t>
  </si>
  <si>
    <t>2025-03-25</t>
  </si>
  <si>
    <t>23.3165</t>
  </si>
  <si>
    <t>WTHUP-1-20250326</t>
  </si>
  <si>
    <t>2025-03-26</t>
  </si>
  <si>
    <t>23.3102</t>
  </si>
  <si>
    <t>WTHUP-1-20250327</t>
  </si>
  <si>
    <t>2025-03-27</t>
  </si>
  <si>
    <t>23.2829</t>
  </si>
  <si>
    <t>WTHUP-1-20250328</t>
  </si>
  <si>
    <t>2025-03-28</t>
  </si>
  <si>
    <t>23.2810</t>
  </si>
  <si>
    <t>WTHUP-1-20250329</t>
  </si>
  <si>
    <t>2025-03-29</t>
  </si>
  <si>
    <t>WTHUP-1-20250330</t>
  </si>
  <si>
    <t>2025-03-30</t>
  </si>
  <si>
    <t>WTHUP-1-20250331</t>
  </si>
  <si>
    <t>2025-03-31</t>
  </si>
  <si>
    <t>23.1361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</si>
</sst>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&quot;€&quot;_-;\-* #,##0.00\ &quot;€&quot;_-;_-* &quot;-&quot;??\ &quot;€&quot;_-;_-@_-"/>
    <numFmt numFmtId="177" formatCode="#,##0.00\ &quot;€&quot;"/>
  </numFmts>
  <fonts count="31">
    <font>
      <sz val="11"/>
      <color theme="1"/>
      <name val="宋体"/>
      <charset val="134"/>
      <scheme val="minor"/>
    </font>
    <font>
      <b/>
      <sz val="10"/>
      <name val="Arial"/>
      <charset val="1"/>
    </font>
    <font>
      <sz val="10"/>
      <color rgb="FF0070C0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name val="Arial"/>
      <charset val="134"/>
    </font>
    <font>
      <sz val="12"/>
      <name val="Arial"/>
      <charset val="134"/>
    </font>
    <font>
      <b/>
      <sz val="11"/>
      <name val="Arial"/>
      <charset val="1"/>
    </font>
    <font>
      <sz val="11"/>
      <name val="Arial"/>
      <charset val="1"/>
    </font>
    <font>
      <b/>
      <u/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3" fontId="0" fillId="0" borderId="0" xfId="0" applyNumberFormat="1" applyFont="1"/>
    <xf numFmtId="0" fontId="0" fillId="3" borderId="0" xfId="0" applyFont="1" applyFill="1"/>
    <xf numFmtId="176" fontId="0" fillId="3" borderId="0" xfId="0" applyNumberFormat="1" applyFont="1" applyFill="1"/>
    <xf numFmtId="0" fontId="0" fillId="0" borderId="0" xfId="0" applyFill="1"/>
    <xf numFmtId="1" fontId="0" fillId="0" borderId="0" xfId="0" applyNumberFormat="1"/>
    <xf numFmtId="14" fontId="0" fillId="0" borderId="0" xfId="0" applyNumberFormat="1"/>
    <xf numFmtId="177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Fill="1"/>
    <xf numFmtId="0" fontId="2" fillId="0" borderId="0" xfId="0" applyFont="1" applyAlignment="1">
      <alignment horizontal="center"/>
    </xf>
    <xf numFmtId="0" fontId="0" fillId="4" borderId="0" xfId="0" applyFill="1"/>
    <xf numFmtId="0" fontId="0" fillId="3" borderId="0" xfId="0" applyFill="1"/>
    <xf numFmtId="177" fontId="0" fillId="3" borderId="0" xfId="0" applyNumberFormat="1" applyFill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76" fontId="0" fillId="0" borderId="0" xfId="0" applyNumberForma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6" fontId="9" fillId="0" borderId="8" xfId="0" applyNumberFormat="1" applyFont="1" applyFill="1" applyBorder="1" applyAlignment="1">
      <alignment horizontal="righ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10" fillId="0" borderId="12" xfId="0" applyNumberFormat="1" applyFont="1" applyFill="1" applyBorder="1" applyAlignment="1">
      <alignment horizontal="right" vertical="center"/>
    </xf>
    <xf numFmtId="0" fontId="9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15" sqref="C15"/>
    </sheetView>
  </sheetViews>
  <sheetFormatPr defaultColWidth="9" defaultRowHeight="24.95" customHeight="1" outlineLevelCol="3"/>
  <cols>
    <col min="1" max="1" width="27.425" customWidth="1"/>
    <col min="2" max="2" width="37.2833333333333" customWidth="1"/>
    <col min="3" max="3" width="25" style="22" customWidth="1"/>
    <col min="4" max="4" width="20.7083333333333" customWidth="1"/>
  </cols>
  <sheetData>
    <row r="1" s="20" customFormat="1" ht="42" customHeight="1" spans="1:4">
      <c r="A1" s="23" t="s">
        <v>0</v>
      </c>
      <c r="B1" s="23"/>
      <c r="C1" s="23"/>
      <c r="D1" s="23"/>
    </row>
    <row r="2" s="20" customFormat="1" customHeight="1" spans="1:4">
      <c r="A2" s="24" t="s">
        <v>1</v>
      </c>
      <c r="B2" s="24"/>
      <c r="C2" s="24"/>
      <c r="D2" s="24"/>
    </row>
    <row r="3" s="21" customFormat="1" customHeight="1" spans="1:4">
      <c r="A3" s="25" t="s">
        <v>2</v>
      </c>
      <c r="B3" s="26" t="s">
        <v>3</v>
      </c>
      <c r="C3" s="27" t="s">
        <v>4</v>
      </c>
      <c r="D3" s="28" t="s">
        <v>5</v>
      </c>
    </row>
    <row r="4" customHeight="1" spans="1:4">
      <c r="A4" s="29" t="s">
        <v>6</v>
      </c>
      <c r="B4" s="30" t="s">
        <v>7</v>
      </c>
      <c r="C4" s="31">
        <v>0</v>
      </c>
      <c r="D4" s="32"/>
    </row>
    <row r="5" customHeight="1" spans="1:4">
      <c r="A5" s="29" t="s">
        <v>8</v>
      </c>
      <c r="B5" s="30" t="s">
        <v>9</v>
      </c>
      <c r="C5" s="31">
        <f>订单出库费用!I185</f>
        <v>1507.35</v>
      </c>
      <c r="D5" s="32"/>
    </row>
    <row r="6" customHeight="1" spans="1:4">
      <c r="A6" s="29" t="s">
        <v>10</v>
      </c>
      <c r="B6" s="30" t="s">
        <v>11</v>
      </c>
      <c r="C6" s="31">
        <v>0</v>
      </c>
      <c r="D6" s="32"/>
    </row>
    <row r="7" customHeight="1" spans="1:4">
      <c r="A7" s="29" t="s">
        <v>12</v>
      </c>
      <c r="B7" s="30" t="s">
        <v>13</v>
      </c>
      <c r="C7" s="31">
        <f>'DHL 额外费用'!K4</f>
        <v>8</v>
      </c>
      <c r="D7" s="32"/>
    </row>
    <row r="8" customHeight="1" spans="1:4">
      <c r="A8" s="29" t="s">
        <v>14</v>
      </c>
      <c r="B8" s="30" t="s">
        <v>15</v>
      </c>
      <c r="C8" s="31">
        <v>0</v>
      </c>
      <c r="D8" s="32"/>
    </row>
    <row r="9" customHeight="1" spans="1:4">
      <c r="A9" s="29" t="s">
        <v>16</v>
      </c>
      <c r="B9" s="30" t="s">
        <v>17</v>
      </c>
      <c r="C9" s="31">
        <f>仓租!K34</f>
        <v>352.55</v>
      </c>
      <c r="D9" s="32"/>
    </row>
    <row r="10" customHeight="1" spans="1:4">
      <c r="A10" s="29" t="s">
        <v>18</v>
      </c>
      <c r="B10" s="30" t="s">
        <v>19</v>
      </c>
      <c r="C10" s="31">
        <f>SUM(C5:C9)</f>
        <v>1867.9</v>
      </c>
      <c r="D10" s="33"/>
    </row>
    <row r="11" customHeight="1" spans="1:4">
      <c r="A11" s="29" t="s">
        <v>20</v>
      </c>
      <c r="B11" s="30" t="s">
        <v>21</v>
      </c>
      <c r="C11" s="31">
        <v>0</v>
      </c>
      <c r="D11" s="33"/>
    </row>
    <row r="12" customHeight="1" spans="1:4">
      <c r="A12" s="34" t="s">
        <v>22</v>
      </c>
      <c r="B12" s="35" t="s">
        <v>23</v>
      </c>
      <c r="C12" s="36">
        <f>SUM(C10:C11)</f>
        <v>1867.9</v>
      </c>
      <c r="D12" s="37"/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C14" sqref="C14"/>
    </sheetView>
  </sheetViews>
  <sheetFormatPr defaultColWidth="15.7083333333333" defaultRowHeight="24.95" customHeight="1"/>
  <cols>
    <col min="1" max="1" width="15.7083333333333" style="16"/>
    <col min="2" max="2" width="25.7083333333333" style="16" customWidth="1"/>
    <col min="3" max="6" width="14.1416666666667" style="16" customWidth="1"/>
    <col min="7" max="16384" width="15.7083333333333" style="16"/>
  </cols>
  <sheetData>
    <row r="1" customHeight="1" spans="1:10">
      <c r="A1" s="16" t="s">
        <v>24</v>
      </c>
      <c r="B1" s="16" t="s">
        <v>25</v>
      </c>
      <c r="C1" s="16" t="s">
        <v>6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workbookViewId="0">
      <pane ySplit="1" topLeftCell="A153" activePane="bottomLeft" state="frozen"/>
      <selection/>
      <selection pane="bottomLeft" activeCell="J10" sqref="J10"/>
    </sheetView>
  </sheetViews>
  <sheetFormatPr defaultColWidth="15.7083333333333" defaultRowHeight="14.25"/>
  <cols>
    <col min="1" max="1" width="27" style="16" customWidth="1"/>
    <col min="2" max="16384" width="15.7083333333333" style="16"/>
  </cols>
  <sheetData>
    <row r="1" spans="1:9">
      <c r="A1" s="16" t="s">
        <v>33</v>
      </c>
      <c r="B1" s="16" t="s">
        <v>34</v>
      </c>
      <c r="C1" s="16" t="s">
        <v>35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32</v>
      </c>
    </row>
    <row r="2" spans="1:9">
      <c r="A2" s="16" t="s">
        <v>41</v>
      </c>
      <c r="B2" s="16">
        <v>1</v>
      </c>
      <c r="C2" s="16" t="s">
        <v>42</v>
      </c>
      <c r="D2" s="16">
        <v>1</v>
      </c>
      <c r="E2" s="17">
        <v>1.05</v>
      </c>
      <c r="F2" s="16" t="s">
        <v>43</v>
      </c>
      <c r="G2" s="16" t="s">
        <v>44</v>
      </c>
      <c r="H2" s="16">
        <v>4.5</v>
      </c>
      <c r="I2" s="16">
        <f>D2+H2</f>
        <v>5.5</v>
      </c>
    </row>
    <row r="3" spans="1:9">
      <c r="A3" s="16" t="s">
        <v>45</v>
      </c>
      <c r="B3" s="16">
        <v>1</v>
      </c>
      <c r="C3" s="16" t="s">
        <v>42</v>
      </c>
      <c r="D3" s="16">
        <v>1</v>
      </c>
      <c r="E3" s="17">
        <v>0.2</v>
      </c>
      <c r="F3" s="16" t="s">
        <v>43</v>
      </c>
      <c r="G3" s="16" t="s">
        <v>44</v>
      </c>
      <c r="H3" s="16">
        <v>4.5</v>
      </c>
      <c r="I3" s="16">
        <f t="shared" ref="I3:I66" si="0">D3+H3</f>
        <v>5.5</v>
      </c>
    </row>
    <row r="4" spans="1:9">
      <c r="A4" s="16" t="s">
        <v>46</v>
      </c>
      <c r="B4" s="16">
        <v>1</v>
      </c>
      <c r="C4" s="16" t="s">
        <v>42</v>
      </c>
      <c r="D4" s="16">
        <v>1</v>
      </c>
      <c r="E4" s="17">
        <v>0.3</v>
      </c>
      <c r="F4" s="16" t="s">
        <v>43</v>
      </c>
      <c r="G4" s="16" t="s">
        <v>44</v>
      </c>
      <c r="H4" s="16">
        <v>4.5</v>
      </c>
      <c r="I4" s="16">
        <f t="shared" si="0"/>
        <v>5.5</v>
      </c>
    </row>
    <row r="5" spans="1:9">
      <c r="A5" s="16" t="s">
        <v>47</v>
      </c>
      <c r="B5" s="16">
        <v>1</v>
      </c>
      <c r="C5" s="16" t="s">
        <v>42</v>
      </c>
      <c r="D5" s="16">
        <v>1</v>
      </c>
      <c r="E5" s="17">
        <v>0.1</v>
      </c>
      <c r="F5" s="16" t="s">
        <v>43</v>
      </c>
      <c r="G5" s="16" t="s">
        <v>44</v>
      </c>
      <c r="H5" s="16">
        <v>4.5</v>
      </c>
      <c r="I5" s="16">
        <f t="shared" si="0"/>
        <v>5.5</v>
      </c>
    </row>
    <row r="6" spans="1:9">
      <c r="A6" s="16" t="s">
        <v>48</v>
      </c>
      <c r="B6" s="16">
        <v>1</v>
      </c>
      <c r="C6" s="16" t="s">
        <v>42</v>
      </c>
      <c r="D6" s="16">
        <v>1</v>
      </c>
      <c r="E6" s="17">
        <v>0.25</v>
      </c>
      <c r="F6" s="16" t="s">
        <v>43</v>
      </c>
      <c r="G6" s="16" t="s">
        <v>44</v>
      </c>
      <c r="H6" s="16">
        <v>4.5</v>
      </c>
      <c r="I6" s="16">
        <f t="shared" si="0"/>
        <v>5.5</v>
      </c>
    </row>
    <row r="7" spans="1:9">
      <c r="A7" s="16" t="s">
        <v>49</v>
      </c>
      <c r="B7" s="16">
        <v>1</v>
      </c>
      <c r="C7" s="16" t="s">
        <v>42</v>
      </c>
      <c r="D7" s="16">
        <v>1</v>
      </c>
      <c r="E7" s="17">
        <v>3</v>
      </c>
      <c r="F7" s="16" t="s">
        <v>43</v>
      </c>
      <c r="G7" s="16" t="s">
        <v>44</v>
      </c>
      <c r="H7" s="16">
        <v>5.2</v>
      </c>
      <c r="I7" s="16">
        <f t="shared" si="0"/>
        <v>6.2</v>
      </c>
    </row>
    <row r="8" spans="1:9">
      <c r="A8" s="16" t="s">
        <v>50</v>
      </c>
      <c r="B8" s="16">
        <v>1</v>
      </c>
      <c r="C8" s="16" t="s">
        <v>42</v>
      </c>
      <c r="D8" s="16">
        <v>1</v>
      </c>
      <c r="E8" s="17">
        <v>0.15</v>
      </c>
      <c r="F8" s="16" t="s">
        <v>43</v>
      </c>
      <c r="G8" s="16" t="s">
        <v>44</v>
      </c>
      <c r="H8" s="16">
        <v>4.5</v>
      </c>
      <c r="I8" s="16">
        <f t="shared" si="0"/>
        <v>5.5</v>
      </c>
    </row>
    <row r="9" spans="1:9">
      <c r="A9" s="16" t="s">
        <v>51</v>
      </c>
      <c r="B9" s="16">
        <v>1</v>
      </c>
      <c r="C9" s="16" t="s">
        <v>42</v>
      </c>
      <c r="D9" s="16">
        <v>1</v>
      </c>
      <c r="E9" s="17">
        <v>0.15</v>
      </c>
      <c r="F9" s="16" t="s">
        <v>43</v>
      </c>
      <c r="G9" s="16" t="s">
        <v>44</v>
      </c>
      <c r="H9" s="16">
        <v>4.5</v>
      </c>
      <c r="I9" s="16">
        <f t="shared" si="0"/>
        <v>5.5</v>
      </c>
    </row>
    <row r="10" spans="1:9">
      <c r="A10" s="16" t="s">
        <v>52</v>
      </c>
      <c r="B10" s="16">
        <v>1</v>
      </c>
      <c r="C10" s="16" t="s">
        <v>42</v>
      </c>
      <c r="D10" s="16">
        <v>1</v>
      </c>
      <c r="E10" s="17">
        <v>0.2</v>
      </c>
      <c r="F10" s="16" t="s">
        <v>43</v>
      </c>
      <c r="G10" s="16" t="s">
        <v>44</v>
      </c>
      <c r="H10" s="16">
        <v>4.5</v>
      </c>
      <c r="I10" s="16">
        <f t="shared" si="0"/>
        <v>5.5</v>
      </c>
    </row>
    <row r="11" spans="1:9">
      <c r="A11" s="16" t="s">
        <v>53</v>
      </c>
      <c r="B11" s="16">
        <v>1</v>
      </c>
      <c r="C11" s="16" t="s">
        <v>54</v>
      </c>
      <c r="D11" s="16">
        <f>1+1</f>
        <v>2</v>
      </c>
      <c r="E11" s="17">
        <v>0.5</v>
      </c>
      <c r="F11" s="16" t="s">
        <v>55</v>
      </c>
      <c r="G11" s="16" t="s">
        <v>56</v>
      </c>
      <c r="H11" s="16">
        <v>11</v>
      </c>
      <c r="I11" s="16">
        <f t="shared" si="0"/>
        <v>13</v>
      </c>
    </row>
    <row r="12" spans="1:9">
      <c r="A12" s="16" t="s">
        <v>57</v>
      </c>
      <c r="B12" s="16">
        <v>1</v>
      </c>
      <c r="C12" s="16" t="s">
        <v>42</v>
      </c>
      <c r="D12" s="16">
        <v>1</v>
      </c>
      <c r="E12" s="17">
        <v>0.3</v>
      </c>
      <c r="F12" s="16" t="s">
        <v>55</v>
      </c>
      <c r="G12" s="16" t="s">
        <v>58</v>
      </c>
      <c r="H12" s="16">
        <v>12.8</v>
      </c>
      <c r="I12" s="16">
        <f t="shared" si="0"/>
        <v>13.8</v>
      </c>
    </row>
    <row r="13" spans="1:9">
      <c r="A13" s="16" t="s">
        <v>59</v>
      </c>
      <c r="B13" s="16">
        <v>1</v>
      </c>
      <c r="C13" s="16" t="s">
        <v>42</v>
      </c>
      <c r="D13" s="16">
        <v>1</v>
      </c>
      <c r="E13" s="17">
        <v>0.1</v>
      </c>
      <c r="F13" s="16" t="s">
        <v>43</v>
      </c>
      <c r="G13" s="16" t="s">
        <v>44</v>
      </c>
      <c r="H13" s="16">
        <v>4.5</v>
      </c>
      <c r="I13" s="16">
        <f t="shared" si="0"/>
        <v>5.5</v>
      </c>
    </row>
    <row r="14" spans="1:9">
      <c r="A14" s="16" t="s">
        <v>60</v>
      </c>
      <c r="B14" s="16">
        <v>1</v>
      </c>
      <c r="C14" s="16" t="s">
        <v>42</v>
      </c>
      <c r="D14" s="16">
        <v>1</v>
      </c>
      <c r="E14" s="17">
        <v>0.1</v>
      </c>
      <c r="F14" s="16" t="s">
        <v>43</v>
      </c>
      <c r="G14" s="16" t="s">
        <v>44</v>
      </c>
      <c r="H14" s="16">
        <v>4.5</v>
      </c>
      <c r="I14" s="16">
        <f t="shared" si="0"/>
        <v>5.5</v>
      </c>
    </row>
    <row r="15" spans="1:9">
      <c r="A15" s="16" t="s">
        <v>61</v>
      </c>
      <c r="B15" s="16">
        <v>1</v>
      </c>
      <c r="C15" s="16" t="s">
        <v>42</v>
      </c>
      <c r="D15" s="16">
        <v>1</v>
      </c>
      <c r="E15" s="17">
        <v>0.2</v>
      </c>
      <c r="F15" s="16" t="s">
        <v>43</v>
      </c>
      <c r="G15" s="16" t="s">
        <v>44</v>
      </c>
      <c r="H15" s="16">
        <v>4.5</v>
      </c>
      <c r="I15" s="16">
        <f t="shared" si="0"/>
        <v>5.5</v>
      </c>
    </row>
    <row r="16" spans="1:9">
      <c r="A16" s="16" t="s">
        <v>62</v>
      </c>
      <c r="B16" s="16">
        <v>1</v>
      </c>
      <c r="C16" s="16" t="s">
        <v>42</v>
      </c>
      <c r="D16" s="16">
        <v>1</v>
      </c>
      <c r="E16" s="17">
        <v>0.2</v>
      </c>
      <c r="F16" s="16" t="s">
        <v>55</v>
      </c>
      <c r="G16" s="16" t="s">
        <v>63</v>
      </c>
      <c r="H16" s="16">
        <v>15.8</v>
      </c>
      <c r="I16" s="16">
        <f t="shared" si="0"/>
        <v>16.8</v>
      </c>
    </row>
    <row r="17" spans="1:9">
      <c r="A17" s="16" t="s">
        <v>64</v>
      </c>
      <c r="B17" s="16">
        <v>1</v>
      </c>
      <c r="C17" s="16" t="s">
        <v>42</v>
      </c>
      <c r="D17" s="16">
        <v>1</v>
      </c>
      <c r="E17" s="17">
        <v>0.1</v>
      </c>
      <c r="F17" s="16" t="s">
        <v>55</v>
      </c>
      <c r="G17" s="16" t="s">
        <v>63</v>
      </c>
      <c r="H17" s="16">
        <v>15.8</v>
      </c>
      <c r="I17" s="16">
        <f t="shared" si="0"/>
        <v>16.8</v>
      </c>
    </row>
    <row r="18" spans="1:9">
      <c r="A18" s="16" t="s">
        <v>65</v>
      </c>
      <c r="B18" s="16">
        <v>1</v>
      </c>
      <c r="C18" s="16" t="s">
        <v>42</v>
      </c>
      <c r="D18" s="16">
        <v>1</v>
      </c>
      <c r="E18" s="17">
        <v>0.2</v>
      </c>
      <c r="F18" s="16" t="s">
        <v>55</v>
      </c>
      <c r="G18" s="16" t="s">
        <v>63</v>
      </c>
      <c r="H18" s="16">
        <v>15.8</v>
      </c>
      <c r="I18" s="16">
        <f t="shared" si="0"/>
        <v>16.8</v>
      </c>
    </row>
    <row r="19" spans="1:9">
      <c r="A19" s="16" t="s">
        <v>66</v>
      </c>
      <c r="B19" s="16">
        <v>1</v>
      </c>
      <c r="C19" s="16" t="s">
        <v>42</v>
      </c>
      <c r="D19" s="16">
        <v>1</v>
      </c>
      <c r="E19" s="17">
        <v>0.7</v>
      </c>
      <c r="F19" s="16" t="s">
        <v>43</v>
      </c>
      <c r="G19" s="16" t="s">
        <v>44</v>
      </c>
      <c r="H19" s="16">
        <v>4.5</v>
      </c>
      <c r="I19" s="16">
        <f t="shared" si="0"/>
        <v>5.5</v>
      </c>
    </row>
    <row r="20" spans="1:9">
      <c r="A20" s="16" t="s">
        <v>67</v>
      </c>
      <c r="B20" s="16">
        <v>1</v>
      </c>
      <c r="C20" s="16" t="s">
        <v>42</v>
      </c>
      <c r="D20" s="16">
        <v>1</v>
      </c>
      <c r="E20" s="17">
        <v>0.1</v>
      </c>
      <c r="F20" s="16" t="s">
        <v>43</v>
      </c>
      <c r="G20" s="16" t="s">
        <v>44</v>
      </c>
      <c r="H20" s="16">
        <v>4.5</v>
      </c>
      <c r="I20" s="16">
        <f t="shared" si="0"/>
        <v>5.5</v>
      </c>
    </row>
    <row r="21" spans="1:9">
      <c r="A21" s="16" t="s">
        <v>68</v>
      </c>
      <c r="B21" s="16">
        <v>1</v>
      </c>
      <c r="C21" s="16" t="s">
        <v>42</v>
      </c>
      <c r="D21" s="16">
        <v>1</v>
      </c>
      <c r="E21" s="17">
        <v>0.1</v>
      </c>
      <c r="F21" s="16" t="s">
        <v>43</v>
      </c>
      <c r="G21" s="16" t="s">
        <v>44</v>
      </c>
      <c r="H21" s="16">
        <v>4.5</v>
      </c>
      <c r="I21" s="16">
        <f t="shared" si="0"/>
        <v>5.5</v>
      </c>
    </row>
    <row r="22" spans="1:9">
      <c r="A22" s="16" t="s">
        <v>69</v>
      </c>
      <c r="B22" s="16">
        <v>1</v>
      </c>
      <c r="C22" s="16" t="s">
        <v>42</v>
      </c>
      <c r="D22" s="16">
        <v>1</v>
      </c>
      <c r="E22" s="17">
        <v>1.05</v>
      </c>
      <c r="F22" s="16" t="s">
        <v>43</v>
      </c>
      <c r="G22" s="16" t="s">
        <v>44</v>
      </c>
      <c r="H22" s="16">
        <v>4.5</v>
      </c>
      <c r="I22" s="16">
        <f t="shared" si="0"/>
        <v>5.5</v>
      </c>
    </row>
    <row r="23" spans="1:9">
      <c r="A23" s="16" t="s">
        <v>70</v>
      </c>
      <c r="B23" s="16">
        <v>1</v>
      </c>
      <c r="C23" s="16" t="s">
        <v>42</v>
      </c>
      <c r="D23" s="16">
        <v>1</v>
      </c>
      <c r="E23" s="17">
        <v>0.2</v>
      </c>
      <c r="F23" s="16" t="s">
        <v>43</v>
      </c>
      <c r="G23" s="16" t="s">
        <v>44</v>
      </c>
      <c r="H23" s="16">
        <v>4.5</v>
      </c>
      <c r="I23" s="16">
        <f t="shared" si="0"/>
        <v>5.5</v>
      </c>
    </row>
    <row r="24" spans="1:9">
      <c r="A24" s="16" t="s">
        <v>71</v>
      </c>
      <c r="B24" s="16">
        <v>1</v>
      </c>
      <c r="C24" s="16" t="s">
        <v>42</v>
      </c>
      <c r="D24" s="16">
        <v>1</v>
      </c>
      <c r="E24" s="17">
        <v>0.2</v>
      </c>
      <c r="F24" s="16" t="s">
        <v>55</v>
      </c>
      <c r="G24" s="16" t="s">
        <v>56</v>
      </c>
      <c r="H24" s="16">
        <v>11</v>
      </c>
      <c r="I24" s="16">
        <f t="shared" si="0"/>
        <v>12</v>
      </c>
    </row>
    <row r="25" spans="1:9">
      <c r="A25" s="16" t="s">
        <v>72</v>
      </c>
      <c r="B25" s="16">
        <v>1</v>
      </c>
      <c r="C25" s="16" t="s">
        <v>42</v>
      </c>
      <c r="D25" s="16">
        <v>1</v>
      </c>
      <c r="E25" s="17">
        <v>0.15</v>
      </c>
      <c r="F25" s="16" t="s">
        <v>55</v>
      </c>
      <c r="G25" s="16" t="s">
        <v>63</v>
      </c>
      <c r="H25" s="16">
        <v>15.8</v>
      </c>
      <c r="I25" s="16">
        <f t="shared" si="0"/>
        <v>16.8</v>
      </c>
    </row>
    <row r="26" spans="1:9">
      <c r="A26" s="16" t="s">
        <v>73</v>
      </c>
      <c r="B26" s="16">
        <v>1</v>
      </c>
      <c r="C26" s="16" t="s">
        <v>42</v>
      </c>
      <c r="D26" s="16">
        <v>1</v>
      </c>
      <c r="E26" s="17">
        <v>0.7</v>
      </c>
      <c r="F26" s="16" t="s">
        <v>43</v>
      </c>
      <c r="G26" s="16" t="s">
        <v>44</v>
      </c>
      <c r="H26" s="16">
        <v>4.5</v>
      </c>
      <c r="I26" s="16">
        <f t="shared" si="0"/>
        <v>5.5</v>
      </c>
    </row>
    <row r="27" spans="1:9">
      <c r="A27" s="16" t="s">
        <v>74</v>
      </c>
      <c r="B27" s="16">
        <v>1</v>
      </c>
      <c r="C27" s="16" t="s">
        <v>42</v>
      </c>
      <c r="D27" s="16">
        <v>1</v>
      </c>
      <c r="E27" s="17">
        <v>0.2</v>
      </c>
      <c r="F27" s="16" t="s">
        <v>43</v>
      </c>
      <c r="G27" s="16" t="s">
        <v>44</v>
      </c>
      <c r="H27" s="16">
        <v>4.5</v>
      </c>
      <c r="I27" s="16">
        <f t="shared" si="0"/>
        <v>5.5</v>
      </c>
    </row>
    <row r="28" spans="1:9">
      <c r="A28" s="16" t="s">
        <v>75</v>
      </c>
      <c r="B28" s="16">
        <v>1</v>
      </c>
      <c r="C28" s="16" t="s">
        <v>42</v>
      </c>
      <c r="D28" s="16">
        <v>1</v>
      </c>
      <c r="E28" s="17">
        <v>0.2</v>
      </c>
      <c r="F28" s="16" t="s">
        <v>43</v>
      </c>
      <c r="G28" s="16" t="s">
        <v>44</v>
      </c>
      <c r="H28" s="16">
        <v>4.5</v>
      </c>
      <c r="I28" s="16">
        <f t="shared" si="0"/>
        <v>5.5</v>
      </c>
    </row>
    <row r="29" spans="1:9">
      <c r="A29" s="16" t="s">
        <v>76</v>
      </c>
      <c r="B29" s="16">
        <v>1</v>
      </c>
      <c r="C29" s="16" t="s">
        <v>42</v>
      </c>
      <c r="D29" s="16">
        <v>1</v>
      </c>
      <c r="E29" s="17">
        <v>0.3</v>
      </c>
      <c r="F29" s="16" t="s">
        <v>55</v>
      </c>
      <c r="G29" s="16" t="s">
        <v>63</v>
      </c>
      <c r="H29" s="16">
        <v>15.8</v>
      </c>
      <c r="I29" s="16">
        <f t="shared" si="0"/>
        <v>16.8</v>
      </c>
    </row>
    <row r="30" spans="1:9">
      <c r="A30" s="16" t="s">
        <v>77</v>
      </c>
      <c r="B30" s="16">
        <v>1</v>
      </c>
      <c r="C30" s="16" t="s">
        <v>42</v>
      </c>
      <c r="D30" s="16">
        <v>1</v>
      </c>
      <c r="E30" s="17">
        <v>0.15</v>
      </c>
      <c r="F30" s="16" t="s">
        <v>55</v>
      </c>
      <c r="G30" s="16" t="s">
        <v>63</v>
      </c>
      <c r="H30" s="16">
        <v>15.8</v>
      </c>
      <c r="I30" s="16">
        <f t="shared" si="0"/>
        <v>16.8</v>
      </c>
    </row>
    <row r="31" spans="1:9">
      <c r="A31" s="16" t="s">
        <v>78</v>
      </c>
      <c r="B31" s="16">
        <v>1</v>
      </c>
      <c r="C31" s="16" t="s">
        <v>42</v>
      </c>
      <c r="D31" s="16">
        <v>1</v>
      </c>
      <c r="E31" s="17">
        <v>0.15</v>
      </c>
      <c r="F31" s="16" t="s">
        <v>55</v>
      </c>
      <c r="G31" s="16" t="s">
        <v>63</v>
      </c>
      <c r="H31" s="16">
        <v>15.8</v>
      </c>
      <c r="I31" s="16">
        <f t="shared" si="0"/>
        <v>16.8</v>
      </c>
    </row>
    <row r="32" spans="1:9">
      <c r="A32" s="16" t="s">
        <v>79</v>
      </c>
      <c r="B32" s="16">
        <v>1</v>
      </c>
      <c r="C32" s="16" t="s">
        <v>80</v>
      </c>
      <c r="D32" s="16">
        <f>1+1*2</f>
        <v>3</v>
      </c>
      <c r="E32" s="17">
        <v>2.4</v>
      </c>
      <c r="F32" s="16" t="s">
        <v>43</v>
      </c>
      <c r="G32" s="16" t="s">
        <v>44</v>
      </c>
      <c r="H32" s="16">
        <v>4.5</v>
      </c>
      <c r="I32" s="16">
        <f t="shared" si="0"/>
        <v>7.5</v>
      </c>
    </row>
    <row r="33" spans="1:9">
      <c r="A33" s="16" t="s">
        <v>81</v>
      </c>
      <c r="B33" s="16">
        <v>1</v>
      </c>
      <c r="C33" s="16" t="s">
        <v>42</v>
      </c>
      <c r="D33" s="16">
        <v>1</v>
      </c>
      <c r="E33" s="17">
        <v>0.2</v>
      </c>
      <c r="F33" s="16" t="s">
        <v>43</v>
      </c>
      <c r="G33" s="16" t="s">
        <v>44</v>
      </c>
      <c r="H33" s="16">
        <v>4.5</v>
      </c>
      <c r="I33" s="16">
        <f t="shared" si="0"/>
        <v>5.5</v>
      </c>
    </row>
    <row r="34" spans="1:9">
      <c r="A34" s="16" t="s">
        <v>82</v>
      </c>
      <c r="B34" s="16">
        <v>1</v>
      </c>
      <c r="C34" s="16" t="s">
        <v>42</v>
      </c>
      <c r="D34" s="16">
        <v>1</v>
      </c>
      <c r="E34" s="17">
        <v>0.3</v>
      </c>
      <c r="F34" s="16" t="s">
        <v>43</v>
      </c>
      <c r="G34" s="16" t="s">
        <v>44</v>
      </c>
      <c r="H34" s="16">
        <v>4.5</v>
      </c>
      <c r="I34" s="16">
        <f t="shared" si="0"/>
        <v>5.5</v>
      </c>
    </row>
    <row r="35" spans="1:9">
      <c r="A35" s="16" t="s">
        <v>83</v>
      </c>
      <c r="B35" s="16">
        <v>1</v>
      </c>
      <c r="C35" s="16" t="s">
        <v>42</v>
      </c>
      <c r="D35" s="16">
        <v>1</v>
      </c>
      <c r="E35" s="17">
        <v>0.15</v>
      </c>
      <c r="F35" s="16" t="s">
        <v>55</v>
      </c>
      <c r="G35" s="16" t="s">
        <v>84</v>
      </c>
      <c r="H35" s="16">
        <v>12.5</v>
      </c>
      <c r="I35" s="16">
        <f t="shared" si="0"/>
        <v>13.5</v>
      </c>
    </row>
    <row r="36" spans="1:9">
      <c r="A36" s="16" t="s">
        <v>85</v>
      </c>
      <c r="B36" s="16">
        <v>1</v>
      </c>
      <c r="C36" s="16" t="s">
        <v>42</v>
      </c>
      <c r="D36" s="16">
        <v>1</v>
      </c>
      <c r="E36" s="17">
        <v>0.1</v>
      </c>
      <c r="F36" s="16" t="s">
        <v>43</v>
      </c>
      <c r="G36" s="16" t="s">
        <v>44</v>
      </c>
      <c r="H36" s="16">
        <v>4.5</v>
      </c>
      <c r="I36" s="16">
        <f t="shared" si="0"/>
        <v>5.5</v>
      </c>
    </row>
    <row r="37" spans="1:9">
      <c r="A37" s="16" t="s">
        <v>86</v>
      </c>
      <c r="B37" s="16">
        <v>1</v>
      </c>
      <c r="C37" s="16" t="s">
        <v>42</v>
      </c>
      <c r="D37" s="16">
        <v>1</v>
      </c>
      <c r="E37" s="17">
        <v>0.05</v>
      </c>
      <c r="F37" s="16" t="s">
        <v>55</v>
      </c>
      <c r="G37" s="16" t="s">
        <v>84</v>
      </c>
      <c r="H37" s="16">
        <v>12.5</v>
      </c>
      <c r="I37" s="16">
        <f t="shared" si="0"/>
        <v>13.5</v>
      </c>
    </row>
    <row r="38" spans="1:9">
      <c r="A38" s="16" t="s">
        <v>87</v>
      </c>
      <c r="B38" s="16">
        <v>1</v>
      </c>
      <c r="C38" s="16" t="s">
        <v>42</v>
      </c>
      <c r="D38" s="16">
        <v>1</v>
      </c>
      <c r="E38" s="17">
        <v>0.25</v>
      </c>
      <c r="F38" s="16" t="s">
        <v>55</v>
      </c>
      <c r="G38" s="16" t="s">
        <v>84</v>
      </c>
      <c r="H38" s="16">
        <v>12.5</v>
      </c>
      <c r="I38" s="16">
        <f t="shared" si="0"/>
        <v>13.5</v>
      </c>
    </row>
    <row r="39" spans="1:9">
      <c r="A39" s="16" t="s">
        <v>88</v>
      </c>
      <c r="B39" s="16">
        <v>1</v>
      </c>
      <c r="C39" s="16" t="s">
        <v>42</v>
      </c>
      <c r="D39" s="16">
        <v>1</v>
      </c>
      <c r="E39" s="17">
        <v>0.15</v>
      </c>
      <c r="F39" s="16" t="s">
        <v>43</v>
      </c>
      <c r="G39" s="16" t="s">
        <v>44</v>
      </c>
      <c r="H39" s="16">
        <v>4.5</v>
      </c>
      <c r="I39" s="16">
        <f t="shared" si="0"/>
        <v>5.5</v>
      </c>
    </row>
    <row r="40" spans="1:9">
      <c r="A40" s="16" t="s">
        <v>89</v>
      </c>
      <c r="B40" s="16">
        <v>1</v>
      </c>
      <c r="C40" s="16" t="s">
        <v>42</v>
      </c>
      <c r="D40" s="16">
        <v>1</v>
      </c>
      <c r="E40" s="17">
        <v>0.1</v>
      </c>
      <c r="F40" s="16" t="s">
        <v>43</v>
      </c>
      <c r="G40" s="16" t="s">
        <v>44</v>
      </c>
      <c r="H40" s="16">
        <v>4.5</v>
      </c>
      <c r="I40" s="16">
        <f t="shared" si="0"/>
        <v>5.5</v>
      </c>
    </row>
    <row r="41" spans="1:9">
      <c r="A41" s="16" t="s">
        <v>90</v>
      </c>
      <c r="B41" s="16">
        <v>1</v>
      </c>
      <c r="C41" s="16" t="s">
        <v>42</v>
      </c>
      <c r="D41" s="16">
        <v>1</v>
      </c>
      <c r="E41" s="17">
        <v>0.75</v>
      </c>
      <c r="F41" s="16" t="s">
        <v>43</v>
      </c>
      <c r="G41" s="16" t="s">
        <v>44</v>
      </c>
      <c r="H41" s="16">
        <v>4.5</v>
      </c>
      <c r="I41" s="16">
        <f t="shared" si="0"/>
        <v>5.5</v>
      </c>
    </row>
    <row r="42" spans="1:9">
      <c r="A42" s="16" t="s">
        <v>91</v>
      </c>
      <c r="B42" s="16">
        <v>1</v>
      </c>
      <c r="C42" s="16" t="s">
        <v>42</v>
      </c>
      <c r="D42" s="16">
        <v>1</v>
      </c>
      <c r="E42" s="17">
        <v>0.75</v>
      </c>
      <c r="F42" s="16" t="s">
        <v>43</v>
      </c>
      <c r="G42" s="16" t="s">
        <v>44</v>
      </c>
      <c r="H42" s="16">
        <v>4.5</v>
      </c>
      <c r="I42" s="16">
        <f t="shared" si="0"/>
        <v>5.5</v>
      </c>
    </row>
    <row r="43" spans="1:9">
      <c r="A43" s="16" t="s">
        <v>92</v>
      </c>
      <c r="B43" s="16">
        <v>1</v>
      </c>
      <c r="C43" s="16" t="s">
        <v>54</v>
      </c>
      <c r="D43" s="16">
        <f>1+1</f>
        <v>2</v>
      </c>
      <c r="E43" s="17">
        <v>0.35</v>
      </c>
      <c r="F43" s="16" t="s">
        <v>55</v>
      </c>
      <c r="G43" s="16" t="s">
        <v>56</v>
      </c>
      <c r="H43" s="16">
        <v>11</v>
      </c>
      <c r="I43" s="16">
        <f t="shared" si="0"/>
        <v>13</v>
      </c>
    </row>
    <row r="44" spans="1:9">
      <c r="A44" s="16" t="s">
        <v>93</v>
      </c>
      <c r="B44" s="16">
        <v>1</v>
      </c>
      <c r="C44" s="16" t="s">
        <v>42</v>
      </c>
      <c r="D44" s="16">
        <v>1</v>
      </c>
      <c r="E44" s="17">
        <v>0.3</v>
      </c>
      <c r="F44" s="16" t="s">
        <v>43</v>
      </c>
      <c r="G44" s="16" t="s">
        <v>44</v>
      </c>
      <c r="H44" s="16">
        <v>4.5</v>
      </c>
      <c r="I44" s="16">
        <f t="shared" si="0"/>
        <v>5.5</v>
      </c>
    </row>
    <row r="45" spans="1:9">
      <c r="A45" s="16" t="s">
        <v>94</v>
      </c>
      <c r="B45" s="16">
        <v>1</v>
      </c>
      <c r="C45" s="16" t="s">
        <v>42</v>
      </c>
      <c r="D45" s="16">
        <v>1</v>
      </c>
      <c r="E45" s="17">
        <v>0.75</v>
      </c>
      <c r="F45" s="16" t="s">
        <v>43</v>
      </c>
      <c r="G45" s="16" t="s">
        <v>44</v>
      </c>
      <c r="H45" s="16">
        <v>4.5</v>
      </c>
      <c r="I45" s="16">
        <f t="shared" si="0"/>
        <v>5.5</v>
      </c>
    </row>
    <row r="46" spans="1:9">
      <c r="A46" s="16" t="s">
        <v>95</v>
      </c>
      <c r="B46" s="16">
        <v>1</v>
      </c>
      <c r="C46" s="16" t="s">
        <v>42</v>
      </c>
      <c r="D46" s="16">
        <v>1</v>
      </c>
      <c r="E46" s="17">
        <v>0.15</v>
      </c>
      <c r="F46" s="16" t="s">
        <v>43</v>
      </c>
      <c r="G46" s="16" t="s">
        <v>44</v>
      </c>
      <c r="H46" s="16">
        <v>4.5</v>
      </c>
      <c r="I46" s="16">
        <f t="shared" si="0"/>
        <v>5.5</v>
      </c>
    </row>
    <row r="47" spans="1:9">
      <c r="A47" s="16" t="s">
        <v>96</v>
      </c>
      <c r="B47" s="16">
        <v>1</v>
      </c>
      <c r="C47" s="16" t="s">
        <v>42</v>
      </c>
      <c r="D47" s="16">
        <v>1</v>
      </c>
      <c r="E47" s="17">
        <v>3</v>
      </c>
      <c r="F47" s="16" t="s">
        <v>43</v>
      </c>
      <c r="G47" s="16" t="s">
        <v>44</v>
      </c>
      <c r="H47" s="16">
        <v>5.2</v>
      </c>
      <c r="I47" s="16">
        <f t="shared" si="0"/>
        <v>6.2</v>
      </c>
    </row>
    <row r="48" spans="1:9">
      <c r="A48" s="16" t="s">
        <v>97</v>
      </c>
      <c r="B48" s="16">
        <v>1</v>
      </c>
      <c r="C48" s="16" t="s">
        <v>42</v>
      </c>
      <c r="D48" s="16">
        <v>1</v>
      </c>
      <c r="E48" s="17">
        <v>1.75</v>
      </c>
      <c r="F48" s="16" t="s">
        <v>43</v>
      </c>
      <c r="G48" s="16" t="s">
        <v>44</v>
      </c>
      <c r="H48" s="16">
        <v>4.5</v>
      </c>
      <c r="I48" s="16">
        <f t="shared" si="0"/>
        <v>5.5</v>
      </c>
    </row>
    <row r="49" spans="1:9">
      <c r="A49" s="16" t="s">
        <v>98</v>
      </c>
      <c r="B49" s="16">
        <v>1</v>
      </c>
      <c r="C49" s="16" t="s">
        <v>42</v>
      </c>
      <c r="D49" s="16">
        <v>1</v>
      </c>
      <c r="E49" s="17">
        <v>0.3</v>
      </c>
      <c r="F49" s="16" t="s">
        <v>43</v>
      </c>
      <c r="G49" s="16" t="s">
        <v>44</v>
      </c>
      <c r="H49" s="16">
        <v>4.5</v>
      </c>
      <c r="I49" s="16">
        <f t="shared" si="0"/>
        <v>5.5</v>
      </c>
    </row>
    <row r="50" spans="1:9">
      <c r="A50" s="16" t="s">
        <v>99</v>
      </c>
      <c r="B50" s="16">
        <v>1</v>
      </c>
      <c r="C50" s="16" t="s">
        <v>42</v>
      </c>
      <c r="D50" s="16">
        <v>1</v>
      </c>
      <c r="E50" s="17">
        <v>0.1</v>
      </c>
      <c r="F50" s="16" t="s">
        <v>43</v>
      </c>
      <c r="G50" s="16" t="s">
        <v>44</v>
      </c>
      <c r="H50" s="16">
        <v>4.5</v>
      </c>
      <c r="I50" s="16">
        <f t="shared" si="0"/>
        <v>5.5</v>
      </c>
    </row>
    <row r="51" spans="1:9">
      <c r="A51" s="16" t="s">
        <v>100</v>
      </c>
      <c r="B51" s="16">
        <v>1</v>
      </c>
      <c r="C51" s="16" t="s">
        <v>42</v>
      </c>
      <c r="D51" s="16">
        <v>1</v>
      </c>
      <c r="E51" s="17">
        <v>0.75</v>
      </c>
      <c r="F51" s="16" t="s">
        <v>43</v>
      </c>
      <c r="G51" s="16" t="s">
        <v>44</v>
      </c>
      <c r="H51" s="16">
        <v>4.5</v>
      </c>
      <c r="I51" s="16">
        <f t="shared" si="0"/>
        <v>5.5</v>
      </c>
    </row>
    <row r="52" spans="1:9">
      <c r="A52" s="16" t="s">
        <v>101</v>
      </c>
      <c r="B52" s="16">
        <v>1</v>
      </c>
      <c r="C52" s="16" t="s">
        <v>42</v>
      </c>
      <c r="D52" s="16">
        <v>1</v>
      </c>
      <c r="E52" s="17">
        <v>0.75</v>
      </c>
      <c r="F52" s="16" t="s">
        <v>43</v>
      </c>
      <c r="G52" s="16" t="s">
        <v>44</v>
      </c>
      <c r="H52" s="16">
        <v>4.5</v>
      </c>
      <c r="I52" s="16">
        <f t="shared" si="0"/>
        <v>5.5</v>
      </c>
    </row>
    <row r="53" spans="1:9">
      <c r="A53" s="16" t="s">
        <v>102</v>
      </c>
      <c r="B53" s="16">
        <v>1</v>
      </c>
      <c r="C53" s="16" t="s">
        <v>42</v>
      </c>
      <c r="D53" s="16">
        <v>1</v>
      </c>
      <c r="E53" s="17">
        <v>0.75</v>
      </c>
      <c r="F53" s="16" t="s">
        <v>43</v>
      </c>
      <c r="G53" s="16" t="s">
        <v>44</v>
      </c>
      <c r="H53" s="16">
        <v>4.5</v>
      </c>
      <c r="I53" s="16">
        <f t="shared" si="0"/>
        <v>5.5</v>
      </c>
    </row>
    <row r="54" spans="1:9">
      <c r="A54" s="16" t="s">
        <v>103</v>
      </c>
      <c r="B54" s="16">
        <v>1</v>
      </c>
      <c r="C54" s="16" t="s">
        <v>42</v>
      </c>
      <c r="D54" s="16">
        <v>1</v>
      </c>
      <c r="E54" s="17">
        <v>0.1</v>
      </c>
      <c r="F54" s="16" t="s">
        <v>43</v>
      </c>
      <c r="G54" s="16" t="s">
        <v>44</v>
      </c>
      <c r="H54" s="16">
        <v>4.5</v>
      </c>
      <c r="I54" s="16">
        <f t="shared" si="0"/>
        <v>5.5</v>
      </c>
    </row>
    <row r="55" spans="1:9">
      <c r="A55" s="16" t="s">
        <v>104</v>
      </c>
      <c r="B55" s="16">
        <v>1</v>
      </c>
      <c r="C55" s="16" t="s">
        <v>42</v>
      </c>
      <c r="D55" s="16">
        <v>1</v>
      </c>
      <c r="E55" s="17">
        <v>1.75</v>
      </c>
      <c r="F55" s="16" t="s">
        <v>43</v>
      </c>
      <c r="G55" s="16" t="s">
        <v>44</v>
      </c>
      <c r="H55" s="16">
        <v>4.5</v>
      </c>
      <c r="I55" s="16">
        <f t="shared" si="0"/>
        <v>5.5</v>
      </c>
    </row>
    <row r="56" spans="1:9">
      <c r="A56" s="16" t="s">
        <v>105</v>
      </c>
      <c r="B56" s="16">
        <v>1</v>
      </c>
      <c r="C56" s="16" t="s">
        <v>42</v>
      </c>
      <c r="D56" s="16">
        <v>1</v>
      </c>
      <c r="E56" s="17">
        <v>0.1</v>
      </c>
      <c r="F56" s="16" t="s">
        <v>43</v>
      </c>
      <c r="G56" s="16" t="s">
        <v>44</v>
      </c>
      <c r="H56" s="16">
        <v>4.5</v>
      </c>
      <c r="I56" s="16">
        <f t="shared" si="0"/>
        <v>5.5</v>
      </c>
    </row>
    <row r="57" spans="1:9">
      <c r="A57" s="16" t="s">
        <v>106</v>
      </c>
      <c r="B57" s="16">
        <v>1</v>
      </c>
      <c r="C57" s="16" t="s">
        <v>42</v>
      </c>
      <c r="D57" s="16">
        <v>1</v>
      </c>
      <c r="E57" s="17">
        <v>0.2</v>
      </c>
      <c r="F57" s="16" t="s">
        <v>55</v>
      </c>
      <c r="G57" s="16" t="s">
        <v>63</v>
      </c>
      <c r="H57" s="16">
        <v>15.8</v>
      </c>
      <c r="I57" s="16">
        <f t="shared" si="0"/>
        <v>16.8</v>
      </c>
    </row>
    <row r="58" spans="1:9">
      <c r="A58" s="16" t="s">
        <v>107</v>
      </c>
      <c r="B58" s="16">
        <v>1</v>
      </c>
      <c r="C58" s="16" t="s">
        <v>54</v>
      </c>
      <c r="D58" s="16">
        <f>1+1</f>
        <v>2</v>
      </c>
      <c r="E58" s="17">
        <v>0.2</v>
      </c>
      <c r="F58" s="16" t="s">
        <v>43</v>
      </c>
      <c r="G58" s="16" t="s">
        <v>44</v>
      </c>
      <c r="H58" s="16">
        <v>4.5</v>
      </c>
      <c r="I58" s="16">
        <f t="shared" si="0"/>
        <v>6.5</v>
      </c>
    </row>
    <row r="59" spans="1:9">
      <c r="A59" s="16" t="s">
        <v>108</v>
      </c>
      <c r="B59" s="16">
        <v>1</v>
      </c>
      <c r="C59" s="16" t="s">
        <v>42</v>
      </c>
      <c r="D59" s="16">
        <v>1</v>
      </c>
      <c r="E59" s="17">
        <v>0.1</v>
      </c>
      <c r="F59" s="16" t="s">
        <v>43</v>
      </c>
      <c r="G59" s="16" t="s">
        <v>44</v>
      </c>
      <c r="H59" s="16">
        <v>4.5</v>
      </c>
      <c r="I59" s="16">
        <f t="shared" si="0"/>
        <v>5.5</v>
      </c>
    </row>
    <row r="60" spans="1:9">
      <c r="A60" s="16" t="s">
        <v>109</v>
      </c>
      <c r="B60" s="16">
        <v>1</v>
      </c>
      <c r="C60" s="16" t="s">
        <v>42</v>
      </c>
      <c r="D60" s="16">
        <v>1</v>
      </c>
      <c r="E60" s="17">
        <v>0.65</v>
      </c>
      <c r="F60" s="16" t="s">
        <v>43</v>
      </c>
      <c r="G60" s="16" t="s">
        <v>44</v>
      </c>
      <c r="H60" s="16">
        <v>4.5</v>
      </c>
      <c r="I60" s="16">
        <f t="shared" si="0"/>
        <v>5.5</v>
      </c>
    </row>
    <row r="61" spans="1:9">
      <c r="A61" s="16" t="s">
        <v>110</v>
      </c>
      <c r="B61" s="16">
        <v>1</v>
      </c>
      <c r="C61" s="16" t="s">
        <v>42</v>
      </c>
      <c r="D61" s="16">
        <v>1</v>
      </c>
      <c r="E61" s="17">
        <v>0.3</v>
      </c>
      <c r="F61" s="16" t="s">
        <v>43</v>
      </c>
      <c r="G61" s="16" t="s">
        <v>44</v>
      </c>
      <c r="H61" s="16">
        <v>4.5</v>
      </c>
      <c r="I61" s="16">
        <f t="shared" si="0"/>
        <v>5.5</v>
      </c>
    </row>
    <row r="62" spans="1:9">
      <c r="A62" s="16" t="s">
        <v>111</v>
      </c>
      <c r="B62" s="16">
        <v>1</v>
      </c>
      <c r="C62" s="16" t="s">
        <v>42</v>
      </c>
      <c r="D62" s="16">
        <v>1</v>
      </c>
      <c r="E62" s="17">
        <v>0.4</v>
      </c>
      <c r="F62" s="16" t="s">
        <v>43</v>
      </c>
      <c r="G62" s="16" t="s">
        <v>44</v>
      </c>
      <c r="H62" s="16">
        <v>4.5</v>
      </c>
      <c r="I62" s="16">
        <f t="shared" si="0"/>
        <v>5.5</v>
      </c>
    </row>
    <row r="63" spans="1:9">
      <c r="A63" s="16" t="s">
        <v>112</v>
      </c>
      <c r="B63" s="16">
        <v>1</v>
      </c>
      <c r="C63" s="16" t="s">
        <v>42</v>
      </c>
      <c r="D63" s="16">
        <v>1</v>
      </c>
      <c r="E63" s="17">
        <v>0.2</v>
      </c>
      <c r="F63" s="16" t="s">
        <v>55</v>
      </c>
      <c r="G63" s="16" t="s">
        <v>58</v>
      </c>
      <c r="H63" s="16">
        <v>12.8</v>
      </c>
      <c r="I63" s="16">
        <f t="shared" si="0"/>
        <v>13.8</v>
      </c>
    </row>
    <row r="64" spans="1:9">
      <c r="A64" s="16" t="s">
        <v>113</v>
      </c>
      <c r="B64" s="16">
        <v>1</v>
      </c>
      <c r="C64" s="16" t="s">
        <v>42</v>
      </c>
      <c r="D64" s="16">
        <v>1</v>
      </c>
      <c r="E64" s="17">
        <v>0.3</v>
      </c>
      <c r="F64" s="16" t="s">
        <v>43</v>
      </c>
      <c r="G64" s="16" t="s">
        <v>44</v>
      </c>
      <c r="H64" s="16">
        <v>4.5</v>
      </c>
      <c r="I64" s="16">
        <f t="shared" si="0"/>
        <v>5.5</v>
      </c>
    </row>
    <row r="65" spans="1:9">
      <c r="A65" s="16" t="s">
        <v>114</v>
      </c>
      <c r="B65" s="16">
        <v>1</v>
      </c>
      <c r="C65" s="16" t="s">
        <v>42</v>
      </c>
      <c r="D65" s="16">
        <v>1</v>
      </c>
      <c r="E65" s="17">
        <v>0.1</v>
      </c>
      <c r="F65" s="16" t="s">
        <v>43</v>
      </c>
      <c r="G65" s="16" t="s">
        <v>44</v>
      </c>
      <c r="H65" s="16">
        <v>4.5</v>
      </c>
      <c r="I65" s="16">
        <f t="shared" si="0"/>
        <v>5.5</v>
      </c>
    </row>
    <row r="66" spans="1:9">
      <c r="A66" s="16" t="s">
        <v>115</v>
      </c>
      <c r="B66" s="16">
        <v>1</v>
      </c>
      <c r="C66" s="16" t="s">
        <v>42</v>
      </c>
      <c r="D66" s="16">
        <v>1</v>
      </c>
      <c r="E66" s="17">
        <v>0.25</v>
      </c>
      <c r="F66" s="16" t="s">
        <v>43</v>
      </c>
      <c r="G66" s="16" t="s">
        <v>44</v>
      </c>
      <c r="H66" s="16">
        <v>4.5</v>
      </c>
      <c r="I66" s="16">
        <f t="shared" si="0"/>
        <v>5.5</v>
      </c>
    </row>
    <row r="67" spans="1:9">
      <c r="A67" s="16" t="s">
        <v>116</v>
      </c>
      <c r="B67" s="16">
        <v>1</v>
      </c>
      <c r="C67" s="16" t="s">
        <v>42</v>
      </c>
      <c r="D67" s="16">
        <v>1</v>
      </c>
      <c r="E67" s="17">
        <v>0.2</v>
      </c>
      <c r="F67" s="16" t="s">
        <v>43</v>
      </c>
      <c r="G67" s="16" t="s">
        <v>44</v>
      </c>
      <c r="H67" s="16">
        <v>4.5</v>
      </c>
      <c r="I67" s="16">
        <f t="shared" ref="I67:I130" si="1">D67+H67</f>
        <v>5.5</v>
      </c>
    </row>
    <row r="68" spans="1:9">
      <c r="A68" s="16" t="s">
        <v>117</v>
      </c>
      <c r="B68" s="16">
        <v>1</v>
      </c>
      <c r="C68" s="16" t="s">
        <v>42</v>
      </c>
      <c r="D68" s="16">
        <v>1</v>
      </c>
      <c r="E68" s="17">
        <v>0.2</v>
      </c>
      <c r="F68" s="16" t="s">
        <v>55</v>
      </c>
      <c r="G68" s="16" t="s">
        <v>56</v>
      </c>
      <c r="H68" s="16">
        <v>11</v>
      </c>
      <c r="I68" s="16">
        <f t="shared" si="1"/>
        <v>12</v>
      </c>
    </row>
    <row r="69" spans="1:9">
      <c r="A69" s="16" t="s">
        <v>118</v>
      </c>
      <c r="B69" s="16">
        <v>1</v>
      </c>
      <c r="C69" s="16" t="s">
        <v>42</v>
      </c>
      <c r="D69" s="16">
        <v>1</v>
      </c>
      <c r="E69" s="17">
        <v>0.15</v>
      </c>
      <c r="F69" s="16" t="s">
        <v>43</v>
      </c>
      <c r="G69" s="16" t="s">
        <v>44</v>
      </c>
      <c r="H69" s="16">
        <v>4.5</v>
      </c>
      <c r="I69" s="16">
        <f t="shared" si="1"/>
        <v>5.5</v>
      </c>
    </row>
    <row r="70" spans="1:9">
      <c r="A70" s="16" t="s">
        <v>119</v>
      </c>
      <c r="B70" s="16">
        <v>1</v>
      </c>
      <c r="C70" s="16" t="s">
        <v>42</v>
      </c>
      <c r="D70" s="16">
        <v>1</v>
      </c>
      <c r="E70" s="17">
        <v>0.15</v>
      </c>
      <c r="F70" s="16" t="s">
        <v>43</v>
      </c>
      <c r="G70" s="16" t="s">
        <v>44</v>
      </c>
      <c r="H70" s="16">
        <v>4.5</v>
      </c>
      <c r="I70" s="16">
        <f t="shared" si="1"/>
        <v>5.5</v>
      </c>
    </row>
    <row r="71" spans="1:9">
      <c r="A71" s="16" t="s">
        <v>120</v>
      </c>
      <c r="B71" s="16">
        <v>1</v>
      </c>
      <c r="C71" s="16" t="s">
        <v>42</v>
      </c>
      <c r="D71" s="16">
        <v>1</v>
      </c>
      <c r="E71" s="17">
        <v>0.2</v>
      </c>
      <c r="F71" s="16" t="s">
        <v>43</v>
      </c>
      <c r="G71" s="16" t="s">
        <v>44</v>
      </c>
      <c r="H71" s="16">
        <v>4.5</v>
      </c>
      <c r="I71" s="16">
        <f t="shared" si="1"/>
        <v>5.5</v>
      </c>
    </row>
    <row r="72" spans="1:9">
      <c r="A72" s="16" t="s">
        <v>121</v>
      </c>
      <c r="B72" s="16">
        <v>1</v>
      </c>
      <c r="C72" s="16" t="s">
        <v>42</v>
      </c>
      <c r="D72" s="16">
        <v>1</v>
      </c>
      <c r="E72" s="17">
        <v>0.1</v>
      </c>
      <c r="F72" s="16" t="s">
        <v>55</v>
      </c>
      <c r="G72" s="16" t="s">
        <v>56</v>
      </c>
      <c r="H72" s="16">
        <v>11</v>
      </c>
      <c r="I72" s="16">
        <f t="shared" si="1"/>
        <v>12</v>
      </c>
    </row>
    <row r="73" spans="1:9">
      <c r="A73" s="16" t="s">
        <v>122</v>
      </c>
      <c r="B73" s="16">
        <v>1</v>
      </c>
      <c r="C73" s="16" t="s">
        <v>42</v>
      </c>
      <c r="D73" s="16">
        <v>1</v>
      </c>
      <c r="E73" s="17">
        <v>0.3</v>
      </c>
      <c r="F73" s="16" t="s">
        <v>43</v>
      </c>
      <c r="G73" s="16" t="s">
        <v>44</v>
      </c>
      <c r="H73" s="16">
        <v>4.5</v>
      </c>
      <c r="I73" s="16">
        <f t="shared" si="1"/>
        <v>5.5</v>
      </c>
    </row>
    <row r="74" spans="1:9">
      <c r="A74" s="16" t="s">
        <v>123</v>
      </c>
      <c r="B74" s="16">
        <v>1</v>
      </c>
      <c r="C74" s="16" t="s">
        <v>42</v>
      </c>
      <c r="D74" s="16">
        <v>1</v>
      </c>
      <c r="E74" s="17">
        <v>0.3</v>
      </c>
      <c r="F74" s="16" t="s">
        <v>43</v>
      </c>
      <c r="G74" s="16" t="s">
        <v>44</v>
      </c>
      <c r="H74" s="16">
        <v>4.5</v>
      </c>
      <c r="I74" s="16">
        <f t="shared" si="1"/>
        <v>5.5</v>
      </c>
    </row>
    <row r="75" spans="1:9">
      <c r="A75" s="16" t="s">
        <v>124</v>
      </c>
      <c r="B75" s="16">
        <v>1</v>
      </c>
      <c r="C75" s="16" t="s">
        <v>42</v>
      </c>
      <c r="D75" s="16">
        <v>1</v>
      </c>
      <c r="E75" s="17">
        <v>0.8</v>
      </c>
      <c r="F75" s="16" t="s">
        <v>43</v>
      </c>
      <c r="G75" s="16" t="s">
        <v>44</v>
      </c>
      <c r="H75" s="16">
        <v>4.5</v>
      </c>
      <c r="I75" s="16">
        <f t="shared" si="1"/>
        <v>5.5</v>
      </c>
    </row>
    <row r="76" spans="1:9">
      <c r="A76" s="16" t="s">
        <v>125</v>
      </c>
      <c r="B76" s="16">
        <v>1</v>
      </c>
      <c r="C76" s="16" t="s">
        <v>42</v>
      </c>
      <c r="D76" s="16">
        <v>1</v>
      </c>
      <c r="E76" s="17">
        <v>0.05</v>
      </c>
      <c r="F76" s="16" t="s">
        <v>55</v>
      </c>
      <c r="G76" s="16" t="s">
        <v>84</v>
      </c>
      <c r="H76" s="16">
        <v>12.5</v>
      </c>
      <c r="I76" s="16">
        <f t="shared" si="1"/>
        <v>13.5</v>
      </c>
    </row>
    <row r="77" spans="1:9">
      <c r="A77" s="16" t="s">
        <v>126</v>
      </c>
      <c r="B77" s="16">
        <v>1</v>
      </c>
      <c r="C77" s="16" t="s">
        <v>42</v>
      </c>
      <c r="D77" s="16">
        <v>1</v>
      </c>
      <c r="E77" s="17">
        <v>0.15</v>
      </c>
      <c r="F77" s="16" t="s">
        <v>43</v>
      </c>
      <c r="G77" s="16" t="s">
        <v>44</v>
      </c>
      <c r="H77" s="16">
        <v>4.5</v>
      </c>
      <c r="I77" s="16">
        <f t="shared" si="1"/>
        <v>5.5</v>
      </c>
    </row>
    <row r="78" spans="1:9">
      <c r="A78" s="16" t="s">
        <v>127</v>
      </c>
      <c r="B78" s="16">
        <v>1</v>
      </c>
      <c r="C78" s="16" t="s">
        <v>42</v>
      </c>
      <c r="D78" s="16">
        <v>1</v>
      </c>
      <c r="E78" s="17">
        <v>0.2</v>
      </c>
      <c r="F78" s="16" t="s">
        <v>43</v>
      </c>
      <c r="G78" s="16" t="s">
        <v>44</v>
      </c>
      <c r="H78" s="16">
        <v>4.5</v>
      </c>
      <c r="I78" s="16">
        <f t="shared" si="1"/>
        <v>5.5</v>
      </c>
    </row>
    <row r="79" spans="1:9">
      <c r="A79" s="16" t="s">
        <v>128</v>
      </c>
      <c r="B79" s="16">
        <v>1</v>
      </c>
      <c r="C79" s="16" t="s">
        <v>42</v>
      </c>
      <c r="D79" s="16">
        <v>1</v>
      </c>
      <c r="E79" s="17">
        <v>0.2</v>
      </c>
      <c r="F79" s="16" t="s">
        <v>55</v>
      </c>
      <c r="G79" s="16" t="s">
        <v>58</v>
      </c>
      <c r="H79" s="16">
        <v>12.8</v>
      </c>
      <c r="I79" s="16">
        <f t="shared" si="1"/>
        <v>13.8</v>
      </c>
    </row>
    <row r="80" spans="1:9">
      <c r="A80" s="16" t="s">
        <v>129</v>
      </c>
      <c r="B80" s="16">
        <v>1</v>
      </c>
      <c r="C80" s="16" t="s">
        <v>42</v>
      </c>
      <c r="D80" s="16">
        <v>1</v>
      </c>
      <c r="E80" s="17">
        <v>0.15</v>
      </c>
      <c r="F80" s="16" t="s">
        <v>43</v>
      </c>
      <c r="G80" s="16" t="s">
        <v>44</v>
      </c>
      <c r="H80" s="16">
        <v>4.5</v>
      </c>
      <c r="I80" s="16">
        <f t="shared" si="1"/>
        <v>5.5</v>
      </c>
    </row>
    <row r="81" spans="1:9">
      <c r="A81" s="16" t="s">
        <v>130</v>
      </c>
      <c r="B81" s="16">
        <v>1</v>
      </c>
      <c r="C81" s="16" t="s">
        <v>42</v>
      </c>
      <c r="D81" s="16">
        <v>1</v>
      </c>
      <c r="E81" s="17">
        <v>0.55</v>
      </c>
      <c r="F81" s="16" t="s">
        <v>43</v>
      </c>
      <c r="G81" s="16" t="s">
        <v>44</v>
      </c>
      <c r="H81" s="16">
        <v>4.5</v>
      </c>
      <c r="I81" s="16">
        <f t="shared" si="1"/>
        <v>5.5</v>
      </c>
    </row>
    <row r="82" spans="1:9">
      <c r="A82" s="16" t="s">
        <v>131</v>
      </c>
      <c r="B82" s="16">
        <v>1</v>
      </c>
      <c r="C82" s="16" t="s">
        <v>42</v>
      </c>
      <c r="D82" s="16">
        <v>1</v>
      </c>
      <c r="E82" s="17">
        <v>0.1</v>
      </c>
      <c r="F82" s="16" t="s">
        <v>43</v>
      </c>
      <c r="G82" s="16" t="s">
        <v>44</v>
      </c>
      <c r="H82" s="16">
        <v>4.5</v>
      </c>
      <c r="I82" s="16">
        <f t="shared" si="1"/>
        <v>5.5</v>
      </c>
    </row>
    <row r="83" spans="1:9">
      <c r="A83" s="16" t="s">
        <v>132</v>
      </c>
      <c r="B83" s="16">
        <v>1</v>
      </c>
      <c r="C83" s="16" t="s">
        <v>42</v>
      </c>
      <c r="D83" s="16">
        <v>1</v>
      </c>
      <c r="E83" s="17">
        <v>0.1</v>
      </c>
      <c r="F83" s="16" t="s">
        <v>43</v>
      </c>
      <c r="G83" s="16" t="s">
        <v>44</v>
      </c>
      <c r="H83" s="16">
        <v>4.5</v>
      </c>
      <c r="I83" s="16">
        <f t="shared" si="1"/>
        <v>5.5</v>
      </c>
    </row>
    <row r="84" spans="1:9">
      <c r="A84" s="16" t="s">
        <v>133</v>
      </c>
      <c r="B84" s="16">
        <v>1</v>
      </c>
      <c r="C84" s="16" t="s">
        <v>42</v>
      </c>
      <c r="D84" s="16">
        <v>1</v>
      </c>
      <c r="E84" s="17">
        <v>0.15</v>
      </c>
      <c r="F84" s="16" t="s">
        <v>55</v>
      </c>
      <c r="G84" s="16" t="s">
        <v>56</v>
      </c>
      <c r="H84" s="16">
        <v>11</v>
      </c>
      <c r="I84" s="16">
        <f t="shared" si="1"/>
        <v>12</v>
      </c>
    </row>
    <row r="85" spans="1:9">
      <c r="A85" s="16" t="s">
        <v>134</v>
      </c>
      <c r="B85" s="16">
        <v>1</v>
      </c>
      <c r="C85" s="16" t="s">
        <v>42</v>
      </c>
      <c r="D85" s="16">
        <v>1</v>
      </c>
      <c r="E85" s="17">
        <v>0.2</v>
      </c>
      <c r="F85" s="16" t="s">
        <v>43</v>
      </c>
      <c r="G85" s="16" t="s">
        <v>44</v>
      </c>
      <c r="H85" s="16">
        <v>4.5</v>
      </c>
      <c r="I85" s="16">
        <f t="shared" si="1"/>
        <v>5.5</v>
      </c>
    </row>
    <row r="86" spans="1:9">
      <c r="A86" s="16" t="s">
        <v>135</v>
      </c>
      <c r="B86" s="16">
        <v>1</v>
      </c>
      <c r="C86" s="16" t="s">
        <v>42</v>
      </c>
      <c r="D86" s="16">
        <v>1</v>
      </c>
      <c r="E86" s="17">
        <v>1.75</v>
      </c>
      <c r="F86" s="16" t="s">
        <v>43</v>
      </c>
      <c r="G86" s="16" t="s">
        <v>44</v>
      </c>
      <c r="H86" s="16">
        <v>4.5</v>
      </c>
      <c r="I86" s="16">
        <f t="shared" si="1"/>
        <v>5.5</v>
      </c>
    </row>
    <row r="87" spans="1:9">
      <c r="A87" s="16" t="s">
        <v>136</v>
      </c>
      <c r="B87" s="16">
        <v>1</v>
      </c>
      <c r="C87" s="16" t="s">
        <v>42</v>
      </c>
      <c r="D87" s="16">
        <v>1</v>
      </c>
      <c r="E87" s="17">
        <v>0.45</v>
      </c>
      <c r="F87" s="16" t="s">
        <v>55</v>
      </c>
      <c r="G87" s="16" t="s">
        <v>58</v>
      </c>
      <c r="H87" s="16">
        <v>12.8</v>
      </c>
      <c r="I87" s="16">
        <f t="shared" si="1"/>
        <v>13.8</v>
      </c>
    </row>
    <row r="88" spans="1:9">
      <c r="A88" s="16" t="s">
        <v>137</v>
      </c>
      <c r="B88" s="16">
        <v>1</v>
      </c>
      <c r="C88" s="16" t="s">
        <v>42</v>
      </c>
      <c r="D88" s="16">
        <v>1</v>
      </c>
      <c r="E88" s="17">
        <v>0.65</v>
      </c>
      <c r="F88" s="16" t="s">
        <v>43</v>
      </c>
      <c r="G88" s="16" t="s">
        <v>44</v>
      </c>
      <c r="H88" s="16">
        <v>4.5</v>
      </c>
      <c r="I88" s="16">
        <f t="shared" si="1"/>
        <v>5.5</v>
      </c>
    </row>
    <row r="89" spans="1:9">
      <c r="A89" s="16" t="s">
        <v>138</v>
      </c>
      <c r="B89" s="16">
        <v>1</v>
      </c>
      <c r="C89" s="16" t="s">
        <v>42</v>
      </c>
      <c r="D89" s="16">
        <v>1</v>
      </c>
      <c r="E89" s="17">
        <v>0.1</v>
      </c>
      <c r="F89" s="16" t="s">
        <v>43</v>
      </c>
      <c r="G89" s="16" t="s">
        <v>44</v>
      </c>
      <c r="H89" s="16">
        <v>4.5</v>
      </c>
      <c r="I89" s="16">
        <f t="shared" si="1"/>
        <v>5.5</v>
      </c>
    </row>
    <row r="90" spans="1:9">
      <c r="A90" s="16" t="s">
        <v>139</v>
      </c>
      <c r="B90" s="16">
        <v>1</v>
      </c>
      <c r="C90" s="16" t="s">
        <v>42</v>
      </c>
      <c r="D90" s="16">
        <v>1</v>
      </c>
      <c r="E90" s="17">
        <v>0.3</v>
      </c>
      <c r="F90" s="16" t="s">
        <v>43</v>
      </c>
      <c r="G90" s="16" t="s">
        <v>44</v>
      </c>
      <c r="H90" s="16">
        <v>4.5</v>
      </c>
      <c r="I90" s="16">
        <f t="shared" si="1"/>
        <v>5.5</v>
      </c>
    </row>
    <row r="91" spans="1:9">
      <c r="A91" s="16" t="s">
        <v>140</v>
      </c>
      <c r="B91" s="16">
        <v>1</v>
      </c>
      <c r="C91" s="16" t="s">
        <v>42</v>
      </c>
      <c r="D91" s="16">
        <v>1</v>
      </c>
      <c r="E91" s="17">
        <v>0.15</v>
      </c>
      <c r="F91" s="16" t="s">
        <v>55</v>
      </c>
      <c r="G91" s="16" t="s">
        <v>84</v>
      </c>
      <c r="H91" s="16">
        <v>12.5</v>
      </c>
      <c r="I91" s="16">
        <f t="shared" si="1"/>
        <v>13.5</v>
      </c>
    </row>
    <row r="92" spans="1:9">
      <c r="A92" s="16" t="s">
        <v>141</v>
      </c>
      <c r="B92" s="16">
        <v>1</v>
      </c>
      <c r="C92" s="16" t="s">
        <v>42</v>
      </c>
      <c r="D92" s="16">
        <v>1</v>
      </c>
      <c r="E92" s="17">
        <v>0.05</v>
      </c>
      <c r="F92" s="16" t="s">
        <v>43</v>
      </c>
      <c r="G92" s="16" t="s">
        <v>44</v>
      </c>
      <c r="H92" s="16">
        <v>4.5</v>
      </c>
      <c r="I92" s="16">
        <f t="shared" si="1"/>
        <v>5.5</v>
      </c>
    </row>
    <row r="93" spans="1:9">
      <c r="A93" s="16" t="s">
        <v>142</v>
      </c>
      <c r="B93" s="16">
        <v>1</v>
      </c>
      <c r="C93" s="16" t="s">
        <v>42</v>
      </c>
      <c r="D93" s="16">
        <v>1</v>
      </c>
      <c r="E93" s="17">
        <v>0.2</v>
      </c>
      <c r="F93" s="16" t="s">
        <v>55</v>
      </c>
      <c r="G93" s="16" t="s">
        <v>58</v>
      </c>
      <c r="H93" s="16">
        <v>12.8</v>
      </c>
      <c r="I93" s="16">
        <f t="shared" si="1"/>
        <v>13.8</v>
      </c>
    </row>
    <row r="94" spans="1:9">
      <c r="A94" s="16" t="s">
        <v>143</v>
      </c>
      <c r="B94" s="16">
        <v>1</v>
      </c>
      <c r="C94" s="16" t="s">
        <v>42</v>
      </c>
      <c r="D94" s="16">
        <v>1</v>
      </c>
      <c r="E94" s="17">
        <v>0.2</v>
      </c>
      <c r="F94" s="16" t="s">
        <v>55</v>
      </c>
      <c r="G94" s="16" t="s">
        <v>144</v>
      </c>
      <c r="H94" s="16">
        <f>14.8+1</f>
        <v>15.8</v>
      </c>
      <c r="I94" s="16">
        <f t="shared" si="1"/>
        <v>16.8</v>
      </c>
    </row>
    <row r="95" spans="1:9">
      <c r="A95" s="16" t="s">
        <v>145</v>
      </c>
      <c r="B95" s="16">
        <v>1</v>
      </c>
      <c r="C95" s="16" t="s">
        <v>42</v>
      </c>
      <c r="D95" s="16">
        <v>1</v>
      </c>
      <c r="E95" s="17">
        <v>0.2</v>
      </c>
      <c r="F95" s="16" t="s">
        <v>43</v>
      </c>
      <c r="G95" s="16" t="s">
        <v>44</v>
      </c>
      <c r="H95" s="16">
        <v>4.5</v>
      </c>
      <c r="I95" s="16">
        <f t="shared" si="1"/>
        <v>5.5</v>
      </c>
    </row>
    <row r="96" spans="1:9">
      <c r="A96" s="16" t="s">
        <v>146</v>
      </c>
      <c r="B96" s="16">
        <v>1</v>
      </c>
      <c r="C96" s="16" t="s">
        <v>42</v>
      </c>
      <c r="D96" s="16">
        <v>1</v>
      </c>
      <c r="E96" s="17">
        <v>0.2</v>
      </c>
      <c r="F96" s="16" t="s">
        <v>55</v>
      </c>
      <c r="G96" s="16" t="s">
        <v>58</v>
      </c>
      <c r="H96" s="16">
        <v>12.8</v>
      </c>
      <c r="I96" s="16">
        <f t="shared" si="1"/>
        <v>13.8</v>
      </c>
    </row>
    <row r="97" spans="1:9">
      <c r="A97" s="16" t="s">
        <v>147</v>
      </c>
      <c r="B97" s="16">
        <v>1</v>
      </c>
      <c r="C97" s="16" t="s">
        <v>42</v>
      </c>
      <c r="D97" s="16">
        <v>1</v>
      </c>
      <c r="E97" s="17">
        <v>0.2</v>
      </c>
      <c r="F97" s="16" t="s">
        <v>55</v>
      </c>
      <c r="G97" s="16" t="s">
        <v>63</v>
      </c>
      <c r="H97" s="16">
        <v>15.8</v>
      </c>
      <c r="I97" s="16">
        <f t="shared" si="1"/>
        <v>16.8</v>
      </c>
    </row>
    <row r="98" spans="1:9">
      <c r="A98" s="16" t="s">
        <v>148</v>
      </c>
      <c r="B98" s="16">
        <v>1</v>
      </c>
      <c r="C98" s="16" t="s">
        <v>42</v>
      </c>
      <c r="D98" s="16">
        <v>1</v>
      </c>
      <c r="E98" s="17">
        <v>0.3</v>
      </c>
      <c r="F98" s="16" t="s">
        <v>43</v>
      </c>
      <c r="G98" s="16" t="s">
        <v>44</v>
      </c>
      <c r="H98" s="16">
        <v>4.5</v>
      </c>
      <c r="I98" s="16">
        <f t="shared" si="1"/>
        <v>5.5</v>
      </c>
    </row>
    <row r="99" spans="1:9">
      <c r="A99" s="16" t="s">
        <v>149</v>
      </c>
      <c r="B99" s="16">
        <v>1</v>
      </c>
      <c r="C99" s="16" t="s">
        <v>54</v>
      </c>
      <c r="D99" s="16">
        <f>1+1</f>
        <v>2</v>
      </c>
      <c r="E99" s="17">
        <v>0.4</v>
      </c>
      <c r="F99" s="16" t="s">
        <v>55</v>
      </c>
      <c r="G99" s="16" t="s">
        <v>150</v>
      </c>
      <c r="H99" s="16">
        <v>14.8</v>
      </c>
      <c r="I99" s="16">
        <f t="shared" si="1"/>
        <v>16.8</v>
      </c>
    </row>
    <row r="100" spans="1:9">
      <c r="A100" s="16" t="s">
        <v>151</v>
      </c>
      <c r="B100" s="16">
        <v>1</v>
      </c>
      <c r="C100" s="16" t="s">
        <v>42</v>
      </c>
      <c r="D100" s="16">
        <v>1</v>
      </c>
      <c r="E100" s="17">
        <v>0.1</v>
      </c>
      <c r="F100" s="16" t="s">
        <v>43</v>
      </c>
      <c r="G100" s="16" t="s">
        <v>44</v>
      </c>
      <c r="H100" s="16">
        <v>4.5</v>
      </c>
      <c r="I100" s="16">
        <f t="shared" si="1"/>
        <v>5.5</v>
      </c>
    </row>
    <row r="101" spans="1:9">
      <c r="A101" s="16" t="s">
        <v>152</v>
      </c>
      <c r="B101" s="16">
        <v>1</v>
      </c>
      <c r="C101" s="16" t="s">
        <v>42</v>
      </c>
      <c r="D101" s="16">
        <v>1</v>
      </c>
      <c r="E101" s="17">
        <v>0.1</v>
      </c>
      <c r="F101" s="16" t="s">
        <v>43</v>
      </c>
      <c r="G101" s="16" t="s">
        <v>44</v>
      </c>
      <c r="H101" s="16">
        <v>4.5</v>
      </c>
      <c r="I101" s="16">
        <f t="shared" si="1"/>
        <v>5.5</v>
      </c>
    </row>
    <row r="102" spans="1:9">
      <c r="A102" s="16" t="s">
        <v>153</v>
      </c>
      <c r="B102" s="16">
        <v>1</v>
      </c>
      <c r="C102" s="16" t="s">
        <v>42</v>
      </c>
      <c r="D102" s="16">
        <v>1</v>
      </c>
      <c r="E102" s="17">
        <v>0.25</v>
      </c>
      <c r="F102" s="16" t="s">
        <v>43</v>
      </c>
      <c r="G102" s="16" t="s">
        <v>44</v>
      </c>
      <c r="H102" s="16">
        <v>4.5</v>
      </c>
      <c r="I102" s="16">
        <f t="shared" si="1"/>
        <v>5.5</v>
      </c>
    </row>
    <row r="103" spans="1:9">
      <c r="A103" s="16" t="s">
        <v>154</v>
      </c>
      <c r="B103" s="16">
        <v>1</v>
      </c>
      <c r="C103" s="16" t="s">
        <v>54</v>
      </c>
      <c r="D103" s="16">
        <f>1+1</f>
        <v>2</v>
      </c>
      <c r="E103" s="17">
        <v>0.4</v>
      </c>
      <c r="F103" s="16" t="s">
        <v>55</v>
      </c>
      <c r="G103" s="16" t="s">
        <v>56</v>
      </c>
      <c r="H103" s="16">
        <v>11</v>
      </c>
      <c r="I103" s="16">
        <f t="shared" si="1"/>
        <v>13</v>
      </c>
    </row>
    <row r="104" spans="1:9">
      <c r="A104" s="16" t="s">
        <v>155</v>
      </c>
      <c r="B104" s="16">
        <v>1</v>
      </c>
      <c r="C104" s="16" t="s">
        <v>42</v>
      </c>
      <c r="D104" s="16">
        <v>1</v>
      </c>
      <c r="E104" s="17">
        <v>0.2</v>
      </c>
      <c r="F104" s="16" t="s">
        <v>55</v>
      </c>
      <c r="G104" s="16" t="s">
        <v>84</v>
      </c>
      <c r="H104" s="16">
        <v>12.5</v>
      </c>
      <c r="I104" s="16">
        <f t="shared" si="1"/>
        <v>13.5</v>
      </c>
    </row>
    <row r="105" spans="1:9">
      <c r="A105" s="16" t="s">
        <v>156</v>
      </c>
      <c r="B105" s="16">
        <v>1</v>
      </c>
      <c r="C105" s="16" t="s">
        <v>42</v>
      </c>
      <c r="D105" s="16">
        <v>1</v>
      </c>
      <c r="E105" s="17">
        <v>0.15</v>
      </c>
      <c r="F105" s="16" t="s">
        <v>55</v>
      </c>
      <c r="G105" s="16" t="s">
        <v>58</v>
      </c>
      <c r="H105" s="16">
        <v>12.8</v>
      </c>
      <c r="I105" s="16">
        <f t="shared" si="1"/>
        <v>13.8</v>
      </c>
    </row>
    <row r="106" spans="1:9">
      <c r="A106" s="16" t="s">
        <v>157</v>
      </c>
      <c r="B106" s="16">
        <v>1</v>
      </c>
      <c r="C106" s="16" t="s">
        <v>42</v>
      </c>
      <c r="D106" s="16">
        <v>1</v>
      </c>
      <c r="E106" s="17">
        <v>3</v>
      </c>
      <c r="F106" s="16" t="s">
        <v>43</v>
      </c>
      <c r="G106" s="16" t="s">
        <v>44</v>
      </c>
      <c r="H106" s="16">
        <v>5.2</v>
      </c>
      <c r="I106" s="16">
        <f t="shared" si="1"/>
        <v>6.2</v>
      </c>
    </row>
    <row r="107" spans="1:9">
      <c r="A107" s="16" t="s">
        <v>158</v>
      </c>
      <c r="B107" s="16">
        <v>1</v>
      </c>
      <c r="C107" s="16" t="s">
        <v>42</v>
      </c>
      <c r="D107" s="16">
        <v>1</v>
      </c>
      <c r="E107" s="17">
        <v>0.1</v>
      </c>
      <c r="F107" s="16" t="s">
        <v>43</v>
      </c>
      <c r="G107" s="16" t="s">
        <v>44</v>
      </c>
      <c r="H107" s="16">
        <v>4.5</v>
      </c>
      <c r="I107" s="16">
        <f t="shared" si="1"/>
        <v>5.5</v>
      </c>
    </row>
    <row r="108" spans="1:9">
      <c r="A108" s="16" t="s">
        <v>159</v>
      </c>
      <c r="B108" s="16">
        <v>1</v>
      </c>
      <c r="C108" s="16" t="s">
        <v>42</v>
      </c>
      <c r="D108" s="16">
        <v>1</v>
      </c>
      <c r="E108" s="17">
        <v>0.1</v>
      </c>
      <c r="F108" s="16" t="s">
        <v>43</v>
      </c>
      <c r="G108" s="16" t="s">
        <v>44</v>
      </c>
      <c r="H108" s="16">
        <v>4.5</v>
      </c>
      <c r="I108" s="16">
        <f t="shared" si="1"/>
        <v>5.5</v>
      </c>
    </row>
    <row r="109" spans="1:9">
      <c r="A109" s="16" t="s">
        <v>160</v>
      </c>
      <c r="B109" s="16">
        <v>1</v>
      </c>
      <c r="C109" s="16" t="s">
        <v>42</v>
      </c>
      <c r="D109" s="17">
        <v>1.2</v>
      </c>
      <c r="E109" s="17">
        <v>5.4</v>
      </c>
      <c r="F109" s="16" t="s">
        <v>43</v>
      </c>
      <c r="G109" s="16" t="s">
        <v>44</v>
      </c>
      <c r="H109" s="16">
        <v>5.2</v>
      </c>
      <c r="I109" s="16">
        <f t="shared" si="1"/>
        <v>6.4</v>
      </c>
    </row>
    <row r="110" spans="1:9">
      <c r="A110" s="16" t="s">
        <v>161</v>
      </c>
      <c r="B110" s="16">
        <v>1</v>
      </c>
      <c r="C110" s="16" t="s">
        <v>42</v>
      </c>
      <c r="D110" s="17">
        <v>1.2</v>
      </c>
      <c r="E110" s="17">
        <v>5.4</v>
      </c>
      <c r="F110" s="16" t="s">
        <v>43</v>
      </c>
      <c r="G110" s="16" t="s">
        <v>44</v>
      </c>
      <c r="H110" s="16">
        <v>5.2</v>
      </c>
      <c r="I110" s="16">
        <f t="shared" si="1"/>
        <v>6.4</v>
      </c>
    </row>
    <row r="111" spans="1:9">
      <c r="A111" s="16" t="s">
        <v>162</v>
      </c>
      <c r="B111" s="16">
        <v>1</v>
      </c>
      <c r="C111" s="16" t="s">
        <v>42</v>
      </c>
      <c r="D111" s="16">
        <v>1</v>
      </c>
      <c r="E111" s="17">
        <v>0.15</v>
      </c>
      <c r="F111" s="16" t="s">
        <v>55</v>
      </c>
      <c r="G111" s="16" t="s">
        <v>56</v>
      </c>
      <c r="H111" s="16">
        <v>11</v>
      </c>
      <c r="I111" s="16">
        <f t="shared" si="1"/>
        <v>12</v>
      </c>
    </row>
    <row r="112" spans="1:9">
      <c r="A112" s="16" t="s">
        <v>163</v>
      </c>
      <c r="B112" s="16">
        <v>1</v>
      </c>
      <c r="C112" s="16" t="s">
        <v>42</v>
      </c>
      <c r="D112" s="16">
        <v>1</v>
      </c>
      <c r="E112" s="17">
        <v>3</v>
      </c>
      <c r="F112" s="16" t="s">
        <v>55</v>
      </c>
      <c r="G112" s="16" t="s">
        <v>63</v>
      </c>
      <c r="H112" s="16">
        <v>15.8</v>
      </c>
      <c r="I112" s="16">
        <f t="shared" si="1"/>
        <v>16.8</v>
      </c>
    </row>
    <row r="113" spans="1:9">
      <c r="A113" s="16" t="s">
        <v>164</v>
      </c>
      <c r="B113" s="16">
        <v>1</v>
      </c>
      <c r="C113" s="16" t="s">
        <v>42</v>
      </c>
      <c r="D113" s="16">
        <v>1</v>
      </c>
      <c r="E113" s="17">
        <v>0.15</v>
      </c>
      <c r="F113" s="16" t="s">
        <v>43</v>
      </c>
      <c r="G113" s="16" t="s">
        <v>44</v>
      </c>
      <c r="H113" s="16">
        <v>4.5</v>
      </c>
      <c r="I113" s="16">
        <f t="shared" si="1"/>
        <v>5.5</v>
      </c>
    </row>
    <row r="114" spans="1:9">
      <c r="A114" s="16" t="s">
        <v>165</v>
      </c>
      <c r="B114" s="16">
        <v>1</v>
      </c>
      <c r="C114" s="16" t="s">
        <v>42</v>
      </c>
      <c r="D114" s="16">
        <v>1</v>
      </c>
      <c r="E114" s="17">
        <v>0.2</v>
      </c>
      <c r="F114" s="16" t="s">
        <v>43</v>
      </c>
      <c r="G114" s="16" t="s">
        <v>44</v>
      </c>
      <c r="H114" s="16">
        <v>4.5</v>
      </c>
      <c r="I114" s="16">
        <f t="shared" si="1"/>
        <v>5.5</v>
      </c>
    </row>
    <row r="115" spans="1:9">
      <c r="A115" s="16" t="s">
        <v>166</v>
      </c>
      <c r="B115" s="16">
        <v>1</v>
      </c>
      <c r="C115" s="16" t="s">
        <v>42</v>
      </c>
      <c r="D115" s="16">
        <v>1</v>
      </c>
      <c r="E115" s="17">
        <v>0.1</v>
      </c>
      <c r="F115" s="16" t="s">
        <v>55</v>
      </c>
      <c r="G115" s="16" t="s">
        <v>56</v>
      </c>
      <c r="H115" s="16">
        <v>11</v>
      </c>
      <c r="I115" s="16">
        <f t="shared" si="1"/>
        <v>12</v>
      </c>
    </row>
    <row r="116" spans="1:9">
      <c r="A116" s="16" t="s">
        <v>167</v>
      </c>
      <c r="B116" s="16">
        <v>1</v>
      </c>
      <c r="C116" s="16" t="s">
        <v>42</v>
      </c>
      <c r="D116" s="16">
        <v>1</v>
      </c>
      <c r="E116" s="17">
        <v>1</v>
      </c>
      <c r="F116" s="16" t="s">
        <v>43</v>
      </c>
      <c r="G116" s="16" t="s">
        <v>44</v>
      </c>
      <c r="H116" s="16">
        <v>4.5</v>
      </c>
      <c r="I116" s="16">
        <f t="shared" si="1"/>
        <v>5.5</v>
      </c>
    </row>
    <row r="117" spans="1:9">
      <c r="A117" s="16" t="s">
        <v>168</v>
      </c>
      <c r="B117" s="16">
        <v>1</v>
      </c>
      <c r="C117" s="16" t="s">
        <v>42</v>
      </c>
      <c r="D117" s="16">
        <v>1</v>
      </c>
      <c r="E117" s="17">
        <v>0.15</v>
      </c>
      <c r="F117" s="16" t="s">
        <v>55</v>
      </c>
      <c r="G117" s="16" t="s">
        <v>84</v>
      </c>
      <c r="H117" s="16">
        <v>12.5</v>
      </c>
      <c r="I117" s="16">
        <f t="shared" si="1"/>
        <v>13.5</v>
      </c>
    </row>
    <row r="118" spans="1:9">
      <c r="A118" s="16" t="s">
        <v>169</v>
      </c>
      <c r="B118" s="16">
        <v>1</v>
      </c>
      <c r="C118" s="16" t="s">
        <v>54</v>
      </c>
      <c r="D118" s="16">
        <f>1+1</f>
        <v>2</v>
      </c>
      <c r="E118" s="17">
        <v>0.4</v>
      </c>
      <c r="F118" s="16" t="s">
        <v>55</v>
      </c>
      <c r="G118" s="16" t="s">
        <v>56</v>
      </c>
      <c r="H118" s="16">
        <v>11</v>
      </c>
      <c r="I118" s="16">
        <f t="shared" si="1"/>
        <v>13</v>
      </c>
    </row>
    <row r="119" spans="1:9">
      <c r="A119" s="16" t="s">
        <v>170</v>
      </c>
      <c r="B119" s="16">
        <v>1</v>
      </c>
      <c r="C119" s="16" t="s">
        <v>42</v>
      </c>
      <c r="D119" s="17">
        <v>1.2</v>
      </c>
      <c r="E119" s="17">
        <v>5.4</v>
      </c>
      <c r="F119" s="16" t="s">
        <v>43</v>
      </c>
      <c r="G119" s="16" t="s">
        <v>44</v>
      </c>
      <c r="H119" s="16">
        <v>5.2</v>
      </c>
      <c r="I119" s="16">
        <f t="shared" si="1"/>
        <v>6.4</v>
      </c>
    </row>
    <row r="120" spans="1:9">
      <c r="A120" s="16" t="s">
        <v>171</v>
      </c>
      <c r="B120" s="16">
        <v>1</v>
      </c>
      <c r="C120" s="16" t="s">
        <v>42</v>
      </c>
      <c r="D120" s="16">
        <v>1</v>
      </c>
      <c r="E120" s="17">
        <v>0.15</v>
      </c>
      <c r="F120" s="16" t="s">
        <v>43</v>
      </c>
      <c r="G120" s="16" t="s">
        <v>44</v>
      </c>
      <c r="H120" s="16">
        <v>4.5</v>
      </c>
      <c r="I120" s="16">
        <f t="shared" si="1"/>
        <v>5.5</v>
      </c>
    </row>
    <row r="121" spans="1:9">
      <c r="A121" s="16" t="s">
        <v>172</v>
      </c>
      <c r="B121" s="16">
        <v>1</v>
      </c>
      <c r="C121" s="16" t="s">
        <v>42</v>
      </c>
      <c r="D121" s="16">
        <v>1</v>
      </c>
      <c r="E121" s="17">
        <v>0.1</v>
      </c>
      <c r="F121" s="16" t="s">
        <v>43</v>
      </c>
      <c r="G121" s="16" t="s">
        <v>44</v>
      </c>
      <c r="H121" s="16">
        <v>4.5</v>
      </c>
      <c r="I121" s="16">
        <f t="shared" si="1"/>
        <v>5.5</v>
      </c>
    </row>
    <row r="122" spans="1:9">
      <c r="A122" s="16" t="s">
        <v>173</v>
      </c>
      <c r="B122" s="16">
        <v>1</v>
      </c>
      <c r="C122" s="16" t="s">
        <v>54</v>
      </c>
      <c r="D122" s="16">
        <f>1+1</f>
        <v>2</v>
      </c>
      <c r="E122" s="17">
        <v>0.8</v>
      </c>
      <c r="F122" s="16" t="s">
        <v>43</v>
      </c>
      <c r="G122" s="16" t="s">
        <v>44</v>
      </c>
      <c r="H122" s="16">
        <v>4.5</v>
      </c>
      <c r="I122" s="16">
        <f t="shared" si="1"/>
        <v>6.5</v>
      </c>
    </row>
    <row r="123" spans="1:9">
      <c r="A123" s="16" t="s">
        <v>174</v>
      </c>
      <c r="B123" s="16">
        <v>1</v>
      </c>
      <c r="C123" s="16" t="s">
        <v>42</v>
      </c>
      <c r="D123" s="16">
        <v>1</v>
      </c>
      <c r="E123" s="17">
        <v>0.65</v>
      </c>
      <c r="F123" s="16" t="s">
        <v>55</v>
      </c>
      <c r="G123" s="16" t="s">
        <v>58</v>
      </c>
      <c r="H123" s="16">
        <v>12.8</v>
      </c>
      <c r="I123" s="16">
        <f t="shared" si="1"/>
        <v>13.8</v>
      </c>
    </row>
    <row r="124" spans="1:9">
      <c r="A124" s="16" t="s">
        <v>175</v>
      </c>
      <c r="B124" s="16">
        <v>1</v>
      </c>
      <c r="C124" s="16" t="s">
        <v>42</v>
      </c>
      <c r="D124" s="16">
        <v>1</v>
      </c>
      <c r="E124" s="17">
        <v>0.3</v>
      </c>
      <c r="F124" s="16" t="s">
        <v>55</v>
      </c>
      <c r="G124" s="16" t="s">
        <v>63</v>
      </c>
      <c r="H124" s="16">
        <v>15.8</v>
      </c>
      <c r="I124" s="16">
        <f t="shared" si="1"/>
        <v>16.8</v>
      </c>
    </row>
    <row r="125" spans="1:9">
      <c r="A125" s="16" t="s">
        <v>176</v>
      </c>
      <c r="B125" s="16">
        <v>1</v>
      </c>
      <c r="C125" s="16" t="s">
        <v>54</v>
      </c>
      <c r="D125" s="16">
        <f>1+1</f>
        <v>2</v>
      </c>
      <c r="E125" s="17">
        <v>0.6</v>
      </c>
      <c r="F125" s="16" t="s">
        <v>55</v>
      </c>
      <c r="G125" s="16" t="s">
        <v>56</v>
      </c>
      <c r="H125" s="16">
        <v>11</v>
      </c>
      <c r="I125" s="16">
        <f t="shared" si="1"/>
        <v>13</v>
      </c>
    </row>
    <row r="126" spans="1:9">
      <c r="A126" s="16" t="s">
        <v>177</v>
      </c>
      <c r="B126" s="16">
        <v>1</v>
      </c>
      <c r="C126" s="16" t="s">
        <v>42</v>
      </c>
      <c r="D126" s="16">
        <v>1</v>
      </c>
      <c r="E126" s="17">
        <v>0.2</v>
      </c>
      <c r="F126" s="16" t="s">
        <v>43</v>
      </c>
      <c r="G126" s="16" t="s">
        <v>44</v>
      </c>
      <c r="H126" s="16">
        <v>4.5</v>
      </c>
      <c r="I126" s="16">
        <f t="shared" si="1"/>
        <v>5.5</v>
      </c>
    </row>
    <row r="127" spans="1:9">
      <c r="A127" s="16" t="s">
        <v>178</v>
      </c>
      <c r="B127" s="16">
        <v>1</v>
      </c>
      <c r="C127" s="16" t="s">
        <v>42</v>
      </c>
      <c r="D127" s="16">
        <v>1</v>
      </c>
      <c r="E127" s="17">
        <v>0.05</v>
      </c>
      <c r="F127" s="16" t="s">
        <v>55</v>
      </c>
      <c r="G127" s="16" t="s">
        <v>179</v>
      </c>
      <c r="H127" s="16">
        <v>14.5</v>
      </c>
      <c r="I127" s="16">
        <f t="shared" si="1"/>
        <v>15.5</v>
      </c>
    </row>
    <row r="128" spans="1:9">
      <c r="A128" s="16" t="s">
        <v>180</v>
      </c>
      <c r="B128" s="16">
        <v>1</v>
      </c>
      <c r="C128" s="16" t="s">
        <v>42</v>
      </c>
      <c r="D128" s="16">
        <v>1</v>
      </c>
      <c r="E128" s="17">
        <v>0.15</v>
      </c>
      <c r="F128" s="16" t="s">
        <v>43</v>
      </c>
      <c r="G128" s="16" t="s">
        <v>44</v>
      </c>
      <c r="H128" s="16">
        <v>4.5</v>
      </c>
      <c r="I128" s="16">
        <f t="shared" si="1"/>
        <v>5.5</v>
      </c>
    </row>
    <row r="129" spans="1:9">
      <c r="A129" s="16" t="s">
        <v>181</v>
      </c>
      <c r="B129" s="16">
        <v>1</v>
      </c>
      <c r="C129" s="16" t="s">
        <v>42</v>
      </c>
      <c r="D129" s="16">
        <v>1</v>
      </c>
      <c r="E129" s="17">
        <v>0.8</v>
      </c>
      <c r="F129" s="16" t="s">
        <v>43</v>
      </c>
      <c r="G129" s="16" t="s">
        <v>44</v>
      </c>
      <c r="H129" s="16">
        <v>4.5</v>
      </c>
      <c r="I129" s="16">
        <f t="shared" si="1"/>
        <v>5.5</v>
      </c>
    </row>
    <row r="130" spans="1:9">
      <c r="A130" s="16" t="s">
        <v>182</v>
      </c>
      <c r="B130" s="16">
        <v>1</v>
      </c>
      <c r="C130" s="16" t="s">
        <v>42</v>
      </c>
      <c r="D130" s="16">
        <v>1</v>
      </c>
      <c r="E130" s="17">
        <v>0.2</v>
      </c>
      <c r="F130" s="16" t="s">
        <v>55</v>
      </c>
      <c r="G130" s="16" t="s">
        <v>58</v>
      </c>
      <c r="H130" s="16">
        <v>12.8</v>
      </c>
      <c r="I130" s="16">
        <f t="shared" si="1"/>
        <v>13.8</v>
      </c>
    </row>
    <row r="131" spans="1:9">
      <c r="A131" s="16" t="s">
        <v>183</v>
      </c>
      <c r="B131" s="16">
        <v>1</v>
      </c>
      <c r="C131" s="16" t="s">
        <v>42</v>
      </c>
      <c r="D131" s="16">
        <v>1</v>
      </c>
      <c r="E131" s="17">
        <v>0.3</v>
      </c>
      <c r="F131" s="16" t="s">
        <v>43</v>
      </c>
      <c r="G131" s="16" t="s">
        <v>44</v>
      </c>
      <c r="H131" s="16">
        <v>4.5</v>
      </c>
      <c r="I131" s="16">
        <f t="shared" ref="I131:I183" si="2">D131+H131</f>
        <v>5.5</v>
      </c>
    </row>
    <row r="132" spans="1:9">
      <c r="A132" s="16" t="s">
        <v>184</v>
      </c>
      <c r="B132" s="16">
        <v>1</v>
      </c>
      <c r="C132" s="16" t="s">
        <v>185</v>
      </c>
      <c r="D132" s="16">
        <f>1.2+1*3</f>
        <v>4.2</v>
      </c>
      <c r="E132" s="17">
        <v>21.6</v>
      </c>
      <c r="F132" s="16" t="s">
        <v>43</v>
      </c>
      <c r="G132" s="16" t="s">
        <v>44</v>
      </c>
      <c r="H132" s="16">
        <v>6.8</v>
      </c>
      <c r="I132" s="16">
        <f t="shared" si="2"/>
        <v>11</v>
      </c>
    </row>
    <row r="133" spans="1:9">
      <c r="A133" s="16" t="s">
        <v>186</v>
      </c>
      <c r="B133" s="16">
        <v>1</v>
      </c>
      <c r="C133" s="16" t="s">
        <v>42</v>
      </c>
      <c r="D133" s="16">
        <v>1</v>
      </c>
      <c r="E133" s="17">
        <v>1.75</v>
      </c>
      <c r="F133" s="16" t="s">
        <v>43</v>
      </c>
      <c r="G133" s="16" t="s">
        <v>44</v>
      </c>
      <c r="H133" s="16">
        <v>4.5</v>
      </c>
      <c r="I133" s="16">
        <f t="shared" si="2"/>
        <v>5.5</v>
      </c>
    </row>
    <row r="134" spans="1:9">
      <c r="A134" s="16" t="s">
        <v>187</v>
      </c>
      <c r="B134" s="16">
        <v>1</v>
      </c>
      <c r="C134" s="16" t="s">
        <v>42</v>
      </c>
      <c r="D134" s="16">
        <v>1</v>
      </c>
      <c r="E134" s="17">
        <v>1.75</v>
      </c>
      <c r="F134" s="16" t="s">
        <v>43</v>
      </c>
      <c r="G134" s="16" t="s">
        <v>44</v>
      </c>
      <c r="H134" s="16">
        <v>4.5</v>
      </c>
      <c r="I134" s="16">
        <f t="shared" si="2"/>
        <v>5.5</v>
      </c>
    </row>
    <row r="135" spans="1:9">
      <c r="A135" s="16" t="s">
        <v>188</v>
      </c>
      <c r="B135" s="16">
        <v>1</v>
      </c>
      <c r="C135" s="16" t="s">
        <v>42</v>
      </c>
      <c r="D135" s="16">
        <v>1</v>
      </c>
      <c r="E135" s="17">
        <v>0.2</v>
      </c>
      <c r="F135" s="16" t="s">
        <v>55</v>
      </c>
      <c r="G135" s="16" t="s">
        <v>150</v>
      </c>
      <c r="H135" s="16">
        <v>14.8</v>
      </c>
      <c r="I135" s="16">
        <f t="shared" si="2"/>
        <v>15.8</v>
      </c>
    </row>
    <row r="136" spans="1:9">
      <c r="A136" s="16" t="s">
        <v>189</v>
      </c>
      <c r="B136" s="16">
        <v>1</v>
      </c>
      <c r="C136" s="16" t="s">
        <v>42</v>
      </c>
      <c r="D136" s="16">
        <v>1</v>
      </c>
      <c r="E136" s="17">
        <v>1.05</v>
      </c>
      <c r="F136" s="16" t="s">
        <v>43</v>
      </c>
      <c r="G136" s="16" t="s">
        <v>44</v>
      </c>
      <c r="H136" s="16">
        <v>4.5</v>
      </c>
      <c r="I136" s="16">
        <f t="shared" si="2"/>
        <v>5.5</v>
      </c>
    </row>
    <row r="137" spans="1:9">
      <c r="A137" s="16" t="s">
        <v>190</v>
      </c>
      <c r="B137" s="16">
        <v>1</v>
      </c>
      <c r="C137" s="16" t="s">
        <v>42</v>
      </c>
      <c r="D137" s="16">
        <v>1</v>
      </c>
      <c r="E137" s="17">
        <v>1.05</v>
      </c>
      <c r="F137" s="16" t="s">
        <v>43</v>
      </c>
      <c r="G137" s="16" t="s">
        <v>44</v>
      </c>
      <c r="H137" s="16">
        <v>4.5</v>
      </c>
      <c r="I137" s="16">
        <f t="shared" si="2"/>
        <v>5.5</v>
      </c>
    </row>
    <row r="138" spans="1:9">
      <c r="A138" s="16" t="s">
        <v>191</v>
      </c>
      <c r="B138" s="16">
        <v>1</v>
      </c>
      <c r="C138" s="16" t="s">
        <v>42</v>
      </c>
      <c r="D138" s="16">
        <v>1</v>
      </c>
      <c r="E138" s="17">
        <v>0.1</v>
      </c>
      <c r="F138" s="16" t="s">
        <v>55</v>
      </c>
      <c r="G138" s="16" t="s">
        <v>56</v>
      </c>
      <c r="H138" s="16">
        <v>11</v>
      </c>
      <c r="I138" s="16">
        <f t="shared" si="2"/>
        <v>12</v>
      </c>
    </row>
    <row r="139" spans="1:9">
      <c r="A139" s="16" t="s">
        <v>192</v>
      </c>
      <c r="B139" s="16">
        <v>1</v>
      </c>
      <c r="C139" s="16" t="s">
        <v>42</v>
      </c>
      <c r="D139" s="16">
        <v>1</v>
      </c>
      <c r="E139" s="17">
        <v>3</v>
      </c>
      <c r="F139" s="16" t="s">
        <v>55</v>
      </c>
      <c r="G139" s="16" t="s">
        <v>63</v>
      </c>
      <c r="H139" s="16">
        <v>15.8</v>
      </c>
      <c r="I139" s="16">
        <f t="shared" si="2"/>
        <v>16.8</v>
      </c>
    </row>
    <row r="140" spans="1:9">
      <c r="A140" s="16" t="s">
        <v>193</v>
      </c>
      <c r="B140" s="16">
        <v>1</v>
      </c>
      <c r="C140" s="16" t="s">
        <v>42</v>
      </c>
      <c r="D140" s="16">
        <v>1</v>
      </c>
      <c r="E140" s="17">
        <v>0.3</v>
      </c>
      <c r="F140" s="16" t="s">
        <v>43</v>
      </c>
      <c r="G140" s="16" t="s">
        <v>44</v>
      </c>
      <c r="H140" s="16">
        <v>4.5</v>
      </c>
      <c r="I140" s="16">
        <f t="shared" si="2"/>
        <v>5.5</v>
      </c>
    </row>
    <row r="141" spans="1:9">
      <c r="A141" s="16" t="s">
        <v>194</v>
      </c>
      <c r="B141" s="16">
        <v>1</v>
      </c>
      <c r="C141" s="16" t="s">
        <v>42</v>
      </c>
      <c r="D141" s="16">
        <v>1</v>
      </c>
      <c r="E141" s="17">
        <v>0.15</v>
      </c>
      <c r="F141" s="16" t="s">
        <v>43</v>
      </c>
      <c r="G141" s="16" t="s">
        <v>44</v>
      </c>
      <c r="H141" s="16">
        <v>4.5</v>
      </c>
      <c r="I141" s="16">
        <f t="shared" si="2"/>
        <v>5.5</v>
      </c>
    </row>
    <row r="142" spans="1:9">
      <c r="A142" s="16" t="s">
        <v>195</v>
      </c>
      <c r="B142" s="16">
        <v>1</v>
      </c>
      <c r="C142" s="16" t="s">
        <v>42</v>
      </c>
      <c r="D142" s="16">
        <v>1</v>
      </c>
      <c r="E142" s="17">
        <v>0.3</v>
      </c>
      <c r="F142" s="16" t="s">
        <v>43</v>
      </c>
      <c r="G142" s="16" t="s">
        <v>44</v>
      </c>
      <c r="H142" s="16">
        <v>4.5</v>
      </c>
      <c r="I142" s="16">
        <f t="shared" si="2"/>
        <v>5.5</v>
      </c>
    </row>
    <row r="143" spans="1:9">
      <c r="A143" s="16" t="s">
        <v>196</v>
      </c>
      <c r="B143" s="16">
        <v>1</v>
      </c>
      <c r="C143" s="16" t="s">
        <v>54</v>
      </c>
      <c r="D143" s="16">
        <f>1+1</f>
        <v>2</v>
      </c>
      <c r="E143" s="17">
        <v>0.2</v>
      </c>
      <c r="F143" s="16" t="s">
        <v>43</v>
      </c>
      <c r="G143" s="16" t="s">
        <v>44</v>
      </c>
      <c r="H143" s="16">
        <v>4.5</v>
      </c>
      <c r="I143" s="16">
        <f t="shared" si="2"/>
        <v>6.5</v>
      </c>
    </row>
    <row r="144" spans="1:9">
      <c r="A144" s="16" t="s">
        <v>197</v>
      </c>
      <c r="B144" s="16">
        <v>1</v>
      </c>
      <c r="C144" s="16" t="s">
        <v>42</v>
      </c>
      <c r="D144" s="16">
        <v>1</v>
      </c>
      <c r="E144" s="17">
        <v>0.05</v>
      </c>
      <c r="F144" s="16" t="s">
        <v>43</v>
      </c>
      <c r="G144" s="16" t="s">
        <v>44</v>
      </c>
      <c r="H144" s="16">
        <v>4.5</v>
      </c>
      <c r="I144" s="16">
        <f t="shared" si="2"/>
        <v>5.5</v>
      </c>
    </row>
    <row r="145" spans="1:9">
      <c r="A145" s="16" t="s">
        <v>198</v>
      </c>
      <c r="B145" s="16">
        <v>1</v>
      </c>
      <c r="C145" s="16" t="s">
        <v>42</v>
      </c>
      <c r="D145" s="16">
        <v>1</v>
      </c>
      <c r="E145" s="17">
        <v>0.2</v>
      </c>
      <c r="F145" s="16" t="s">
        <v>55</v>
      </c>
      <c r="G145" s="16" t="s">
        <v>150</v>
      </c>
      <c r="H145" s="16">
        <v>14.8</v>
      </c>
      <c r="I145" s="16">
        <f t="shared" si="2"/>
        <v>15.8</v>
      </c>
    </row>
    <row r="146" spans="1:9">
      <c r="A146" s="16" t="s">
        <v>199</v>
      </c>
      <c r="B146" s="16">
        <v>1</v>
      </c>
      <c r="C146" s="16" t="s">
        <v>42</v>
      </c>
      <c r="D146" s="16">
        <v>1</v>
      </c>
      <c r="E146" s="17">
        <v>0.7</v>
      </c>
      <c r="F146" s="16" t="s">
        <v>43</v>
      </c>
      <c r="G146" s="16" t="s">
        <v>44</v>
      </c>
      <c r="H146" s="16">
        <v>4.5</v>
      </c>
      <c r="I146" s="16">
        <f t="shared" si="2"/>
        <v>5.5</v>
      </c>
    </row>
    <row r="147" spans="1:9">
      <c r="A147" s="16" t="s">
        <v>200</v>
      </c>
      <c r="B147" s="16">
        <v>1</v>
      </c>
      <c r="C147" s="16" t="s">
        <v>42</v>
      </c>
      <c r="D147" s="16">
        <v>1</v>
      </c>
      <c r="E147" s="17">
        <v>0.15</v>
      </c>
      <c r="F147" s="16" t="s">
        <v>43</v>
      </c>
      <c r="G147" s="16" t="s">
        <v>44</v>
      </c>
      <c r="H147" s="16">
        <v>4.5</v>
      </c>
      <c r="I147" s="16">
        <f t="shared" si="2"/>
        <v>5.5</v>
      </c>
    </row>
    <row r="148" spans="1:9">
      <c r="A148" s="16" t="s">
        <v>201</v>
      </c>
      <c r="B148" s="16">
        <v>1</v>
      </c>
      <c r="C148" s="16" t="s">
        <v>42</v>
      </c>
      <c r="D148" s="16">
        <v>1</v>
      </c>
      <c r="E148" s="17">
        <v>0.55</v>
      </c>
      <c r="F148" s="16" t="s">
        <v>43</v>
      </c>
      <c r="G148" s="16" t="s">
        <v>44</v>
      </c>
      <c r="H148" s="16">
        <v>4.5</v>
      </c>
      <c r="I148" s="16">
        <f t="shared" si="2"/>
        <v>5.5</v>
      </c>
    </row>
    <row r="149" spans="1:9">
      <c r="A149" s="16" t="s">
        <v>202</v>
      </c>
      <c r="B149" s="16">
        <v>1</v>
      </c>
      <c r="C149" s="16" t="s">
        <v>42</v>
      </c>
      <c r="D149" s="16">
        <v>1</v>
      </c>
      <c r="E149" s="17">
        <v>0.25</v>
      </c>
      <c r="F149" s="16" t="s">
        <v>43</v>
      </c>
      <c r="G149" s="16" t="s">
        <v>44</v>
      </c>
      <c r="H149" s="16">
        <v>4.5</v>
      </c>
      <c r="I149" s="16">
        <f t="shared" si="2"/>
        <v>5.5</v>
      </c>
    </row>
    <row r="150" spans="1:9">
      <c r="A150" s="16" t="s">
        <v>203</v>
      </c>
      <c r="B150" s="16">
        <v>1</v>
      </c>
      <c r="C150" s="16" t="s">
        <v>42</v>
      </c>
      <c r="D150" s="16">
        <v>1</v>
      </c>
      <c r="E150" s="17">
        <v>0.3</v>
      </c>
      <c r="F150" s="16" t="s">
        <v>43</v>
      </c>
      <c r="G150" s="16" t="s">
        <v>44</v>
      </c>
      <c r="H150" s="16">
        <v>4.5</v>
      </c>
      <c r="I150" s="16">
        <f t="shared" si="2"/>
        <v>5.5</v>
      </c>
    </row>
    <row r="151" spans="1:9">
      <c r="A151" s="16" t="s">
        <v>204</v>
      </c>
      <c r="B151" s="16">
        <v>1</v>
      </c>
      <c r="C151" s="16" t="s">
        <v>42</v>
      </c>
      <c r="D151" s="16">
        <v>1</v>
      </c>
      <c r="E151" s="17">
        <v>0.2</v>
      </c>
      <c r="F151" s="16" t="s">
        <v>55</v>
      </c>
      <c r="G151" s="16" t="s">
        <v>56</v>
      </c>
      <c r="H151" s="16">
        <v>11</v>
      </c>
      <c r="I151" s="16">
        <f t="shared" si="2"/>
        <v>12</v>
      </c>
    </row>
    <row r="152" spans="1:9">
      <c r="A152" s="16" t="s">
        <v>205</v>
      </c>
      <c r="B152" s="16">
        <v>1</v>
      </c>
      <c r="C152" s="16" t="s">
        <v>42</v>
      </c>
      <c r="D152" s="16">
        <v>1</v>
      </c>
      <c r="E152" s="17">
        <v>0.1</v>
      </c>
      <c r="F152" s="16" t="s">
        <v>55</v>
      </c>
      <c r="G152" s="16" t="s">
        <v>58</v>
      </c>
      <c r="H152" s="16">
        <v>12.8</v>
      </c>
      <c r="I152" s="16">
        <f t="shared" si="2"/>
        <v>13.8</v>
      </c>
    </row>
    <row r="153" spans="1:9">
      <c r="A153" s="16" t="s">
        <v>206</v>
      </c>
      <c r="B153" s="16">
        <v>1</v>
      </c>
      <c r="C153" s="16" t="s">
        <v>42</v>
      </c>
      <c r="D153" s="16">
        <v>1</v>
      </c>
      <c r="E153" s="17">
        <v>0.2</v>
      </c>
      <c r="F153" s="16" t="s">
        <v>43</v>
      </c>
      <c r="G153" s="16" t="s">
        <v>44</v>
      </c>
      <c r="H153" s="16">
        <v>4.5</v>
      </c>
      <c r="I153" s="16">
        <f t="shared" si="2"/>
        <v>5.5</v>
      </c>
    </row>
    <row r="154" spans="1:9">
      <c r="A154" s="16" t="s">
        <v>207</v>
      </c>
      <c r="B154" s="16">
        <v>1</v>
      </c>
      <c r="C154" s="16" t="s">
        <v>42</v>
      </c>
      <c r="D154" s="16">
        <v>1</v>
      </c>
      <c r="E154" s="17">
        <v>0.3</v>
      </c>
      <c r="F154" s="16" t="s">
        <v>43</v>
      </c>
      <c r="G154" s="16" t="s">
        <v>44</v>
      </c>
      <c r="H154" s="16">
        <v>4.5</v>
      </c>
      <c r="I154" s="16">
        <f t="shared" si="2"/>
        <v>5.5</v>
      </c>
    </row>
    <row r="155" spans="1:9">
      <c r="A155" s="16" t="s">
        <v>208</v>
      </c>
      <c r="B155" s="16">
        <v>1</v>
      </c>
      <c r="C155" s="16" t="s">
        <v>42</v>
      </c>
      <c r="D155" s="16">
        <v>1</v>
      </c>
      <c r="E155" s="17">
        <v>0.2</v>
      </c>
      <c r="F155" s="16" t="s">
        <v>55</v>
      </c>
      <c r="G155" s="16" t="s">
        <v>56</v>
      </c>
      <c r="H155" s="16">
        <v>11</v>
      </c>
      <c r="I155" s="16">
        <f t="shared" si="2"/>
        <v>12</v>
      </c>
    </row>
    <row r="156" spans="1:9">
      <c r="A156" s="16" t="s">
        <v>209</v>
      </c>
      <c r="B156" s="16">
        <v>1</v>
      </c>
      <c r="C156" s="16" t="s">
        <v>42</v>
      </c>
      <c r="D156" s="16">
        <v>1</v>
      </c>
      <c r="E156" s="17">
        <v>0.2</v>
      </c>
      <c r="F156" s="16" t="s">
        <v>43</v>
      </c>
      <c r="G156" s="16" t="s">
        <v>44</v>
      </c>
      <c r="H156" s="16">
        <v>4.5</v>
      </c>
      <c r="I156" s="16">
        <f t="shared" si="2"/>
        <v>5.5</v>
      </c>
    </row>
    <row r="157" spans="1:9">
      <c r="A157" s="16" t="s">
        <v>210</v>
      </c>
      <c r="B157" s="16">
        <v>1</v>
      </c>
      <c r="C157" s="16" t="s">
        <v>42</v>
      </c>
      <c r="D157" s="16">
        <v>1</v>
      </c>
      <c r="E157" s="17">
        <v>0.3</v>
      </c>
      <c r="F157" s="16" t="s">
        <v>43</v>
      </c>
      <c r="G157" s="16" t="s">
        <v>44</v>
      </c>
      <c r="H157" s="16">
        <v>4.5</v>
      </c>
      <c r="I157" s="16">
        <f t="shared" si="2"/>
        <v>5.5</v>
      </c>
    </row>
    <row r="158" spans="1:9">
      <c r="A158" s="16" t="s">
        <v>211</v>
      </c>
      <c r="B158" s="16">
        <v>1</v>
      </c>
      <c r="C158" s="16" t="s">
        <v>42</v>
      </c>
      <c r="D158" s="16">
        <v>1</v>
      </c>
      <c r="E158" s="17">
        <v>0.2</v>
      </c>
      <c r="F158" s="16" t="s">
        <v>43</v>
      </c>
      <c r="G158" s="16" t="s">
        <v>44</v>
      </c>
      <c r="H158" s="16">
        <v>4.5</v>
      </c>
      <c r="I158" s="16">
        <f t="shared" si="2"/>
        <v>5.5</v>
      </c>
    </row>
    <row r="159" spans="1:9">
      <c r="A159" s="16" t="s">
        <v>212</v>
      </c>
      <c r="B159" s="16">
        <v>1</v>
      </c>
      <c r="C159" s="16" t="s">
        <v>42</v>
      </c>
      <c r="D159" s="16">
        <v>1</v>
      </c>
      <c r="E159" s="17">
        <v>0.2</v>
      </c>
      <c r="F159" s="16" t="s">
        <v>55</v>
      </c>
      <c r="G159" s="16" t="s">
        <v>58</v>
      </c>
      <c r="H159" s="16">
        <v>12.8</v>
      </c>
      <c r="I159" s="16">
        <f t="shared" si="2"/>
        <v>13.8</v>
      </c>
    </row>
    <row r="160" spans="1:9">
      <c r="A160" s="16" t="s">
        <v>213</v>
      </c>
      <c r="B160" s="16">
        <v>1</v>
      </c>
      <c r="C160" s="16" t="s">
        <v>42</v>
      </c>
      <c r="D160" s="16">
        <v>1</v>
      </c>
      <c r="E160" s="17">
        <v>0.3</v>
      </c>
      <c r="F160" s="16" t="s">
        <v>43</v>
      </c>
      <c r="G160" s="16" t="s">
        <v>44</v>
      </c>
      <c r="H160" s="16">
        <v>4.5</v>
      </c>
      <c r="I160" s="16">
        <f t="shared" si="2"/>
        <v>5.5</v>
      </c>
    </row>
    <row r="161" spans="1:9">
      <c r="A161" s="16" t="s">
        <v>214</v>
      </c>
      <c r="B161" s="16">
        <v>1</v>
      </c>
      <c r="C161" s="16" t="s">
        <v>42</v>
      </c>
      <c r="D161" s="16">
        <v>1</v>
      </c>
      <c r="E161" s="17">
        <v>0.1</v>
      </c>
      <c r="F161" s="16" t="s">
        <v>43</v>
      </c>
      <c r="G161" s="16" t="s">
        <v>44</v>
      </c>
      <c r="H161" s="16">
        <v>4.5</v>
      </c>
      <c r="I161" s="16">
        <f t="shared" si="2"/>
        <v>5.5</v>
      </c>
    </row>
    <row r="162" spans="1:9">
      <c r="A162" s="16" t="s">
        <v>215</v>
      </c>
      <c r="B162" s="16">
        <v>1</v>
      </c>
      <c r="C162" s="16" t="s">
        <v>42</v>
      </c>
      <c r="D162" s="16">
        <v>1</v>
      </c>
      <c r="E162" s="17">
        <v>0.25</v>
      </c>
      <c r="F162" s="16" t="s">
        <v>55</v>
      </c>
      <c r="G162" s="16" t="s">
        <v>84</v>
      </c>
      <c r="H162" s="16">
        <v>12.5</v>
      </c>
      <c r="I162" s="16">
        <f t="shared" si="2"/>
        <v>13.5</v>
      </c>
    </row>
    <row r="163" spans="1:9">
      <c r="A163" s="16" t="s">
        <v>216</v>
      </c>
      <c r="B163" s="16">
        <v>1</v>
      </c>
      <c r="C163" s="16" t="s">
        <v>42</v>
      </c>
      <c r="D163" s="16">
        <v>1</v>
      </c>
      <c r="E163" s="17">
        <v>0.15</v>
      </c>
      <c r="F163" s="16" t="s">
        <v>43</v>
      </c>
      <c r="G163" s="16" t="s">
        <v>44</v>
      </c>
      <c r="H163" s="16">
        <v>4.5</v>
      </c>
      <c r="I163" s="16">
        <f t="shared" si="2"/>
        <v>5.5</v>
      </c>
    </row>
    <row r="164" spans="1:9">
      <c r="A164" s="16" t="s">
        <v>217</v>
      </c>
      <c r="B164" s="16">
        <v>1</v>
      </c>
      <c r="C164" s="16" t="s">
        <v>54</v>
      </c>
      <c r="D164" s="16">
        <f>1+1</f>
        <v>2</v>
      </c>
      <c r="E164" s="17">
        <v>3.5</v>
      </c>
      <c r="F164" s="16" t="s">
        <v>218</v>
      </c>
      <c r="G164" s="16" t="s">
        <v>44</v>
      </c>
      <c r="H164" s="16">
        <v>4.85</v>
      </c>
      <c r="I164" s="16">
        <f t="shared" si="2"/>
        <v>6.85</v>
      </c>
    </row>
    <row r="165" spans="1:9">
      <c r="A165" s="16" t="s">
        <v>219</v>
      </c>
      <c r="B165" s="16">
        <v>1</v>
      </c>
      <c r="C165" s="16" t="s">
        <v>42</v>
      </c>
      <c r="D165" s="16">
        <v>1</v>
      </c>
      <c r="E165" s="17">
        <v>1</v>
      </c>
      <c r="F165" s="16" t="s">
        <v>43</v>
      </c>
      <c r="G165" s="16" t="s">
        <v>44</v>
      </c>
      <c r="H165" s="16">
        <v>4.5</v>
      </c>
      <c r="I165" s="16">
        <f t="shared" si="2"/>
        <v>5.5</v>
      </c>
    </row>
    <row r="166" spans="1:9">
      <c r="A166" s="16" t="s">
        <v>220</v>
      </c>
      <c r="B166" s="16">
        <v>1</v>
      </c>
      <c r="C166" s="16" t="s">
        <v>42</v>
      </c>
      <c r="D166" s="16">
        <v>1</v>
      </c>
      <c r="E166" s="17">
        <v>0.2</v>
      </c>
      <c r="F166" s="16" t="s">
        <v>43</v>
      </c>
      <c r="G166" s="16" t="s">
        <v>44</v>
      </c>
      <c r="H166" s="16">
        <v>4.5</v>
      </c>
      <c r="I166" s="16">
        <f t="shared" si="2"/>
        <v>5.5</v>
      </c>
    </row>
    <row r="167" spans="1:9">
      <c r="A167" s="16" t="s">
        <v>221</v>
      </c>
      <c r="B167" s="16">
        <v>1</v>
      </c>
      <c r="C167" s="16" t="s">
        <v>42</v>
      </c>
      <c r="D167" s="16">
        <v>1</v>
      </c>
      <c r="E167" s="17">
        <v>1.05</v>
      </c>
      <c r="F167" s="16" t="s">
        <v>43</v>
      </c>
      <c r="G167" s="16" t="s">
        <v>44</v>
      </c>
      <c r="H167" s="16">
        <v>4.5</v>
      </c>
      <c r="I167" s="16">
        <f t="shared" si="2"/>
        <v>5.5</v>
      </c>
    </row>
    <row r="168" spans="1:9">
      <c r="A168" s="16" t="s">
        <v>222</v>
      </c>
      <c r="B168" s="16">
        <v>1</v>
      </c>
      <c r="C168" s="16" t="s">
        <v>42</v>
      </c>
      <c r="D168" s="17">
        <v>1.2</v>
      </c>
      <c r="E168" s="17">
        <v>5.4</v>
      </c>
      <c r="F168" s="16" t="s">
        <v>43</v>
      </c>
      <c r="G168" s="16" t="s">
        <v>44</v>
      </c>
      <c r="H168" s="16">
        <v>5.2</v>
      </c>
      <c r="I168" s="16">
        <f t="shared" si="2"/>
        <v>6.4</v>
      </c>
    </row>
    <row r="169" spans="1:9">
      <c r="A169" s="16" t="s">
        <v>223</v>
      </c>
      <c r="B169" s="16">
        <v>1</v>
      </c>
      <c r="C169" s="16" t="s">
        <v>42</v>
      </c>
      <c r="D169" s="16">
        <v>1</v>
      </c>
      <c r="E169" s="17">
        <v>0.1</v>
      </c>
      <c r="F169" s="16" t="s">
        <v>55</v>
      </c>
      <c r="G169" s="16" t="s">
        <v>63</v>
      </c>
      <c r="H169" s="16">
        <v>15.8</v>
      </c>
      <c r="I169" s="16">
        <f t="shared" si="2"/>
        <v>16.8</v>
      </c>
    </row>
    <row r="170" spans="1:9">
      <c r="A170" s="16" t="s">
        <v>224</v>
      </c>
      <c r="B170" s="16">
        <v>1</v>
      </c>
      <c r="C170" s="16" t="s">
        <v>42</v>
      </c>
      <c r="D170" s="16">
        <v>1</v>
      </c>
      <c r="E170" s="17">
        <v>0.2</v>
      </c>
      <c r="F170" s="16" t="s">
        <v>43</v>
      </c>
      <c r="G170" s="16" t="s">
        <v>44</v>
      </c>
      <c r="H170" s="16">
        <v>4.5</v>
      </c>
      <c r="I170" s="16">
        <f t="shared" si="2"/>
        <v>5.5</v>
      </c>
    </row>
    <row r="171" spans="1:9">
      <c r="A171" s="16" t="s">
        <v>225</v>
      </c>
      <c r="B171" s="16">
        <v>1</v>
      </c>
      <c r="C171" s="16" t="s">
        <v>42</v>
      </c>
      <c r="D171" s="16">
        <v>1</v>
      </c>
      <c r="E171" s="17">
        <v>3</v>
      </c>
      <c r="F171" s="16" t="s">
        <v>43</v>
      </c>
      <c r="G171" s="16" t="s">
        <v>44</v>
      </c>
      <c r="H171" s="16">
        <v>5.2</v>
      </c>
      <c r="I171" s="16">
        <f t="shared" si="2"/>
        <v>6.2</v>
      </c>
    </row>
    <row r="172" spans="1:9">
      <c r="A172" s="16" t="s">
        <v>226</v>
      </c>
      <c r="B172" s="16">
        <v>1</v>
      </c>
      <c r="C172" s="16" t="s">
        <v>42</v>
      </c>
      <c r="D172" s="16">
        <v>1</v>
      </c>
      <c r="E172" s="17">
        <v>0.2</v>
      </c>
      <c r="F172" s="16" t="s">
        <v>55</v>
      </c>
      <c r="G172" s="16" t="s">
        <v>56</v>
      </c>
      <c r="H172" s="16">
        <v>11</v>
      </c>
      <c r="I172" s="16">
        <f t="shared" si="2"/>
        <v>12</v>
      </c>
    </row>
    <row r="173" spans="1:9">
      <c r="A173" s="16" t="s">
        <v>227</v>
      </c>
      <c r="B173" s="16">
        <v>1</v>
      </c>
      <c r="C173" s="16" t="s">
        <v>42</v>
      </c>
      <c r="D173" s="16">
        <v>1</v>
      </c>
      <c r="E173" s="17">
        <v>0.15</v>
      </c>
      <c r="F173" s="16" t="s">
        <v>55</v>
      </c>
      <c r="G173" s="16" t="s">
        <v>56</v>
      </c>
      <c r="H173" s="16">
        <v>11</v>
      </c>
      <c r="I173" s="16">
        <f t="shared" si="2"/>
        <v>12</v>
      </c>
    </row>
    <row r="174" spans="1:9">
      <c r="A174" s="16" t="s">
        <v>228</v>
      </c>
      <c r="B174" s="16">
        <v>1</v>
      </c>
      <c r="C174" s="16" t="s">
        <v>42</v>
      </c>
      <c r="D174" s="16">
        <v>1</v>
      </c>
      <c r="E174" s="17">
        <v>0.15</v>
      </c>
      <c r="F174" s="16" t="s">
        <v>43</v>
      </c>
      <c r="G174" s="16" t="s">
        <v>44</v>
      </c>
      <c r="H174" s="16">
        <v>4.5</v>
      </c>
      <c r="I174" s="16">
        <f t="shared" si="2"/>
        <v>5.5</v>
      </c>
    </row>
    <row r="175" spans="1:9">
      <c r="A175" s="16" t="s">
        <v>229</v>
      </c>
      <c r="B175" s="16">
        <v>1</v>
      </c>
      <c r="C175" s="16" t="s">
        <v>42</v>
      </c>
      <c r="D175" s="16">
        <v>1</v>
      </c>
      <c r="E175" s="17">
        <v>0.2</v>
      </c>
      <c r="F175" s="16" t="s">
        <v>43</v>
      </c>
      <c r="G175" s="16" t="s">
        <v>44</v>
      </c>
      <c r="H175" s="16">
        <v>4.5</v>
      </c>
      <c r="I175" s="16">
        <f t="shared" si="2"/>
        <v>5.5</v>
      </c>
    </row>
    <row r="176" spans="1:9">
      <c r="A176" s="16" t="s">
        <v>230</v>
      </c>
      <c r="B176" s="16">
        <v>1</v>
      </c>
      <c r="C176" s="16" t="s">
        <v>42</v>
      </c>
      <c r="D176" s="17">
        <v>1.2</v>
      </c>
      <c r="E176" s="17">
        <v>5.4</v>
      </c>
      <c r="F176" s="16" t="s">
        <v>43</v>
      </c>
      <c r="G176" s="16" t="s">
        <v>44</v>
      </c>
      <c r="H176" s="16">
        <v>5.2</v>
      </c>
      <c r="I176" s="16">
        <f t="shared" si="2"/>
        <v>6.4</v>
      </c>
    </row>
    <row r="177" spans="1:9">
      <c r="A177" s="16" t="s">
        <v>231</v>
      </c>
      <c r="B177" s="16">
        <v>1</v>
      </c>
      <c r="C177" s="16" t="s">
        <v>42</v>
      </c>
      <c r="D177" s="16">
        <v>1</v>
      </c>
      <c r="E177" s="17">
        <v>0.15</v>
      </c>
      <c r="F177" s="16" t="s">
        <v>55</v>
      </c>
      <c r="G177" s="16" t="s">
        <v>58</v>
      </c>
      <c r="H177" s="16">
        <v>12.8</v>
      </c>
      <c r="I177" s="16">
        <f t="shared" si="2"/>
        <v>13.8</v>
      </c>
    </row>
    <row r="178" spans="1:9">
      <c r="A178" s="16" t="s">
        <v>232</v>
      </c>
      <c r="B178" s="16">
        <v>1</v>
      </c>
      <c r="C178" s="16" t="s">
        <v>42</v>
      </c>
      <c r="D178" s="16">
        <v>1</v>
      </c>
      <c r="E178" s="17">
        <v>2.05</v>
      </c>
      <c r="F178" s="16" t="s">
        <v>43</v>
      </c>
      <c r="G178" s="16" t="s">
        <v>44</v>
      </c>
      <c r="H178" s="16">
        <v>4.5</v>
      </c>
      <c r="I178" s="16">
        <f t="shared" si="2"/>
        <v>5.5</v>
      </c>
    </row>
    <row r="179" spans="1:9">
      <c r="A179" s="16" t="s">
        <v>233</v>
      </c>
      <c r="B179" s="16">
        <v>1</v>
      </c>
      <c r="C179" s="16" t="s">
        <v>42</v>
      </c>
      <c r="D179" s="16">
        <v>1</v>
      </c>
      <c r="E179" s="17">
        <v>0.15</v>
      </c>
      <c r="F179" s="16" t="s">
        <v>55</v>
      </c>
      <c r="G179" s="16" t="s">
        <v>56</v>
      </c>
      <c r="H179" s="16">
        <v>11</v>
      </c>
      <c r="I179" s="16">
        <f t="shared" si="2"/>
        <v>12</v>
      </c>
    </row>
    <row r="180" spans="1:9">
      <c r="A180" s="16" t="s">
        <v>234</v>
      </c>
      <c r="B180" s="16">
        <v>1</v>
      </c>
      <c r="C180" s="16" t="s">
        <v>42</v>
      </c>
      <c r="D180" s="16">
        <v>1</v>
      </c>
      <c r="E180" s="17">
        <v>0.15</v>
      </c>
      <c r="F180" s="16" t="s">
        <v>43</v>
      </c>
      <c r="G180" s="16" t="s">
        <v>44</v>
      </c>
      <c r="H180" s="16">
        <v>4.5</v>
      </c>
      <c r="I180" s="16">
        <f t="shared" si="2"/>
        <v>5.5</v>
      </c>
    </row>
    <row r="181" spans="1:9">
      <c r="A181" s="16" t="s">
        <v>235</v>
      </c>
      <c r="B181" s="16">
        <v>1</v>
      </c>
      <c r="C181" s="16" t="s">
        <v>42</v>
      </c>
      <c r="D181" s="16">
        <v>1</v>
      </c>
      <c r="E181" s="17">
        <v>0.2</v>
      </c>
      <c r="F181" s="16" t="s">
        <v>43</v>
      </c>
      <c r="G181" s="16" t="s">
        <v>44</v>
      </c>
      <c r="H181" s="16">
        <v>4.5</v>
      </c>
      <c r="I181" s="16">
        <f t="shared" si="2"/>
        <v>5.5</v>
      </c>
    </row>
    <row r="182" spans="1:9">
      <c r="A182" s="16" t="s">
        <v>236</v>
      </c>
      <c r="B182" s="16">
        <v>1</v>
      </c>
      <c r="C182" s="16" t="s">
        <v>42</v>
      </c>
      <c r="D182" s="16">
        <v>1</v>
      </c>
      <c r="E182" s="17">
        <v>0.35</v>
      </c>
      <c r="F182" s="16" t="s">
        <v>43</v>
      </c>
      <c r="G182" s="16" t="s">
        <v>44</v>
      </c>
      <c r="H182" s="16">
        <v>4.5</v>
      </c>
      <c r="I182" s="16">
        <f t="shared" si="2"/>
        <v>5.5</v>
      </c>
    </row>
    <row r="183" spans="1:9">
      <c r="A183" s="16" t="s">
        <v>237</v>
      </c>
      <c r="B183" s="16">
        <v>1</v>
      </c>
      <c r="C183" s="16" t="s">
        <v>42</v>
      </c>
      <c r="D183" s="16">
        <v>1</v>
      </c>
      <c r="E183" s="17">
        <v>0.2</v>
      </c>
      <c r="F183" s="16" t="s">
        <v>55</v>
      </c>
      <c r="G183" s="16" t="s">
        <v>84</v>
      </c>
      <c r="H183" s="16">
        <v>12.5</v>
      </c>
      <c r="I183" s="16">
        <f t="shared" si="2"/>
        <v>13.5</v>
      </c>
    </row>
    <row r="185" spans="8:9">
      <c r="H185" s="18" t="s">
        <v>238</v>
      </c>
      <c r="I185" s="19">
        <f>SUM(I2:I184)</f>
        <v>1507.35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I15" sqref="I15"/>
    </sheetView>
  </sheetViews>
  <sheetFormatPr defaultColWidth="9" defaultRowHeight="13.5" outlineLevelRow="3"/>
  <cols>
    <col min="1" max="1" width="15.1416666666667" customWidth="1"/>
    <col min="2" max="2" width="14" customWidth="1"/>
    <col min="3" max="3" width="12" customWidth="1"/>
    <col min="4" max="4" width="11" customWidth="1"/>
    <col min="5" max="5" width="13.1416666666667" customWidth="1"/>
    <col min="6" max="6" width="8.28333333333333" customWidth="1"/>
    <col min="7" max="7" width="4.425" customWidth="1"/>
    <col min="9" max="9" width="8.28333333333333" customWidth="1"/>
    <col min="10" max="10" width="12.425" customWidth="1"/>
    <col min="11" max="11" width="12.2833333333333" customWidth="1"/>
    <col min="12" max="12" width="20" customWidth="1"/>
    <col min="13" max="13" width="12.425" customWidth="1"/>
    <col min="14" max="14" width="10.1416666666667" customWidth="1"/>
    <col min="15" max="15" width="12" customWidth="1"/>
    <col min="16" max="16" width="18.5666666666667" style="6" customWidth="1"/>
    <col min="17" max="17" width="3.85833333333333" customWidth="1"/>
    <col min="18" max="18" width="7.56666666666667" customWidth="1"/>
    <col min="19" max="19" width="4.56666666666667" customWidth="1"/>
    <col min="20" max="20" width="8.70833333333333" customWidth="1"/>
    <col min="21" max="21" width="11.5666666666667" customWidth="1"/>
    <col min="22" max="22" width="22.425" customWidth="1"/>
  </cols>
  <sheetData>
    <row r="1" spans="1:22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s="9" t="s">
        <v>249</v>
      </c>
      <c r="L1" s="10" t="s">
        <v>250</v>
      </c>
      <c r="M1" t="s">
        <v>251</v>
      </c>
      <c r="N1" t="s">
        <v>252</v>
      </c>
      <c r="O1" t="s">
        <v>253</v>
      </c>
      <c r="P1" s="11" t="s">
        <v>254</v>
      </c>
      <c r="Q1" t="s">
        <v>255</v>
      </c>
      <c r="R1" t="s">
        <v>256</v>
      </c>
      <c r="S1" t="s">
        <v>257</v>
      </c>
      <c r="T1" t="s">
        <v>258</v>
      </c>
      <c r="U1" t="s">
        <v>259</v>
      </c>
      <c r="V1" t="s">
        <v>260</v>
      </c>
    </row>
    <row r="2" spans="1:17">
      <c r="A2" s="7">
        <v>63178921020106</v>
      </c>
      <c r="B2" t="s">
        <v>261</v>
      </c>
      <c r="C2" s="8">
        <v>45736</v>
      </c>
      <c r="D2">
        <v>1247774745</v>
      </c>
      <c r="E2" t="s">
        <v>44</v>
      </c>
      <c r="F2" t="s">
        <v>262</v>
      </c>
      <c r="G2" t="s">
        <v>262</v>
      </c>
      <c r="H2" t="s">
        <v>262</v>
      </c>
      <c r="J2" t="s">
        <v>44</v>
      </c>
      <c r="K2" s="9">
        <v>8</v>
      </c>
      <c r="L2" s="12" t="s">
        <v>263</v>
      </c>
      <c r="M2">
        <v>232000001</v>
      </c>
      <c r="N2" s="8">
        <v>45728</v>
      </c>
      <c r="O2">
        <v>3.40434713524945e+17</v>
      </c>
      <c r="P2" s="13" t="s">
        <v>47</v>
      </c>
      <c r="Q2">
        <v>1</v>
      </c>
    </row>
    <row r="4" spans="10:11">
      <c r="J4" s="14" t="s">
        <v>238</v>
      </c>
      <c r="K4" s="15">
        <f>SUM(K2:K3)</f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pane ySplit="1" topLeftCell="A2" activePane="bottomLeft" state="frozen"/>
      <selection/>
      <selection pane="bottomLeft" activeCell="P13" sqref="P12:P13"/>
    </sheetView>
  </sheetViews>
  <sheetFormatPr defaultColWidth="9" defaultRowHeight="13.5"/>
  <cols>
    <col min="1" max="1" width="18.2833333333333" style="1" customWidth="1"/>
    <col min="2" max="2" width="8.425" style="1" customWidth="1"/>
    <col min="3" max="3" width="5.70833333333333" style="1" customWidth="1"/>
    <col min="4" max="4" width="4.70833333333333" style="1" customWidth="1"/>
    <col min="5" max="5" width="10.425" style="1" customWidth="1"/>
    <col min="6" max="6" width="8.425" style="1" customWidth="1"/>
    <col min="7" max="7" width="7.56666666666667" style="1" customWidth="1"/>
    <col min="8" max="8" width="6" style="1" customWidth="1"/>
    <col min="9" max="9" width="6.56666666666667" style="1" customWidth="1"/>
    <col min="10" max="10" width="5.425" style="1" customWidth="1"/>
    <col min="11" max="11" width="16" style="1" customWidth="1"/>
    <col min="12" max="12" width="12.1416666666667" style="1" customWidth="1"/>
    <col min="13" max="16384" width="9.14166666666667" style="1"/>
  </cols>
  <sheetData>
    <row r="1" spans="1:12">
      <c r="A1" s="2" t="s">
        <v>264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4</v>
      </c>
      <c r="J1" s="2" t="s">
        <v>272</v>
      </c>
      <c r="K1" s="2" t="s">
        <v>273</v>
      </c>
      <c r="L1" s="2" t="s">
        <v>274</v>
      </c>
    </row>
    <row r="2" spans="1:12">
      <c r="A2" s="1" t="s">
        <v>275</v>
      </c>
      <c r="B2" s="1" t="s">
        <v>276</v>
      </c>
      <c r="C2" s="1" t="s">
        <v>277</v>
      </c>
      <c r="D2" s="1" t="s">
        <v>278</v>
      </c>
      <c r="E2" s="1" t="s">
        <v>279</v>
      </c>
      <c r="F2" s="1" t="s">
        <v>280</v>
      </c>
      <c r="G2" s="1" t="s">
        <v>281</v>
      </c>
      <c r="H2" s="1">
        <v>13896</v>
      </c>
      <c r="I2" s="3">
        <v>11317</v>
      </c>
      <c r="J2" s="1" t="s">
        <v>282</v>
      </c>
      <c r="K2" s="1">
        <v>11.317</v>
      </c>
      <c r="L2" s="1" t="s">
        <v>282</v>
      </c>
    </row>
    <row r="3" spans="1:12">
      <c r="A3" s="1" t="s">
        <v>283</v>
      </c>
      <c r="B3" s="1" t="s">
        <v>276</v>
      </c>
      <c r="C3" s="1" t="s">
        <v>277</v>
      </c>
      <c r="D3" s="1" t="s">
        <v>278</v>
      </c>
      <c r="E3" s="1" t="s">
        <v>284</v>
      </c>
      <c r="F3" s="1" t="s">
        <v>280</v>
      </c>
      <c r="G3" s="1" t="s">
        <v>281</v>
      </c>
      <c r="H3" s="1">
        <v>13896</v>
      </c>
      <c r="I3" s="3">
        <v>11317</v>
      </c>
      <c r="J3" s="1" t="s">
        <v>282</v>
      </c>
      <c r="K3" s="1">
        <v>11.317</v>
      </c>
      <c r="L3" s="1" t="s">
        <v>282</v>
      </c>
    </row>
    <row r="4" spans="1:12">
      <c r="A4" s="1" t="s">
        <v>285</v>
      </c>
      <c r="B4" s="1" t="s">
        <v>276</v>
      </c>
      <c r="C4" s="1" t="s">
        <v>277</v>
      </c>
      <c r="D4" s="1" t="s">
        <v>278</v>
      </c>
      <c r="E4" s="1" t="s">
        <v>286</v>
      </c>
      <c r="F4" s="1" t="s">
        <v>280</v>
      </c>
      <c r="G4" s="1" t="s">
        <v>287</v>
      </c>
      <c r="H4" s="1">
        <v>13885</v>
      </c>
      <c r="I4" s="3">
        <v>11310</v>
      </c>
      <c r="J4" s="1" t="s">
        <v>282</v>
      </c>
      <c r="K4" s="1">
        <v>11.31</v>
      </c>
      <c r="L4" s="1" t="s">
        <v>282</v>
      </c>
    </row>
    <row r="5" spans="1:12">
      <c r="A5" s="1" t="s">
        <v>288</v>
      </c>
      <c r="B5" s="1" t="s">
        <v>276</v>
      </c>
      <c r="C5" s="1" t="s">
        <v>277</v>
      </c>
      <c r="D5" s="1" t="s">
        <v>278</v>
      </c>
      <c r="E5" s="1" t="s">
        <v>289</v>
      </c>
      <c r="F5" s="1" t="s">
        <v>280</v>
      </c>
      <c r="G5" s="1" t="s">
        <v>290</v>
      </c>
      <c r="H5" s="1">
        <v>13876</v>
      </c>
      <c r="I5" s="3">
        <v>11300</v>
      </c>
      <c r="J5" s="1" t="s">
        <v>282</v>
      </c>
      <c r="K5" s="1">
        <v>11.3</v>
      </c>
      <c r="L5" s="1" t="s">
        <v>282</v>
      </c>
    </row>
    <row r="6" spans="1:12">
      <c r="A6" s="1" t="s">
        <v>291</v>
      </c>
      <c r="B6" s="1" t="s">
        <v>276</v>
      </c>
      <c r="C6" s="1" t="s">
        <v>277</v>
      </c>
      <c r="D6" s="1" t="s">
        <v>278</v>
      </c>
      <c r="E6" s="1" t="s">
        <v>292</v>
      </c>
      <c r="F6" s="1" t="s">
        <v>280</v>
      </c>
      <c r="G6" s="1" t="s">
        <v>293</v>
      </c>
      <c r="H6" s="1">
        <v>13870</v>
      </c>
      <c r="I6" s="3">
        <v>11296</v>
      </c>
      <c r="J6" s="1" t="s">
        <v>282</v>
      </c>
      <c r="K6" s="1">
        <v>11.296</v>
      </c>
      <c r="L6" s="1" t="s">
        <v>282</v>
      </c>
    </row>
    <row r="7" spans="1:12">
      <c r="A7" s="1" t="s">
        <v>294</v>
      </c>
      <c r="B7" s="1" t="s">
        <v>276</v>
      </c>
      <c r="C7" s="1" t="s">
        <v>277</v>
      </c>
      <c r="D7" s="1" t="s">
        <v>278</v>
      </c>
      <c r="E7" s="1" t="s">
        <v>295</v>
      </c>
      <c r="F7" s="1" t="s">
        <v>280</v>
      </c>
      <c r="G7" s="1" t="s">
        <v>296</v>
      </c>
      <c r="H7" s="1">
        <v>13864</v>
      </c>
      <c r="I7" s="3">
        <v>11290</v>
      </c>
      <c r="J7" s="1" t="s">
        <v>282</v>
      </c>
      <c r="K7" s="1">
        <v>11.29</v>
      </c>
      <c r="L7" s="1" t="s">
        <v>282</v>
      </c>
    </row>
    <row r="8" spans="1:12">
      <c r="A8" s="1" t="s">
        <v>297</v>
      </c>
      <c r="B8" s="1" t="s">
        <v>276</v>
      </c>
      <c r="C8" s="1" t="s">
        <v>277</v>
      </c>
      <c r="D8" s="1" t="s">
        <v>278</v>
      </c>
      <c r="E8" s="1" t="s">
        <v>298</v>
      </c>
      <c r="F8" s="1" t="s">
        <v>280</v>
      </c>
      <c r="G8" s="1" t="s">
        <v>299</v>
      </c>
      <c r="H8" s="1">
        <v>13858</v>
      </c>
      <c r="I8" s="3">
        <v>11277</v>
      </c>
      <c r="J8" s="1" t="s">
        <v>282</v>
      </c>
      <c r="K8" s="1">
        <v>11.277</v>
      </c>
      <c r="L8" s="1" t="s">
        <v>282</v>
      </c>
    </row>
    <row r="9" spans="1:12">
      <c r="A9" s="1" t="s">
        <v>300</v>
      </c>
      <c r="B9" s="1" t="s">
        <v>276</v>
      </c>
      <c r="C9" s="1" t="s">
        <v>277</v>
      </c>
      <c r="D9" s="1" t="s">
        <v>278</v>
      </c>
      <c r="E9" s="1" t="s">
        <v>301</v>
      </c>
      <c r="F9" s="1" t="s">
        <v>280</v>
      </c>
      <c r="G9" s="1" t="s">
        <v>299</v>
      </c>
      <c r="H9" s="1">
        <v>13858</v>
      </c>
      <c r="I9" s="3">
        <v>11277</v>
      </c>
      <c r="J9" s="1" t="s">
        <v>282</v>
      </c>
      <c r="K9" s="1">
        <v>11.277</v>
      </c>
      <c r="L9" s="1" t="s">
        <v>282</v>
      </c>
    </row>
    <row r="10" spans="1:12">
      <c r="A10" s="1" t="s">
        <v>302</v>
      </c>
      <c r="B10" s="1" t="s">
        <v>276</v>
      </c>
      <c r="C10" s="1" t="s">
        <v>277</v>
      </c>
      <c r="D10" s="1" t="s">
        <v>278</v>
      </c>
      <c r="E10" s="1" t="s">
        <v>303</v>
      </c>
      <c r="F10" s="1" t="s">
        <v>280</v>
      </c>
      <c r="G10" s="1" t="s">
        <v>299</v>
      </c>
      <c r="H10" s="1">
        <v>13858</v>
      </c>
      <c r="I10" s="3">
        <v>11277</v>
      </c>
      <c r="J10" s="1" t="s">
        <v>282</v>
      </c>
      <c r="K10" s="1">
        <v>11.277</v>
      </c>
      <c r="L10" s="1" t="s">
        <v>282</v>
      </c>
    </row>
    <row r="11" spans="1:12">
      <c r="A11" s="1" t="s">
        <v>304</v>
      </c>
      <c r="B11" s="1" t="s">
        <v>276</v>
      </c>
      <c r="C11" s="1" t="s">
        <v>277</v>
      </c>
      <c r="D11" s="1" t="s">
        <v>278</v>
      </c>
      <c r="E11" s="1" t="s">
        <v>305</v>
      </c>
      <c r="F11" s="1" t="s">
        <v>280</v>
      </c>
      <c r="G11" s="1" t="s">
        <v>306</v>
      </c>
      <c r="H11" s="1">
        <v>13855</v>
      </c>
      <c r="I11" s="3">
        <v>11276</v>
      </c>
      <c r="J11" s="1" t="s">
        <v>282</v>
      </c>
      <c r="K11" s="1">
        <v>11.276</v>
      </c>
      <c r="L11" s="1" t="s">
        <v>282</v>
      </c>
    </row>
    <row r="12" spans="1:12">
      <c r="A12" s="1" t="s">
        <v>307</v>
      </c>
      <c r="B12" s="1" t="s">
        <v>276</v>
      </c>
      <c r="C12" s="1" t="s">
        <v>277</v>
      </c>
      <c r="D12" s="1" t="s">
        <v>278</v>
      </c>
      <c r="E12" s="1" t="s">
        <v>308</v>
      </c>
      <c r="F12" s="1" t="s">
        <v>280</v>
      </c>
      <c r="G12" s="1" t="s">
        <v>309</v>
      </c>
      <c r="H12" s="1">
        <v>13845</v>
      </c>
      <c r="I12" s="3">
        <v>11265</v>
      </c>
      <c r="J12" s="1" t="s">
        <v>282</v>
      </c>
      <c r="K12" s="1">
        <v>11.265</v>
      </c>
      <c r="L12" s="1" t="s">
        <v>282</v>
      </c>
    </row>
    <row r="13" spans="1:12">
      <c r="A13" s="1" t="s">
        <v>310</v>
      </c>
      <c r="B13" s="1" t="s">
        <v>276</v>
      </c>
      <c r="C13" s="1" t="s">
        <v>277</v>
      </c>
      <c r="D13" s="1" t="s">
        <v>278</v>
      </c>
      <c r="E13" s="1" t="s">
        <v>311</v>
      </c>
      <c r="F13" s="1" t="s">
        <v>280</v>
      </c>
      <c r="G13" s="1" t="s">
        <v>312</v>
      </c>
      <c r="H13" s="1">
        <v>13837</v>
      </c>
      <c r="I13" s="3">
        <v>11254</v>
      </c>
      <c r="J13" s="1" t="s">
        <v>282</v>
      </c>
      <c r="K13" s="1">
        <v>11.254</v>
      </c>
      <c r="L13" s="1" t="s">
        <v>282</v>
      </c>
    </row>
    <row r="14" spans="1:12">
      <c r="A14" s="1" t="s">
        <v>313</v>
      </c>
      <c r="B14" s="1" t="s">
        <v>276</v>
      </c>
      <c r="C14" s="1" t="s">
        <v>277</v>
      </c>
      <c r="D14" s="1" t="s">
        <v>278</v>
      </c>
      <c r="E14" s="1" t="s">
        <v>314</v>
      </c>
      <c r="F14" s="1" t="s">
        <v>280</v>
      </c>
      <c r="G14" s="1" t="s">
        <v>315</v>
      </c>
      <c r="H14" s="1">
        <v>13830</v>
      </c>
      <c r="I14" s="3">
        <v>11250</v>
      </c>
      <c r="J14" s="1" t="s">
        <v>282</v>
      </c>
      <c r="K14" s="1">
        <v>11.25</v>
      </c>
      <c r="L14" s="1" t="s">
        <v>282</v>
      </c>
    </row>
    <row r="15" spans="1:12">
      <c r="A15" s="1" t="s">
        <v>316</v>
      </c>
      <c r="B15" s="1" t="s">
        <v>276</v>
      </c>
      <c r="C15" s="1" t="s">
        <v>277</v>
      </c>
      <c r="D15" s="1" t="s">
        <v>278</v>
      </c>
      <c r="E15" s="1" t="s">
        <v>317</v>
      </c>
      <c r="F15" s="1" t="s">
        <v>280</v>
      </c>
      <c r="G15" s="1" t="s">
        <v>318</v>
      </c>
      <c r="H15" s="1">
        <v>13827</v>
      </c>
      <c r="I15" s="3">
        <v>11248</v>
      </c>
      <c r="J15" s="1" t="s">
        <v>282</v>
      </c>
      <c r="K15" s="1">
        <v>11.248</v>
      </c>
      <c r="L15" s="1" t="s">
        <v>282</v>
      </c>
    </row>
    <row r="16" spans="1:12">
      <c r="A16" s="1" t="s">
        <v>319</v>
      </c>
      <c r="B16" s="1" t="s">
        <v>276</v>
      </c>
      <c r="C16" s="1" t="s">
        <v>277</v>
      </c>
      <c r="D16" s="1" t="s">
        <v>278</v>
      </c>
      <c r="E16" s="1" t="s">
        <v>320</v>
      </c>
      <c r="F16" s="1" t="s">
        <v>280</v>
      </c>
      <c r="G16" s="1" t="s">
        <v>318</v>
      </c>
      <c r="H16" s="1">
        <v>13827</v>
      </c>
      <c r="I16" s="3">
        <v>11248</v>
      </c>
      <c r="J16" s="1" t="s">
        <v>282</v>
      </c>
      <c r="K16" s="1">
        <v>11.248</v>
      </c>
      <c r="L16" s="1" t="s">
        <v>282</v>
      </c>
    </row>
    <row r="17" spans="1:12">
      <c r="A17" s="1" t="s">
        <v>321</v>
      </c>
      <c r="B17" s="1" t="s">
        <v>276</v>
      </c>
      <c r="C17" s="1" t="s">
        <v>277</v>
      </c>
      <c r="D17" s="1" t="s">
        <v>278</v>
      </c>
      <c r="E17" s="1" t="s">
        <v>322</v>
      </c>
      <c r="F17" s="1" t="s">
        <v>280</v>
      </c>
      <c r="G17" s="1" t="s">
        <v>318</v>
      </c>
      <c r="H17" s="1">
        <v>13827</v>
      </c>
      <c r="I17" s="3">
        <v>11248</v>
      </c>
      <c r="J17" s="1" t="s">
        <v>282</v>
      </c>
      <c r="K17" s="1">
        <v>11.248</v>
      </c>
      <c r="L17" s="1" t="s">
        <v>282</v>
      </c>
    </row>
    <row r="18" spans="1:12">
      <c r="A18" s="1" t="s">
        <v>323</v>
      </c>
      <c r="B18" s="1" t="s">
        <v>276</v>
      </c>
      <c r="C18" s="1" t="s">
        <v>277</v>
      </c>
      <c r="D18" s="1" t="s">
        <v>278</v>
      </c>
      <c r="E18" s="1" t="s">
        <v>324</v>
      </c>
      <c r="F18" s="1" t="s">
        <v>280</v>
      </c>
      <c r="G18" s="1" t="s">
        <v>325</v>
      </c>
      <c r="H18" s="1">
        <v>13822</v>
      </c>
      <c r="I18" s="3">
        <v>11246</v>
      </c>
      <c r="J18" s="1" t="s">
        <v>282</v>
      </c>
      <c r="K18" s="1">
        <v>11.246</v>
      </c>
      <c r="L18" s="1" t="s">
        <v>282</v>
      </c>
    </row>
    <row r="19" spans="1:12">
      <c r="A19" s="1" t="s">
        <v>326</v>
      </c>
      <c r="B19" s="1" t="s">
        <v>276</v>
      </c>
      <c r="C19" s="1" t="s">
        <v>277</v>
      </c>
      <c r="D19" s="1" t="s">
        <v>278</v>
      </c>
      <c r="E19" s="1" t="s">
        <v>327</v>
      </c>
      <c r="F19" s="1" t="s">
        <v>280</v>
      </c>
      <c r="G19" s="1" t="s">
        <v>328</v>
      </c>
      <c r="H19" s="1">
        <v>13815</v>
      </c>
      <c r="I19" s="3">
        <v>11240</v>
      </c>
      <c r="J19" s="1" t="s">
        <v>282</v>
      </c>
      <c r="K19" s="1">
        <v>11.24</v>
      </c>
      <c r="L19" s="1" t="s">
        <v>282</v>
      </c>
    </row>
    <row r="20" spans="1:12">
      <c r="A20" s="1" t="s">
        <v>329</v>
      </c>
      <c r="B20" s="1" t="s">
        <v>276</v>
      </c>
      <c r="C20" s="1" t="s">
        <v>277</v>
      </c>
      <c r="D20" s="1" t="s">
        <v>278</v>
      </c>
      <c r="E20" s="1" t="s">
        <v>330</v>
      </c>
      <c r="F20" s="1" t="s">
        <v>280</v>
      </c>
      <c r="G20" s="1" t="s">
        <v>331</v>
      </c>
      <c r="H20" s="1">
        <v>13811</v>
      </c>
      <c r="I20" s="3">
        <v>11238</v>
      </c>
      <c r="J20" s="1" t="s">
        <v>282</v>
      </c>
      <c r="K20" s="1">
        <v>11.238</v>
      </c>
      <c r="L20" s="1" t="s">
        <v>282</v>
      </c>
    </row>
    <row r="21" spans="1:12">
      <c r="A21" s="1" t="s">
        <v>332</v>
      </c>
      <c r="B21" s="1" t="s">
        <v>276</v>
      </c>
      <c r="C21" s="1" t="s">
        <v>277</v>
      </c>
      <c r="D21" s="1" t="s">
        <v>278</v>
      </c>
      <c r="E21" s="1" t="s">
        <v>333</v>
      </c>
      <c r="F21" s="1" t="s">
        <v>280</v>
      </c>
      <c r="G21" s="1" t="s">
        <v>334</v>
      </c>
      <c r="H21" s="1">
        <v>13802</v>
      </c>
      <c r="I21" s="3">
        <v>11230</v>
      </c>
      <c r="J21" s="1" t="s">
        <v>282</v>
      </c>
      <c r="K21" s="1">
        <v>11.23</v>
      </c>
      <c r="L21" s="1" t="s">
        <v>282</v>
      </c>
    </row>
    <row r="22" spans="1:12">
      <c r="A22" s="1" t="s">
        <v>335</v>
      </c>
      <c r="B22" s="1" t="s">
        <v>276</v>
      </c>
      <c r="C22" s="1" t="s">
        <v>277</v>
      </c>
      <c r="D22" s="1" t="s">
        <v>278</v>
      </c>
      <c r="E22" s="1" t="s">
        <v>336</v>
      </c>
      <c r="F22" s="1" t="s">
        <v>280</v>
      </c>
      <c r="G22" s="1" t="s">
        <v>337</v>
      </c>
      <c r="H22" s="1">
        <v>13800</v>
      </c>
      <c r="I22" s="3">
        <v>11229</v>
      </c>
      <c r="J22" s="1" t="s">
        <v>282</v>
      </c>
      <c r="K22" s="1">
        <v>11.229</v>
      </c>
      <c r="L22" s="1" t="s">
        <v>282</v>
      </c>
    </row>
    <row r="23" spans="1:12">
      <c r="A23" s="1" t="s">
        <v>338</v>
      </c>
      <c r="B23" s="1" t="s">
        <v>276</v>
      </c>
      <c r="C23" s="1" t="s">
        <v>277</v>
      </c>
      <c r="D23" s="1" t="s">
        <v>278</v>
      </c>
      <c r="E23" s="1" t="s">
        <v>339</v>
      </c>
      <c r="F23" s="1" t="s">
        <v>280</v>
      </c>
      <c r="G23" s="1" t="s">
        <v>337</v>
      </c>
      <c r="H23" s="1">
        <v>13800</v>
      </c>
      <c r="I23" s="3">
        <v>11229</v>
      </c>
      <c r="J23" s="1" t="s">
        <v>282</v>
      </c>
      <c r="K23" s="1">
        <v>11.229</v>
      </c>
      <c r="L23" s="1" t="s">
        <v>282</v>
      </c>
    </row>
    <row r="24" spans="1:12">
      <c r="A24" s="1" t="s">
        <v>340</v>
      </c>
      <c r="B24" s="1" t="s">
        <v>276</v>
      </c>
      <c r="C24" s="1" t="s">
        <v>277</v>
      </c>
      <c r="D24" s="1" t="s">
        <v>278</v>
      </c>
      <c r="E24" s="1" t="s">
        <v>341</v>
      </c>
      <c r="F24" s="1" t="s">
        <v>280</v>
      </c>
      <c r="G24" s="1" t="s">
        <v>337</v>
      </c>
      <c r="H24" s="1">
        <v>13800</v>
      </c>
      <c r="I24" s="3">
        <v>11229</v>
      </c>
      <c r="J24" s="1" t="s">
        <v>282</v>
      </c>
      <c r="K24" s="1">
        <v>11.229</v>
      </c>
      <c r="L24" s="1" t="s">
        <v>282</v>
      </c>
    </row>
    <row r="25" spans="1:12">
      <c r="A25" s="1" t="s">
        <v>342</v>
      </c>
      <c r="B25" s="1" t="s">
        <v>276</v>
      </c>
      <c r="C25" s="1" t="s">
        <v>277</v>
      </c>
      <c r="D25" s="1" t="s">
        <v>278</v>
      </c>
      <c r="E25" s="1" t="s">
        <v>343</v>
      </c>
      <c r="F25" s="1" t="s">
        <v>280</v>
      </c>
      <c r="G25" s="1" t="s">
        <v>344</v>
      </c>
      <c r="H25" s="1">
        <v>13790</v>
      </c>
      <c r="I25" s="3">
        <v>11226</v>
      </c>
      <c r="J25" s="1" t="s">
        <v>282</v>
      </c>
      <c r="K25" s="1">
        <v>11.226</v>
      </c>
      <c r="L25" s="1" t="s">
        <v>282</v>
      </c>
    </row>
    <row r="26" spans="1:12">
      <c r="A26" s="1" t="s">
        <v>345</v>
      </c>
      <c r="B26" s="1" t="s">
        <v>276</v>
      </c>
      <c r="C26" s="1" t="s">
        <v>277</v>
      </c>
      <c r="D26" s="1" t="s">
        <v>278</v>
      </c>
      <c r="E26" s="1" t="s">
        <v>346</v>
      </c>
      <c r="F26" s="1" t="s">
        <v>280</v>
      </c>
      <c r="G26" s="1" t="s">
        <v>347</v>
      </c>
      <c r="H26" s="1">
        <v>13777</v>
      </c>
      <c r="I26" s="3">
        <v>11192</v>
      </c>
      <c r="J26" s="1" t="s">
        <v>282</v>
      </c>
      <c r="K26" s="1">
        <v>11.192</v>
      </c>
      <c r="L26" s="1" t="s">
        <v>282</v>
      </c>
    </row>
    <row r="27" spans="1:12">
      <c r="A27" s="1" t="s">
        <v>348</v>
      </c>
      <c r="B27" s="1" t="s">
        <v>276</v>
      </c>
      <c r="C27" s="1" t="s">
        <v>277</v>
      </c>
      <c r="D27" s="1" t="s">
        <v>278</v>
      </c>
      <c r="E27" s="1" t="s">
        <v>349</v>
      </c>
      <c r="F27" s="1" t="s">
        <v>280</v>
      </c>
      <c r="G27" s="1" t="s">
        <v>350</v>
      </c>
      <c r="H27" s="1">
        <v>13772</v>
      </c>
      <c r="I27" s="3">
        <v>11189</v>
      </c>
      <c r="J27" s="1" t="s">
        <v>282</v>
      </c>
      <c r="K27" s="1">
        <v>11.189</v>
      </c>
      <c r="L27" s="1" t="s">
        <v>282</v>
      </c>
    </row>
    <row r="28" spans="1:12">
      <c r="A28" s="1" t="s">
        <v>351</v>
      </c>
      <c r="B28" s="1" t="s">
        <v>276</v>
      </c>
      <c r="C28" s="1" t="s">
        <v>277</v>
      </c>
      <c r="D28" s="1" t="s">
        <v>278</v>
      </c>
      <c r="E28" s="1" t="s">
        <v>352</v>
      </c>
      <c r="F28" s="1" t="s">
        <v>280</v>
      </c>
      <c r="G28" s="1" t="s">
        <v>353</v>
      </c>
      <c r="H28" s="1">
        <v>13771</v>
      </c>
      <c r="I28" s="3">
        <v>11176</v>
      </c>
      <c r="J28" s="1" t="s">
        <v>282</v>
      </c>
      <c r="K28" s="1">
        <v>11.176</v>
      </c>
      <c r="L28" s="1" t="s">
        <v>282</v>
      </c>
    </row>
    <row r="29" spans="1:12">
      <c r="A29" s="1" t="s">
        <v>354</v>
      </c>
      <c r="B29" s="1" t="s">
        <v>276</v>
      </c>
      <c r="C29" s="1" t="s">
        <v>277</v>
      </c>
      <c r="D29" s="1" t="s">
        <v>278</v>
      </c>
      <c r="E29" s="1" t="s">
        <v>355</v>
      </c>
      <c r="F29" s="1" t="s">
        <v>280</v>
      </c>
      <c r="G29" s="1" t="s">
        <v>356</v>
      </c>
      <c r="H29" s="1">
        <v>13767</v>
      </c>
      <c r="I29" s="3">
        <v>12188</v>
      </c>
      <c r="J29" s="1" t="s">
        <v>282</v>
      </c>
      <c r="K29" s="1">
        <v>12.188</v>
      </c>
      <c r="L29" s="1" t="s">
        <v>282</v>
      </c>
    </row>
    <row r="30" spans="1:12">
      <c r="A30" s="1" t="s">
        <v>357</v>
      </c>
      <c r="B30" s="1" t="s">
        <v>276</v>
      </c>
      <c r="C30" s="1" t="s">
        <v>277</v>
      </c>
      <c r="D30" s="1" t="s">
        <v>278</v>
      </c>
      <c r="E30" s="1" t="s">
        <v>358</v>
      </c>
      <c r="F30" s="1" t="s">
        <v>280</v>
      </c>
      <c r="G30" s="1" t="s">
        <v>356</v>
      </c>
      <c r="H30" s="1">
        <v>13767</v>
      </c>
      <c r="I30" s="3">
        <v>12188</v>
      </c>
      <c r="J30" s="1" t="s">
        <v>282</v>
      </c>
      <c r="K30" s="1">
        <v>12.188</v>
      </c>
      <c r="L30" s="1" t="s">
        <v>282</v>
      </c>
    </row>
    <row r="31" spans="1:12">
      <c r="A31" s="1" t="s">
        <v>359</v>
      </c>
      <c r="B31" s="1" t="s">
        <v>276</v>
      </c>
      <c r="C31" s="1" t="s">
        <v>277</v>
      </c>
      <c r="D31" s="1" t="s">
        <v>278</v>
      </c>
      <c r="E31" s="1" t="s">
        <v>360</v>
      </c>
      <c r="F31" s="1" t="s">
        <v>280</v>
      </c>
      <c r="G31" s="1" t="s">
        <v>356</v>
      </c>
      <c r="H31" s="1">
        <v>13767</v>
      </c>
      <c r="I31" s="3">
        <v>12188</v>
      </c>
      <c r="J31" s="1" t="s">
        <v>282</v>
      </c>
      <c r="K31" s="1">
        <v>12.188</v>
      </c>
      <c r="L31" s="1" t="s">
        <v>282</v>
      </c>
    </row>
    <row r="32" spans="1:12">
      <c r="A32" s="1" t="s">
        <v>361</v>
      </c>
      <c r="B32" s="1" t="s">
        <v>276</v>
      </c>
      <c r="C32" s="1" t="s">
        <v>277</v>
      </c>
      <c r="D32" s="1" t="s">
        <v>278</v>
      </c>
      <c r="E32" s="1" t="s">
        <v>362</v>
      </c>
      <c r="F32" s="1" t="s">
        <v>280</v>
      </c>
      <c r="G32" s="1" t="s">
        <v>363</v>
      </c>
      <c r="H32" s="1">
        <v>13749</v>
      </c>
      <c r="I32" s="3">
        <v>12112</v>
      </c>
      <c r="J32" s="1" t="s">
        <v>282</v>
      </c>
      <c r="K32" s="1">
        <v>12.112</v>
      </c>
      <c r="L32" s="1" t="s">
        <v>282</v>
      </c>
    </row>
    <row r="34" spans="10:11">
      <c r="J34" s="4" t="s">
        <v>238</v>
      </c>
      <c r="K34" s="5">
        <f>SUM(K2:K33)</f>
        <v>352.55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总计</vt:lpstr>
      <vt:lpstr>入库费用</vt:lpstr>
      <vt:lpstr>订单出库费用</vt:lpstr>
      <vt:lpstr>DHL 额外费用</vt:lpstr>
      <vt:lpstr>仓租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2006-09-16T00:00:00Z</dcterms:created>
  <dcterms:modified xsi:type="dcterms:W3CDTF">2025-05-06T09:38:52Z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29851C192D844525A08A61D05D7FC3CC_13</vt:lpwstr>
  </property>
  <property fmtid="{D5CDD505-2E9C-101B-9397-08002B2CF9AE}" pid="3" name="KSOProductBuildVer">
    <vt:lpwstr>2052-12.1.0.20784</vt:lpwstr>
  </property>
</Properties>
</file>