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25" activeTab="5"/>
  </bookViews>
  <sheets>
    <sheet name="开票费用明细" sheetId="4" r:id="rId1"/>
    <sheet name="入库费用" sheetId="1" r:id="rId2"/>
    <sheet name="订单出库费用" sheetId="5" r:id="rId3"/>
    <sheet name="FBA包裹出库" sheetId="3" r:id="rId4"/>
    <sheet name="额外操作费用" sheetId="8" r:id="rId5"/>
    <sheet name="DHL 额外费用" sheetId="9" r:id="rId6"/>
    <sheet name="仓租" sheetId="6" r:id="rId7"/>
  </sheets>
  <externalReferences>
    <externalReference r:id="rId8"/>
  </externalReferences>
  <definedNames>
    <definedName name="_xlnm._FilterDatabase" localSheetId="2" hidden="1">订单出库费用!$A$1:$J$206</definedName>
    <definedName name="_xlnm._FilterDatabase" localSheetId="5" hidden="1">'DHL 额外费用'!$A$1:$V$13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G2" authorId="0">
      <text>
        <r>
          <rPr>
            <b/>
            <sz val="9"/>
            <rFont val="宋体"/>
            <charset val="134"/>
          </rPr>
          <t xml:space="preserve">产品标：48
欧代标：48
FBA标：1
ups运标：1
</t>
        </r>
      </text>
    </comment>
    <comment ref="G3" authorId="0">
      <text>
        <r>
          <rPr>
            <b/>
            <sz val="9"/>
            <rFont val="宋体"/>
            <charset val="134"/>
          </rPr>
          <t xml:space="preserve">产品标：48
欧代标：48
FBA标：1
ups运标：1
</t>
        </r>
      </text>
    </comment>
    <comment ref="G4" authorId="0">
      <text>
        <r>
          <rPr>
            <b/>
            <sz val="9"/>
            <rFont val="宋体"/>
            <charset val="134"/>
          </rPr>
          <t xml:space="preserve">产品标：48
欧代标：48
FBA标：1
ups运标：1
</t>
        </r>
      </text>
    </comment>
    <comment ref="G5" authorId="0">
      <text>
        <r>
          <rPr>
            <b/>
            <sz val="9"/>
            <rFont val="宋体"/>
            <charset val="134"/>
          </rPr>
          <t>产品标：14
欧代标：14
FBA标：1
ups运标：1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<sst xmlns="http://schemas.openxmlformats.org/spreadsheetml/2006/main" count="1399" uniqueCount="493">
  <si>
    <r>
      <t>开票费用明细：</t>
    </r>
    <r>
      <rPr>
        <b/>
        <sz val="18"/>
        <rFont val="Arial"/>
        <charset val="134"/>
      </rPr>
      <t>HUP-Hupper</t>
    </r>
  </si>
  <si>
    <t>（2025年4月01日 ~ 2025年4月30日）</t>
  </si>
  <si>
    <t>类别</t>
  </si>
  <si>
    <t>Bezeichnung</t>
  </si>
  <si>
    <t>金额</t>
  </si>
  <si>
    <t>备注</t>
  </si>
  <si>
    <t>入库费用</t>
  </si>
  <si>
    <t>EINGANG</t>
  </si>
  <si>
    <t>出库费用</t>
  </si>
  <si>
    <t>AUSGANG</t>
  </si>
  <si>
    <t>DPD 额外费用</t>
  </si>
  <si>
    <t>DPD Extra Kosten</t>
  </si>
  <si>
    <t>DHL  额外费用</t>
  </si>
  <si>
    <t>DHL Extra Kosten</t>
  </si>
  <si>
    <t>额外操作费用</t>
  </si>
  <si>
    <t>Extra Kosten</t>
  </si>
  <si>
    <t>仓租</t>
  </si>
  <si>
    <t>LAGER KOSTEN</t>
  </si>
  <si>
    <t>不含税费用合计</t>
  </si>
  <si>
    <t>Netto</t>
  </si>
  <si>
    <t>增值税</t>
  </si>
  <si>
    <t>Umsatzsteuer 19%</t>
  </si>
  <si>
    <t>账单金额</t>
  </si>
  <si>
    <t>Rechnungsbetrag</t>
  </si>
  <si>
    <t>日期</t>
  </si>
  <si>
    <t>入库单号</t>
  </si>
  <si>
    <t>SKU数量</t>
  </si>
  <si>
    <t>SKU种类费</t>
  </si>
  <si>
    <t>SKU确认费</t>
  </si>
  <si>
    <t>货物数量</t>
  </si>
  <si>
    <t>分拣费</t>
  </si>
  <si>
    <t>物流费</t>
  </si>
  <si>
    <t>总计</t>
  </si>
  <si>
    <t>订单号</t>
  </si>
  <si>
    <t>包裹数量</t>
  </si>
  <si>
    <t>内件数量</t>
  </si>
  <si>
    <t>包裹操作费</t>
  </si>
  <si>
    <t>包裹重量</t>
  </si>
  <si>
    <t>物流方式</t>
  </si>
  <si>
    <t>国家</t>
  </si>
  <si>
    <t>运费</t>
  </si>
  <si>
    <t>HUP-250410-0004</t>
  </si>
  <si>
    <t>1</t>
  </si>
  <si>
    <t>DHL-LHZ</t>
  </si>
  <si>
    <t>DE</t>
  </si>
  <si>
    <t>HUP-250411-0001</t>
  </si>
  <si>
    <t>DHL-INT</t>
  </si>
  <si>
    <t>FR</t>
  </si>
  <si>
    <t>HUP-250411-0002</t>
  </si>
  <si>
    <t>ES</t>
  </si>
  <si>
    <t>HUP-250411-0003</t>
  </si>
  <si>
    <t>HUP-250411-0004</t>
  </si>
  <si>
    <t>HUP-250411-0005</t>
  </si>
  <si>
    <t>HUP-250412-0001</t>
  </si>
  <si>
    <t>PL</t>
  </si>
  <si>
    <t>HUP-250412-0002</t>
  </si>
  <si>
    <t>HUP-250413-0001</t>
  </si>
  <si>
    <t>HUP-250413-0002</t>
  </si>
  <si>
    <t>HUP-250414-0002</t>
  </si>
  <si>
    <t>HUP-250414-0003</t>
  </si>
  <si>
    <t>HUP-250414-0004</t>
  </si>
  <si>
    <t>HUP-250415-0001</t>
  </si>
  <si>
    <t>2</t>
  </si>
  <si>
    <t>HUP-250415-0002</t>
  </si>
  <si>
    <t>HUP-250415-0003</t>
  </si>
  <si>
    <t>NL</t>
  </si>
  <si>
    <t>HUP-250415-0004</t>
  </si>
  <si>
    <t>HUP-250415-0005</t>
  </si>
  <si>
    <t>HUP-250415-0006</t>
  </si>
  <si>
    <t>HUP-250415-0007</t>
  </si>
  <si>
    <t>HUP-250415-0008</t>
  </si>
  <si>
    <t>HUP-250415-0009</t>
  </si>
  <si>
    <t>HUP-250415-0010</t>
  </si>
  <si>
    <t>HUP-250416-0001</t>
  </si>
  <si>
    <t>HUP-250416-0002</t>
  </si>
  <si>
    <t>HUP-250416-0003</t>
  </si>
  <si>
    <t>HUP-250416-0004</t>
  </si>
  <si>
    <t>HUP-250416-0005</t>
  </si>
  <si>
    <t>IT</t>
  </si>
  <si>
    <t>HUP-250416-0006</t>
  </si>
  <si>
    <t>HUP-250417-0001</t>
  </si>
  <si>
    <t>HUP-250417-0002</t>
  </si>
  <si>
    <t>HUP-250417-0003</t>
  </si>
  <si>
    <t>HUP-250417-0004</t>
  </si>
  <si>
    <t>HUP-250418-0001</t>
  </si>
  <si>
    <t>HUP-250419-0001</t>
  </si>
  <si>
    <t>HUP-250419-0002</t>
  </si>
  <si>
    <t>HUP-250419-0003</t>
  </si>
  <si>
    <t>HUP-250419-0004</t>
  </si>
  <si>
    <t>HUP-250419-0005</t>
  </si>
  <si>
    <t>HUP-250419-0006</t>
  </si>
  <si>
    <t>HUP-250419-0007</t>
  </si>
  <si>
    <t>HUP-250419-0008</t>
  </si>
  <si>
    <t>HUP-250419-0009</t>
  </si>
  <si>
    <t>HUP-250419-0010</t>
  </si>
  <si>
    <t>HUP-250419-0011</t>
  </si>
  <si>
    <t>HUP-250419-0012</t>
  </si>
  <si>
    <t>HUP-250419-0013</t>
  </si>
  <si>
    <t>HUP-250420-0001</t>
  </si>
  <si>
    <t>HUP-250420-0002</t>
  </si>
  <si>
    <t>FI</t>
  </si>
  <si>
    <t>HUP-250420-0003</t>
  </si>
  <si>
    <t>HUP-250420-0004</t>
  </si>
  <si>
    <t>HUP-250420-0005</t>
  </si>
  <si>
    <t>HUP-250421-0001</t>
  </si>
  <si>
    <t>HUP-250421-0002</t>
  </si>
  <si>
    <t>HUP-250421-0003</t>
  </si>
  <si>
    <t>PT</t>
  </si>
  <si>
    <t>HUP-250421-0004</t>
  </si>
  <si>
    <t>HUP-250421-0005</t>
  </si>
  <si>
    <t>HUP-250421-0006</t>
  </si>
  <si>
    <t>HUP-250421-0007</t>
  </si>
  <si>
    <t>HUP-250421-0008</t>
  </si>
  <si>
    <t>HUP-250421-0009</t>
  </si>
  <si>
    <t>HUP-250421-0010</t>
  </si>
  <si>
    <t>HUP-250422-0001</t>
  </si>
  <si>
    <t>HUP-250422-0002</t>
  </si>
  <si>
    <t>HUP-250422-0003</t>
  </si>
  <si>
    <t>HUP-250422-0004</t>
  </si>
  <si>
    <t>HUP-250422-0005</t>
  </si>
  <si>
    <t>HUP-250422-0006</t>
  </si>
  <si>
    <t>HUP-250422-0007</t>
  </si>
  <si>
    <t>HUP-250422-0008</t>
  </si>
  <si>
    <t>HUP-250422-0009</t>
  </si>
  <si>
    <t>HUP-250422-0010</t>
  </si>
  <si>
    <t>HUP-250422-0011</t>
  </si>
  <si>
    <t>HUP-250423-0001</t>
  </si>
  <si>
    <t>HUP-250423-0002</t>
  </si>
  <si>
    <t>HUP-250423-0003</t>
  </si>
  <si>
    <t>HUP-250423-0004</t>
  </si>
  <si>
    <t>4</t>
  </si>
  <si>
    <t>HUP-250423-0005</t>
  </si>
  <si>
    <t>HUP-250423-0007</t>
  </si>
  <si>
    <t>HUP-250423-0008</t>
  </si>
  <si>
    <t>HUP-250424-0001</t>
  </si>
  <si>
    <t>HUP-250424-0002</t>
  </si>
  <si>
    <t>HUP-250424-0003</t>
  </si>
  <si>
    <t>HUP-250424-0004</t>
  </si>
  <si>
    <t>HUP-250424-0005</t>
  </si>
  <si>
    <t>HUP-250424-0006</t>
  </si>
  <si>
    <t>HUP-250424-0007</t>
  </si>
  <si>
    <t>HUP-250424-0008</t>
  </si>
  <si>
    <t>HUP-250425-0001</t>
  </si>
  <si>
    <t>HUP-250425-0002</t>
  </si>
  <si>
    <t>HUP-250425-0003</t>
  </si>
  <si>
    <t>HUP-250425-0004</t>
  </si>
  <si>
    <t>HUP-250425-0005</t>
  </si>
  <si>
    <t>HUP-250425-0006</t>
  </si>
  <si>
    <t>HUP-250425-0007</t>
  </si>
  <si>
    <t>HUP-250425-0008</t>
  </si>
  <si>
    <t>HUP-250425-0009</t>
  </si>
  <si>
    <t>HUP-250425-0010</t>
  </si>
  <si>
    <t>HUP-250425-0011</t>
  </si>
  <si>
    <t>HUP-250425-0012</t>
  </si>
  <si>
    <t>HUP-250425-0013</t>
  </si>
  <si>
    <t>HUP-250425-0014</t>
  </si>
  <si>
    <t>HUP-250427-0001</t>
  </si>
  <si>
    <t>HUP-250427-0002</t>
  </si>
  <si>
    <t>HUP-250427-0003</t>
  </si>
  <si>
    <t>HUP-250427-0004</t>
  </si>
  <si>
    <t>HUP-250427-0005</t>
  </si>
  <si>
    <t>HUP-250427-0006</t>
  </si>
  <si>
    <t>HUP-250427-0007</t>
  </si>
  <si>
    <t>HUP-250427-0008</t>
  </si>
  <si>
    <t>HUP-250427-0009</t>
  </si>
  <si>
    <t>HUP-250427-0010</t>
  </si>
  <si>
    <t>HUP-250427-0011</t>
  </si>
  <si>
    <t>HUP-250427-0012</t>
  </si>
  <si>
    <t>HUP-250427-0013</t>
  </si>
  <si>
    <t>HUP-250427-0014</t>
  </si>
  <si>
    <t>HUP-250427-0015</t>
  </si>
  <si>
    <t>HUP-250427-0016</t>
  </si>
  <si>
    <t>HUP-250427-0017</t>
  </si>
  <si>
    <t>HUP-250428-0001</t>
  </si>
  <si>
    <t>HUP-250428-0002</t>
  </si>
  <si>
    <t>HUP-250428-0003</t>
  </si>
  <si>
    <t>HUP-250428-0004</t>
  </si>
  <si>
    <t>HUP-250428-0005</t>
  </si>
  <si>
    <t>HUP-250428-0006</t>
  </si>
  <si>
    <t>HUP-250428-0007</t>
  </si>
  <si>
    <t>HUP-250428-0008</t>
  </si>
  <si>
    <t>HUP-250428-0009</t>
  </si>
  <si>
    <t>HUP-250428-0010</t>
  </si>
  <si>
    <t>HUP-250428-0011</t>
  </si>
  <si>
    <t>HUP-250428-0012</t>
  </si>
  <si>
    <t>HUP-250429-0001</t>
  </si>
  <si>
    <t>HUP-250429-0002</t>
  </si>
  <si>
    <t>HUP-250429-0003</t>
  </si>
  <si>
    <t>HUP-250430-0001</t>
  </si>
  <si>
    <t>HUP-250430-0002</t>
  </si>
  <si>
    <t>HUP-250430-0003</t>
  </si>
  <si>
    <t>HUP-250430-0004</t>
  </si>
  <si>
    <t>HUP-250430-0005</t>
  </si>
  <si>
    <t>HUP-250430-0006</t>
  </si>
  <si>
    <t>HUP-250501-0001</t>
  </si>
  <si>
    <t>HUP-250501-0002</t>
  </si>
  <si>
    <t>HUP-250501-0003</t>
  </si>
  <si>
    <t>HUP-250501-0004</t>
  </si>
  <si>
    <t>HUP-250502-0001</t>
  </si>
  <si>
    <t>HUP-250502-0002</t>
  </si>
  <si>
    <t>HUP-250502-0003</t>
  </si>
  <si>
    <t>HUP-250502-0004</t>
  </si>
  <si>
    <t>HUP-250502-0005</t>
  </si>
  <si>
    <t>HUP-250502-0006</t>
  </si>
  <si>
    <t>HUP-250502-0007</t>
  </si>
  <si>
    <t>HUP-250503-0001</t>
  </si>
  <si>
    <t>HUP-250503-0002</t>
  </si>
  <si>
    <t>HUP-250503-0003</t>
  </si>
  <si>
    <t>HUP-250503-0004</t>
  </si>
  <si>
    <t>HUP-250503-0005</t>
  </si>
  <si>
    <t>HUP-250503-0006</t>
  </si>
  <si>
    <t>HUP-250503-0007</t>
  </si>
  <si>
    <t>HUP-250503-0008</t>
  </si>
  <si>
    <t>HUP-250503-0009</t>
  </si>
  <si>
    <t>3</t>
  </si>
  <si>
    <t>HUP-250504-0001</t>
  </si>
  <si>
    <t>HUP-250504-0002</t>
  </si>
  <si>
    <t>HUP-250504-0003</t>
  </si>
  <si>
    <t>HUP-250504-0004</t>
  </si>
  <si>
    <t>HUP-250505-0001</t>
  </si>
  <si>
    <t>HUP-250505-0002</t>
  </si>
  <si>
    <t>HUP-250505-0003</t>
  </si>
  <si>
    <t>HUP-250505-0004</t>
  </si>
  <si>
    <t>HUP-250505-0005</t>
  </si>
  <si>
    <t>HUP-250505-0006</t>
  </si>
  <si>
    <t>HUP-250505-0007</t>
  </si>
  <si>
    <t>HUP-250505-0008</t>
  </si>
  <si>
    <t>HUP-250505-0009</t>
  </si>
  <si>
    <t>HUP-250506-0001</t>
  </si>
  <si>
    <t>HUP-250506-0002</t>
  </si>
  <si>
    <t>HUP-250506-0003</t>
  </si>
  <si>
    <t>HUP-250506-0004</t>
  </si>
  <si>
    <t>HUP-250506-0005</t>
  </si>
  <si>
    <t>HUP-250506-0006</t>
  </si>
  <si>
    <t>HUP-250507-0001</t>
  </si>
  <si>
    <t>HUP-250507-0002</t>
  </si>
  <si>
    <t>HUP-250507-0003</t>
  </si>
  <si>
    <t>HUP-250507-0004</t>
  </si>
  <si>
    <t>HUP-250507-0005</t>
  </si>
  <si>
    <t>HUP-250507-0006</t>
  </si>
  <si>
    <t>HUP-250507-0007</t>
  </si>
  <si>
    <t>HUP-250507-0008</t>
  </si>
  <si>
    <t>HUP-250507-0009</t>
  </si>
  <si>
    <t>HUP-250507-0010</t>
  </si>
  <si>
    <t>HUP-250507-0011</t>
  </si>
  <si>
    <t>HUP-250507-0012</t>
  </si>
  <si>
    <t>HUP-250507-0013</t>
  </si>
  <si>
    <t>HUP-250507-0014</t>
  </si>
  <si>
    <t>HUP-250508-0001</t>
  </si>
  <si>
    <t>HUP-250508-0002</t>
  </si>
  <si>
    <t>HUP-250508-0003</t>
  </si>
  <si>
    <t>HUP-250508-0004</t>
  </si>
  <si>
    <t>HUP-250508-0005</t>
  </si>
  <si>
    <t>HUP-250508-0006</t>
  </si>
  <si>
    <t>HUP-250508-0007</t>
  </si>
  <si>
    <t>HUP-250508-0008</t>
  </si>
  <si>
    <t>HUP-250508-0009</t>
  </si>
  <si>
    <t>HUP-250508-0010</t>
  </si>
  <si>
    <t>HUP-250508-0011</t>
  </si>
  <si>
    <t>HUP-250508-0012</t>
  </si>
  <si>
    <t>订单费</t>
  </si>
  <si>
    <t>分拣数量</t>
  </si>
  <si>
    <t>贴标数量</t>
  </si>
  <si>
    <t>贴标费</t>
  </si>
  <si>
    <t>DPD物流费</t>
  </si>
  <si>
    <t>FD-HUP-250410-0001</t>
  </si>
  <si>
    <t>FD-HUP-250410-0002</t>
  </si>
  <si>
    <t>FD-HUP-250410-0003</t>
  </si>
  <si>
    <t>FD-HUP-250410-0004</t>
  </si>
  <si>
    <r>
      <rPr>
        <sz val="10.5"/>
        <color rgb="FF000000"/>
        <rFont val="宋体"/>
        <charset val="134"/>
      </rPr>
      <t>刘婷</t>
    </r>
    <r>
      <rPr>
        <sz val="10.5"/>
        <color rgb="FF000000"/>
        <rFont val="Arial"/>
        <charset val="134"/>
      </rPr>
      <t>-3</t>
    </r>
    <r>
      <rPr>
        <sz val="10.5"/>
        <color rgb="FF000000"/>
        <rFont val="宋体"/>
        <charset val="134"/>
      </rPr>
      <t>号店铺德国发货</t>
    </r>
  </si>
  <si>
    <t>退货单跟踪号</t>
  </si>
  <si>
    <t>操作内容</t>
  </si>
  <si>
    <t>操作费</t>
  </si>
  <si>
    <t>Account_Nr</t>
  </si>
  <si>
    <t>Origin Country</t>
  </si>
  <si>
    <t>Invoice Date</t>
  </si>
  <si>
    <t>Invoice Nr</t>
  </si>
  <si>
    <t>Country Code</t>
  </si>
  <si>
    <t>Name_1</t>
  </si>
  <si>
    <t>City</t>
  </si>
  <si>
    <t>Postcode</t>
  </si>
  <si>
    <t>Dest Stn</t>
  </si>
  <si>
    <t>Dest Country</t>
  </si>
  <si>
    <t>费用</t>
  </si>
  <si>
    <t>项目</t>
  </si>
  <si>
    <t>Prod</t>
  </si>
  <si>
    <t>Pu Date</t>
  </si>
  <si>
    <t>Identcode</t>
  </si>
  <si>
    <t>Shippers Reference</t>
  </si>
  <si>
    <t>Pcs</t>
  </si>
  <si>
    <t>VolWgt</t>
  </si>
  <si>
    <t>Wgt</t>
  </si>
  <si>
    <t>Wgt_Abr</t>
  </si>
  <si>
    <t>Discrepancy</t>
  </si>
  <si>
    <t>Total incl. Finance Costs</t>
  </si>
  <si>
    <t>63178921020106</t>
  </si>
  <si>
    <t>GERMANY</t>
  </si>
  <si>
    <t>Jessica Bozkurt</t>
  </si>
  <si>
    <t>Herne</t>
  </si>
  <si>
    <t>Sperrgut 超大附加费</t>
  </si>
  <si>
    <t>00340434713524985127</t>
  </si>
  <si>
    <t>HUP-250409-0001</t>
  </si>
  <si>
    <t>佐易</t>
  </si>
  <si>
    <t>PO-076-16406795791912414</t>
  </si>
  <si>
    <t>Ramona Freller</t>
  </si>
  <si>
    <t>Freudenberg</t>
  </si>
  <si>
    <t>00340434713524990046</t>
  </si>
  <si>
    <t>PO-076-02532468375593480</t>
  </si>
  <si>
    <t>Chr. Remuss</t>
  </si>
  <si>
    <t>Luebbenau /Spreewald</t>
  </si>
  <si>
    <t>00340434713524990053</t>
  </si>
  <si>
    <t>PO-076-07826977213990338</t>
  </si>
  <si>
    <t>31.03.25</t>
  </si>
  <si>
    <t>Stephanie Li Vecchi</t>
  </si>
  <si>
    <t>Grevenbroich</t>
  </si>
  <si>
    <t>26.03.25</t>
  </si>
  <si>
    <t>00340434713524969257</t>
  </si>
  <si>
    <t>HUP-250325-0007</t>
  </si>
  <si>
    <t>PO-076-20986963492394042</t>
  </si>
  <si>
    <t>Violeta Djordjevic</t>
  </si>
  <si>
    <t>Koeln</t>
  </si>
  <si>
    <t>27.03.25</t>
  </si>
  <si>
    <t>00340434713524969264</t>
  </si>
  <si>
    <t>HUP-250325-0008</t>
  </si>
  <si>
    <t>PO-076-21212470735912698</t>
  </si>
  <si>
    <t>Celebi Sarah</t>
  </si>
  <si>
    <t>Schwanewede</t>
  </si>
  <si>
    <t>00340434713524971342</t>
  </si>
  <si>
    <t>HUP-250327-0002</t>
  </si>
  <si>
    <t>PO-076-12725386309673879</t>
  </si>
  <si>
    <t>10.04.25</t>
  </si>
  <si>
    <t>Yasmin Diedrich</t>
  </si>
  <si>
    <t>Seybothenreuth</t>
  </si>
  <si>
    <t>02.04.25</t>
  </si>
  <si>
    <t>00340434713524974329</t>
  </si>
  <si>
    <t>HUP-250331-0004</t>
  </si>
  <si>
    <t>PO-076-03693583821350657</t>
  </si>
  <si>
    <t>Mandy Paproth</t>
  </si>
  <si>
    <t>Hannover</t>
  </si>
  <si>
    <t>09.04.25</t>
  </si>
  <si>
    <t>00340434713524982881</t>
  </si>
  <si>
    <t>HUP-250407-0011</t>
  </si>
  <si>
    <t>PO-076-17762046070312784</t>
  </si>
  <si>
    <t>X</t>
  </si>
  <si>
    <t>德国境内退件</t>
  </si>
  <si>
    <t>00340434713524963835</t>
  </si>
  <si>
    <t>HUP-250316-0004</t>
  </si>
  <si>
    <t>天基海外托管</t>
  </si>
  <si>
    <t>07.04.25</t>
  </si>
  <si>
    <t>00340434713524978952</t>
  </si>
  <si>
    <t>HUP-250403-0003</t>
  </si>
  <si>
    <t>63178921025307</t>
  </si>
  <si>
    <t>德国境外退件</t>
  </si>
  <si>
    <t>03.03.25</t>
  </si>
  <si>
    <t>CD913755781DE</t>
  </si>
  <si>
    <t>HUP-250208-0006</t>
  </si>
  <si>
    <t>24.03.25</t>
  </si>
  <si>
    <t>CD913836383DE</t>
  </si>
  <si>
    <t>HUP-250317-0001</t>
  </si>
  <si>
    <t>Total</t>
  </si>
  <si>
    <t>单号</t>
  </si>
  <si>
    <t>结算周期</t>
  </si>
  <si>
    <t>仓库</t>
  </si>
  <si>
    <t>客户</t>
  </si>
  <si>
    <t>发生时间</t>
  </si>
  <si>
    <t>扣费标志</t>
  </si>
  <si>
    <t>体积/m³</t>
  </si>
  <si>
    <t>数量</t>
  </si>
  <si>
    <t>币种</t>
  </si>
  <si>
    <t>计费规则币种金额</t>
  </si>
  <si>
    <t>计费规则币种</t>
  </si>
  <si>
    <t>WTHUP-1-20250401</t>
  </si>
  <si>
    <t>日结</t>
  </si>
  <si>
    <t>AFAK</t>
  </si>
  <si>
    <t>HUP</t>
  </si>
  <si>
    <t>2025-04-01</t>
  </si>
  <si>
    <t>y</t>
  </si>
  <si>
    <t>23.1246</t>
  </si>
  <si>
    <t>13746</t>
  </si>
  <si>
    <t>12.106</t>
  </si>
  <si>
    <t>EUR</t>
  </si>
  <si>
    <t>WTHUP-1-20250402</t>
  </si>
  <si>
    <t>2025-04-02</t>
  </si>
  <si>
    <t>23.1169</t>
  </si>
  <si>
    <t>13743</t>
  </si>
  <si>
    <t>15.720</t>
  </si>
  <si>
    <t>WTHUP-1-20250403</t>
  </si>
  <si>
    <t>2025-04-03</t>
  </si>
  <si>
    <t>23.1130</t>
  </si>
  <si>
    <t>13737</t>
  </si>
  <si>
    <t>15.717</t>
  </si>
  <si>
    <t>WTHUP-1-20250404</t>
  </si>
  <si>
    <t>2025-04-04</t>
  </si>
  <si>
    <t>WTHUP-1-20250405</t>
  </si>
  <si>
    <t>2025-04-05</t>
  </si>
  <si>
    <t>WTHUP-1-20250406</t>
  </si>
  <si>
    <t>2025-04-06</t>
  </si>
  <si>
    <t>WTHUP-1-20250407</t>
  </si>
  <si>
    <t>2025-04-07</t>
  </si>
  <si>
    <t>23.0881</t>
  </si>
  <si>
    <t>13723</t>
  </si>
  <si>
    <t>15.700</t>
  </si>
  <si>
    <t>WTHUP-1-20250408</t>
  </si>
  <si>
    <t>2025-04-08</t>
  </si>
  <si>
    <t>23.0372</t>
  </si>
  <si>
    <t>13706</t>
  </si>
  <si>
    <t>15.665</t>
  </si>
  <si>
    <t>WTHUP-1-20250409</t>
  </si>
  <si>
    <t>2025-04-09</t>
  </si>
  <si>
    <t>22.9986</t>
  </si>
  <si>
    <t>13702</t>
  </si>
  <si>
    <t>15.639</t>
  </si>
  <si>
    <t>WTHUP-1-20250410</t>
  </si>
  <si>
    <t>2025-04-10</t>
  </si>
  <si>
    <t>22.9951</t>
  </si>
  <si>
    <t>13697</t>
  </si>
  <si>
    <t>15.637</t>
  </si>
  <si>
    <t>WTHUP-1-20250411</t>
  </si>
  <si>
    <t>2025-04-11</t>
  </si>
  <si>
    <t>22.9863</t>
  </si>
  <si>
    <t>13692</t>
  </si>
  <si>
    <t>15.631</t>
  </si>
  <si>
    <t>WTHUP-1-20250412</t>
  </si>
  <si>
    <t>2025-04-12</t>
  </si>
  <si>
    <t>WTHUP-1-20250413</t>
  </si>
  <si>
    <t>2025-04-13</t>
  </si>
  <si>
    <t>WTHUP-1-20250414</t>
  </si>
  <si>
    <t>2025-04-14</t>
  </si>
  <si>
    <t>22.9756</t>
  </si>
  <si>
    <t>13688</t>
  </si>
  <si>
    <t>15.623</t>
  </si>
  <si>
    <t>WTHUP-1-20250415</t>
  </si>
  <si>
    <t>2025-04-15</t>
  </si>
  <si>
    <t>22.8935</t>
  </si>
  <si>
    <t>13674</t>
  </si>
  <si>
    <t>15.568</t>
  </si>
  <si>
    <t>WTHUP-1-20250416</t>
  </si>
  <si>
    <t>2025-04-16</t>
  </si>
  <si>
    <t>22.8878</t>
  </si>
  <si>
    <t>13668</t>
  </si>
  <si>
    <t>15.564</t>
  </si>
  <si>
    <t>WTHUP-1-20250417</t>
  </si>
  <si>
    <t>2025-04-17</t>
  </si>
  <si>
    <t>22.8816</t>
  </si>
  <si>
    <t>13664</t>
  </si>
  <si>
    <t>15.560</t>
  </si>
  <si>
    <t>WTHUP-1-20250418</t>
  </si>
  <si>
    <t>2025-04-18</t>
  </si>
  <si>
    <t>WTHUP-1-20250419</t>
  </si>
  <si>
    <t>2025-04-19</t>
  </si>
  <si>
    <t>WTHUP-1-20250420</t>
  </si>
  <si>
    <t>2025-04-20</t>
  </si>
  <si>
    <t>WTHUP-1-20250421</t>
  </si>
  <si>
    <t>2025-04-21</t>
  </si>
  <si>
    <t>WTHUP-1-20250422</t>
  </si>
  <si>
    <t>2025-04-22</t>
  </si>
  <si>
    <t>22.3137</t>
  </si>
  <si>
    <t>13466</t>
  </si>
  <si>
    <t>15.173</t>
  </si>
  <si>
    <t>WTHUP-1-20250423</t>
  </si>
  <si>
    <t>2025-04-23</t>
  </si>
  <si>
    <t>22.2932</t>
  </si>
  <si>
    <t>13453</t>
  </si>
  <si>
    <t>15.159</t>
  </si>
  <si>
    <t>WTHUP-1-20250424</t>
  </si>
  <si>
    <t>2025-04-24</t>
  </si>
  <si>
    <t>22.2662</t>
  </si>
  <si>
    <t>13442</t>
  </si>
  <si>
    <t>15.141</t>
  </si>
  <si>
    <t>WTHUP-1-20250425</t>
  </si>
  <si>
    <t>2025-04-25</t>
  </si>
  <si>
    <t>22.2410</t>
  </si>
  <si>
    <t>13427</t>
  </si>
  <si>
    <t>15.124</t>
  </si>
  <si>
    <t>WTHUP-1-20250426</t>
  </si>
  <si>
    <t>2025-04-26</t>
  </si>
  <si>
    <t>WTHUP-1-20250427</t>
  </si>
  <si>
    <t>2025-04-27</t>
  </si>
  <si>
    <t>WTHUP-1-20250428</t>
  </si>
  <si>
    <t>2025-04-28</t>
  </si>
  <si>
    <t>22.1188</t>
  </si>
  <si>
    <t>13400</t>
  </si>
  <si>
    <t>15.041</t>
  </si>
  <si>
    <t>WTHUP-1-20250429</t>
  </si>
  <si>
    <t>2025-04-29</t>
  </si>
  <si>
    <t>22.1098</t>
  </si>
  <si>
    <t>13393</t>
  </si>
  <si>
    <t>15.035</t>
  </si>
  <si>
    <t>WTHUP-1-20250430</t>
  </si>
  <si>
    <t>2025-04-30</t>
  </si>
  <si>
    <t>22.0963</t>
  </si>
  <si>
    <t>13387</t>
  </si>
  <si>
    <t>15.026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</si>
</sst>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\ &quot;€&quot;_-;\-* #,##0.00\ &quot;€&quot;_-;_-* &quot;-&quot;??\ &quot;€&quot;_-;_-@_-"/>
    <numFmt numFmtId="177" formatCode="#,##0.00\ &quot;€&quot;"/>
    <numFmt numFmtId="178" formatCode="yyyy\/mm\/dd"/>
  </numFmts>
  <fonts count="38">
    <font>
      <sz val="11"/>
      <color theme="1"/>
      <name val="宋体"/>
      <charset val="134"/>
      <scheme val="minor"/>
    </font>
    <font>
      <b/>
      <sz val="10"/>
      <name val="Arial"/>
      <charset val="1"/>
    </font>
    <font>
      <sz val="10"/>
      <color rgb="FF0070C0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rgb="FF666666"/>
      <name val="微软雅黑"/>
      <charset val="134"/>
    </font>
    <font>
      <sz val="11"/>
      <color theme="1"/>
      <name val="Arial"/>
      <charset val="134"/>
    </font>
    <font>
      <sz val="10.5"/>
      <color rgb="FF000000"/>
      <name val="宋体"/>
      <charset val="134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1"/>
      <name val="Arial"/>
      <charset val="1"/>
    </font>
    <font>
      <sz val="11"/>
      <name val="Arial"/>
      <charset val="1"/>
    </font>
    <font>
      <b/>
      <u/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/>
      <top style="thin">
        <color theme="0" tint="-0.149998474074526"/>
      </top>
      <bottom style="thin">
        <color theme="0" tint="-0.149998474074526"/>
      </bottom>
      <diagonal/>
    </border>
    <border>
      <left/>
      <right/>
      <top style="thin">
        <color theme="0" tint="-0.149998474074526"/>
      </top>
      <bottom style="thin">
        <color theme="0" tint="-0.149998474074526"/>
      </bottom>
      <diagonal/>
    </border>
    <border>
      <left/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21" applyNumberFormat="0" applyAlignment="0" applyProtection="0">
      <alignment vertical="center"/>
    </xf>
    <xf numFmtId="0" fontId="25" fillId="6" borderId="22" applyNumberFormat="0" applyAlignment="0" applyProtection="0">
      <alignment vertical="center"/>
    </xf>
    <xf numFmtId="0" fontId="26" fillId="6" borderId="21" applyNumberFormat="0" applyAlignment="0" applyProtection="0">
      <alignment vertical="center"/>
    </xf>
    <xf numFmtId="0" fontId="27" fillId="7" borderId="23" applyNumberFormat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51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/>
    </xf>
    <xf numFmtId="0" fontId="0" fillId="3" borderId="0" xfId="0" applyFont="1" applyFill="1"/>
    <xf numFmtId="176" fontId="0" fillId="3" borderId="0" xfId="0" applyNumberFormat="1" applyFont="1" applyFill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5" fillId="0" borderId="0" xfId="0" applyFont="1"/>
    <xf numFmtId="0" fontId="0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/>
    <xf numFmtId="176" fontId="6" fillId="3" borderId="0" xfId="0" applyNumberFormat="1" applyFont="1" applyFill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176" fontId="0" fillId="0" borderId="0" xfId="0" applyNumberFormat="1"/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76" fontId="13" fillId="0" borderId="8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76" fontId="14" fillId="0" borderId="12" xfId="0" applyNumberFormat="1" applyFont="1" applyFill="1" applyBorder="1" applyAlignment="1">
      <alignment horizontal="right" vertical="center"/>
    </xf>
    <xf numFmtId="0" fontId="14" fillId="0" borderId="13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176" fontId="15" fillId="0" borderId="16" xfId="0" applyNumberFormat="1" applyFont="1" applyFill="1" applyBorder="1" applyAlignment="1">
      <alignment horizontal="right" vertical="center"/>
    </xf>
    <xf numFmtId="0" fontId="14" fillId="0" borderId="17" xfId="0" applyFont="1" applyBorder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-05-12_CostBillExport367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stBill"/>
    </sheetNames>
    <sheetDataSet>
      <sheetData sheetId="0">
        <row r="1">
          <cell r="B1" t="str">
            <v>单号</v>
          </cell>
          <cell r="C1" t="str">
            <v>参考号</v>
          </cell>
          <cell r="D1" t="str">
            <v>跟踪号</v>
          </cell>
        </row>
        <row r="2">
          <cell r="B2" t="str">
            <v>HUP-250512-0009</v>
          </cell>
          <cell r="C2" t="str">
            <v>028-0156217-9146708</v>
          </cell>
          <cell r="D2" t="str">
            <v>00340434713524041496</v>
          </cell>
        </row>
        <row r="3">
          <cell r="B3" t="str">
            <v>HUP-250512-0008</v>
          </cell>
          <cell r="C3" t="str">
            <v>303-5233080-5750713</v>
          </cell>
          <cell r="D3" t="str">
            <v>00340434713524041489</v>
          </cell>
        </row>
        <row r="4">
          <cell r="B4" t="str">
            <v>HUP-250512-0007</v>
          </cell>
          <cell r="C4" t="str">
            <v>304-7372231-3829102</v>
          </cell>
          <cell r="D4" t="str">
            <v>00340434713524041526</v>
          </cell>
        </row>
        <row r="5">
          <cell r="B5" t="str">
            <v>HUP-250512-0006</v>
          </cell>
          <cell r="C5" t="str">
            <v>303-1220923-8605960</v>
          </cell>
          <cell r="D5" t="str">
            <v>00340434713524041588</v>
          </cell>
        </row>
        <row r="6">
          <cell r="B6" t="str">
            <v>HUP-250512-0005</v>
          </cell>
          <cell r="C6" t="str">
            <v>305-5256611-3207517</v>
          </cell>
          <cell r="D6" t="str">
            <v>00340434713524041595</v>
          </cell>
        </row>
        <row r="7">
          <cell r="B7" t="str">
            <v>HUP-250512-0004</v>
          </cell>
          <cell r="C7" t="str">
            <v>ST-PO-076-10664014208551828</v>
          </cell>
          <cell r="D7" t="str">
            <v>00340434713524041083</v>
          </cell>
        </row>
        <row r="8">
          <cell r="B8" t="str">
            <v>HUP-250512-0003</v>
          </cell>
          <cell r="C8" t="str">
            <v>ST-PO-076-21761397059111474</v>
          </cell>
          <cell r="D8" t="str">
            <v>00340434713524041076</v>
          </cell>
        </row>
        <row r="9">
          <cell r="B9" t="str">
            <v>HUP-250512-0002</v>
          </cell>
          <cell r="C9" t="str">
            <v>ST-PO-076-21469617585193214</v>
          </cell>
          <cell r="D9" t="str">
            <v>00340434713524041069</v>
          </cell>
        </row>
        <row r="10">
          <cell r="B10" t="str">
            <v>HUP-250512-0001</v>
          </cell>
          <cell r="C10" t="str">
            <v>3053860246293917</v>
          </cell>
          <cell r="D10" t="str">
            <v>CD913940324DE</v>
          </cell>
        </row>
        <row r="11">
          <cell r="B11" t="str">
            <v>WTHUP-1-20250511</v>
          </cell>
        </row>
        <row r="11">
          <cell r="D11" t="str">
            <v/>
          </cell>
        </row>
        <row r="12">
          <cell r="B12" t="str">
            <v>HUP-250511-0001</v>
          </cell>
          <cell r="C12" t="str">
            <v>3054345273545152</v>
          </cell>
          <cell r="D12" t="str">
            <v>CD913940315DE</v>
          </cell>
        </row>
        <row r="13">
          <cell r="B13" t="str">
            <v>WTHUP-1-20250510</v>
          </cell>
        </row>
        <row r="13">
          <cell r="D13" t="str">
            <v/>
          </cell>
        </row>
        <row r="14">
          <cell r="B14" t="str">
            <v>HUP-250510-0008</v>
          </cell>
          <cell r="C14" t="str">
            <v>3054236873367788</v>
          </cell>
          <cell r="D14" t="str">
            <v>00340434713524040604</v>
          </cell>
        </row>
        <row r="15">
          <cell r="B15" t="str">
            <v>HUP-250510-0007</v>
          </cell>
          <cell r="C15" t="str">
            <v>3053972283904883</v>
          </cell>
          <cell r="D15" t="str">
            <v>CD913939839DE</v>
          </cell>
        </row>
        <row r="16">
          <cell r="B16" t="str">
            <v>HUP-250510-0006</v>
          </cell>
          <cell r="C16" t="str">
            <v>ST-PO-069-15950231880233120</v>
          </cell>
          <cell r="D16" t="str">
            <v>CD913939825DE</v>
          </cell>
        </row>
        <row r="17">
          <cell r="B17" t="str">
            <v>HUP-250510-0005</v>
          </cell>
          <cell r="C17" t="str">
            <v>ST-PO-076-16236832873511381</v>
          </cell>
          <cell r="D17" t="str">
            <v>00340434713524040581</v>
          </cell>
        </row>
        <row r="18">
          <cell r="B18" t="str">
            <v>HUP-250510-0004</v>
          </cell>
          <cell r="C18" t="str">
            <v>ST-PO-076-16300129047591258</v>
          </cell>
          <cell r="D18" t="str">
            <v>00340434713524040598</v>
          </cell>
        </row>
        <row r="19">
          <cell r="B19" t="str">
            <v>HUP-250510-0003</v>
          </cell>
          <cell r="C19" t="str">
            <v>ST-PO-076-10365198134313643</v>
          </cell>
          <cell r="D19" t="str">
            <v>00340434713524040574</v>
          </cell>
        </row>
        <row r="20">
          <cell r="B20" t="str">
            <v>HUP-250510-0002</v>
          </cell>
          <cell r="C20" t="str">
            <v>ST-PO-069-10508421478953013</v>
          </cell>
          <cell r="D20" t="str">
            <v>CD913939811DE</v>
          </cell>
        </row>
        <row r="21">
          <cell r="B21" t="str">
            <v>HUP-250510-0001</v>
          </cell>
          <cell r="C21" t="str">
            <v>ST-PO-076-10544516283432796</v>
          </cell>
          <cell r="D21" t="str">
            <v>00340434713524040567</v>
          </cell>
        </row>
        <row r="22">
          <cell r="B22" t="str">
            <v>WTHUP-1-20250509</v>
          </cell>
        </row>
        <row r="22">
          <cell r="D22" t="str">
            <v/>
          </cell>
        </row>
        <row r="23">
          <cell r="B23" t="str">
            <v>HUP-250509-0010</v>
          </cell>
          <cell r="C23" t="str">
            <v>shein-GSO12X49R000SS6</v>
          </cell>
          <cell r="D23" t="str">
            <v>00340434713524039820</v>
          </cell>
        </row>
        <row r="24">
          <cell r="B24" t="str">
            <v>HUP-250509-0009</v>
          </cell>
          <cell r="C24" t="str">
            <v>305-5450414-4386757</v>
          </cell>
          <cell r="D24" t="str">
            <v>00340434713524039660</v>
          </cell>
        </row>
        <row r="25">
          <cell r="B25" t="str">
            <v>HUP-250509-0007</v>
          </cell>
          <cell r="C25" t="str">
            <v>WEC0662505090122</v>
          </cell>
          <cell r="D25" t="str">
            <v>00340434713524039608</v>
          </cell>
        </row>
        <row r="26">
          <cell r="B26" t="str">
            <v>HUP-250509-0003</v>
          </cell>
          <cell r="C26" t="str">
            <v>ST-PO-076-05186248164391966</v>
          </cell>
          <cell r="D26" t="str">
            <v>00340434713524038045</v>
          </cell>
        </row>
        <row r="27">
          <cell r="B27" t="str">
            <v>HUP-250509-0002</v>
          </cell>
          <cell r="C27" t="str">
            <v>ST-PO-076-05274806405671470</v>
          </cell>
          <cell r="D27" t="str">
            <v>00340434713524038069</v>
          </cell>
        </row>
        <row r="28">
          <cell r="B28" t="str">
            <v>HUP-250509-0006</v>
          </cell>
          <cell r="C28" t="str">
            <v>ST-PO-076-05421810419750338</v>
          </cell>
          <cell r="D28" t="str">
            <v>00340434713524038052</v>
          </cell>
        </row>
        <row r="29">
          <cell r="B29" t="str">
            <v>HUP-250509-0004</v>
          </cell>
          <cell r="C29" t="str">
            <v>ST-PO-076-05210502048551599</v>
          </cell>
          <cell r="D29" t="str">
            <v>00340434713524038038</v>
          </cell>
        </row>
        <row r="30">
          <cell r="B30" t="str">
            <v>HUP-250509-0005</v>
          </cell>
          <cell r="C30" t="str">
            <v>ST-PO-098-05147934829352226</v>
          </cell>
          <cell r="D30" t="str">
            <v>CD913937736DE</v>
          </cell>
        </row>
        <row r="31">
          <cell r="B31" t="str">
            <v>HUP-250509-0001</v>
          </cell>
          <cell r="C31" t="str">
            <v>shein-GSO12656B0048B6</v>
          </cell>
          <cell r="D31" t="str">
            <v>00340434713524038021</v>
          </cell>
        </row>
        <row r="32">
          <cell r="B32" t="str">
            <v>HUP-250509-0008</v>
          </cell>
          <cell r="C32" t="str">
            <v>WEC0162505090123</v>
          </cell>
          <cell r="D32" t="str">
            <v>00340434713524038977</v>
          </cell>
        </row>
        <row r="33">
          <cell r="B33" t="str">
            <v>WTHUP-1-20250508</v>
          </cell>
        </row>
        <row r="33">
          <cell r="D33" t="str">
            <v/>
          </cell>
        </row>
        <row r="34">
          <cell r="B34" t="str">
            <v>HUP-250508-0012</v>
          </cell>
          <cell r="C34" t="str">
            <v>ST-PO-076-05180026514472037</v>
          </cell>
          <cell r="D34" t="str">
            <v>00340434713524037994</v>
          </cell>
        </row>
        <row r="35">
          <cell r="B35" t="str">
            <v>HUP-250508-0001</v>
          </cell>
          <cell r="C35" t="str">
            <v>3053938516358725</v>
          </cell>
          <cell r="D35" t="str">
            <v>CD913935430DE</v>
          </cell>
        </row>
        <row r="36">
          <cell r="B36" t="str">
            <v>HUP-250508-0004</v>
          </cell>
          <cell r="C36" t="str">
            <v>ST-PO-076-17353252732712919</v>
          </cell>
          <cell r="D36" t="str">
            <v>00340434713524036218</v>
          </cell>
        </row>
        <row r="37">
          <cell r="B37" t="str">
            <v>HUP-250508-0009</v>
          </cell>
          <cell r="C37" t="str">
            <v>ST-PO-069-17395617851432667</v>
          </cell>
          <cell r="D37" t="str">
            <v>CD913935528DE</v>
          </cell>
        </row>
        <row r="38">
          <cell r="B38" t="str">
            <v>HUP-250508-0002</v>
          </cell>
          <cell r="C38" t="str">
            <v>ST-PO-076-17752339494950570</v>
          </cell>
          <cell r="D38" t="str">
            <v>00340434713524036171</v>
          </cell>
        </row>
        <row r="39">
          <cell r="B39" t="str">
            <v>HUP-250508-0008</v>
          </cell>
          <cell r="C39" t="str">
            <v>ST-PO-076-17791572554790336</v>
          </cell>
          <cell r="D39" t="str">
            <v>00340434713524036232</v>
          </cell>
        </row>
        <row r="40">
          <cell r="B40" t="str">
            <v>HUP-250508-0006</v>
          </cell>
          <cell r="C40" t="str">
            <v>ST-PO-076-17617115767591344</v>
          </cell>
          <cell r="D40" t="str">
            <v>00340434713524036201</v>
          </cell>
        </row>
        <row r="41">
          <cell r="B41" t="str">
            <v>HUP-250508-0005</v>
          </cell>
          <cell r="C41" t="str">
            <v>ST-PO-076-17194423553833896</v>
          </cell>
          <cell r="D41" t="str">
            <v>00340434713524036195</v>
          </cell>
        </row>
        <row r="42">
          <cell r="B42" t="str">
            <v>HUP-250508-0010</v>
          </cell>
          <cell r="C42" t="str">
            <v>ST-PO-069-17777332937510647</v>
          </cell>
          <cell r="D42" t="str">
            <v>CD913935559DE</v>
          </cell>
        </row>
        <row r="43">
          <cell r="B43" t="str">
            <v>HUP-250508-0003</v>
          </cell>
          <cell r="C43" t="str">
            <v>ST-PO-076-17234412156713627</v>
          </cell>
          <cell r="D43" t="str">
            <v>00340434713524036225</v>
          </cell>
        </row>
        <row r="44">
          <cell r="B44" t="str">
            <v>HUP-250508-0007</v>
          </cell>
          <cell r="C44" t="str">
            <v>ST-PO-076-17266816748073432</v>
          </cell>
          <cell r="D44" t="str">
            <v>00340434713524036188</v>
          </cell>
        </row>
        <row r="45">
          <cell r="B45" t="str">
            <v>HUP-250508-0011</v>
          </cell>
          <cell r="C45" t="str">
            <v>WEC0862505080013</v>
          </cell>
          <cell r="D45" t="str">
            <v>00340434713524037154</v>
          </cell>
        </row>
        <row r="46">
          <cell r="B46" t="str">
            <v>WTHUP-1-20250507</v>
          </cell>
        </row>
        <row r="46">
          <cell r="D46" t="str">
            <v/>
          </cell>
        </row>
        <row r="47">
          <cell r="B47" t="str">
            <v>HUP-250507-0013</v>
          </cell>
          <cell r="C47" t="str">
            <v>3053962059488607</v>
          </cell>
          <cell r="D47" t="str">
            <v>CD913934757DE</v>
          </cell>
        </row>
        <row r="48">
          <cell r="B48" t="str">
            <v>HUP-250507-0014</v>
          </cell>
          <cell r="C48" t="str">
            <v>ST-PO-076-17691476214311159</v>
          </cell>
          <cell r="D48" t="str">
            <v>00340434713524036096</v>
          </cell>
        </row>
        <row r="49">
          <cell r="B49" t="str">
            <v>HUP-250507-0012</v>
          </cell>
          <cell r="C49" t="str">
            <v>ST-PO-076-17372827889192832</v>
          </cell>
          <cell r="D49" t="str">
            <v>00340434713524036089</v>
          </cell>
        </row>
        <row r="50">
          <cell r="B50" t="str">
            <v>HUP-250507-0008</v>
          </cell>
          <cell r="C50" t="str">
            <v>3053686412458020</v>
          </cell>
          <cell r="D50" t="str">
            <v>CD913933513DE</v>
          </cell>
        </row>
        <row r="51">
          <cell r="B51" t="str">
            <v>HUP-250507-0007</v>
          </cell>
          <cell r="C51" t="str">
            <v>3053694170269538</v>
          </cell>
          <cell r="D51" t="str">
            <v>CD913933527DE</v>
          </cell>
        </row>
        <row r="52">
          <cell r="B52" t="str">
            <v>HUP-250507-0006</v>
          </cell>
          <cell r="C52" t="str">
            <v>3053860840962244</v>
          </cell>
          <cell r="D52" t="str">
            <v>CD913933270DE</v>
          </cell>
        </row>
        <row r="53">
          <cell r="B53" t="str">
            <v>HUP-250507-0001</v>
          </cell>
          <cell r="C53" t="str">
            <v>ST-PO-076-06401552991272658</v>
          </cell>
          <cell r="D53" t="str">
            <v>00340434713524033590</v>
          </cell>
        </row>
        <row r="54">
          <cell r="B54" t="str">
            <v>HUP-250507-0005</v>
          </cell>
          <cell r="C54" t="str">
            <v>ST-PO-076-06533571948071905</v>
          </cell>
          <cell r="D54" t="str">
            <v>00340434713524033613</v>
          </cell>
        </row>
        <row r="55">
          <cell r="B55" t="str">
            <v>HUP-250507-0003</v>
          </cell>
          <cell r="C55" t="str">
            <v>ST-PO-076-06284806589993386</v>
          </cell>
          <cell r="D55" t="str">
            <v>00340434713524033620</v>
          </cell>
        </row>
        <row r="56">
          <cell r="B56" t="str">
            <v>HUP-250507-0002</v>
          </cell>
          <cell r="C56" t="str">
            <v>ST-PO-076-06284882401833386</v>
          </cell>
          <cell r="D56" t="str">
            <v>00340434713524033606</v>
          </cell>
        </row>
        <row r="57">
          <cell r="B57" t="str">
            <v>HUP-250507-0004</v>
          </cell>
          <cell r="C57" t="str">
            <v>ST-PO-076-06544691878951807</v>
          </cell>
          <cell r="D57" t="str">
            <v>00340434713524033637</v>
          </cell>
        </row>
        <row r="58">
          <cell r="B58" t="str">
            <v>HUP-250507-0009</v>
          </cell>
          <cell r="C58" t="str">
            <v>WEC0882505070010</v>
          </cell>
          <cell r="D58" t="str">
            <v>00340434713524034924</v>
          </cell>
        </row>
        <row r="59">
          <cell r="B59" t="str">
            <v>HUP-250507-0010</v>
          </cell>
          <cell r="C59" t="str">
            <v>WEC0292505070008</v>
          </cell>
          <cell r="D59" t="str">
            <v>00340434713524034986</v>
          </cell>
        </row>
        <row r="60">
          <cell r="B60" t="str">
            <v>HUP-250507-0011</v>
          </cell>
          <cell r="C60" t="str">
            <v>WEC0962505070009</v>
          </cell>
          <cell r="D60" t="str">
            <v>00340434713524034993</v>
          </cell>
        </row>
        <row r="61">
          <cell r="B61" t="str">
            <v>WTHUP-1-20250506</v>
          </cell>
        </row>
        <row r="61">
          <cell r="D61" t="str">
            <v/>
          </cell>
        </row>
        <row r="62">
          <cell r="B62" t="str">
            <v>HUP-250506-0006</v>
          </cell>
          <cell r="C62" t="str">
            <v>ST-PO-076-06500675461672101</v>
          </cell>
          <cell r="D62" t="str">
            <v>00340434713524033514</v>
          </cell>
        </row>
        <row r="63">
          <cell r="B63" t="str">
            <v>HUP-250502-0006</v>
          </cell>
          <cell r="C63" t="str">
            <v>3053864312470390</v>
          </cell>
          <cell r="D63" t="str">
            <v>00340434713524030735</v>
          </cell>
        </row>
        <row r="64">
          <cell r="B64" t="str">
            <v>HUP-250506-0005</v>
          </cell>
          <cell r="C64" t="str">
            <v>ST-PO-076-12138830799911487</v>
          </cell>
          <cell r="D64" t="str">
            <v>00340434713524031053</v>
          </cell>
        </row>
        <row r="65">
          <cell r="B65" t="str">
            <v>HUP-250506-0004</v>
          </cell>
          <cell r="C65" t="str">
            <v>3054069598366103</v>
          </cell>
          <cell r="D65" t="str">
            <v>CD913931013DE</v>
          </cell>
        </row>
        <row r="66">
          <cell r="B66" t="str">
            <v>HUP-250506-0001</v>
          </cell>
          <cell r="C66" t="str">
            <v>ST-PO-076-11940858527272411</v>
          </cell>
          <cell r="D66" t="str">
            <v>00340434713524031022</v>
          </cell>
        </row>
        <row r="67">
          <cell r="B67" t="str">
            <v>HUP-250505-0009</v>
          </cell>
          <cell r="C67" t="str">
            <v>shein-GSO12Q05700NRJA</v>
          </cell>
          <cell r="D67" t="str">
            <v>00340434713524030919</v>
          </cell>
        </row>
        <row r="68">
          <cell r="B68" t="str">
            <v>HUP-250506-0002</v>
          </cell>
          <cell r="C68" t="str">
            <v>ST-PO-069-12310504950310462</v>
          </cell>
          <cell r="D68" t="str">
            <v>CD913931000DE</v>
          </cell>
        </row>
        <row r="69">
          <cell r="B69" t="str">
            <v>HUP-250506-0003</v>
          </cell>
          <cell r="C69" t="str">
            <v>shein-GSO12434W0000QN</v>
          </cell>
          <cell r="D69" t="str">
            <v>00340434713524033422</v>
          </cell>
        </row>
        <row r="70">
          <cell r="B70" t="str">
            <v>WTHUP-1-20250505</v>
          </cell>
        </row>
        <row r="70">
          <cell r="D70" t="str">
            <v/>
          </cell>
        </row>
        <row r="71">
          <cell r="B71" t="str">
            <v>HUP-250504-0001</v>
          </cell>
          <cell r="C71" t="str">
            <v>ST-PO-076-20370630669351316</v>
          </cell>
          <cell r="D71" t="str">
            <v>00340434713524023492</v>
          </cell>
        </row>
        <row r="72">
          <cell r="B72" t="str">
            <v>HUP-250505-0006</v>
          </cell>
          <cell r="C72" t="str">
            <v>ST-PO-076-00984494223912434</v>
          </cell>
          <cell r="D72" t="str">
            <v>00340434713524026387</v>
          </cell>
        </row>
        <row r="73">
          <cell r="B73" t="str">
            <v>HUP-250503-0006</v>
          </cell>
          <cell r="C73" t="str">
            <v>ST-PO-076-09334072765991597</v>
          </cell>
          <cell r="D73" t="str">
            <v>00340434713524022723</v>
          </cell>
        </row>
        <row r="74">
          <cell r="B74" t="str">
            <v>HUP-250505-0005</v>
          </cell>
          <cell r="C74" t="str">
            <v>ST-PO-076-00838989253673302</v>
          </cell>
          <cell r="D74" t="str">
            <v>00340434713524026394</v>
          </cell>
        </row>
        <row r="75">
          <cell r="B75" t="str">
            <v>HUP-250503-0005</v>
          </cell>
          <cell r="C75" t="str">
            <v>ST-PO-076-09380773624871287</v>
          </cell>
          <cell r="D75" t="str">
            <v>00340434713524022730</v>
          </cell>
        </row>
        <row r="76">
          <cell r="B76" t="str">
            <v>HUP-250505-0003</v>
          </cell>
          <cell r="C76" t="str">
            <v>ST-PO-076-00741415086633629</v>
          </cell>
          <cell r="D76" t="str">
            <v>00340434713524026363</v>
          </cell>
        </row>
        <row r="77">
          <cell r="B77" t="str">
            <v>HUP-250503-0004</v>
          </cell>
          <cell r="C77" t="str">
            <v>ST-PO-076-09090403098153273</v>
          </cell>
          <cell r="D77" t="str">
            <v>00340434713524022747</v>
          </cell>
        </row>
        <row r="78">
          <cell r="B78" t="str">
            <v>HUP-250504-0004</v>
          </cell>
          <cell r="C78" t="str">
            <v>ST-PO-076-20271167160872199</v>
          </cell>
          <cell r="D78" t="str">
            <v>00340434713524023508</v>
          </cell>
        </row>
        <row r="79">
          <cell r="B79" t="str">
            <v>HUP-250505-0008</v>
          </cell>
          <cell r="C79" t="str">
            <v>ST-PO-076-00868975652392901</v>
          </cell>
          <cell r="D79" t="str">
            <v>00340434713524026417</v>
          </cell>
        </row>
        <row r="80">
          <cell r="B80" t="str">
            <v>HUP-250503-0002</v>
          </cell>
          <cell r="C80" t="str">
            <v>ST-PO-076-09617111598630132</v>
          </cell>
          <cell r="D80" t="str">
            <v>00340434713524022754</v>
          </cell>
        </row>
        <row r="81">
          <cell r="B81" t="str">
            <v>HUP-250504-0003</v>
          </cell>
          <cell r="C81" t="str">
            <v>ST-PO-076-20162890035752586</v>
          </cell>
          <cell r="D81" t="str">
            <v>00340434713524023515</v>
          </cell>
        </row>
        <row r="82">
          <cell r="B82" t="str">
            <v>HUP-250505-0007</v>
          </cell>
          <cell r="C82" t="str">
            <v>ST-PO-069-00718957210154051</v>
          </cell>
          <cell r="D82" t="str">
            <v>CD913927265DE</v>
          </cell>
        </row>
        <row r="83">
          <cell r="B83" t="str">
            <v>HUP-250503-0001</v>
          </cell>
          <cell r="C83" t="str">
            <v>ST-PO-076-09313951637031973</v>
          </cell>
          <cell r="D83" t="str">
            <v>00340434713524022716</v>
          </cell>
        </row>
        <row r="84">
          <cell r="B84" t="str">
            <v>HUP-250505-0001</v>
          </cell>
          <cell r="C84" t="str">
            <v>ST-PO-076-00882052618793047</v>
          </cell>
          <cell r="D84" t="str">
            <v>00340434713524024352</v>
          </cell>
        </row>
        <row r="85">
          <cell r="B85" t="str">
            <v>HUP-250502-0007</v>
          </cell>
          <cell r="C85" t="str">
            <v>3053566689670015</v>
          </cell>
          <cell r="D85" t="str">
            <v>CD913924600DE</v>
          </cell>
        </row>
        <row r="86">
          <cell r="B86" t="str">
            <v>HUP-250505-0004</v>
          </cell>
          <cell r="C86" t="str">
            <v>ST-PO-076-01236663718950933</v>
          </cell>
          <cell r="D86" t="str">
            <v>00340434713524026400</v>
          </cell>
        </row>
        <row r="87">
          <cell r="B87" t="str">
            <v>HUP-250504-0002</v>
          </cell>
          <cell r="C87" t="str">
            <v>ST-PO-069-20590280402470009</v>
          </cell>
          <cell r="D87" t="str">
            <v>CD913925242DE</v>
          </cell>
        </row>
        <row r="88">
          <cell r="B88" t="str">
            <v>HUP-250503-0003</v>
          </cell>
          <cell r="C88" t="str">
            <v>ST-PO-069-09239290291752160</v>
          </cell>
          <cell r="D88" t="str">
            <v>CD913924975DE</v>
          </cell>
        </row>
        <row r="89">
          <cell r="B89" t="str">
            <v>HUP-250505-0002</v>
          </cell>
          <cell r="C89" t="str">
            <v>ST-PO-076-01275961508390731</v>
          </cell>
          <cell r="D89" t="str">
            <v>00340434713524026370</v>
          </cell>
        </row>
        <row r="90">
          <cell r="B90" t="str">
            <v>HUP-250503-0008</v>
          </cell>
          <cell r="C90" t="str">
            <v>WEC0712505030012</v>
          </cell>
          <cell r="D90" t="str">
            <v>00340434713524023461</v>
          </cell>
        </row>
        <row r="91">
          <cell r="B91" t="str">
            <v>HUP-250503-0007</v>
          </cell>
          <cell r="C91" t="str">
            <v>WEC0962505030011</v>
          </cell>
          <cell r="D91" t="str">
            <v>00340434713524023454</v>
          </cell>
        </row>
        <row r="92">
          <cell r="B92" t="str">
            <v>HUP-250503-0009</v>
          </cell>
          <cell r="C92" t="str">
            <v>WEC0742505030013</v>
          </cell>
          <cell r="D92" t="str">
            <v>00340434713524023478</v>
          </cell>
        </row>
        <row r="93">
          <cell r="B93" t="str">
            <v>WTHUP-1-20250504</v>
          </cell>
        </row>
        <row r="93">
          <cell r="D93" t="str">
            <v/>
          </cell>
        </row>
        <row r="94">
          <cell r="B94" t="str">
            <v>WTHUP-1-20250503</v>
          </cell>
        </row>
        <row r="94">
          <cell r="D94" t="str">
            <v/>
          </cell>
        </row>
        <row r="95">
          <cell r="B95" t="str">
            <v>WTHUP-1-20250502</v>
          </cell>
        </row>
        <row r="95">
          <cell r="D95" t="str">
            <v/>
          </cell>
        </row>
        <row r="96">
          <cell r="B96" t="str">
            <v>HUP-250502-0001</v>
          </cell>
          <cell r="C96" t="str">
            <v>ST-PO-076-14897195881511460</v>
          </cell>
          <cell r="D96" t="str">
            <v>00340434713524019006</v>
          </cell>
        </row>
        <row r="97">
          <cell r="B97" t="str">
            <v>HUP-250502-0005</v>
          </cell>
          <cell r="C97" t="str">
            <v>ST-PO-076-14505649597993794</v>
          </cell>
          <cell r="D97" t="str">
            <v>00340434713524019044</v>
          </cell>
        </row>
        <row r="98">
          <cell r="B98" t="str">
            <v>HUP-250502-0003</v>
          </cell>
          <cell r="C98" t="str">
            <v>ST-PO-076-14844225272871776</v>
          </cell>
          <cell r="D98" t="str">
            <v>00340434713524019020</v>
          </cell>
        </row>
        <row r="99">
          <cell r="B99" t="str">
            <v>HUP-250501-0003</v>
          </cell>
          <cell r="C99" t="str">
            <v>ST-PO-076-03875757513511363</v>
          </cell>
          <cell r="D99" t="str">
            <v>00340434713524018146</v>
          </cell>
        </row>
        <row r="100">
          <cell r="B100" t="str">
            <v>HUP-250501-0001</v>
          </cell>
          <cell r="C100" t="str">
            <v>ST-PO-076-03694956044072409</v>
          </cell>
          <cell r="D100" t="str">
            <v>00340434713524018139</v>
          </cell>
        </row>
        <row r="101">
          <cell r="B101" t="str">
            <v>HUP-250502-0004</v>
          </cell>
          <cell r="C101" t="str">
            <v>ST-PO-076-14442736701993883</v>
          </cell>
          <cell r="D101" t="str">
            <v>00340434713524019037</v>
          </cell>
        </row>
        <row r="102">
          <cell r="B102" t="str">
            <v>HUP-250502-0002</v>
          </cell>
          <cell r="C102" t="str">
            <v>ST-PO-076-14618006121512868</v>
          </cell>
          <cell r="D102" t="str">
            <v>00340434713524019013</v>
          </cell>
        </row>
        <row r="103">
          <cell r="B103" t="str">
            <v>HUP-250501-0004</v>
          </cell>
          <cell r="C103" t="str">
            <v>shein-GSO12C078005RSX</v>
          </cell>
          <cell r="D103" t="str">
            <v>00340434713524018573</v>
          </cell>
        </row>
        <row r="104">
          <cell r="B104" t="str">
            <v>HUP-250501-0002</v>
          </cell>
          <cell r="C104" t="str">
            <v>ST-PO-069-04085546211110113</v>
          </cell>
          <cell r="D104" t="str">
            <v>CD913922201DE</v>
          </cell>
        </row>
        <row r="105">
          <cell r="B105" t="str">
            <v>WTHUP-1-20250501</v>
          </cell>
        </row>
        <row r="105">
          <cell r="D105" t="str">
            <v/>
          </cell>
        </row>
        <row r="106">
          <cell r="B106" t="str">
            <v>WTHUP-1-20250430</v>
          </cell>
        </row>
        <row r="106">
          <cell r="D106" t="str">
            <v/>
          </cell>
        </row>
        <row r="107">
          <cell r="B107" t="str">
            <v>HUP-250430-0006</v>
          </cell>
          <cell r="C107" t="str">
            <v>shein-GSO12U13Y002TXF</v>
          </cell>
          <cell r="D107" t="str">
            <v>00340434713524017774</v>
          </cell>
        </row>
        <row r="108">
          <cell r="B108" t="str">
            <v>HUP-250430-0004</v>
          </cell>
          <cell r="C108" t="str">
            <v>ST-PO-076-18073115144232978</v>
          </cell>
          <cell r="D108" t="str">
            <v>00340434713524015640</v>
          </cell>
        </row>
        <row r="109">
          <cell r="B109" t="str">
            <v>HUP-250430-0002</v>
          </cell>
          <cell r="C109" t="str">
            <v>ST-PO-076-18354178766631081</v>
          </cell>
          <cell r="D109" t="str">
            <v>00340434713524015619</v>
          </cell>
        </row>
        <row r="110">
          <cell r="B110" t="str">
            <v>HUP-250430-0003</v>
          </cell>
          <cell r="C110" t="str">
            <v>ST-PO-076-17926993948713595</v>
          </cell>
          <cell r="D110" t="str">
            <v>00340434713524015657</v>
          </cell>
        </row>
        <row r="111">
          <cell r="B111" t="str">
            <v>HUP-250430-0001</v>
          </cell>
          <cell r="C111" t="str">
            <v>8200226340110614</v>
          </cell>
          <cell r="D111" t="str">
            <v>CD913919953DE</v>
          </cell>
        </row>
        <row r="112">
          <cell r="B112" t="str">
            <v>HUP-250430-0005</v>
          </cell>
          <cell r="C112" t="str">
            <v>WEC0632504300017</v>
          </cell>
          <cell r="D112" t="str">
            <v>00340434713524016920</v>
          </cell>
        </row>
        <row r="113">
          <cell r="B113" t="str">
            <v>WTHUP-1-20250429</v>
          </cell>
        </row>
        <row r="113">
          <cell r="D113" t="str">
            <v/>
          </cell>
        </row>
        <row r="114">
          <cell r="B114" t="str">
            <v>HUP-250429-0003</v>
          </cell>
          <cell r="C114" t="str">
            <v>3053182640227793</v>
          </cell>
          <cell r="D114" t="str">
            <v>CD913917997DE</v>
          </cell>
        </row>
        <row r="115">
          <cell r="B115" t="str">
            <v>HUP-250429-0001</v>
          </cell>
          <cell r="C115" t="str">
            <v>shein-GSO12203200561Q</v>
          </cell>
          <cell r="D115" t="str">
            <v>00340434713524012762</v>
          </cell>
        </row>
        <row r="116">
          <cell r="B116" t="str">
            <v>HUP-250428-0011</v>
          </cell>
          <cell r="C116" t="str">
            <v>ST-PO-076-07285893274151741</v>
          </cell>
          <cell r="D116" t="str">
            <v>00340434713524012649</v>
          </cell>
        </row>
        <row r="117">
          <cell r="B117" t="str">
            <v>HUP-250427-0007</v>
          </cell>
          <cell r="C117" t="str">
            <v>ST-PO-076-01765815629351651</v>
          </cell>
          <cell r="D117" t="str">
            <v>00340434713524012366</v>
          </cell>
        </row>
        <row r="118">
          <cell r="B118" t="str">
            <v>HUP-250429-0002</v>
          </cell>
          <cell r="C118" t="str">
            <v>ST-PO-186-07339926298151419</v>
          </cell>
          <cell r="D118" t="str">
            <v>CD913917966DE</v>
          </cell>
        </row>
        <row r="119">
          <cell r="B119" t="str">
            <v>HUP-250428-0010</v>
          </cell>
          <cell r="C119" t="str">
            <v>ST-PO-076-06952334090793761</v>
          </cell>
          <cell r="D119" t="str">
            <v>00340434713524011796</v>
          </cell>
        </row>
        <row r="120">
          <cell r="B120" t="str">
            <v>HUP-250428-0012</v>
          </cell>
          <cell r="C120" t="str">
            <v>ST-PO-076-07239613768232017</v>
          </cell>
          <cell r="D120" t="str">
            <v>00340434713524012656</v>
          </cell>
        </row>
        <row r="121">
          <cell r="B121" t="str">
            <v>WTHUP-1-20250428</v>
          </cell>
        </row>
        <row r="121">
          <cell r="D121" t="str">
            <v/>
          </cell>
        </row>
        <row r="122">
          <cell r="B122" t="str">
            <v>HUP-250427-0003</v>
          </cell>
          <cell r="C122" t="str">
            <v>3053603676678503</v>
          </cell>
          <cell r="D122" t="str">
            <v>CD913914338DE</v>
          </cell>
        </row>
        <row r="123">
          <cell r="B123" t="str">
            <v>HUP-250427-0012</v>
          </cell>
          <cell r="C123" t="str">
            <v>ST-PO-076-20968337669671883</v>
          </cell>
          <cell r="D123" t="str">
            <v>00340434713524007331</v>
          </cell>
        </row>
        <row r="124">
          <cell r="B124" t="str">
            <v>HUP-250428-0002</v>
          </cell>
          <cell r="C124" t="str">
            <v>ST-PO-186-12503406446633184</v>
          </cell>
          <cell r="D124" t="str">
            <v>CD913915245DE</v>
          </cell>
        </row>
        <row r="125">
          <cell r="B125" t="str">
            <v>HUP-250428-0008</v>
          </cell>
          <cell r="C125" t="str">
            <v>ST-PO-076-12901189883430783</v>
          </cell>
          <cell r="D125" t="str">
            <v>00340434713524009489</v>
          </cell>
        </row>
        <row r="126">
          <cell r="B126" t="str">
            <v>HUP-250427-0011</v>
          </cell>
          <cell r="C126" t="str">
            <v>ST-PO-076-01779257797671539</v>
          </cell>
          <cell r="D126" t="str">
            <v>00340434713524007348</v>
          </cell>
        </row>
        <row r="127">
          <cell r="B127" t="str">
            <v>HUP-250428-0001</v>
          </cell>
          <cell r="C127" t="str">
            <v>ST-PO-076-12394946568234089</v>
          </cell>
          <cell r="D127" t="str">
            <v>00340434713524009434</v>
          </cell>
        </row>
        <row r="128">
          <cell r="B128" t="str">
            <v>HUP-250428-0007</v>
          </cell>
          <cell r="C128" t="str">
            <v>ST-PO-076-12791033254951726</v>
          </cell>
          <cell r="D128" t="str">
            <v>00340434713524009465</v>
          </cell>
        </row>
        <row r="129">
          <cell r="B129" t="str">
            <v>HUP-250427-0010</v>
          </cell>
          <cell r="C129" t="str">
            <v>ST-PO-076-01741892419112016</v>
          </cell>
          <cell r="D129" t="str">
            <v>00340434713524007362</v>
          </cell>
        </row>
        <row r="130">
          <cell r="B130" t="str">
            <v>HUP-250427-0016</v>
          </cell>
          <cell r="C130" t="str">
            <v>WEC0622504270006</v>
          </cell>
          <cell r="D130" t="str">
            <v>00340434713524007492</v>
          </cell>
        </row>
        <row r="131">
          <cell r="B131" t="str">
            <v>HUP-250428-0006</v>
          </cell>
          <cell r="C131" t="str">
            <v>ST-PO-076-12389996398633860</v>
          </cell>
          <cell r="D131" t="str">
            <v>00340434713524009458</v>
          </cell>
        </row>
        <row r="132">
          <cell r="B132" t="str">
            <v>HUP-250427-0009</v>
          </cell>
          <cell r="C132" t="str">
            <v>ST-PO-076-01382524644393934</v>
          </cell>
          <cell r="D132" t="str">
            <v>00340434713524007355</v>
          </cell>
        </row>
        <row r="133">
          <cell r="B133" t="str">
            <v>HUP-250427-0014</v>
          </cell>
          <cell r="C133" t="str">
            <v>ST-PO-076-21145806400550824</v>
          </cell>
          <cell r="D133" t="str">
            <v>00340434713524007386</v>
          </cell>
        </row>
        <row r="134">
          <cell r="B134" t="str">
            <v>HUP-250428-0004</v>
          </cell>
          <cell r="C134" t="str">
            <v>ST-PO-076-12898520895270831</v>
          </cell>
          <cell r="D134" t="str">
            <v>00340434713524009472</v>
          </cell>
        </row>
        <row r="135">
          <cell r="B135" t="str">
            <v>HUP-250427-0008</v>
          </cell>
          <cell r="C135" t="str">
            <v>ST-PO-076-01678782858792168</v>
          </cell>
          <cell r="D135" t="str">
            <v>00340434713524007379</v>
          </cell>
        </row>
        <row r="136">
          <cell r="B136" t="str">
            <v>HUP-250427-0013</v>
          </cell>
          <cell r="C136" t="str">
            <v>ST-PO-098-20698815296553712</v>
          </cell>
          <cell r="D136" t="str">
            <v>CD913914386DE</v>
          </cell>
        </row>
        <row r="137">
          <cell r="B137" t="str">
            <v>HUP-250428-0003</v>
          </cell>
          <cell r="C137" t="str">
            <v>ST-PO-076-12719701041191865</v>
          </cell>
          <cell r="D137" t="str">
            <v>00340434713524009441</v>
          </cell>
        </row>
        <row r="138">
          <cell r="B138" t="str">
            <v>HUP-250427-0006</v>
          </cell>
          <cell r="C138" t="str">
            <v>ST-PO-098-01889656095271169</v>
          </cell>
          <cell r="D138" t="str">
            <v>CD913914341DE</v>
          </cell>
        </row>
        <row r="139">
          <cell r="B139" t="str">
            <v>HUP-250427-0017</v>
          </cell>
          <cell r="C139" t="str">
            <v>WEC0622504270037</v>
          </cell>
          <cell r="D139" t="str">
            <v>00340434713524009304</v>
          </cell>
        </row>
        <row r="140">
          <cell r="B140" t="str">
            <v>HUP-250428-0009</v>
          </cell>
          <cell r="C140" t="str">
            <v>WEC0722504280012</v>
          </cell>
          <cell r="D140" t="str">
            <v>00340434713524009984</v>
          </cell>
        </row>
        <row r="141">
          <cell r="B141" t="str">
            <v>HUP-250427-0002</v>
          </cell>
          <cell r="C141" t="str">
            <v>3053168579836285</v>
          </cell>
          <cell r="D141" t="str">
            <v>00340434713524007317</v>
          </cell>
        </row>
        <row r="142">
          <cell r="B142" t="str">
            <v>HUP-250427-0004</v>
          </cell>
          <cell r="C142" t="str">
            <v>3053150411637520</v>
          </cell>
          <cell r="D142" t="str">
            <v>CD913914324DE</v>
          </cell>
        </row>
        <row r="143">
          <cell r="B143" t="str">
            <v>HUP-250427-0001</v>
          </cell>
          <cell r="C143" t="str">
            <v>3053305804747029</v>
          </cell>
          <cell r="D143" t="str">
            <v>CD913914315DE</v>
          </cell>
        </row>
        <row r="144">
          <cell r="B144" t="str">
            <v>HUP-250427-0015</v>
          </cell>
          <cell r="C144" t="str">
            <v>WEC0482504270003</v>
          </cell>
          <cell r="D144" t="str">
            <v>00340434713524007393</v>
          </cell>
        </row>
        <row r="145">
          <cell r="B145" t="str">
            <v>HUP-250428-0005</v>
          </cell>
          <cell r="C145" t="str">
            <v>ST-PO-141-12540089468713222</v>
          </cell>
          <cell r="D145" t="str">
            <v>CD913915259DE</v>
          </cell>
        </row>
        <row r="146">
          <cell r="B146" t="str">
            <v>HUP-250427-0005</v>
          </cell>
          <cell r="C146" t="str">
            <v>WEC0152504270001</v>
          </cell>
          <cell r="D146" t="str">
            <v>00340434713524007324</v>
          </cell>
        </row>
        <row r="147">
          <cell r="B147" t="str">
            <v>WTHUP-1-20250427</v>
          </cell>
        </row>
        <row r="147">
          <cell r="D147" t="str">
            <v/>
          </cell>
        </row>
        <row r="148">
          <cell r="B148" t="str">
            <v>WTHUP-1-20250426</v>
          </cell>
        </row>
        <row r="148">
          <cell r="D148" t="str">
            <v/>
          </cell>
        </row>
        <row r="149">
          <cell r="B149" t="str">
            <v>WTHUP-1-20250425</v>
          </cell>
        </row>
        <row r="149">
          <cell r="D149" t="str">
            <v/>
          </cell>
        </row>
        <row r="150">
          <cell r="B150" t="str">
            <v>HUP-250425-0013</v>
          </cell>
          <cell r="C150" t="str">
            <v>shein-GSO1200670028Q2</v>
          </cell>
          <cell r="D150" t="str">
            <v>00340434713524006396</v>
          </cell>
        </row>
        <row r="151">
          <cell r="B151" t="str">
            <v>HUP-250425-0014</v>
          </cell>
          <cell r="C151" t="str">
            <v>ST-PO-076-20981975378472024</v>
          </cell>
          <cell r="D151" t="str">
            <v>00340434713524006440</v>
          </cell>
        </row>
        <row r="152">
          <cell r="B152" t="str">
            <v>HUP-250425-0002</v>
          </cell>
          <cell r="C152" t="str">
            <v>ST-PO-076-20873285714472704</v>
          </cell>
          <cell r="D152" t="str">
            <v>00340434713524006389</v>
          </cell>
        </row>
        <row r="153">
          <cell r="B153" t="str">
            <v>HUP-250425-0010</v>
          </cell>
          <cell r="C153" t="str">
            <v>3053206181305861</v>
          </cell>
          <cell r="D153" t="str">
            <v>CD913912694DE</v>
          </cell>
        </row>
        <row r="154">
          <cell r="B154" t="str">
            <v>HUP-250425-0008</v>
          </cell>
          <cell r="C154" t="str">
            <v>ST-PO-076-09868947505192729</v>
          </cell>
          <cell r="D154" t="str">
            <v>00340434713524004859</v>
          </cell>
        </row>
        <row r="155">
          <cell r="B155" t="str">
            <v>HUP-250425-0006</v>
          </cell>
          <cell r="C155" t="str">
            <v>ST-PO-076-10007985665831642</v>
          </cell>
          <cell r="D155" t="str">
            <v>00340434713524004866</v>
          </cell>
        </row>
        <row r="156">
          <cell r="B156" t="str">
            <v>HUP-250425-0004</v>
          </cell>
          <cell r="C156" t="str">
            <v>ST-PO-076-09931803445032128</v>
          </cell>
          <cell r="D156" t="str">
            <v>00340434713524004835</v>
          </cell>
        </row>
        <row r="157">
          <cell r="B157" t="str">
            <v>HUP-250425-0011</v>
          </cell>
          <cell r="C157" t="str">
            <v>WEC0972504250009</v>
          </cell>
          <cell r="D157" t="str">
            <v>00340434713524005009</v>
          </cell>
        </row>
        <row r="158">
          <cell r="B158" t="str">
            <v>HUP-250425-0007</v>
          </cell>
          <cell r="C158" t="str">
            <v>ST-PO-098-10046225245991670</v>
          </cell>
          <cell r="D158" t="str">
            <v>CD913912685DE</v>
          </cell>
        </row>
        <row r="159">
          <cell r="B159" t="str">
            <v>HUP-250425-0005</v>
          </cell>
          <cell r="C159" t="str">
            <v>ST-PO-076-09920394451752452</v>
          </cell>
          <cell r="D159" t="str">
            <v>00340434713524004842</v>
          </cell>
        </row>
        <row r="160">
          <cell r="B160" t="str">
            <v>HUP-250425-0003</v>
          </cell>
          <cell r="C160" t="str">
            <v>ST-PO-076-10198371555110541</v>
          </cell>
          <cell r="D160" t="str">
            <v>00340434713524004828</v>
          </cell>
        </row>
        <row r="161">
          <cell r="B161" t="str">
            <v>HUP-250425-0001</v>
          </cell>
          <cell r="C161" t="str">
            <v>ST-PO-076-09814213829673055</v>
          </cell>
          <cell r="D161" t="str">
            <v>00340434713524004781</v>
          </cell>
        </row>
        <row r="162">
          <cell r="B162" t="str">
            <v>HUP-250425-0009</v>
          </cell>
          <cell r="C162" t="str">
            <v>3053025604105186</v>
          </cell>
          <cell r="D162" t="str">
            <v>CD913912703DE</v>
          </cell>
        </row>
        <row r="163">
          <cell r="B163" t="str">
            <v>HUP-250425-0012</v>
          </cell>
          <cell r="C163" t="str">
            <v>WEC0422504250025</v>
          </cell>
          <cell r="D163" t="str">
            <v>00340434713524005856</v>
          </cell>
        </row>
        <row r="164">
          <cell r="B164" t="str">
            <v>WTHUP-1-20250424</v>
          </cell>
        </row>
        <row r="164">
          <cell r="D164" t="str">
            <v/>
          </cell>
        </row>
        <row r="165">
          <cell r="B165" t="str">
            <v>HUP-250424-0004</v>
          </cell>
          <cell r="C165" t="str">
            <v>ST-PO-076-15741019971110273</v>
          </cell>
          <cell r="D165" t="str">
            <v>00340434713524003272</v>
          </cell>
        </row>
        <row r="166">
          <cell r="B166" t="str">
            <v>HUP-250424-0002</v>
          </cell>
          <cell r="C166" t="str">
            <v>ST-PO-163-15625756306471214</v>
          </cell>
          <cell r="D166" t="str">
            <v>CD913911464DE</v>
          </cell>
        </row>
        <row r="167">
          <cell r="B167" t="str">
            <v>HUP-250424-0006</v>
          </cell>
          <cell r="C167" t="str">
            <v>ST-PO-076-15785193106470233</v>
          </cell>
          <cell r="D167" t="str">
            <v>00340434713524003289</v>
          </cell>
        </row>
        <row r="168">
          <cell r="B168" t="str">
            <v>HUP-250424-0005</v>
          </cell>
          <cell r="C168" t="str">
            <v>ST-PO-076-15542081006631712</v>
          </cell>
          <cell r="D168" t="str">
            <v>00340434713524003265</v>
          </cell>
        </row>
        <row r="169">
          <cell r="B169" t="str">
            <v>HUP-250424-0003</v>
          </cell>
          <cell r="C169" t="str">
            <v>ST-PO-076-15504269317671938</v>
          </cell>
          <cell r="D169" t="str">
            <v>00340434713524003258</v>
          </cell>
        </row>
        <row r="170">
          <cell r="B170" t="str">
            <v>HUP-250424-0001</v>
          </cell>
          <cell r="C170" t="str">
            <v>ST-PO-076-15188317240873791</v>
          </cell>
          <cell r="D170" t="str">
            <v>00340434713524003234</v>
          </cell>
        </row>
        <row r="171">
          <cell r="B171" t="str">
            <v>HUP-250424-0007</v>
          </cell>
          <cell r="C171" t="str">
            <v>3053472870033968</v>
          </cell>
          <cell r="D171" t="str">
            <v>CD913912045DE</v>
          </cell>
        </row>
        <row r="172">
          <cell r="B172" t="str">
            <v>HUP-250424-0008</v>
          </cell>
          <cell r="C172" t="str">
            <v>WEC0322504240022</v>
          </cell>
          <cell r="D172" t="str">
            <v>00340434713524004149</v>
          </cell>
        </row>
        <row r="173">
          <cell r="B173" t="str">
            <v>HUP-250423-0008</v>
          </cell>
          <cell r="C173" t="str">
            <v>shein-GSO11E18900N1L9</v>
          </cell>
          <cell r="D173" t="str">
            <v>00340434713524003142</v>
          </cell>
        </row>
        <row r="174">
          <cell r="B174" t="str">
            <v>WTHUP-1-20250423</v>
          </cell>
        </row>
        <row r="174">
          <cell r="D174" t="str">
            <v/>
          </cell>
        </row>
        <row r="175">
          <cell r="B175" t="str">
            <v>HUP-250423-0007</v>
          </cell>
          <cell r="C175" t="str">
            <v>ST-PO-076-15726755965990324</v>
          </cell>
          <cell r="D175" t="str">
            <v>00340434713524002985</v>
          </cell>
        </row>
        <row r="176">
          <cell r="B176" t="str">
            <v>HUP-250421-0001</v>
          </cell>
          <cell r="C176" t="str">
            <v>3052824480873560</v>
          </cell>
          <cell r="D176" t="str">
            <v>00340434713524000844</v>
          </cell>
        </row>
        <row r="177">
          <cell r="B177" t="str">
            <v>HUP-250423-0002</v>
          </cell>
          <cell r="C177" t="str">
            <v>ST-PO-076-04158024036394001</v>
          </cell>
          <cell r="D177" t="str">
            <v>00340434713524001025</v>
          </cell>
        </row>
        <row r="178">
          <cell r="B178" t="str">
            <v>HUP-250423-0001</v>
          </cell>
          <cell r="C178" t="str">
            <v>ST-PO-076-04291833064233203</v>
          </cell>
          <cell r="D178" t="str">
            <v>00340434713524001018</v>
          </cell>
        </row>
        <row r="179">
          <cell r="B179" t="str">
            <v>HUP-250419-0011</v>
          </cell>
          <cell r="C179" t="str">
            <v>8200494704705668</v>
          </cell>
          <cell r="D179" t="str">
            <v>00340434713524000851</v>
          </cell>
        </row>
        <row r="180">
          <cell r="B180" t="str">
            <v>HUP-250423-0005</v>
          </cell>
          <cell r="C180" t="str">
            <v>ST-PO-076-04455392049192258</v>
          </cell>
          <cell r="D180" t="str">
            <v>00340434713524001056</v>
          </cell>
        </row>
        <row r="181">
          <cell r="B181" t="str">
            <v>HUP-250423-0003</v>
          </cell>
          <cell r="C181" t="str">
            <v>ST-PO-076-04576209180711506</v>
          </cell>
          <cell r="D181" t="str">
            <v>00340434713524001032</v>
          </cell>
        </row>
        <row r="182">
          <cell r="B182" t="str">
            <v>HUP-250422-0005</v>
          </cell>
          <cell r="C182" t="str">
            <v>ST-PO-076-16704156981032946</v>
          </cell>
          <cell r="D182" t="str">
            <v>00340434713524000622</v>
          </cell>
        </row>
        <row r="183">
          <cell r="B183" t="str">
            <v>HUP-250423-0004</v>
          </cell>
          <cell r="C183" t="str">
            <v>ST-PO-076-04756290449190467</v>
          </cell>
          <cell r="D183" t="str">
            <v>00340434713524001049</v>
          </cell>
        </row>
        <row r="184">
          <cell r="B184" t="str">
            <v>WTHUP-1-20250422</v>
          </cell>
        </row>
        <row r="184">
          <cell r="D184" t="str">
            <v/>
          </cell>
        </row>
        <row r="185">
          <cell r="B185" t="str">
            <v>HUP-250419-0008</v>
          </cell>
          <cell r="C185" t="str">
            <v>3052981322468269</v>
          </cell>
          <cell r="D185" t="str">
            <v>CD913905027DE</v>
          </cell>
        </row>
        <row r="186">
          <cell r="B186" t="str">
            <v>HUP-250419-0010</v>
          </cell>
          <cell r="C186" t="str">
            <v>3053216149324627</v>
          </cell>
          <cell r="D186" t="str">
            <v>CD913905044DE</v>
          </cell>
        </row>
        <row r="187">
          <cell r="B187" t="str">
            <v>HUP-250421-0002</v>
          </cell>
          <cell r="C187" t="str">
            <v>shein-GSO11V18N00544G</v>
          </cell>
          <cell r="D187" t="str">
            <v>00340434713524996543</v>
          </cell>
        </row>
        <row r="188">
          <cell r="B188" t="str">
            <v>HUP-250421-0010</v>
          </cell>
          <cell r="C188" t="str">
            <v>shein-GSO11V41R00N83K</v>
          </cell>
          <cell r="D188" t="str">
            <v>00340434713524998509</v>
          </cell>
        </row>
        <row r="189">
          <cell r="B189" t="str">
            <v>HUP-250421-0006</v>
          </cell>
          <cell r="C189" t="str">
            <v>shein-GSO11V474000RB5</v>
          </cell>
          <cell r="D189" t="str">
            <v>00340434713524996574</v>
          </cell>
        </row>
        <row r="190">
          <cell r="B190" t="str">
            <v>HUP-250419-0001</v>
          </cell>
          <cell r="C190" t="str">
            <v>shein-GSO11G29F00MY6A</v>
          </cell>
          <cell r="D190" t="str">
            <v>00340434713524995485</v>
          </cell>
        </row>
        <row r="191">
          <cell r="B191" t="str">
            <v>HUP-250421-0009</v>
          </cell>
          <cell r="C191" t="str">
            <v>ST-PO-076-16759672650792393</v>
          </cell>
          <cell r="D191" t="str">
            <v>00340434713524998479</v>
          </cell>
        </row>
        <row r="192">
          <cell r="B192" t="str">
            <v>HUP-250419-0006</v>
          </cell>
          <cell r="C192" t="str">
            <v>3052999397773434</v>
          </cell>
          <cell r="D192" t="str">
            <v>CD913905035DE</v>
          </cell>
        </row>
        <row r="193">
          <cell r="B193" t="str">
            <v>HUP-250422-0008</v>
          </cell>
          <cell r="C193" t="str">
            <v>ST-PO-076-16759602209832393</v>
          </cell>
          <cell r="D193" t="str">
            <v>00340434713524998639</v>
          </cell>
        </row>
        <row r="194">
          <cell r="B194" t="str">
            <v>HUP-250419-0007</v>
          </cell>
          <cell r="C194" t="str">
            <v>3052818495431831</v>
          </cell>
          <cell r="D194" t="str">
            <v>00340434713524995935</v>
          </cell>
        </row>
        <row r="195">
          <cell r="B195" t="str">
            <v>HUP-250422-0002</v>
          </cell>
          <cell r="C195" t="str">
            <v>3053369421709248</v>
          </cell>
          <cell r="D195" t="str">
            <v>CD913908301DE</v>
          </cell>
        </row>
        <row r="196">
          <cell r="B196" t="str">
            <v>HUP-250422-0001</v>
          </cell>
          <cell r="C196" t="str">
            <v>3053411351321930</v>
          </cell>
          <cell r="D196" t="str">
            <v>CD913908315DE</v>
          </cell>
        </row>
        <row r="197">
          <cell r="B197" t="str">
            <v>HUP-250418-0001</v>
          </cell>
          <cell r="C197" t="str">
            <v>3052885547420278</v>
          </cell>
          <cell r="D197" t="str">
            <v>CD913903750DE</v>
          </cell>
        </row>
        <row r="198">
          <cell r="B198" t="str">
            <v>HUP-250419-0009</v>
          </cell>
          <cell r="C198" t="str">
            <v>3052930509666772</v>
          </cell>
          <cell r="D198" t="str">
            <v>00340434713524995942</v>
          </cell>
        </row>
        <row r="199">
          <cell r="B199" t="str">
            <v>HUP-250421-0005</v>
          </cell>
          <cell r="C199" t="str">
            <v>ST-PO-076-06041216351270966</v>
          </cell>
          <cell r="D199" t="str">
            <v>00340434713524996567</v>
          </cell>
        </row>
        <row r="200">
          <cell r="B200" t="str">
            <v>HUP-250421-0008</v>
          </cell>
          <cell r="C200" t="str">
            <v>WEC0892504210045</v>
          </cell>
          <cell r="D200" t="str">
            <v>00340434713524997144</v>
          </cell>
        </row>
        <row r="201">
          <cell r="B201" t="str">
            <v>HUP-250420-0005</v>
          </cell>
          <cell r="C201" t="str">
            <v>3052894575797033</v>
          </cell>
          <cell r="D201" t="str">
            <v>CD913905322DE</v>
          </cell>
        </row>
        <row r="202">
          <cell r="B202" t="str">
            <v>HUP-250420-0004</v>
          </cell>
          <cell r="C202" t="str">
            <v>ST-PO-076-11308043786792087</v>
          </cell>
          <cell r="D202" t="str">
            <v>00340434713524996000</v>
          </cell>
        </row>
        <row r="203">
          <cell r="B203" t="str">
            <v>HUP-250420-0003</v>
          </cell>
          <cell r="C203" t="str">
            <v>ST-PO-076-11354897587751806</v>
          </cell>
          <cell r="D203" t="str">
            <v>00340434713524995997</v>
          </cell>
        </row>
        <row r="204">
          <cell r="B204" t="str">
            <v>HUP-250421-0007</v>
          </cell>
          <cell r="C204" t="str">
            <v>WEC0762504210044</v>
          </cell>
          <cell r="D204" t="str">
            <v>00340434713524997151</v>
          </cell>
        </row>
        <row r="205">
          <cell r="B205" t="str">
            <v>HUP-250419-0013</v>
          </cell>
          <cell r="C205" t="str">
            <v>ST-PO-076-11588139267110672</v>
          </cell>
          <cell r="D205" t="str">
            <v>00340434713524995966</v>
          </cell>
        </row>
        <row r="206">
          <cell r="B206" t="str">
            <v>HUP-250422-0004</v>
          </cell>
          <cell r="C206" t="str">
            <v>ST-PO-076-16780811895592523</v>
          </cell>
          <cell r="D206" t="str">
            <v>00340434713524998523</v>
          </cell>
        </row>
        <row r="207">
          <cell r="B207" t="str">
            <v>HUP-250419-0005</v>
          </cell>
          <cell r="C207" t="str">
            <v>ST-PO-069-00522234322470838</v>
          </cell>
          <cell r="D207" t="str">
            <v>CD913904962DE</v>
          </cell>
        </row>
        <row r="208">
          <cell r="B208" t="str">
            <v>HUP-250421-0004</v>
          </cell>
          <cell r="C208" t="str">
            <v>ST-PO-076-05831995438632215</v>
          </cell>
          <cell r="D208" t="str">
            <v>00340434713524996550</v>
          </cell>
        </row>
        <row r="209">
          <cell r="B209" t="str">
            <v>HUP-250422-0010</v>
          </cell>
          <cell r="C209" t="str">
            <v>ST-PO-186-16925433971751405</v>
          </cell>
          <cell r="D209" t="str">
            <v>CD913908363DE</v>
          </cell>
        </row>
        <row r="210">
          <cell r="B210" t="str">
            <v>HUP-250419-0003</v>
          </cell>
          <cell r="C210" t="str">
            <v>ST-PO-076-00436719189031349</v>
          </cell>
          <cell r="D210" t="str">
            <v>00340434713524995522</v>
          </cell>
        </row>
        <row r="211">
          <cell r="B211" t="str">
            <v>HUP-250420-0002</v>
          </cell>
          <cell r="C211" t="str">
            <v>ST-PO-068-11003264251433934</v>
          </cell>
          <cell r="D211" t="str">
            <v>CD913905129DE</v>
          </cell>
        </row>
        <row r="212">
          <cell r="B212" t="str">
            <v>HUP-250422-0007</v>
          </cell>
          <cell r="C212" t="str">
            <v>ST-PO-069-16854352412711797</v>
          </cell>
          <cell r="D212" t="str">
            <v>CD913908350DE</v>
          </cell>
        </row>
        <row r="213">
          <cell r="B213" t="str">
            <v>HUP-250419-0012</v>
          </cell>
          <cell r="C213" t="str">
            <v>ST-PO-076-11668063910950197</v>
          </cell>
          <cell r="D213" t="str">
            <v>00340434713524995959</v>
          </cell>
        </row>
        <row r="214">
          <cell r="B214" t="str">
            <v>HUP-250422-0003</v>
          </cell>
          <cell r="C214" t="str">
            <v>ST-PO-076-16812139337512078</v>
          </cell>
          <cell r="D214" t="str">
            <v>00340434713524998530</v>
          </cell>
        </row>
        <row r="215">
          <cell r="B215" t="str">
            <v>HUP-250422-0011</v>
          </cell>
          <cell r="C215" t="str">
            <v>ST-PO-076-04639997791270870</v>
          </cell>
          <cell r="D215" t="str">
            <v>00340434713524999056</v>
          </cell>
        </row>
        <row r="216">
          <cell r="B216" t="str">
            <v>HUP-250419-0004</v>
          </cell>
          <cell r="C216" t="str">
            <v>ST-PO-076-00449528422951305</v>
          </cell>
          <cell r="D216" t="str">
            <v>00340434713524995539</v>
          </cell>
        </row>
        <row r="217">
          <cell r="B217" t="str">
            <v>HUP-250421-0003</v>
          </cell>
          <cell r="C217" t="str">
            <v>ST-PO-163-05619203635753515</v>
          </cell>
          <cell r="D217" t="str">
            <v>CD913905509DE</v>
          </cell>
        </row>
        <row r="218">
          <cell r="B218" t="str">
            <v>HUP-250422-0009</v>
          </cell>
          <cell r="C218" t="str">
            <v>ST-PO-098-16835094437672198</v>
          </cell>
          <cell r="D218" t="str">
            <v>CD913908385DE</v>
          </cell>
        </row>
        <row r="219">
          <cell r="B219" t="str">
            <v>HUP-250419-0002</v>
          </cell>
          <cell r="C219" t="str">
            <v>ST-PO-098-00448098468391280</v>
          </cell>
          <cell r="D219" t="str">
            <v>CD913904959DE</v>
          </cell>
        </row>
        <row r="220">
          <cell r="B220" t="str">
            <v>HUP-250420-0001</v>
          </cell>
          <cell r="C220" t="str">
            <v>ST-PO-076-11416744975911727</v>
          </cell>
          <cell r="D220" t="str">
            <v>00340434713524995980</v>
          </cell>
        </row>
        <row r="221">
          <cell r="B221" t="str">
            <v>HUP-250422-0006</v>
          </cell>
          <cell r="C221" t="str">
            <v>ST-PO-076-16886287639591604</v>
          </cell>
          <cell r="D221" t="str">
            <v>00340434713524998547</v>
          </cell>
        </row>
        <row r="222">
          <cell r="B222" t="str">
            <v>FD-HUP-250410-0001</v>
          </cell>
          <cell r="C222" t="str">
            <v>FBA15K6ZKN1H</v>
          </cell>
          <cell r="D222" t="str">
            <v/>
          </cell>
        </row>
        <row r="223">
          <cell r="B223" t="str">
            <v>FD-HUP-250410-0002</v>
          </cell>
          <cell r="C223" t="str">
            <v>FBA15K6ZKN1H-1</v>
          </cell>
          <cell r="D223" t="str">
            <v/>
          </cell>
        </row>
        <row r="224">
          <cell r="B224" t="str">
            <v>FD-HUP-250410-0003</v>
          </cell>
          <cell r="C224" t="str">
            <v>FBA15K6ZKN1H-2</v>
          </cell>
          <cell r="D224" t="str">
            <v/>
          </cell>
        </row>
        <row r="225">
          <cell r="B225" t="str">
            <v>FD-HUP-250410-0004</v>
          </cell>
          <cell r="C225" t="str">
            <v>FBA15K6ZKN1H-3</v>
          </cell>
          <cell r="D225" t="str">
            <v/>
          </cell>
        </row>
        <row r="226">
          <cell r="B226" t="str">
            <v>WTHUP-1-20250421</v>
          </cell>
        </row>
        <row r="226">
          <cell r="D226" t="str">
            <v/>
          </cell>
        </row>
        <row r="227">
          <cell r="B227" t="str">
            <v>WTHUP-1-20250420</v>
          </cell>
        </row>
        <row r="227">
          <cell r="D227" t="str">
            <v/>
          </cell>
        </row>
        <row r="228">
          <cell r="B228" t="str">
            <v>WTHUP-1-20250419</v>
          </cell>
        </row>
        <row r="228">
          <cell r="D228" t="str">
            <v/>
          </cell>
        </row>
        <row r="229">
          <cell r="B229" t="str">
            <v>WTHUP-1-20250418</v>
          </cell>
        </row>
        <row r="229">
          <cell r="D229" t="str">
            <v/>
          </cell>
        </row>
        <row r="230">
          <cell r="B230" t="str">
            <v>WTHUP-1-20250417</v>
          </cell>
        </row>
        <row r="230">
          <cell r="D230" t="str">
            <v/>
          </cell>
        </row>
        <row r="231">
          <cell r="B231" t="str">
            <v>HUP-250417-0004</v>
          </cell>
          <cell r="C231" t="str">
            <v>3052890364472710</v>
          </cell>
          <cell r="D231" t="str">
            <v>00340434713524994341</v>
          </cell>
        </row>
        <row r="232">
          <cell r="B232" t="str">
            <v>HUP-250417-0002</v>
          </cell>
          <cell r="C232" t="str">
            <v>3052639842228271</v>
          </cell>
          <cell r="D232" t="str">
            <v>CD913902604DE</v>
          </cell>
        </row>
        <row r="233">
          <cell r="B233" t="str">
            <v>HUP-250417-0001</v>
          </cell>
          <cell r="C233" t="str">
            <v>ST-PO-076-08671088566311677</v>
          </cell>
          <cell r="D233" t="str">
            <v>00340434713524993474</v>
          </cell>
        </row>
        <row r="234">
          <cell r="B234" t="str">
            <v>HUP-250417-0003</v>
          </cell>
          <cell r="C234" t="str">
            <v>3052720019952912</v>
          </cell>
          <cell r="D234" t="str">
            <v>CD913902595DE</v>
          </cell>
        </row>
        <row r="235">
          <cell r="B235" t="str">
            <v>WTHUP-1-20250416</v>
          </cell>
        </row>
        <row r="235">
          <cell r="D235" t="str">
            <v/>
          </cell>
        </row>
        <row r="236">
          <cell r="B236" t="str">
            <v>HUP-250416-0003</v>
          </cell>
          <cell r="C236" t="str">
            <v>3052574640204420</v>
          </cell>
          <cell r="D236" t="str">
            <v>CD913900807DE</v>
          </cell>
        </row>
        <row r="237">
          <cell r="B237" t="str">
            <v>HUP-250416-0002</v>
          </cell>
          <cell r="C237" t="str">
            <v>ST-PO-076-13918096353832912</v>
          </cell>
          <cell r="D237" t="str">
            <v>00340434713524992125</v>
          </cell>
        </row>
        <row r="238">
          <cell r="B238" t="str">
            <v>HUP-250416-0001</v>
          </cell>
          <cell r="C238" t="str">
            <v>shein-GSO11K3220024ND</v>
          </cell>
          <cell r="D238" t="str">
            <v>00340434713524992118</v>
          </cell>
        </row>
        <row r="239">
          <cell r="B239" t="str">
            <v>HUP-250416-0004</v>
          </cell>
          <cell r="C239" t="str">
            <v>ST-PO-076-13832490158633454</v>
          </cell>
          <cell r="D239" t="str">
            <v>00340434713524992132</v>
          </cell>
        </row>
        <row r="240">
          <cell r="B240" t="str">
            <v>HUP-250416-0005</v>
          </cell>
          <cell r="C240" t="str">
            <v>3052857320103761</v>
          </cell>
          <cell r="D240" t="str">
            <v>CD913902065DE</v>
          </cell>
        </row>
        <row r="241">
          <cell r="B241" t="str">
            <v>HUP-250416-0006</v>
          </cell>
          <cell r="C241" t="str">
            <v>3053096860843162</v>
          </cell>
          <cell r="D241" t="str">
            <v>CD913902079DE</v>
          </cell>
        </row>
        <row r="242">
          <cell r="B242" t="str">
            <v>WTHUP-1-20250415</v>
          </cell>
        </row>
        <row r="242">
          <cell r="D242" t="str">
            <v/>
          </cell>
        </row>
        <row r="243">
          <cell r="B243" t="str">
            <v>HUP-250415-0003</v>
          </cell>
          <cell r="C243" t="str">
            <v>3052603774518336</v>
          </cell>
          <cell r="D243" t="str">
            <v>CD913900775DE</v>
          </cell>
        </row>
        <row r="244">
          <cell r="B244" t="str">
            <v>HUP-250415-0006</v>
          </cell>
          <cell r="C244" t="str">
            <v>3052711327798601</v>
          </cell>
          <cell r="D244" t="str">
            <v>00340434713524992071</v>
          </cell>
        </row>
        <row r="245">
          <cell r="B245" t="str">
            <v>HUP-250415-0010</v>
          </cell>
          <cell r="C245" t="str">
            <v>3052722134987782</v>
          </cell>
          <cell r="D245" t="str">
            <v>CD913900767DE</v>
          </cell>
        </row>
        <row r="246">
          <cell r="B246" t="str">
            <v>HUP-250415-0007</v>
          </cell>
          <cell r="C246" t="str">
            <v>3052927021145769</v>
          </cell>
          <cell r="D246" t="str">
            <v>CD913900784DE</v>
          </cell>
        </row>
        <row r="247">
          <cell r="B247" t="str">
            <v>HUP-250415-0005</v>
          </cell>
          <cell r="C247" t="str">
            <v>3052485768247121</v>
          </cell>
          <cell r="D247" t="str">
            <v>00340434713524992095</v>
          </cell>
        </row>
        <row r="248">
          <cell r="B248" t="str">
            <v>HUP-250415-0009</v>
          </cell>
          <cell r="C248" t="str">
            <v>3052664129696742</v>
          </cell>
          <cell r="D248" t="str">
            <v>00340434713524992101</v>
          </cell>
        </row>
        <row r="249">
          <cell r="B249" t="str">
            <v>HUP-250415-0008</v>
          </cell>
          <cell r="C249" t="str">
            <v>3052923184358312</v>
          </cell>
          <cell r="D249" t="str">
            <v>CD913900798DE</v>
          </cell>
        </row>
        <row r="250">
          <cell r="B250" t="str">
            <v>HUP-250415-0004</v>
          </cell>
          <cell r="C250" t="str">
            <v>3052601212164383</v>
          </cell>
          <cell r="D250" t="str">
            <v>00340434713524992088</v>
          </cell>
        </row>
        <row r="251">
          <cell r="B251" t="str">
            <v>HUP-250415-0002</v>
          </cell>
          <cell r="C251" t="str">
            <v>shein-GSO11F06Y00MBLA</v>
          </cell>
          <cell r="D251" t="str">
            <v>00340434713524991746</v>
          </cell>
        </row>
        <row r="252">
          <cell r="B252" t="str">
            <v>HUP-250415-0001</v>
          </cell>
          <cell r="C252" t="str">
            <v>shein-GSO11F40200QF6N</v>
          </cell>
          <cell r="D252" t="str">
            <v>00340434713524991050</v>
          </cell>
        </row>
        <row r="253">
          <cell r="B253" t="str">
            <v>HUP-250414-0004</v>
          </cell>
          <cell r="C253" t="str">
            <v>shein-GSO11B328000UJ8</v>
          </cell>
          <cell r="D253" t="str">
            <v>00340434713524990909</v>
          </cell>
        </row>
        <row r="254">
          <cell r="B254" t="str">
            <v>HUP-250414-0002</v>
          </cell>
          <cell r="C254" t="str">
            <v>WEC0112504140079</v>
          </cell>
          <cell r="D254" t="str">
            <v>00340434713524990046</v>
          </cell>
        </row>
        <row r="255">
          <cell r="B255" t="str">
            <v>HUP-250414-0003</v>
          </cell>
          <cell r="C255" t="str">
            <v>WEC0592504140082</v>
          </cell>
          <cell r="D255" t="str">
            <v>00340434713524990053</v>
          </cell>
        </row>
        <row r="256">
          <cell r="B256" t="str">
            <v>WTHUP-1-20250414</v>
          </cell>
        </row>
        <row r="256">
          <cell r="D256" t="str">
            <v/>
          </cell>
        </row>
        <row r="257">
          <cell r="B257" t="str">
            <v>HUP-250412-0001</v>
          </cell>
          <cell r="C257" t="str">
            <v>3052383207167980</v>
          </cell>
          <cell r="D257" t="str">
            <v>CD913893195DE</v>
          </cell>
        </row>
        <row r="258">
          <cell r="B258" t="str">
            <v>HUP-250413-0002</v>
          </cell>
          <cell r="C258" t="str">
            <v>shein-GSO11A17W000S7M</v>
          </cell>
          <cell r="D258" t="str">
            <v>00340434713524988548</v>
          </cell>
        </row>
        <row r="259">
          <cell r="B259" t="str">
            <v>HUP-250413-0001</v>
          </cell>
          <cell r="C259" t="str">
            <v>ST-PO-076-08061977062953291</v>
          </cell>
          <cell r="D259" t="str">
            <v>00340434713524988531</v>
          </cell>
        </row>
        <row r="260">
          <cell r="B260" t="str">
            <v>HUP-250412-0002</v>
          </cell>
          <cell r="C260" t="str">
            <v>3052629647336892</v>
          </cell>
          <cell r="D260" t="str">
            <v>00340434713524988203</v>
          </cell>
        </row>
        <row r="261">
          <cell r="B261" t="str">
            <v>WTHUP-1-20250413</v>
          </cell>
        </row>
        <row r="261">
          <cell r="D261" t="str">
            <v/>
          </cell>
        </row>
        <row r="262">
          <cell r="B262" t="str">
            <v>WTHUP-1-20250412</v>
          </cell>
        </row>
        <row r="262">
          <cell r="D262" t="str">
            <v/>
          </cell>
        </row>
        <row r="263">
          <cell r="B263" t="str">
            <v>WTHUP-1-20250411</v>
          </cell>
        </row>
        <row r="263">
          <cell r="D263" t="str">
            <v/>
          </cell>
        </row>
        <row r="264">
          <cell r="B264" t="str">
            <v>HUP-250411-0005</v>
          </cell>
          <cell r="C264" t="str">
            <v>shein-GSO11S319000SBM</v>
          </cell>
          <cell r="D264" t="str">
            <v>00340434713524988173</v>
          </cell>
        </row>
        <row r="265">
          <cell r="B265" t="str">
            <v>HUP-250411-0004</v>
          </cell>
          <cell r="C265" t="str">
            <v>3052851342460947</v>
          </cell>
          <cell r="D265" t="str">
            <v>00340434713524987978</v>
          </cell>
        </row>
        <row r="266">
          <cell r="B266" t="str">
            <v>HUP-250411-0003</v>
          </cell>
          <cell r="C266" t="str">
            <v>WEC0692504110001</v>
          </cell>
          <cell r="D266" t="str">
            <v>00340434713524987855</v>
          </cell>
        </row>
        <row r="267">
          <cell r="B267" t="str">
            <v>HUP-250411-0001</v>
          </cell>
          <cell r="C267" t="str">
            <v>3052330646263368</v>
          </cell>
          <cell r="D267" t="str">
            <v>CD913891742DE</v>
          </cell>
        </row>
        <row r="268">
          <cell r="B268" t="str">
            <v>HUP-250411-0002</v>
          </cell>
          <cell r="C268" t="str">
            <v>ST-PO-186-02605702129193013</v>
          </cell>
          <cell r="D268" t="str">
            <v>CD913891756DE</v>
          </cell>
        </row>
        <row r="269">
          <cell r="B269" t="str">
            <v>WTHUP-1-20250410</v>
          </cell>
        </row>
        <row r="269">
          <cell r="D269" t="str">
            <v/>
          </cell>
        </row>
        <row r="270">
          <cell r="B270" t="str">
            <v>HUP-250410-0004</v>
          </cell>
          <cell r="C270" t="str">
            <v>3052477222675421</v>
          </cell>
          <cell r="D270" t="str">
            <v>00340434713524986957</v>
          </cell>
        </row>
        <row r="271">
          <cell r="B271" t="str">
            <v>HUP-250410-0003</v>
          </cell>
          <cell r="C271" t="str">
            <v>3052373379694560</v>
          </cell>
          <cell r="D271" t="str">
            <v>CD913889925DE</v>
          </cell>
        </row>
        <row r="272">
          <cell r="B272" t="str">
            <v>HUP-250409-0005</v>
          </cell>
          <cell r="C272" t="str">
            <v>shein-GSO11841900N7Y3</v>
          </cell>
          <cell r="D272" t="str">
            <v>00340434713524986087</v>
          </cell>
        </row>
        <row r="273">
          <cell r="B273" t="str">
            <v>HUP-250410-0002</v>
          </cell>
          <cell r="C273" t="str">
            <v>shein-GSO11808B002QH3</v>
          </cell>
          <cell r="D273" t="str">
            <v>00340434713524986100</v>
          </cell>
        </row>
        <row r="274">
          <cell r="B274" t="str">
            <v>HUP-250410-0001</v>
          </cell>
          <cell r="C274" t="str">
            <v>shein-GSO11R36W00ME9G</v>
          </cell>
          <cell r="D274" t="str">
            <v>00340434713524986094</v>
          </cell>
        </row>
        <row r="275">
          <cell r="B275" t="str">
            <v>WTHUP-1-20250409</v>
          </cell>
        </row>
        <row r="275">
          <cell r="D275" t="str">
            <v/>
          </cell>
        </row>
        <row r="276">
          <cell r="B276" t="str">
            <v>HUP-250409-0003</v>
          </cell>
          <cell r="C276" t="str">
            <v>WEC0272504090050</v>
          </cell>
          <cell r="D276" t="str">
            <v>00340434713524985943</v>
          </cell>
        </row>
        <row r="277">
          <cell r="B277" t="str">
            <v>HUP-250409-0004</v>
          </cell>
          <cell r="C277" t="str">
            <v>3052518048569179</v>
          </cell>
          <cell r="D277" t="str">
            <v>CD913889390DE</v>
          </cell>
        </row>
        <row r="278">
          <cell r="B278" t="str">
            <v>HUP-250409-0001</v>
          </cell>
          <cell r="C278" t="str">
            <v>WEC0902504090018</v>
          </cell>
          <cell r="D278" t="str">
            <v>00340434713524985127</v>
          </cell>
        </row>
        <row r="279">
          <cell r="B279" t="str">
            <v>HUP-250409-0002</v>
          </cell>
          <cell r="C279" t="str">
            <v>3052734956983119</v>
          </cell>
          <cell r="D279" t="str">
            <v>CD913886328DE</v>
          </cell>
        </row>
        <row r="280">
          <cell r="B280" t="str">
            <v>WTHUP-1-20250408</v>
          </cell>
        </row>
        <row r="280">
          <cell r="D280" t="str">
            <v/>
          </cell>
        </row>
        <row r="281">
          <cell r="B281" t="str">
            <v>HUP-250408-0002</v>
          </cell>
          <cell r="C281" t="str">
            <v>3052185289025769</v>
          </cell>
          <cell r="D281" t="str">
            <v>CD913884070DE</v>
          </cell>
        </row>
        <row r="282">
          <cell r="B282" t="str">
            <v>HUP-250408-0003</v>
          </cell>
          <cell r="C282" t="str">
            <v>3052506296715144</v>
          </cell>
          <cell r="D282" t="str">
            <v>CD913884083DE</v>
          </cell>
        </row>
        <row r="283">
          <cell r="B283" t="str">
            <v>HUP-250407-0013</v>
          </cell>
          <cell r="C283" t="str">
            <v>3052688638561042</v>
          </cell>
          <cell r="D283" t="str">
            <v>CD913883091DE</v>
          </cell>
        </row>
        <row r="284">
          <cell r="B284" t="str">
            <v>HUP-250408-0005</v>
          </cell>
          <cell r="C284" t="str">
            <v>3052671100671975</v>
          </cell>
          <cell r="D284" t="str">
            <v>00340434713524984915</v>
          </cell>
        </row>
        <row r="285">
          <cell r="B285" t="str">
            <v>HUP-250408-0004</v>
          </cell>
          <cell r="C285" t="str">
            <v>WEC0262504080004</v>
          </cell>
          <cell r="D285" t="str">
            <v>00340434713524984908</v>
          </cell>
        </row>
        <row r="286">
          <cell r="B286" t="str">
            <v>HUP-250407-0001</v>
          </cell>
          <cell r="C286" t="str">
            <v>3052650862849237</v>
          </cell>
          <cell r="D286" t="str">
            <v>00340434713524983581</v>
          </cell>
        </row>
        <row r="287">
          <cell r="B287" t="str">
            <v>HUP-250407-0009</v>
          </cell>
          <cell r="C287" t="str">
            <v>WEC0922504070001</v>
          </cell>
          <cell r="D287" t="str">
            <v>00340434713524982959</v>
          </cell>
        </row>
        <row r="288">
          <cell r="B288" t="str">
            <v>HUP-250407-0014</v>
          </cell>
          <cell r="C288" t="str">
            <v>3052432515503072</v>
          </cell>
          <cell r="D288" t="str">
            <v>00340434713524983802</v>
          </cell>
        </row>
        <row r="289">
          <cell r="B289" t="str">
            <v>HUP-250407-0006</v>
          </cell>
          <cell r="C289" t="str">
            <v>WEC0542504070003</v>
          </cell>
          <cell r="D289" t="str">
            <v>00340434713524983567</v>
          </cell>
        </row>
        <row r="290">
          <cell r="B290" t="str">
            <v>HUP-250407-0010</v>
          </cell>
          <cell r="C290" t="str">
            <v>WEC0612504070047</v>
          </cell>
          <cell r="D290" t="str">
            <v>00340434713524982966</v>
          </cell>
        </row>
        <row r="291">
          <cell r="B291" t="str">
            <v>HUP-250406-0001</v>
          </cell>
          <cell r="C291" t="str">
            <v>3052400691742645</v>
          </cell>
          <cell r="D291" t="str">
            <v>00340434713524983642</v>
          </cell>
        </row>
        <row r="292">
          <cell r="B292" t="str">
            <v>HUP-250407-0003</v>
          </cell>
          <cell r="C292" t="str">
            <v>3052452530792841</v>
          </cell>
          <cell r="D292" t="str">
            <v>00340434713524983574</v>
          </cell>
        </row>
        <row r="293">
          <cell r="B293" t="str">
            <v>HUP-250406-0005</v>
          </cell>
          <cell r="C293" t="str">
            <v>3052312850430538</v>
          </cell>
          <cell r="D293" t="str">
            <v>00340434713524983628</v>
          </cell>
        </row>
        <row r="294">
          <cell r="B294" t="str">
            <v>HUP-250406-0004</v>
          </cell>
          <cell r="C294" t="str">
            <v>3051999688715613</v>
          </cell>
          <cell r="D294" t="str">
            <v>00340434713524983635</v>
          </cell>
        </row>
        <row r="295">
          <cell r="B295" t="str">
            <v>HUP-250407-0004</v>
          </cell>
          <cell r="C295" t="str">
            <v>3052645915664776</v>
          </cell>
          <cell r="D295" t="str">
            <v>00340434713524983550</v>
          </cell>
        </row>
        <row r="296">
          <cell r="B296" t="str">
            <v>HUP-250408-0001</v>
          </cell>
          <cell r="C296" t="str">
            <v>shein-GSO117251005S7C</v>
          </cell>
          <cell r="D296" t="str">
            <v>00340434713524983956</v>
          </cell>
        </row>
        <row r="297">
          <cell r="B297" t="str">
            <v>HUP-250407-0011</v>
          </cell>
          <cell r="C297" t="str">
            <v>WEC0612504070049</v>
          </cell>
          <cell r="D297" t="str">
            <v>00340434713524982881</v>
          </cell>
        </row>
        <row r="298">
          <cell r="B298" t="str">
            <v>WTHUP-1-20250407</v>
          </cell>
        </row>
        <row r="298">
          <cell r="D298" t="str">
            <v/>
          </cell>
        </row>
        <row r="299">
          <cell r="B299" t="str">
            <v>HUP-250407-0007</v>
          </cell>
          <cell r="C299" t="str">
            <v>shein-GSO11Y640004GTP</v>
          </cell>
          <cell r="D299" t="str">
            <v>01415067868117</v>
          </cell>
        </row>
        <row r="300">
          <cell r="B300" t="str">
            <v>HUP-250406-0006</v>
          </cell>
          <cell r="C300" t="str">
            <v>3052078818664962</v>
          </cell>
          <cell r="D300" t="str">
            <v>CD913878777DE</v>
          </cell>
        </row>
        <row r="301">
          <cell r="B301" t="str">
            <v>HUP-250407-0002</v>
          </cell>
          <cell r="C301" t="str">
            <v>3052228813489855</v>
          </cell>
          <cell r="D301" t="str">
            <v>CD913879980DE</v>
          </cell>
        </row>
        <row r="302">
          <cell r="B302" t="str">
            <v>HUP-250406-0007</v>
          </cell>
          <cell r="C302" t="str">
            <v>3052062658729926</v>
          </cell>
          <cell r="D302" t="str">
            <v>00340434713524980887</v>
          </cell>
        </row>
        <row r="303">
          <cell r="B303" t="str">
            <v>HUP-250405-0001</v>
          </cell>
          <cell r="C303" t="str">
            <v>shein-GSO11646X00N054</v>
          </cell>
          <cell r="D303" t="str">
            <v>00340434713524980191</v>
          </cell>
        </row>
        <row r="304">
          <cell r="B304" t="str">
            <v>HUP-250406-0003</v>
          </cell>
          <cell r="C304" t="str">
            <v>3052318590900521</v>
          </cell>
          <cell r="D304" t="str">
            <v>CD913878794DE</v>
          </cell>
        </row>
        <row r="305">
          <cell r="B305" t="str">
            <v>HUP-250405-0003</v>
          </cell>
          <cell r="C305" t="str">
            <v>shein-GSO11527B00NUWB</v>
          </cell>
          <cell r="D305" t="str">
            <v>00340434713524980177</v>
          </cell>
        </row>
        <row r="306">
          <cell r="B306" t="str">
            <v>HUP-250406-0002</v>
          </cell>
          <cell r="C306" t="str">
            <v>3052558223430307</v>
          </cell>
          <cell r="D306" t="str">
            <v>CD913878785DE</v>
          </cell>
        </row>
        <row r="307">
          <cell r="B307" t="str">
            <v>HUP-250406-0008</v>
          </cell>
          <cell r="C307" t="str">
            <v>shein-GSO11641S000SUB</v>
          </cell>
          <cell r="D307" t="str">
            <v>00340434713524981204</v>
          </cell>
        </row>
        <row r="308">
          <cell r="B308" t="str">
            <v>HUP-250407-0008</v>
          </cell>
          <cell r="C308" t="str">
            <v>shein-GSO11X11B002QJ2</v>
          </cell>
          <cell r="D308" t="str">
            <v>00340434713524981358</v>
          </cell>
        </row>
        <row r="309">
          <cell r="B309" t="str">
            <v>HUP-250407-0005</v>
          </cell>
          <cell r="C309" t="str">
            <v>3052612146987430</v>
          </cell>
          <cell r="D309" t="str">
            <v>CD913880020DE</v>
          </cell>
        </row>
        <row r="310">
          <cell r="B310" t="str">
            <v>HUP-250405-0004</v>
          </cell>
          <cell r="C310" t="str">
            <v>ST-PO-076-17705677261352896</v>
          </cell>
          <cell r="D310" t="str">
            <v>00340434713524980726</v>
          </cell>
        </row>
        <row r="311">
          <cell r="B311" t="str">
            <v>HUP-250405-0002</v>
          </cell>
          <cell r="C311" t="str">
            <v>shein-GSO116293001A65</v>
          </cell>
          <cell r="D311" t="str">
            <v>00340434713524980184</v>
          </cell>
        </row>
        <row r="312">
          <cell r="B312" t="str">
            <v>WTHUP-1-20250406</v>
          </cell>
        </row>
        <row r="312">
          <cell r="D312" t="str">
            <v/>
          </cell>
        </row>
        <row r="313">
          <cell r="B313" t="str">
            <v>WTHUP-1-20250405</v>
          </cell>
        </row>
        <row r="313">
          <cell r="D313" t="str">
            <v/>
          </cell>
        </row>
        <row r="314">
          <cell r="B314" t="str">
            <v>WTHUP-1-20250404</v>
          </cell>
        </row>
        <row r="314">
          <cell r="D314" t="str">
            <v/>
          </cell>
        </row>
        <row r="315">
          <cell r="B315" t="str">
            <v>WTHUP-1-20250403</v>
          </cell>
        </row>
        <row r="315">
          <cell r="D315" t="str">
            <v/>
          </cell>
        </row>
        <row r="316">
          <cell r="B316" t="str">
            <v>HUP-250403-0003</v>
          </cell>
          <cell r="C316" t="str">
            <v>3052198993876184</v>
          </cell>
          <cell r="D316" t="str">
            <v>00340434713524978952</v>
          </cell>
        </row>
        <row r="317">
          <cell r="B317" t="str">
            <v>HUP-250403-0004</v>
          </cell>
          <cell r="C317" t="str">
            <v>3052026412476647</v>
          </cell>
          <cell r="D317" t="str">
            <v>00340434713524978969</v>
          </cell>
        </row>
        <row r="318">
          <cell r="B318" t="str">
            <v>HUP-250403-0001</v>
          </cell>
          <cell r="C318" t="str">
            <v>shein-GSO11T04N00N4LD</v>
          </cell>
          <cell r="D318" t="str">
            <v>00340434713524978105</v>
          </cell>
        </row>
        <row r="319">
          <cell r="B319" t="str">
            <v>HUP-250403-0005</v>
          </cell>
          <cell r="C319" t="str">
            <v>3052176358565423</v>
          </cell>
          <cell r="D319" t="str">
            <v>CD913874727DE</v>
          </cell>
        </row>
        <row r="320">
          <cell r="B320" t="str">
            <v>HUP-250403-0002</v>
          </cell>
          <cell r="C320" t="str">
            <v>ST-PO-076-01319214720552521</v>
          </cell>
          <cell r="D320" t="str">
            <v>00340434713524978112</v>
          </cell>
        </row>
        <row r="321">
          <cell r="B321" t="str">
            <v>WTHUP-1-20250402</v>
          </cell>
        </row>
        <row r="321">
          <cell r="D321" t="str">
            <v/>
          </cell>
        </row>
        <row r="322">
          <cell r="B322" t="str">
            <v>HUP-250402-0003</v>
          </cell>
          <cell r="C322" t="str">
            <v>shein-GSO11Q5960004BB</v>
          </cell>
          <cell r="D322" t="str">
            <v>00340434713524978013</v>
          </cell>
        </row>
        <row r="323">
          <cell r="B323" t="str">
            <v>HUP-250402-0001</v>
          </cell>
          <cell r="C323" t="str">
            <v>3052397909994138</v>
          </cell>
          <cell r="D323" t="str">
            <v>CD913872010DE</v>
          </cell>
        </row>
        <row r="324">
          <cell r="B324" t="str">
            <v>HUP-250402-0002</v>
          </cell>
          <cell r="C324" t="str">
            <v>3051869046714561</v>
          </cell>
          <cell r="D324" t="str">
            <v>CD913872023DE</v>
          </cell>
        </row>
        <row r="325">
          <cell r="B325" t="str">
            <v>WTHUP-1-20250401</v>
          </cell>
        </row>
        <row r="325">
          <cell r="D325" t="str">
            <v/>
          </cell>
        </row>
        <row r="326">
          <cell r="B326" t="str">
            <v>HUP-250330-0004</v>
          </cell>
          <cell r="C326" t="str">
            <v>3051933634296032</v>
          </cell>
          <cell r="D326" t="str">
            <v>00340434713524974718</v>
          </cell>
        </row>
        <row r="327">
          <cell r="B327" t="str">
            <v>HUP-250401-0001</v>
          </cell>
          <cell r="C327" t="str">
            <v>WEC0572504010011</v>
          </cell>
          <cell r="D327" t="str">
            <v>00340434713524976163</v>
          </cell>
        </row>
        <row r="328">
          <cell r="B328" t="str">
            <v>HUP-250401-0002</v>
          </cell>
          <cell r="C328" t="str">
            <v>WEC0102504010014</v>
          </cell>
          <cell r="D328" t="str">
            <v>00340434713524976170</v>
          </cell>
        </row>
        <row r="329">
          <cell r="B329" t="str">
            <v>WTHUP-1-20250331</v>
          </cell>
        </row>
        <row r="329">
          <cell r="D329" t="str">
            <v/>
          </cell>
        </row>
        <row r="330">
          <cell r="B330" t="str">
            <v>HUP-250331-0001</v>
          </cell>
          <cell r="C330" t="str">
            <v>shein-GSO11W56900M0VL</v>
          </cell>
          <cell r="D330" t="str">
            <v>00340434713524973636</v>
          </cell>
        </row>
        <row r="331">
          <cell r="B331" t="str">
            <v>HUP-250331-0007</v>
          </cell>
          <cell r="C331" t="str">
            <v>3052303029056655</v>
          </cell>
          <cell r="D331" t="str">
            <v>CD913868103DE</v>
          </cell>
        </row>
        <row r="332">
          <cell r="B332" t="str">
            <v>HUP-250331-0002</v>
          </cell>
          <cell r="C332" t="str">
            <v>3052314955767836</v>
          </cell>
          <cell r="D332" t="str">
            <v>CD913866093DE</v>
          </cell>
        </row>
        <row r="333">
          <cell r="B333" t="str">
            <v>HUP-250330-0006</v>
          </cell>
          <cell r="C333" t="str">
            <v>shein-GSO11W423002832</v>
          </cell>
          <cell r="D333" t="str">
            <v>00340434713524973360</v>
          </cell>
        </row>
        <row r="334">
          <cell r="B334" t="str">
            <v>HUP-250330-0005</v>
          </cell>
          <cell r="C334" t="str">
            <v>3051754973087187</v>
          </cell>
          <cell r="D334" t="str">
            <v>CD913864852DE</v>
          </cell>
        </row>
        <row r="335">
          <cell r="B335" t="str">
            <v>HUP-250330-0002</v>
          </cell>
          <cell r="C335" t="str">
            <v>3052039578605695</v>
          </cell>
          <cell r="D335" t="str">
            <v>CD913864835DE</v>
          </cell>
        </row>
        <row r="336">
          <cell r="B336" t="str">
            <v>HUP-250331-0003</v>
          </cell>
          <cell r="C336" t="str">
            <v>3051968341883653</v>
          </cell>
          <cell r="D336" t="str">
            <v>00340434713524973643</v>
          </cell>
        </row>
        <row r="337">
          <cell r="B337" t="str">
            <v>HUP-250330-0001</v>
          </cell>
          <cell r="C337" t="str">
            <v>3051813854012124</v>
          </cell>
          <cell r="D337" t="str">
            <v>CD913864821DE</v>
          </cell>
        </row>
        <row r="338">
          <cell r="B338" t="str">
            <v>HUP-250329-0001</v>
          </cell>
          <cell r="C338" t="str">
            <v>shein-GSO11C57N00M09Y</v>
          </cell>
          <cell r="D338" t="str">
            <v>00340434713524972943</v>
          </cell>
        </row>
        <row r="339">
          <cell r="B339" t="str">
            <v>HUP-250330-0003</v>
          </cell>
          <cell r="C339" t="str">
            <v>3051955243009830</v>
          </cell>
          <cell r="D339" t="str">
            <v>CD913864849DE</v>
          </cell>
        </row>
        <row r="340">
          <cell r="B340" t="str">
            <v>HUP-250331-0005</v>
          </cell>
          <cell r="C340" t="str">
            <v>WEC0372503310009</v>
          </cell>
          <cell r="D340" t="str">
            <v>00340434713524974305</v>
          </cell>
        </row>
        <row r="341">
          <cell r="B341" t="str">
            <v>HUP-250331-0006</v>
          </cell>
          <cell r="C341" t="str">
            <v>WEC0772503310011</v>
          </cell>
          <cell r="D341" t="str">
            <v>00340434713524974312</v>
          </cell>
        </row>
        <row r="342">
          <cell r="B342" t="str">
            <v>HUP-250331-0004</v>
          </cell>
          <cell r="C342" t="str">
            <v>WEC0542503310010</v>
          </cell>
          <cell r="D342" t="str">
            <v>00340434713524974329</v>
          </cell>
        </row>
        <row r="343">
          <cell r="B343" t="str">
            <v>WTHUP-1-20250330</v>
          </cell>
        </row>
        <row r="343">
          <cell r="D343" t="str">
            <v/>
          </cell>
        </row>
        <row r="344">
          <cell r="B344" t="str">
            <v>WTHUP-1-20250329</v>
          </cell>
        </row>
        <row r="344">
          <cell r="D344" t="str">
            <v/>
          </cell>
        </row>
        <row r="345">
          <cell r="B345" t="str">
            <v>WTHUP-1-20250328</v>
          </cell>
        </row>
        <row r="345">
          <cell r="D345" t="str">
            <v/>
          </cell>
        </row>
        <row r="346">
          <cell r="B346" t="str">
            <v>HUP-250328-0002</v>
          </cell>
          <cell r="C346" t="str">
            <v>3051895718135343</v>
          </cell>
          <cell r="D346" t="str">
            <v>00340434713524971724</v>
          </cell>
        </row>
        <row r="347">
          <cell r="B347" t="str">
            <v>HUP-250327-0001</v>
          </cell>
          <cell r="C347" t="str">
            <v>3052123515862618</v>
          </cell>
          <cell r="D347" t="str">
            <v>CD913860674DE</v>
          </cell>
        </row>
        <row r="348">
          <cell r="B348" t="str">
            <v>HUP-250328-0001</v>
          </cell>
          <cell r="C348" t="str">
            <v>shein-GSO11U55U001W26</v>
          </cell>
          <cell r="D348" t="str">
            <v>00340434713524971670</v>
          </cell>
        </row>
        <row r="349">
          <cell r="B349" t="str">
            <v>WTHUP-1-20250327</v>
          </cell>
        </row>
        <row r="349">
          <cell r="D349" t="str">
            <v/>
          </cell>
        </row>
        <row r="350">
          <cell r="B350" t="str">
            <v>HUP-250327-0002</v>
          </cell>
          <cell r="C350" t="str">
            <v>WEC0222503270013</v>
          </cell>
          <cell r="D350" t="str">
            <v>00340434713524971342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F17" sqref="F17"/>
    </sheetView>
  </sheetViews>
  <sheetFormatPr defaultColWidth="9" defaultRowHeight="24.95" customHeight="1" outlineLevelCol="3"/>
  <cols>
    <col min="1" max="1" width="27.425" customWidth="1"/>
    <col min="2" max="2" width="37.2833333333333" customWidth="1"/>
    <col min="3" max="3" width="25" style="34" customWidth="1"/>
    <col min="4" max="4" width="20.7083333333333" customWidth="1"/>
  </cols>
  <sheetData>
    <row r="1" s="32" customFormat="1" customHeight="1" spans="1:4">
      <c r="A1" s="35" t="s">
        <v>0</v>
      </c>
      <c r="B1" s="36"/>
      <c r="C1" s="36"/>
      <c r="D1" s="36"/>
    </row>
    <row r="2" s="32" customFormat="1" customHeight="1" spans="1:4">
      <c r="A2" s="37" t="s">
        <v>1</v>
      </c>
      <c r="B2" s="37"/>
      <c r="C2" s="37"/>
      <c r="D2" s="37"/>
    </row>
    <row r="3" s="33" customFormat="1" customHeight="1" spans="1:4">
      <c r="A3" s="38" t="s">
        <v>2</v>
      </c>
      <c r="B3" s="39" t="s">
        <v>3</v>
      </c>
      <c r="C3" s="40" t="s">
        <v>4</v>
      </c>
      <c r="D3" s="41" t="s">
        <v>5</v>
      </c>
    </row>
    <row r="4" customHeight="1" spans="1:4">
      <c r="A4" s="42" t="s">
        <v>6</v>
      </c>
      <c r="B4" s="43" t="s">
        <v>7</v>
      </c>
      <c r="C4" s="44">
        <v>0</v>
      </c>
      <c r="D4" s="45"/>
    </row>
    <row r="5" customHeight="1" spans="1:4">
      <c r="A5" s="42" t="s">
        <v>8</v>
      </c>
      <c r="B5" s="43" t="s">
        <v>9</v>
      </c>
      <c r="C5" s="44">
        <f>订单出库费用!I208+FBA包裹出库!J7</f>
        <v>1920.1</v>
      </c>
      <c r="D5" s="45"/>
    </row>
    <row r="6" customHeight="1" spans="1:4">
      <c r="A6" s="42" t="s">
        <v>10</v>
      </c>
      <c r="B6" s="43" t="s">
        <v>11</v>
      </c>
      <c r="C6" s="44">
        <v>0</v>
      </c>
      <c r="D6" s="45"/>
    </row>
    <row r="7" customHeight="1" spans="1:4">
      <c r="A7" s="42" t="s">
        <v>12</v>
      </c>
      <c r="B7" s="43" t="s">
        <v>13</v>
      </c>
      <c r="C7" s="44">
        <f>'DHL 额外费用'!K16</f>
        <v>324</v>
      </c>
      <c r="D7" s="45"/>
    </row>
    <row r="8" customHeight="1" spans="1:4">
      <c r="A8" s="42" t="s">
        <v>14</v>
      </c>
      <c r="B8" s="43" t="s">
        <v>15</v>
      </c>
      <c r="C8" s="44">
        <v>0</v>
      </c>
      <c r="D8" s="45"/>
    </row>
    <row r="9" customHeight="1" spans="1:4">
      <c r="A9" s="42" t="s">
        <v>16</v>
      </c>
      <c r="B9" s="43" t="s">
        <v>17</v>
      </c>
      <c r="C9" s="44">
        <f>仓租!K34</f>
        <v>460.73</v>
      </c>
      <c r="D9" s="45"/>
    </row>
    <row r="10" customHeight="1" spans="1:4">
      <c r="A10" s="42" t="s">
        <v>18</v>
      </c>
      <c r="B10" s="43" t="s">
        <v>19</v>
      </c>
      <c r="C10" s="44">
        <f>SUM(C5:C9)</f>
        <v>2704.83</v>
      </c>
      <c r="D10" s="46"/>
    </row>
    <row r="11" customHeight="1" spans="1:4">
      <c r="A11" s="42" t="s">
        <v>20</v>
      </c>
      <c r="B11" s="43" t="s">
        <v>21</v>
      </c>
      <c r="C11" s="44">
        <v>0</v>
      </c>
      <c r="D11" s="46"/>
    </row>
    <row r="12" customHeight="1" spans="1:4">
      <c r="A12" s="47" t="s">
        <v>22</v>
      </c>
      <c r="B12" s="48" t="s">
        <v>23</v>
      </c>
      <c r="C12" s="49">
        <f>SUM(C10:C11)</f>
        <v>2704.83</v>
      </c>
      <c r="D12" s="50"/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C14" sqref="C14"/>
    </sheetView>
  </sheetViews>
  <sheetFormatPr defaultColWidth="15.7083333333333" defaultRowHeight="24.95" customHeight="1"/>
  <cols>
    <col min="1" max="1" width="15.7083333333333" style="21"/>
    <col min="2" max="2" width="25.7083333333333" style="21" customWidth="1"/>
    <col min="3" max="6" width="14.1416666666667" style="21" customWidth="1"/>
    <col min="7" max="16384" width="15.7083333333333" style="21"/>
  </cols>
  <sheetData>
    <row r="1" customHeight="1" spans="1:10">
      <c r="A1" s="21" t="s">
        <v>24</v>
      </c>
      <c r="B1" s="21" t="s">
        <v>25</v>
      </c>
      <c r="C1" s="21" t="s">
        <v>6</v>
      </c>
      <c r="D1" s="21" t="s">
        <v>26</v>
      </c>
      <c r="E1" s="21" t="s">
        <v>27</v>
      </c>
      <c r="F1" s="21" t="s">
        <v>28</v>
      </c>
      <c r="G1" s="21" t="s">
        <v>29</v>
      </c>
      <c r="H1" s="21" t="s">
        <v>30</v>
      </c>
      <c r="I1" s="21" t="s">
        <v>31</v>
      </c>
      <c r="J1" s="21" t="s">
        <v>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0"/>
  <sheetViews>
    <sheetView workbookViewId="0">
      <pane ySplit="1" topLeftCell="A183" activePane="bottomLeft" state="frozen"/>
      <selection/>
      <selection pane="bottomLeft" activeCell="I208" sqref="I208:I210"/>
    </sheetView>
  </sheetViews>
  <sheetFormatPr defaultColWidth="15.7083333333333" defaultRowHeight="14.25"/>
  <cols>
    <col min="1" max="1" width="27" style="21" customWidth="1"/>
    <col min="2" max="9" width="15.7083333333333" style="21"/>
    <col min="10" max="10" width="31" style="21" customWidth="1"/>
    <col min="11" max="11" width="15.7083333333333" style="31"/>
    <col min="12" max="16384" width="15.7083333333333" style="21"/>
  </cols>
  <sheetData>
    <row r="1" spans="1:10">
      <c r="A1" s="21" t="s">
        <v>33</v>
      </c>
      <c r="B1" s="21" t="s">
        <v>34</v>
      </c>
      <c r="C1" s="21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32</v>
      </c>
      <c r="J1" s="21" t="s">
        <v>33</v>
      </c>
    </row>
    <row r="2" spans="1:11">
      <c r="A2" s="21" t="s">
        <v>41</v>
      </c>
      <c r="B2" s="21">
        <v>1</v>
      </c>
      <c r="C2" s="21" t="s">
        <v>42</v>
      </c>
      <c r="D2" s="21">
        <v>1</v>
      </c>
      <c r="E2" s="28">
        <v>0.1</v>
      </c>
      <c r="F2" s="21" t="s">
        <v>43</v>
      </c>
      <c r="G2" s="21" t="s">
        <v>44</v>
      </c>
      <c r="H2" s="21">
        <v>4.5</v>
      </c>
      <c r="I2" s="21">
        <f t="shared" ref="I2:I62" si="0">D2+H2</f>
        <v>5.5</v>
      </c>
      <c r="J2" s="21" t="str">
        <f>VLOOKUP(A2,[1]CostBill!$B:$D,3,0)</f>
        <v>00340434713524986957</v>
      </c>
      <c r="K2" s="31">
        <v>45757</v>
      </c>
    </row>
    <row r="3" spans="1:11">
      <c r="A3" s="21" t="s">
        <v>45</v>
      </c>
      <c r="B3" s="21">
        <v>1</v>
      </c>
      <c r="C3" s="21" t="s">
        <v>42</v>
      </c>
      <c r="D3" s="21">
        <v>1</v>
      </c>
      <c r="E3" s="28">
        <v>0.15</v>
      </c>
      <c r="F3" s="21" t="s">
        <v>46</v>
      </c>
      <c r="G3" s="21" t="s">
        <v>47</v>
      </c>
      <c r="H3" s="21">
        <v>12.8</v>
      </c>
      <c r="I3" s="21">
        <f t="shared" si="0"/>
        <v>13.8</v>
      </c>
      <c r="J3" s="21" t="str">
        <f>VLOOKUP(A3,[1]CostBill!$B:$D,3,0)</f>
        <v>CD913891742DE</v>
      </c>
      <c r="K3" s="31">
        <v>45758</v>
      </c>
    </row>
    <row r="4" spans="1:11">
      <c r="A4" s="21" t="s">
        <v>48</v>
      </c>
      <c r="B4" s="21">
        <v>1</v>
      </c>
      <c r="C4" s="21" t="s">
        <v>42</v>
      </c>
      <c r="D4" s="21">
        <v>1</v>
      </c>
      <c r="E4" s="28">
        <v>1.05</v>
      </c>
      <c r="F4" s="21" t="s">
        <v>46</v>
      </c>
      <c r="G4" s="21" t="s">
        <v>49</v>
      </c>
      <c r="H4" s="21">
        <v>15.8</v>
      </c>
      <c r="I4" s="21">
        <f t="shared" si="0"/>
        <v>16.8</v>
      </c>
      <c r="J4" s="21" t="str">
        <f>VLOOKUP(A4,[1]CostBill!$B:$D,3,0)</f>
        <v>CD913891756DE</v>
      </c>
      <c r="K4" s="31">
        <v>45758</v>
      </c>
    </row>
    <row r="5" spans="1:11">
      <c r="A5" s="21" t="s">
        <v>50</v>
      </c>
      <c r="B5" s="21">
        <v>1</v>
      </c>
      <c r="C5" s="21" t="s">
        <v>42</v>
      </c>
      <c r="D5" s="21">
        <v>1</v>
      </c>
      <c r="E5" s="28">
        <v>0.3</v>
      </c>
      <c r="F5" s="21" t="s">
        <v>43</v>
      </c>
      <c r="G5" s="21" t="s">
        <v>44</v>
      </c>
      <c r="H5" s="21">
        <v>4.5</v>
      </c>
      <c r="I5" s="21">
        <f t="shared" si="0"/>
        <v>5.5</v>
      </c>
      <c r="J5" s="21" t="str">
        <f>VLOOKUP(A5,[1]CostBill!$B:$D,3,0)</f>
        <v>00340434713524987855</v>
      </c>
      <c r="K5" s="31">
        <v>45758</v>
      </c>
    </row>
    <row r="6" spans="1:11">
      <c r="A6" s="21" t="s">
        <v>51</v>
      </c>
      <c r="B6" s="21">
        <v>1</v>
      </c>
      <c r="C6" s="21" t="s">
        <v>42</v>
      </c>
      <c r="D6" s="21">
        <v>1</v>
      </c>
      <c r="E6" s="28">
        <v>0.2</v>
      </c>
      <c r="F6" s="21" t="s">
        <v>43</v>
      </c>
      <c r="G6" s="21" t="s">
        <v>44</v>
      </c>
      <c r="H6" s="21">
        <v>4.5</v>
      </c>
      <c r="I6" s="21">
        <f t="shared" si="0"/>
        <v>5.5</v>
      </c>
      <c r="J6" s="21" t="str">
        <f>VLOOKUP(A6,[1]CostBill!$B:$D,3,0)</f>
        <v>00340434713524987978</v>
      </c>
      <c r="K6" s="31">
        <v>45758</v>
      </c>
    </row>
    <row r="7" spans="1:11">
      <c r="A7" s="21" t="s">
        <v>52</v>
      </c>
      <c r="B7" s="21">
        <v>1</v>
      </c>
      <c r="C7" s="21" t="s">
        <v>42</v>
      </c>
      <c r="D7" s="21">
        <v>1</v>
      </c>
      <c r="E7" s="28">
        <v>0.15</v>
      </c>
      <c r="F7" s="21" t="s">
        <v>43</v>
      </c>
      <c r="G7" s="21" t="s">
        <v>44</v>
      </c>
      <c r="H7" s="21">
        <v>4.5</v>
      </c>
      <c r="I7" s="21">
        <f t="shared" si="0"/>
        <v>5.5</v>
      </c>
      <c r="J7" s="21" t="str">
        <f>VLOOKUP(A7,[1]CostBill!$B:$D,3,0)</f>
        <v>00340434713524988173</v>
      </c>
      <c r="K7" s="31">
        <v>45758</v>
      </c>
    </row>
    <row r="8" spans="1:11">
      <c r="A8" s="21" t="s">
        <v>53</v>
      </c>
      <c r="B8" s="21">
        <v>1</v>
      </c>
      <c r="C8" s="21" t="s">
        <v>42</v>
      </c>
      <c r="D8" s="21">
        <v>1</v>
      </c>
      <c r="E8" s="28">
        <v>0.2</v>
      </c>
      <c r="F8" s="21" t="s">
        <v>46</v>
      </c>
      <c r="G8" s="21" t="s">
        <v>54</v>
      </c>
      <c r="H8" s="21">
        <v>12.5</v>
      </c>
      <c r="I8" s="21">
        <f t="shared" si="0"/>
        <v>13.5</v>
      </c>
      <c r="J8" s="21" t="str">
        <f>VLOOKUP(A8,[1]CostBill!$B:$D,3,0)</f>
        <v>CD913893195DE</v>
      </c>
      <c r="K8" s="31">
        <v>45759</v>
      </c>
    </row>
    <row r="9" spans="1:11">
      <c r="A9" s="21" t="s">
        <v>55</v>
      </c>
      <c r="B9" s="21">
        <v>1</v>
      </c>
      <c r="C9" s="21" t="s">
        <v>42</v>
      </c>
      <c r="D9" s="21">
        <v>1</v>
      </c>
      <c r="E9" s="28">
        <v>0.3</v>
      </c>
      <c r="F9" s="21" t="s">
        <v>43</v>
      </c>
      <c r="G9" s="21" t="s">
        <v>44</v>
      </c>
      <c r="H9" s="21">
        <v>4.5</v>
      </c>
      <c r="I9" s="21">
        <f t="shared" si="0"/>
        <v>5.5</v>
      </c>
      <c r="J9" s="21" t="str">
        <f>VLOOKUP(A9,[1]CostBill!$B:$D,3,0)</f>
        <v>00340434713524988203</v>
      </c>
      <c r="K9" s="31">
        <v>45759</v>
      </c>
    </row>
    <row r="10" spans="1:11">
      <c r="A10" s="21" t="s">
        <v>56</v>
      </c>
      <c r="B10" s="21">
        <v>1</v>
      </c>
      <c r="C10" s="21" t="s">
        <v>42</v>
      </c>
      <c r="D10" s="21">
        <v>1</v>
      </c>
      <c r="E10" s="28">
        <v>1.85</v>
      </c>
      <c r="F10" s="21" t="s">
        <v>43</v>
      </c>
      <c r="G10" s="21" t="s">
        <v>44</v>
      </c>
      <c r="H10" s="21">
        <v>4.5</v>
      </c>
      <c r="I10" s="21">
        <f t="shared" si="0"/>
        <v>5.5</v>
      </c>
      <c r="J10" s="21" t="str">
        <f>VLOOKUP(A10,[1]CostBill!$B:$D,3,0)</f>
        <v>00340434713524988531</v>
      </c>
      <c r="K10" s="31">
        <v>45760</v>
      </c>
    </row>
    <row r="11" spans="1:11">
      <c r="A11" s="21" t="s">
        <v>57</v>
      </c>
      <c r="B11" s="21">
        <v>1</v>
      </c>
      <c r="C11" s="21" t="s">
        <v>42</v>
      </c>
      <c r="D11" s="21">
        <v>1</v>
      </c>
      <c r="E11" s="28">
        <v>0.15</v>
      </c>
      <c r="F11" s="21" t="s">
        <v>43</v>
      </c>
      <c r="G11" s="21" t="s">
        <v>44</v>
      </c>
      <c r="H11" s="21">
        <v>4.5</v>
      </c>
      <c r="I11" s="21">
        <f t="shared" si="0"/>
        <v>5.5</v>
      </c>
      <c r="J11" s="21" t="str">
        <f>VLOOKUP(A11,[1]CostBill!$B:$D,3,0)</f>
        <v>00340434713524988548</v>
      </c>
      <c r="K11" s="31">
        <v>45760</v>
      </c>
    </row>
    <row r="12" spans="1:11">
      <c r="A12" s="21" t="s">
        <v>58</v>
      </c>
      <c r="B12" s="21">
        <v>1</v>
      </c>
      <c r="C12" s="21" t="s">
        <v>42</v>
      </c>
      <c r="D12" s="21">
        <v>1.2</v>
      </c>
      <c r="E12" s="28">
        <v>5.4</v>
      </c>
      <c r="F12" s="21" t="s">
        <v>43</v>
      </c>
      <c r="G12" s="21" t="s">
        <v>44</v>
      </c>
      <c r="H12" s="21">
        <v>5.2</v>
      </c>
      <c r="I12" s="21">
        <f t="shared" si="0"/>
        <v>6.4</v>
      </c>
      <c r="J12" s="21" t="str">
        <f>VLOOKUP(A12,[1]CostBill!$B:$D,3,0)</f>
        <v>00340434713524990046</v>
      </c>
      <c r="K12" s="31">
        <v>45761</v>
      </c>
    </row>
    <row r="13" spans="1:11">
      <c r="A13" s="21" t="s">
        <v>59</v>
      </c>
      <c r="B13" s="21">
        <v>1</v>
      </c>
      <c r="C13" s="21" t="s">
        <v>42</v>
      </c>
      <c r="D13" s="21">
        <v>1.2</v>
      </c>
      <c r="E13" s="28">
        <v>5.4</v>
      </c>
      <c r="F13" s="21" t="s">
        <v>43</v>
      </c>
      <c r="G13" s="21" t="s">
        <v>44</v>
      </c>
      <c r="H13" s="21">
        <v>5.2</v>
      </c>
      <c r="I13" s="21">
        <f t="shared" si="0"/>
        <v>6.4</v>
      </c>
      <c r="J13" s="21" t="str">
        <f>VLOOKUP(A13,[1]CostBill!$B:$D,3,0)</f>
        <v>00340434713524990053</v>
      </c>
      <c r="K13" s="31">
        <v>45761</v>
      </c>
    </row>
    <row r="14" spans="1:11">
      <c r="A14" s="21" t="s">
        <v>60</v>
      </c>
      <c r="B14" s="21">
        <v>1</v>
      </c>
      <c r="C14" s="21" t="s">
        <v>42</v>
      </c>
      <c r="D14" s="21">
        <v>1</v>
      </c>
      <c r="E14" s="28">
        <v>0.65</v>
      </c>
      <c r="F14" s="21" t="s">
        <v>43</v>
      </c>
      <c r="G14" s="21" t="s">
        <v>44</v>
      </c>
      <c r="H14" s="21">
        <v>4.5</v>
      </c>
      <c r="I14" s="21">
        <f t="shared" si="0"/>
        <v>5.5</v>
      </c>
      <c r="J14" s="21" t="str">
        <f>VLOOKUP(A14,[1]CostBill!$B:$D,3,0)</f>
        <v>00340434713524990909</v>
      </c>
      <c r="K14" s="31">
        <v>45761</v>
      </c>
    </row>
    <row r="15" spans="1:11">
      <c r="A15" s="21" t="s">
        <v>61</v>
      </c>
      <c r="B15" s="21">
        <v>1</v>
      </c>
      <c r="C15" s="21" t="s">
        <v>62</v>
      </c>
      <c r="D15" s="21">
        <f>1+1</f>
        <v>2</v>
      </c>
      <c r="E15" s="28">
        <v>1.3</v>
      </c>
      <c r="F15" s="21" t="s">
        <v>43</v>
      </c>
      <c r="G15" s="21" t="s">
        <v>44</v>
      </c>
      <c r="H15" s="21">
        <v>4.5</v>
      </c>
      <c r="I15" s="21">
        <f t="shared" si="0"/>
        <v>6.5</v>
      </c>
      <c r="J15" s="21" t="str">
        <f>VLOOKUP(A15,[1]CostBill!$B:$D,3,0)</f>
        <v>00340434713524991050</v>
      </c>
      <c r="K15" s="31">
        <v>45762</v>
      </c>
    </row>
    <row r="16" spans="1:11">
      <c r="A16" s="21" t="s">
        <v>63</v>
      </c>
      <c r="B16" s="21">
        <v>1</v>
      </c>
      <c r="C16" s="21" t="s">
        <v>42</v>
      </c>
      <c r="D16" s="21">
        <v>1</v>
      </c>
      <c r="E16" s="28">
        <v>0.7</v>
      </c>
      <c r="F16" s="21" t="s">
        <v>43</v>
      </c>
      <c r="G16" s="21" t="s">
        <v>44</v>
      </c>
      <c r="H16" s="21">
        <v>4.5</v>
      </c>
      <c r="I16" s="21">
        <f t="shared" si="0"/>
        <v>5.5</v>
      </c>
      <c r="J16" s="21" t="str">
        <f>VLOOKUP(A16,[1]CostBill!$B:$D,3,0)</f>
        <v>00340434713524991746</v>
      </c>
      <c r="K16" s="31">
        <v>45762</v>
      </c>
    </row>
    <row r="17" spans="1:11">
      <c r="A17" s="21" t="s">
        <v>64</v>
      </c>
      <c r="B17" s="21">
        <v>1</v>
      </c>
      <c r="C17" s="21" t="s">
        <v>42</v>
      </c>
      <c r="D17" s="21">
        <v>1</v>
      </c>
      <c r="E17" s="28">
        <v>0.1</v>
      </c>
      <c r="F17" s="21" t="s">
        <v>46</v>
      </c>
      <c r="G17" s="21" t="s">
        <v>65</v>
      </c>
      <c r="H17" s="21">
        <v>11</v>
      </c>
      <c r="I17" s="21">
        <f t="shared" si="0"/>
        <v>12</v>
      </c>
      <c r="J17" s="21" t="str">
        <f>VLOOKUP(A17,[1]CostBill!$B:$D,3,0)</f>
        <v>CD913900775DE</v>
      </c>
      <c r="K17" s="31">
        <v>45762</v>
      </c>
    </row>
    <row r="18" spans="1:11">
      <c r="A18" s="21" t="s">
        <v>66</v>
      </c>
      <c r="B18" s="21">
        <v>1</v>
      </c>
      <c r="C18" s="21" t="s">
        <v>42</v>
      </c>
      <c r="D18" s="21">
        <v>1</v>
      </c>
      <c r="E18" s="28">
        <v>0.85</v>
      </c>
      <c r="F18" s="21" t="s">
        <v>43</v>
      </c>
      <c r="G18" s="21" t="s">
        <v>44</v>
      </c>
      <c r="H18" s="21">
        <v>4.5</v>
      </c>
      <c r="I18" s="21">
        <f t="shared" si="0"/>
        <v>5.5</v>
      </c>
      <c r="J18" s="21" t="str">
        <f>VLOOKUP(A18,[1]CostBill!$B:$D,3,0)</f>
        <v>00340434713524992088</v>
      </c>
      <c r="K18" s="31">
        <v>45762</v>
      </c>
    </row>
    <row r="19" spans="1:11">
      <c r="A19" s="21" t="s">
        <v>67</v>
      </c>
      <c r="B19" s="21">
        <v>1</v>
      </c>
      <c r="C19" s="21" t="s">
        <v>42</v>
      </c>
      <c r="D19" s="21">
        <v>1</v>
      </c>
      <c r="E19" s="28">
        <v>0.1</v>
      </c>
      <c r="F19" s="21" t="s">
        <v>43</v>
      </c>
      <c r="G19" s="21" t="s">
        <v>44</v>
      </c>
      <c r="H19" s="21">
        <v>4.5</v>
      </c>
      <c r="I19" s="21">
        <f t="shared" si="0"/>
        <v>5.5</v>
      </c>
      <c r="J19" s="21" t="str">
        <f>VLOOKUP(A19,[1]CostBill!$B:$D,3,0)</f>
        <v>00340434713524992095</v>
      </c>
      <c r="K19" s="31">
        <v>45762</v>
      </c>
    </row>
    <row r="20" spans="1:11">
      <c r="A20" s="21" t="s">
        <v>68</v>
      </c>
      <c r="B20" s="21">
        <v>1</v>
      </c>
      <c r="C20" s="21" t="s">
        <v>42</v>
      </c>
      <c r="D20" s="21">
        <v>1</v>
      </c>
      <c r="E20" s="28">
        <v>0.2</v>
      </c>
      <c r="F20" s="21" t="s">
        <v>43</v>
      </c>
      <c r="G20" s="21" t="s">
        <v>44</v>
      </c>
      <c r="H20" s="21">
        <v>4.5</v>
      </c>
      <c r="I20" s="21">
        <f t="shared" si="0"/>
        <v>5.5</v>
      </c>
      <c r="J20" s="21" t="str">
        <f>VLOOKUP(A20,[1]CostBill!$B:$D,3,0)</f>
        <v>00340434713524992071</v>
      </c>
      <c r="K20" s="31">
        <v>45762</v>
      </c>
    </row>
    <row r="21" spans="1:11">
      <c r="A21" s="21" t="s">
        <v>69</v>
      </c>
      <c r="B21" s="21">
        <v>1</v>
      </c>
      <c r="C21" s="21" t="s">
        <v>42</v>
      </c>
      <c r="D21" s="21">
        <v>1</v>
      </c>
      <c r="E21" s="28">
        <v>0.2</v>
      </c>
      <c r="F21" s="21" t="s">
        <v>46</v>
      </c>
      <c r="G21" s="21" t="s">
        <v>65</v>
      </c>
      <c r="H21" s="21">
        <v>11</v>
      </c>
      <c r="I21" s="21">
        <f t="shared" si="0"/>
        <v>12</v>
      </c>
      <c r="J21" s="21" t="str">
        <f>VLOOKUP(A21,[1]CostBill!$B:$D,3,0)</f>
        <v>CD913900784DE</v>
      </c>
      <c r="K21" s="31">
        <v>45762</v>
      </c>
    </row>
    <row r="22" spans="1:11">
      <c r="A22" s="21" t="s">
        <v>70</v>
      </c>
      <c r="B22" s="21">
        <v>1</v>
      </c>
      <c r="C22" s="21" t="s">
        <v>42</v>
      </c>
      <c r="D22" s="21">
        <v>1</v>
      </c>
      <c r="E22" s="28">
        <v>0.25</v>
      </c>
      <c r="F22" s="21" t="s">
        <v>46</v>
      </c>
      <c r="G22" s="21" t="s">
        <v>65</v>
      </c>
      <c r="H22" s="21">
        <v>11</v>
      </c>
      <c r="I22" s="21">
        <f t="shared" si="0"/>
        <v>12</v>
      </c>
      <c r="J22" s="21" t="str">
        <f>VLOOKUP(A22,[1]CostBill!$B:$D,3,0)</f>
        <v>CD913900798DE</v>
      </c>
      <c r="K22" s="31">
        <v>45762</v>
      </c>
    </row>
    <row r="23" spans="1:11">
      <c r="A23" s="21" t="s">
        <v>71</v>
      </c>
      <c r="B23" s="21">
        <v>1</v>
      </c>
      <c r="C23" s="21" t="s">
        <v>42</v>
      </c>
      <c r="D23" s="21">
        <v>1</v>
      </c>
      <c r="E23" s="28">
        <v>0.3</v>
      </c>
      <c r="F23" s="21" t="s">
        <v>43</v>
      </c>
      <c r="G23" s="21" t="s">
        <v>44</v>
      </c>
      <c r="H23" s="21">
        <v>4.5</v>
      </c>
      <c r="I23" s="21">
        <f t="shared" si="0"/>
        <v>5.5</v>
      </c>
      <c r="J23" s="21" t="str">
        <f>VLOOKUP(A23,[1]CostBill!$B:$D,3,0)</f>
        <v>00340434713524992101</v>
      </c>
      <c r="K23" s="31">
        <v>45762</v>
      </c>
    </row>
    <row r="24" spans="1:11">
      <c r="A24" s="21" t="s">
        <v>72</v>
      </c>
      <c r="B24" s="21">
        <v>1</v>
      </c>
      <c r="C24" s="21" t="s">
        <v>42</v>
      </c>
      <c r="D24" s="21">
        <v>1</v>
      </c>
      <c r="E24" s="28">
        <v>0.2</v>
      </c>
      <c r="F24" s="21" t="s">
        <v>46</v>
      </c>
      <c r="G24" s="21" t="s">
        <v>49</v>
      </c>
      <c r="H24" s="21">
        <v>15.8</v>
      </c>
      <c r="I24" s="21">
        <f t="shared" si="0"/>
        <v>16.8</v>
      </c>
      <c r="J24" s="21" t="str">
        <f>VLOOKUP(A24,[1]CostBill!$B:$D,3,0)</f>
        <v>CD913900767DE</v>
      </c>
      <c r="K24" s="31">
        <v>45762</v>
      </c>
    </row>
    <row r="25" spans="1:11">
      <c r="A25" s="21" t="s">
        <v>73</v>
      </c>
      <c r="B25" s="21">
        <v>1</v>
      </c>
      <c r="C25" s="21" t="s">
        <v>42</v>
      </c>
      <c r="D25" s="21">
        <v>1</v>
      </c>
      <c r="E25" s="28">
        <v>0.15</v>
      </c>
      <c r="F25" s="21" t="s">
        <v>43</v>
      </c>
      <c r="G25" s="21" t="s">
        <v>44</v>
      </c>
      <c r="H25" s="21">
        <v>4.5</v>
      </c>
      <c r="I25" s="21">
        <f t="shared" si="0"/>
        <v>5.5</v>
      </c>
      <c r="J25" s="21" t="str">
        <f>VLOOKUP(A25,[1]CostBill!$B:$D,3,0)</f>
        <v>00340434713524992118</v>
      </c>
      <c r="K25" s="31">
        <v>45763</v>
      </c>
    </row>
    <row r="26" spans="1:11">
      <c r="A26" s="21" t="s">
        <v>74</v>
      </c>
      <c r="B26" s="21">
        <v>1</v>
      </c>
      <c r="C26" s="21" t="s">
        <v>42</v>
      </c>
      <c r="D26" s="21">
        <v>1</v>
      </c>
      <c r="E26" s="28">
        <v>0.15</v>
      </c>
      <c r="F26" s="21" t="s">
        <v>43</v>
      </c>
      <c r="G26" s="21" t="s">
        <v>44</v>
      </c>
      <c r="H26" s="21">
        <v>4.5</v>
      </c>
      <c r="I26" s="21">
        <f t="shared" si="0"/>
        <v>5.5</v>
      </c>
      <c r="J26" s="21" t="str">
        <f>VLOOKUP(A26,[1]CostBill!$B:$D,3,0)</f>
        <v>00340434713524992125</v>
      </c>
      <c r="K26" s="31">
        <v>45763</v>
      </c>
    </row>
    <row r="27" spans="1:11">
      <c r="A27" s="21" t="s">
        <v>75</v>
      </c>
      <c r="B27" s="21">
        <v>1</v>
      </c>
      <c r="C27" s="21" t="s">
        <v>42</v>
      </c>
      <c r="D27" s="21">
        <v>1</v>
      </c>
      <c r="E27" s="28">
        <v>0.1</v>
      </c>
      <c r="F27" s="21" t="s">
        <v>46</v>
      </c>
      <c r="G27" s="21" t="s">
        <v>65</v>
      </c>
      <c r="H27" s="21">
        <v>11</v>
      </c>
      <c r="I27" s="21">
        <f t="shared" si="0"/>
        <v>12</v>
      </c>
      <c r="J27" s="21" t="str">
        <f>VLOOKUP(A27,[1]CostBill!$B:$D,3,0)</f>
        <v>CD913900807DE</v>
      </c>
      <c r="K27" s="31">
        <v>45763</v>
      </c>
    </row>
    <row r="28" spans="1:11">
      <c r="A28" s="21" t="s">
        <v>76</v>
      </c>
      <c r="B28" s="21">
        <v>1</v>
      </c>
      <c r="C28" s="21" t="s">
        <v>42</v>
      </c>
      <c r="D28" s="21">
        <v>1</v>
      </c>
      <c r="E28" s="28">
        <v>0.3</v>
      </c>
      <c r="F28" s="21" t="s">
        <v>43</v>
      </c>
      <c r="G28" s="21" t="s">
        <v>44</v>
      </c>
      <c r="H28" s="21">
        <v>4.5</v>
      </c>
      <c r="I28" s="21">
        <f t="shared" si="0"/>
        <v>5.5</v>
      </c>
      <c r="J28" s="21" t="str">
        <f>VLOOKUP(A28,[1]CostBill!$B:$D,3,0)</f>
        <v>00340434713524992132</v>
      </c>
      <c r="K28" s="31">
        <v>45763</v>
      </c>
    </row>
    <row r="29" spans="1:11">
      <c r="A29" s="21" t="s">
        <v>77</v>
      </c>
      <c r="B29" s="21">
        <v>1</v>
      </c>
      <c r="C29" s="21" t="s">
        <v>42</v>
      </c>
      <c r="D29" s="21">
        <v>1</v>
      </c>
      <c r="E29" s="28">
        <v>0.2</v>
      </c>
      <c r="F29" s="21" t="s">
        <v>46</v>
      </c>
      <c r="G29" s="21" t="s">
        <v>78</v>
      </c>
      <c r="H29" s="21">
        <v>14.8</v>
      </c>
      <c r="I29" s="21">
        <f t="shared" si="0"/>
        <v>15.8</v>
      </c>
      <c r="J29" s="21" t="str">
        <f>VLOOKUP(A29,[1]CostBill!$B:$D,3,0)</f>
        <v>CD913902065DE</v>
      </c>
      <c r="K29" s="31">
        <v>45763</v>
      </c>
    </row>
    <row r="30" spans="1:11">
      <c r="A30" s="21" t="s">
        <v>79</v>
      </c>
      <c r="B30" s="21">
        <v>1</v>
      </c>
      <c r="C30" s="21" t="s">
        <v>42</v>
      </c>
      <c r="D30" s="21">
        <v>1</v>
      </c>
      <c r="E30" s="28">
        <v>0.45</v>
      </c>
      <c r="F30" s="21" t="s">
        <v>46</v>
      </c>
      <c r="G30" s="21" t="s">
        <v>47</v>
      </c>
      <c r="H30" s="21">
        <v>12.8</v>
      </c>
      <c r="I30" s="21">
        <f t="shared" si="0"/>
        <v>13.8</v>
      </c>
      <c r="J30" s="21" t="str">
        <f>VLOOKUP(A30,[1]CostBill!$B:$D,3,0)</f>
        <v>CD913902079DE</v>
      </c>
      <c r="K30" s="31">
        <v>45763</v>
      </c>
    </row>
    <row r="31" spans="1:11">
      <c r="A31" s="21" t="s">
        <v>80</v>
      </c>
      <c r="B31" s="21">
        <v>1</v>
      </c>
      <c r="C31" s="21" t="s">
        <v>42</v>
      </c>
      <c r="D31" s="21">
        <v>1</v>
      </c>
      <c r="E31" s="28">
        <v>0.55</v>
      </c>
      <c r="F31" s="21" t="s">
        <v>43</v>
      </c>
      <c r="G31" s="21" t="s">
        <v>44</v>
      </c>
      <c r="H31" s="21">
        <v>4.5</v>
      </c>
      <c r="I31" s="21">
        <f t="shared" si="0"/>
        <v>5.5</v>
      </c>
      <c r="J31" s="21" t="str">
        <f>VLOOKUP(A31,[1]CostBill!$B:$D,3,0)</f>
        <v>00340434713524993474</v>
      </c>
      <c r="K31" s="31">
        <v>45764</v>
      </c>
    </row>
    <row r="32" spans="1:11">
      <c r="A32" s="21" t="s">
        <v>81</v>
      </c>
      <c r="B32" s="21">
        <v>1</v>
      </c>
      <c r="C32" s="21" t="s">
        <v>42</v>
      </c>
      <c r="D32" s="21">
        <v>1</v>
      </c>
      <c r="E32" s="28">
        <v>0.2</v>
      </c>
      <c r="F32" s="21" t="s">
        <v>46</v>
      </c>
      <c r="G32" s="21" t="s">
        <v>47</v>
      </c>
      <c r="H32" s="21">
        <v>12.8</v>
      </c>
      <c r="I32" s="21">
        <f t="shared" si="0"/>
        <v>13.8</v>
      </c>
      <c r="J32" s="21" t="str">
        <f>VLOOKUP(A32,[1]CostBill!$B:$D,3,0)</f>
        <v>CD913902604DE</v>
      </c>
      <c r="K32" s="31">
        <v>45764</v>
      </c>
    </row>
    <row r="33" spans="1:11">
      <c r="A33" s="21" t="s">
        <v>82</v>
      </c>
      <c r="B33" s="21">
        <v>1</v>
      </c>
      <c r="C33" s="21" t="s">
        <v>42</v>
      </c>
      <c r="D33" s="21">
        <v>1</v>
      </c>
      <c r="E33" s="28">
        <v>0.3</v>
      </c>
      <c r="F33" s="21" t="s">
        <v>46</v>
      </c>
      <c r="G33" s="21" t="s">
        <v>65</v>
      </c>
      <c r="H33" s="21">
        <v>11</v>
      </c>
      <c r="I33" s="21">
        <f t="shared" si="0"/>
        <v>12</v>
      </c>
      <c r="J33" s="21" t="str">
        <f>VLOOKUP(A33,[1]CostBill!$B:$D,3,0)</f>
        <v>CD913902595DE</v>
      </c>
      <c r="K33" s="31">
        <v>45764</v>
      </c>
    </row>
    <row r="34" spans="1:11">
      <c r="A34" s="21" t="s">
        <v>83</v>
      </c>
      <c r="B34" s="21">
        <v>1</v>
      </c>
      <c r="C34" s="21" t="s">
        <v>42</v>
      </c>
      <c r="D34" s="21">
        <v>1</v>
      </c>
      <c r="E34" s="28">
        <v>0.8</v>
      </c>
      <c r="F34" s="21" t="s">
        <v>43</v>
      </c>
      <c r="G34" s="21" t="s">
        <v>44</v>
      </c>
      <c r="H34" s="21">
        <v>4.5</v>
      </c>
      <c r="I34" s="21">
        <f t="shared" si="0"/>
        <v>5.5</v>
      </c>
      <c r="J34" s="21" t="str">
        <f>VLOOKUP(A34,[1]CostBill!$B:$D,3,0)</f>
        <v>00340434713524994341</v>
      </c>
      <c r="K34" s="31">
        <v>45764</v>
      </c>
    </row>
    <row r="35" spans="1:11">
      <c r="A35" s="21" t="s">
        <v>84</v>
      </c>
      <c r="B35" s="21">
        <v>1</v>
      </c>
      <c r="C35" s="21" t="s">
        <v>42</v>
      </c>
      <c r="D35" s="21">
        <v>1</v>
      </c>
      <c r="E35" s="28">
        <v>0.2</v>
      </c>
      <c r="F35" s="21" t="s">
        <v>46</v>
      </c>
      <c r="G35" s="21" t="s">
        <v>49</v>
      </c>
      <c r="H35" s="21">
        <v>15.8</v>
      </c>
      <c r="I35" s="21">
        <f t="shared" si="0"/>
        <v>16.8</v>
      </c>
      <c r="J35" s="21" t="str">
        <f>VLOOKUP(A35,[1]CostBill!$B:$D,3,0)</f>
        <v>CD913903750DE</v>
      </c>
      <c r="K35" s="31">
        <v>45765</v>
      </c>
    </row>
    <row r="36" spans="1:11">
      <c r="A36" s="21" t="s">
        <v>85</v>
      </c>
      <c r="B36" s="21">
        <v>1</v>
      </c>
      <c r="C36" s="21" t="s">
        <v>42</v>
      </c>
      <c r="D36" s="21">
        <v>1</v>
      </c>
      <c r="E36" s="28">
        <v>0.65</v>
      </c>
      <c r="F36" s="21" t="s">
        <v>43</v>
      </c>
      <c r="G36" s="21" t="s">
        <v>44</v>
      </c>
      <c r="H36" s="21">
        <v>4.5</v>
      </c>
      <c r="I36" s="21">
        <f t="shared" si="0"/>
        <v>5.5</v>
      </c>
      <c r="J36" s="21" t="str">
        <f>VLOOKUP(A36,[1]CostBill!$B:$D,3,0)</f>
        <v>00340434713524995485</v>
      </c>
      <c r="K36" s="31">
        <v>45766</v>
      </c>
    </row>
    <row r="37" spans="1:11">
      <c r="A37" s="21" t="s">
        <v>86</v>
      </c>
      <c r="B37" s="21">
        <v>1</v>
      </c>
      <c r="C37" s="21" t="s">
        <v>42</v>
      </c>
      <c r="D37" s="21">
        <v>1</v>
      </c>
      <c r="E37" s="28">
        <v>0.55</v>
      </c>
      <c r="F37" s="21" t="s">
        <v>46</v>
      </c>
      <c r="G37" s="21" t="s">
        <v>78</v>
      </c>
      <c r="H37" s="21">
        <v>14.8</v>
      </c>
      <c r="I37" s="21">
        <f t="shared" si="0"/>
        <v>15.8</v>
      </c>
      <c r="J37" s="21" t="str">
        <f>VLOOKUP(A37,[1]CostBill!$B:$D,3,0)</f>
        <v>CD913904959DE</v>
      </c>
      <c r="K37" s="31">
        <v>45766</v>
      </c>
    </row>
    <row r="38" spans="1:11">
      <c r="A38" s="21" t="s">
        <v>87</v>
      </c>
      <c r="B38" s="21">
        <v>1</v>
      </c>
      <c r="C38" s="21" t="s">
        <v>42</v>
      </c>
      <c r="D38" s="21">
        <v>1</v>
      </c>
      <c r="E38" s="28">
        <v>0.55</v>
      </c>
      <c r="F38" s="21" t="s">
        <v>43</v>
      </c>
      <c r="G38" s="21" t="s">
        <v>44</v>
      </c>
      <c r="H38" s="21">
        <v>4.5</v>
      </c>
      <c r="I38" s="21">
        <f t="shared" si="0"/>
        <v>5.5</v>
      </c>
      <c r="J38" s="21" t="str">
        <f>VLOOKUP(A38,[1]CostBill!$B:$D,3,0)</f>
        <v>00340434713524995522</v>
      </c>
      <c r="K38" s="31">
        <v>45766</v>
      </c>
    </row>
    <row r="39" spans="1:11">
      <c r="A39" s="21" t="s">
        <v>88</v>
      </c>
      <c r="B39" s="21">
        <v>1</v>
      </c>
      <c r="C39" s="21" t="s">
        <v>42</v>
      </c>
      <c r="D39" s="21">
        <v>1</v>
      </c>
      <c r="E39" s="28">
        <v>0.55</v>
      </c>
      <c r="F39" s="21" t="s">
        <v>43</v>
      </c>
      <c r="G39" s="21" t="s">
        <v>44</v>
      </c>
      <c r="H39" s="21">
        <v>4.5</v>
      </c>
      <c r="I39" s="21">
        <f t="shared" si="0"/>
        <v>5.5</v>
      </c>
      <c r="J39" s="21" t="str">
        <f>VLOOKUP(A39,[1]CostBill!$B:$D,3,0)</f>
        <v>00340434713524995539</v>
      </c>
      <c r="K39" s="31">
        <v>45766</v>
      </c>
    </row>
    <row r="40" spans="1:11">
      <c r="A40" s="21" t="s">
        <v>89</v>
      </c>
      <c r="B40" s="21">
        <v>1</v>
      </c>
      <c r="C40" s="21" t="s">
        <v>42</v>
      </c>
      <c r="D40" s="21">
        <v>1</v>
      </c>
      <c r="E40" s="28">
        <v>0.55</v>
      </c>
      <c r="F40" s="21" t="s">
        <v>46</v>
      </c>
      <c r="G40" s="21" t="s">
        <v>47</v>
      </c>
      <c r="H40" s="21">
        <v>12.8</v>
      </c>
      <c r="I40" s="21">
        <f t="shared" si="0"/>
        <v>13.8</v>
      </c>
      <c r="J40" s="21" t="str">
        <f>VLOOKUP(A40,[1]CostBill!$B:$D,3,0)</f>
        <v>CD913904962DE</v>
      </c>
      <c r="K40" s="31">
        <v>45766</v>
      </c>
    </row>
    <row r="41" spans="1:11">
      <c r="A41" s="21" t="s">
        <v>90</v>
      </c>
      <c r="B41" s="21">
        <v>1</v>
      </c>
      <c r="C41" s="21" t="s">
        <v>42</v>
      </c>
      <c r="D41" s="21">
        <v>1</v>
      </c>
      <c r="E41" s="28">
        <v>0.15</v>
      </c>
      <c r="F41" s="21" t="s">
        <v>46</v>
      </c>
      <c r="G41" s="21" t="s">
        <v>47</v>
      </c>
      <c r="H41" s="21">
        <v>12.8</v>
      </c>
      <c r="I41" s="21">
        <f t="shared" si="0"/>
        <v>13.8</v>
      </c>
      <c r="J41" s="21" t="str">
        <f>VLOOKUP(A41,[1]CostBill!$B:$D,3,0)</f>
        <v>CD913905035DE</v>
      </c>
      <c r="K41" s="31">
        <v>45766</v>
      </c>
    </row>
    <row r="42" spans="1:11">
      <c r="A42" s="21" t="s">
        <v>91</v>
      </c>
      <c r="B42" s="21">
        <v>1</v>
      </c>
      <c r="C42" s="21" t="s">
        <v>42</v>
      </c>
      <c r="D42" s="21">
        <v>1</v>
      </c>
      <c r="E42" s="28">
        <v>0.25</v>
      </c>
      <c r="F42" s="21" t="s">
        <v>43</v>
      </c>
      <c r="G42" s="21" t="s">
        <v>44</v>
      </c>
      <c r="H42" s="21">
        <v>4.5</v>
      </c>
      <c r="I42" s="21">
        <f t="shared" si="0"/>
        <v>5.5</v>
      </c>
      <c r="J42" s="21" t="str">
        <f>VLOOKUP(A42,[1]CostBill!$B:$D,3,0)</f>
        <v>00340434713524995935</v>
      </c>
      <c r="K42" s="31">
        <v>45766</v>
      </c>
    </row>
    <row r="43" spans="1:11">
      <c r="A43" s="21" t="s">
        <v>92</v>
      </c>
      <c r="B43" s="21">
        <v>1</v>
      </c>
      <c r="C43" s="21" t="s">
        <v>42</v>
      </c>
      <c r="D43" s="21">
        <v>1</v>
      </c>
      <c r="E43" s="28">
        <v>0.15</v>
      </c>
      <c r="F43" s="21" t="s">
        <v>46</v>
      </c>
      <c r="G43" s="21" t="s">
        <v>47</v>
      </c>
      <c r="H43" s="21">
        <v>12.8</v>
      </c>
      <c r="I43" s="21">
        <f t="shared" si="0"/>
        <v>13.8</v>
      </c>
      <c r="J43" s="21" t="str">
        <f>VLOOKUP(A43,[1]CostBill!$B:$D,3,0)</f>
        <v>CD913905027DE</v>
      </c>
      <c r="K43" s="31">
        <v>45766</v>
      </c>
    </row>
    <row r="44" spans="1:11">
      <c r="A44" s="21" t="s">
        <v>93</v>
      </c>
      <c r="B44" s="21">
        <v>1</v>
      </c>
      <c r="C44" s="21" t="s">
        <v>42</v>
      </c>
      <c r="D44" s="21">
        <v>1</v>
      </c>
      <c r="E44" s="28">
        <v>0.2</v>
      </c>
      <c r="F44" s="21" t="s">
        <v>43</v>
      </c>
      <c r="G44" s="21" t="s">
        <v>44</v>
      </c>
      <c r="H44" s="21">
        <v>4.5</v>
      </c>
      <c r="I44" s="21">
        <f t="shared" si="0"/>
        <v>5.5</v>
      </c>
      <c r="J44" s="21" t="str">
        <f>VLOOKUP(A44,[1]CostBill!$B:$D,3,0)</f>
        <v>00340434713524995942</v>
      </c>
      <c r="K44" s="31">
        <v>45766</v>
      </c>
    </row>
    <row r="45" spans="1:11">
      <c r="A45" s="21" t="s">
        <v>94</v>
      </c>
      <c r="B45" s="21">
        <v>1</v>
      </c>
      <c r="C45" s="21" t="s">
        <v>42</v>
      </c>
      <c r="D45" s="21">
        <v>1</v>
      </c>
      <c r="E45" s="28">
        <v>0.3</v>
      </c>
      <c r="F45" s="21" t="s">
        <v>46</v>
      </c>
      <c r="G45" s="21" t="s">
        <v>47</v>
      </c>
      <c r="H45" s="21">
        <v>12.8</v>
      </c>
      <c r="I45" s="21">
        <f t="shared" si="0"/>
        <v>13.8</v>
      </c>
      <c r="J45" s="21" t="str">
        <f>VLOOKUP(A45,[1]CostBill!$B:$D,3,0)</f>
        <v>CD913905044DE</v>
      </c>
      <c r="K45" s="31">
        <v>45766</v>
      </c>
    </row>
    <row r="46" spans="1:11">
      <c r="A46" s="21" t="s">
        <v>95</v>
      </c>
      <c r="B46" s="21">
        <v>1</v>
      </c>
      <c r="C46" s="21" t="s">
        <v>42</v>
      </c>
      <c r="D46" s="21">
        <v>1</v>
      </c>
      <c r="E46" s="28">
        <v>0.3</v>
      </c>
      <c r="F46" s="21" t="s">
        <v>43</v>
      </c>
      <c r="G46" s="21" t="s">
        <v>44</v>
      </c>
      <c r="H46" s="21">
        <v>4.5</v>
      </c>
      <c r="I46" s="21">
        <f t="shared" si="0"/>
        <v>5.5</v>
      </c>
      <c r="J46" s="21" t="str">
        <f>VLOOKUP(A46,[1]CostBill!$B:$D,3,0)</f>
        <v>00340434713524000851</v>
      </c>
      <c r="K46" s="31">
        <v>45766</v>
      </c>
    </row>
    <row r="47" spans="1:11">
      <c r="A47" s="21" t="s">
        <v>96</v>
      </c>
      <c r="B47" s="21">
        <v>1</v>
      </c>
      <c r="C47" s="21" t="s">
        <v>42</v>
      </c>
      <c r="D47" s="21">
        <v>1</v>
      </c>
      <c r="E47" s="28">
        <v>0.55</v>
      </c>
      <c r="F47" s="21" t="s">
        <v>43</v>
      </c>
      <c r="G47" s="21" t="s">
        <v>44</v>
      </c>
      <c r="H47" s="21">
        <v>4.5</v>
      </c>
      <c r="I47" s="21">
        <f t="shared" si="0"/>
        <v>5.5</v>
      </c>
      <c r="J47" s="21" t="str">
        <f>VLOOKUP(A47,[1]CostBill!$B:$D,3,0)</f>
        <v>00340434713524995959</v>
      </c>
      <c r="K47" s="31">
        <v>45766</v>
      </c>
    </row>
    <row r="48" spans="1:11">
      <c r="A48" s="21" t="s">
        <v>97</v>
      </c>
      <c r="B48" s="21">
        <v>1</v>
      </c>
      <c r="C48" s="21" t="s">
        <v>42</v>
      </c>
      <c r="D48" s="21">
        <v>1</v>
      </c>
      <c r="E48" s="28">
        <v>0.55</v>
      </c>
      <c r="F48" s="21" t="s">
        <v>43</v>
      </c>
      <c r="G48" s="21" t="s">
        <v>44</v>
      </c>
      <c r="H48" s="21">
        <v>4.5</v>
      </c>
      <c r="I48" s="21">
        <f t="shared" si="0"/>
        <v>5.5</v>
      </c>
      <c r="J48" s="21" t="str">
        <f>VLOOKUP(A48,[1]CostBill!$B:$D,3,0)</f>
        <v>00340434713524995966</v>
      </c>
      <c r="K48" s="31">
        <v>45766</v>
      </c>
    </row>
    <row r="49" spans="1:11">
      <c r="A49" s="21" t="s">
        <v>98</v>
      </c>
      <c r="B49" s="21">
        <v>1</v>
      </c>
      <c r="C49" s="21" t="s">
        <v>42</v>
      </c>
      <c r="D49" s="21">
        <v>1</v>
      </c>
      <c r="E49" s="28">
        <v>0.55</v>
      </c>
      <c r="F49" s="21" t="s">
        <v>43</v>
      </c>
      <c r="G49" s="21" t="s">
        <v>44</v>
      </c>
      <c r="H49" s="21">
        <v>4.5</v>
      </c>
      <c r="I49" s="21">
        <f t="shared" si="0"/>
        <v>5.5</v>
      </c>
      <c r="J49" s="21" t="str">
        <f>VLOOKUP(A49,[1]CostBill!$B:$D,3,0)</f>
        <v>00340434713524995980</v>
      </c>
      <c r="K49" s="31">
        <v>45767</v>
      </c>
    </row>
    <row r="50" spans="1:11">
      <c r="A50" s="21" t="s">
        <v>99</v>
      </c>
      <c r="B50" s="21">
        <v>1</v>
      </c>
      <c r="C50" s="21" t="s">
        <v>42</v>
      </c>
      <c r="D50" s="21">
        <v>1</v>
      </c>
      <c r="E50" s="28">
        <v>0.55</v>
      </c>
      <c r="F50" s="21" t="s">
        <v>46</v>
      </c>
      <c r="G50" s="21" t="s">
        <v>100</v>
      </c>
      <c r="H50" s="21">
        <f>15.7+1.5*1</f>
        <v>17.2</v>
      </c>
      <c r="I50" s="21">
        <f t="shared" si="0"/>
        <v>18.2</v>
      </c>
      <c r="J50" s="21" t="str">
        <f>VLOOKUP(A50,[1]CostBill!$B:$D,3,0)</f>
        <v>CD913905129DE</v>
      </c>
      <c r="K50" s="31">
        <v>45767</v>
      </c>
    </row>
    <row r="51" spans="1:11">
      <c r="A51" s="21" t="s">
        <v>101</v>
      </c>
      <c r="B51" s="21">
        <v>1</v>
      </c>
      <c r="C51" s="21" t="s">
        <v>42</v>
      </c>
      <c r="D51" s="21">
        <v>1</v>
      </c>
      <c r="E51" s="28">
        <v>0.25</v>
      </c>
      <c r="F51" s="21" t="s">
        <v>43</v>
      </c>
      <c r="G51" s="21" t="s">
        <v>44</v>
      </c>
      <c r="H51" s="21">
        <v>4.5</v>
      </c>
      <c r="I51" s="21">
        <f t="shared" si="0"/>
        <v>5.5</v>
      </c>
      <c r="J51" s="21" t="str">
        <f>VLOOKUP(A51,[1]CostBill!$B:$D,3,0)</f>
        <v>00340434713524995997</v>
      </c>
      <c r="K51" s="31">
        <v>45767</v>
      </c>
    </row>
    <row r="52" spans="1:11">
      <c r="A52" s="21" t="s">
        <v>102</v>
      </c>
      <c r="B52" s="21">
        <v>1</v>
      </c>
      <c r="C52" s="21" t="s">
        <v>42</v>
      </c>
      <c r="D52" s="21">
        <v>1</v>
      </c>
      <c r="E52" s="28">
        <v>0.25</v>
      </c>
      <c r="F52" s="21" t="s">
        <v>43</v>
      </c>
      <c r="G52" s="21" t="s">
        <v>44</v>
      </c>
      <c r="H52" s="21">
        <v>4.5</v>
      </c>
      <c r="I52" s="21">
        <f t="shared" si="0"/>
        <v>5.5</v>
      </c>
      <c r="J52" s="21" t="str">
        <f>VLOOKUP(A52,[1]CostBill!$B:$D,3,0)</f>
        <v>00340434713524996000</v>
      </c>
      <c r="K52" s="31">
        <v>45767</v>
      </c>
    </row>
    <row r="53" spans="1:11">
      <c r="A53" s="21" t="s">
        <v>103</v>
      </c>
      <c r="B53" s="21">
        <v>1</v>
      </c>
      <c r="C53" s="21" t="s">
        <v>42</v>
      </c>
      <c r="D53" s="21">
        <v>1</v>
      </c>
      <c r="E53" s="28">
        <v>0.05</v>
      </c>
      <c r="F53" s="21" t="s">
        <v>46</v>
      </c>
      <c r="G53" s="21" t="s">
        <v>65</v>
      </c>
      <c r="H53" s="21">
        <v>11</v>
      </c>
      <c r="I53" s="21">
        <f t="shared" si="0"/>
        <v>12</v>
      </c>
      <c r="J53" s="21" t="str">
        <f>VLOOKUP(A53,[1]CostBill!$B:$D,3,0)</f>
        <v>CD913905322DE</v>
      </c>
      <c r="K53" s="31">
        <v>45767</v>
      </c>
    </row>
    <row r="54" spans="1:11">
      <c r="A54" s="21" t="s">
        <v>104</v>
      </c>
      <c r="B54" s="21">
        <v>1</v>
      </c>
      <c r="C54" s="21" t="s">
        <v>42</v>
      </c>
      <c r="D54" s="21">
        <v>1</v>
      </c>
      <c r="E54" s="28">
        <v>0.1</v>
      </c>
      <c r="F54" s="21" t="s">
        <v>43</v>
      </c>
      <c r="G54" s="21" t="s">
        <v>44</v>
      </c>
      <c r="H54" s="21">
        <v>4.5</v>
      </c>
      <c r="I54" s="21">
        <f t="shared" si="0"/>
        <v>5.5</v>
      </c>
      <c r="J54" s="21" t="str">
        <f>VLOOKUP(A54,[1]CostBill!$B:$D,3,0)</f>
        <v>00340434713524000844</v>
      </c>
      <c r="K54" s="31">
        <v>45768</v>
      </c>
    </row>
    <row r="55" spans="1:11">
      <c r="A55" s="21" t="s">
        <v>105</v>
      </c>
      <c r="B55" s="21">
        <v>1</v>
      </c>
      <c r="C55" s="21" t="s">
        <v>42</v>
      </c>
      <c r="D55" s="21">
        <v>1</v>
      </c>
      <c r="E55" s="28">
        <v>0.3</v>
      </c>
      <c r="F55" s="21" t="s">
        <v>43</v>
      </c>
      <c r="G55" s="21" t="s">
        <v>44</v>
      </c>
      <c r="H55" s="21">
        <v>4.5</v>
      </c>
      <c r="I55" s="21">
        <f t="shared" si="0"/>
        <v>5.5</v>
      </c>
      <c r="J55" s="21" t="str">
        <f>VLOOKUP(A55,[1]CostBill!$B:$D,3,0)</f>
        <v>00340434713524996543</v>
      </c>
      <c r="K55" s="31">
        <v>45768</v>
      </c>
    </row>
    <row r="56" spans="1:11">
      <c r="A56" s="21" t="s">
        <v>106</v>
      </c>
      <c r="B56" s="21">
        <v>1</v>
      </c>
      <c r="C56" s="21" t="s">
        <v>42</v>
      </c>
      <c r="D56" s="21">
        <v>1</v>
      </c>
      <c r="E56" s="28">
        <v>0.55</v>
      </c>
      <c r="F56" s="21" t="s">
        <v>46</v>
      </c>
      <c r="G56" s="21" t="s">
        <v>107</v>
      </c>
      <c r="H56" s="21">
        <f>14.8+1</f>
        <v>15.8</v>
      </c>
      <c r="I56" s="21">
        <f t="shared" si="0"/>
        <v>16.8</v>
      </c>
      <c r="J56" s="21" t="str">
        <f>VLOOKUP(A56,[1]CostBill!$B:$D,3,0)</f>
        <v>CD913905509DE</v>
      </c>
      <c r="K56" s="31">
        <v>45768</v>
      </c>
    </row>
    <row r="57" spans="1:11">
      <c r="A57" s="21" t="s">
        <v>108</v>
      </c>
      <c r="B57" s="21">
        <v>1</v>
      </c>
      <c r="C57" s="21" t="s">
        <v>42</v>
      </c>
      <c r="D57" s="21">
        <v>1</v>
      </c>
      <c r="E57" s="28">
        <v>0.55</v>
      </c>
      <c r="F57" s="21" t="s">
        <v>43</v>
      </c>
      <c r="G57" s="21" t="s">
        <v>44</v>
      </c>
      <c r="H57" s="21">
        <v>4.5</v>
      </c>
      <c r="I57" s="21">
        <f t="shared" si="0"/>
        <v>5.5</v>
      </c>
      <c r="J57" s="21" t="str">
        <f>VLOOKUP(A57,[1]CostBill!$B:$D,3,0)</f>
        <v>00340434713524996550</v>
      </c>
      <c r="K57" s="31">
        <v>45768</v>
      </c>
    </row>
    <row r="58" spans="1:11">
      <c r="A58" s="21" t="s">
        <v>109</v>
      </c>
      <c r="B58" s="21">
        <v>1</v>
      </c>
      <c r="C58" s="21" t="s">
        <v>62</v>
      </c>
      <c r="D58" s="21">
        <f>1+1</f>
        <v>2</v>
      </c>
      <c r="E58" s="28">
        <v>0.6</v>
      </c>
      <c r="F58" s="21" t="s">
        <v>43</v>
      </c>
      <c r="G58" s="21" t="s">
        <v>44</v>
      </c>
      <c r="H58" s="21">
        <v>4.5</v>
      </c>
      <c r="I58" s="21">
        <f t="shared" si="0"/>
        <v>6.5</v>
      </c>
      <c r="J58" s="21" t="str">
        <f>VLOOKUP(A58,[1]CostBill!$B:$D,3,0)</f>
        <v>00340434713524996567</v>
      </c>
      <c r="K58" s="31">
        <v>45768</v>
      </c>
    </row>
    <row r="59" spans="1:11">
      <c r="A59" s="21" t="s">
        <v>110</v>
      </c>
      <c r="B59" s="21">
        <v>1</v>
      </c>
      <c r="C59" s="21" t="s">
        <v>42</v>
      </c>
      <c r="D59" s="21">
        <v>1</v>
      </c>
      <c r="E59" s="28">
        <v>0.15</v>
      </c>
      <c r="F59" s="21" t="s">
        <v>43</v>
      </c>
      <c r="G59" s="21" t="s">
        <v>44</v>
      </c>
      <c r="H59" s="21">
        <v>4.5</v>
      </c>
      <c r="I59" s="21">
        <f t="shared" si="0"/>
        <v>5.5</v>
      </c>
      <c r="J59" s="21" t="str">
        <f>VLOOKUP(A59,[1]CostBill!$B:$D,3,0)</f>
        <v>00340434713524996574</v>
      </c>
      <c r="K59" s="31">
        <v>45768</v>
      </c>
    </row>
    <row r="60" spans="1:11">
      <c r="A60" s="21" t="s">
        <v>111</v>
      </c>
      <c r="B60" s="21">
        <v>1</v>
      </c>
      <c r="C60" s="21" t="s">
        <v>42</v>
      </c>
      <c r="D60" s="21">
        <v>1</v>
      </c>
      <c r="E60" s="28">
        <v>1.75</v>
      </c>
      <c r="F60" s="21" t="s">
        <v>43</v>
      </c>
      <c r="G60" s="21" t="s">
        <v>44</v>
      </c>
      <c r="H60" s="21">
        <v>4.5</v>
      </c>
      <c r="I60" s="21">
        <f t="shared" si="0"/>
        <v>5.5</v>
      </c>
      <c r="J60" s="21" t="str">
        <f>VLOOKUP(A60,[1]CostBill!$B:$D,3,0)</f>
        <v>00340434713524997151</v>
      </c>
      <c r="K60" s="31">
        <v>45768</v>
      </c>
    </row>
    <row r="61" spans="1:11">
      <c r="A61" s="21" t="s">
        <v>112</v>
      </c>
      <c r="B61" s="21">
        <v>1</v>
      </c>
      <c r="C61" s="21" t="s">
        <v>42</v>
      </c>
      <c r="D61" s="21">
        <v>1.2</v>
      </c>
      <c r="E61" s="28">
        <v>5.4</v>
      </c>
      <c r="F61" s="21" t="s">
        <v>43</v>
      </c>
      <c r="G61" s="21" t="s">
        <v>44</v>
      </c>
      <c r="H61" s="21">
        <v>5.2</v>
      </c>
      <c r="I61" s="21">
        <f t="shared" si="0"/>
        <v>6.4</v>
      </c>
      <c r="J61" s="21" t="str">
        <f>VLOOKUP(A61,[1]CostBill!$B:$D,3,0)</f>
        <v>00340434713524997144</v>
      </c>
      <c r="K61" s="31">
        <v>45768</v>
      </c>
    </row>
    <row r="62" spans="1:11">
      <c r="A62" s="21" t="s">
        <v>113</v>
      </c>
      <c r="B62" s="21">
        <v>1</v>
      </c>
      <c r="C62" s="21" t="s">
        <v>62</v>
      </c>
      <c r="D62" s="21">
        <f>1+1</f>
        <v>2</v>
      </c>
      <c r="E62" s="28">
        <v>1.1</v>
      </c>
      <c r="F62" s="21" t="s">
        <v>43</v>
      </c>
      <c r="G62" s="21" t="s">
        <v>44</v>
      </c>
      <c r="H62" s="21">
        <v>4.5</v>
      </c>
      <c r="I62" s="21">
        <f t="shared" si="0"/>
        <v>6.5</v>
      </c>
      <c r="J62" s="21" t="str">
        <f>VLOOKUP(A62,[1]CostBill!$B:$D,3,0)</f>
        <v>00340434713524998479</v>
      </c>
      <c r="K62" s="31">
        <v>45768</v>
      </c>
    </row>
    <row r="63" spans="1:11">
      <c r="A63" s="21" t="s">
        <v>114</v>
      </c>
      <c r="B63" s="21">
        <v>1</v>
      </c>
      <c r="C63" s="21" t="s">
        <v>42</v>
      </c>
      <c r="D63" s="21">
        <v>1</v>
      </c>
      <c r="E63" s="28">
        <v>0.15</v>
      </c>
      <c r="F63" s="21" t="s">
        <v>43</v>
      </c>
      <c r="G63" s="21" t="s">
        <v>44</v>
      </c>
      <c r="H63" s="21">
        <v>4.5</v>
      </c>
      <c r="I63" s="21">
        <f t="shared" ref="I63:I126" si="1">D63+H63</f>
        <v>5.5</v>
      </c>
      <c r="J63" s="21" t="str">
        <f>VLOOKUP(A63,[1]CostBill!$B:$D,3,0)</f>
        <v>00340434713524998509</v>
      </c>
      <c r="K63" s="31">
        <v>45768</v>
      </c>
    </row>
    <row r="64" spans="1:11">
      <c r="A64" s="21" t="s">
        <v>115</v>
      </c>
      <c r="B64" s="21">
        <v>1</v>
      </c>
      <c r="C64" s="21" t="s">
        <v>62</v>
      </c>
      <c r="D64" s="21">
        <f>1+1</f>
        <v>2</v>
      </c>
      <c r="E64" s="28">
        <v>0.4</v>
      </c>
      <c r="F64" s="21" t="s">
        <v>46</v>
      </c>
      <c r="G64" s="21" t="s">
        <v>54</v>
      </c>
      <c r="H64" s="21">
        <v>12.5</v>
      </c>
      <c r="I64" s="21">
        <f t="shared" si="1"/>
        <v>14.5</v>
      </c>
      <c r="J64" s="21" t="str">
        <f>VLOOKUP(A64,[1]CostBill!$B:$D,3,0)</f>
        <v>CD913908315DE</v>
      </c>
      <c r="K64" s="31">
        <v>45769</v>
      </c>
    </row>
    <row r="65" spans="1:11">
      <c r="A65" s="21" t="s">
        <v>116</v>
      </c>
      <c r="B65" s="21">
        <v>1</v>
      </c>
      <c r="C65" s="21" t="s">
        <v>42</v>
      </c>
      <c r="D65" s="21">
        <v>1</v>
      </c>
      <c r="E65" s="28">
        <v>0.15</v>
      </c>
      <c r="F65" s="21" t="s">
        <v>46</v>
      </c>
      <c r="G65" s="21" t="s">
        <v>49</v>
      </c>
      <c r="H65" s="21">
        <v>15.8</v>
      </c>
      <c r="I65" s="21">
        <f t="shared" si="1"/>
        <v>16.8</v>
      </c>
      <c r="J65" s="21" t="str">
        <f>VLOOKUP(A65,[1]CostBill!$B:$D,3,0)</f>
        <v>CD913908301DE</v>
      </c>
      <c r="K65" s="31">
        <v>45769</v>
      </c>
    </row>
    <row r="66" spans="1:11">
      <c r="A66" s="21" t="s">
        <v>117</v>
      </c>
      <c r="B66" s="21">
        <v>1</v>
      </c>
      <c r="C66" s="21" t="s">
        <v>42</v>
      </c>
      <c r="D66" s="21">
        <v>1</v>
      </c>
      <c r="E66" s="28">
        <v>0.55</v>
      </c>
      <c r="F66" s="21" t="s">
        <v>43</v>
      </c>
      <c r="G66" s="21" t="s">
        <v>44</v>
      </c>
      <c r="H66" s="21">
        <v>4.5</v>
      </c>
      <c r="I66" s="21">
        <f t="shared" si="1"/>
        <v>5.5</v>
      </c>
      <c r="J66" s="21" t="str">
        <f>VLOOKUP(A66,[1]CostBill!$B:$D,3,0)</f>
        <v>00340434713524998530</v>
      </c>
      <c r="K66" s="31">
        <v>45769</v>
      </c>
    </row>
    <row r="67" spans="1:11">
      <c r="A67" s="21" t="s">
        <v>118</v>
      </c>
      <c r="B67" s="21">
        <v>1</v>
      </c>
      <c r="C67" s="21" t="s">
        <v>42</v>
      </c>
      <c r="D67" s="21">
        <v>1</v>
      </c>
      <c r="E67" s="28">
        <v>0.55</v>
      </c>
      <c r="F67" s="21" t="s">
        <v>43</v>
      </c>
      <c r="G67" s="21" t="s">
        <v>44</v>
      </c>
      <c r="H67" s="21">
        <v>4.5</v>
      </c>
      <c r="I67" s="21">
        <f t="shared" si="1"/>
        <v>5.5</v>
      </c>
      <c r="J67" s="21" t="str">
        <f>VLOOKUP(A67,[1]CostBill!$B:$D,3,0)</f>
        <v>00340434713524998523</v>
      </c>
      <c r="K67" s="31">
        <v>45769</v>
      </c>
    </row>
    <row r="68" spans="1:11">
      <c r="A68" s="21" t="s">
        <v>119</v>
      </c>
      <c r="B68" s="21">
        <v>1</v>
      </c>
      <c r="C68" s="21" t="s">
        <v>42</v>
      </c>
      <c r="D68" s="21">
        <v>1</v>
      </c>
      <c r="E68" s="28">
        <v>0.55</v>
      </c>
      <c r="F68" s="21" t="s">
        <v>43</v>
      </c>
      <c r="G68" s="21" t="s">
        <v>44</v>
      </c>
      <c r="H68" s="21">
        <v>4.5</v>
      </c>
      <c r="I68" s="21">
        <f t="shared" si="1"/>
        <v>5.5</v>
      </c>
      <c r="J68" s="21" t="str">
        <f>VLOOKUP(A68,[1]CostBill!$B:$D,3,0)</f>
        <v>00340434713524000622</v>
      </c>
      <c r="K68" s="31">
        <v>45769</v>
      </c>
    </row>
    <row r="69" spans="1:11">
      <c r="A69" s="21" t="s">
        <v>120</v>
      </c>
      <c r="B69" s="21">
        <v>1</v>
      </c>
      <c r="C69" s="21" t="s">
        <v>42</v>
      </c>
      <c r="D69" s="21">
        <v>1</v>
      </c>
      <c r="E69" s="28">
        <v>0.55</v>
      </c>
      <c r="F69" s="21" t="s">
        <v>43</v>
      </c>
      <c r="G69" s="21" t="s">
        <v>44</v>
      </c>
      <c r="H69" s="21">
        <v>4.5</v>
      </c>
      <c r="I69" s="21">
        <f t="shared" si="1"/>
        <v>5.5</v>
      </c>
      <c r="J69" s="21" t="str">
        <f>VLOOKUP(A69,[1]CostBill!$B:$D,3,0)</f>
        <v>00340434713524998547</v>
      </c>
      <c r="K69" s="31">
        <v>45769</v>
      </c>
    </row>
    <row r="70" spans="1:11">
      <c r="A70" s="21" t="s">
        <v>121</v>
      </c>
      <c r="B70" s="21">
        <v>1</v>
      </c>
      <c r="C70" s="21" t="s">
        <v>42</v>
      </c>
      <c r="D70" s="21">
        <v>1</v>
      </c>
      <c r="E70" s="28">
        <v>0.55</v>
      </c>
      <c r="F70" s="21" t="s">
        <v>46</v>
      </c>
      <c r="G70" s="21" t="s">
        <v>47</v>
      </c>
      <c r="H70" s="21">
        <v>12.8</v>
      </c>
      <c r="I70" s="21">
        <f t="shared" si="1"/>
        <v>13.8</v>
      </c>
      <c r="J70" s="21" t="str">
        <f>VLOOKUP(A70,[1]CostBill!$B:$D,3,0)</f>
        <v>CD913908350DE</v>
      </c>
      <c r="K70" s="31">
        <v>45769</v>
      </c>
    </row>
    <row r="71" spans="1:11">
      <c r="A71" s="21" t="s">
        <v>122</v>
      </c>
      <c r="B71" s="21">
        <v>1</v>
      </c>
      <c r="C71" s="21" t="s">
        <v>42</v>
      </c>
      <c r="D71" s="21">
        <v>1</v>
      </c>
      <c r="E71" s="28">
        <v>0.3</v>
      </c>
      <c r="F71" s="21" t="s">
        <v>43</v>
      </c>
      <c r="G71" s="21" t="s">
        <v>44</v>
      </c>
      <c r="H71" s="21">
        <v>4.5</v>
      </c>
      <c r="I71" s="21">
        <f t="shared" si="1"/>
        <v>5.5</v>
      </c>
      <c r="J71" s="21" t="str">
        <f>VLOOKUP(A71,[1]CostBill!$B:$D,3,0)</f>
        <v>00340434713524998639</v>
      </c>
      <c r="K71" s="31">
        <v>45769</v>
      </c>
    </row>
    <row r="72" spans="1:11">
      <c r="A72" s="21" t="s">
        <v>123</v>
      </c>
      <c r="B72" s="21">
        <v>1</v>
      </c>
      <c r="C72" s="21" t="s">
        <v>42</v>
      </c>
      <c r="D72" s="21">
        <v>1</v>
      </c>
      <c r="E72" s="28">
        <v>0.55</v>
      </c>
      <c r="F72" s="21" t="s">
        <v>46</v>
      </c>
      <c r="G72" s="21" t="s">
        <v>78</v>
      </c>
      <c r="H72" s="21">
        <v>14.8</v>
      </c>
      <c r="I72" s="21">
        <f t="shared" si="1"/>
        <v>15.8</v>
      </c>
      <c r="J72" s="21" t="str">
        <f>VLOOKUP(A72,[1]CostBill!$B:$D,3,0)</f>
        <v>CD913908385DE</v>
      </c>
      <c r="K72" s="31">
        <v>45769</v>
      </c>
    </row>
    <row r="73" spans="1:11">
      <c r="A73" s="21" t="s">
        <v>124</v>
      </c>
      <c r="B73" s="21">
        <v>1</v>
      </c>
      <c r="C73" s="21" t="s">
        <v>42</v>
      </c>
      <c r="D73" s="21">
        <v>1</v>
      </c>
      <c r="E73" s="28">
        <v>0.55</v>
      </c>
      <c r="F73" s="21" t="s">
        <v>46</v>
      </c>
      <c r="G73" s="21" t="s">
        <v>49</v>
      </c>
      <c r="H73" s="21">
        <v>15.8</v>
      </c>
      <c r="I73" s="21">
        <f t="shared" si="1"/>
        <v>16.8</v>
      </c>
      <c r="J73" s="21" t="str">
        <f>VLOOKUP(A73,[1]CostBill!$B:$D,3,0)</f>
        <v>CD913908363DE</v>
      </c>
      <c r="K73" s="31">
        <v>45769</v>
      </c>
    </row>
    <row r="74" spans="1:11">
      <c r="A74" s="21" t="s">
        <v>125</v>
      </c>
      <c r="B74" s="21">
        <v>1</v>
      </c>
      <c r="C74" s="21" t="s">
        <v>42</v>
      </c>
      <c r="D74" s="21">
        <v>1</v>
      </c>
      <c r="E74" s="28">
        <v>0.55</v>
      </c>
      <c r="F74" s="21" t="s">
        <v>43</v>
      </c>
      <c r="G74" s="21" t="s">
        <v>44</v>
      </c>
      <c r="H74" s="21">
        <v>4.5</v>
      </c>
      <c r="I74" s="21">
        <f t="shared" si="1"/>
        <v>5.5</v>
      </c>
      <c r="J74" s="21" t="str">
        <f>VLOOKUP(A74,[1]CostBill!$B:$D,3,0)</f>
        <v>00340434713524999056</v>
      </c>
      <c r="K74" s="31">
        <v>45769</v>
      </c>
    </row>
    <row r="75" spans="1:11">
      <c r="A75" s="21" t="s">
        <v>126</v>
      </c>
      <c r="B75" s="21">
        <v>1</v>
      </c>
      <c r="C75" s="21" t="s">
        <v>42</v>
      </c>
      <c r="D75" s="21">
        <v>1</v>
      </c>
      <c r="E75" s="28">
        <v>0.25</v>
      </c>
      <c r="F75" s="21" t="s">
        <v>43</v>
      </c>
      <c r="G75" s="21" t="s">
        <v>44</v>
      </c>
      <c r="H75" s="21">
        <v>4.5</v>
      </c>
      <c r="I75" s="21">
        <f t="shared" si="1"/>
        <v>5.5</v>
      </c>
      <c r="J75" s="21" t="str">
        <f>VLOOKUP(A75,[1]CostBill!$B:$D,3,0)</f>
        <v>00340434713524001018</v>
      </c>
      <c r="K75" s="31">
        <v>45770</v>
      </c>
    </row>
    <row r="76" spans="1:11">
      <c r="A76" s="21" t="s">
        <v>127</v>
      </c>
      <c r="B76" s="21">
        <v>1</v>
      </c>
      <c r="C76" s="21" t="s">
        <v>42</v>
      </c>
      <c r="D76" s="21">
        <v>1</v>
      </c>
      <c r="E76" s="28">
        <v>1</v>
      </c>
      <c r="F76" s="21" t="s">
        <v>43</v>
      </c>
      <c r="G76" s="21" t="s">
        <v>44</v>
      </c>
      <c r="H76" s="21">
        <v>4.5</v>
      </c>
      <c r="I76" s="21">
        <f t="shared" si="1"/>
        <v>5.5</v>
      </c>
      <c r="J76" s="21" t="str">
        <f>VLOOKUP(A76,[1]CostBill!$B:$D,3,0)</f>
        <v>00340434713524001025</v>
      </c>
      <c r="K76" s="31">
        <v>45770</v>
      </c>
    </row>
    <row r="77" spans="1:11">
      <c r="A77" s="21" t="s">
        <v>128</v>
      </c>
      <c r="B77" s="21">
        <v>1</v>
      </c>
      <c r="C77" s="21" t="s">
        <v>42</v>
      </c>
      <c r="D77" s="21">
        <v>1</v>
      </c>
      <c r="E77" s="28">
        <v>0.55</v>
      </c>
      <c r="F77" s="21" t="s">
        <v>43</v>
      </c>
      <c r="G77" s="21" t="s">
        <v>44</v>
      </c>
      <c r="H77" s="21">
        <v>4.5</v>
      </c>
      <c r="I77" s="21">
        <f t="shared" si="1"/>
        <v>5.5</v>
      </c>
      <c r="J77" s="21" t="str">
        <f>VLOOKUP(A77,[1]CostBill!$B:$D,3,0)</f>
        <v>00340434713524001032</v>
      </c>
      <c r="K77" s="31">
        <v>45770</v>
      </c>
    </row>
    <row r="78" spans="1:11">
      <c r="A78" s="21" t="s">
        <v>129</v>
      </c>
      <c r="B78" s="21">
        <v>1</v>
      </c>
      <c r="C78" s="21" t="s">
        <v>130</v>
      </c>
      <c r="D78" s="21">
        <f>1+1*3</f>
        <v>4</v>
      </c>
      <c r="E78" s="28">
        <v>2.2</v>
      </c>
      <c r="F78" s="21" t="s">
        <v>43</v>
      </c>
      <c r="G78" s="21" t="s">
        <v>44</v>
      </c>
      <c r="H78" s="21">
        <v>4.5</v>
      </c>
      <c r="I78" s="21">
        <f t="shared" si="1"/>
        <v>8.5</v>
      </c>
      <c r="J78" s="21" t="str">
        <f>VLOOKUP(A78,[1]CostBill!$B:$D,3,0)</f>
        <v>00340434713524001049</v>
      </c>
      <c r="K78" s="31">
        <v>45770</v>
      </c>
    </row>
    <row r="79" spans="1:11">
      <c r="A79" s="21" t="s">
        <v>131</v>
      </c>
      <c r="B79" s="21">
        <v>1</v>
      </c>
      <c r="C79" s="21" t="s">
        <v>42</v>
      </c>
      <c r="D79" s="21">
        <v>1</v>
      </c>
      <c r="E79" s="28">
        <v>0.55</v>
      </c>
      <c r="F79" s="21" t="s">
        <v>43</v>
      </c>
      <c r="G79" s="21" t="s">
        <v>44</v>
      </c>
      <c r="H79" s="21">
        <v>4.5</v>
      </c>
      <c r="I79" s="21">
        <f t="shared" si="1"/>
        <v>5.5</v>
      </c>
      <c r="J79" s="21" t="str">
        <f>VLOOKUP(A79,[1]CostBill!$B:$D,3,0)</f>
        <v>00340434713524001056</v>
      </c>
      <c r="K79" s="31">
        <v>45770</v>
      </c>
    </row>
    <row r="80" spans="1:11">
      <c r="A80" s="21" t="s">
        <v>132</v>
      </c>
      <c r="B80" s="21">
        <v>1</v>
      </c>
      <c r="C80" s="21" t="s">
        <v>62</v>
      </c>
      <c r="D80" s="21">
        <f>1+1</f>
        <v>2</v>
      </c>
      <c r="E80" s="28">
        <v>1.1</v>
      </c>
      <c r="F80" s="21" t="s">
        <v>43</v>
      </c>
      <c r="G80" s="21" t="s">
        <v>44</v>
      </c>
      <c r="H80" s="21">
        <v>4.5</v>
      </c>
      <c r="I80" s="21">
        <f t="shared" si="1"/>
        <v>6.5</v>
      </c>
      <c r="J80" s="21" t="str">
        <f>VLOOKUP(A80,[1]CostBill!$B:$D,3,0)</f>
        <v>00340434713524002985</v>
      </c>
      <c r="K80" s="31">
        <v>45770</v>
      </c>
    </row>
    <row r="81" spans="1:11">
      <c r="A81" s="21" t="s">
        <v>133</v>
      </c>
      <c r="B81" s="21">
        <v>1</v>
      </c>
      <c r="C81" s="21" t="s">
        <v>42</v>
      </c>
      <c r="D81" s="21">
        <v>1</v>
      </c>
      <c r="E81" s="28">
        <v>0.65</v>
      </c>
      <c r="F81" s="21" t="s">
        <v>43</v>
      </c>
      <c r="G81" s="21" t="s">
        <v>44</v>
      </c>
      <c r="H81" s="21">
        <v>4.5</v>
      </c>
      <c r="I81" s="21">
        <f t="shared" si="1"/>
        <v>5.5</v>
      </c>
      <c r="J81" s="21" t="str">
        <f>VLOOKUP(A81,[1]CostBill!$B:$D,3,0)</f>
        <v>00340434713524003142</v>
      </c>
      <c r="K81" s="31">
        <v>45770</v>
      </c>
    </row>
    <row r="82" spans="1:11">
      <c r="A82" s="21" t="s">
        <v>134</v>
      </c>
      <c r="B82" s="21">
        <v>1</v>
      </c>
      <c r="C82" s="21" t="s">
        <v>42</v>
      </c>
      <c r="D82" s="21">
        <v>1</v>
      </c>
      <c r="E82" s="28">
        <v>0.55</v>
      </c>
      <c r="F82" s="21" t="s">
        <v>43</v>
      </c>
      <c r="G82" s="21" t="s">
        <v>44</v>
      </c>
      <c r="H82" s="21">
        <v>4.5</v>
      </c>
      <c r="I82" s="21">
        <f t="shared" si="1"/>
        <v>5.5</v>
      </c>
      <c r="J82" s="21" t="str">
        <f>VLOOKUP(A82,[1]CostBill!$B:$D,3,0)</f>
        <v>00340434713524003234</v>
      </c>
      <c r="K82" s="31">
        <v>45771</v>
      </c>
    </row>
    <row r="83" spans="1:11">
      <c r="A83" s="21" t="s">
        <v>135</v>
      </c>
      <c r="B83" s="21">
        <v>1</v>
      </c>
      <c r="C83" s="21" t="s">
        <v>42</v>
      </c>
      <c r="D83" s="21">
        <v>1</v>
      </c>
      <c r="E83" s="28">
        <v>0.55</v>
      </c>
      <c r="F83" s="21" t="s">
        <v>46</v>
      </c>
      <c r="G83" s="21" t="s">
        <v>107</v>
      </c>
      <c r="H83" s="21">
        <f>14.8+1</f>
        <v>15.8</v>
      </c>
      <c r="I83" s="21">
        <f t="shared" si="1"/>
        <v>16.8</v>
      </c>
      <c r="J83" s="21" t="str">
        <f>VLOOKUP(A83,[1]CostBill!$B:$D,3,0)</f>
        <v>CD913911464DE</v>
      </c>
      <c r="K83" s="31">
        <v>45771</v>
      </c>
    </row>
    <row r="84" spans="1:11">
      <c r="A84" s="21" t="s">
        <v>136</v>
      </c>
      <c r="B84" s="21">
        <v>1</v>
      </c>
      <c r="C84" s="21" t="s">
        <v>62</v>
      </c>
      <c r="D84" s="21">
        <f>1+1</f>
        <v>2</v>
      </c>
      <c r="E84" s="28">
        <v>1.1</v>
      </c>
      <c r="F84" s="21" t="s">
        <v>43</v>
      </c>
      <c r="G84" s="21" t="s">
        <v>44</v>
      </c>
      <c r="H84" s="21">
        <v>4.5</v>
      </c>
      <c r="I84" s="21">
        <f t="shared" si="1"/>
        <v>6.5</v>
      </c>
      <c r="J84" s="21" t="str">
        <f>VLOOKUP(A84,[1]CostBill!$B:$D,3,0)</f>
        <v>00340434713524003258</v>
      </c>
      <c r="K84" s="31">
        <v>45771</v>
      </c>
    </row>
    <row r="85" spans="1:11">
      <c r="A85" s="21" t="s">
        <v>137</v>
      </c>
      <c r="B85" s="21">
        <v>1</v>
      </c>
      <c r="C85" s="21" t="s">
        <v>42</v>
      </c>
      <c r="D85" s="21">
        <v>1</v>
      </c>
      <c r="E85" s="28">
        <v>0.55</v>
      </c>
      <c r="F85" s="21" t="s">
        <v>43</v>
      </c>
      <c r="G85" s="21" t="s">
        <v>44</v>
      </c>
      <c r="H85" s="21">
        <v>4.5</v>
      </c>
      <c r="I85" s="21">
        <f t="shared" si="1"/>
        <v>5.5</v>
      </c>
      <c r="J85" s="21" t="str">
        <f>VLOOKUP(A85,[1]CostBill!$B:$D,3,0)</f>
        <v>00340434713524003272</v>
      </c>
      <c r="K85" s="31">
        <v>45771</v>
      </c>
    </row>
    <row r="86" spans="1:11">
      <c r="A86" s="21" t="s">
        <v>138</v>
      </c>
      <c r="B86" s="21">
        <v>1</v>
      </c>
      <c r="C86" s="21" t="s">
        <v>42</v>
      </c>
      <c r="D86" s="21">
        <v>1</v>
      </c>
      <c r="E86" s="28">
        <v>0.55</v>
      </c>
      <c r="F86" s="21" t="s">
        <v>43</v>
      </c>
      <c r="G86" s="21" t="s">
        <v>44</v>
      </c>
      <c r="H86" s="21">
        <v>4.5</v>
      </c>
      <c r="I86" s="21">
        <f t="shared" si="1"/>
        <v>5.5</v>
      </c>
      <c r="J86" s="21" t="str">
        <f>VLOOKUP(A86,[1]CostBill!$B:$D,3,0)</f>
        <v>00340434713524003265</v>
      </c>
      <c r="K86" s="31">
        <v>45771</v>
      </c>
    </row>
    <row r="87" spans="1:11">
      <c r="A87" s="21" t="s">
        <v>139</v>
      </c>
      <c r="B87" s="21">
        <v>1</v>
      </c>
      <c r="C87" s="21" t="s">
        <v>42</v>
      </c>
      <c r="D87" s="21">
        <v>1</v>
      </c>
      <c r="E87" s="28">
        <v>0.55</v>
      </c>
      <c r="F87" s="21" t="s">
        <v>43</v>
      </c>
      <c r="G87" s="21" t="s">
        <v>44</v>
      </c>
      <c r="H87" s="21">
        <v>4.5</v>
      </c>
      <c r="I87" s="21">
        <f t="shared" si="1"/>
        <v>5.5</v>
      </c>
      <c r="J87" s="21" t="str">
        <f>VLOOKUP(A87,[1]CostBill!$B:$D,3,0)</f>
        <v>00340434713524003289</v>
      </c>
      <c r="K87" s="31">
        <v>45771</v>
      </c>
    </row>
    <row r="88" spans="1:11">
      <c r="A88" s="21" t="s">
        <v>140</v>
      </c>
      <c r="B88" s="21">
        <v>1</v>
      </c>
      <c r="C88" s="21" t="s">
        <v>42</v>
      </c>
      <c r="D88" s="21">
        <v>1</v>
      </c>
      <c r="E88" s="28">
        <v>0.15</v>
      </c>
      <c r="F88" s="21" t="s">
        <v>46</v>
      </c>
      <c r="G88" s="21" t="s">
        <v>47</v>
      </c>
      <c r="H88" s="21">
        <v>12.8</v>
      </c>
      <c r="I88" s="21">
        <f t="shared" si="1"/>
        <v>13.8</v>
      </c>
      <c r="J88" s="21" t="str">
        <f>VLOOKUP(A88,[1]CostBill!$B:$D,3,0)</f>
        <v>CD913912045DE</v>
      </c>
      <c r="K88" s="31">
        <v>45771</v>
      </c>
    </row>
    <row r="89" spans="1:11">
      <c r="A89" s="21" t="s">
        <v>141</v>
      </c>
      <c r="B89" s="21">
        <v>1</v>
      </c>
      <c r="C89" s="21" t="s">
        <v>62</v>
      </c>
      <c r="D89" s="21">
        <f>1+1</f>
        <v>2</v>
      </c>
      <c r="E89" s="28">
        <v>3.5</v>
      </c>
      <c r="F89" s="21" t="s">
        <v>43</v>
      </c>
      <c r="G89" s="21" t="s">
        <v>44</v>
      </c>
      <c r="H89" s="21">
        <v>5.2</v>
      </c>
      <c r="I89" s="21">
        <f t="shared" si="1"/>
        <v>7.2</v>
      </c>
      <c r="J89" s="21" t="str">
        <f>VLOOKUP(A89,[1]CostBill!$B:$D,3,0)</f>
        <v>00340434713524004149</v>
      </c>
      <c r="K89" s="31">
        <v>45771</v>
      </c>
    </row>
    <row r="90" spans="1:11">
      <c r="A90" s="21" t="s">
        <v>142</v>
      </c>
      <c r="B90" s="21">
        <v>1</v>
      </c>
      <c r="C90" s="21" t="s">
        <v>42</v>
      </c>
      <c r="D90" s="21">
        <v>1</v>
      </c>
      <c r="E90" s="28">
        <v>0.5</v>
      </c>
      <c r="F90" s="21" t="s">
        <v>43</v>
      </c>
      <c r="G90" s="21" t="s">
        <v>44</v>
      </c>
      <c r="H90" s="21">
        <v>4.5</v>
      </c>
      <c r="I90" s="21">
        <f t="shared" si="1"/>
        <v>5.5</v>
      </c>
      <c r="J90" s="21" t="str">
        <f>VLOOKUP(A90,[1]CostBill!$B:$D,3,0)</f>
        <v>00340434713524004781</v>
      </c>
      <c r="K90" s="31">
        <v>45772</v>
      </c>
    </row>
    <row r="91" spans="1:11">
      <c r="A91" s="21" t="s">
        <v>143</v>
      </c>
      <c r="B91" s="21">
        <v>1</v>
      </c>
      <c r="C91" s="21" t="s">
        <v>42</v>
      </c>
      <c r="D91" s="21">
        <v>1</v>
      </c>
      <c r="E91" s="28">
        <v>0.55</v>
      </c>
      <c r="F91" s="21" t="s">
        <v>43</v>
      </c>
      <c r="G91" s="21" t="s">
        <v>44</v>
      </c>
      <c r="H91" s="21">
        <v>4.5</v>
      </c>
      <c r="I91" s="21">
        <f t="shared" si="1"/>
        <v>5.5</v>
      </c>
      <c r="J91" s="21" t="str">
        <f>VLOOKUP(A91,[1]CostBill!$B:$D,3,0)</f>
        <v>00340434713524006389</v>
      </c>
      <c r="K91" s="31">
        <v>45772</v>
      </c>
    </row>
    <row r="92" spans="1:11">
      <c r="A92" s="21" t="s">
        <v>144</v>
      </c>
      <c r="B92" s="21">
        <v>1</v>
      </c>
      <c r="C92" s="21" t="s">
        <v>42</v>
      </c>
      <c r="D92" s="21">
        <v>1</v>
      </c>
      <c r="E92" s="28">
        <v>0.55</v>
      </c>
      <c r="F92" s="21" t="s">
        <v>43</v>
      </c>
      <c r="G92" s="21" t="s">
        <v>44</v>
      </c>
      <c r="H92" s="21">
        <v>4.5</v>
      </c>
      <c r="I92" s="21">
        <f t="shared" si="1"/>
        <v>5.5</v>
      </c>
      <c r="J92" s="21" t="str">
        <f>VLOOKUP(A92,[1]CostBill!$B:$D,3,0)</f>
        <v>00340434713524004828</v>
      </c>
      <c r="K92" s="31">
        <v>45772</v>
      </c>
    </row>
    <row r="93" spans="1:11">
      <c r="A93" s="21" t="s">
        <v>145</v>
      </c>
      <c r="B93" s="21">
        <v>1</v>
      </c>
      <c r="C93" s="21" t="s">
        <v>42</v>
      </c>
      <c r="D93" s="21">
        <v>1</v>
      </c>
      <c r="E93" s="28">
        <v>0.55</v>
      </c>
      <c r="F93" s="21" t="s">
        <v>43</v>
      </c>
      <c r="G93" s="21" t="s">
        <v>44</v>
      </c>
      <c r="H93" s="21">
        <v>4.5</v>
      </c>
      <c r="I93" s="21">
        <f t="shared" si="1"/>
        <v>5.5</v>
      </c>
      <c r="J93" s="21" t="str">
        <f>VLOOKUP(A93,[1]CostBill!$B:$D,3,0)</f>
        <v>00340434713524004835</v>
      </c>
      <c r="K93" s="31">
        <v>45772</v>
      </c>
    </row>
    <row r="94" spans="1:11">
      <c r="A94" s="21" t="s">
        <v>146</v>
      </c>
      <c r="B94" s="21">
        <v>1</v>
      </c>
      <c r="C94" s="21" t="s">
        <v>42</v>
      </c>
      <c r="D94" s="21">
        <v>1</v>
      </c>
      <c r="E94" s="28">
        <v>0.55</v>
      </c>
      <c r="F94" s="21" t="s">
        <v>43</v>
      </c>
      <c r="G94" s="21" t="s">
        <v>44</v>
      </c>
      <c r="H94" s="21">
        <v>4.5</v>
      </c>
      <c r="I94" s="21">
        <f t="shared" si="1"/>
        <v>5.5</v>
      </c>
      <c r="J94" s="21" t="str">
        <f>VLOOKUP(A94,[1]CostBill!$B:$D,3,0)</f>
        <v>00340434713524004842</v>
      </c>
      <c r="K94" s="31">
        <v>45772</v>
      </c>
    </row>
    <row r="95" spans="1:11">
      <c r="A95" s="21" t="s">
        <v>147</v>
      </c>
      <c r="B95" s="21">
        <v>1</v>
      </c>
      <c r="C95" s="21" t="s">
        <v>42</v>
      </c>
      <c r="D95" s="21">
        <v>1</v>
      </c>
      <c r="E95" s="28">
        <v>0.55</v>
      </c>
      <c r="F95" s="21" t="s">
        <v>43</v>
      </c>
      <c r="G95" s="21" t="s">
        <v>44</v>
      </c>
      <c r="H95" s="21">
        <v>4.5</v>
      </c>
      <c r="I95" s="21">
        <f t="shared" si="1"/>
        <v>5.5</v>
      </c>
      <c r="J95" s="21" t="str">
        <f>VLOOKUP(A95,[1]CostBill!$B:$D,3,0)</f>
        <v>00340434713524004866</v>
      </c>
      <c r="K95" s="31">
        <v>45772</v>
      </c>
    </row>
    <row r="96" spans="1:11">
      <c r="A96" s="21" t="s">
        <v>148</v>
      </c>
      <c r="B96" s="21">
        <v>1</v>
      </c>
      <c r="C96" s="21" t="s">
        <v>42</v>
      </c>
      <c r="D96" s="21">
        <v>1</v>
      </c>
      <c r="E96" s="28">
        <v>0.55</v>
      </c>
      <c r="F96" s="21" t="s">
        <v>46</v>
      </c>
      <c r="G96" s="21" t="s">
        <v>78</v>
      </c>
      <c r="H96" s="21">
        <v>14.8</v>
      </c>
      <c r="I96" s="21">
        <f t="shared" si="1"/>
        <v>15.8</v>
      </c>
      <c r="J96" s="21" t="str">
        <f>VLOOKUP(A96,[1]CostBill!$B:$D,3,0)</f>
        <v>CD913912685DE</v>
      </c>
      <c r="K96" s="31">
        <v>45772</v>
      </c>
    </row>
    <row r="97" spans="1:11">
      <c r="A97" s="21" t="s">
        <v>149</v>
      </c>
      <c r="B97" s="21">
        <v>1</v>
      </c>
      <c r="C97" s="21" t="s">
        <v>42</v>
      </c>
      <c r="D97" s="21">
        <v>1</v>
      </c>
      <c r="E97" s="28">
        <v>0.55</v>
      </c>
      <c r="F97" s="21" t="s">
        <v>43</v>
      </c>
      <c r="G97" s="21" t="s">
        <v>44</v>
      </c>
      <c r="H97" s="21">
        <v>4.5</v>
      </c>
      <c r="I97" s="21">
        <f t="shared" si="1"/>
        <v>5.5</v>
      </c>
      <c r="J97" s="21" t="str">
        <f>VLOOKUP(A97,[1]CostBill!$B:$D,3,0)</f>
        <v>00340434713524004859</v>
      </c>
      <c r="K97" s="31">
        <v>45772</v>
      </c>
    </row>
    <row r="98" spans="1:11">
      <c r="A98" s="21" t="s">
        <v>150</v>
      </c>
      <c r="B98" s="21">
        <v>1</v>
      </c>
      <c r="C98" s="21" t="s">
        <v>42</v>
      </c>
      <c r="D98" s="21">
        <v>1</v>
      </c>
      <c r="E98" s="28">
        <v>0.1</v>
      </c>
      <c r="F98" s="21" t="s">
        <v>46</v>
      </c>
      <c r="G98" s="21" t="s">
        <v>49</v>
      </c>
      <c r="H98" s="21">
        <v>15.8</v>
      </c>
      <c r="I98" s="21">
        <f t="shared" si="1"/>
        <v>16.8</v>
      </c>
      <c r="J98" s="21" t="str">
        <f>VLOOKUP(A98,[1]CostBill!$B:$D,3,0)</f>
        <v>CD913912703DE</v>
      </c>
      <c r="K98" s="31">
        <v>45772</v>
      </c>
    </row>
    <row r="99" spans="1:11">
      <c r="A99" s="21" t="s">
        <v>151</v>
      </c>
      <c r="B99" s="21">
        <v>1</v>
      </c>
      <c r="C99" s="21" t="s">
        <v>42</v>
      </c>
      <c r="D99" s="21">
        <v>1</v>
      </c>
      <c r="E99" s="28">
        <v>0.2</v>
      </c>
      <c r="F99" s="21" t="s">
        <v>46</v>
      </c>
      <c r="G99" s="21" t="s">
        <v>54</v>
      </c>
      <c r="H99" s="21">
        <v>12.5</v>
      </c>
      <c r="I99" s="21">
        <f t="shared" si="1"/>
        <v>13.5</v>
      </c>
      <c r="J99" s="21" t="str">
        <f>VLOOKUP(A99,[1]CostBill!$B:$D,3,0)</f>
        <v>CD913912694DE</v>
      </c>
      <c r="K99" s="31">
        <v>45772</v>
      </c>
    </row>
    <row r="100" spans="1:11">
      <c r="A100" s="21" t="s">
        <v>152</v>
      </c>
      <c r="B100" s="21">
        <v>1</v>
      </c>
      <c r="C100" s="21" t="s">
        <v>62</v>
      </c>
      <c r="D100" s="21">
        <f>1+1</f>
        <v>2</v>
      </c>
      <c r="E100" s="28">
        <v>1.1</v>
      </c>
      <c r="F100" s="21" t="s">
        <v>43</v>
      </c>
      <c r="G100" s="21" t="s">
        <v>44</v>
      </c>
      <c r="H100" s="21">
        <v>4.5</v>
      </c>
      <c r="I100" s="21">
        <f t="shared" si="1"/>
        <v>6.5</v>
      </c>
      <c r="J100" s="21" t="str">
        <f>VLOOKUP(A100,[1]CostBill!$B:$D,3,0)</f>
        <v>00340434713524005009</v>
      </c>
      <c r="K100" s="31">
        <v>45772</v>
      </c>
    </row>
    <row r="101" spans="1:11">
      <c r="A101" s="21" t="s">
        <v>153</v>
      </c>
      <c r="B101" s="21">
        <v>1</v>
      </c>
      <c r="C101" s="21" t="s">
        <v>42</v>
      </c>
      <c r="D101" s="21">
        <v>1</v>
      </c>
      <c r="E101" s="28">
        <v>1.75</v>
      </c>
      <c r="F101" s="21" t="s">
        <v>43</v>
      </c>
      <c r="G101" s="21" t="s">
        <v>44</v>
      </c>
      <c r="H101" s="21">
        <v>4.5</v>
      </c>
      <c r="I101" s="21">
        <f t="shared" si="1"/>
        <v>5.5</v>
      </c>
      <c r="J101" s="21" t="str">
        <f>VLOOKUP(A101,[1]CostBill!$B:$D,3,0)</f>
        <v>00340434713524005856</v>
      </c>
      <c r="K101" s="31">
        <v>45772</v>
      </c>
    </row>
    <row r="102" spans="1:11">
      <c r="A102" s="21" t="s">
        <v>154</v>
      </c>
      <c r="B102" s="21">
        <v>1</v>
      </c>
      <c r="C102" s="21" t="s">
        <v>42</v>
      </c>
      <c r="D102" s="21">
        <v>1</v>
      </c>
      <c r="E102" s="28">
        <v>0.55</v>
      </c>
      <c r="F102" s="21" t="s">
        <v>43</v>
      </c>
      <c r="G102" s="21" t="s">
        <v>44</v>
      </c>
      <c r="H102" s="21">
        <v>4.5</v>
      </c>
      <c r="I102" s="21">
        <f t="shared" si="1"/>
        <v>5.5</v>
      </c>
      <c r="J102" s="21" t="str">
        <f>VLOOKUP(A102,[1]CostBill!$B:$D,3,0)</f>
        <v>00340434713524006396</v>
      </c>
      <c r="K102" s="31">
        <v>45772</v>
      </c>
    </row>
    <row r="103" spans="1:11">
      <c r="A103" s="21" t="s">
        <v>155</v>
      </c>
      <c r="B103" s="21">
        <v>1</v>
      </c>
      <c r="C103" s="21" t="s">
        <v>42</v>
      </c>
      <c r="D103" s="21">
        <v>1</v>
      </c>
      <c r="E103" s="28">
        <v>0.55</v>
      </c>
      <c r="F103" s="21" t="s">
        <v>43</v>
      </c>
      <c r="G103" s="21" t="s">
        <v>44</v>
      </c>
      <c r="H103" s="21">
        <v>4.5</v>
      </c>
      <c r="I103" s="21">
        <f t="shared" si="1"/>
        <v>5.5</v>
      </c>
      <c r="J103" s="21" t="str">
        <f>VLOOKUP(A103,[1]CostBill!$B:$D,3,0)</f>
        <v>00340434713524006440</v>
      </c>
      <c r="K103" s="31">
        <v>45772</v>
      </c>
    </row>
    <row r="104" spans="1:11">
      <c r="A104" s="21" t="s">
        <v>156</v>
      </c>
      <c r="B104" s="21">
        <v>1</v>
      </c>
      <c r="C104" s="21" t="s">
        <v>42</v>
      </c>
      <c r="D104" s="21">
        <v>1</v>
      </c>
      <c r="E104" s="28">
        <v>0.1</v>
      </c>
      <c r="F104" s="21" t="s">
        <v>46</v>
      </c>
      <c r="G104" s="21" t="s">
        <v>49</v>
      </c>
      <c r="H104" s="21">
        <v>15.8</v>
      </c>
      <c r="I104" s="21">
        <f t="shared" si="1"/>
        <v>16.8</v>
      </c>
      <c r="J104" s="21" t="str">
        <f>VLOOKUP(A104,[1]CostBill!$B:$D,3,0)</f>
        <v>CD913914315DE</v>
      </c>
      <c r="K104" s="31">
        <v>45774</v>
      </c>
    </row>
    <row r="105" spans="1:11">
      <c r="A105" s="21" t="s">
        <v>157</v>
      </c>
      <c r="B105" s="21">
        <v>1</v>
      </c>
      <c r="C105" s="21" t="s">
        <v>42</v>
      </c>
      <c r="D105" s="21">
        <v>1</v>
      </c>
      <c r="E105" s="28">
        <v>0.25</v>
      </c>
      <c r="F105" s="21" t="s">
        <v>43</v>
      </c>
      <c r="G105" s="21" t="s">
        <v>44</v>
      </c>
      <c r="H105" s="21">
        <v>4.5</v>
      </c>
      <c r="I105" s="21">
        <f t="shared" si="1"/>
        <v>5.5</v>
      </c>
      <c r="J105" s="21" t="str">
        <f>VLOOKUP(A105,[1]CostBill!$B:$D,3,0)</f>
        <v>00340434713524007317</v>
      </c>
      <c r="K105" s="31">
        <v>45774</v>
      </c>
    </row>
    <row r="106" spans="1:11">
      <c r="A106" s="21" t="s">
        <v>158</v>
      </c>
      <c r="B106" s="21">
        <v>1</v>
      </c>
      <c r="C106" s="21" t="s">
        <v>42</v>
      </c>
      <c r="D106" s="21">
        <v>1</v>
      </c>
      <c r="E106" s="28">
        <v>0.2</v>
      </c>
      <c r="F106" s="21" t="s">
        <v>46</v>
      </c>
      <c r="G106" s="21" t="s">
        <v>47</v>
      </c>
      <c r="H106" s="21">
        <v>12.8</v>
      </c>
      <c r="I106" s="21">
        <f t="shared" si="1"/>
        <v>13.8</v>
      </c>
      <c r="J106" s="21" t="str">
        <f>VLOOKUP(A106,[1]CostBill!$B:$D,3,0)</f>
        <v>CD913914338DE</v>
      </c>
      <c r="K106" s="31">
        <v>45774</v>
      </c>
    </row>
    <row r="107" spans="1:11">
      <c r="A107" s="21" t="s">
        <v>159</v>
      </c>
      <c r="B107" s="21">
        <v>1</v>
      </c>
      <c r="C107" s="21" t="s">
        <v>42</v>
      </c>
      <c r="D107" s="21">
        <v>1</v>
      </c>
      <c r="E107" s="28">
        <v>0.7</v>
      </c>
      <c r="F107" s="21" t="s">
        <v>46</v>
      </c>
      <c r="G107" s="21" t="s">
        <v>47</v>
      </c>
      <c r="H107" s="21">
        <v>12.8</v>
      </c>
      <c r="I107" s="21">
        <f t="shared" si="1"/>
        <v>13.8</v>
      </c>
      <c r="J107" s="21" t="str">
        <f>VLOOKUP(A107,[1]CostBill!$B:$D,3,0)</f>
        <v>CD913914324DE</v>
      </c>
      <c r="K107" s="31">
        <v>45774</v>
      </c>
    </row>
    <row r="108" spans="1:11">
      <c r="A108" s="21" t="s">
        <v>160</v>
      </c>
      <c r="B108" s="21">
        <v>1</v>
      </c>
      <c r="C108" s="21" t="s">
        <v>42</v>
      </c>
      <c r="D108" s="21">
        <v>1</v>
      </c>
      <c r="E108" s="28">
        <v>0.15</v>
      </c>
      <c r="F108" s="21" t="s">
        <v>43</v>
      </c>
      <c r="G108" s="21" t="s">
        <v>44</v>
      </c>
      <c r="H108" s="21">
        <v>4.5</v>
      </c>
      <c r="I108" s="21">
        <f t="shared" si="1"/>
        <v>5.5</v>
      </c>
      <c r="J108" s="21" t="str">
        <f>VLOOKUP(A108,[1]CostBill!$B:$D,3,0)</f>
        <v>00340434713524007324</v>
      </c>
      <c r="K108" s="31">
        <v>45774</v>
      </c>
    </row>
    <row r="109" spans="1:11">
      <c r="A109" s="21" t="s">
        <v>161</v>
      </c>
      <c r="B109" s="21">
        <v>1</v>
      </c>
      <c r="C109" s="21" t="s">
        <v>42</v>
      </c>
      <c r="D109" s="21">
        <v>1</v>
      </c>
      <c r="E109" s="28">
        <v>0.55</v>
      </c>
      <c r="F109" s="21" t="s">
        <v>46</v>
      </c>
      <c r="G109" s="21" t="s">
        <v>78</v>
      </c>
      <c r="H109" s="21">
        <v>14.8</v>
      </c>
      <c r="I109" s="21">
        <f t="shared" si="1"/>
        <v>15.8</v>
      </c>
      <c r="J109" s="21" t="str">
        <f>VLOOKUP(A109,[1]CostBill!$B:$D,3,0)</f>
        <v>CD913914341DE</v>
      </c>
      <c r="K109" s="31">
        <v>45774</v>
      </c>
    </row>
    <row r="110" spans="1:11">
      <c r="A110" s="21" t="s">
        <v>162</v>
      </c>
      <c r="B110" s="21">
        <v>1</v>
      </c>
      <c r="C110" s="21" t="s">
        <v>42</v>
      </c>
      <c r="D110" s="21">
        <v>1</v>
      </c>
      <c r="E110" s="28">
        <v>0.55</v>
      </c>
      <c r="F110" s="21" t="s">
        <v>43</v>
      </c>
      <c r="G110" s="21" t="s">
        <v>44</v>
      </c>
      <c r="H110" s="21">
        <v>4.5</v>
      </c>
      <c r="I110" s="21">
        <f t="shared" si="1"/>
        <v>5.5</v>
      </c>
      <c r="J110" s="21" t="str">
        <f>VLOOKUP(A110,[1]CostBill!$B:$D,3,0)</f>
        <v>00340434713524012366</v>
      </c>
      <c r="K110" s="31">
        <v>45774</v>
      </c>
    </row>
    <row r="111" spans="1:11">
      <c r="A111" s="21" t="s">
        <v>163</v>
      </c>
      <c r="B111" s="21">
        <v>1</v>
      </c>
      <c r="C111" s="21" t="s">
        <v>42</v>
      </c>
      <c r="D111" s="21">
        <v>1</v>
      </c>
      <c r="E111" s="28">
        <v>0.55</v>
      </c>
      <c r="F111" s="21" t="s">
        <v>43</v>
      </c>
      <c r="G111" s="21" t="s">
        <v>44</v>
      </c>
      <c r="H111" s="21">
        <v>4.5</v>
      </c>
      <c r="I111" s="21">
        <f t="shared" si="1"/>
        <v>5.5</v>
      </c>
      <c r="J111" s="21" t="str">
        <f>VLOOKUP(A111,[1]CostBill!$B:$D,3,0)</f>
        <v>00340434713524007379</v>
      </c>
      <c r="K111" s="31">
        <v>45774</v>
      </c>
    </row>
    <row r="112" spans="1:11">
      <c r="A112" s="21" t="s">
        <v>164</v>
      </c>
      <c r="B112" s="21">
        <v>1</v>
      </c>
      <c r="C112" s="21" t="s">
        <v>42</v>
      </c>
      <c r="D112" s="21">
        <v>1</v>
      </c>
      <c r="E112" s="28">
        <v>0.55</v>
      </c>
      <c r="F112" s="21" t="s">
        <v>43</v>
      </c>
      <c r="G112" s="21" t="s">
        <v>44</v>
      </c>
      <c r="H112" s="21">
        <v>4.5</v>
      </c>
      <c r="I112" s="21">
        <f t="shared" si="1"/>
        <v>5.5</v>
      </c>
      <c r="J112" s="21" t="str">
        <f>VLOOKUP(A112,[1]CostBill!$B:$D,3,0)</f>
        <v>00340434713524007355</v>
      </c>
      <c r="K112" s="31">
        <v>45774</v>
      </c>
    </row>
    <row r="113" spans="1:11">
      <c r="A113" s="21" t="s">
        <v>165</v>
      </c>
      <c r="B113" s="21">
        <v>1</v>
      </c>
      <c r="C113" s="21" t="s">
        <v>42</v>
      </c>
      <c r="D113" s="21">
        <v>1</v>
      </c>
      <c r="E113" s="28">
        <v>0.55</v>
      </c>
      <c r="F113" s="21" t="s">
        <v>43</v>
      </c>
      <c r="G113" s="21" t="s">
        <v>44</v>
      </c>
      <c r="H113" s="21">
        <v>4.5</v>
      </c>
      <c r="I113" s="21">
        <f t="shared" si="1"/>
        <v>5.5</v>
      </c>
      <c r="J113" s="21" t="str">
        <f>VLOOKUP(A113,[1]CostBill!$B:$D,3,0)</f>
        <v>00340434713524007362</v>
      </c>
      <c r="K113" s="31">
        <v>45774</v>
      </c>
    </row>
    <row r="114" spans="1:11">
      <c r="A114" s="21" t="s">
        <v>166</v>
      </c>
      <c r="B114" s="21">
        <v>1</v>
      </c>
      <c r="C114" s="21" t="s">
        <v>42</v>
      </c>
      <c r="D114" s="21">
        <v>1</v>
      </c>
      <c r="E114" s="28">
        <v>0.55</v>
      </c>
      <c r="F114" s="21" t="s">
        <v>43</v>
      </c>
      <c r="G114" s="21" t="s">
        <v>44</v>
      </c>
      <c r="H114" s="21">
        <v>4.5</v>
      </c>
      <c r="I114" s="21">
        <f t="shared" si="1"/>
        <v>5.5</v>
      </c>
      <c r="J114" s="21" t="str">
        <f>VLOOKUP(A114,[1]CostBill!$B:$D,3,0)</f>
        <v>00340434713524007348</v>
      </c>
      <c r="K114" s="31">
        <v>45774</v>
      </c>
    </row>
    <row r="115" spans="1:11">
      <c r="A115" s="21" t="s">
        <v>167</v>
      </c>
      <c r="B115" s="21">
        <v>1</v>
      </c>
      <c r="C115" s="21" t="s">
        <v>42</v>
      </c>
      <c r="D115" s="21">
        <v>1</v>
      </c>
      <c r="E115" s="28">
        <v>0.55</v>
      </c>
      <c r="F115" s="21" t="s">
        <v>43</v>
      </c>
      <c r="G115" s="21" t="s">
        <v>44</v>
      </c>
      <c r="H115" s="21">
        <v>4.5</v>
      </c>
      <c r="I115" s="21">
        <f t="shared" si="1"/>
        <v>5.5</v>
      </c>
      <c r="J115" s="21" t="str">
        <f>VLOOKUP(A115,[1]CostBill!$B:$D,3,0)</f>
        <v>00340434713524007331</v>
      </c>
      <c r="K115" s="31">
        <v>45774</v>
      </c>
    </row>
    <row r="116" spans="1:11">
      <c r="A116" s="21" t="s">
        <v>168</v>
      </c>
      <c r="B116" s="21">
        <v>1</v>
      </c>
      <c r="C116" s="21" t="s">
        <v>42</v>
      </c>
      <c r="D116" s="21">
        <v>1</v>
      </c>
      <c r="E116" s="28">
        <v>0.55</v>
      </c>
      <c r="F116" s="21" t="s">
        <v>46</v>
      </c>
      <c r="G116" s="21" t="s">
        <v>78</v>
      </c>
      <c r="H116" s="21">
        <v>14.8</v>
      </c>
      <c r="I116" s="21">
        <f t="shared" si="1"/>
        <v>15.8</v>
      </c>
      <c r="J116" s="21" t="str">
        <f>VLOOKUP(A116,[1]CostBill!$B:$D,3,0)</f>
        <v>CD913914386DE</v>
      </c>
      <c r="K116" s="31">
        <v>45774</v>
      </c>
    </row>
    <row r="117" spans="1:11">
      <c r="A117" s="21" t="s">
        <v>169</v>
      </c>
      <c r="B117" s="21">
        <v>1</v>
      </c>
      <c r="C117" s="21" t="s">
        <v>42</v>
      </c>
      <c r="D117" s="21">
        <v>1</v>
      </c>
      <c r="E117" s="28">
        <v>0.55</v>
      </c>
      <c r="F117" s="21" t="s">
        <v>43</v>
      </c>
      <c r="G117" s="21" t="s">
        <v>44</v>
      </c>
      <c r="H117" s="21">
        <v>4.5</v>
      </c>
      <c r="I117" s="21">
        <f t="shared" si="1"/>
        <v>5.5</v>
      </c>
      <c r="J117" s="21" t="str">
        <f>VLOOKUP(A117,[1]CostBill!$B:$D,3,0)</f>
        <v>00340434713524007386</v>
      </c>
      <c r="K117" s="31">
        <v>45774</v>
      </c>
    </row>
    <row r="118" spans="1:11">
      <c r="A118" s="21" t="s">
        <v>170</v>
      </c>
      <c r="B118" s="21">
        <v>1</v>
      </c>
      <c r="C118" s="21" t="s">
        <v>62</v>
      </c>
      <c r="D118" s="21">
        <f>1+1</f>
        <v>2</v>
      </c>
      <c r="E118" s="28">
        <v>1.1</v>
      </c>
      <c r="F118" s="21" t="s">
        <v>43</v>
      </c>
      <c r="G118" s="21" t="s">
        <v>44</v>
      </c>
      <c r="H118" s="21">
        <v>4.5</v>
      </c>
      <c r="I118" s="21">
        <f t="shared" si="1"/>
        <v>6.5</v>
      </c>
      <c r="J118" s="21" t="str">
        <f>VLOOKUP(A118,[1]CostBill!$B:$D,3,0)</f>
        <v>00340434713524007393</v>
      </c>
      <c r="K118" s="31">
        <v>45774</v>
      </c>
    </row>
    <row r="119" spans="1:11">
      <c r="A119" s="21" t="s">
        <v>171</v>
      </c>
      <c r="B119" s="21">
        <v>1</v>
      </c>
      <c r="C119" s="21" t="s">
        <v>42</v>
      </c>
      <c r="D119" s="21">
        <v>1</v>
      </c>
      <c r="E119" s="28">
        <v>0.55</v>
      </c>
      <c r="F119" s="21" t="s">
        <v>43</v>
      </c>
      <c r="G119" s="21" t="s">
        <v>44</v>
      </c>
      <c r="H119" s="21">
        <v>4.5</v>
      </c>
      <c r="I119" s="21">
        <f t="shared" si="1"/>
        <v>5.5</v>
      </c>
      <c r="J119" s="21" t="str">
        <f>VLOOKUP(A119,[1]CostBill!$B:$D,3,0)</f>
        <v>00340434713524007492</v>
      </c>
      <c r="K119" s="31">
        <v>45774</v>
      </c>
    </row>
    <row r="120" spans="1:11">
      <c r="A120" s="21" t="s">
        <v>172</v>
      </c>
      <c r="B120" s="21">
        <v>1</v>
      </c>
      <c r="C120" s="21" t="s">
        <v>62</v>
      </c>
      <c r="D120" s="21">
        <f>1.2+1</f>
        <v>2.2</v>
      </c>
      <c r="E120" s="28">
        <v>10.8</v>
      </c>
      <c r="F120" s="21" t="s">
        <v>43</v>
      </c>
      <c r="G120" s="21" t="s">
        <v>44</v>
      </c>
      <c r="H120" s="21">
        <v>6.2</v>
      </c>
      <c r="I120" s="21">
        <f t="shared" si="1"/>
        <v>8.4</v>
      </c>
      <c r="J120" s="21" t="str">
        <f>VLOOKUP(A120,[1]CostBill!$B:$D,3,0)</f>
        <v>00340434713524009304</v>
      </c>
      <c r="K120" s="31">
        <v>45774</v>
      </c>
    </row>
    <row r="121" spans="1:11">
      <c r="A121" s="21" t="s">
        <v>173</v>
      </c>
      <c r="B121" s="21">
        <v>1</v>
      </c>
      <c r="C121" s="21" t="s">
        <v>42</v>
      </c>
      <c r="D121" s="21">
        <v>1</v>
      </c>
      <c r="E121" s="28">
        <v>0.55</v>
      </c>
      <c r="F121" s="21" t="s">
        <v>43</v>
      </c>
      <c r="G121" s="21" t="s">
        <v>44</v>
      </c>
      <c r="H121" s="21">
        <v>4.5</v>
      </c>
      <c r="I121" s="21">
        <f t="shared" si="1"/>
        <v>5.5</v>
      </c>
      <c r="J121" s="21" t="str">
        <f>VLOOKUP(A121,[1]CostBill!$B:$D,3,0)</f>
        <v>00340434713524009434</v>
      </c>
      <c r="K121" s="31">
        <v>45775</v>
      </c>
    </row>
    <row r="122" spans="1:11">
      <c r="A122" s="21" t="s">
        <v>174</v>
      </c>
      <c r="B122" s="21">
        <v>1</v>
      </c>
      <c r="C122" s="21" t="s">
        <v>42</v>
      </c>
      <c r="D122" s="21">
        <v>1</v>
      </c>
      <c r="E122" s="28">
        <v>0.55</v>
      </c>
      <c r="F122" s="21" t="s">
        <v>46</v>
      </c>
      <c r="G122" s="21" t="s">
        <v>49</v>
      </c>
      <c r="H122" s="21">
        <v>15.8</v>
      </c>
      <c r="I122" s="21">
        <f t="shared" si="1"/>
        <v>16.8</v>
      </c>
      <c r="J122" s="21" t="str">
        <f>VLOOKUP(A122,[1]CostBill!$B:$D,3,0)</f>
        <v>CD913915245DE</v>
      </c>
      <c r="K122" s="31">
        <v>45775</v>
      </c>
    </row>
    <row r="123" spans="1:11">
      <c r="A123" s="21" t="s">
        <v>175</v>
      </c>
      <c r="B123" s="21">
        <v>1</v>
      </c>
      <c r="C123" s="21" t="s">
        <v>42</v>
      </c>
      <c r="D123" s="21">
        <v>1</v>
      </c>
      <c r="E123" s="28">
        <v>0.55</v>
      </c>
      <c r="F123" s="21" t="s">
        <v>43</v>
      </c>
      <c r="G123" s="21" t="s">
        <v>44</v>
      </c>
      <c r="H123" s="21">
        <v>4.5</v>
      </c>
      <c r="I123" s="21">
        <f t="shared" si="1"/>
        <v>5.5</v>
      </c>
      <c r="J123" s="21" t="str">
        <f>VLOOKUP(A123,[1]CostBill!$B:$D,3,0)</f>
        <v>00340434713524009441</v>
      </c>
      <c r="K123" s="31">
        <v>45775</v>
      </c>
    </row>
    <row r="124" spans="1:11">
      <c r="A124" s="21" t="s">
        <v>176</v>
      </c>
      <c r="B124" s="21">
        <v>1</v>
      </c>
      <c r="C124" s="21" t="s">
        <v>42</v>
      </c>
      <c r="D124" s="21">
        <v>1</v>
      </c>
      <c r="E124" s="28">
        <v>0.55</v>
      </c>
      <c r="F124" s="21" t="s">
        <v>43</v>
      </c>
      <c r="G124" s="21" t="s">
        <v>44</v>
      </c>
      <c r="H124" s="21">
        <v>4.5</v>
      </c>
      <c r="I124" s="21">
        <f t="shared" si="1"/>
        <v>5.5</v>
      </c>
      <c r="J124" s="21" t="str">
        <f>VLOOKUP(A124,[1]CostBill!$B:$D,3,0)</f>
        <v>00340434713524009472</v>
      </c>
      <c r="K124" s="31">
        <v>45775</v>
      </c>
    </row>
    <row r="125" spans="1:11">
      <c r="A125" s="21" t="s">
        <v>177</v>
      </c>
      <c r="B125" s="21">
        <v>1</v>
      </c>
      <c r="C125" s="21" t="s">
        <v>42</v>
      </c>
      <c r="D125" s="21">
        <v>1</v>
      </c>
      <c r="E125" s="28">
        <v>0.5</v>
      </c>
      <c r="F125" s="21" t="s">
        <v>46</v>
      </c>
      <c r="G125" s="21" t="s">
        <v>65</v>
      </c>
      <c r="H125" s="21">
        <v>11</v>
      </c>
      <c r="I125" s="21">
        <f t="shared" si="1"/>
        <v>12</v>
      </c>
      <c r="J125" s="21" t="str">
        <f>VLOOKUP(A125,[1]CostBill!$B:$D,3,0)</f>
        <v>CD913915259DE</v>
      </c>
      <c r="K125" s="31">
        <v>45775</v>
      </c>
    </row>
    <row r="126" spans="1:11">
      <c r="A126" s="21" t="s">
        <v>178</v>
      </c>
      <c r="B126" s="21">
        <v>1</v>
      </c>
      <c r="C126" s="21" t="s">
        <v>42</v>
      </c>
      <c r="D126" s="21">
        <v>1</v>
      </c>
      <c r="E126" s="28">
        <v>0.55</v>
      </c>
      <c r="F126" s="21" t="s">
        <v>43</v>
      </c>
      <c r="G126" s="21" t="s">
        <v>44</v>
      </c>
      <c r="H126" s="21">
        <v>4.5</v>
      </c>
      <c r="I126" s="21">
        <f t="shared" si="1"/>
        <v>5.5</v>
      </c>
      <c r="J126" s="21" t="str">
        <f>VLOOKUP(A126,[1]CostBill!$B:$D,3,0)</f>
        <v>00340434713524009458</v>
      </c>
      <c r="K126" s="31">
        <v>45775</v>
      </c>
    </row>
    <row r="127" spans="1:11">
      <c r="A127" s="21" t="s">
        <v>179</v>
      </c>
      <c r="B127" s="21">
        <v>1</v>
      </c>
      <c r="C127" s="21" t="s">
        <v>42</v>
      </c>
      <c r="D127" s="21">
        <v>1</v>
      </c>
      <c r="E127" s="28">
        <v>0.55</v>
      </c>
      <c r="F127" s="21" t="s">
        <v>43</v>
      </c>
      <c r="G127" s="21" t="s">
        <v>44</v>
      </c>
      <c r="H127" s="21">
        <v>4.5</v>
      </c>
      <c r="I127" s="21">
        <f t="shared" ref="I127:I190" si="2">D127+H127</f>
        <v>5.5</v>
      </c>
      <c r="J127" s="21" t="str">
        <f>VLOOKUP(A127,[1]CostBill!$B:$D,3,0)</f>
        <v>00340434713524009465</v>
      </c>
      <c r="K127" s="31">
        <v>45775</v>
      </c>
    </row>
    <row r="128" spans="1:11">
      <c r="A128" s="21" t="s">
        <v>180</v>
      </c>
      <c r="B128" s="21">
        <v>1</v>
      </c>
      <c r="C128" s="21" t="s">
        <v>42</v>
      </c>
      <c r="D128" s="21">
        <v>1</v>
      </c>
      <c r="E128" s="28">
        <v>0.55</v>
      </c>
      <c r="F128" s="21" t="s">
        <v>43</v>
      </c>
      <c r="G128" s="21" t="s">
        <v>44</v>
      </c>
      <c r="H128" s="21">
        <v>4.5</v>
      </c>
      <c r="I128" s="21">
        <f t="shared" si="2"/>
        <v>5.5</v>
      </c>
      <c r="J128" s="21" t="str">
        <f>VLOOKUP(A128,[1]CostBill!$B:$D,3,0)</f>
        <v>00340434713524009489</v>
      </c>
      <c r="K128" s="31">
        <v>45775</v>
      </c>
    </row>
    <row r="129" spans="1:11">
      <c r="A129" s="21" t="s">
        <v>181</v>
      </c>
      <c r="B129" s="21">
        <v>1</v>
      </c>
      <c r="C129" s="21" t="s">
        <v>42</v>
      </c>
      <c r="D129" s="21">
        <v>1.2</v>
      </c>
      <c r="E129" s="28">
        <v>5.4</v>
      </c>
      <c r="F129" s="21" t="s">
        <v>43</v>
      </c>
      <c r="G129" s="21" t="s">
        <v>44</v>
      </c>
      <c r="H129" s="21">
        <v>5.2</v>
      </c>
      <c r="I129" s="21">
        <f t="shared" si="2"/>
        <v>6.4</v>
      </c>
      <c r="J129" s="21" t="str">
        <f>VLOOKUP(A129,[1]CostBill!$B:$D,3,0)</f>
        <v>00340434713524009984</v>
      </c>
      <c r="K129" s="31">
        <v>45775</v>
      </c>
    </row>
    <row r="130" spans="1:11">
      <c r="A130" s="21" t="s">
        <v>182</v>
      </c>
      <c r="B130" s="21">
        <v>1</v>
      </c>
      <c r="C130" s="21" t="s">
        <v>42</v>
      </c>
      <c r="D130" s="21">
        <v>1</v>
      </c>
      <c r="E130" s="28">
        <v>0.55</v>
      </c>
      <c r="F130" s="21" t="s">
        <v>43</v>
      </c>
      <c r="G130" s="21" t="s">
        <v>44</v>
      </c>
      <c r="H130" s="21">
        <v>4.5</v>
      </c>
      <c r="I130" s="21">
        <f t="shared" si="2"/>
        <v>5.5</v>
      </c>
      <c r="J130" s="21" t="str">
        <f>VLOOKUP(A130,[1]CostBill!$B:$D,3,0)</f>
        <v>00340434713524011796</v>
      </c>
      <c r="K130" s="31">
        <v>45775</v>
      </c>
    </row>
    <row r="131" spans="1:11">
      <c r="A131" s="21" t="s">
        <v>183</v>
      </c>
      <c r="B131" s="21">
        <v>1</v>
      </c>
      <c r="C131" s="21" t="s">
        <v>42</v>
      </c>
      <c r="D131" s="21">
        <v>1</v>
      </c>
      <c r="E131" s="28">
        <v>0.55</v>
      </c>
      <c r="F131" s="21" t="s">
        <v>43</v>
      </c>
      <c r="G131" s="21" t="s">
        <v>44</v>
      </c>
      <c r="H131" s="21">
        <v>4.5</v>
      </c>
      <c r="I131" s="21">
        <f t="shared" si="2"/>
        <v>5.5</v>
      </c>
      <c r="J131" s="21" t="str">
        <f>VLOOKUP(A131,[1]CostBill!$B:$D,3,0)</f>
        <v>00340434713524012649</v>
      </c>
      <c r="K131" s="31">
        <v>45775</v>
      </c>
    </row>
    <row r="132" spans="1:11">
      <c r="A132" s="21" t="s">
        <v>184</v>
      </c>
      <c r="B132" s="21">
        <v>1</v>
      </c>
      <c r="C132" s="21" t="s">
        <v>42</v>
      </c>
      <c r="D132" s="21">
        <v>1</v>
      </c>
      <c r="E132" s="28">
        <v>0.55</v>
      </c>
      <c r="F132" s="21" t="s">
        <v>43</v>
      </c>
      <c r="G132" s="21" t="s">
        <v>44</v>
      </c>
      <c r="H132" s="21">
        <v>4.5</v>
      </c>
      <c r="I132" s="21">
        <f t="shared" si="2"/>
        <v>5.5</v>
      </c>
      <c r="J132" s="21" t="str">
        <f>VLOOKUP(A132,[1]CostBill!$B:$D,3,0)</f>
        <v>00340434713524012656</v>
      </c>
      <c r="K132" s="31">
        <v>45775</v>
      </c>
    </row>
    <row r="133" spans="1:11">
      <c r="A133" s="21" t="s">
        <v>185</v>
      </c>
      <c r="B133" s="21">
        <v>1</v>
      </c>
      <c r="C133" s="21" t="s">
        <v>42</v>
      </c>
      <c r="D133" s="21">
        <v>1</v>
      </c>
      <c r="E133" s="28">
        <v>0.15</v>
      </c>
      <c r="F133" s="21" t="s">
        <v>43</v>
      </c>
      <c r="G133" s="21" t="s">
        <v>44</v>
      </c>
      <c r="H133" s="21">
        <v>4.5</v>
      </c>
      <c r="I133" s="21">
        <f t="shared" si="2"/>
        <v>5.5</v>
      </c>
      <c r="J133" s="21" t="str">
        <f>VLOOKUP(A133,[1]CostBill!$B:$D,3,0)</f>
        <v>00340434713524012762</v>
      </c>
      <c r="K133" s="31">
        <v>45776</v>
      </c>
    </row>
    <row r="134" spans="1:11">
      <c r="A134" s="21" t="s">
        <v>186</v>
      </c>
      <c r="B134" s="21">
        <v>1</v>
      </c>
      <c r="C134" s="21" t="s">
        <v>42</v>
      </c>
      <c r="D134" s="21">
        <v>1</v>
      </c>
      <c r="E134" s="28">
        <v>0.55</v>
      </c>
      <c r="F134" s="21" t="s">
        <v>46</v>
      </c>
      <c r="G134" s="21" t="s">
        <v>49</v>
      </c>
      <c r="H134" s="21">
        <v>15.8</v>
      </c>
      <c r="I134" s="21">
        <f t="shared" si="2"/>
        <v>16.8</v>
      </c>
      <c r="J134" s="21" t="str">
        <f>VLOOKUP(A134,[1]CostBill!$B:$D,3,0)</f>
        <v>CD913917966DE</v>
      </c>
      <c r="K134" s="31">
        <v>45776</v>
      </c>
    </row>
    <row r="135" spans="1:11">
      <c r="A135" s="21" t="s">
        <v>187</v>
      </c>
      <c r="B135" s="21">
        <v>1</v>
      </c>
      <c r="C135" s="21" t="s">
        <v>42</v>
      </c>
      <c r="D135" s="21">
        <v>1</v>
      </c>
      <c r="E135" s="28">
        <v>0.05</v>
      </c>
      <c r="F135" s="21" t="s">
        <v>46</v>
      </c>
      <c r="G135" s="21" t="s">
        <v>65</v>
      </c>
      <c r="H135" s="21">
        <v>11</v>
      </c>
      <c r="I135" s="21">
        <f t="shared" si="2"/>
        <v>12</v>
      </c>
      <c r="J135" s="21" t="str">
        <f>VLOOKUP(A135,[1]CostBill!$B:$D,3,0)</f>
        <v>CD913917997DE</v>
      </c>
      <c r="K135" s="31">
        <v>45776</v>
      </c>
    </row>
    <row r="136" spans="1:11">
      <c r="A136" s="21" t="s">
        <v>188</v>
      </c>
      <c r="B136" s="21">
        <v>1</v>
      </c>
      <c r="C136" s="21" t="s">
        <v>42</v>
      </c>
      <c r="D136" s="21">
        <v>1</v>
      </c>
      <c r="E136" s="28">
        <v>0.95</v>
      </c>
      <c r="F136" s="21" t="s">
        <v>46</v>
      </c>
      <c r="G136" s="21" t="s">
        <v>49</v>
      </c>
      <c r="H136" s="21">
        <v>15.8</v>
      </c>
      <c r="I136" s="21">
        <f t="shared" si="2"/>
        <v>16.8</v>
      </c>
      <c r="J136" s="21" t="str">
        <f>VLOOKUP(A136,[1]CostBill!$B:$D,3,0)</f>
        <v>CD913919953DE</v>
      </c>
      <c r="K136" s="31">
        <v>45777</v>
      </c>
    </row>
    <row r="137" spans="1:11">
      <c r="A137" s="21" t="s">
        <v>189</v>
      </c>
      <c r="B137" s="21">
        <v>1</v>
      </c>
      <c r="C137" s="21" t="s">
        <v>42</v>
      </c>
      <c r="D137" s="21">
        <v>1</v>
      </c>
      <c r="E137" s="28">
        <v>0.55</v>
      </c>
      <c r="F137" s="21" t="s">
        <v>43</v>
      </c>
      <c r="G137" s="21" t="s">
        <v>44</v>
      </c>
      <c r="H137" s="21">
        <v>4.5</v>
      </c>
      <c r="I137" s="21">
        <f t="shared" si="2"/>
        <v>5.5</v>
      </c>
      <c r="J137" s="21" t="str">
        <f>VLOOKUP(A137,[1]CostBill!$B:$D,3,0)</f>
        <v>00340434713524015619</v>
      </c>
      <c r="K137" s="31">
        <v>45777</v>
      </c>
    </row>
    <row r="138" spans="1:11">
      <c r="A138" s="21" t="s">
        <v>190</v>
      </c>
      <c r="B138" s="21">
        <v>1</v>
      </c>
      <c r="C138" s="21" t="s">
        <v>42</v>
      </c>
      <c r="D138" s="21">
        <v>1</v>
      </c>
      <c r="E138" s="28">
        <v>0.55</v>
      </c>
      <c r="F138" s="21" t="s">
        <v>43</v>
      </c>
      <c r="G138" s="21" t="s">
        <v>44</v>
      </c>
      <c r="H138" s="21">
        <v>4.5</v>
      </c>
      <c r="I138" s="21">
        <f t="shared" si="2"/>
        <v>5.5</v>
      </c>
      <c r="J138" s="21" t="str">
        <f>VLOOKUP(A138,[1]CostBill!$B:$D,3,0)</f>
        <v>00340434713524015657</v>
      </c>
      <c r="K138" s="31">
        <v>45777</v>
      </c>
    </row>
    <row r="139" spans="1:11">
      <c r="A139" s="21" t="s">
        <v>191</v>
      </c>
      <c r="B139" s="21">
        <v>1</v>
      </c>
      <c r="C139" s="21" t="s">
        <v>42</v>
      </c>
      <c r="D139" s="21">
        <v>1</v>
      </c>
      <c r="E139" s="28">
        <v>0.55</v>
      </c>
      <c r="F139" s="21" t="s">
        <v>43</v>
      </c>
      <c r="G139" s="21" t="s">
        <v>44</v>
      </c>
      <c r="H139" s="21">
        <v>4.5</v>
      </c>
      <c r="I139" s="21">
        <f t="shared" si="2"/>
        <v>5.5</v>
      </c>
      <c r="J139" s="21" t="str">
        <f>VLOOKUP(A139,[1]CostBill!$B:$D,3,0)</f>
        <v>00340434713524015640</v>
      </c>
      <c r="K139" s="31">
        <v>45777</v>
      </c>
    </row>
    <row r="140" spans="1:11">
      <c r="A140" s="21" t="s">
        <v>192</v>
      </c>
      <c r="B140" s="21">
        <v>1</v>
      </c>
      <c r="C140" s="21" t="s">
        <v>42</v>
      </c>
      <c r="D140" s="21">
        <v>1</v>
      </c>
      <c r="E140" s="28">
        <v>1.75</v>
      </c>
      <c r="F140" s="21" t="s">
        <v>43</v>
      </c>
      <c r="G140" s="21" t="s">
        <v>44</v>
      </c>
      <c r="H140" s="21">
        <v>4.5</v>
      </c>
      <c r="I140" s="21">
        <f t="shared" si="2"/>
        <v>5.5</v>
      </c>
      <c r="J140" s="21" t="str">
        <f>VLOOKUP(A140,[1]CostBill!$B:$D,3,0)</f>
        <v>00340434713524016920</v>
      </c>
      <c r="K140" s="31">
        <v>45777</v>
      </c>
    </row>
    <row r="141" spans="1:11">
      <c r="A141" s="21" t="s">
        <v>193</v>
      </c>
      <c r="B141" s="21">
        <v>1</v>
      </c>
      <c r="C141" s="21" t="s">
        <v>42</v>
      </c>
      <c r="D141" s="21">
        <v>1</v>
      </c>
      <c r="E141" s="28">
        <v>0.55</v>
      </c>
      <c r="F141" s="21" t="s">
        <v>43</v>
      </c>
      <c r="G141" s="21" t="s">
        <v>44</v>
      </c>
      <c r="H141" s="21">
        <v>4.5</v>
      </c>
      <c r="I141" s="21">
        <f t="shared" si="2"/>
        <v>5.5</v>
      </c>
      <c r="J141" s="21" t="str">
        <f>VLOOKUP(A141,[1]CostBill!$B:$D,3,0)</f>
        <v>00340434713524017774</v>
      </c>
      <c r="K141" s="31">
        <v>45777</v>
      </c>
    </row>
    <row r="142" spans="1:11">
      <c r="A142" s="21" t="s">
        <v>194</v>
      </c>
      <c r="B142" s="21">
        <v>1</v>
      </c>
      <c r="C142" s="21" t="s">
        <v>42</v>
      </c>
      <c r="D142" s="21">
        <v>1</v>
      </c>
      <c r="E142" s="28">
        <v>0.55</v>
      </c>
      <c r="F142" s="21" t="s">
        <v>43</v>
      </c>
      <c r="G142" s="21" t="s">
        <v>44</v>
      </c>
      <c r="H142" s="21">
        <v>4.5</v>
      </c>
      <c r="I142" s="21">
        <f t="shared" si="2"/>
        <v>5.5</v>
      </c>
      <c r="J142" s="21" t="str">
        <f>VLOOKUP(A142,[1]CostBill!$B:$D,3,0)</f>
        <v>00340434713524018139</v>
      </c>
      <c r="K142" s="31">
        <v>45778</v>
      </c>
    </row>
    <row r="143" spans="1:11">
      <c r="A143" s="21" t="s">
        <v>195</v>
      </c>
      <c r="B143" s="21">
        <v>1</v>
      </c>
      <c r="C143" s="21" t="s">
        <v>42</v>
      </c>
      <c r="D143" s="21">
        <v>1</v>
      </c>
      <c r="E143" s="28">
        <v>1.75</v>
      </c>
      <c r="F143" s="21" t="s">
        <v>46</v>
      </c>
      <c r="G143" s="21" t="s">
        <v>47</v>
      </c>
      <c r="H143" s="21">
        <v>12.8</v>
      </c>
      <c r="I143" s="21">
        <f t="shared" si="2"/>
        <v>13.8</v>
      </c>
      <c r="J143" s="21" t="str">
        <f>VLOOKUP(A143,[1]CostBill!$B:$D,3,0)</f>
        <v>CD913922201DE</v>
      </c>
      <c r="K143" s="31">
        <v>45778</v>
      </c>
    </row>
    <row r="144" spans="1:11">
      <c r="A144" s="21" t="s">
        <v>196</v>
      </c>
      <c r="B144" s="21">
        <v>1</v>
      </c>
      <c r="C144" s="21" t="s">
        <v>42</v>
      </c>
      <c r="D144" s="21">
        <v>1</v>
      </c>
      <c r="E144" s="28">
        <v>0.55</v>
      </c>
      <c r="F144" s="21" t="s">
        <v>43</v>
      </c>
      <c r="G144" s="21" t="s">
        <v>44</v>
      </c>
      <c r="H144" s="21">
        <v>4.5</v>
      </c>
      <c r="I144" s="21">
        <f t="shared" si="2"/>
        <v>5.5</v>
      </c>
      <c r="J144" s="21" t="str">
        <f>VLOOKUP(A144,[1]CostBill!$B:$D,3,0)</f>
        <v>00340434713524018146</v>
      </c>
      <c r="K144" s="31">
        <v>45778</v>
      </c>
    </row>
    <row r="145" spans="1:11">
      <c r="A145" s="21" t="s">
        <v>197</v>
      </c>
      <c r="B145" s="21">
        <v>1</v>
      </c>
      <c r="C145" s="21" t="s">
        <v>42</v>
      </c>
      <c r="D145" s="21">
        <v>1</v>
      </c>
      <c r="E145" s="28">
        <v>0.65</v>
      </c>
      <c r="F145" s="21" t="s">
        <v>43</v>
      </c>
      <c r="G145" s="21" t="s">
        <v>44</v>
      </c>
      <c r="H145" s="21">
        <v>4.5</v>
      </c>
      <c r="I145" s="21">
        <f t="shared" si="2"/>
        <v>5.5</v>
      </c>
      <c r="J145" s="21" t="str">
        <f>VLOOKUP(A145,[1]CostBill!$B:$D,3,0)</f>
        <v>00340434713524018573</v>
      </c>
      <c r="K145" s="31">
        <v>45778</v>
      </c>
    </row>
    <row r="146" spans="1:11">
      <c r="A146" s="21" t="s">
        <v>198</v>
      </c>
      <c r="B146" s="21">
        <v>1</v>
      </c>
      <c r="C146" s="21" t="s">
        <v>42</v>
      </c>
      <c r="D146" s="21">
        <v>1</v>
      </c>
      <c r="E146" s="28">
        <v>0.55</v>
      </c>
      <c r="F146" s="21" t="s">
        <v>43</v>
      </c>
      <c r="G146" s="21" t="s">
        <v>44</v>
      </c>
      <c r="H146" s="21">
        <v>4.5</v>
      </c>
      <c r="I146" s="21">
        <f t="shared" si="2"/>
        <v>5.5</v>
      </c>
      <c r="J146" s="21" t="str">
        <f>VLOOKUP(A146,[1]CostBill!$B:$D,3,0)</f>
        <v>00340434713524019006</v>
      </c>
      <c r="K146" s="31">
        <v>45779</v>
      </c>
    </row>
    <row r="147" spans="1:11">
      <c r="A147" s="21" t="s">
        <v>199</v>
      </c>
      <c r="B147" s="21">
        <v>1</v>
      </c>
      <c r="C147" s="21" t="s">
        <v>42</v>
      </c>
      <c r="D147" s="21">
        <v>1</v>
      </c>
      <c r="E147" s="28">
        <v>0.55</v>
      </c>
      <c r="F147" s="21" t="s">
        <v>43</v>
      </c>
      <c r="G147" s="21" t="s">
        <v>44</v>
      </c>
      <c r="H147" s="21">
        <v>4.5</v>
      </c>
      <c r="I147" s="21">
        <f t="shared" si="2"/>
        <v>5.5</v>
      </c>
      <c r="J147" s="21" t="str">
        <f>VLOOKUP(A147,[1]CostBill!$B:$D,3,0)</f>
        <v>00340434713524019013</v>
      </c>
      <c r="K147" s="31">
        <v>45779</v>
      </c>
    </row>
    <row r="148" spans="1:11">
      <c r="A148" s="21" t="s">
        <v>200</v>
      </c>
      <c r="B148" s="21">
        <v>1</v>
      </c>
      <c r="C148" s="21" t="s">
        <v>42</v>
      </c>
      <c r="D148" s="21">
        <v>1</v>
      </c>
      <c r="E148" s="28">
        <v>0.55</v>
      </c>
      <c r="F148" s="21" t="s">
        <v>43</v>
      </c>
      <c r="G148" s="21" t="s">
        <v>44</v>
      </c>
      <c r="H148" s="21">
        <v>4.5</v>
      </c>
      <c r="I148" s="21">
        <f t="shared" si="2"/>
        <v>5.5</v>
      </c>
      <c r="J148" s="21" t="str">
        <f>VLOOKUP(A148,[1]CostBill!$B:$D,3,0)</f>
        <v>00340434713524019020</v>
      </c>
      <c r="K148" s="31">
        <v>45779</v>
      </c>
    </row>
    <row r="149" spans="1:11">
      <c r="A149" s="21" t="s">
        <v>201</v>
      </c>
      <c r="B149" s="21">
        <v>1</v>
      </c>
      <c r="C149" s="21" t="s">
        <v>42</v>
      </c>
      <c r="D149" s="21">
        <v>1</v>
      </c>
      <c r="E149" s="28">
        <v>0.55</v>
      </c>
      <c r="F149" s="21" t="s">
        <v>43</v>
      </c>
      <c r="G149" s="21" t="s">
        <v>44</v>
      </c>
      <c r="H149" s="21">
        <v>4.5</v>
      </c>
      <c r="I149" s="21">
        <f t="shared" si="2"/>
        <v>5.5</v>
      </c>
      <c r="J149" s="21" t="str">
        <f>VLOOKUP(A149,[1]CostBill!$B:$D,3,0)</f>
        <v>00340434713524019037</v>
      </c>
      <c r="K149" s="31">
        <v>45779</v>
      </c>
    </row>
    <row r="150" spans="1:11">
      <c r="A150" s="21" t="s">
        <v>202</v>
      </c>
      <c r="B150" s="21">
        <v>1</v>
      </c>
      <c r="C150" s="21" t="s">
        <v>42</v>
      </c>
      <c r="D150" s="21">
        <v>1</v>
      </c>
      <c r="E150" s="28">
        <v>0.55</v>
      </c>
      <c r="F150" s="21" t="s">
        <v>43</v>
      </c>
      <c r="G150" s="21" t="s">
        <v>44</v>
      </c>
      <c r="H150" s="21">
        <v>4.5</v>
      </c>
      <c r="I150" s="21">
        <f t="shared" si="2"/>
        <v>5.5</v>
      </c>
      <c r="J150" s="21" t="str">
        <f>VLOOKUP(A150,[1]CostBill!$B:$D,3,0)</f>
        <v>00340434713524019044</v>
      </c>
      <c r="K150" s="31">
        <v>45779</v>
      </c>
    </row>
    <row r="151" spans="1:11">
      <c r="A151" s="21" t="s">
        <v>203</v>
      </c>
      <c r="B151" s="21">
        <v>1</v>
      </c>
      <c r="C151" s="21" t="s">
        <v>42</v>
      </c>
      <c r="D151" s="21">
        <v>1</v>
      </c>
      <c r="E151" s="28">
        <v>0.1</v>
      </c>
      <c r="F151" s="21" t="s">
        <v>43</v>
      </c>
      <c r="G151" s="21" t="s">
        <v>44</v>
      </c>
      <c r="H151" s="21">
        <v>4.5</v>
      </c>
      <c r="I151" s="21">
        <f t="shared" si="2"/>
        <v>5.5</v>
      </c>
      <c r="J151" s="21" t="str">
        <f>VLOOKUP(A151,[1]CostBill!$B:$D,3,0)</f>
        <v>00340434713524030735</v>
      </c>
      <c r="K151" s="31">
        <v>45779</v>
      </c>
    </row>
    <row r="152" spans="1:11">
      <c r="A152" s="21" t="s">
        <v>204</v>
      </c>
      <c r="B152" s="21">
        <v>1</v>
      </c>
      <c r="C152" s="21" t="s">
        <v>42</v>
      </c>
      <c r="D152" s="21">
        <v>1</v>
      </c>
      <c r="E152" s="28">
        <v>0.85</v>
      </c>
      <c r="F152" s="21" t="s">
        <v>46</v>
      </c>
      <c r="G152" s="21" t="s">
        <v>49</v>
      </c>
      <c r="H152" s="21">
        <v>15.8</v>
      </c>
      <c r="I152" s="21">
        <f t="shared" si="2"/>
        <v>16.8</v>
      </c>
      <c r="J152" s="21" t="str">
        <f>VLOOKUP(A152,[1]CostBill!$B:$D,3,0)</f>
        <v>CD913924600DE</v>
      </c>
      <c r="K152" s="31">
        <v>45779</v>
      </c>
    </row>
    <row r="153" spans="1:11">
      <c r="A153" s="21" t="s">
        <v>205</v>
      </c>
      <c r="B153" s="21">
        <v>1</v>
      </c>
      <c r="C153" s="21" t="s">
        <v>42</v>
      </c>
      <c r="D153" s="21">
        <v>1</v>
      </c>
      <c r="E153" s="28">
        <v>0.55</v>
      </c>
      <c r="F153" s="21" t="s">
        <v>43</v>
      </c>
      <c r="G153" s="21" t="s">
        <v>44</v>
      </c>
      <c r="H153" s="21">
        <v>4.5</v>
      </c>
      <c r="I153" s="21">
        <f t="shared" si="2"/>
        <v>5.5</v>
      </c>
      <c r="J153" s="21" t="str">
        <f>VLOOKUP(A153,[1]CostBill!$B:$D,3,0)</f>
        <v>00340434713524022716</v>
      </c>
      <c r="K153" s="31">
        <v>45780</v>
      </c>
    </row>
    <row r="154" spans="1:11">
      <c r="A154" s="21" t="s">
        <v>206</v>
      </c>
      <c r="B154" s="21">
        <v>1</v>
      </c>
      <c r="C154" s="21" t="s">
        <v>42</v>
      </c>
      <c r="D154" s="21">
        <v>1</v>
      </c>
      <c r="E154" s="28">
        <v>0.55</v>
      </c>
      <c r="F154" s="21" t="s">
        <v>43</v>
      </c>
      <c r="G154" s="21" t="s">
        <v>44</v>
      </c>
      <c r="H154" s="21">
        <v>4.5</v>
      </c>
      <c r="I154" s="21">
        <f t="shared" si="2"/>
        <v>5.5</v>
      </c>
      <c r="J154" s="21" t="str">
        <f>VLOOKUP(A154,[1]CostBill!$B:$D,3,0)</f>
        <v>00340434713524022754</v>
      </c>
      <c r="K154" s="31">
        <v>45780</v>
      </c>
    </row>
    <row r="155" spans="1:11">
      <c r="A155" s="21" t="s">
        <v>207</v>
      </c>
      <c r="B155" s="21">
        <v>1</v>
      </c>
      <c r="C155" s="21" t="s">
        <v>42</v>
      </c>
      <c r="D155" s="21">
        <v>1</v>
      </c>
      <c r="E155" s="28">
        <v>1.75</v>
      </c>
      <c r="F155" s="21" t="s">
        <v>46</v>
      </c>
      <c r="G155" s="21" t="s">
        <v>47</v>
      </c>
      <c r="H155" s="21">
        <v>12.8</v>
      </c>
      <c r="I155" s="21">
        <f t="shared" si="2"/>
        <v>13.8</v>
      </c>
      <c r="J155" s="21" t="str">
        <f>VLOOKUP(A155,[1]CostBill!$B:$D,3,0)</f>
        <v>CD913924975DE</v>
      </c>
      <c r="K155" s="31">
        <v>45780</v>
      </c>
    </row>
    <row r="156" spans="1:11">
      <c r="A156" s="21" t="s">
        <v>208</v>
      </c>
      <c r="B156" s="21">
        <v>1</v>
      </c>
      <c r="C156" s="21" t="s">
        <v>42</v>
      </c>
      <c r="D156" s="21">
        <v>1</v>
      </c>
      <c r="E156" s="28">
        <v>0.55</v>
      </c>
      <c r="F156" s="21" t="s">
        <v>43</v>
      </c>
      <c r="G156" s="21" t="s">
        <v>44</v>
      </c>
      <c r="H156" s="21">
        <v>4.5</v>
      </c>
      <c r="I156" s="21">
        <f t="shared" si="2"/>
        <v>5.5</v>
      </c>
      <c r="J156" s="21" t="str">
        <f>VLOOKUP(A156,[1]CostBill!$B:$D,3,0)</f>
        <v>00340434713524022747</v>
      </c>
      <c r="K156" s="31">
        <v>45780</v>
      </c>
    </row>
    <row r="157" spans="1:11">
      <c r="A157" s="21" t="s">
        <v>209</v>
      </c>
      <c r="B157" s="21">
        <v>1</v>
      </c>
      <c r="C157" s="21" t="s">
        <v>42</v>
      </c>
      <c r="D157" s="21">
        <v>1</v>
      </c>
      <c r="E157" s="28">
        <v>0.55</v>
      </c>
      <c r="F157" s="21" t="s">
        <v>43</v>
      </c>
      <c r="G157" s="21" t="s">
        <v>44</v>
      </c>
      <c r="H157" s="21">
        <v>4.5</v>
      </c>
      <c r="I157" s="21">
        <f t="shared" si="2"/>
        <v>5.5</v>
      </c>
      <c r="J157" s="21" t="str">
        <f>VLOOKUP(A157,[1]CostBill!$B:$D,3,0)</f>
        <v>00340434713524022730</v>
      </c>
      <c r="K157" s="31">
        <v>45780</v>
      </c>
    </row>
    <row r="158" spans="1:11">
      <c r="A158" s="21" t="s">
        <v>210</v>
      </c>
      <c r="B158" s="21">
        <v>1</v>
      </c>
      <c r="C158" s="21" t="s">
        <v>42</v>
      </c>
      <c r="D158" s="21">
        <v>1</v>
      </c>
      <c r="E158" s="28">
        <v>0.55</v>
      </c>
      <c r="F158" s="21" t="s">
        <v>43</v>
      </c>
      <c r="G158" s="21" t="s">
        <v>44</v>
      </c>
      <c r="H158" s="21">
        <v>4.5</v>
      </c>
      <c r="I158" s="21">
        <f t="shared" si="2"/>
        <v>5.5</v>
      </c>
      <c r="J158" s="21" t="str">
        <f>VLOOKUP(A158,[1]CostBill!$B:$D,3,0)</f>
        <v>00340434713524022723</v>
      </c>
      <c r="K158" s="31">
        <v>45780</v>
      </c>
    </row>
    <row r="159" spans="1:11">
      <c r="A159" s="21" t="s">
        <v>211</v>
      </c>
      <c r="B159" s="21">
        <v>1</v>
      </c>
      <c r="C159" s="21" t="s">
        <v>42</v>
      </c>
      <c r="D159" s="21">
        <v>1.2</v>
      </c>
      <c r="E159" s="28">
        <v>5.4</v>
      </c>
      <c r="F159" s="21" t="s">
        <v>43</v>
      </c>
      <c r="G159" s="21" t="s">
        <v>44</v>
      </c>
      <c r="H159" s="21">
        <v>5.2</v>
      </c>
      <c r="I159" s="21">
        <f t="shared" si="2"/>
        <v>6.4</v>
      </c>
      <c r="J159" s="21" t="str">
        <f>VLOOKUP(A159,[1]CostBill!$B:$D,3,0)</f>
        <v>00340434713524023454</v>
      </c>
      <c r="K159" s="31">
        <v>45780</v>
      </c>
    </row>
    <row r="160" spans="1:11">
      <c r="A160" s="21" t="s">
        <v>212</v>
      </c>
      <c r="B160" s="21">
        <v>1</v>
      </c>
      <c r="C160" s="21" t="s">
        <v>42</v>
      </c>
      <c r="D160" s="21">
        <v>1.2</v>
      </c>
      <c r="E160" s="28">
        <v>5.4</v>
      </c>
      <c r="F160" s="21" t="s">
        <v>43</v>
      </c>
      <c r="G160" s="21" t="s">
        <v>44</v>
      </c>
      <c r="H160" s="21">
        <v>5.2</v>
      </c>
      <c r="I160" s="21">
        <f t="shared" si="2"/>
        <v>6.4</v>
      </c>
      <c r="J160" s="21" t="str">
        <f>VLOOKUP(A160,[1]CostBill!$B:$D,3,0)</f>
        <v>00340434713524023461</v>
      </c>
      <c r="K160" s="31">
        <v>45780</v>
      </c>
    </row>
    <row r="161" spans="1:11">
      <c r="A161" s="21" t="s">
        <v>213</v>
      </c>
      <c r="B161" s="21">
        <v>1</v>
      </c>
      <c r="C161" s="21" t="s">
        <v>214</v>
      </c>
      <c r="D161" s="21">
        <f>1.2+1*2</f>
        <v>3.2</v>
      </c>
      <c r="E161" s="28">
        <v>16.2</v>
      </c>
      <c r="F161" s="21" t="s">
        <v>43</v>
      </c>
      <c r="G161" s="21" t="s">
        <v>44</v>
      </c>
      <c r="H161" s="21">
        <v>6.2</v>
      </c>
      <c r="I161" s="21">
        <f t="shared" si="2"/>
        <v>9.4</v>
      </c>
      <c r="J161" s="21" t="str">
        <f>VLOOKUP(A161,[1]CostBill!$B:$D,3,0)</f>
        <v>00340434713524023478</v>
      </c>
      <c r="K161" s="31">
        <v>45780</v>
      </c>
    </row>
    <row r="162" spans="1:11">
      <c r="A162" s="21" t="s">
        <v>215</v>
      </c>
      <c r="B162" s="21">
        <v>1</v>
      </c>
      <c r="C162" s="21" t="s">
        <v>42</v>
      </c>
      <c r="D162" s="21">
        <v>1</v>
      </c>
      <c r="E162" s="28">
        <v>0.55</v>
      </c>
      <c r="F162" s="21" t="s">
        <v>43</v>
      </c>
      <c r="G162" s="21" t="s">
        <v>44</v>
      </c>
      <c r="H162" s="21">
        <v>4.5</v>
      </c>
      <c r="I162" s="21">
        <f t="shared" si="2"/>
        <v>5.5</v>
      </c>
      <c r="J162" s="21" t="str">
        <f>VLOOKUP(A162,[1]CostBill!$B:$D,3,0)</f>
        <v>00340434713524023492</v>
      </c>
      <c r="K162" s="31">
        <v>45781</v>
      </c>
    </row>
    <row r="163" spans="1:11">
      <c r="A163" s="21" t="s">
        <v>216</v>
      </c>
      <c r="B163" s="21">
        <v>1</v>
      </c>
      <c r="C163" s="21" t="s">
        <v>42</v>
      </c>
      <c r="D163" s="21">
        <v>1</v>
      </c>
      <c r="E163" s="28">
        <v>1.75</v>
      </c>
      <c r="F163" s="21" t="s">
        <v>46</v>
      </c>
      <c r="G163" s="21" t="s">
        <v>47</v>
      </c>
      <c r="H163" s="21">
        <v>12.8</v>
      </c>
      <c r="I163" s="21">
        <f t="shared" si="2"/>
        <v>13.8</v>
      </c>
      <c r="J163" s="21" t="str">
        <f>VLOOKUP(A163,[1]CostBill!$B:$D,3,0)</f>
        <v>CD913925242DE</v>
      </c>
      <c r="K163" s="31">
        <v>45781</v>
      </c>
    </row>
    <row r="164" spans="1:11">
      <c r="A164" s="21" t="s">
        <v>217</v>
      </c>
      <c r="B164" s="21">
        <v>1</v>
      </c>
      <c r="C164" s="21" t="s">
        <v>42</v>
      </c>
      <c r="D164" s="21">
        <v>1</v>
      </c>
      <c r="E164" s="28">
        <v>0.55</v>
      </c>
      <c r="F164" s="21" t="s">
        <v>43</v>
      </c>
      <c r="G164" s="21" t="s">
        <v>44</v>
      </c>
      <c r="H164" s="21">
        <v>4.5</v>
      </c>
      <c r="I164" s="21">
        <f t="shared" si="2"/>
        <v>5.5</v>
      </c>
      <c r="J164" s="21" t="str">
        <f>VLOOKUP(A164,[1]CostBill!$B:$D,3,0)</f>
        <v>00340434713524023515</v>
      </c>
      <c r="K164" s="31">
        <v>45781</v>
      </c>
    </row>
    <row r="165" spans="1:11">
      <c r="A165" s="21" t="s">
        <v>218</v>
      </c>
      <c r="B165" s="21">
        <v>1</v>
      </c>
      <c r="C165" s="21" t="s">
        <v>42</v>
      </c>
      <c r="D165" s="21">
        <v>1</v>
      </c>
      <c r="E165" s="28">
        <v>0.55</v>
      </c>
      <c r="F165" s="21" t="s">
        <v>43</v>
      </c>
      <c r="G165" s="21" t="s">
        <v>44</v>
      </c>
      <c r="H165" s="21">
        <v>4.5</v>
      </c>
      <c r="I165" s="21">
        <f t="shared" si="2"/>
        <v>5.5</v>
      </c>
      <c r="J165" s="21" t="str">
        <f>VLOOKUP(A165,[1]CostBill!$B:$D,3,0)</f>
        <v>00340434713524023508</v>
      </c>
      <c r="K165" s="31">
        <v>45781</v>
      </c>
    </row>
    <row r="166" spans="1:11">
      <c r="A166" s="21" t="s">
        <v>219</v>
      </c>
      <c r="B166" s="21">
        <v>1</v>
      </c>
      <c r="C166" s="21" t="s">
        <v>42</v>
      </c>
      <c r="D166" s="21">
        <v>1</v>
      </c>
      <c r="E166" s="28">
        <v>0.15</v>
      </c>
      <c r="F166" s="21" t="s">
        <v>43</v>
      </c>
      <c r="G166" s="21" t="s">
        <v>44</v>
      </c>
      <c r="H166" s="21">
        <v>4.5</v>
      </c>
      <c r="I166" s="21">
        <f t="shared" si="2"/>
        <v>5.5</v>
      </c>
      <c r="J166" s="21" t="str">
        <f>VLOOKUP(A166,[1]CostBill!$B:$D,3,0)</f>
        <v>00340434713524024352</v>
      </c>
      <c r="K166" s="31">
        <v>45782</v>
      </c>
    </row>
    <row r="167" spans="1:11">
      <c r="A167" s="21" t="s">
        <v>220</v>
      </c>
      <c r="B167" s="21">
        <v>1</v>
      </c>
      <c r="C167" s="21" t="s">
        <v>62</v>
      </c>
      <c r="D167" s="21">
        <f>1+1</f>
        <v>2</v>
      </c>
      <c r="E167" s="28">
        <v>1.1</v>
      </c>
      <c r="F167" s="21" t="s">
        <v>43</v>
      </c>
      <c r="G167" s="21" t="s">
        <v>44</v>
      </c>
      <c r="H167" s="21">
        <v>4.5</v>
      </c>
      <c r="I167" s="21">
        <f t="shared" si="2"/>
        <v>6.5</v>
      </c>
      <c r="J167" s="21" t="str">
        <f>VLOOKUP(A167,[1]CostBill!$B:$D,3,0)</f>
        <v>00340434713524026370</v>
      </c>
      <c r="K167" s="31">
        <v>45782</v>
      </c>
    </row>
    <row r="168" spans="1:11">
      <c r="A168" s="21" t="s">
        <v>221</v>
      </c>
      <c r="B168" s="21">
        <v>1</v>
      </c>
      <c r="C168" s="21" t="s">
        <v>42</v>
      </c>
      <c r="D168" s="21">
        <v>1</v>
      </c>
      <c r="E168" s="28">
        <v>0.55</v>
      </c>
      <c r="F168" s="21" t="s">
        <v>43</v>
      </c>
      <c r="G168" s="21" t="s">
        <v>44</v>
      </c>
      <c r="H168" s="21">
        <v>4.5</v>
      </c>
      <c r="I168" s="21">
        <f t="shared" si="2"/>
        <v>5.5</v>
      </c>
      <c r="J168" s="21" t="str">
        <f>VLOOKUP(A168,[1]CostBill!$B:$D,3,0)</f>
        <v>00340434713524026363</v>
      </c>
      <c r="K168" s="31">
        <v>45782</v>
      </c>
    </row>
    <row r="169" spans="1:11">
      <c r="A169" s="21" t="s">
        <v>222</v>
      </c>
      <c r="B169" s="21">
        <v>1</v>
      </c>
      <c r="C169" s="21" t="s">
        <v>42</v>
      </c>
      <c r="D169" s="21">
        <v>1</v>
      </c>
      <c r="E169" s="28">
        <v>1.75</v>
      </c>
      <c r="F169" s="21" t="s">
        <v>43</v>
      </c>
      <c r="G169" s="21" t="s">
        <v>44</v>
      </c>
      <c r="H169" s="21">
        <v>4.5</v>
      </c>
      <c r="I169" s="21">
        <f t="shared" si="2"/>
        <v>5.5</v>
      </c>
      <c r="J169" s="21" t="str">
        <f>VLOOKUP(A169,[1]CostBill!$B:$D,3,0)</f>
        <v>00340434713524026400</v>
      </c>
      <c r="K169" s="31">
        <v>45782</v>
      </c>
    </row>
    <row r="170" spans="1:11">
      <c r="A170" s="21" t="s">
        <v>223</v>
      </c>
      <c r="B170" s="21">
        <v>1</v>
      </c>
      <c r="C170" s="21" t="s">
        <v>42</v>
      </c>
      <c r="D170" s="21">
        <v>1</v>
      </c>
      <c r="E170" s="28">
        <v>0.55</v>
      </c>
      <c r="F170" s="21" t="s">
        <v>43</v>
      </c>
      <c r="G170" s="21" t="s">
        <v>44</v>
      </c>
      <c r="H170" s="21">
        <v>4.5</v>
      </c>
      <c r="I170" s="21">
        <f t="shared" si="2"/>
        <v>5.5</v>
      </c>
      <c r="J170" s="21" t="str">
        <f>VLOOKUP(A170,[1]CostBill!$B:$D,3,0)</f>
        <v>00340434713524026394</v>
      </c>
      <c r="K170" s="31">
        <v>45782</v>
      </c>
    </row>
    <row r="171" spans="1:11">
      <c r="A171" s="21" t="s">
        <v>224</v>
      </c>
      <c r="B171" s="21">
        <v>1</v>
      </c>
      <c r="C171" s="21" t="s">
        <v>42</v>
      </c>
      <c r="D171" s="21">
        <v>1</v>
      </c>
      <c r="E171" s="28">
        <v>0.55</v>
      </c>
      <c r="F171" s="21" t="s">
        <v>43</v>
      </c>
      <c r="G171" s="21" t="s">
        <v>44</v>
      </c>
      <c r="H171" s="21">
        <v>4.5</v>
      </c>
      <c r="I171" s="21">
        <f t="shared" si="2"/>
        <v>5.5</v>
      </c>
      <c r="J171" s="21" t="str">
        <f>VLOOKUP(A171,[1]CostBill!$B:$D,3,0)</f>
        <v>00340434713524026387</v>
      </c>
      <c r="K171" s="31">
        <v>45782</v>
      </c>
    </row>
    <row r="172" spans="1:11">
      <c r="A172" s="21" t="s">
        <v>225</v>
      </c>
      <c r="B172" s="21">
        <v>1</v>
      </c>
      <c r="C172" s="21" t="s">
        <v>42</v>
      </c>
      <c r="D172" s="21">
        <v>1</v>
      </c>
      <c r="E172" s="28">
        <v>0.55</v>
      </c>
      <c r="F172" s="21" t="s">
        <v>46</v>
      </c>
      <c r="G172" s="21" t="s">
        <v>47</v>
      </c>
      <c r="H172" s="21">
        <v>12.8</v>
      </c>
      <c r="I172" s="21">
        <f t="shared" si="2"/>
        <v>13.8</v>
      </c>
      <c r="J172" s="21" t="str">
        <f>VLOOKUP(A172,[1]CostBill!$B:$D,3,0)</f>
        <v>CD913927265DE</v>
      </c>
      <c r="K172" s="31">
        <v>45782</v>
      </c>
    </row>
    <row r="173" spans="1:11">
      <c r="A173" s="21" t="s">
        <v>226</v>
      </c>
      <c r="B173" s="21">
        <v>1</v>
      </c>
      <c r="C173" s="21" t="s">
        <v>42</v>
      </c>
      <c r="D173" s="21">
        <v>1</v>
      </c>
      <c r="E173" s="28">
        <v>0.55</v>
      </c>
      <c r="F173" s="21" t="s">
        <v>43</v>
      </c>
      <c r="G173" s="21" t="s">
        <v>44</v>
      </c>
      <c r="H173" s="21">
        <v>4.5</v>
      </c>
      <c r="I173" s="21">
        <f t="shared" si="2"/>
        <v>5.5</v>
      </c>
      <c r="J173" s="21" t="str">
        <f>VLOOKUP(A173,[1]CostBill!$B:$D,3,0)</f>
        <v>00340434713524026417</v>
      </c>
      <c r="K173" s="31">
        <v>45782</v>
      </c>
    </row>
    <row r="174" spans="1:11">
      <c r="A174" s="21" t="s">
        <v>227</v>
      </c>
      <c r="B174" s="21">
        <v>1</v>
      </c>
      <c r="C174" s="21" t="s">
        <v>42</v>
      </c>
      <c r="D174" s="21">
        <v>1</v>
      </c>
      <c r="E174" s="28">
        <v>0.3</v>
      </c>
      <c r="F174" s="21" t="s">
        <v>43</v>
      </c>
      <c r="G174" s="21" t="s">
        <v>44</v>
      </c>
      <c r="H174" s="21">
        <v>4.5</v>
      </c>
      <c r="I174" s="21">
        <f t="shared" si="2"/>
        <v>5.5</v>
      </c>
      <c r="J174" s="21" t="str">
        <f>VLOOKUP(A174,[1]CostBill!$B:$D,3,0)</f>
        <v>00340434713524030919</v>
      </c>
      <c r="K174" s="31">
        <v>45782</v>
      </c>
    </row>
    <row r="175" spans="1:11">
      <c r="A175" s="21" t="s">
        <v>228</v>
      </c>
      <c r="B175" s="21">
        <v>1</v>
      </c>
      <c r="C175" s="21" t="s">
        <v>42</v>
      </c>
      <c r="D175" s="21">
        <v>1</v>
      </c>
      <c r="E175" s="28">
        <v>0.55</v>
      </c>
      <c r="F175" s="21" t="s">
        <v>43</v>
      </c>
      <c r="G175" s="21" t="s">
        <v>44</v>
      </c>
      <c r="H175" s="21">
        <v>4.5</v>
      </c>
      <c r="I175" s="21">
        <f t="shared" si="2"/>
        <v>5.5</v>
      </c>
      <c r="J175" s="21" t="str">
        <f>VLOOKUP(A175,[1]CostBill!$B:$D,3,0)</f>
        <v>00340434713524031022</v>
      </c>
      <c r="K175" s="31">
        <v>45783</v>
      </c>
    </row>
    <row r="176" spans="1:11">
      <c r="A176" s="21" t="s">
        <v>229</v>
      </c>
      <c r="B176" s="21">
        <v>1</v>
      </c>
      <c r="C176" s="21" t="s">
        <v>42</v>
      </c>
      <c r="D176" s="21">
        <v>1</v>
      </c>
      <c r="E176" s="28">
        <v>0.55</v>
      </c>
      <c r="F176" s="21" t="s">
        <v>46</v>
      </c>
      <c r="G176" s="21" t="s">
        <v>47</v>
      </c>
      <c r="H176" s="21">
        <v>12.8</v>
      </c>
      <c r="I176" s="21">
        <f t="shared" si="2"/>
        <v>13.8</v>
      </c>
      <c r="J176" s="21" t="str">
        <f>VLOOKUP(A176,[1]CostBill!$B:$D,3,0)</f>
        <v>CD913931000DE</v>
      </c>
      <c r="K176" s="31">
        <v>45783</v>
      </c>
    </row>
    <row r="177" spans="1:11">
      <c r="A177" s="21" t="s">
        <v>230</v>
      </c>
      <c r="B177" s="21">
        <v>1</v>
      </c>
      <c r="C177" s="21" t="s">
        <v>42</v>
      </c>
      <c r="D177" s="21">
        <v>1</v>
      </c>
      <c r="E177" s="28">
        <v>0.15</v>
      </c>
      <c r="F177" s="21" t="s">
        <v>43</v>
      </c>
      <c r="G177" s="21" t="s">
        <v>44</v>
      </c>
      <c r="H177" s="21">
        <v>4.5</v>
      </c>
      <c r="I177" s="21">
        <f t="shared" si="2"/>
        <v>5.5</v>
      </c>
      <c r="J177" s="21" t="str">
        <f>VLOOKUP(A177,[1]CostBill!$B:$D,3,0)</f>
        <v>00340434713524033422</v>
      </c>
      <c r="K177" s="31">
        <v>45783</v>
      </c>
    </row>
    <row r="178" spans="1:11">
      <c r="A178" s="21" t="s">
        <v>231</v>
      </c>
      <c r="B178" s="21">
        <v>1</v>
      </c>
      <c r="C178" s="21" t="s">
        <v>42</v>
      </c>
      <c r="D178" s="21">
        <v>1</v>
      </c>
      <c r="E178" s="28">
        <v>0.1</v>
      </c>
      <c r="F178" s="21" t="s">
        <v>46</v>
      </c>
      <c r="G178" s="21" t="s">
        <v>78</v>
      </c>
      <c r="H178" s="21">
        <v>14.8</v>
      </c>
      <c r="I178" s="21">
        <f t="shared" si="2"/>
        <v>15.8</v>
      </c>
      <c r="J178" s="21" t="str">
        <f>VLOOKUP(A178,[1]CostBill!$B:$D,3,0)</f>
        <v>CD913931013DE</v>
      </c>
      <c r="K178" s="31">
        <v>45783</v>
      </c>
    </row>
    <row r="179" spans="1:11">
      <c r="A179" s="21" t="s">
        <v>232</v>
      </c>
      <c r="B179" s="21">
        <v>1</v>
      </c>
      <c r="C179" s="21" t="s">
        <v>42</v>
      </c>
      <c r="D179" s="21">
        <v>1</v>
      </c>
      <c r="E179" s="28">
        <v>0.15</v>
      </c>
      <c r="F179" s="21" t="s">
        <v>43</v>
      </c>
      <c r="G179" s="21" t="s">
        <v>44</v>
      </c>
      <c r="H179" s="21">
        <v>4.5</v>
      </c>
      <c r="I179" s="21">
        <f t="shared" si="2"/>
        <v>5.5</v>
      </c>
      <c r="J179" s="21" t="str">
        <f>VLOOKUP(A179,[1]CostBill!$B:$D,3,0)</f>
        <v>00340434713524031053</v>
      </c>
      <c r="K179" s="31">
        <v>45783</v>
      </c>
    </row>
    <row r="180" spans="1:11">
      <c r="A180" s="21" t="s">
        <v>233</v>
      </c>
      <c r="B180" s="21">
        <v>1</v>
      </c>
      <c r="C180" s="21" t="s">
        <v>62</v>
      </c>
      <c r="D180" s="21">
        <f>1+1</f>
        <v>2</v>
      </c>
      <c r="E180" s="28">
        <v>1.1</v>
      </c>
      <c r="F180" s="21" t="s">
        <v>43</v>
      </c>
      <c r="G180" s="21" t="s">
        <v>44</v>
      </c>
      <c r="H180" s="21">
        <v>4.5</v>
      </c>
      <c r="I180" s="21">
        <f t="shared" si="2"/>
        <v>6.5</v>
      </c>
      <c r="J180" s="21" t="str">
        <f>VLOOKUP(A180,[1]CostBill!$B:$D,3,0)</f>
        <v>00340434713524033514</v>
      </c>
      <c r="K180" s="31">
        <v>45783</v>
      </c>
    </row>
    <row r="181" spans="1:11">
      <c r="A181" s="21" t="s">
        <v>234</v>
      </c>
      <c r="B181" s="21">
        <v>1</v>
      </c>
      <c r="C181" s="21" t="s">
        <v>42</v>
      </c>
      <c r="D181" s="21">
        <v>1</v>
      </c>
      <c r="E181" s="28">
        <v>0.15</v>
      </c>
      <c r="F181" s="21" t="s">
        <v>43</v>
      </c>
      <c r="G181" s="21" t="s">
        <v>44</v>
      </c>
      <c r="H181" s="21">
        <v>4.5</v>
      </c>
      <c r="I181" s="21">
        <f t="shared" si="2"/>
        <v>5.5</v>
      </c>
      <c r="J181" s="21" t="str">
        <f>VLOOKUP(A181,[1]CostBill!$B:$D,3,0)</f>
        <v>00340434713524033590</v>
      </c>
      <c r="K181" s="31">
        <v>45784</v>
      </c>
    </row>
    <row r="182" spans="1:11">
      <c r="A182" s="21" t="s">
        <v>235</v>
      </c>
      <c r="B182" s="21">
        <v>1</v>
      </c>
      <c r="C182" s="21" t="s">
        <v>62</v>
      </c>
      <c r="D182" s="21">
        <f>1+1</f>
        <v>2</v>
      </c>
      <c r="E182" s="28">
        <v>1.1</v>
      </c>
      <c r="F182" s="21" t="s">
        <v>43</v>
      </c>
      <c r="G182" s="21" t="s">
        <v>44</v>
      </c>
      <c r="H182" s="21">
        <v>4.5</v>
      </c>
      <c r="I182" s="21">
        <f t="shared" si="2"/>
        <v>6.5</v>
      </c>
      <c r="J182" s="21" t="str">
        <f>VLOOKUP(A182,[1]CostBill!$B:$D,3,0)</f>
        <v>00340434713524033606</v>
      </c>
      <c r="K182" s="31">
        <v>45784</v>
      </c>
    </row>
    <row r="183" spans="1:11">
      <c r="A183" s="21" t="s">
        <v>236</v>
      </c>
      <c r="B183" s="21">
        <v>1</v>
      </c>
      <c r="C183" s="21" t="s">
        <v>42</v>
      </c>
      <c r="D183" s="21">
        <v>1</v>
      </c>
      <c r="E183" s="28">
        <v>0.55</v>
      </c>
      <c r="F183" s="21" t="s">
        <v>43</v>
      </c>
      <c r="G183" s="21" t="s">
        <v>44</v>
      </c>
      <c r="H183" s="21">
        <v>4.5</v>
      </c>
      <c r="I183" s="21">
        <f t="shared" si="2"/>
        <v>5.5</v>
      </c>
      <c r="J183" s="21" t="str">
        <f>VLOOKUP(A183,[1]CostBill!$B:$D,3,0)</f>
        <v>00340434713524033620</v>
      </c>
      <c r="K183" s="31">
        <v>45784</v>
      </c>
    </row>
    <row r="184" spans="1:11">
      <c r="A184" s="21" t="s">
        <v>237</v>
      </c>
      <c r="B184" s="21">
        <v>1</v>
      </c>
      <c r="C184" s="21" t="s">
        <v>42</v>
      </c>
      <c r="D184" s="21">
        <v>1</v>
      </c>
      <c r="E184" s="28">
        <v>0.55</v>
      </c>
      <c r="F184" s="21" t="s">
        <v>43</v>
      </c>
      <c r="G184" s="21" t="s">
        <v>44</v>
      </c>
      <c r="H184" s="21">
        <v>4.5</v>
      </c>
      <c r="I184" s="21">
        <f t="shared" si="2"/>
        <v>5.5</v>
      </c>
      <c r="J184" s="21" t="str">
        <f>VLOOKUP(A184,[1]CostBill!$B:$D,3,0)</f>
        <v>00340434713524033637</v>
      </c>
      <c r="K184" s="31">
        <v>45784</v>
      </c>
    </row>
    <row r="185" spans="1:11">
      <c r="A185" s="21" t="s">
        <v>238</v>
      </c>
      <c r="B185" s="21">
        <v>1</v>
      </c>
      <c r="C185" s="21" t="s">
        <v>42</v>
      </c>
      <c r="D185" s="21">
        <v>1</v>
      </c>
      <c r="E185" s="28">
        <v>0.55</v>
      </c>
      <c r="F185" s="21" t="s">
        <v>43</v>
      </c>
      <c r="G185" s="21" t="s">
        <v>44</v>
      </c>
      <c r="H185" s="21">
        <v>4.5</v>
      </c>
      <c r="I185" s="21">
        <f t="shared" si="2"/>
        <v>5.5</v>
      </c>
      <c r="J185" s="21" t="str">
        <f>VLOOKUP(A185,[1]CostBill!$B:$D,3,0)</f>
        <v>00340434713524033613</v>
      </c>
      <c r="K185" s="31">
        <v>45784</v>
      </c>
    </row>
    <row r="186" spans="1:11">
      <c r="A186" s="21" t="s">
        <v>239</v>
      </c>
      <c r="B186" s="21">
        <v>1</v>
      </c>
      <c r="C186" s="21" t="s">
        <v>42</v>
      </c>
      <c r="D186" s="21">
        <v>1</v>
      </c>
      <c r="E186" s="28">
        <v>0.1</v>
      </c>
      <c r="F186" s="21" t="s">
        <v>46</v>
      </c>
      <c r="G186" s="21" t="s">
        <v>78</v>
      </c>
      <c r="H186" s="21">
        <v>14.8</v>
      </c>
      <c r="I186" s="21">
        <f t="shared" si="2"/>
        <v>15.8</v>
      </c>
      <c r="J186" s="21" t="str">
        <f>VLOOKUP(A186,[1]CostBill!$B:$D,3,0)</f>
        <v>CD913933270DE</v>
      </c>
      <c r="K186" s="31">
        <v>45784</v>
      </c>
    </row>
    <row r="187" spans="1:11">
      <c r="A187" s="21" t="s">
        <v>240</v>
      </c>
      <c r="B187" s="21">
        <v>1</v>
      </c>
      <c r="C187" s="21" t="s">
        <v>42</v>
      </c>
      <c r="D187" s="21">
        <v>1</v>
      </c>
      <c r="E187" s="28">
        <v>0.95</v>
      </c>
      <c r="F187" s="21" t="s">
        <v>46</v>
      </c>
      <c r="G187" s="21" t="s">
        <v>107</v>
      </c>
      <c r="H187" s="21">
        <f>14.8+1</f>
        <v>15.8</v>
      </c>
      <c r="I187" s="21">
        <f t="shared" si="2"/>
        <v>16.8</v>
      </c>
      <c r="J187" s="21" t="str">
        <f>VLOOKUP(A187,[1]CostBill!$B:$D,3,0)</f>
        <v>CD913933527DE</v>
      </c>
      <c r="K187" s="31">
        <v>45784</v>
      </c>
    </row>
    <row r="188" spans="1:11">
      <c r="A188" s="21" t="s">
        <v>241</v>
      </c>
      <c r="B188" s="21">
        <v>1</v>
      </c>
      <c r="C188" s="21" t="s">
        <v>42</v>
      </c>
      <c r="D188" s="21">
        <v>1</v>
      </c>
      <c r="E188" s="28">
        <v>3</v>
      </c>
      <c r="F188" s="21" t="s">
        <v>46</v>
      </c>
      <c r="G188" s="21" t="s">
        <v>49</v>
      </c>
      <c r="H188" s="21">
        <v>15.8</v>
      </c>
      <c r="I188" s="21">
        <f t="shared" si="2"/>
        <v>16.8</v>
      </c>
      <c r="J188" s="21" t="str">
        <f>VLOOKUP(A188,[1]CostBill!$B:$D,3,0)</f>
        <v>CD913933513DE</v>
      </c>
      <c r="K188" s="31">
        <v>45784</v>
      </c>
    </row>
    <row r="189" spans="1:11">
      <c r="A189" s="21" t="s">
        <v>242</v>
      </c>
      <c r="B189" s="21">
        <v>1</v>
      </c>
      <c r="C189" s="21" t="s">
        <v>214</v>
      </c>
      <c r="D189" s="21">
        <f>1.2+1*2</f>
        <v>3.2</v>
      </c>
      <c r="E189" s="28">
        <v>16.2</v>
      </c>
      <c r="F189" s="21" t="s">
        <v>43</v>
      </c>
      <c r="G189" s="21" t="s">
        <v>44</v>
      </c>
      <c r="H189" s="21">
        <v>6.2</v>
      </c>
      <c r="I189" s="21">
        <f t="shared" si="2"/>
        <v>9.4</v>
      </c>
      <c r="J189" s="21" t="str">
        <f>VLOOKUP(A189,[1]CostBill!$B:$D,3,0)</f>
        <v>00340434713524034924</v>
      </c>
      <c r="K189" s="31">
        <v>45784</v>
      </c>
    </row>
    <row r="190" spans="1:11">
      <c r="A190" s="21" t="s">
        <v>243</v>
      </c>
      <c r="B190" s="21">
        <v>1</v>
      </c>
      <c r="C190" s="21" t="s">
        <v>42</v>
      </c>
      <c r="D190" s="21">
        <v>1</v>
      </c>
      <c r="E190" s="28">
        <v>2.05</v>
      </c>
      <c r="F190" s="21" t="s">
        <v>43</v>
      </c>
      <c r="G190" s="21" t="s">
        <v>44</v>
      </c>
      <c r="H190" s="21">
        <v>4.5</v>
      </c>
      <c r="I190" s="21">
        <f t="shared" si="2"/>
        <v>5.5</v>
      </c>
      <c r="J190" s="21" t="str">
        <f>VLOOKUP(A190,[1]CostBill!$B:$D,3,0)</f>
        <v>00340434713524034986</v>
      </c>
      <c r="K190" s="31">
        <v>45784</v>
      </c>
    </row>
    <row r="191" spans="1:11">
      <c r="A191" s="21" t="s">
        <v>244</v>
      </c>
      <c r="B191" s="21">
        <v>1</v>
      </c>
      <c r="C191" s="21" t="s">
        <v>42</v>
      </c>
      <c r="D191" s="21">
        <v>1</v>
      </c>
      <c r="E191" s="28">
        <v>2.05</v>
      </c>
      <c r="F191" s="21" t="s">
        <v>43</v>
      </c>
      <c r="G191" s="21" t="s">
        <v>44</v>
      </c>
      <c r="H191" s="21">
        <v>4.5</v>
      </c>
      <c r="I191" s="21">
        <f t="shared" ref="I191:I206" si="3">D191+H191</f>
        <v>5.5</v>
      </c>
      <c r="J191" s="21" t="str">
        <f>VLOOKUP(A191,[1]CostBill!$B:$D,3,0)</f>
        <v>00340434713524034993</v>
      </c>
      <c r="K191" s="31">
        <v>45784</v>
      </c>
    </row>
    <row r="192" spans="1:11">
      <c r="A192" s="21" t="s">
        <v>245</v>
      </c>
      <c r="B192" s="21">
        <v>1</v>
      </c>
      <c r="C192" s="21" t="s">
        <v>42</v>
      </c>
      <c r="D192" s="21">
        <v>1</v>
      </c>
      <c r="E192" s="28">
        <v>0.55</v>
      </c>
      <c r="F192" s="21" t="s">
        <v>43</v>
      </c>
      <c r="G192" s="21" t="s">
        <v>44</v>
      </c>
      <c r="H192" s="21">
        <v>4.5</v>
      </c>
      <c r="I192" s="21">
        <f t="shared" si="3"/>
        <v>5.5</v>
      </c>
      <c r="J192" s="21" t="str">
        <f>VLOOKUP(A192,[1]CostBill!$B:$D,3,0)</f>
        <v>00340434713524036089</v>
      </c>
      <c r="K192" s="31">
        <v>45784</v>
      </c>
    </row>
    <row r="193" spans="1:11">
      <c r="A193" s="21" t="s">
        <v>246</v>
      </c>
      <c r="B193" s="21">
        <v>1</v>
      </c>
      <c r="C193" s="21" t="s">
        <v>42</v>
      </c>
      <c r="D193" s="21">
        <v>1</v>
      </c>
      <c r="E193" s="28">
        <v>0.2</v>
      </c>
      <c r="F193" s="21" t="s">
        <v>46</v>
      </c>
      <c r="G193" s="21" t="s">
        <v>65</v>
      </c>
      <c r="H193" s="21">
        <v>11</v>
      </c>
      <c r="I193" s="21">
        <f t="shared" si="3"/>
        <v>12</v>
      </c>
      <c r="J193" s="21" t="str">
        <f>VLOOKUP(A193,[1]CostBill!$B:$D,3,0)</f>
        <v>CD913934757DE</v>
      </c>
      <c r="K193" s="31">
        <v>45784</v>
      </c>
    </row>
    <row r="194" spans="1:11">
      <c r="A194" s="21" t="s">
        <v>247</v>
      </c>
      <c r="B194" s="21">
        <v>1</v>
      </c>
      <c r="C194" s="21" t="s">
        <v>42</v>
      </c>
      <c r="D194" s="21">
        <v>1</v>
      </c>
      <c r="E194" s="28">
        <v>0.55</v>
      </c>
      <c r="F194" s="21" t="s">
        <v>43</v>
      </c>
      <c r="G194" s="21" t="s">
        <v>44</v>
      </c>
      <c r="H194" s="21">
        <v>4.5</v>
      </c>
      <c r="I194" s="21">
        <f t="shared" si="3"/>
        <v>5.5</v>
      </c>
      <c r="J194" s="21" t="str">
        <f>VLOOKUP(A194,[1]CostBill!$B:$D,3,0)</f>
        <v>00340434713524036096</v>
      </c>
      <c r="K194" s="31">
        <v>45784</v>
      </c>
    </row>
    <row r="195" spans="1:11">
      <c r="A195" s="21" t="s">
        <v>248</v>
      </c>
      <c r="B195" s="21">
        <v>1</v>
      </c>
      <c r="C195" s="21" t="s">
        <v>42</v>
      </c>
      <c r="D195" s="21">
        <v>1</v>
      </c>
      <c r="E195" s="28">
        <v>0.15</v>
      </c>
      <c r="F195" s="21" t="s">
        <v>46</v>
      </c>
      <c r="G195" s="21" t="s">
        <v>65</v>
      </c>
      <c r="H195" s="21">
        <v>11</v>
      </c>
      <c r="I195" s="21">
        <f t="shared" si="3"/>
        <v>12</v>
      </c>
      <c r="J195" s="21" t="str">
        <f>VLOOKUP(A195,[1]CostBill!$B:$D,3,0)</f>
        <v>CD913935430DE</v>
      </c>
      <c r="K195" s="31">
        <v>45785</v>
      </c>
    </row>
    <row r="196" spans="1:11">
      <c r="A196" s="21" t="s">
        <v>249</v>
      </c>
      <c r="B196" s="21">
        <v>1</v>
      </c>
      <c r="C196" s="21" t="s">
        <v>42</v>
      </c>
      <c r="D196" s="21">
        <v>1</v>
      </c>
      <c r="E196" s="28">
        <v>0.55</v>
      </c>
      <c r="F196" s="21" t="s">
        <v>43</v>
      </c>
      <c r="G196" s="21" t="s">
        <v>44</v>
      </c>
      <c r="H196" s="21">
        <v>4.5</v>
      </c>
      <c r="I196" s="21">
        <f t="shared" si="3"/>
        <v>5.5</v>
      </c>
      <c r="J196" s="21" t="str">
        <f>VLOOKUP(A196,[1]CostBill!$B:$D,3,0)</f>
        <v>00340434713524036171</v>
      </c>
      <c r="K196" s="31">
        <v>45785</v>
      </c>
    </row>
    <row r="197" spans="1:11">
      <c r="A197" s="21" t="s">
        <v>250</v>
      </c>
      <c r="B197" s="21">
        <v>1</v>
      </c>
      <c r="C197" s="21" t="s">
        <v>42</v>
      </c>
      <c r="D197" s="21">
        <v>1</v>
      </c>
      <c r="E197" s="28">
        <v>0.55</v>
      </c>
      <c r="F197" s="21" t="s">
        <v>43</v>
      </c>
      <c r="G197" s="21" t="s">
        <v>44</v>
      </c>
      <c r="H197" s="21">
        <v>4.5</v>
      </c>
      <c r="I197" s="21">
        <f t="shared" si="3"/>
        <v>5.5</v>
      </c>
      <c r="J197" s="21" t="str">
        <f>VLOOKUP(A197,[1]CostBill!$B:$D,3,0)</f>
        <v>00340434713524036225</v>
      </c>
      <c r="K197" s="31">
        <v>45785</v>
      </c>
    </row>
    <row r="198" spans="1:11">
      <c r="A198" s="21" t="s">
        <v>251</v>
      </c>
      <c r="B198" s="21">
        <v>1</v>
      </c>
      <c r="C198" s="21" t="s">
        <v>42</v>
      </c>
      <c r="D198" s="21">
        <v>1</v>
      </c>
      <c r="E198" s="28">
        <v>0.55</v>
      </c>
      <c r="F198" s="21" t="s">
        <v>43</v>
      </c>
      <c r="G198" s="21" t="s">
        <v>44</v>
      </c>
      <c r="H198" s="21">
        <v>4.5</v>
      </c>
      <c r="I198" s="21">
        <f t="shared" si="3"/>
        <v>5.5</v>
      </c>
      <c r="J198" s="21" t="str">
        <f>VLOOKUP(A198,[1]CostBill!$B:$D,3,0)</f>
        <v>00340434713524036218</v>
      </c>
      <c r="K198" s="31">
        <v>45785</v>
      </c>
    </row>
    <row r="199" spans="1:11">
      <c r="A199" s="21" t="s">
        <v>252</v>
      </c>
      <c r="B199" s="21">
        <v>1</v>
      </c>
      <c r="C199" s="21" t="s">
        <v>42</v>
      </c>
      <c r="D199" s="21">
        <v>1</v>
      </c>
      <c r="E199" s="28">
        <v>0.55</v>
      </c>
      <c r="F199" s="21" t="s">
        <v>43</v>
      </c>
      <c r="G199" s="21" t="s">
        <v>44</v>
      </c>
      <c r="H199" s="21">
        <v>4.5</v>
      </c>
      <c r="I199" s="21">
        <f t="shared" si="3"/>
        <v>5.5</v>
      </c>
      <c r="J199" s="21" t="str">
        <f>VLOOKUP(A199,[1]CostBill!$B:$D,3,0)</f>
        <v>00340434713524036195</v>
      </c>
      <c r="K199" s="31">
        <v>45785</v>
      </c>
    </row>
    <row r="200" spans="1:11">
      <c r="A200" s="21" t="s">
        <v>253</v>
      </c>
      <c r="B200" s="21">
        <v>1</v>
      </c>
      <c r="C200" s="21" t="s">
        <v>42</v>
      </c>
      <c r="D200" s="21">
        <v>1</v>
      </c>
      <c r="E200" s="28">
        <v>0.55</v>
      </c>
      <c r="F200" s="21" t="s">
        <v>43</v>
      </c>
      <c r="G200" s="21" t="s">
        <v>44</v>
      </c>
      <c r="H200" s="21">
        <v>4.5</v>
      </c>
      <c r="I200" s="21">
        <f t="shared" si="3"/>
        <v>5.5</v>
      </c>
      <c r="J200" s="21" t="str">
        <f>VLOOKUP(A200,[1]CostBill!$B:$D,3,0)</f>
        <v>00340434713524036201</v>
      </c>
      <c r="K200" s="31">
        <v>45785</v>
      </c>
    </row>
    <row r="201" spans="1:11">
      <c r="A201" s="21" t="s">
        <v>254</v>
      </c>
      <c r="B201" s="21">
        <v>1</v>
      </c>
      <c r="C201" s="21" t="s">
        <v>42</v>
      </c>
      <c r="D201" s="21">
        <v>1</v>
      </c>
      <c r="E201" s="28">
        <v>1.75</v>
      </c>
      <c r="F201" s="21" t="s">
        <v>43</v>
      </c>
      <c r="G201" s="21" t="s">
        <v>44</v>
      </c>
      <c r="H201" s="21">
        <v>4.5</v>
      </c>
      <c r="I201" s="21">
        <f t="shared" si="3"/>
        <v>5.5</v>
      </c>
      <c r="J201" s="21" t="str">
        <f>VLOOKUP(A201,[1]CostBill!$B:$D,3,0)</f>
        <v>00340434713524036188</v>
      </c>
      <c r="K201" s="31">
        <v>45785</v>
      </c>
    </row>
    <row r="202" spans="1:11">
      <c r="A202" s="21" t="s">
        <v>255</v>
      </c>
      <c r="B202" s="21">
        <v>1</v>
      </c>
      <c r="C202" s="21" t="s">
        <v>42</v>
      </c>
      <c r="D202" s="21">
        <v>1</v>
      </c>
      <c r="E202" s="28">
        <v>0.55</v>
      </c>
      <c r="F202" s="21" t="s">
        <v>43</v>
      </c>
      <c r="G202" s="21" t="s">
        <v>44</v>
      </c>
      <c r="H202" s="21">
        <v>4.5</v>
      </c>
      <c r="I202" s="21">
        <f t="shared" si="3"/>
        <v>5.5</v>
      </c>
      <c r="J202" s="21" t="str">
        <f>VLOOKUP(A202,[1]CostBill!$B:$D,3,0)</f>
        <v>00340434713524036232</v>
      </c>
      <c r="K202" s="31">
        <v>45785</v>
      </c>
    </row>
    <row r="203" spans="1:11">
      <c r="A203" s="21" t="s">
        <v>256</v>
      </c>
      <c r="B203" s="21">
        <v>1</v>
      </c>
      <c r="C203" s="21" t="s">
        <v>42</v>
      </c>
      <c r="D203" s="21">
        <v>1</v>
      </c>
      <c r="E203" s="28">
        <v>0.55</v>
      </c>
      <c r="F203" s="21" t="s">
        <v>46</v>
      </c>
      <c r="G203" s="21" t="s">
        <v>47</v>
      </c>
      <c r="H203" s="21">
        <v>12.8</v>
      </c>
      <c r="I203" s="21">
        <f t="shared" si="3"/>
        <v>13.8</v>
      </c>
      <c r="J203" s="21" t="str">
        <f>VLOOKUP(A203,[1]CostBill!$B:$D,3,0)</f>
        <v>CD913935528DE</v>
      </c>
      <c r="K203" s="31">
        <v>45785</v>
      </c>
    </row>
    <row r="204" spans="1:11">
      <c r="A204" s="21" t="s">
        <v>257</v>
      </c>
      <c r="B204" s="21">
        <v>1</v>
      </c>
      <c r="C204" s="21" t="s">
        <v>42</v>
      </c>
      <c r="D204" s="21">
        <v>1</v>
      </c>
      <c r="E204" s="28">
        <v>0.55</v>
      </c>
      <c r="F204" s="21" t="s">
        <v>46</v>
      </c>
      <c r="G204" s="21" t="s">
        <v>47</v>
      </c>
      <c r="H204" s="21">
        <v>12.8</v>
      </c>
      <c r="I204" s="21">
        <f t="shared" si="3"/>
        <v>13.8</v>
      </c>
      <c r="J204" s="21" t="str">
        <f>VLOOKUP(A204,[1]CostBill!$B:$D,3,0)</f>
        <v>CD913935559DE</v>
      </c>
      <c r="K204" s="31">
        <v>45785</v>
      </c>
    </row>
    <row r="205" spans="1:11">
      <c r="A205" s="21" t="s">
        <v>258</v>
      </c>
      <c r="B205" s="21">
        <v>1</v>
      </c>
      <c r="C205" s="21" t="s">
        <v>42</v>
      </c>
      <c r="D205" s="21">
        <v>1</v>
      </c>
      <c r="E205" s="28">
        <v>1.05</v>
      </c>
      <c r="F205" s="21" t="s">
        <v>43</v>
      </c>
      <c r="G205" s="21" t="s">
        <v>44</v>
      </c>
      <c r="H205" s="21">
        <v>4.5</v>
      </c>
      <c r="I205" s="21">
        <f t="shared" si="3"/>
        <v>5.5</v>
      </c>
      <c r="J205" s="21" t="str">
        <f>VLOOKUP(A205,[1]CostBill!$B:$D,3,0)</f>
        <v>00340434713524037154</v>
      </c>
      <c r="K205" s="31">
        <v>45785</v>
      </c>
    </row>
    <row r="206" spans="1:11">
      <c r="A206" s="21" t="s">
        <v>259</v>
      </c>
      <c r="B206" s="21">
        <v>1</v>
      </c>
      <c r="C206" s="21" t="s">
        <v>42</v>
      </c>
      <c r="D206" s="21">
        <v>1</v>
      </c>
      <c r="E206" s="28">
        <v>0.55</v>
      </c>
      <c r="F206" s="21" t="s">
        <v>43</v>
      </c>
      <c r="G206" s="21" t="s">
        <v>44</v>
      </c>
      <c r="H206" s="21">
        <v>4.5</v>
      </c>
      <c r="I206" s="21">
        <f t="shared" si="3"/>
        <v>5.5</v>
      </c>
      <c r="J206" s="21" t="str">
        <f>VLOOKUP(A206,[1]CostBill!$B:$D,3,0)</f>
        <v>00340434713524037994</v>
      </c>
      <c r="K206" s="31">
        <v>45785</v>
      </c>
    </row>
    <row r="208" spans="4:9">
      <c r="D208" s="28">
        <f>SUM(D2:D207)</f>
        <v>226.8</v>
      </c>
      <c r="H208" s="28">
        <f>SUM(H2:H207)</f>
        <v>1435.5</v>
      </c>
      <c r="I208" s="30">
        <f>SUM(I2:I207)</f>
        <v>1662.3</v>
      </c>
    </row>
    <row r="210" spans="9:9">
      <c r="I210" s="21">
        <v>257.8</v>
      </c>
    </row>
  </sheetData>
  <autoFilter xmlns:etc="http://www.wps.cn/officeDocument/2017/etCustomData" ref="A1:J206" etc:filterBottomFollowUsedRange="0">
    <extLst/>
  </autoFilter>
  <conditionalFormatting sqref="J1">
    <cfRule type="duplicateValues" dxfId="0" priority="1"/>
  </conditionalFormatting>
  <conditionalFormatting sqref="A$1:A$1048576">
    <cfRule type="duplicateValues" dxfId="0" priority="2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J7" sqref="J7"/>
    </sheetView>
  </sheetViews>
  <sheetFormatPr defaultColWidth="15.7083333333333" defaultRowHeight="24.95" customHeight="1"/>
  <cols>
    <col min="1" max="1" width="27.5666666666667" style="21" customWidth="1"/>
    <col min="2" max="2" width="15.8583333333333" style="21" customWidth="1"/>
    <col min="3" max="16384" width="15.7083333333333" style="21"/>
  </cols>
  <sheetData>
    <row r="1" customHeight="1" spans="1:10">
      <c r="A1" s="21" t="s">
        <v>33</v>
      </c>
      <c r="B1" s="26" t="s">
        <v>260</v>
      </c>
      <c r="C1" s="26" t="s">
        <v>34</v>
      </c>
      <c r="D1" s="26" t="s">
        <v>36</v>
      </c>
      <c r="E1" s="26" t="s">
        <v>261</v>
      </c>
      <c r="F1" s="26" t="s">
        <v>30</v>
      </c>
      <c r="G1" s="21" t="s">
        <v>262</v>
      </c>
      <c r="H1" s="21" t="s">
        <v>263</v>
      </c>
      <c r="I1" s="21" t="s">
        <v>264</v>
      </c>
      <c r="J1" s="21" t="s">
        <v>32</v>
      </c>
    </row>
    <row r="2" customHeight="1" spans="1:10">
      <c r="A2" s="21" t="s">
        <v>265</v>
      </c>
      <c r="B2" s="21">
        <v>3</v>
      </c>
      <c r="C2" s="21">
        <v>1</v>
      </c>
      <c r="D2" s="21">
        <v>1.2</v>
      </c>
      <c r="E2" s="27">
        <v>48</v>
      </c>
      <c r="F2" s="21">
        <f>0.5*E2</f>
        <v>24</v>
      </c>
      <c r="G2" s="21">
        <v>98</v>
      </c>
      <c r="H2" s="21">
        <f>0.5*G2</f>
        <v>49</v>
      </c>
      <c r="I2" s="21">
        <v>0</v>
      </c>
      <c r="J2" s="21">
        <f>B2+D2+F2+H2+I2</f>
        <v>77.2</v>
      </c>
    </row>
    <row r="3" customHeight="1" spans="1:10">
      <c r="A3" s="21" t="s">
        <v>266</v>
      </c>
      <c r="B3" s="21">
        <v>3</v>
      </c>
      <c r="C3" s="21">
        <v>1</v>
      </c>
      <c r="D3" s="21">
        <v>1.2</v>
      </c>
      <c r="E3" s="27">
        <v>48</v>
      </c>
      <c r="F3" s="21">
        <f t="shared" ref="F3:F5" si="0">0.5*E3</f>
        <v>24</v>
      </c>
      <c r="G3" s="21">
        <v>98</v>
      </c>
      <c r="H3" s="21">
        <f t="shared" ref="H3:H5" si="1">0.5*G3</f>
        <v>49</v>
      </c>
      <c r="I3" s="21">
        <v>0</v>
      </c>
      <c r="J3" s="21">
        <f t="shared" ref="J3:J5" si="2">B3+D3+F3+H3+I3</f>
        <v>77.2</v>
      </c>
    </row>
    <row r="4" customHeight="1" spans="1:10">
      <c r="A4" s="21" t="s">
        <v>267</v>
      </c>
      <c r="B4" s="21">
        <v>3</v>
      </c>
      <c r="C4" s="21">
        <v>1</v>
      </c>
      <c r="D4" s="21">
        <v>1.2</v>
      </c>
      <c r="E4" s="27">
        <v>48</v>
      </c>
      <c r="F4" s="21">
        <f t="shared" si="0"/>
        <v>24</v>
      </c>
      <c r="G4" s="21">
        <v>98</v>
      </c>
      <c r="H4" s="21">
        <f t="shared" si="1"/>
        <v>49</v>
      </c>
      <c r="I4" s="21">
        <v>0</v>
      </c>
      <c r="J4" s="21">
        <f t="shared" si="2"/>
        <v>77.2</v>
      </c>
    </row>
    <row r="5" customHeight="1" spans="1:10">
      <c r="A5" s="21" t="s">
        <v>268</v>
      </c>
      <c r="B5" s="21">
        <v>3</v>
      </c>
      <c r="C5" s="21">
        <v>1</v>
      </c>
      <c r="D5" s="21">
        <v>1.2</v>
      </c>
      <c r="E5" s="27">
        <v>14</v>
      </c>
      <c r="F5" s="21">
        <f t="shared" si="0"/>
        <v>7</v>
      </c>
      <c r="G5" s="21">
        <v>30</v>
      </c>
      <c r="H5" s="21">
        <f t="shared" si="1"/>
        <v>15</v>
      </c>
      <c r="I5" s="21">
        <v>0</v>
      </c>
      <c r="J5" s="21">
        <f t="shared" si="2"/>
        <v>26.2</v>
      </c>
    </row>
    <row r="7" customHeight="1" spans="2:10">
      <c r="B7" s="28">
        <f>SUM(B2:B6)</f>
        <v>12</v>
      </c>
      <c r="D7" s="28">
        <f>SUM(D2:D6)</f>
        <v>4.8</v>
      </c>
      <c r="F7" s="28">
        <f>SUM(F2:F6)</f>
        <v>79</v>
      </c>
      <c r="H7" s="28">
        <f>SUM(H2:H6)</f>
        <v>162</v>
      </c>
      <c r="I7" s="28">
        <f>SUM(I2:I6)</f>
        <v>0</v>
      </c>
      <c r="J7" s="30">
        <f>SUM(J2:J6)</f>
        <v>257.8</v>
      </c>
    </row>
    <row r="13" customHeight="1" spans="6:6">
      <c r="F13" s="29" t="s">
        <v>269</v>
      </c>
    </row>
  </sheetData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C12" sqref="C12"/>
    </sheetView>
  </sheetViews>
  <sheetFormatPr defaultColWidth="15.7083333333333" defaultRowHeight="24.95" customHeight="1"/>
  <cols>
    <col min="1" max="1" width="15.7083333333333" style="21"/>
    <col min="2" max="2" width="31.7083333333333" style="21" customWidth="1"/>
    <col min="3" max="3" width="29.8583333333333" style="21" customWidth="1"/>
    <col min="4" max="4" width="56.8583333333333" style="21" customWidth="1"/>
    <col min="5" max="16384" width="15.7083333333333" style="21"/>
  </cols>
  <sheetData>
    <row r="1" s="20" customFormat="1" customHeight="1" spans="1:9">
      <c r="A1" s="20" t="s">
        <v>24</v>
      </c>
      <c r="B1" s="20" t="s">
        <v>33</v>
      </c>
      <c r="C1" s="22" t="s">
        <v>270</v>
      </c>
      <c r="D1" s="20" t="s">
        <v>271</v>
      </c>
      <c r="E1" s="20" t="s">
        <v>272</v>
      </c>
      <c r="F1" s="23" t="s">
        <v>32</v>
      </c>
      <c r="H1" s="24"/>
      <c r="I1" s="25"/>
    </row>
  </sheetData>
  <conditionalFormatting sqref="B1">
    <cfRule type="duplicateValues" dxfId="0" priority="1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"/>
  <sheetViews>
    <sheetView tabSelected="1" topLeftCell="H1" workbookViewId="0">
      <selection activeCell="O28" sqref="O28"/>
    </sheetView>
  </sheetViews>
  <sheetFormatPr defaultColWidth="9" defaultRowHeight="13.5"/>
  <cols>
    <col min="1" max="1" width="31" style="5" customWidth="1"/>
    <col min="2" max="2" width="14" style="5" customWidth="1"/>
    <col min="3" max="3" width="12" style="5" customWidth="1"/>
    <col min="4" max="4" width="20.625" style="5" customWidth="1"/>
    <col min="5" max="5" width="13.1416666666667" style="5" customWidth="1"/>
    <col min="6" max="6" width="33.375" style="5" customWidth="1"/>
    <col min="7" max="7" width="28.625" style="5" customWidth="1"/>
    <col min="8" max="8" width="9.14166666666667" style="5"/>
    <col min="9" max="9" width="8.28333333333333" style="5" customWidth="1"/>
    <col min="10" max="10" width="12.425" style="5" customWidth="1"/>
    <col min="11" max="11" width="12.2833333333333" style="5" customWidth="1"/>
    <col min="12" max="12" width="20" style="5" customWidth="1"/>
    <col min="13" max="13" width="12.425" style="5" customWidth="1"/>
    <col min="14" max="14" width="10.1416666666667" style="5" customWidth="1"/>
    <col min="15" max="15" width="28.8583333333333" style="5" customWidth="1"/>
    <col min="16" max="16" width="36.375" style="6" customWidth="1"/>
    <col min="17" max="17" width="3.85833333333333" style="5" customWidth="1"/>
    <col min="18" max="18" width="13.875" style="5" customWidth="1"/>
    <col min="19" max="19" width="27.125" style="5" customWidth="1"/>
    <col min="20" max="20" width="8.70833333333333" style="5" customWidth="1"/>
    <col min="21" max="21" width="11.5666666666667" style="5" customWidth="1"/>
    <col min="22" max="22" width="22.425" style="5" customWidth="1"/>
    <col min="23" max="16384" width="9.14166666666667" style="5"/>
  </cols>
  <sheetData>
    <row r="1" spans="1:22">
      <c r="A1" s="5" t="s">
        <v>273</v>
      </c>
      <c r="B1" s="5" t="s">
        <v>274</v>
      </c>
      <c r="C1" s="5" t="s">
        <v>275</v>
      </c>
      <c r="D1" s="5" t="s">
        <v>276</v>
      </c>
      <c r="E1" s="5" t="s">
        <v>277</v>
      </c>
      <c r="F1" s="5" t="s">
        <v>278</v>
      </c>
      <c r="G1" s="5" t="s">
        <v>279</v>
      </c>
      <c r="H1" s="5" t="s">
        <v>280</v>
      </c>
      <c r="I1" s="5" t="s">
        <v>281</v>
      </c>
      <c r="J1" s="5" t="s">
        <v>282</v>
      </c>
      <c r="K1" s="9" t="s">
        <v>283</v>
      </c>
      <c r="L1" s="10" t="s">
        <v>284</v>
      </c>
      <c r="M1" s="5" t="s">
        <v>285</v>
      </c>
      <c r="N1" s="5" t="s">
        <v>286</v>
      </c>
      <c r="O1" s="5" t="s">
        <v>287</v>
      </c>
      <c r="P1" s="11" t="s">
        <v>288</v>
      </c>
      <c r="Q1" s="5" t="s">
        <v>289</v>
      </c>
      <c r="R1" s="5" t="s">
        <v>290</v>
      </c>
      <c r="S1" s="5" t="s">
        <v>291</v>
      </c>
      <c r="T1" s="5" t="s">
        <v>292</v>
      </c>
      <c r="U1" s="5" t="s">
        <v>293</v>
      </c>
      <c r="V1" s="5" t="s">
        <v>294</v>
      </c>
    </row>
    <row r="2" ht="14.25" spans="1:19">
      <c r="A2" s="51" t="s">
        <v>295</v>
      </c>
      <c r="B2" s="5" t="s">
        <v>296</v>
      </c>
      <c r="C2" s="7">
        <v>45767</v>
      </c>
      <c r="D2" s="5">
        <v>1003219247</v>
      </c>
      <c r="E2" s="5" t="s">
        <v>44</v>
      </c>
      <c r="F2" s="5" t="s">
        <v>297</v>
      </c>
      <c r="G2" s="5" t="s">
        <v>298</v>
      </c>
      <c r="H2" s="5">
        <v>44652</v>
      </c>
      <c r="J2" s="5" t="s">
        <v>44</v>
      </c>
      <c r="K2" s="12">
        <v>35</v>
      </c>
      <c r="L2" s="13" t="s">
        <v>299</v>
      </c>
      <c r="M2" s="5">
        <v>1610</v>
      </c>
      <c r="N2" s="7">
        <v>45758</v>
      </c>
      <c r="O2" s="8" t="s">
        <v>300</v>
      </c>
      <c r="P2" s="5" t="s">
        <v>301</v>
      </c>
      <c r="Q2" s="5">
        <v>1</v>
      </c>
      <c r="R2" s="5" t="s">
        <v>302</v>
      </c>
      <c r="S2" s="18" t="s">
        <v>303</v>
      </c>
    </row>
    <row r="3" ht="14.25" spans="1:19">
      <c r="A3" s="51" t="s">
        <v>295</v>
      </c>
      <c r="B3" s="5" t="s">
        <v>296</v>
      </c>
      <c r="C3" s="7">
        <v>45767</v>
      </c>
      <c r="D3" s="5">
        <v>1003219247</v>
      </c>
      <c r="E3" s="5" t="s">
        <v>44</v>
      </c>
      <c r="F3" s="5" t="s">
        <v>304</v>
      </c>
      <c r="G3" s="5" t="s">
        <v>305</v>
      </c>
      <c r="H3" s="5">
        <v>92272</v>
      </c>
      <c r="J3" s="5" t="s">
        <v>44</v>
      </c>
      <c r="K3" s="12">
        <v>35</v>
      </c>
      <c r="L3" s="13" t="s">
        <v>299</v>
      </c>
      <c r="M3" s="5">
        <v>1610</v>
      </c>
      <c r="N3" s="7">
        <v>45763</v>
      </c>
      <c r="O3" s="14" t="s">
        <v>306</v>
      </c>
      <c r="P3" s="5" t="s">
        <v>58</v>
      </c>
      <c r="Q3" s="5">
        <v>1</v>
      </c>
      <c r="R3" s="5" t="s">
        <v>302</v>
      </c>
      <c r="S3" s="18" t="s">
        <v>307</v>
      </c>
    </row>
    <row r="4" ht="14.25" spans="1:19">
      <c r="A4" s="51" t="s">
        <v>295</v>
      </c>
      <c r="B4" s="5" t="s">
        <v>296</v>
      </c>
      <c r="C4" s="7">
        <v>45767</v>
      </c>
      <c r="D4" s="5">
        <v>1003219247</v>
      </c>
      <c r="E4" s="5" t="s">
        <v>44</v>
      </c>
      <c r="F4" s="5" t="s">
        <v>308</v>
      </c>
      <c r="G4" s="5" t="s">
        <v>309</v>
      </c>
      <c r="H4" s="5">
        <v>3222</v>
      </c>
      <c r="J4" s="5" t="s">
        <v>44</v>
      </c>
      <c r="K4" s="12">
        <v>35</v>
      </c>
      <c r="L4" s="13" t="s">
        <v>299</v>
      </c>
      <c r="M4" s="5">
        <v>1610</v>
      </c>
      <c r="N4" s="7">
        <v>45763</v>
      </c>
      <c r="O4" s="14" t="s">
        <v>310</v>
      </c>
      <c r="P4" s="5" t="s">
        <v>59</v>
      </c>
      <c r="Q4" s="5">
        <v>1</v>
      </c>
      <c r="R4" s="5" t="s">
        <v>302</v>
      </c>
      <c r="S4" s="18" t="s">
        <v>311</v>
      </c>
    </row>
    <row r="5" ht="14.25" spans="1:19">
      <c r="A5" s="51" t="s">
        <v>295</v>
      </c>
      <c r="B5" s="5" t="s">
        <v>296</v>
      </c>
      <c r="C5" s="5" t="s">
        <v>312</v>
      </c>
      <c r="D5" s="5">
        <v>1025073494</v>
      </c>
      <c r="E5" s="5" t="s">
        <v>44</v>
      </c>
      <c r="F5" s="5" t="s">
        <v>313</v>
      </c>
      <c r="G5" s="5" t="s">
        <v>314</v>
      </c>
      <c r="H5" s="5">
        <v>41516</v>
      </c>
      <c r="J5" s="5" t="s">
        <v>44</v>
      </c>
      <c r="K5" s="12">
        <v>35</v>
      </c>
      <c r="L5" s="13" t="s">
        <v>299</v>
      </c>
      <c r="M5" s="5">
        <v>1610</v>
      </c>
      <c r="N5" s="5" t="s">
        <v>315</v>
      </c>
      <c r="O5" s="14" t="s">
        <v>316</v>
      </c>
      <c r="P5" s="5" t="s">
        <v>317</v>
      </c>
      <c r="Q5" s="5">
        <v>1</v>
      </c>
      <c r="R5" s="19" t="s">
        <v>302</v>
      </c>
      <c r="S5" s="18" t="s">
        <v>318</v>
      </c>
    </row>
    <row r="6" ht="14.25" spans="1:19">
      <c r="A6" s="51" t="s">
        <v>295</v>
      </c>
      <c r="B6" s="5" t="s">
        <v>296</v>
      </c>
      <c r="C6" s="5" t="s">
        <v>312</v>
      </c>
      <c r="D6" s="5">
        <v>1025073494</v>
      </c>
      <c r="E6" s="5" t="s">
        <v>44</v>
      </c>
      <c r="F6" s="5" t="s">
        <v>319</v>
      </c>
      <c r="G6" s="5" t="s">
        <v>320</v>
      </c>
      <c r="H6" s="5">
        <v>50858</v>
      </c>
      <c r="J6" s="5" t="s">
        <v>44</v>
      </c>
      <c r="K6" s="12">
        <v>35</v>
      </c>
      <c r="L6" s="13" t="s">
        <v>299</v>
      </c>
      <c r="M6" s="5">
        <v>1610</v>
      </c>
      <c r="N6" s="5" t="s">
        <v>321</v>
      </c>
      <c r="O6" s="14" t="s">
        <v>322</v>
      </c>
      <c r="P6" s="5" t="s">
        <v>323</v>
      </c>
      <c r="Q6" s="5">
        <v>1</v>
      </c>
      <c r="R6" s="19" t="s">
        <v>302</v>
      </c>
      <c r="S6" s="18" t="s">
        <v>324</v>
      </c>
    </row>
    <row r="7" ht="14.25" spans="1:19">
      <c r="A7" s="51" t="s">
        <v>295</v>
      </c>
      <c r="B7" s="5" t="s">
        <v>296</v>
      </c>
      <c r="C7" s="5" t="s">
        <v>312</v>
      </c>
      <c r="D7" s="5">
        <v>1025073494</v>
      </c>
      <c r="E7" s="5" t="s">
        <v>44</v>
      </c>
      <c r="F7" s="5" t="s">
        <v>325</v>
      </c>
      <c r="G7" s="5" t="s">
        <v>326</v>
      </c>
      <c r="H7" s="5">
        <v>28790</v>
      </c>
      <c r="J7" s="5" t="s">
        <v>44</v>
      </c>
      <c r="K7" s="12">
        <v>35</v>
      </c>
      <c r="L7" s="13" t="s">
        <v>299</v>
      </c>
      <c r="M7" s="5">
        <v>1610</v>
      </c>
      <c r="N7" s="5" t="s">
        <v>321</v>
      </c>
      <c r="O7" s="14" t="s">
        <v>327</v>
      </c>
      <c r="P7" s="5" t="s">
        <v>328</v>
      </c>
      <c r="Q7" s="5">
        <v>1</v>
      </c>
      <c r="R7" s="19" t="s">
        <v>302</v>
      </c>
      <c r="S7" s="18" t="s">
        <v>329</v>
      </c>
    </row>
    <row r="8" ht="14.25" spans="1:19">
      <c r="A8" s="8" t="s">
        <v>295</v>
      </c>
      <c r="B8" s="5" t="s">
        <v>296</v>
      </c>
      <c r="C8" s="5" t="s">
        <v>330</v>
      </c>
      <c r="D8" s="5">
        <v>1370432302</v>
      </c>
      <c r="E8" s="5" t="s">
        <v>44</v>
      </c>
      <c r="F8" s="5" t="s">
        <v>331</v>
      </c>
      <c r="G8" s="5" t="s">
        <v>332</v>
      </c>
      <c r="H8" s="5">
        <v>95517</v>
      </c>
      <c r="J8" s="5" t="s">
        <v>44</v>
      </c>
      <c r="K8" s="12">
        <v>35</v>
      </c>
      <c r="L8" s="13" t="s">
        <v>299</v>
      </c>
      <c r="M8" s="5">
        <v>1610</v>
      </c>
      <c r="N8" s="5" t="s">
        <v>333</v>
      </c>
      <c r="O8" s="14" t="s">
        <v>334</v>
      </c>
      <c r="P8" s="5" t="s">
        <v>335</v>
      </c>
      <c r="Q8" s="5">
        <v>1</v>
      </c>
      <c r="R8" s="19" t="s">
        <v>302</v>
      </c>
      <c r="S8" s="18" t="s">
        <v>336</v>
      </c>
    </row>
    <row r="9" ht="14.25" spans="1:19">
      <c r="A9" s="8" t="s">
        <v>295</v>
      </c>
      <c r="B9" s="5" t="s">
        <v>296</v>
      </c>
      <c r="C9" s="5" t="s">
        <v>330</v>
      </c>
      <c r="D9" s="5">
        <v>1370432302</v>
      </c>
      <c r="E9" s="5" t="s">
        <v>44</v>
      </c>
      <c r="F9" s="5" t="s">
        <v>337</v>
      </c>
      <c r="G9" s="5" t="s">
        <v>338</v>
      </c>
      <c r="H9" s="5">
        <v>30453</v>
      </c>
      <c r="J9" s="5" t="s">
        <v>44</v>
      </c>
      <c r="K9" s="12">
        <v>35</v>
      </c>
      <c r="L9" s="13" t="s">
        <v>299</v>
      </c>
      <c r="M9" s="5">
        <v>1610</v>
      </c>
      <c r="N9" s="5" t="s">
        <v>339</v>
      </c>
      <c r="O9" s="8" t="s">
        <v>340</v>
      </c>
      <c r="P9" s="5" t="s">
        <v>341</v>
      </c>
      <c r="Q9" s="5">
        <v>1</v>
      </c>
      <c r="R9" s="19" t="s">
        <v>302</v>
      </c>
      <c r="S9" s="18" t="s">
        <v>342</v>
      </c>
    </row>
    <row r="10" spans="1:18">
      <c r="A10" s="8" t="s">
        <v>295</v>
      </c>
      <c r="B10" s="5" t="s">
        <v>296</v>
      </c>
      <c r="C10" s="5" t="s">
        <v>330</v>
      </c>
      <c r="D10" s="5">
        <v>1370432302</v>
      </c>
      <c r="E10" s="5" t="s">
        <v>44</v>
      </c>
      <c r="F10" s="5" t="s">
        <v>343</v>
      </c>
      <c r="G10" s="5" t="s">
        <v>343</v>
      </c>
      <c r="H10" s="5" t="s">
        <v>343</v>
      </c>
      <c r="J10" s="5" t="s">
        <v>44</v>
      </c>
      <c r="K10" s="12">
        <v>8</v>
      </c>
      <c r="L10" s="13" t="s">
        <v>344</v>
      </c>
      <c r="M10" s="5">
        <v>232000001</v>
      </c>
      <c r="N10" s="5" t="s">
        <v>321</v>
      </c>
      <c r="O10" s="14" t="s">
        <v>345</v>
      </c>
      <c r="P10" s="5" t="s">
        <v>346</v>
      </c>
      <c r="Q10" s="5">
        <v>1</v>
      </c>
      <c r="R10" s="5" t="s">
        <v>347</v>
      </c>
    </row>
    <row r="11" spans="1:18">
      <c r="A11" s="8" t="s">
        <v>295</v>
      </c>
      <c r="B11" s="5" t="s">
        <v>296</v>
      </c>
      <c r="C11" s="5" t="s">
        <v>330</v>
      </c>
      <c r="D11" s="5">
        <v>1370432302</v>
      </c>
      <c r="E11" s="5" t="s">
        <v>44</v>
      </c>
      <c r="F11" s="5" t="s">
        <v>343</v>
      </c>
      <c r="G11" s="5" t="s">
        <v>343</v>
      </c>
      <c r="H11" s="5" t="s">
        <v>343</v>
      </c>
      <c r="J11" s="5" t="s">
        <v>44</v>
      </c>
      <c r="K11" s="12">
        <v>8</v>
      </c>
      <c r="L11" s="13" t="s">
        <v>344</v>
      </c>
      <c r="M11" s="5">
        <v>232000001</v>
      </c>
      <c r="N11" s="5" t="s">
        <v>348</v>
      </c>
      <c r="O11" s="8" t="s">
        <v>349</v>
      </c>
      <c r="P11" s="5" t="s">
        <v>350</v>
      </c>
      <c r="Q11" s="5">
        <v>1</v>
      </c>
      <c r="R11" s="5" t="s">
        <v>347</v>
      </c>
    </row>
    <row r="12" spans="1:18">
      <c r="A12" s="51" t="s">
        <v>351</v>
      </c>
      <c r="B12" s="5" t="s">
        <v>296</v>
      </c>
      <c r="C12" s="5" t="s">
        <v>339</v>
      </c>
      <c r="D12" s="5">
        <v>1558810882</v>
      </c>
      <c r="E12" s="5" t="s">
        <v>44</v>
      </c>
      <c r="F12" s="5" t="s">
        <v>343</v>
      </c>
      <c r="G12" s="5" t="s">
        <v>343</v>
      </c>
      <c r="H12" s="5" t="s">
        <v>343</v>
      </c>
      <c r="K12" s="12">
        <v>14</v>
      </c>
      <c r="L12" s="13" t="s">
        <v>352</v>
      </c>
      <c r="M12" s="5">
        <v>2435</v>
      </c>
      <c r="N12" s="5" t="s">
        <v>353</v>
      </c>
      <c r="O12" s="15" t="s">
        <v>354</v>
      </c>
      <c r="P12" s="5" t="s">
        <v>355</v>
      </c>
      <c r="Q12" s="5">
        <v>1</v>
      </c>
      <c r="R12" s="5" t="s">
        <v>347</v>
      </c>
    </row>
    <row r="13" spans="1:18">
      <c r="A13" s="51" t="s">
        <v>351</v>
      </c>
      <c r="B13" s="5" t="s">
        <v>296</v>
      </c>
      <c r="C13" s="5" t="s">
        <v>339</v>
      </c>
      <c r="D13" s="5">
        <v>1558810882</v>
      </c>
      <c r="E13" s="5" t="s">
        <v>44</v>
      </c>
      <c r="F13" s="5" t="s">
        <v>343</v>
      </c>
      <c r="G13" s="5" t="s">
        <v>343</v>
      </c>
      <c r="H13" s="5" t="s">
        <v>343</v>
      </c>
      <c r="K13" s="12">
        <v>14</v>
      </c>
      <c r="L13" s="13" t="s">
        <v>352</v>
      </c>
      <c r="M13" s="5">
        <v>2435</v>
      </c>
      <c r="N13" s="5" t="s">
        <v>356</v>
      </c>
      <c r="O13" s="15" t="s">
        <v>357</v>
      </c>
      <c r="P13" s="5" t="s">
        <v>358</v>
      </c>
      <c r="Q13" s="5">
        <v>1</v>
      </c>
      <c r="R13" s="5" t="s">
        <v>347</v>
      </c>
    </row>
    <row r="16" spans="10:11">
      <c r="J16" s="16" t="s">
        <v>359</v>
      </c>
      <c r="K16" s="17">
        <f>SUM(K2:K15)</f>
        <v>324</v>
      </c>
    </row>
  </sheetData>
  <autoFilter xmlns:etc="http://www.wps.cn/officeDocument/2017/etCustomData" ref="A1:V13" etc:filterBottomFollowUsedRange="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F38" sqref="F38"/>
    </sheetView>
  </sheetViews>
  <sheetFormatPr defaultColWidth="9" defaultRowHeight="13.5"/>
  <cols>
    <col min="1" max="1" width="23.2833333333333" style="1" customWidth="1"/>
    <col min="2" max="4" width="9.14166666666667" style="1"/>
    <col min="5" max="5" width="27" style="1" customWidth="1"/>
    <col min="6" max="10" width="9.14166666666667" style="1"/>
    <col min="11" max="11" width="29.5" style="1" customWidth="1"/>
    <col min="12" max="12" width="9.14166666666667" style="1"/>
    <col min="13" max="13" width="12.625" style="1"/>
    <col min="14" max="16384" width="9.14166666666667" style="1"/>
  </cols>
  <sheetData>
    <row r="1" spans="1:12">
      <c r="A1" s="2" t="s">
        <v>360</v>
      </c>
      <c r="B1" s="2" t="s">
        <v>361</v>
      </c>
      <c r="C1" s="2" t="s">
        <v>362</v>
      </c>
      <c r="D1" s="2" t="s">
        <v>363</v>
      </c>
      <c r="E1" s="2" t="s">
        <v>364</v>
      </c>
      <c r="F1" s="2" t="s">
        <v>365</v>
      </c>
      <c r="G1" s="2" t="s">
        <v>366</v>
      </c>
      <c r="H1" s="2" t="s">
        <v>367</v>
      </c>
      <c r="I1" s="2" t="s">
        <v>4</v>
      </c>
      <c r="J1" s="2" t="s">
        <v>368</v>
      </c>
      <c r="K1" s="2" t="s">
        <v>369</v>
      </c>
      <c r="L1" s="2" t="s">
        <v>370</v>
      </c>
    </row>
    <row r="2" spans="1:13">
      <c r="A2" s="1" t="s">
        <v>371</v>
      </c>
      <c r="B2" s="1" t="s">
        <v>372</v>
      </c>
      <c r="C2" s="1" t="s">
        <v>373</v>
      </c>
      <c r="D2" s="1" t="s">
        <v>374</v>
      </c>
      <c r="E2" s="1" t="s">
        <v>375</v>
      </c>
      <c r="F2" s="1" t="s">
        <v>376</v>
      </c>
      <c r="G2" s="1" t="s">
        <v>377</v>
      </c>
      <c r="H2" s="1" t="s">
        <v>378</v>
      </c>
      <c r="I2" s="1" t="s">
        <v>379</v>
      </c>
      <c r="J2" s="1" t="s">
        <v>380</v>
      </c>
      <c r="K2" s="1">
        <v>12.106</v>
      </c>
      <c r="L2" s="1" t="s">
        <v>380</v>
      </c>
      <c r="M2" s="1">
        <f>K2/G2</f>
        <v>0.52351175804122</v>
      </c>
    </row>
    <row r="3" spans="1:13">
      <c r="A3" s="1" t="s">
        <v>381</v>
      </c>
      <c r="B3" s="1" t="s">
        <v>372</v>
      </c>
      <c r="C3" s="1" t="s">
        <v>373</v>
      </c>
      <c r="D3" s="1" t="s">
        <v>374</v>
      </c>
      <c r="E3" s="1" t="s">
        <v>382</v>
      </c>
      <c r="F3" s="1" t="s">
        <v>376</v>
      </c>
      <c r="G3" s="1" t="s">
        <v>383</v>
      </c>
      <c r="H3" s="1" t="s">
        <v>384</v>
      </c>
      <c r="I3" s="1" t="s">
        <v>385</v>
      </c>
      <c r="J3" s="1" t="s">
        <v>380</v>
      </c>
      <c r="K3" s="1">
        <v>15.72</v>
      </c>
      <c r="L3" s="1" t="s">
        <v>380</v>
      </c>
      <c r="M3" s="1">
        <f t="shared" ref="M3:M32" si="0">K3/G3</f>
        <v>0.68002197526485</v>
      </c>
    </row>
    <row r="4" spans="1:13">
      <c r="A4" s="1" t="s">
        <v>386</v>
      </c>
      <c r="B4" s="1" t="s">
        <v>372</v>
      </c>
      <c r="C4" s="1" t="s">
        <v>373</v>
      </c>
      <c r="D4" s="1" t="s">
        <v>374</v>
      </c>
      <c r="E4" s="1" t="s">
        <v>387</v>
      </c>
      <c r="F4" s="1" t="s">
        <v>376</v>
      </c>
      <c r="G4" s="1" t="s">
        <v>388</v>
      </c>
      <c r="H4" s="1" t="s">
        <v>389</v>
      </c>
      <c r="I4" s="1" t="s">
        <v>390</v>
      </c>
      <c r="J4" s="1" t="s">
        <v>380</v>
      </c>
      <c r="K4" s="1">
        <v>15.717</v>
      </c>
      <c r="L4" s="1" t="s">
        <v>380</v>
      </c>
      <c r="M4" s="1">
        <f t="shared" si="0"/>
        <v>0.680006922511141</v>
      </c>
    </row>
    <row r="5" spans="1:13">
      <c r="A5" s="1" t="s">
        <v>391</v>
      </c>
      <c r="B5" s="1" t="s">
        <v>372</v>
      </c>
      <c r="C5" s="1" t="s">
        <v>373</v>
      </c>
      <c r="D5" s="1" t="s">
        <v>374</v>
      </c>
      <c r="E5" s="1" t="s">
        <v>392</v>
      </c>
      <c r="F5" s="1" t="s">
        <v>376</v>
      </c>
      <c r="G5" s="1" t="s">
        <v>388</v>
      </c>
      <c r="H5" s="1" t="s">
        <v>389</v>
      </c>
      <c r="I5" s="1" t="s">
        <v>390</v>
      </c>
      <c r="J5" s="1" t="s">
        <v>380</v>
      </c>
      <c r="K5" s="1">
        <v>15.717</v>
      </c>
      <c r="L5" s="1" t="s">
        <v>380</v>
      </c>
      <c r="M5" s="1">
        <f t="shared" si="0"/>
        <v>0.680006922511141</v>
      </c>
    </row>
    <row r="6" spans="1:13">
      <c r="A6" s="1" t="s">
        <v>393</v>
      </c>
      <c r="B6" s="1" t="s">
        <v>372</v>
      </c>
      <c r="C6" s="1" t="s">
        <v>373</v>
      </c>
      <c r="D6" s="1" t="s">
        <v>374</v>
      </c>
      <c r="E6" s="1" t="s">
        <v>394</v>
      </c>
      <c r="F6" s="1" t="s">
        <v>376</v>
      </c>
      <c r="G6" s="1" t="s">
        <v>388</v>
      </c>
      <c r="H6" s="1" t="s">
        <v>389</v>
      </c>
      <c r="I6" s="1" t="s">
        <v>390</v>
      </c>
      <c r="J6" s="1" t="s">
        <v>380</v>
      </c>
      <c r="K6" s="1">
        <v>15.717</v>
      </c>
      <c r="L6" s="1" t="s">
        <v>380</v>
      </c>
      <c r="M6" s="1">
        <f t="shared" si="0"/>
        <v>0.680006922511141</v>
      </c>
    </row>
    <row r="7" spans="1:13">
      <c r="A7" s="1" t="s">
        <v>395</v>
      </c>
      <c r="B7" s="1" t="s">
        <v>372</v>
      </c>
      <c r="C7" s="1" t="s">
        <v>373</v>
      </c>
      <c r="D7" s="1" t="s">
        <v>374</v>
      </c>
      <c r="E7" s="1" t="s">
        <v>396</v>
      </c>
      <c r="F7" s="1" t="s">
        <v>376</v>
      </c>
      <c r="G7" s="1" t="s">
        <v>388</v>
      </c>
      <c r="H7" s="1" t="s">
        <v>389</v>
      </c>
      <c r="I7" s="1" t="s">
        <v>390</v>
      </c>
      <c r="J7" s="1" t="s">
        <v>380</v>
      </c>
      <c r="K7" s="1">
        <v>15.717</v>
      </c>
      <c r="L7" s="1" t="s">
        <v>380</v>
      </c>
      <c r="M7" s="1">
        <f t="shared" si="0"/>
        <v>0.680006922511141</v>
      </c>
    </row>
    <row r="8" spans="1:13">
      <c r="A8" s="1" t="s">
        <v>397</v>
      </c>
      <c r="B8" s="1" t="s">
        <v>372</v>
      </c>
      <c r="C8" s="1" t="s">
        <v>373</v>
      </c>
      <c r="D8" s="1" t="s">
        <v>374</v>
      </c>
      <c r="E8" s="1" t="s">
        <v>398</v>
      </c>
      <c r="F8" s="1" t="s">
        <v>376</v>
      </c>
      <c r="G8" s="1" t="s">
        <v>399</v>
      </c>
      <c r="H8" s="1" t="s">
        <v>400</v>
      </c>
      <c r="I8" s="1" t="s">
        <v>401</v>
      </c>
      <c r="J8" s="1" t="s">
        <v>380</v>
      </c>
      <c r="K8" s="1">
        <v>15.7</v>
      </c>
      <c r="L8" s="1" t="s">
        <v>380</v>
      </c>
      <c r="M8" s="1">
        <f t="shared" si="0"/>
        <v>0.680003984736726</v>
      </c>
    </row>
    <row r="9" spans="1:13">
      <c r="A9" s="1" t="s">
        <v>402</v>
      </c>
      <c r="B9" s="1" t="s">
        <v>372</v>
      </c>
      <c r="C9" s="1" t="s">
        <v>373</v>
      </c>
      <c r="D9" s="1" t="s">
        <v>374</v>
      </c>
      <c r="E9" s="1" t="s">
        <v>403</v>
      </c>
      <c r="F9" s="1" t="s">
        <v>376</v>
      </c>
      <c r="G9" s="1" t="s">
        <v>404</v>
      </c>
      <c r="H9" s="1" t="s">
        <v>405</v>
      </c>
      <c r="I9" s="1" t="s">
        <v>406</v>
      </c>
      <c r="J9" s="1" t="s">
        <v>380</v>
      </c>
      <c r="K9" s="1">
        <v>15.665</v>
      </c>
      <c r="L9" s="1" t="s">
        <v>380</v>
      </c>
      <c r="M9" s="1">
        <f t="shared" si="0"/>
        <v>0.679987151216294</v>
      </c>
    </row>
    <row r="10" spans="1:13">
      <c r="A10" s="1" t="s">
        <v>407</v>
      </c>
      <c r="B10" s="1" t="s">
        <v>372</v>
      </c>
      <c r="C10" s="1" t="s">
        <v>373</v>
      </c>
      <c r="D10" s="1" t="s">
        <v>374</v>
      </c>
      <c r="E10" s="1" t="s">
        <v>408</v>
      </c>
      <c r="F10" s="1" t="s">
        <v>376</v>
      </c>
      <c r="G10" s="1" t="s">
        <v>409</v>
      </c>
      <c r="H10" s="1" t="s">
        <v>410</v>
      </c>
      <c r="I10" s="1" t="s">
        <v>411</v>
      </c>
      <c r="J10" s="1" t="s">
        <v>380</v>
      </c>
      <c r="K10" s="1">
        <v>15.639</v>
      </c>
      <c r="L10" s="1" t="s">
        <v>380</v>
      </c>
      <c r="M10" s="1">
        <f t="shared" si="0"/>
        <v>0.679997912916438</v>
      </c>
    </row>
    <row r="11" spans="1:13">
      <c r="A11" s="1" t="s">
        <v>412</v>
      </c>
      <c r="B11" s="1" t="s">
        <v>372</v>
      </c>
      <c r="C11" s="1" t="s">
        <v>373</v>
      </c>
      <c r="D11" s="1" t="s">
        <v>374</v>
      </c>
      <c r="E11" s="1" t="s">
        <v>413</v>
      </c>
      <c r="F11" s="1" t="s">
        <v>376</v>
      </c>
      <c r="G11" s="1" t="s">
        <v>414</v>
      </c>
      <c r="H11" s="1" t="s">
        <v>415</v>
      </c>
      <c r="I11" s="1" t="s">
        <v>416</v>
      </c>
      <c r="J11" s="1" t="s">
        <v>380</v>
      </c>
      <c r="K11" s="1">
        <v>15.637</v>
      </c>
      <c r="L11" s="1" t="s">
        <v>380</v>
      </c>
      <c r="M11" s="1">
        <f t="shared" si="0"/>
        <v>0.6800144378585</v>
      </c>
    </row>
    <row r="12" spans="1:13">
      <c r="A12" s="1" t="s">
        <v>417</v>
      </c>
      <c r="B12" s="1" t="s">
        <v>372</v>
      </c>
      <c r="C12" s="1" t="s">
        <v>373</v>
      </c>
      <c r="D12" s="1" t="s">
        <v>374</v>
      </c>
      <c r="E12" s="1" t="s">
        <v>418</v>
      </c>
      <c r="F12" s="1" t="s">
        <v>376</v>
      </c>
      <c r="G12" s="1" t="s">
        <v>419</v>
      </c>
      <c r="H12" s="1" t="s">
        <v>420</v>
      </c>
      <c r="I12" s="1" t="s">
        <v>421</v>
      </c>
      <c r="J12" s="1" t="s">
        <v>380</v>
      </c>
      <c r="K12" s="1">
        <v>15.631</v>
      </c>
      <c r="L12" s="1" t="s">
        <v>380</v>
      </c>
      <c r="M12" s="1">
        <f t="shared" si="0"/>
        <v>0.680013747319055</v>
      </c>
    </row>
    <row r="13" spans="1:13">
      <c r="A13" s="1" t="s">
        <v>422</v>
      </c>
      <c r="B13" s="1" t="s">
        <v>372</v>
      </c>
      <c r="C13" s="1" t="s">
        <v>373</v>
      </c>
      <c r="D13" s="1" t="s">
        <v>374</v>
      </c>
      <c r="E13" s="1" t="s">
        <v>423</v>
      </c>
      <c r="F13" s="1" t="s">
        <v>376</v>
      </c>
      <c r="G13" s="1" t="s">
        <v>419</v>
      </c>
      <c r="H13" s="1" t="s">
        <v>420</v>
      </c>
      <c r="I13" s="1" t="s">
        <v>421</v>
      </c>
      <c r="J13" s="1" t="s">
        <v>380</v>
      </c>
      <c r="K13" s="1">
        <v>15.631</v>
      </c>
      <c r="L13" s="1" t="s">
        <v>380</v>
      </c>
      <c r="M13" s="1">
        <f t="shared" si="0"/>
        <v>0.680013747319055</v>
      </c>
    </row>
    <row r="14" spans="1:13">
      <c r="A14" s="1" t="s">
        <v>424</v>
      </c>
      <c r="B14" s="1" t="s">
        <v>372</v>
      </c>
      <c r="C14" s="1" t="s">
        <v>373</v>
      </c>
      <c r="D14" s="1" t="s">
        <v>374</v>
      </c>
      <c r="E14" s="1" t="s">
        <v>425</v>
      </c>
      <c r="F14" s="1" t="s">
        <v>376</v>
      </c>
      <c r="G14" s="1" t="s">
        <v>419</v>
      </c>
      <c r="H14" s="1" t="s">
        <v>420</v>
      </c>
      <c r="I14" s="1" t="s">
        <v>421</v>
      </c>
      <c r="J14" s="1" t="s">
        <v>380</v>
      </c>
      <c r="K14" s="1">
        <v>15.631</v>
      </c>
      <c r="L14" s="1" t="s">
        <v>380</v>
      </c>
      <c r="M14" s="1">
        <f t="shared" si="0"/>
        <v>0.680013747319055</v>
      </c>
    </row>
    <row r="15" spans="1:13">
      <c r="A15" s="1" t="s">
        <v>426</v>
      </c>
      <c r="B15" s="1" t="s">
        <v>372</v>
      </c>
      <c r="C15" s="1" t="s">
        <v>373</v>
      </c>
      <c r="D15" s="1" t="s">
        <v>374</v>
      </c>
      <c r="E15" s="1" t="s">
        <v>427</v>
      </c>
      <c r="F15" s="1" t="s">
        <v>376</v>
      </c>
      <c r="G15" s="1" t="s">
        <v>428</v>
      </c>
      <c r="H15" s="1" t="s">
        <v>429</v>
      </c>
      <c r="I15" s="1" t="s">
        <v>430</v>
      </c>
      <c r="J15" s="1" t="s">
        <v>380</v>
      </c>
      <c r="K15" s="1">
        <v>15.623</v>
      </c>
      <c r="L15" s="1" t="s">
        <v>380</v>
      </c>
      <c r="M15" s="1">
        <f t="shared" si="0"/>
        <v>0.679982242030676</v>
      </c>
    </row>
    <row r="16" spans="1:13">
      <c r="A16" s="1" t="s">
        <v>431</v>
      </c>
      <c r="B16" s="1" t="s">
        <v>372</v>
      </c>
      <c r="C16" s="1" t="s">
        <v>373</v>
      </c>
      <c r="D16" s="1" t="s">
        <v>374</v>
      </c>
      <c r="E16" s="1" t="s">
        <v>432</v>
      </c>
      <c r="F16" s="1" t="s">
        <v>376</v>
      </c>
      <c r="G16" s="1" t="s">
        <v>433</v>
      </c>
      <c r="H16" s="1" t="s">
        <v>434</v>
      </c>
      <c r="I16" s="1" t="s">
        <v>435</v>
      </c>
      <c r="J16" s="1" t="s">
        <v>380</v>
      </c>
      <c r="K16" s="1">
        <v>15.568</v>
      </c>
      <c r="L16" s="1" t="s">
        <v>380</v>
      </c>
      <c r="M16" s="1">
        <f t="shared" si="0"/>
        <v>0.680018345818682</v>
      </c>
    </row>
    <row r="17" spans="1:13">
      <c r="A17" s="1" t="s">
        <v>436</v>
      </c>
      <c r="B17" s="1" t="s">
        <v>372</v>
      </c>
      <c r="C17" s="1" t="s">
        <v>373</v>
      </c>
      <c r="D17" s="1" t="s">
        <v>374</v>
      </c>
      <c r="E17" s="1" t="s">
        <v>437</v>
      </c>
      <c r="F17" s="1" t="s">
        <v>376</v>
      </c>
      <c r="G17" s="1" t="s">
        <v>438</v>
      </c>
      <c r="H17" s="1" t="s">
        <v>439</v>
      </c>
      <c r="I17" s="1" t="s">
        <v>440</v>
      </c>
      <c r="J17" s="1" t="s">
        <v>380</v>
      </c>
      <c r="K17" s="1">
        <v>15.564</v>
      </c>
      <c r="L17" s="1" t="s">
        <v>380</v>
      </c>
      <c r="M17" s="1">
        <f t="shared" si="0"/>
        <v>0.680012932654078</v>
      </c>
    </row>
    <row r="18" spans="1:13">
      <c r="A18" s="1" t="s">
        <v>441</v>
      </c>
      <c r="B18" s="1" t="s">
        <v>372</v>
      </c>
      <c r="C18" s="1" t="s">
        <v>373</v>
      </c>
      <c r="D18" s="1" t="s">
        <v>374</v>
      </c>
      <c r="E18" s="1" t="s">
        <v>442</v>
      </c>
      <c r="F18" s="1" t="s">
        <v>376</v>
      </c>
      <c r="G18" s="1" t="s">
        <v>443</v>
      </c>
      <c r="H18" s="1" t="s">
        <v>444</v>
      </c>
      <c r="I18" s="1" t="s">
        <v>445</v>
      </c>
      <c r="J18" s="1" t="s">
        <v>380</v>
      </c>
      <c r="K18" s="1">
        <v>15.56</v>
      </c>
      <c r="L18" s="1" t="s">
        <v>380</v>
      </c>
      <c r="M18" s="1">
        <f t="shared" si="0"/>
        <v>0.680022376057618</v>
      </c>
    </row>
    <row r="19" spans="1:13">
      <c r="A19" s="1" t="s">
        <v>446</v>
      </c>
      <c r="B19" s="1" t="s">
        <v>372</v>
      </c>
      <c r="C19" s="1" t="s">
        <v>373</v>
      </c>
      <c r="D19" s="1" t="s">
        <v>374</v>
      </c>
      <c r="E19" s="1" t="s">
        <v>447</v>
      </c>
      <c r="F19" s="1" t="s">
        <v>376</v>
      </c>
      <c r="G19" s="1" t="s">
        <v>443</v>
      </c>
      <c r="H19" s="1" t="s">
        <v>444</v>
      </c>
      <c r="I19" s="1" t="s">
        <v>445</v>
      </c>
      <c r="J19" s="1" t="s">
        <v>380</v>
      </c>
      <c r="K19" s="1">
        <v>15.56</v>
      </c>
      <c r="L19" s="1" t="s">
        <v>380</v>
      </c>
      <c r="M19" s="1">
        <f t="shared" si="0"/>
        <v>0.680022376057618</v>
      </c>
    </row>
    <row r="20" spans="1:13">
      <c r="A20" s="1" t="s">
        <v>448</v>
      </c>
      <c r="B20" s="1" t="s">
        <v>372</v>
      </c>
      <c r="C20" s="1" t="s">
        <v>373</v>
      </c>
      <c r="D20" s="1" t="s">
        <v>374</v>
      </c>
      <c r="E20" s="1" t="s">
        <v>449</v>
      </c>
      <c r="F20" s="1" t="s">
        <v>376</v>
      </c>
      <c r="G20" s="1" t="s">
        <v>443</v>
      </c>
      <c r="H20" s="1" t="s">
        <v>444</v>
      </c>
      <c r="I20" s="1" t="s">
        <v>445</v>
      </c>
      <c r="J20" s="1" t="s">
        <v>380</v>
      </c>
      <c r="K20" s="1">
        <v>15.56</v>
      </c>
      <c r="L20" s="1" t="s">
        <v>380</v>
      </c>
      <c r="M20" s="1">
        <f t="shared" si="0"/>
        <v>0.680022376057618</v>
      </c>
    </row>
    <row r="21" spans="1:13">
      <c r="A21" s="1" t="s">
        <v>450</v>
      </c>
      <c r="B21" s="1" t="s">
        <v>372</v>
      </c>
      <c r="C21" s="1" t="s">
        <v>373</v>
      </c>
      <c r="D21" s="1" t="s">
        <v>374</v>
      </c>
      <c r="E21" s="1" t="s">
        <v>451</v>
      </c>
      <c r="F21" s="1" t="s">
        <v>376</v>
      </c>
      <c r="G21" s="1" t="s">
        <v>443</v>
      </c>
      <c r="H21" s="1" t="s">
        <v>444</v>
      </c>
      <c r="I21" s="1" t="s">
        <v>445</v>
      </c>
      <c r="J21" s="1" t="s">
        <v>380</v>
      </c>
      <c r="K21" s="1">
        <v>15.56</v>
      </c>
      <c r="L21" s="1" t="s">
        <v>380</v>
      </c>
      <c r="M21" s="1">
        <f t="shared" si="0"/>
        <v>0.680022376057618</v>
      </c>
    </row>
    <row r="22" spans="1:13">
      <c r="A22" s="1" t="s">
        <v>452</v>
      </c>
      <c r="B22" s="1" t="s">
        <v>372</v>
      </c>
      <c r="C22" s="1" t="s">
        <v>373</v>
      </c>
      <c r="D22" s="1" t="s">
        <v>374</v>
      </c>
      <c r="E22" s="1" t="s">
        <v>453</v>
      </c>
      <c r="F22" s="1" t="s">
        <v>376</v>
      </c>
      <c r="G22" s="1" t="s">
        <v>443</v>
      </c>
      <c r="H22" s="1" t="s">
        <v>444</v>
      </c>
      <c r="I22" s="1" t="s">
        <v>445</v>
      </c>
      <c r="J22" s="1" t="s">
        <v>380</v>
      </c>
      <c r="K22" s="1">
        <v>15.56</v>
      </c>
      <c r="L22" s="1" t="s">
        <v>380</v>
      </c>
      <c r="M22" s="1">
        <f t="shared" si="0"/>
        <v>0.680022376057618</v>
      </c>
    </row>
    <row r="23" spans="1:13">
      <c r="A23" s="1" t="s">
        <v>454</v>
      </c>
      <c r="B23" s="1" t="s">
        <v>372</v>
      </c>
      <c r="C23" s="1" t="s">
        <v>373</v>
      </c>
      <c r="D23" s="1" t="s">
        <v>374</v>
      </c>
      <c r="E23" s="1" t="s">
        <v>455</v>
      </c>
      <c r="F23" s="1" t="s">
        <v>376</v>
      </c>
      <c r="G23" s="1" t="s">
        <v>456</v>
      </c>
      <c r="H23" s="1" t="s">
        <v>457</v>
      </c>
      <c r="I23" s="1" t="s">
        <v>458</v>
      </c>
      <c r="J23" s="1" t="s">
        <v>380</v>
      </c>
      <c r="K23" s="1">
        <v>15.173</v>
      </c>
      <c r="L23" s="1" t="s">
        <v>380</v>
      </c>
      <c r="M23" s="1">
        <f t="shared" si="0"/>
        <v>0.679985838296652</v>
      </c>
    </row>
    <row r="24" spans="1:13">
      <c r="A24" s="1" t="s">
        <v>459</v>
      </c>
      <c r="B24" s="1" t="s">
        <v>372</v>
      </c>
      <c r="C24" s="1" t="s">
        <v>373</v>
      </c>
      <c r="D24" s="1" t="s">
        <v>374</v>
      </c>
      <c r="E24" s="1" t="s">
        <v>460</v>
      </c>
      <c r="F24" s="1" t="s">
        <v>376</v>
      </c>
      <c r="G24" s="1" t="s">
        <v>461</v>
      </c>
      <c r="H24" s="1" t="s">
        <v>462</v>
      </c>
      <c r="I24" s="1" t="s">
        <v>463</v>
      </c>
      <c r="J24" s="1" t="s">
        <v>380</v>
      </c>
      <c r="K24" s="1">
        <v>15.159</v>
      </c>
      <c r="L24" s="1" t="s">
        <v>380</v>
      </c>
      <c r="M24" s="1">
        <f t="shared" si="0"/>
        <v>0.679983133870418</v>
      </c>
    </row>
    <row r="25" spans="1:13">
      <c r="A25" s="1" t="s">
        <v>464</v>
      </c>
      <c r="B25" s="1" t="s">
        <v>372</v>
      </c>
      <c r="C25" s="1" t="s">
        <v>373</v>
      </c>
      <c r="D25" s="1" t="s">
        <v>374</v>
      </c>
      <c r="E25" s="1" t="s">
        <v>465</v>
      </c>
      <c r="F25" s="1" t="s">
        <v>376</v>
      </c>
      <c r="G25" s="1" t="s">
        <v>466</v>
      </c>
      <c r="H25" s="1" t="s">
        <v>467</v>
      </c>
      <c r="I25" s="1" t="s">
        <v>468</v>
      </c>
      <c r="J25" s="1" t="s">
        <v>380</v>
      </c>
      <c r="K25" s="1">
        <v>15.141</v>
      </c>
      <c r="L25" s="1" t="s">
        <v>380</v>
      </c>
      <c r="M25" s="1">
        <f t="shared" si="0"/>
        <v>0.679999281422066</v>
      </c>
    </row>
    <row r="26" spans="1:13">
      <c r="A26" s="1" t="s">
        <v>469</v>
      </c>
      <c r="B26" s="1" t="s">
        <v>372</v>
      </c>
      <c r="C26" s="1" t="s">
        <v>373</v>
      </c>
      <c r="D26" s="1" t="s">
        <v>374</v>
      </c>
      <c r="E26" s="1" t="s">
        <v>470</v>
      </c>
      <c r="F26" s="1" t="s">
        <v>376</v>
      </c>
      <c r="G26" s="1" t="s">
        <v>471</v>
      </c>
      <c r="H26" s="1" t="s">
        <v>472</v>
      </c>
      <c r="I26" s="1" t="s">
        <v>473</v>
      </c>
      <c r="J26" s="1" t="s">
        <v>380</v>
      </c>
      <c r="K26" s="1">
        <v>15.124</v>
      </c>
      <c r="L26" s="1" t="s">
        <v>380</v>
      </c>
      <c r="M26" s="1">
        <f t="shared" si="0"/>
        <v>0.680005395440852</v>
      </c>
    </row>
    <row r="27" spans="1:13">
      <c r="A27" s="1" t="s">
        <v>474</v>
      </c>
      <c r="B27" s="1" t="s">
        <v>372</v>
      </c>
      <c r="C27" s="1" t="s">
        <v>373</v>
      </c>
      <c r="D27" s="1" t="s">
        <v>374</v>
      </c>
      <c r="E27" s="1" t="s">
        <v>475</v>
      </c>
      <c r="F27" s="1" t="s">
        <v>376</v>
      </c>
      <c r="G27" s="1" t="s">
        <v>471</v>
      </c>
      <c r="H27" s="1" t="s">
        <v>472</v>
      </c>
      <c r="I27" s="1" t="s">
        <v>473</v>
      </c>
      <c r="J27" s="1" t="s">
        <v>380</v>
      </c>
      <c r="K27" s="1">
        <v>15.124</v>
      </c>
      <c r="L27" s="1" t="s">
        <v>380</v>
      </c>
      <c r="M27" s="1">
        <f t="shared" si="0"/>
        <v>0.680005395440852</v>
      </c>
    </row>
    <row r="28" spans="1:13">
      <c r="A28" s="1" t="s">
        <v>476</v>
      </c>
      <c r="B28" s="1" t="s">
        <v>372</v>
      </c>
      <c r="C28" s="1" t="s">
        <v>373</v>
      </c>
      <c r="D28" s="1" t="s">
        <v>374</v>
      </c>
      <c r="E28" s="1" t="s">
        <v>477</v>
      </c>
      <c r="F28" s="1" t="s">
        <v>376</v>
      </c>
      <c r="G28" s="1" t="s">
        <v>471</v>
      </c>
      <c r="H28" s="1" t="s">
        <v>472</v>
      </c>
      <c r="I28" s="1" t="s">
        <v>473</v>
      </c>
      <c r="J28" s="1" t="s">
        <v>380</v>
      </c>
      <c r="K28" s="1">
        <v>15.124</v>
      </c>
      <c r="L28" s="1" t="s">
        <v>380</v>
      </c>
      <c r="M28" s="1">
        <f t="shared" si="0"/>
        <v>0.680005395440852</v>
      </c>
    </row>
    <row r="29" spans="1:13">
      <c r="A29" s="1" t="s">
        <v>478</v>
      </c>
      <c r="B29" s="1" t="s">
        <v>372</v>
      </c>
      <c r="C29" s="1" t="s">
        <v>373</v>
      </c>
      <c r="D29" s="1" t="s">
        <v>374</v>
      </c>
      <c r="E29" s="1" t="s">
        <v>479</v>
      </c>
      <c r="F29" s="1" t="s">
        <v>376</v>
      </c>
      <c r="G29" s="1" t="s">
        <v>480</v>
      </c>
      <c r="H29" s="1" t="s">
        <v>481</v>
      </c>
      <c r="I29" s="1" t="s">
        <v>482</v>
      </c>
      <c r="J29" s="1" t="s">
        <v>380</v>
      </c>
      <c r="K29" s="1">
        <v>15.041</v>
      </c>
      <c r="L29" s="1" t="s">
        <v>380</v>
      </c>
      <c r="M29" s="1">
        <f t="shared" si="0"/>
        <v>0.680009765448397</v>
      </c>
    </row>
    <row r="30" spans="1:13">
      <c r="A30" s="1" t="s">
        <v>483</v>
      </c>
      <c r="B30" s="1" t="s">
        <v>372</v>
      </c>
      <c r="C30" s="1" t="s">
        <v>373</v>
      </c>
      <c r="D30" s="1" t="s">
        <v>374</v>
      </c>
      <c r="E30" s="1" t="s">
        <v>484</v>
      </c>
      <c r="F30" s="1" t="s">
        <v>376</v>
      </c>
      <c r="G30" s="1" t="s">
        <v>485</v>
      </c>
      <c r="H30" s="1" t="s">
        <v>486</v>
      </c>
      <c r="I30" s="1" t="s">
        <v>487</v>
      </c>
      <c r="J30" s="1" t="s">
        <v>380</v>
      </c>
      <c r="K30" s="1">
        <v>15.035</v>
      </c>
      <c r="L30" s="1" t="s">
        <v>380</v>
      </c>
      <c r="M30" s="1">
        <f t="shared" si="0"/>
        <v>0.680015196881021</v>
      </c>
    </row>
    <row r="31" spans="1:13">
      <c r="A31" s="1" t="s">
        <v>488</v>
      </c>
      <c r="B31" s="1" t="s">
        <v>372</v>
      </c>
      <c r="C31" s="1" t="s">
        <v>373</v>
      </c>
      <c r="D31" s="1" t="s">
        <v>374</v>
      </c>
      <c r="E31" s="1" t="s">
        <v>489</v>
      </c>
      <c r="F31" s="1" t="s">
        <v>376</v>
      </c>
      <c r="G31" s="1" t="s">
        <v>490</v>
      </c>
      <c r="H31" s="1" t="s">
        <v>491</v>
      </c>
      <c r="I31" s="1" t="s">
        <v>492</v>
      </c>
      <c r="J31" s="1" t="s">
        <v>380</v>
      </c>
      <c r="K31" s="1">
        <v>15.026</v>
      </c>
      <c r="L31" s="1" t="s">
        <v>380</v>
      </c>
      <c r="M31" s="1">
        <f t="shared" si="0"/>
        <v>0.680023352325955</v>
      </c>
    </row>
    <row r="34" spans="10:11">
      <c r="J34" s="3" t="s">
        <v>359</v>
      </c>
      <c r="K34" s="4">
        <f>SUM(K2:K33)</f>
        <v>460.73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开票费用明细</vt:lpstr>
      <vt:lpstr>入库费用</vt:lpstr>
      <vt:lpstr>订单出库费用</vt:lpstr>
      <vt:lpstr>FBA包裹出库</vt:lpstr>
      <vt:lpstr>额外操作费用</vt:lpstr>
      <vt:lpstr>DHL 额外费用</vt:lpstr>
      <vt:lpstr>仓租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2006-09-16T00:00:00Z</dcterms:created>
  <dcterms:modified xsi:type="dcterms:W3CDTF">2025-05-12T08:21:40Z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909AEF22A8C948D39C511B92A2779E1D_13</vt:lpwstr>
  </property>
  <property fmtid="{D5CDD505-2E9C-101B-9397-08002B2CF9AE}" pid="3" name="KSOProductBuildVer">
    <vt:lpwstr>2052-12.1.0.20784</vt:lpwstr>
  </property>
</Properties>
</file>