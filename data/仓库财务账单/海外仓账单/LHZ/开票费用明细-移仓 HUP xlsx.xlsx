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开票费用明细" sheetId="4" r:id="rId1"/>
    <sheet name="包裹移仓出库" sheetId="3" r:id="rId2"/>
    <sheet name="托盘移仓出库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<sst xmlns="http://schemas.openxmlformats.org/spreadsheetml/2006/main" count="49" uniqueCount="40">
  <si>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开票费用明细：HUP-Hupper</t>
  </si>
  <si>
    <t>类别</t>
  </si>
  <si>
    <t>Bezeichnung</t>
  </si>
  <si>
    <t>金额</t>
  </si>
  <si>
    <t>备注</t>
  </si>
  <si>
    <t>入库费用</t>
  </si>
  <si>
    <t>EINGANG</t>
  </si>
  <si>
    <t>出库费用</t>
  </si>
  <si>
    <t>AUSGANG</t>
  </si>
  <si>
    <t>DPD 额外费用</t>
  </si>
  <si>
    <t>DPD Extra Kosten</t>
  </si>
  <si>
    <t>DHL  额外费用</t>
  </si>
  <si>
    <t>DHL Extra Kosten</t>
  </si>
  <si>
    <t>额外操作费用</t>
  </si>
  <si>
    <t>Extra Kosten</t>
  </si>
  <si>
    <t>仓租</t>
  </si>
  <si>
    <t>LAGER KOSTEN</t>
  </si>
  <si>
    <t>不含税费用合计</t>
  </si>
  <si>
    <t>Netto</t>
  </si>
  <si>
    <t>增值税</t>
  </si>
  <si>
    <t>Umsatzsteuer 19%</t>
  </si>
  <si>
    <t>账单金额</t>
  </si>
  <si>
    <t>Rechnungsbetrag</t>
  </si>
  <si>
    <t>已录入</t>
  </si>
  <si>
    <t>订单号</t>
  </si>
  <si>
    <t>订单费</t>
  </si>
  <si>
    <t>包裹数量</t>
  </si>
  <si>
    <t>包裹装车费</t>
  </si>
  <si>
    <t>分拣数量</t>
  </si>
  <si>
    <t>分拣费</t>
  </si>
  <si>
    <t>贴标数量</t>
  </si>
  <si>
    <t>贴标费</t>
  </si>
  <si>
    <t>物流费</t>
  </si>
  <si>
    <t>总计</t>
  </si>
  <si>
    <t>FD-HUP-250520-0001</t>
  </si>
  <si>
    <t>Total</t>
  </si>
  <si>
    <t>托盘数量</t>
  </si>
  <si>
    <t>打托费</t>
  </si>
  <si>
    <t>托盘物料费</t>
  </si>
  <si>
    <t>FD-HUP-250522-0001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</si>
</sst>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&quot;€&quot;_-;\-* #,##0.00\ &quot;€&quot;_-;_-* &quot;-&quot;??\ &quot;€&quot;_-;_-@_-"/>
  </numFmts>
  <fonts count="2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name val="Arial"/>
      <charset val="134"/>
    </font>
    <font>
      <sz val="12"/>
      <name val="Arial"/>
      <charset val="134"/>
    </font>
    <font>
      <b/>
      <sz val="11"/>
      <name val="Arial"/>
      <charset val="1"/>
    </font>
    <font>
      <sz val="11"/>
      <name val="Arial"/>
      <charset val="1"/>
    </font>
    <font>
      <b/>
      <u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176" fontId="0" fillId="0" borderId="0" xfId="0" applyNumberFormat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right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8" fillId="0" borderId="11" xfId="0" applyNumberFormat="1" applyFont="1" applyFill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5" sqref="D15"/>
    </sheetView>
  </sheetViews>
  <sheetFormatPr defaultColWidth="9" defaultRowHeight="24.95" customHeight="1" outlineLevelCol="3"/>
  <cols>
    <col min="1" max="1" width="27.425" customWidth="1"/>
    <col min="2" max="2" width="37.2833333333333" customWidth="1"/>
    <col min="3" max="3" width="25" style="6" customWidth="1"/>
    <col min="4" max="4" width="20.7083333333333" customWidth="1"/>
  </cols>
  <sheetData>
    <row r="1" s="4" customFormat="1" customHeight="1" spans="1:4">
      <c r="A1" s="7" t="s">
        <v>0</v>
      </c>
      <c r="B1" s="7"/>
      <c r="C1" s="7"/>
      <c r="D1" s="7"/>
    </row>
    <row r="2" s="4" customFormat="1" customHeight="1" spans="1:4">
      <c r="A2" s="8"/>
      <c r="B2" s="8"/>
      <c r="C2" s="8"/>
      <c r="D2" s="8"/>
    </row>
    <row r="3" s="5" customFormat="1" customHeight="1" spans="1:4">
      <c r="A3" s="9" t="s">
        <v>1</v>
      </c>
      <c r="B3" s="10" t="s">
        <v>2</v>
      </c>
      <c r="C3" s="11" t="s">
        <v>3</v>
      </c>
      <c r="D3" s="12" t="s">
        <v>4</v>
      </c>
    </row>
    <row r="4" customHeight="1" spans="1:4">
      <c r="A4" s="13" t="s">
        <v>5</v>
      </c>
      <c r="B4" s="14" t="s">
        <v>6</v>
      </c>
      <c r="C4" s="15">
        <v>0</v>
      </c>
      <c r="D4" s="16"/>
    </row>
    <row r="5" customHeight="1" spans="1:4">
      <c r="A5" s="13" t="s">
        <v>7</v>
      </c>
      <c r="B5" s="14" t="s">
        <v>8</v>
      </c>
      <c r="C5" s="15">
        <f>包裹移仓出库!J4+托盘移仓出库!K4</f>
        <v>1384</v>
      </c>
      <c r="D5" s="16"/>
    </row>
    <row r="6" customHeight="1" spans="1:4">
      <c r="A6" s="13" t="s">
        <v>9</v>
      </c>
      <c r="B6" s="14" t="s">
        <v>10</v>
      </c>
      <c r="C6" s="15">
        <v>0</v>
      </c>
      <c r="D6" s="16"/>
    </row>
    <row r="7" customHeight="1" spans="1:4">
      <c r="A7" s="13" t="s">
        <v>11</v>
      </c>
      <c r="B7" s="14" t="s">
        <v>12</v>
      </c>
      <c r="C7" s="15">
        <v>0</v>
      </c>
      <c r="D7" s="16"/>
    </row>
    <row r="8" customHeight="1" spans="1:4">
      <c r="A8" s="13" t="s">
        <v>13</v>
      </c>
      <c r="B8" s="14" t="s">
        <v>14</v>
      </c>
      <c r="C8" s="15">
        <v>0</v>
      </c>
      <c r="D8" s="16"/>
    </row>
    <row r="9" customHeight="1" spans="1:4">
      <c r="A9" s="13" t="s">
        <v>15</v>
      </c>
      <c r="B9" s="14" t="s">
        <v>16</v>
      </c>
      <c r="C9" s="15">
        <v>0</v>
      </c>
      <c r="D9" s="16"/>
    </row>
    <row r="10" customHeight="1" spans="1:4">
      <c r="A10" s="13" t="s">
        <v>17</v>
      </c>
      <c r="B10" s="14" t="s">
        <v>18</v>
      </c>
      <c r="C10" s="15">
        <f>SUM(C5:C9)</f>
        <v>1384</v>
      </c>
      <c r="D10" s="17"/>
    </row>
    <row r="11" customHeight="1" spans="1:4">
      <c r="A11" s="13" t="s">
        <v>19</v>
      </c>
      <c r="B11" s="14" t="s">
        <v>20</v>
      </c>
      <c r="C11" s="15">
        <v>0</v>
      </c>
      <c r="D11" s="17"/>
    </row>
    <row r="12" customHeight="1" spans="1:4">
      <c r="A12" s="18" t="s">
        <v>21</v>
      </c>
      <c r="B12" s="19" t="s">
        <v>22</v>
      </c>
      <c r="C12" s="20">
        <f>SUM(C10:C11)</f>
        <v>1384</v>
      </c>
      <c r="D12" s="21"/>
    </row>
    <row r="14" customHeight="1" spans="3:3">
      <c r="C14" s="6" t="s">
        <v>23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F16" sqref="F16"/>
    </sheetView>
  </sheetViews>
  <sheetFormatPr defaultColWidth="15.7083333333333" defaultRowHeight="24.95" customHeight="1" outlineLevelRow="3"/>
  <cols>
    <col min="1" max="1" width="23" style="1" customWidth="1"/>
    <col min="2" max="2" width="15.8583333333333" style="1" customWidth="1"/>
    <col min="3" max="16384" width="15.7083333333333" style="1"/>
  </cols>
  <sheetData>
    <row r="1" s="1" customFormat="1" customHeight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customHeight="1" spans="1:10">
      <c r="A2" s="1" t="s">
        <v>34</v>
      </c>
      <c r="B2" s="1">
        <v>3</v>
      </c>
      <c r="C2" s="1">
        <v>236</v>
      </c>
      <c r="D2" s="1">
        <f>2*C2</f>
        <v>472</v>
      </c>
      <c r="E2" s="1">
        <v>236</v>
      </c>
      <c r="F2" s="1">
        <f>0.5*E2</f>
        <v>118</v>
      </c>
      <c r="G2" s="1">
        <v>0</v>
      </c>
      <c r="H2" s="1">
        <v>0</v>
      </c>
      <c r="I2" s="1">
        <v>300</v>
      </c>
      <c r="J2" s="1">
        <f>B2+D2+F2+H2+I2</f>
        <v>893</v>
      </c>
    </row>
    <row r="4" customHeight="1" spans="9:10">
      <c r="I4" s="2" t="s">
        <v>35</v>
      </c>
      <c r="J4" s="3">
        <f>SUM(J2:J3)</f>
        <v>893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3" sqref="I3"/>
    </sheetView>
  </sheetViews>
  <sheetFormatPr defaultColWidth="15.7083333333333" defaultRowHeight="24.95" customHeight="1" outlineLevelRow="3"/>
  <cols>
    <col min="1" max="1" width="25.8583333333333" style="1" customWidth="1"/>
    <col min="2" max="16384" width="15.7083333333333" style="1"/>
  </cols>
  <sheetData>
    <row r="1" customHeight="1" spans="1:11">
      <c r="A1" s="1" t="s">
        <v>24</v>
      </c>
      <c r="B1" s="1" t="s">
        <v>25</v>
      </c>
      <c r="C1" s="1" t="s">
        <v>36</v>
      </c>
      <c r="D1" s="1" t="s">
        <v>37</v>
      </c>
      <c r="E1" s="1" t="s">
        <v>38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customHeight="1" spans="1:11">
      <c r="A2" s="1" t="s">
        <v>39</v>
      </c>
      <c r="B2" s="1">
        <v>3</v>
      </c>
      <c r="C2" s="1">
        <v>10</v>
      </c>
      <c r="D2" s="1">
        <f>18*C2</f>
        <v>180</v>
      </c>
      <c r="E2" s="1">
        <f>15*C2</f>
        <v>150</v>
      </c>
      <c r="F2" s="1">
        <v>158</v>
      </c>
      <c r="G2" s="1">
        <f>0.5*F2</f>
        <v>79</v>
      </c>
      <c r="H2" s="1">
        <v>158</v>
      </c>
      <c r="I2" s="1">
        <f>0.5*H2</f>
        <v>79</v>
      </c>
      <c r="J2" s="1">
        <v>0</v>
      </c>
      <c r="K2" s="1">
        <f>B2+D2+E2+G2+I2+J2</f>
        <v>491</v>
      </c>
    </row>
    <row r="4" customHeight="1" spans="10:11">
      <c r="J4" s="2" t="s">
        <v>35</v>
      </c>
      <c r="K4" s="3">
        <f>SUM(K2:K3)</f>
        <v>491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开票费用明细</vt:lpstr>
      <vt:lpstr>包裹移仓出库</vt:lpstr>
      <vt:lpstr>托盘移仓出库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2006-09-16T00:00:00Z</dcterms:created>
  <dcterms:modified xsi:type="dcterms:W3CDTF">2025-07-02T01:15:53Z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3B8D7575703048B4AD1AB10C54EEF90E_13</vt:lpwstr>
  </property>
  <property fmtid="{D5CDD505-2E9C-101B-9397-08002B2CF9AE}" pid="3" name="KSOProductBuildVer">
    <vt:lpwstr>2052-12.1.0.21541</vt:lpwstr>
  </property>
</Properties>
</file>