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<sst xmlns="http://schemas.openxmlformats.org/spreadsheetml/2006/main" count="45" uniqueCount="42">
  <si>
    <t>运营人员</t>
  </si>
  <si>
    <t>备注-柜号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</si>
  <si>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</si>
  <si>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</si>
  <si>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</si>
  <si>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</si>
  <si>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</si>
  <si>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</si>
  <si>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</si>
  <si>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</si>
  <si>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</si>
  <si>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</si>
  <si>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</si>
  <si>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</si>
  <si>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</si>
  <si>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</si>
  <si>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</si>
  <si>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</si>
  <si>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</si>
  <si>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配置费/自提费</t>
  </si>
  <si>
    <t>武文杰</t>
  </si>
  <si>
    <t>账号6</t>
  </si>
  <si>
    <t>玻璃油瓶</t>
  </si>
  <si>
    <t>X002FL5WC1</t>
  </si>
  <si>
    <t>35*45*50</t>
  </si>
  <si>
    <t>FBA15L05CGKP
自提费用：65.77</t>
  </si>
  <si>
    <t>小餐盒6个装</t>
  </si>
  <si>
    <t>X002FL4DW1</t>
  </si>
  <si>
    <t>25*35*55</t>
  </si>
  <si>
    <t>大餐盒套装</t>
  </si>
  <si>
    <t>X002FLH1CF</t>
  </si>
  <si>
    <t>45*50*55</t>
  </si>
  <si>
    <t>账号12</t>
  </si>
  <si>
    <t>梅森罐6个装套装</t>
  </si>
  <si>
    <t>X00266MSOZ</t>
  </si>
  <si>
    <t>FBA15L0CQSQ9
自提费用：103.79</t>
  </si>
  <si>
    <t>5个装白色搅拌碗</t>
  </si>
  <si>
    <t>X00267DHJ9</t>
  </si>
  <si>
    <t>59*59*32</t>
  </si>
  <si>
    <t>6个装白色搅拌碗</t>
  </si>
  <si>
    <t>X00267DHFX</t>
  </si>
  <si>
    <t>FBA15L0C94CF
自提费用：61.11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</si>
</sst>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" fillId="4" borderId="1" xfId="0" applyFont="1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85" zoomScaleNormal="85" topLeftCell="G1" workbookViewId="0">
      <pane ySplit="1" topLeftCell="A2" activePane="bottomLeft" state="frozen"/>
      <selection/>
      <selection pane="bottomLeft" activeCell="R25" sqref="R25"/>
    </sheetView>
  </sheetViews>
  <sheetFormatPr defaultColWidth="9" defaultRowHeight="13.5" outlineLevelRow="7"/>
  <cols>
    <col min="1" max="1" width="18.425" style="1" customWidth="1"/>
    <col min="2" max="2" width="25.8416666666667" style="1" customWidth="1"/>
    <col min="3" max="3" width="26.8416666666667" style="2" customWidth="1"/>
    <col min="4" max="4" width="30.85" style="2" customWidth="1"/>
    <col min="5" max="5" width="16" style="1" customWidth="1"/>
    <col min="6" max="6" width="18.4333333333333" style="1" customWidth="1"/>
    <col min="7" max="7" width="9" style="3"/>
    <col min="8" max="8" width="10.55" style="3" customWidth="1"/>
    <col min="9" max="9" width="10.6333333333333" style="3" customWidth="1"/>
    <col min="10" max="10" width="9" style="3"/>
    <col min="11" max="11" width="12.8" style="1"/>
    <col min="12" max="12" width="17.6333333333333" style="1" customWidth="1"/>
    <col min="13" max="13" width="12.8" style="1"/>
    <col min="14" max="14" width="14.1833333333333" style="1" customWidth="1"/>
    <col min="15" max="15" width="12.8833333333333" style="1"/>
    <col min="16" max="17" width="13.375" style="1" customWidth="1"/>
    <col min="18" max="18" width="20.525" customWidth="1"/>
    <col min="19" max="19" width="22" customWidth="1"/>
    <col min="20" max="20" width="27.45" customWidth="1"/>
    <col min="21" max="21" width="55.6666666666667" style="1"/>
    <col min="22" max="16384" width="9" style="1"/>
  </cols>
  <sheetData>
    <row r="1" s="1" customFormat="1" ht="25" customHeight="1" spans="1:21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5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/>
      <c r="R1" s="10" t="s">
        <v>16</v>
      </c>
      <c r="S1" s="11" t="s">
        <v>17</v>
      </c>
      <c r="T1" s="1" t="s">
        <v>18</v>
      </c>
      <c r="U1" s="1" t="s">
        <v>19</v>
      </c>
    </row>
    <row r="2" ht="20.25" spans="1:21">
      <c r="A2" s="1" t="s">
        <v>20</v>
      </c>
      <c r="B2" s="2" t="s">
        <v>21</v>
      </c>
      <c r="C2" s="2" t="s">
        <v>22</v>
      </c>
      <c r="E2" s="12" t="s">
        <v>23</v>
      </c>
      <c r="G2" s="3">
        <v>60</v>
      </c>
      <c r="H2" s="3">
        <v>15</v>
      </c>
      <c r="I2" s="3">
        <v>60</v>
      </c>
      <c r="J2" s="3">
        <v>15</v>
      </c>
      <c r="K2" s="3">
        <v>4</v>
      </c>
      <c r="L2" s="1" t="s">
        <v>24</v>
      </c>
      <c r="M2" s="1">
        <v>0.07875</v>
      </c>
      <c r="N2" s="1">
        <v>18</v>
      </c>
      <c r="O2" s="13">
        <f t="shared" ref="O2:O7" si="0">N2*K2</f>
        <v>72</v>
      </c>
      <c r="P2" s="14">
        <f t="shared" ref="P2:P7" si="1">M2*K2</f>
        <v>0.315</v>
      </c>
      <c r="Q2" s="15">
        <f>5813/$P$8*P2</f>
        <v>261.522384069186</v>
      </c>
      <c r="R2" s="16" t="s">
        <v>25</v>
      </c>
    </row>
    <row r="3" ht="20.25" spans="1:21">
      <c r="B3" s="2"/>
      <c r="C3" s="2" t="s">
        <v>26</v>
      </c>
      <c r="E3" s="12" t="s">
        <v>27</v>
      </c>
      <c r="G3" s="3">
        <v>72</v>
      </c>
      <c r="H3" s="3">
        <v>12</v>
      </c>
      <c r="I3" s="3">
        <v>72</v>
      </c>
      <c r="J3" s="3">
        <v>12</v>
      </c>
      <c r="K3" s="3">
        <v>6</v>
      </c>
      <c r="L3" s="1" t="s">
        <v>28</v>
      </c>
      <c r="M3" s="1">
        <v>0.048125</v>
      </c>
      <c r="N3" s="1">
        <v>20</v>
      </c>
      <c r="O3" s="13">
        <f t="shared" si="0"/>
        <v>120</v>
      </c>
      <c r="P3" s="14">
        <f t="shared" si="1"/>
        <v>0.28875</v>
      </c>
      <c r="Q3" s="15">
        <f>5813/$P$8*P3</f>
        <v>239.72885206342</v>
      </c>
      <c r="R3" s="17"/>
    </row>
    <row r="4" ht="20.25" spans="1:21">
      <c r="B4" s="2"/>
      <c r="C4" s="2" t="s">
        <v>29</v>
      </c>
      <c r="E4" s="12" t="s">
        <v>30</v>
      </c>
      <c r="G4" s="3">
        <v>32</v>
      </c>
      <c r="H4" s="3">
        <v>4</v>
      </c>
      <c r="I4" s="3">
        <v>32</v>
      </c>
      <c r="J4" s="3">
        <v>4</v>
      </c>
      <c r="K4" s="3">
        <v>8</v>
      </c>
      <c r="L4" s="1" t="s">
        <v>31</v>
      </c>
      <c r="M4" s="1">
        <v>0.12375</v>
      </c>
      <c r="N4" s="1">
        <v>16</v>
      </c>
      <c r="O4" s="13">
        <f t="shared" si="0"/>
        <v>128</v>
      </c>
      <c r="P4" s="14">
        <f t="shared" si="1"/>
        <v>0.99</v>
      </c>
      <c r="Q4" s="15">
        <f>5813/$P$8*P4</f>
        <v>821.927492788869</v>
      </c>
      <c r="R4" s="17"/>
    </row>
    <row r="5" ht="20.25" spans="1:21">
      <c r="B5" s="2" t="s">
        <v>32</v>
      </c>
      <c r="C5" s="18" t="s">
        <v>33</v>
      </c>
      <c r="E5" s="18" t="s">
        <v>34</v>
      </c>
      <c r="G5" s="3">
        <v>189</v>
      </c>
      <c r="H5" s="3">
        <v>9</v>
      </c>
      <c r="I5" s="3">
        <v>189</v>
      </c>
      <c r="J5" s="3">
        <v>9</v>
      </c>
      <c r="K5" s="1">
        <v>21</v>
      </c>
      <c r="L5" s="1" t="s">
        <v>31</v>
      </c>
      <c r="M5" s="1">
        <v>0.12375</v>
      </c>
      <c r="N5" s="1">
        <v>21</v>
      </c>
      <c r="O5" s="13">
        <f t="shared" si="0"/>
        <v>441</v>
      </c>
      <c r="P5" s="14">
        <f t="shared" si="1"/>
        <v>2.59875</v>
      </c>
      <c r="Q5" s="15">
        <f>5813/$P$8*P5</f>
        <v>2157.55966857078</v>
      </c>
      <c r="R5" s="16" t="s">
        <v>35</v>
      </c>
    </row>
    <row r="6" ht="20.25" spans="1:21">
      <c r="B6" s="2"/>
      <c r="C6" s="18" t="s">
        <v>36</v>
      </c>
      <c r="E6" s="18" t="s">
        <v>37</v>
      </c>
      <c r="G6" s="3">
        <v>36</v>
      </c>
      <c r="H6" s="3">
        <v>12</v>
      </c>
      <c r="I6" s="3">
        <v>36</v>
      </c>
      <c r="J6" s="3">
        <v>12</v>
      </c>
      <c r="K6" s="1">
        <v>3</v>
      </c>
      <c r="L6" s="1" t="s">
        <v>38</v>
      </c>
      <c r="M6" s="1">
        <v>0.111392</v>
      </c>
      <c r="N6" s="1">
        <v>15</v>
      </c>
      <c r="O6" s="13">
        <f t="shared" si="0"/>
        <v>45</v>
      </c>
      <c r="P6" s="14">
        <f t="shared" si="1"/>
        <v>0.334176</v>
      </c>
      <c r="Q6" s="15">
        <f>5813/$P$8*P6</f>
        <v>277.442870535569</v>
      </c>
      <c r="R6" s="17"/>
    </row>
    <row r="7" ht="27" spans="1:21">
      <c r="B7" s="2" t="s">
        <v>32</v>
      </c>
      <c r="C7" s="18" t="s">
        <v>39</v>
      </c>
      <c r="E7" s="18" t="s">
        <v>40</v>
      </c>
      <c r="G7" s="3">
        <v>100</v>
      </c>
      <c r="H7" s="3">
        <v>5</v>
      </c>
      <c r="I7" s="3">
        <v>100</v>
      </c>
      <c r="J7" s="3">
        <v>5</v>
      </c>
      <c r="K7" s="1">
        <v>20</v>
      </c>
      <c r="L7" s="1" t="s">
        <v>31</v>
      </c>
      <c r="M7" s="1">
        <v>0.12375</v>
      </c>
      <c r="N7" s="1">
        <v>12</v>
      </c>
      <c r="O7" s="13">
        <f t="shared" si="0"/>
        <v>240</v>
      </c>
      <c r="P7" s="14">
        <f>M7*K7</f>
        <v>2.475</v>
      </c>
      <c r="Q7" s="15">
        <f>5813/$P$8*P7</f>
        <v>2054.81873197217</v>
      </c>
      <c r="R7" s="16" t="s">
        <v>41</v>
      </c>
    </row>
    <row r="8" spans="1:21">
      <c r="P8" s="1">
        <f>SUM(P2:P7)</f>
        <v>7.001676</v>
      </c>
    </row>
  </sheetData>
  <mergeCells count="4">
    <mergeCell ref="B2:B4"/>
    <mergeCell ref="B5:B6"/>
    <mergeCell ref="R2:R4"/>
    <mergeCell ref="R5:R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2025-12-23T07:59:50Z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054693D7DCAE444097B1E9000275C7E3_13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